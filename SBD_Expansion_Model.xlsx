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5610a78a6340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 15" sheetId="1" r:id="Ra5110bcfad7f485f"/>
    <x:sheet xmlns:r="http://schemas.openxmlformats.org/officeDocument/2006/relationships" name="School Search" sheetId="2" r:id="Rd0d07f80743d4533"/>
    <x:sheet xmlns:r="http://schemas.openxmlformats.org/officeDocument/2006/relationships" name="School Profile" sheetId="3" r:id="Rbfb7188fecd04f7f"/>
    <x:sheet xmlns:r="http://schemas.openxmlformats.org/officeDocument/2006/relationships" name="Staff Review" sheetId="4" r:id="Raca84674c7064c44"/>
    <x:sheet xmlns:r="http://schemas.openxmlformats.org/officeDocument/2006/relationships" name="Data" sheetId="5" r:id="R9ad1691477c34c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%"/>
    <x:numFmt numFmtId="201" formatCode="0.00"/>
    <x:numFmt numFmtId="202" formatCode="mm/dd/yy"/>
    <x:numFmt numFmtId="203" formatCode="#,##0"/>
    <x:numFmt numFmtId="204" formatCode="0.0"/>
  </x:numFmts>
  <x:fonts count="7">
    <x:font>
      <x:sz val="11"/>
      <x:name val="Carlito"/>
    </x:font>
    <x:font>
      <x:sz val="10"/>
      <x:color rgb="FF172C43"/>
      <x:name val="Arial"/>
    </x:font>
    <x:font>
      <x:b/>
      <x:sz val="16"/>
      <x:color rgb="FF172C43"/>
      <x:name val="Arial"/>
    </x:font>
    <x:font>
      <x:sz val="10"/>
      <x:color rgb="FF61758A"/>
      <x:name val="Arial"/>
    </x:font>
    <x:font>
      <x:b/>
      <x:sz val="10"/>
      <x:color rgb="FF172C43"/>
      <x:name val="Arial"/>
    </x:font>
    <x:font>
      <x:b/>
      <x:sz val="10"/>
      <x:color rgb="FFFFFFFF"/>
      <x:name val="Arial"/>
    </x:font>
    <x:font>
      <x:sz val="10"/>
      <x:color rgb="FF315F8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23E5A"/>
      </x:patternFill>
    </x:fill>
    <x:fill>
      <x:patternFill patternType="solid">
        <x:fgColor rgb="FFFFF1CA"/>
      </x:patternFill>
    </x:fill>
    <x:fill>
      <x:patternFill patternType="solid">
        <x:fgColor rgb="FFFFF1C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>
          <x:bgColor rgb="FFF2F5F8"/>
        </x:patternFill>
      </x:fill>
    </x:dxf>
    <x:dxf>
      <x:fill>
        <x:patternFill>
          <x:bgColor rgb="FFF2F5F8"/>
        </x:patternFill>
      </x:fill>
    </x:dxf>
    <x:dxf>
      <x:font>
        <x:b/>
        <x:color rgb="FF35765A"/>
      </x:font>
      <x:fill>
        <x:patternFill>
          <x:bgColor rgb="FFE7EE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b352e2c074725" /><Relationship Type="http://schemas.openxmlformats.org/officeDocument/2006/relationships/theme" Target="/xl/theme/theme1.xml" Id="R373ee4152ff546d0" /><Relationship Type="http://schemas.openxmlformats.org/officeDocument/2006/relationships/sharedStrings" Target="/xl/sharedStrings.xml" Id="R5982cf84f67e40f4" /><Relationship Type="http://schemas.openxmlformats.org/officeDocument/2006/relationships/worksheet" Target="/xl/worksheets/sheet1.xml" Id="Ra5110bcfad7f485f" /><Relationship Type="http://schemas.openxmlformats.org/officeDocument/2006/relationships/worksheet" Target="/xl/worksheets/sheet2.xml" Id="Rd0d07f80743d4533" /><Relationship Type="http://schemas.openxmlformats.org/officeDocument/2006/relationships/worksheet" Target="/xl/worksheets/sheet3.xml" Id="Rbfb7188fecd04f7f" /><Relationship Type="http://schemas.openxmlformats.org/officeDocument/2006/relationships/worksheet" Target="/xl/worksheets/sheet4.xml" Id="Raca84674c7064c44" /><Relationship Type="http://schemas.openxmlformats.org/officeDocument/2006/relationships/worksheet" Target="/xl/worksheets/sheet5.xml" Id="R9ad1691477c34cc2" /></Relationships>
</file>

<file path=xl/tables/table1.xml><?xml version="1.0" encoding="utf-8"?>
<x:table xmlns:x="http://schemas.openxmlformats.org/spreadsheetml/2006/main" id="7" name="StaffReview" displayName="StaffReview" ref="A7:L507" headerRowCount="1" totalsRowCount="0" totalsRowShown="0">
  <x:tableColumns count="12">
    <x:tableColumn id="1" name="School ID"/>
    <x:tableColumn id="2" name="School name"/>
    <x:tableColumn id="3" name="Already served"/>
    <x:tableColumn id="4" name="Verified fresh miles"/>
    <x:tableColumn id="5" name="Fresh checked"/>
    <x:tableColumn id="6" name="Verified resources ≤1mi"/>
    <x:tableColumn id="7" name="Resources checked"/>
    <x:tableColumn id="8" name="Evidence / notes"/>
    <x:tableColumn id="9" name="Owner"/>
    <x:tableColumn id="10" name="Contact stage"/>
    <x:tableColumn id="11" name="Readiness"/>
    <x:tableColumn id="12" name="Record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choolSource" displayName="SchoolSource" ref="A1:R330" headerRowCount="1" totalsRowCount="0" totalsRowShown="0">
  <x:tableColumns count="18">
    <x:tableColumn id="1" name="School ID"/>
    <x:tableColumn id="2" name="School name"/>
    <x:tableColumn id="3" name="Governance"/>
    <x:tableColumn id="4" name="Title I"/>
    <x:tableColumn id="5" name="Level"/>
    <x:tableColumn id="6" name="Address"/>
    <x:tableColumn id="7" name="City"/>
    <x:tableColumn id="8" name="ZIP"/>
    <x:tableColumn id="9" name="Latitude"/>
    <x:tableColumn id="10" name="Longitude"/>
    <x:tableColumn id="11" name="Enrollment"/>
    <x:tableColumn id="12" name="Economic disadvantage"/>
    <x:tableColumn id="13" name="Listed food sites ≤1mi"/>
    <x:tableColumn id="14" name="School year"/>
    <x:tableColumn id="15" name="Retrieved"/>
    <x:tableColumn id="16" name="Dataset"/>
    <x:tableColumn id="17" name="PA school code"/>
    <x:tableColumn id="18" name="AU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FoodSource" displayName="FoodSource" ref="A510:L819" headerRowCount="1" totalsRowCount="0" totalsRowShown="0">
  <x:tableColumns count="12">
    <x:tableColumn id="1" name="Site ID"/>
    <x:tableColumn id="2" name="Site name"/>
    <x:tableColumn id="3" name="Address"/>
    <x:tableColumn id="4" name="Type"/>
    <x:tableColumn id="5" name="Status"/>
    <x:tableColumn id="6" name="Latitude"/>
    <x:tableColumn id="7" name="Longitude"/>
    <x:tableColumn id="8" name="Candidate"/>
    <x:tableColumn id="9" name="Temporary closure"/>
    <x:tableColumn id="10" name="Seasonal closure"/>
    <x:tableColumn id="11" name="ZIP restrictions"/>
    <x:tableColumn id="12" name="Websi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tailSource" displayName="RetailSource" ref="A1020:K1409" headerRowCount="1" totalsRowCount="0" totalsRowShown="0">
  <x:tableColumns count="11">
    <x:tableColumn id="1" name="Retailer ID"/>
    <x:tableColumn id="2" name="Retailer name"/>
    <x:tableColumn id="3" name="Store type"/>
    <x:tableColumn id="4" name="Address"/>
    <x:tableColumn id="5" name="City"/>
    <x:tableColumn id="6" name="State"/>
    <x:tableColumn id="7" name="ZIP"/>
    <x:tableColumn id="8" name="Latitude"/>
    <x:tableColumn id="9" name="Longitude"/>
    <x:tableColumn id="10" name="Source"/>
    <x:tableColumn id="11" name="Retrieve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AccessSource" displayName="AccessSource" ref="A1530:I1859" headerRowCount="1" totalsRowCount="0" totalsRowShown="0">
  <x:tableColumns count="9">
    <x:tableColumn id="1" name="School ID"/>
    <x:tableColumn id="2" name="School name"/>
    <x:tableColumn id="3" name="Listed supermarket miles"/>
    <x:tableColumn id="4" name="Retailer ID"/>
    <x:tableColumn id="5" name="Nearest listed supermarket"/>
    <x:tableColumn id="6" name="Retailer address"/>
    <x:tableColumn id="7" name="Listed food sites within 1mi"/>
    <x:tableColumn id="8" name="Retrieved"/>
    <x:tableColumn id="9" name="Cau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ourceSettings" displayName="SourceSettings" ref="T1:U8" headerRowCount="1" totalsRowCount="0" totalsRowShown="0">
  <x:tableColumns count="2">
    <x:tableColumn id="1" name="Setting"/>
    <x:tableColumn id="2" name="Valu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ContactSource" displayName="ContactSource" ref="T40:Z369" headerRowCount="1" totalsRowCount="0" totalsRowShown="0">
  <x:tableColumns count="7">
    <x:tableColumn id="1" name="School ID"/>
    <x:tableColumn id="2" name="Phone"/>
    <x:tableColumn id="3" name="Website"/>
    <x:tableColumn id="4" name="Directory year"/>
    <x:tableColumn id="5" name="Title I source year"/>
    <x:tableColumn id="6" name="Published Title I value used"/>
    <x:tableColumn id="7" name="Current directory Title 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dbe5c1ea6bb747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2.xml" Id="R464fcc19acde413e" /><Relationship Type="http://schemas.openxmlformats.org/officeDocument/2006/relationships/table" Target="/xl/tables/table3.xml" Id="R385e56a2de1b4506" /><Relationship Type="http://schemas.openxmlformats.org/officeDocument/2006/relationships/table" Target="/xl/tables/table4.xml" Id="R5a1740f584834028" /><Relationship Type="http://schemas.openxmlformats.org/officeDocument/2006/relationships/table" Target="/xl/tables/table5.xml" Id="R17d2eaf8b9c14c39" /><Relationship Type="http://schemas.openxmlformats.org/officeDocument/2006/relationships/table" Target="/xl/tables/table6.xml" Id="Re426cb7777c74577" /><Relationship Type="http://schemas.openxmlformats.org/officeDocument/2006/relationships/table" Target="/xl/tables/table7.xml" Id="R6e15854275a44f53" /></Relationships>
</file>

<file path=xl/worksheets/sheet1.xml><?xml version="1.0" encoding="utf-8"?>
<x:worksheet xmlns:x="http://schemas.openxmlformats.org/spreadsheetml/2006/main">
  <x:sheetPr>
    <x:tabColor rgb="FF35765A"/>
  </x:sheetPr>
  <x:sheetViews>
    <x:sheetView showGridLines="0" workbookViewId="0"/>
  </x:sheetViews>
  <x:sheetFormatPr defaultRowHeight="15"/>
  <x:cols>
    <x:col min="1" max="1" width="8" hidden="0" customWidth="1"/>
    <x:col min="2" max="2" width="39" hidden="0" customWidth="1"/>
    <x:col min="3" max="3" width="12" hidden="0" customWidth="1"/>
    <x:col min="4" max="4" width="11" hidden="0" customWidth="1"/>
    <x:col min="5" max="5" width="11" hidden="0" customWidth="1"/>
    <x:col min="6" max="6" width="10" hidden="0" customWidth="1"/>
    <x:col min="7" max="7" width="10" hidden="0" customWidth="1"/>
    <x:col min="8" max="8" width="11" hidden="0" customWidth="1"/>
    <x:col min="9" max="9" width="18" hidden="0" customWidth="1"/>
    <x:col min="10" max="10" width="37" hidden="0" customWidth="1"/>
    <x:col min="11" max="11" width="14" hidden="0" customWidth="1"/>
    <x:col min="12" max="12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Top 15 expansion targets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Highest-priority candidates not marked already served. Food-access estimates guide the first outreach and verification round.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Ranking weights</x:v>
      </x:c>
      <x:c r="B4" s="2"/>
      <x:c r="C4" s="2"/>
      <x:c r="D4" s="2"/>
      <x:c r="E4" s="2" t="str">
        <x:v>Review as of</x:v>
      </x:c>
      <x:c r="F4" s="2"/>
      <x:c r="G4" s="2"/>
      <x:c r="H4" s="2" t="str">
        <x:v>Review valid days</x:v>
      </x:c>
      <x:c r="I4" s="2"/>
      <x:c r="J4" s="2" t="str">
        <x:v>Oldest retrieval</x:v>
      </x:c>
      <x:c r="K4" s="2"/>
      <x:c r="L4" s="2"/>
    </x:row>
    <x:row r="5" ht="22" customHeight="1">
      <x:c r="A5" s="2"/>
      <x:c r="B5" s="17" t="str">
        <x:v>Baseline</x:v>
      </x:c>
      <x:c r="C5" s="2"/>
      <x:c r="D5" s="2"/>
      <x:c r="E5" s="19" t="n">
        <x:f>TODAY()</x:f>
        <x:v>46304</x:v>
      </x:c>
      <x:c r="F5" s="2"/>
      <x:c r="G5" s="2"/>
      <x:c r="H5" s="17" t="n">
        <x:v>180</x:v>
      </x:c>
      <x:c r="I5" s="2"/>
      <x:c r="J5" s="19" t="n">
        <x:f>MIN(DATEVALUE(Data!O2),DATEVALUE(Data!H1531),DATEVALUE(Data!K1021))</x:f>
        <x:v>46304</x:v>
      </x:c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 t="str">
        <x:v>Eligible candidates</x:v>
      </x:c>
      <x:c r="B7" s="2"/>
      <x:c r="C7" s="2"/>
      <x:c r="D7" s="2" t="str">
        <x:v>Rankable now</x:v>
      </x:c>
      <x:c r="E7" s="2"/>
      <x:c r="F7" s="2"/>
      <x:c r="G7" s="2" t="str">
        <x:v>Top 15 enrollment</x:v>
      </x:c>
      <x:c r="H7" s="2"/>
      <x:c r="I7" s="2"/>
      <x:c r="J7" s="2" t="str">
        <x:v>Marked served</x:v>
      </x:c>
      <x:c r="K7" s="2"/>
      <x:c r="L7" s="2"/>
    </x:row>
    <x:row r="8" ht="22" customHeight="1">
      <x:c r="A8" s="2"/>
      <x:c r="B8" s="2" t="n">
        <x:f>COUNTIFS(Data!$H$2051:$H$2550,"Yes")</x:f>
        <x:v>305</x:v>
      </x:c>
      <x:c r="C8" s="2"/>
      <x:c r="D8" s="2"/>
      <x:c r="E8" s="2" t="n">
        <x:f>SUM(Data!$AL$2051:$AL$2550)</x:f>
        <x:v>293</x:v>
      </x:c>
      <x:c r="F8" s="2"/>
      <x:c r="G8" s="2"/>
      <x:c r="H8" s="21" t="n">
        <x:f>SUM(E13:E27)</x:f>
        <x:v>14701</x:v>
      </x:c>
      <x:c r="I8" s="2"/>
      <x:c r="J8" s="2"/>
      <x:c r="K8" s="2" t="n">
        <x:f>COUNTIFS(Data!$H$2051:$H$2550,"Yes",Data!$J$2051:$J$2550,"Yes")</x:f>
        <x:v>0</x:v>
      </x:c>
      <x:c r="L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22" customHeight="1">
      <x:c r="A10" s="2" t="str">
        <x:v>Directory 2026–27. Demographics 2025–26. Charter Title I uses last populated 2025–26 designation; confirm before commitment.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2" customHeight="1">
      <x:c r="A11" s="2" t="str">
        <x:v>Order: score, economic need, enrollment, school ID. “Listed” means food-access inputs still need verification.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34" customHeight="1">
      <x:c r="A12" s="12" t="str">
        <x:v>Order</x:v>
      </x:c>
      <x:c r="B12" s="12" t="str">
        <x:v>School</x:v>
      </x:c>
      <x:c r="C12" s="12" t="str">
        <x:v>Type</x:v>
      </x:c>
      <x:c r="D12" s="12" t="str">
        <x:v>Economic %</x:v>
      </x:c>
      <x:c r="E12" s="12" t="str">
        <x:v>Enrollment</x:v>
      </x:c>
      <x:c r="F12" s="12" t="str">
        <x:v>Fresh miles</x:v>
      </x:c>
      <x:c r="G12" s="12" t="str">
        <x:v>Resources ≤1mi</x:v>
      </x:c>
      <x:c r="H12" s="12" t="str">
        <x:v>Score /85</x:v>
      </x:c>
      <x:c r="I12" s="12" t="str">
        <x:v>Food evidence</x:v>
      </x:c>
      <x:c r="J12" s="12" t="str">
        <x:v>Why it needs attention</x:v>
      </x:c>
      <x:c r="K12" s="12" t="str">
        <x:v>Review row</x:v>
      </x:c>
      <x:c r="L12" s="2"/>
    </x:row>
    <x:row r="13" ht="38" customHeight="1">
      <x:c r="A13" s="2" t="n">
        <x:f>IF($M13=0,"",1)</x:f>
        <x:v>1</x:v>
      </x:c>
      <x:c r="B13" s="20" t="str">
        <x:f>IF($M13=0,"",INDEX(Data!$B$2051:$B$2550,$M13))</x:f>
        <x:v>Tacony Academy Charter School</x:v>
      </x:c>
      <x:c r="C13" s="2" t="str">
        <x:f>IF($M13=0,"",INDEX(Data!$C$2051:$C$2550,$M13))</x:f>
        <x:v>Charter</x:v>
      </x:c>
      <x:c r="D13" s="15" t="n">
        <x:f>IF($M13=0,"",INDEX(Data!$G$2051:$G$2550,$M13))</x:f>
        <x:v>0.7204</x:v>
      </x:c>
      <x:c r="E13" s="21" t="n">
        <x:f>IF($M13=0,"",INDEX(Data!$F$2051:$F$2550,$M13))</x:f>
        <x:v>1090</x:v>
      </x:c>
      <x:c r="F13" s="22" t="n">
        <x:f>IF($M13=0,"",INDEX(Data!$K$2051:$K$2550,$M13))</x:f>
        <x:v>0.7784790588441283</x:v>
      </x:c>
      <x:c r="G13" s="2" t="n">
        <x:f>IF($M13=0,"",INDEX(Data!$L$2051:$L$2550,$M13))</x:f>
        <x:v>0</x:v>
      </x:c>
      <x:c r="H13" s="23" t="n">
        <x:f>IF($M13=0,"",INDEX(Data!$T$2051:$T$2550,$M13))</x:f>
        <x:v>70</x:v>
      </x:c>
      <x:c r="I13" s="2" t="str">
        <x:f>IF($M13=0,"",INDEX(Data!$U$2051:$U$2550,$M13))</x:f>
        <x:v>Listed</x:v>
      </x:c>
      <x:c r="J13" s="20" t="str">
        <x:f>IF($M13=0,"",INDEX(Data!$AA$2051:$AA$2550,$M13))</x:f>
        <x:v>72% economic need; 0.78 mi fresh access; 0 nearby resources</x:v>
      </x:c>
      <x:c r="K13" s="24" t="str">
        <x:f>IF($M13=0,"",IF(INDEX(Data!$I$2051:$I$2550,$M13)=0,"Add ID","Row "&amp;(INDEX(Data!$I$2051:$I$2550,$M13)+7)))</x:f>
        <x:v>Row 287</x:v>
      </x:c>
      <x:c r="L13" s="2"/>
      <x:c r="M13" t="n">
        <x:f>IF(COUNTIFS(Data!$W$2051:$W$2550,1)=1,MATCH(1,Data!$W$2051:$W$2550,0),0)</x:f>
        <x:v>126</x:v>
      </x:c>
    </x:row>
    <x:row r="14" ht="38" customHeight="1">
      <x:c r="A14" s="2" t="n">
        <x:f>IF($M14=0,"",2)</x:f>
        <x:v>2</x:v>
      </x:c>
      <x:c r="B14" s="20" t="str">
        <x:f>IF($M14=0,"",INDEX(Data!$B$2051:$B$2550,$M14))</x:f>
        <x:v>Joseph H. Brown School</x:v>
      </x:c>
      <x:c r="C14" s="2" t="str">
        <x:f>IF($M14=0,"",INDEX(Data!$C$2051:$C$2550,$M14))</x:f>
        <x:v>District</x:v>
      </x:c>
      <x:c r="D14" s="15" t="n">
        <x:f>IF($M14=0,"",INDEX(Data!$G$2051:$G$2550,$M14))</x:f>
        <x:v>0.8056</x:v>
      </x:c>
      <x:c r="E14" s="21" t="n">
        <x:f>IF($M14=0,"",INDEX(Data!$F$2051:$F$2550,$M14))</x:f>
        <x:v>427</x:v>
      </x:c>
      <x:c r="F14" s="22" t="n">
        <x:f>IF($M14=0,"",INDEX(Data!$K$2051:$K$2550,$M14))</x:f>
        <x:v>0.9942284032941784</x:v>
      </x:c>
      <x:c r="G14" s="2" t="n">
        <x:f>IF($M14=0,"",INDEX(Data!$L$2051:$L$2550,$M14))</x:f>
        <x:v>1</x:v>
      </x:c>
      <x:c r="H14" s="23" t="n">
        <x:f>IF($M14=0,"",INDEX(Data!$T$2051:$T$2550,$M14))</x:f>
        <x:v>68</x:v>
      </x:c>
      <x:c r="I14" s="2" t="str">
        <x:f>IF($M14=0,"",INDEX(Data!$U$2051:$U$2550,$M14))</x:f>
        <x:v>Listed</x:v>
      </x:c>
      <x:c r="J14" s="20" t="str">
        <x:f>IF($M14=0,"",INDEX(Data!$AA$2051:$AA$2550,$M14))</x:f>
        <x:v>81% economic need; 0.99 mi fresh access; 1 nearby resources</x:v>
      </x:c>
      <x:c r="K14" s="24" t="str">
        <x:f>IF($M14=0,"",IF(INDEX(Data!$I$2051:$I$2550,$M14)=0,"Add ID","Row "&amp;(INDEX(Data!$I$2051:$I$2550,$M14)+7)))</x:f>
        <x:v>Row 154</x:v>
      </x:c>
      <x:c r="L14" s="2"/>
      <x:c r="M14" t="n">
        <x:f>IF(COUNTIFS(Data!$W$2051:$W$2550,2)=1,MATCH(2,Data!$W$2051:$W$2550,0),0)</x:f>
        <x:v>299</x:v>
      </x:c>
    </x:row>
    <x:row r="15" ht="38" customHeight="1">
      <x:c r="A15" s="2" t="n">
        <x:f>IF($M15=0,"",3)</x:f>
        <x:v>3</x:v>
      </x:c>
      <x:c r="B15" s="20" t="str">
        <x:f>IF($M15=0,"",INDEX(Data!$B$2051:$B$2550,$M15))</x:f>
        <x:v>New Foundations Charter School</x:v>
      </x:c>
      <x:c r="C15" s="2" t="str">
        <x:f>IF($M15=0,"",INDEX(Data!$C$2051:$C$2550,$M15))</x:f>
        <x:v>Charter</x:v>
      </x:c>
      <x:c r="D15" s="15" t="n">
        <x:f>IF($M15=0,"",INDEX(Data!$G$2051:$G$2550,$M15))</x:f>
        <x:v>0.7084</x:v>
      </x:c>
      <x:c r="E15" s="21" t="n">
        <x:f>IF($M15=0,"",INDEX(Data!$F$2051:$F$2550,$M15))</x:f>
        <x:v>1538</x:v>
      </x:c>
      <x:c r="F15" s="22" t="n">
        <x:f>IF($M15=0,"",INDEX(Data!$K$2051:$K$2550,$M15))</x:f>
        <x:v>1.387323730005554</x:v>
      </x:c>
      <x:c r="G15" s="2" t="n">
        <x:f>IF($M15=0,"",INDEX(Data!$L$2051:$L$2550,$M15))</x:f>
        <x:v>2</x:v>
      </x:c>
      <x:c r="H15" s="23" t="n">
        <x:f>IF($M15=0,"",INDEX(Data!$T$2051:$T$2550,$M15))</x:f>
        <x:v>65</x:v>
      </x:c>
      <x:c r="I15" s="2" t="str">
        <x:f>IF($M15=0,"",INDEX(Data!$U$2051:$U$2550,$M15))</x:f>
        <x:v>Listed</x:v>
      </x:c>
      <x:c r="J15" s="20" t="str">
        <x:f>IF($M15=0,"",INDEX(Data!$AA$2051:$AA$2550,$M15))</x:f>
        <x:v>71% economic need; 1.39 mi fresh access; 2 nearby resources</x:v>
      </x:c>
      <x:c r="K15" s="24" t="str">
        <x:f>IF($M15=0,"",IF(INDEX(Data!$I$2051:$I$2550,$M15)=0,"Add ID","Row "&amp;(INDEX(Data!$I$2051:$I$2550,$M15)+7)))</x:f>
        <x:v>Row 211</x:v>
      </x:c>
      <x:c r="L15" s="2"/>
      <x:c r="M15" t="n">
        <x:f>IF(COUNTIFS(Data!$W$2051:$W$2550,3)=1,MATCH(3,Data!$W$2051:$W$2550,0),0)</x:f>
        <x:v>94</x:v>
      </x:c>
    </x:row>
    <x:row r="16" ht="38" customHeight="1">
      <x:c r="A16" s="2" t="n">
        <x:f>IF($M16=0,"",4)</x:f>
        <x:v>4</x:v>
      </x:c>
      <x:c r="B16" s="20" t="str">
        <x:f>IF($M16=0,"",INDEX(Data!$B$2051:$B$2550,$M16))</x:f>
        <x:v>Southwest Leadership Academy Charter School</x:v>
      </x:c>
      <x:c r="C16" s="2" t="str">
        <x:f>IF($M16=0,"",INDEX(Data!$C$2051:$C$2550,$M16))</x:f>
        <x:v>Charter</x:v>
      </x:c>
      <x:c r="D16" s="15" t="n">
        <x:f>IF($M16=0,"",INDEX(Data!$G$2051:$G$2550,$M16))</x:f>
        <x:v>1</x:v>
      </x:c>
      <x:c r="E16" s="21" t="n">
        <x:f>IF($M16=0,"",INDEX(Data!$F$2051:$F$2550,$M16))</x:f>
        <x:v>690</x:v>
      </x:c>
      <x:c r="F16" s="22" t="n">
        <x:f>IF($M16=0,"",INDEX(Data!$K$2051:$K$2550,$M16))</x:f>
        <x:v>0.7433139904360148</x:v>
      </x:c>
      <x:c r="G16" s="2" t="n">
        <x:f>IF($M16=0,"",INDEX(Data!$L$2051:$L$2550,$M16))</x:f>
        <x:v>2</x:v>
      </x:c>
      <x:c r="H16" s="23" t="n">
        <x:f>IF($M16=0,"",INDEX(Data!$T$2051:$T$2550,$M16))</x:f>
        <x:v>64</x:v>
      </x:c>
      <x:c r="I16" s="2" t="str">
        <x:f>IF($M16=0,"",INDEX(Data!$U$2051:$U$2550,$M16))</x:f>
        <x:v>Listed</x:v>
      </x:c>
      <x:c r="J16" s="20" t="str">
        <x:f>IF($M16=0,"",INDEX(Data!$AA$2051:$AA$2550,$M16))</x:f>
        <x:v>100% economic need; 0.74 mi fresh access; 2 nearby resources</x:v>
      </x:c>
      <x:c r="K16" s="24" t="str">
        <x:f>IF($M16=0,"",IF(INDEX(Data!$I$2051:$I$2550,$M16)=0,"Add ID","Row "&amp;(INDEX(Data!$I$2051:$I$2550,$M16)+7)))</x:f>
        <x:v>Row 280</x:v>
      </x:c>
      <x:c r="L16" s="2"/>
      <x:c r="M16" t="n">
        <x:f>IF(COUNTIFS(Data!$W$2051:$W$2550,4)=1,MATCH(4,Data!$W$2051:$W$2550,0),0)</x:f>
        <x:v>120</x:v>
      </x:c>
    </x:row>
    <x:row r="17" ht="38" customHeight="1">
      <x:c r="A17" s="2" t="n">
        <x:f>IF($M17=0,"",5)</x:f>
        <x:v>5</x:v>
      </x:c>
      <x:c r="B17" s="20" t="str">
        <x:f>IF($M17=0,"",INDEX(Data!$B$2051:$B$2550,$M17))</x:f>
        <x:v>Ad Prima Charter School</x:v>
      </x:c>
      <x:c r="C17" s="2" t="str">
        <x:f>IF($M17=0,"",INDEX(Data!$C$2051:$C$2550,$M17))</x:f>
        <x:v>Charter</x:v>
      </x:c>
      <x:c r="D17" s="15" t="n">
        <x:f>IF($M17=0,"",INDEX(Data!$G$2051:$G$2550,$M17))</x:f>
        <x:v>0.9274</x:v>
      </x:c>
      <x:c r="E17" s="21" t="n">
        <x:f>IF($M17=0,"",INDEX(Data!$F$2051:$F$2550,$M17))</x:f>
        <x:v>617</x:v>
      </x:c>
      <x:c r="F17" s="22" t="n">
        <x:f>IF($M17=0,"",INDEX(Data!$K$2051:$K$2550,$M17))</x:f>
        <x:v>1.2644636123923818</x:v>
      </x:c>
      <x:c r="G17" s="2" t="n">
        <x:f>IF($M17=0,"",INDEX(Data!$L$2051:$L$2550,$M17))</x:f>
        <x:v>4</x:v>
      </x:c>
      <x:c r="H17" s="23" t="n">
        <x:f>IF($M17=0,"",INDEX(Data!$T$2051:$T$2550,$M17))</x:f>
        <x:v>64</x:v>
      </x:c>
      <x:c r="I17" s="2" t="str">
        <x:f>IF($M17=0,"",INDEX(Data!$U$2051:$U$2550,$M17))</x:f>
        <x:v>Listed</x:v>
      </x:c>
      <x:c r="J17" s="20" t="str">
        <x:f>IF($M17=0,"",INDEX(Data!$AA$2051:$AA$2550,$M17))</x:f>
        <x:v>93% economic need; 1.26 mi fresh access; 4 nearby resources</x:v>
      </x:c>
      <x:c r="K17" s="24" t="str">
        <x:f>IF($M17=0,"",IF(INDEX(Data!$I$2051:$I$2550,$M17)=0,"Add ID","Row "&amp;(INDEX(Data!$I$2051:$I$2550,$M17)+7)))</x:f>
        <x:v>Row 15</x:v>
      </x:c>
      <x:c r="L17" s="2"/>
      <x:c r="M17" t="n">
        <x:f>IF(COUNTIFS(Data!$W$2051:$W$2550,5)=1,MATCH(5,Data!$W$2051:$W$2550,0),0)</x:f>
        <x:v>113</x:v>
      </x:c>
    </x:row>
    <x:row r="18" ht="38" customHeight="1">
      <x:c r="A18" s="2" t="n">
        <x:f>IF($M18=0,"",6)</x:f>
        <x:v>6</x:v>
      </x:c>
      <x:c r="B18" s="20" t="str">
        <x:f>IF($M18=0,"",INDEX(Data!$B$2051:$B$2550,$M18))</x:f>
        <x:v>Rhawnhurst School</x:v>
      </x:c>
      <x:c r="C18" s="2" t="str">
        <x:f>IF($M18=0,"",INDEX(Data!$C$2051:$C$2550,$M18))</x:f>
        <x:v>District</x:v>
      </x:c>
      <x:c r="D18" s="15" t="n">
        <x:f>IF($M18=0,"",INDEX(Data!$G$2051:$G$2550,$M18))</x:f>
        <x:v>0.7637</x:v>
      </x:c>
      <x:c r="E18" s="21" t="n">
        <x:f>IF($M18=0,"",INDEX(Data!$F$2051:$F$2550,$M18))</x:f>
        <x:v>584</x:v>
      </x:c>
      <x:c r="F18" s="22" t="n">
        <x:f>IF($M18=0,"",INDEX(Data!$K$2051:$K$2550,$M18))</x:f>
        <x:v>0.5143721610507015</x:v>
      </x:c>
      <x:c r="G18" s="2" t="n">
        <x:f>IF($M18=0,"",INDEX(Data!$L$2051:$L$2550,$M18))</x:f>
        <x:v>0</x:v>
      </x:c>
      <x:c r="H18" s="23" t="n">
        <x:f>IF($M18=0,"",INDEX(Data!$T$2051:$T$2550,$M18))</x:f>
        <x:v>64</x:v>
      </x:c>
      <x:c r="I18" s="2" t="str">
        <x:f>IF($M18=0,"",INDEX(Data!$U$2051:$U$2550,$M18))</x:f>
        <x:v>Listed</x:v>
      </x:c>
      <x:c r="J18" s="20" t="str">
        <x:f>IF($M18=0,"",INDEX(Data!$AA$2051:$AA$2550,$M18))</x:f>
        <x:v>76% economic need; 0.51 mi fresh access; 0 nearby resources</x:v>
      </x:c>
      <x:c r="K18" s="24" t="str">
        <x:f>IF($M18=0,"",IF(INDEX(Data!$I$2051:$I$2550,$M18)=0,"Add ID","Row "&amp;(INDEX(Data!$I$2051:$I$2550,$M18)+7)))</x:f>
        <x:v>Row 254</x:v>
      </x:c>
      <x:c r="L18" s="2"/>
      <x:c r="M18" t="n">
        <x:f>IF(COUNTIFS(Data!$W$2051:$W$2550,6)=1,MATCH(6,Data!$W$2051:$W$2550,0),0)</x:f>
        <x:v>309</x:v>
      </x:c>
    </x:row>
    <x:row r="19" ht="38" customHeight="1">
      <x:c r="A19" s="2" t="n">
        <x:f>IF($M19=0,"",7)</x:f>
        <x:v>7</x:v>
      </x:c>
      <x:c r="B19" s="20" t="str">
        <x:f>IF($M19=0,"",INDEX(Data!$B$2051:$B$2550,$M19))</x:f>
        <x:v>Penrose School</x:v>
      </x:c>
      <x:c r="C19" s="2" t="str">
        <x:f>IF($M19=0,"",INDEX(Data!$C$2051:$C$2550,$M19))</x:f>
        <x:v>District</x:v>
      </x:c>
      <x:c r="D19" s="15" t="n">
        <x:f>IF($M19=0,"",INDEX(Data!$G$2051:$G$2550,$M19))</x:f>
        <x:v>0.8372</x:v>
      </x:c>
      <x:c r="E19" s="21" t="n">
        <x:f>IF($M19=0,"",INDEX(Data!$F$2051:$F$2550,$M19))</x:f>
        <x:v>429</x:v>
      </x:c>
      <x:c r="F19" s="22" t="n">
        <x:f>IF($M19=0,"",INDEX(Data!$K$2051:$K$2550,$M19))</x:f>
        <x:v>0.5015430898164202</x:v>
      </x:c>
      <x:c r="G19" s="2" t="n">
        <x:f>IF($M19=0,"",INDEX(Data!$L$2051:$L$2550,$M19))</x:f>
        <x:v>1</x:v>
      </x:c>
      <x:c r="H19" s="23" t="n">
        <x:f>IF($M19=0,"",INDEX(Data!$T$2051:$T$2550,$M19))</x:f>
        <x:v>63</x:v>
      </x:c>
      <x:c r="I19" s="2" t="str">
        <x:f>IF($M19=0,"",INDEX(Data!$U$2051:$U$2550,$M19))</x:f>
        <x:v>Listed</x:v>
      </x:c>
      <x:c r="J19" s="20" t="str">
        <x:f>IF($M19=0,"",INDEX(Data!$AA$2051:$AA$2550,$M19))</x:f>
        <x:v>84% economic need; 0.50 mi fresh access; 1 nearby resources</x:v>
      </x:c>
      <x:c r="K19" s="24" t="str">
        <x:f>IF($M19=0,"",IF(INDEX(Data!$I$2051:$I$2550,$M19)=0,"Add ID","Row "&amp;(INDEX(Data!$I$2051:$I$2550,$M19)+7)))</x:f>
        <x:v>Row 236</x:v>
      </x:c>
      <x:c r="L19" s="2"/>
      <x:c r="M19" t="n">
        <x:f>IF(COUNTIFS(Data!$W$2051:$W$2550,7)=1,MATCH(7,Data!$W$2051:$W$2550,0),0)</x:f>
        <x:v>24</x:v>
      </x:c>
    </x:row>
    <x:row r="20" ht="38" customHeight="1">
      <x:c r="A20" s="2" t="n">
        <x:f>IF($M20=0,"",8)</x:f>
        <x:v>8</x:v>
      </x:c>
      <x:c r="B20" s="20" t="str">
        <x:f>IF($M20=0,"",INDEX(Data!$B$2051:$B$2550,$M20))</x:f>
        <x:v>Robert E. Lamberton School</x:v>
      </x:c>
      <x:c r="C20" s="2" t="str">
        <x:f>IF($M20=0,"",INDEX(Data!$C$2051:$C$2550,$M20))</x:f>
        <x:v>District</x:v>
      </x:c>
      <x:c r="D20" s="15" t="n">
        <x:f>IF($M20=0,"",INDEX(Data!$G$2051:$G$2550,$M20))</x:f>
        <x:v>0.8355</x:v>
      </x:c>
      <x:c r="E20" s="21" t="n">
        <x:f>IF($M20=0,"",INDEX(Data!$F$2051:$F$2550,$M20))</x:f>
        <x:v>362</x:v>
      </x:c>
      <x:c r="F20" s="22" t="n">
        <x:f>IF($M20=0,"",INDEX(Data!$K$2051:$K$2550,$M20))</x:f>
        <x:v>0.3189351358977049</x:v>
      </x:c>
      <x:c r="G20" s="2" t="n">
        <x:f>IF($M20=0,"",INDEX(Data!$L$2051:$L$2550,$M20))</x:f>
        <x:v>0</x:v>
      </x:c>
      <x:c r="H20" s="23" t="n">
        <x:f>IF($M20=0,"",INDEX(Data!$T$2051:$T$2550,$M20))</x:f>
        <x:v>63</x:v>
      </x:c>
      <x:c r="I20" s="2" t="str">
        <x:f>IF($M20=0,"",INDEX(Data!$U$2051:$U$2550,$M20))</x:f>
        <x:v>Listed</x:v>
      </x:c>
      <x:c r="J20" s="20" t="str">
        <x:f>IF($M20=0,"",INDEX(Data!$AA$2051:$AA$2550,$M20))</x:f>
        <x:v>84% economic need; 0.32 mi fresh access; 0 nearby resources</x:v>
      </x:c>
      <x:c r="K20" s="24" t="str">
        <x:f>IF($M20=0,"",IF(INDEX(Data!$I$2051:$I$2550,$M20)=0,"Add ID","Row "&amp;(INDEX(Data!$I$2051:$I$2550,$M20)+7)))</x:f>
        <x:v>Row 259</x:v>
      </x:c>
      <x:c r="L20" s="2"/>
      <x:c r="M20" t="n">
        <x:f>IF(COUNTIFS(Data!$W$2051:$W$2550,8)=1,MATCH(8,Data!$W$2051:$W$2550,0),0)</x:f>
        <x:v>166</x:v>
      </x:c>
    </x:row>
    <x:row r="21" ht="38" customHeight="1">
      <x:c r="A21" s="2" t="n">
        <x:f>IF($M21=0,"",9)</x:f>
        <x:v>9</x:v>
      </x:c>
      <x:c r="B21" s="20" t="str">
        <x:f>IF($M21=0,"",INDEX(Data!$B$2051:$B$2550,$M21))</x:f>
        <x:v>Lankenau High School</x:v>
      </x:c>
      <x:c r="C21" s="2" t="str">
        <x:f>IF($M21=0,"",INDEX(Data!$C$2051:$C$2550,$M21))</x:f>
        <x:v>District</x:v>
      </x:c>
      <x:c r="D21" s="15" t="n">
        <x:f>IF($M21=0,"",INDEX(Data!$G$2051:$G$2550,$M21))</x:f>
        <x:v>0.64</x:v>
      </x:c>
      <x:c r="E21" s="21" t="n">
        <x:f>IF($M21=0,"",INDEX(Data!$F$2051:$F$2550,$M21))</x:f>
        <x:v>225</x:v>
      </x:c>
      <x:c r="F21" s="22" t="n">
        <x:f>IF($M21=0,"",INDEX(Data!$K$2051:$K$2550,$M21))</x:f>
        <x:v>0.8671450843594952</x:v>
      </x:c>
      <x:c r="G21" s="2" t="n">
        <x:f>IF($M21=0,"",INDEX(Data!$L$2051:$L$2550,$M21))</x:f>
        <x:v>0</x:v>
      </x:c>
      <x:c r="H21" s="23" t="n">
        <x:f>IF($M21=0,"",INDEX(Data!$T$2051:$T$2550,$M21))</x:f>
        <x:v>62</x:v>
      </x:c>
      <x:c r="I21" s="2" t="str">
        <x:f>IF($M21=0,"",INDEX(Data!$U$2051:$U$2550,$M21))</x:f>
        <x:v>Listed</x:v>
      </x:c>
      <x:c r="J21" s="20" t="str">
        <x:f>IF($M21=0,"",INDEX(Data!$AA$2051:$AA$2550,$M21))</x:f>
        <x:v>64% economic need; 0.87 mi fresh access; 0 nearby resources</x:v>
      </x:c>
      <x:c r="K21" s="24" t="str">
        <x:f>IF($M21=0,"",IF(INDEX(Data!$I$2051:$I$2550,$M21)=0,"Add ID","Row "&amp;(INDEX(Data!$I$2051:$I$2550,$M21)+7)))</x:f>
        <x:v>Row 174</x:v>
      </x:c>
      <x:c r="L21" s="2"/>
      <x:c r="M21" t="n">
        <x:f>IF(COUNTIFS(Data!$W$2051:$W$2550,9)=1,MATCH(9,Data!$W$2051:$W$2550,0),0)</x:f>
        <x:v>251</x:v>
      </x:c>
    </x:row>
    <x:row r="22" ht="38" customHeight="1">
      <x:c r="A22" s="2" t="n">
        <x:f>IF($M22=0,"",10)</x:f>
        <x:v>10</x:v>
      </x:c>
      <x:c r="B22" s="20" t="str">
        <x:f>IF($M22=0,"",INDEX(Data!$B$2051:$B$2550,$M22))</x:f>
        <x:v>Robert B. Pollock School</x:v>
      </x:c>
      <x:c r="C22" s="2" t="str">
        <x:f>IF($M22=0,"",INDEX(Data!$C$2051:$C$2550,$M22))</x:f>
        <x:v>District</x:v>
      </x:c>
      <x:c r="D22" s="15" t="n">
        <x:f>IF($M22=0,"",INDEX(Data!$G$2051:$G$2550,$M22))</x:f>
        <x:v>0.7341</x:v>
      </x:c>
      <x:c r="E22" s="21" t="n">
        <x:f>IF($M22=0,"",INDEX(Data!$F$2051:$F$2550,$M22))</x:f>
        <x:v>900</x:v>
      </x:c>
      <x:c r="F22" s="22" t="n">
        <x:f>IF($M22=0,"",INDEX(Data!$K$2051:$K$2550,$M22))</x:f>
        <x:v>0.8076308631444649</x:v>
      </x:c>
      <x:c r="G22" s="2" t="n">
        <x:f>IF($M22=0,"",INDEX(Data!$L$2051:$L$2550,$M22))</x:f>
        <x:v>2</x:v>
      </x:c>
      <x:c r="H22" s="23" t="n">
        <x:f>IF($M22=0,"",INDEX(Data!$T$2051:$T$2550,$M22))</x:f>
        <x:v>60</x:v>
      </x:c>
      <x:c r="I22" s="2" t="str">
        <x:f>IF($M22=0,"",INDEX(Data!$U$2051:$U$2550,$M22))</x:f>
        <x:v>Listed</x:v>
      </x:c>
      <x:c r="J22" s="20" t="str">
        <x:f>IF($M22=0,"",INDEX(Data!$AA$2051:$AA$2550,$M22))</x:f>
        <x:v>73% economic need; 0.81 mi fresh access; 2 nearby resources</x:v>
      </x:c>
      <x:c r="K22" s="24" t="str">
        <x:f>IF($M22=0,"",IF(INDEX(Data!$I$2051:$I$2550,$M22)=0,"Add ID","Row "&amp;(INDEX(Data!$I$2051:$I$2550,$M22)+7)))</x:f>
        <x:v>Row 258</x:v>
      </x:c>
      <x:c r="L22" s="2"/>
      <x:c r="M22" t="n">
        <x:f>IF(COUNTIFS(Data!$W$2051:$W$2550,10)=1,MATCH(10,Data!$W$2051:$W$2550,0),0)</x:f>
        <x:v>314</x:v>
      </x:c>
    </x:row>
    <x:row r="23" ht="38" customHeight="1">
      <x:c r="A23" s="2" t="n">
        <x:f>IF($M23=0,"",11)</x:f>
        <x:v>11</x:v>
      </x:c>
      <x:c r="B23" s="20" t="str">
        <x:f>IF($M23=0,"",INDEX(Data!$B$2051:$B$2550,$M23))</x:f>
        <x:v>Northeast High School</x:v>
      </x:c>
      <x:c r="C23" s="2" t="str">
        <x:f>IF($M23=0,"",INDEX(Data!$C$2051:$C$2550,$M23))</x:f>
        <x:v>District</x:v>
      </x:c>
      <x:c r="D23" s="15" t="n">
        <x:f>IF($M23=0,"",INDEX(Data!$G$2051:$G$2550,$M23))</x:f>
        <x:v>0.7192</x:v>
      </x:c>
      <x:c r="E23" s="21" t="n">
        <x:f>IF($M23=0,"",INDEX(Data!$F$2051:$F$2550,$M23))</x:f>
        <x:v>3541</x:v>
      </x:c>
      <x:c r="F23" s="22" t="n">
        <x:f>IF($M23=0,"",INDEX(Data!$K$2051:$K$2550,$M23))</x:f>
        <x:v>0.37970186361207736</x:v>
      </x:c>
      <x:c r="G23" s="2" t="n">
        <x:f>IF($M23=0,"",INDEX(Data!$L$2051:$L$2550,$M23))</x:f>
        <x:v>0</x:v>
      </x:c>
      <x:c r="H23" s="23" t="n">
        <x:f>IF($M23=0,"",INDEX(Data!$T$2051:$T$2550,$M23))</x:f>
        <x:v>60</x:v>
      </x:c>
      <x:c r="I23" s="2" t="str">
        <x:f>IF($M23=0,"",INDEX(Data!$U$2051:$U$2550,$M23))</x:f>
        <x:v>Listed</x:v>
      </x:c>
      <x:c r="J23" s="20" t="str">
        <x:f>IF($M23=0,"",INDEX(Data!$AA$2051:$AA$2550,$M23))</x:f>
        <x:v>72% economic need; 0.38 mi fresh access; 0 nearby resources</x:v>
      </x:c>
      <x:c r="K23" s="24" t="str">
        <x:f>IF($M23=0,"",IF(INDEX(Data!$I$2051:$I$2550,$M23)=0,"Add ID","Row "&amp;(INDEX(Data!$I$2051:$I$2550,$M23)+7)))</x:f>
        <x:v>Row 213</x:v>
      </x:c>
      <x:c r="L23" s="2"/>
      <x:c r="M23" t="n">
        <x:f>IF(COUNTIFS(Data!$W$2051:$W$2550,11)=1,MATCH(11,Data!$W$2051:$W$2550,0),0)</x:f>
        <x:v>287</x:v>
      </x:c>
    </x:row>
    <x:row r="24" ht="38" customHeight="1">
      <x:c r="A24" s="2" t="n">
        <x:f>IF($M24=0,"",12)</x:f>
        <x:v>12</x:v>
      </x:c>
      <x:c r="B24" s="20" t="str">
        <x:f>IF($M24=0,"",INDEX(Data!$B$2051:$B$2550,$M24))</x:f>
        <x:v>Aloysius L. Fitzpatrick School</x:v>
      </x:c>
      <x:c r="C24" s="2" t="str">
        <x:f>IF($M24=0,"",INDEX(Data!$C$2051:$C$2550,$M24))</x:f>
        <x:v>District</x:v>
      </x:c>
      <x:c r="D24" s="15" t="n">
        <x:f>IF($M24=0,"",INDEX(Data!$G$2051:$G$2550,$M24))</x:f>
        <x:v>0.7176</x:v>
      </x:c>
      <x:c r="E24" s="21" t="n">
        <x:f>IF($M24=0,"",INDEX(Data!$F$2051:$F$2550,$M24))</x:f>
        <x:v>868</x:v>
      </x:c>
      <x:c r="F24" s="22" t="n">
        <x:f>IF($M24=0,"",INDEX(Data!$K$2051:$K$2550,$M24))</x:f>
        <x:v>0.4864590234509422</x:v>
      </x:c>
      <x:c r="G24" s="2" t="n">
        <x:f>IF($M24=0,"",INDEX(Data!$L$2051:$L$2550,$M24))</x:f>
        <x:v>0</x:v>
      </x:c>
      <x:c r="H24" s="23" t="n">
        <x:f>IF($M24=0,"",INDEX(Data!$T$2051:$T$2550,$M24))</x:f>
        <x:v>60</x:v>
      </x:c>
      <x:c r="I24" s="2" t="str">
        <x:f>IF($M24=0,"",INDEX(Data!$U$2051:$U$2550,$M24))</x:f>
        <x:v>Listed</x:v>
      </x:c>
      <x:c r="J24" s="20" t="str">
        <x:f>IF($M24=0,"",INDEX(Data!$AA$2051:$AA$2550,$M24))</x:f>
        <x:v>72% economic need; 0.49 mi fresh access; 0 nearby resources</x:v>
      </x:c>
      <x:c r="K24" s="24" t="str">
        <x:f>IF($M24=0,"",IF(INDEX(Data!$I$2051:$I$2550,$M24)=0,"Add ID","Row "&amp;(INDEX(Data!$I$2051:$I$2550,$M24)+7)))</x:f>
        <x:v>Row 23</x:v>
      </x:c>
      <x:c r="L24" s="2"/>
      <x:c r="M24" t="n">
        <x:f>IF(COUNTIFS(Data!$W$2051:$W$2550,12)=1,MATCH(12,Data!$W$2051:$W$2550,0),0)</x:f>
        <x:v>312</x:v>
      </x:c>
    </x:row>
    <x:row r="25" ht="38" customHeight="1">
      <x:c r="A25" s="2" t="n">
        <x:f>IF($M25=0,"",13)</x:f>
        <x:v>13</x:v>
      </x:c>
      <x:c r="B25" s="20" t="str">
        <x:f>IF($M25=0,"",INDEX(Data!$B$2051:$B$2550,$M25))</x:f>
        <x:v>Franklin Towne Charter Elementary School</x:v>
      </x:c>
      <x:c r="C25" s="2" t="str">
        <x:f>IF($M25=0,"",INDEX(Data!$C$2051:$C$2550,$M25))</x:f>
        <x:v>Charter</x:v>
      </x:c>
      <x:c r="D25" s="15" t="n">
        <x:f>IF($M25=0,"",INDEX(Data!$G$2051:$G$2550,$M25))</x:f>
        <x:v>0.6767</x:v>
      </x:c>
      <x:c r="E25" s="21" t="n">
        <x:f>IF($M25=0,"",INDEX(Data!$F$2051:$F$2550,$M25))</x:f>
        <x:v>958</x:v>
      </x:c>
      <x:c r="F25" s="22" t="n">
        <x:f>IF($M25=0,"",INDEX(Data!$K$2051:$K$2550,$M25))</x:f>
        <x:v>0.8080187816176461</x:v>
      </x:c>
      <x:c r="G25" s="2" t="n">
        <x:f>IF($M25=0,"",INDEX(Data!$L$2051:$L$2550,$M25))</x:f>
        <x:v>1</x:v>
      </x:c>
      <x:c r="H25" s="23" t="n">
        <x:f>IF($M25=0,"",INDEX(Data!$T$2051:$T$2550,$M25))</x:f>
        <x:v>60</x:v>
      </x:c>
      <x:c r="I25" s="2" t="str">
        <x:f>IF($M25=0,"",INDEX(Data!$U$2051:$U$2550,$M25))</x:f>
        <x:v>Listed</x:v>
      </x:c>
      <x:c r="J25" s="20" t="str">
        <x:f>IF($M25=0,"",INDEX(Data!$AA$2051:$AA$2550,$M25))</x:f>
        <x:v>68% economic need; 0.81 mi fresh access; 1 nearby resources</x:v>
      </x:c>
      <x:c r="K25" s="24" t="str">
        <x:f>IF($M25=0,"",IF(INDEX(Data!$I$2051:$I$2550,$M25)=0,"Add ID","Row "&amp;(INDEX(Data!$I$2051:$I$2550,$M25)+7)))</x:f>
        <x:v>Row 92</x:v>
      </x:c>
      <x:c r="L25" s="2"/>
      <x:c r="M25" t="n">
        <x:f>IF(COUNTIFS(Data!$W$2051:$W$2550,13)=1,MATCH(13,Data!$W$2051:$W$2550,0),0)</x:f>
        <x:v>125</x:v>
      </x:c>
    </x:row>
    <x:row r="26" ht="38" customHeight="1">
      <x:c r="A26" s="2" t="n">
        <x:f>IF($M26=0,"",14)</x:f>
        <x:v>14</x:v>
      </x:c>
      <x:c r="B26" s="20" t="str">
        <x:f>IF($M26=0,"",INDEX(Data!$B$2051:$B$2550,$M26))</x:f>
        <x:v>Charles C.A. Baldi Middle School</x:v>
      </x:c>
      <x:c r="C26" s="2" t="str">
        <x:f>IF($M26=0,"",INDEX(Data!$C$2051:$C$2550,$M26))</x:f>
        <x:v>District</x:v>
      </x:c>
      <x:c r="D26" s="15" t="n">
        <x:f>IF($M26=0,"",INDEX(Data!$G$2051:$G$2550,$M26))</x:f>
        <x:v>0.6683</x:v>
      </x:c>
      <x:c r="E26" s="21" t="n">
        <x:f>IF($M26=0,"",INDEX(Data!$F$2051:$F$2550,$M26))</x:f>
        <x:v>1424</x:v>
      </x:c>
      <x:c r="F26" s="22" t="n">
        <x:f>IF($M26=0,"",INDEX(Data!$K$2051:$K$2550,$M26))</x:f>
        <x:v>0.5635164058751747</x:v>
      </x:c>
      <x:c r="G26" s="2" t="n">
        <x:f>IF($M26=0,"",INDEX(Data!$L$2051:$L$2550,$M26))</x:f>
        <x:v>0</x:v>
      </x:c>
      <x:c r="H26" s="23" t="n">
        <x:f>IF($M26=0,"",INDEX(Data!$T$2051:$T$2550,$M26))</x:f>
        <x:v>60</x:v>
      </x:c>
      <x:c r="I26" s="2" t="str">
        <x:f>IF($M26=0,"",INDEX(Data!$U$2051:$U$2550,$M26))</x:f>
        <x:v>Listed</x:v>
      </x:c>
      <x:c r="J26" s="20" t="str">
        <x:f>IF($M26=0,"",INDEX(Data!$AA$2051:$AA$2550,$M26))</x:f>
        <x:v>67% economic need; 0.56 mi fresh access; 0 nearby resources</x:v>
      </x:c>
      <x:c r="K26" s="24" t="str">
        <x:f>IF($M26=0,"",IF(INDEX(Data!$I$2051:$I$2550,$M26)=0,"Add ID","Row "&amp;(INDEX(Data!$I$2051:$I$2550,$M26)+7)))</x:f>
        <x:v>Row 47</x:v>
      </x:c>
      <x:c r="L26" s="2"/>
      <x:c r="M26" t="n">
        <x:f>IF(COUNTIFS(Data!$W$2051:$W$2550,14)=1,MATCH(14,Data!$W$2051:$W$2550,0),0)</x:f>
        <x:v>296</x:v>
      </x:c>
    </x:row>
    <x:row r="27" ht="38" customHeight="1">
      <x:c r="A27" s="2" t="n">
        <x:f>IF($M27=0,"",15)</x:f>
        <x:v>15</x:v>
      </x:c>
      <x:c r="B27" s="20" t="str">
        <x:f>IF($M27=0,"",INDEX(Data!$B$2051:$B$2550,$M27))</x:f>
        <x:v>Joseph Greenberg School</x:v>
      </x:c>
      <x:c r="C27" s="2" t="str">
        <x:f>IF($M27=0,"",INDEX(Data!$C$2051:$C$2550,$M27))</x:f>
        <x:v>District</x:v>
      </x:c>
      <x:c r="D27" s="15" t="n">
        <x:f>IF($M27=0,"",INDEX(Data!$G$2051:$G$2550,$M27))</x:f>
        <x:v>0.5234</x:v>
      </x:c>
      <x:c r="E27" s="21" t="n">
        <x:f>IF($M27=0,"",INDEX(Data!$F$2051:$F$2550,$M27))</x:f>
        <x:v>1048</x:v>
      </x:c>
      <x:c r="F27" s="22" t="n">
        <x:f>IF($M27=0,"",INDEX(Data!$K$2051:$K$2550,$M27))</x:f>
        <x:v>0.9058382307395104</x:v>
      </x:c>
      <x:c r="G27" s="2" t="n">
        <x:f>IF($M27=0,"",INDEX(Data!$L$2051:$L$2550,$M27))</x:f>
        <x:v>0</x:v>
      </x:c>
      <x:c r="H27" s="23" t="n">
        <x:f>IF($M27=0,"",INDEX(Data!$T$2051:$T$2550,$M27))</x:f>
        <x:v>60</x:v>
      </x:c>
      <x:c r="I27" s="2" t="str">
        <x:f>IF($M27=0,"",INDEX(Data!$U$2051:$U$2550,$M27))</x:f>
        <x:v>Listed</x:v>
      </x:c>
      <x:c r="J27" s="20" t="str">
        <x:f>IF($M27=0,"",INDEX(Data!$AA$2051:$AA$2550,$M27))</x:f>
        <x:v>52% economic need; 0.91 mi fresh access; 0 nearby resources</x:v>
      </x:c>
      <x:c r="K27" s="24" t="str">
        <x:f>IF($M27=0,"",IF(INDEX(Data!$I$2051:$I$2550,$M27)=0,"Add ID","Row "&amp;(INDEX(Data!$I$2051:$I$2550,$M27)+7)))</x:f>
        <x:v>Row 153</x:v>
      </x:c>
      <x:c r="L27" s="2"/>
      <x:c r="M27" t="n">
        <x:f>IF(COUNTIFS(Data!$W$2051:$W$2550,15)=1,MATCH(15,Data!$W$2051:$W$2550,0),0)</x:f>
        <x:v>316</x:v>
      </x:c>
    </x:row>
    <x:row r="28" ht="22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 t="str">
        <x:v>Missing-data queue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/>
      <x:c r="B31" s="2" t="str">
        <x:f>COUNTIFS(Data!$H$2051:$H$2550,"Yes",Data!$V$2051:$V$2550,"Missing data")&amp;" schools have no complete score. Find them using School Search &gt; Missing data."</x:f>
        <x:v>12 schools have no complete score. Find them using School Search &gt; Missing data.</x:v>
      </x:c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34" customHeight="1">
      <x:c r="A34" s="12" t="str">
        <x:v>Weights</x:v>
      </x:c>
      <x:c r="B34" s="12" t="str">
        <x:v>Economic need</x:v>
      </x:c>
      <x:c r="C34" s="12" t="str">
        <x:v>Fresh access</x:v>
      </x:c>
      <x:c r="D34" s="12" t="str">
        <x:v>Resource gap</x:v>
      </x:c>
      <x:c r="E34" s="12" t="str">
        <x:v>Reach</x:v>
      </x:c>
      <x:c r="F34" s="2"/>
      <x:c r="G34" s="2"/>
      <x:c r="H34" s="2"/>
      <x:c r="I34" s="2"/>
      <x:c r="J34" s="2"/>
      <x:c r="K34" s="2"/>
      <x:c r="L34" s="2"/>
    </x:row>
    <x:row r="35" ht="22" customHeight="1">
      <x:c r="A35" s="2" t="str">
        <x:v>Active</x:v>
      </x:c>
      <x:c r="B35" s="2" t="n">
        <x:f>IF($B$5="Baseline",B36,B37)</x:f>
        <x:v>30</x:v>
      </x:c>
      <x:c r="C35" s="2" t="n">
        <x:f>IF($B$5="Baseline",C36,C37)</x:f>
        <x:v>25</x:v>
      </x:c>
      <x:c r="D35" s="2" t="n">
        <x:f>IF($B$5="Baseline",D36,D37)</x:f>
        <x:v>25</x:v>
      </x:c>
      <x:c r="E35" s="2" t="n">
        <x:f>IF($B$5="Baseline",E36,E37)</x:f>
        <x:v>5</x:v>
      </x:c>
      <x:c r="F35" s="2"/>
      <x:c r="G35" s="2"/>
      <x:c r="H35" s="2"/>
      <x:c r="I35" s="2"/>
      <x:c r="J35" s="2"/>
      <x:c r="K35" s="2"/>
      <x:c r="L35" s="2"/>
    </x:row>
    <x:row r="36" ht="22" customHeight="1">
      <x:c r="A36" s="2" t="str">
        <x:v>Baseline</x:v>
      </x:c>
      <x:c r="B36" s="2" t="n">
        <x:v>30</x:v>
      </x:c>
      <x:c r="C36" s="2" t="n">
        <x:v>25</x:v>
      </x:c>
      <x:c r="D36" s="2" t="n">
        <x:v>25</x:v>
      </x:c>
      <x:c r="E36" s="2" t="n">
        <x:v>5</x:v>
      </x:c>
      <x:c r="F36" s="2"/>
      <x:c r="G36" s="2"/>
      <x:c r="H36" s="2"/>
      <x:c r="I36" s="2"/>
      <x:c r="J36" s="2"/>
      <x:c r="K36" s="2"/>
      <x:c r="L36" s="2"/>
    </x:row>
    <x:row r="37" ht="22" customHeight="1">
      <x:c r="A37" s="2" t="str">
        <x:v>Custom</x:v>
      </x:c>
      <x:c r="B37" s="17" t="n">
        <x:v>30</x:v>
      </x:c>
      <x:c r="C37" s="17" t="n">
        <x:v>25</x:v>
      </x:c>
      <x:c r="D37" s="17" t="n">
        <x:v>25</x:v>
      </x:c>
      <x:c r="E37" s="17" t="n">
        <x:v>5</x:v>
      </x:c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 t="str">
        <x:v>Set Already served to Yes at the indicated Staff Review row. The next candidate replaces it automatically. No means unchecked.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 t="str">
        <x:v>Refresh status</x:v>
      </x:c>
      <x:c r="B41" s="2" t="str">
        <x:v>Snapshot 2026-10-09. Install the supplied Windows refresh setup once, then use Data &gt; Refresh All.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22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2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2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2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22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22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2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22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2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2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2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22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22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22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 ht="22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 ht="22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 ht="22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 ht="2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 ht="2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 ht="22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 ht="22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 ht="22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 ht="22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 ht="22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 ht="22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 ht="22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 ht="22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 ht="22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 ht="22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 ht="22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 ht="22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 ht="22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 ht="22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 ht="22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  <x:row r="181" ht="22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 ht="22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 ht="22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 ht="22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 ht="22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  <x:row r="186" ht="22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</x:row>
    <x:row r="187" ht="22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</x:row>
    <x:row r="188" ht="22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</x:row>
    <x:row r="189" ht="22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</x:row>
    <x:row r="190" ht="22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</x:row>
    <x:row r="191" ht="22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</x:row>
    <x:row r="192" ht="22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</x:row>
    <x:row r="193" ht="22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</x:row>
    <x:row r="194" ht="22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</x:row>
    <x:row r="195" ht="22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</x:row>
    <x:row r="196" ht="22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</x:row>
    <x:row r="197" ht="22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</x:row>
    <x:row r="198" ht="22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</x:row>
    <x:row r="199" ht="22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</x:row>
    <x:row r="200" ht="22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</x:row>
    <x:row r="201" ht="22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</x:row>
    <x:row r="202" ht="22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</x:row>
    <x:row r="203" ht="22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</x:row>
    <x:row r="204" ht="22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</x:row>
    <x:row r="205" ht="22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</x:row>
    <x:row r="206" ht="22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</x:row>
    <x:row r="207" ht="22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</x:row>
    <x:row r="208" ht="22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</x:row>
    <x:row r="209" ht="22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</x:row>
    <x:row r="210" ht="22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</x:row>
    <x:row r="211" ht="22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</x:row>
    <x:row r="212" ht="22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</x:row>
    <x:row r="213" ht="22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</x:row>
    <x:row r="214" ht="22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</x:row>
    <x:row r="215" ht="22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</x:row>
    <x:row r="216" ht="22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</x:row>
    <x:row r="217" ht="22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</x:row>
    <x:row r="218" ht="22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</x:row>
    <x:row r="219" ht="22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</x:row>
    <x:row r="220" ht="22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</x:row>
    <x:row r="221" ht="22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</x:row>
    <x:row r="222" ht="22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</x:row>
    <x:row r="223" ht="22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</x:row>
    <x:row r="224" ht="22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</x:row>
    <x:row r="225" ht="22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</x:row>
    <x:row r="226" ht="22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</x:row>
    <x:row r="227" ht="22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</x:row>
    <x:row r="228" ht="22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</x:row>
    <x:row r="229" ht="22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</x:row>
    <x:row r="230" ht="22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</x:row>
    <x:row r="231" ht="22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</x:row>
    <x:row r="232" ht="22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</x:row>
    <x:row r="233" ht="22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</x:row>
    <x:row r="234" ht="22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</x:row>
    <x:row r="235" ht="22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</x:row>
    <x:row r="236" ht="22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</x:row>
    <x:row r="237" ht="22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</x:row>
    <x:row r="238" ht="22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</x:row>
    <x:row r="239" ht="22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</x:row>
    <x:row r="240" ht="22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</x:row>
    <x:row r="241" ht="22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</x:row>
    <x:row r="242" ht="22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</x:row>
    <x:row r="243" ht="22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</x:row>
    <x:row r="244" ht="22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2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2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  <x:row r="247" ht="22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</x:row>
    <x:row r="248" ht="22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</x:row>
    <x:row r="249" ht="22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</x:row>
    <x:row r="250" ht="22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</x:row>
    <x:row r="251" ht="22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 ht="22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2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2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  <x:row r="255" ht="22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</x:row>
    <x:row r="256" ht="22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</x:row>
    <x:row r="257" ht="22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</x:row>
    <x:row r="258" ht="22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</x:row>
    <x:row r="259" ht="22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</x:row>
    <x:row r="260" ht="22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</x:row>
    <x:row r="261" ht="22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</x:row>
    <x:row r="262" ht="22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</x:row>
    <x:row r="263" ht="22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</x:row>
    <x:row r="264" ht="22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</x:row>
    <x:row r="265" ht="22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</x:row>
    <x:row r="266" ht="22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</x:row>
    <x:row r="267" ht="22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</x:row>
    <x:row r="268" ht="22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</x:row>
    <x:row r="269" ht="22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</x:row>
    <x:row r="270" ht="22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</x:row>
    <x:row r="271" ht="22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</x:row>
    <x:row r="272" ht="22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</x:row>
    <x:row r="273" ht="22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</x:row>
    <x:row r="274" ht="22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</x:row>
    <x:row r="275" ht="22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</x:row>
    <x:row r="276" ht="22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</x:row>
    <x:row r="277" ht="22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</x:row>
    <x:row r="278" ht="22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</x:row>
    <x:row r="279" ht="22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</x:row>
    <x:row r="280" ht="22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</x:row>
    <x:row r="281" ht="22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</x:row>
    <x:row r="282" ht="22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</x:row>
    <x:row r="283" ht="22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</x:row>
    <x:row r="284" ht="22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</x:row>
    <x:row r="285" ht="22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</x:row>
    <x:row r="286" ht="22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</x:row>
    <x:row r="287" ht="22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</x:row>
    <x:row r="288" ht="22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</x:row>
    <x:row r="289" ht="22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</x:row>
    <x:row r="290" ht="22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</x:row>
    <x:row r="291" ht="22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</x:row>
    <x:row r="292" ht="22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</x:row>
    <x:row r="293" ht="22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</x:row>
    <x:row r="294" ht="22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</x:row>
    <x:row r="295" ht="22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</x:row>
    <x:row r="296" ht="22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</x:row>
    <x:row r="297" ht="22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</x:row>
    <x:row r="298" ht="22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</x:row>
    <x:row r="299" ht="22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</x:row>
    <x:row r="300" ht="22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</x:row>
    <x:row r="301" ht="22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</x:row>
    <x:row r="302" ht="22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</x:row>
    <x:row r="303" ht="22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</x:row>
    <x:row r="304" ht="22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</x:row>
    <x:row r="305" ht="22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</x:row>
    <x:row r="306" ht="22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</x:row>
    <x:row r="307" ht="22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</x:row>
    <x:row r="308" ht="22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</x:row>
    <x:row r="309" ht="22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</x:row>
    <x:row r="310" ht="22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</x:row>
    <x:row r="311" ht="22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</x:row>
    <x:row r="312" ht="22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</x:row>
    <x:row r="313" ht="22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</x:row>
    <x:row r="314" ht="22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</x:row>
    <x:row r="315" ht="22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</x:row>
    <x:row r="316" ht="22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</x:row>
    <x:row r="317" ht="22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</x:row>
    <x:row r="318" ht="22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</x:row>
    <x:row r="319" ht="22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</x:row>
    <x:row r="320" ht="22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</x:row>
    <x:row r="321" ht="22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</x:row>
    <x:row r="322" ht="22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</x:row>
    <x:row r="323" ht="22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</x:row>
    <x:row r="324" ht="22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</x:row>
    <x:row r="325" ht="22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</x:row>
    <x:row r="326" ht="22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</x:row>
    <x:row r="327" ht="22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</x:row>
    <x:row r="328" ht="22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</x:row>
    <x:row r="329" ht="22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</x:row>
    <x:row r="330" ht="22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</x:row>
    <x:row r="331" ht="22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</x:row>
    <x:row r="332" ht="22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</x:row>
    <x:row r="333" ht="22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</x:row>
    <x:row r="334" ht="22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</x:row>
    <x:row r="335" ht="22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</x:row>
    <x:row r="336" ht="22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</x:row>
    <x:row r="337" ht="22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</x:row>
    <x:row r="338" ht="22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</x:row>
    <x:row r="339" ht="22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</x:row>
    <x:row r="340" ht="22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</x:row>
    <x:row r="341" ht="22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</x:row>
    <x:row r="342" ht="22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</x:row>
    <x:row r="343" ht="22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</x:row>
    <x:row r="344" ht="22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</x:row>
    <x:row r="345" ht="22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</x:row>
    <x:row r="346" ht="22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</x:row>
    <x:row r="347" ht="22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</x:row>
    <x:row r="348" ht="22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</x:row>
    <x:row r="349" ht="22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</x:row>
    <x:row r="350" ht="22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</x:row>
    <x:row r="351" ht="22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</x:row>
    <x:row r="352" ht="22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</x:row>
    <x:row r="353" ht="22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</x:row>
    <x:row r="354" ht="22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</x:row>
    <x:row r="355" ht="22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</x:row>
    <x:row r="356" ht="22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</x:row>
    <x:row r="357" ht="22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</x:row>
    <x:row r="358" ht="22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</x:row>
    <x:row r="359" ht="22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</x:row>
    <x:row r="360" ht="22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</x:row>
    <x:row r="361" ht="22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</x:row>
    <x:row r="362" ht="22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</x:row>
    <x:row r="363" ht="22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</x:row>
    <x:row r="364" ht="22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</x:row>
    <x:row r="365" ht="22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</x:row>
    <x:row r="366" ht="22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</x:row>
    <x:row r="367" ht="22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</x:row>
    <x:row r="368" ht="22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</x:row>
    <x:row r="369" ht="22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</x:row>
    <x:row r="370" ht="22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</x:row>
    <x:row r="371" ht="22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</x:row>
    <x:row r="372" ht="22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</x:row>
    <x:row r="373" ht="22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</x:row>
    <x:row r="374" ht="22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</x:row>
    <x:row r="375" ht="22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</x:row>
    <x:row r="376" ht="22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</x:row>
    <x:row r="377" ht="22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</x:row>
    <x:row r="378" ht="22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</x:row>
    <x:row r="379" ht="22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</x:row>
    <x:row r="380" ht="22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</x:row>
    <x:row r="381" ht="22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</x:row>
    <x:row r="382" ht="22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</x:row>
    <x:row r="383" ht="22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</x:row>
    <x:row r="384" ht="22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</x:row>
    <x:row r="385" ht="22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</x:row>
    <x:row r="386" ht="22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</x:row>
    <x:row r="387" ht="22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</x:row>
    <x:row r="388" ht="22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</x:row>
    <x:row r="389" ht="22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  <x:row r="390" ht="22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</x:row>
    <x:row r="391" ht="22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</x:row>
    <x:row r="392" ht="22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</x:row>
    <x:row r="393" ht="22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</x:row>
    <x:row r="394" ht="22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</x:row>
    <x:row r="395" ht="22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</x:row>
    <x:row r="396" ht="22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</x:row>
    <x:row r="397" ht="22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</x:row>
    <x:row r="398" ht="22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</x:row>
    <x:row r="399" ht="22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</x:row>
    <x:row r="400" ht="22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</x:row>
    <x:row r="401" ht="22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</x:row>
    <x:row r="402" ht="22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</x:row>
    <x:row r="403" ht="22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</x:row>
    <x:row r="404" ht="22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</x:row>
    <x:row r="405" ht="22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</x:row>
    <x:row r="406" ht="22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</x:row>
    <x:row r="407" ht="22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</x:row>
    <x:row r="408" ht="22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</x:row>
    <x:row r="409" ht="22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</x:row>
    <x:row r="410" ht="22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</x:row>
    <x:row r="411" ht="22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</x:row>
    <x:row r="412" ht="22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</x:row>
    <x:row r="413" ht="22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</x:row>
    <x:row r="414" ht="22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</x:row>
    <x:row r="415" ht="22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</x:row>
    <x:row r="416" ht="22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</x:row>
    <x:row r="417" ht="22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</x:row>
    <x:row r="418" ht="22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</x:row>
    <x:row r="419" ht="22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</x:row>
    <x:row r="420" ht="22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</x:row>
    <x:row r="421" ht="22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</x:row>
    <x:row r="422" ht="22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</x:row>
    <x:row r="423" ht="22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</x:row>
    <x:row r="424" ht="22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</x:row>
    <x:row r="425" ht="22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</x:row>
    <x:row r="426" ht="22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</x:row>
    <x:row r="427" ht="22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</x:row>
    <x:row r="428" ht="22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</x:row>
    <x:row r="429" ht="22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</x:row>
    <x:row r="430" ht="22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</x:row>
    <x:row r="431" ht="22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</x:row>
    <x:row r="432" ht="22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</x:row>
    <x:row r="433" ht="22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</x:row>
    <x:row r="434" ht="22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</x:row>
    <x:row r="435" ht="22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</x:row>
    <x:row r="436" ht="22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</x:row>
    <x:row r="437" ht="22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</x:row>
    <x:row r="438" ht="22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</x:row>
    <x:row r="439" ht="22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</x:row>
    <x:row r="440" ht="22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</x:row>
    <x:row r="441" ht="22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</x:row>
    <x:row r="442" ht="22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</x:row>
    <x:row r="443" ht="22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</x:row>
    <x:row r="444" ht="22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</x:row>
    <x:row r="445" ht="22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</x:row>
    <x:row r="446" ht="22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</x:row>
    <x:row r="447" ht="22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</x:row>
    <x:row r="448" ht="22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</x:row>
    <x:row r="449" ht="22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</x:row>
    <x:row r="450" ht="22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</x:row>
    <x:row r="451" ht="22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</x:row>
    <x:row r="452" ht="22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</x:row>
    <x:row r="453" ht="22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</x:row>
    <x:row r="454" ht="22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</x:row>
    <x:row r="455" ht="22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</x:row>
    <x:row r="456" ht="22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</x:row>
    <x:row r="457" ht="22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</x:row>
    <x:row r="458" ht="22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</x:row>
    <x:row r="459" ht="22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</x:row>
    <x:row r="460" ht="22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</x:row>
    <x:row r="461" ht="22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</x:row>
    <x:row r="462" ht="22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</x:row>
    <x:row r="463" ht="22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</x:row>
    <x:row r="464" ht="22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</x:row>
    <x:row r="465" ht="22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</x:row>
    <x:row r="466" ht="22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</x:row>
    <x:row r="467" ht="22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</x:row>
    <x:row r="468" ht="22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</x:row>
    <x:row r="469" ht="22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</x:row>
    <x:row r="470" ht="22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</x:row>
    <x:row r="471" ht="22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</x:row>
    <x:row r="472" ht="22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</x:row>
    <x:row r="473" ht="22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</x:row>
    <x:row r="474" ht="22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</x:row>
    <x:row r="475" ht="22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</x:row>
    <x:row r="476" ht="22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</x:row>
    <x:row r="477" ht="22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</x:row>
    <x:row r="478" ht="22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</x:row>
    <x:row r="479" ht="22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</x:row>
    <x:row r="480" ht="22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</x:row>
    <x:row r="481" ht="22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</x:row>
    <x:row r="482" ht="22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</x:row>
    <x:row r="483" ht="22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</x:row>
    <x:row r="484" ht="22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</x:row>
    <x:row r="485" ht="22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</x:row>
    <x:row r="486" ht="22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</x:row>
    <x:row r="487" ht="22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</x:row>
    <x:row r="488" ht="22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</x:row>
    <x:row r="489" ht="22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</x:row>
    <x:row r="490" ht="22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</x:row>
    <x:row r="491" ht="22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</x:row>
    <x:row r="492" ht="22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</x:row>
    <x:row r="493" ht="22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</x:row>
    <x:row r="494" ht="22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</x:row>
    <x:row r="495" ht="22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</x:row>
    <x:row r="496" ht="22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</x:row>
    <x:row r="497" ht="22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</x:row>
    <x:row r="498" ht="22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</x:row>
    <x:row r="499" ht="22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</x:row>
    <x:row r="500" ht="22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</x:row>
    <x:row r="501" ht="22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</x:row>
    <x:row r="502" ht="22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</x:row>
    <x:row r="503" ht="22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</x:row>
    <x:row r="504" ht="22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</x:row>
    <x:row r="505" ht="22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</x:row>
    <x:row r="506" ht="22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</x:row>
    <x:row r="507" ht="22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</x:row>
    <x:row r="508" ht="22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</x:row>
    <x:row r="509" ht="22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</x:row>
    <x:row r="510" ht="22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</x:row>
    <x:row r="511" ht="22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</x:row>
    <x:row r="512" ht="22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</x:row>
    <x:row r="513" ht="22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</x:row>
    <x:row r="514" ht="22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</x:row>
    <x:row r="515" ht="22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</x:row>
    <x:row r="516" ht="22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</x:row>
    <x:row r="517" ht="22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</x:row>
    <x:row r="518" ht="22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</x:row>
    <x:row r="519" ht="22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</x:row>
    <x:row r="520" ht="22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</x:row>
    <x:row r="521" ht="22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</x:row>
    <x:row r="522" ht="22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</x:row>
    <x:row r="523" ht="22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</x:row>
    <x:row r="524" ht="22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</x:row>
    <x:row r="525" ht="22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</x:row>
    <x:row r="526" ht="22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</x:row>
    <x:row r="527" ht="22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</x:row>
    <x:row r="528" ht="22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</x:row>
    <x:row r="529" ht="22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</x:row>
    <x:row r="530" ht="22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</x:row>
    <x:row r="531" ht="22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</x:row>
    <x:row r="532" ht="22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</x:row>
    <x:row r="533" ht="22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</x:row>
    <x:row r="534" ht="22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</x:row>
    <x:row r="535" ht="22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</x:row>
    <x:row r="536" ht="22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</x:row>
    <x:row r="537" ht="22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</x:row>
    <x:row r="538" ht="22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</x:row>
    <x:row r="539" ht="22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</x:row>
    <x:row r="540" ht="22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</x:row>
    <x:row r="541" ht="22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</x:row>
    <x:row r="542" ht="22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</x:row>
    <x:row r="543" ht="22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</x:row>
    <x:row r="544" ht="22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</x:row>
    <x:row r="545" ht="22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</x:row>
    <x:row r="546" ht="22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</x:row>
    <x:row r="547" ht="22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</x:row>
    <x:row r="548" ht="22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</x:row>
    <x:row r="549" ht="22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</x:row>
    <x:row r="550" ht="22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</x:row>
  </x:sheetData>
  <x:conditionalFormatting sqref="A13:K27">
    <x:cfRule type="expression" dxfId="0" priority="1">
      <x:formula>MOD(ROW(),2)=0</x:formula>
    </x:cfRule>
  </x:conditionalFormatting>
  <x:dataValidations count="2">
    <x:dataValidation type="list" sqref="B5">
      <x:formula1>"Baseline,Custom"</x:formula1>
    </x:dataValidation>
    <x:dataValidation type="decimal" operator="between" sqref="B37:E37">
      <x:formula1>0</x:formula1>
      <x:formula2>100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23E5A"/>
  </x:sheetPr>
  <x:sheetViews>
    <x:sheetView showGridLines="0" workbookViewId="0"/>
  </x:sheetViews>
  <x:sheetFormatPr defaultRowHeight="15"/>
  <x:cols>
    <x:col min="1" max="1" width="9" hidden="0" customWidth="1"/>
    <x:col min="2" max="2" width="39" hidden="0" customWidth="1"/>
    <x:col min="3" max="3" width="12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20" hidden="0" customWidth="1"/>
    <x:col min="9" max="9" width="20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School search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Search a name, ZIP or ID. Results update when you press Enter. Top 15 remains independent of these filters.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 t="str">
        <x:v>Search name / ZIP / ID</x:v>
      </x:c>
      <x:c r="B4" s="2"/>
      <x:c r="C4" s="2"/>
      <x:c r="D4" s="2" t="str">
        <x:v>School type</x:v>
      </x:c>
      <x:c r="E4" s="2"/>
      <x:c r="F4" s="2"/>
      <x:c r="G4" s="2" t="str">
        <x:v>Results</x:v>
      </x:c>
      <x:c r="H4" s="2"/>
      <x:c r="I4" s="2"/>
      <x:c r="J4" s="2" t="str">
        <x:v>Page</x:v>
      </x:c>
      <x:c r="K4" s="2"/>
      <x:c r="L4" s="2"/>
    </x:row>
    <x:row r="5" ht="22" customHeight="1">
      <x:c r="A5" s="2"/>
      <x:c r="B5" s="17" t="str"/>
      <x:c r="C5" s="2"/>
      <x:c r="D5" s="17" t="str">
        <x:v>All</x:v>
      </x:c>
      <x:c r="E5" s="2"/>
      <x:c r="F5" s="2"/>
      <x:c r="G5" s="25" t="str">
        <x:v>Not marked served</x:v>
      </x:c>
      <x:c r="H5" s="25"/>
      <x:c r="I5" s="2"/>
      <x:c r="J5" s="17" t="n">
        <x:v>1</x:v>
      </x:c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 t="str">
        <x:f>SUM(Data!$Y$2051:$Y$2550)&amp;" matches. Page "&amp;J5&amp;" of "&amp;MAX(1,ROUNDUP(SUM(Data!$Y$2051:$Y$2550)/20,0))</x:f>
        <x:v>305 matches. Page 1 of 16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2" customHeight="1">
      <x:c r="A8" s="2" t="str">
        <x:v>Listed food access is provisional. Blank scores identify missing source data. Open School Profile for the evidence.</x:v>
      </x:c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</x:row>
    <x:row r="9" ht="22" customHeight="1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</x:row>
    <x:row r="10" ht="34" customHeight="1">
      <x:c r="A10" s="12" t="str">
        <x:v>Need rank</x:v>
      </x:c>
      <x:c r="B10" s="12" t="str">
        <x:v>School</x:v>
      </x:c>
      <x:c r="C10" s="12" t="str">
        <x:v>Type</x:v>
      </x:c>
      <x:c r="D10" s="12" t="str">
        <x:v>Economic %</x:v>
      </x:c>
      <x:c r="E10" s="12" t="str">
        <x:v>Enrollment</x:v>
      </x:c>
      <x:c r="F10" s="12" t="str">
        <x:v>Score /85</x:v>
      </x:c>
      <x:c r="G10" s="12" t="str">
        <x:v>Already served</x:v>
      </x:c>
      <x:c r="H10" s="12" t="str">
        <x:v>Food evidence</x:v>
      </x:c>
      <x:c r="I10" s="12" t="str">
        <x:v>Status</x:v>
      </x:c>
      <x:c r="J10" s="12" t="str">
        <x:v>School ID</x:v>
      </x:c>
      <x:c r="K10" s="12" t="str">
        <x:v>Review row</x:v>
      </x:c>
      <x:c r="L10" s="2"/>
    </x:row>
    <x:row r="11" ht="34" customHeight="1">
      <x:c r="A11" s="2" t="n">
        <x:f>IF($M11=0,"",IF(ISNUMBER(INDEX(Data!$X$2051:$X$2550,$M11)),INDEX(Data!$X$2051:$X$2550,$M11),""))</x:f>
        <x:v>1</x:v>
      </x:c>
      <x:c r="B11" s="20" t="str">
        <x:f>IF($M11=0,"",INDEX(Data!$B$2051:$B$2550,$M11))</x:f>
        <x:v>Tacony Academy Charter School</x:v>
      </x:c>
      <x:c r="C11" s="2" t="str">
        <x:f>IF($M11=0,"",INDEX(Data!$C$2051:$C$2550,$M11))</x:f>
        <x:v>Charter</x:v>
      </x:c>
      <x:c r="D11" s="15" t="n">
        <x:f>IF($M11=0,"",IF(ISNUMBER(INDEX(Data!$G$2051:$G$2550,$M11)),INDEX(Data!$G$2051:$G$2550,$M11),""))</x:f>
        <x:v>0.7204</x:v>
      </x:c>
      <x:c r="E11" s="21" t="n">
        <x:f>IF($M11=0,"",IF(ISNUMBER(INDEX(Data!$F$2051:$F$2550,$M11)),INDEX(Data!$F$2051:$F$2550,$M11),""))</x:f>
        <x:v>1090</x:v>
      </x:c>
      <x:c r="F11" s="23" t="n">
        <x:f>IF($M11=0,"",IF(ISNUMBER(INDEX(Data!$T$2051:$T$2550,$M11)),INDEX(Data!$T$2051:$T$2550,$M11),""))</x:f>
        <x:v>70</x:v>
      </x:c>
      <x:c r="G11" s="2" t="str">
        <x:f>IF($M11=0,"",INDEX(Data!$J$2051:$J$2550,$M11))</x:f>
        <x:v>No</x:v>
      </x:c>
      <x:c r="H11" s="2" t="str">
        <x:f>IF($M11=0,"",INDEX(Data!$U$2051:$U$2550,$M11))</x:f>
        <x:v>Listed</x:v>
      </x:c>
      <x:c r="I11" s="2" t="str">
        <x:f>IF($M11=0,"",INDEX(Data!$V$2051:$V$2550,$M11))</x:f>
        <x:v>Candidate</x:v>
      </x:c>
      <x:c r="J11" s="2" t="n">
        <x:f>IF($M11=0,"",INDEX(Data!$A$2051:$A$2550,$M11))</x:f>
        <x:v>3404</x:v>
      </x:c>
      <x:c r="K11" s="24" t="str">
        <x:f>IF($M11=0,"",IF(INDEX(Data!$I$2051:$I$2550,$M11)=0,"Add ID","Row "&amp;(INDEX(Data!$I$2051:$I$2550,$M11)+7)))</x:f>
        <x:v>Row 287</x:v>
      </x:c>
      <x:c r="L11" s="2"/>
      <x:c r="M11" t="n">
        <x:f>IF(COUNTIFS(Data!$Z$2051:$Z$2550,($J$5-1)*20+1)=1,MATCH(($J$5-1)*20+1,Data!$Z$2051:$Z$2550,0),0)</x:f>
        <x:v>126</x:v>
      </x:c>
    </x:row>
    <x:row r="12" ht="34" customHeight="1">
      <x:c r="A12" s="2" t="n">
        <x:f>IF($M12=0,"",IF(ISNUMBER(INDEX(Data!$X$2051:$X$2550,$M12)),INDEX(Data!$X$2051:$X$2550,$M12),""))</x:f>
        <x:v>2</x:v>
      </x:c>
      <x:c r="B12" s="20" t="str">
        <x:f>IF($M12=0,"",INDEX(Data!$B$2051:$B$2550,$M12))</x:f>
        <x:v>Joseph H. Brown School</x:v>
      </x:c>
      <x:c r="C12" s="2" t="str">
        <x:f>IF($M12=0,"",INDEX(Data!$C$2051:$C$2550,$M12))</x:f>
        <x:v>District</x:v>
      </x:c>
      <x:c r="D12" s="15" t="n">
        <x:f>IF($M12=0,"",IF(ISNUMBER(INDEX(Data!$G$2051:$G$2550,$M12)),INDEX(Data!$G$2051:$G$2550,$M12),""))</x:f>
        <x:v>0.8056</x:v>
      </x:c>
      <x:c r="E12" s="21" t="n">
        <x:f>IF($M12=0,"",IF(ISNUMBER(INDEX(Data!$F$2051:$F$2550,$M12)),INDEX(Data!$F$2051:$F$2550,$M12),""))</x:f>
        <x:v>427</x:v>
      </x:c>
      <x:c r="F12" s="23" t="n">
        <x:f>IF($M12=0,"",IF(ISNUMBER(INDEX(Data!$T$2051:$T$2550,$M12)),INDEX(Data!$T$2051:$T$2550,$M12),""))</x:f>
        <x:v>68</x:v>
      </x:c>
      <x:c r="G12" s="2" t="str">
        <x:f>IF($M12=0,"",INDEX(Data!$J$2051:$J$2550,$M12))</x:f>
        <x:v>No</x:v>
      </x:c>
      <x:c r="H12" s="2" t="str">
        <x:f>IF($M12=0,"",INDEX(Data!$U$2051:$U$2550,$M12))</x:f>
        <x:v>Listed</x:v>
      </x:c>
      <x:c r="I12" s="2" t="str">
        <x:f>IF($M12=0,"",INDEX(Data!$V$2051:$V$2550,$M12))</x:f>
        <x:v>Candidate</x:v>
      </x:c>
      <x:c r="J12" s="2" t="n">
        <x:f>IF($M12=0,"",INDEX(Data!$A$2051:$A$2550,$M12))</x:f>
        <x:v>8210</x:v>
      </x:c>
      <x:c r="K12" s="24" t="str">
        <x:f>IF($M12=0,"",IF(INDEX(Data!$I$2051:$I$2550,$M12)=0,"Add ID","Row "&amp;(INDEX(Data!$I$2051:$I$2550,$M12)+7)))</x:f>
        <x:v>Row 154</x:v>
      </x:c>
      <x:c r="L12" s="2"/>
      <x:c r="M12" t="n">
        <x:f>IF(COUNTIFS(Data!$Z$2051:$Z$2550,($J$5-1)*20+2)=1,MATCH(($J$5-1)*20+2,Data!$Z$2051:$Z$2550,0),0)</x:f>
        <x:v>299</x:v>
      </x:c>
    </x:row>
    <x:row r="13" ht="34" customHeight="1">
      <x:c r="A13" s="2" t="n">
        <x:f>IF($M13=0,"",IF(ISNUMBER(INDEX(Data!$X$2051:$X$2550,$M13)),INDEX(Data!$X$2051:$X$2550,$M13),""))</x:f>
        <x:v>3</x:v>
      </x:c>
      <x:c r="B13" s="20" t="str">
        <x:f>IF($M13=0,"",INDEX(Data!$B$2051:$B$2550,$M13))</x:f>
        <x:v>New Foundations Charter School</x:v>
      </x:c>
      <x:c r="C13" s="2" t="str">
        <x:f>IF($M13=0,"",INDEX(Data!$C$2051:$C$2550,$M13))</x:f>
        <x:v>Charter</x:v>
      </x:c>
      <x:c r="D13" s="15" t="n">
        <x:f>IF($M13=0,"",IF(ISNUMBER(INDEX(Data!$G$2051:$G$2550,$M13)),INDEX(Data!$G$2051:$G$2550,$M13),""))</x:f>
        <x:v>0.7084</x:v>
      </x:c>
      <x:c r="E13" s="21" t="n">
        <x:f>IF($M13=0,"",IF(ISNUMBER(INDEX(Data!$F$2051:$F$2550,$M13)),INDEX(Data!$F$2051:$F$2550,$M13),""))</x:f>
        <x:v>1538</x:v>
      </x:c>
      <x:c r="F13" s="23" t="n">
        <x:f>IF($M13=0,"",IF(ISNUMBER(INDEX(Data!$T$2051:$T$2550,$M13)),INDEX(Data!$T$2051:$T$2550,$M13),""))</x:f>
        <x:v>65</x:v>
      </x:c>
      <x:c r="G13" s="2" t="str">
        <x:f>IF($M13=0,"",INDEX(Data!$J$2051:$J$2550,$M13))</x:f>
        <x:v>No</x:v>
      </x:c>
      <x:c r="H13" s="2" t="str">
        <x:f>IF($M13=0,"",INDEX(Data!$U$2051:$U$2550,$M13))</x:f>
        <x:v>Listed</x:v>
      </x:c>
      <x:c r="I13" s="2" t="str">
        <x:f>IF($M13=0,"",INDEX(Data!$V$2051:$V$2550,$M13))</x:f>
        <x:v>Candidate</x:v>
      </x:c>
      <x:c r="J13" s="2" t="n">
        <x:f>IF($M13=0,"",INDEX(Data!$A$2051:$A$2550,$M13))</x:f>
        <x:v>3334</x:v>
      </x:c>
      <x:c r="K13" s="24" t="str">
        <x:f>IF($M13=0,"",IF(INDEX(Data!$I$2051:$I$2550,$M13)=0,"Add ID","Row "&amp;(INDEX(Data!$I$2051:$I$2550,$M13)+7)))</x:f>
        <x:v>Row 211</x:v>
      </x:c>
      <x:c r="L13" s="2"/>
      <x:c r="M13" t="n">
        <x:f>IF(COUNTIFS(Data!$Z$2051:$Z$2550,($J$5-1)*20+3)=1,MATCH(($J$5-1)*20+3,Data!$Z$2051:$Z$2550,0),0)</x:f>
        <x:v>94</x:v>
      </x:c>
    </x:row>
    <x:row r="14" ht="34" customHeight="1">
      <x:c r="A14" s="2" t="n">
        <x:f>IF($M14=0,"",IF(ISNUMBER(INDEX(Data!$X$2051:$X$2550,$M14)),INDEX(Data!$X$2051:$X$2550,$M14),""))</x:f>
        <x:v>4</x:v>
      </x:c>
      <x:c r="B14" s="20" t="str">
        <x:f>IF($M14=0,"",INDEX(Data!$B$2051:$B$2550,$M14))</x:f>
        <x:v>Southwest Leadership Academy Charter School</x:v>
      </x:c>
      <x:c r="C14" s="2" t="str">
        <x:f>IF($M14=0,"",INDEX(Data!$C$2051:$C$2550,$M14))</x:f>
        <x:v>Charter</x:v>
      </x:c>
      <x:c r="D14" s="15" t="n">
        <x:f>IF($M14=0,"",IF(ISNUMBER(INDEX(Data!$G$2051:$G$2550,$M14)),INDEX(Data!$G$2051:$G$2550,$M14),""))</x:f>
        <x:v>1</x:v>
      </x:c>
      <x:c r="E14" s="21" t="n">
        <x:f>IF($M14=0,"",IF(ISNUMBER(INDEX(Data!$F$2051:$F$2550,$M14)),INDEX(Data!$F$2051:$F$2550,$M14),""))</x:f>
        <x:v>690</x:v>
      </x:c>
      <x:c r="F14" s="23" t="n">
        <x:f>IF($M14=0,"",IF(ISNUMBER(INDEX(Data!$T$2051:$T$2550,$M14)),INDEX(Data!$T$2051:$T$2550,$M14),""))</x:f>
        <x:v>64</x:v>
      </x:c>
      <x:c r="G14" s="2" t="str">
        <x:f>IF($M14=0,"",INDEX(Data!$J$2051:$J$2550,$M14))</x:f>
        <x:v>No</x:v>
      </x:c>
      <x:c r="H14" s="2" t="str">
        <x:f>IF($M14=0,"",INDEX(Data!$U$2051:$U$2550,$M14))</x:f>
        <x:v>Listed</x:v>
      </x:c>
      <x:c r="I14" s="2" t="str">
        <x:f>IF($M14=0,"",INDEX(Data!$V$2051:$V$2550,$M14))</x:f>
        <x:v>Candidate</x:v>
      </x:c>
      <x:c r="J14" s="2" t="n">
        <x:f>IF($M14=0,"",INDEX(Data!$A$2051:$A$2550,$M14))</x:f>
        <x:v>3392</x:v>
      </x:c>
      <x:c r="K14" s="24" t="str">
        <x:f>IF($M14=0,"",IF(INDEX(Data!$I$2051:$I$2550,$M14)=0,"Add ID","Row "&amp;(INDEX(Data!$I$2051:$I$2550,$M14)+7)))</x:f>
        <x:v>Row 280</x:v>
      </x:c>
      <x:c r="L14" s="2"/>
      <x:c r="M14" t="n">
        <x:f>IF(COUNTIFS(Data!$Z$2051:$Z$2550,($J$5-1)*20+4)=1,MATCH(($J$5-1)*20+4,Data!$Z$2051:$Z$2550,0),0)</x:f>
        <x:v>120</x:v>
      </x:c>
    </x:row>
    <x:row r="15" ht="34" customHeight="1">
      <x:c r="A15" s="2" t="n">
        <x:f>IF($M15=0,"",IF(ISNUMBER(INDEX(Data!$X$2051:$X$2550,$M15)),INDEX(Data!$X$2051:$X$2550,$M15),""))</x:f>
        <x:v>4</x:v>
      </x:c>
      <x:c r="B15" s="20" t="str">
        <x:f>IF($M15=0,"",INDEX(Data!$B$2051:$B$2550,$M15))</x:f>
        <x:v>Ad Prima Charter School</x:v>
      </x:c>
      <x:c r="C15" s="2" t="str">
        <x:f>IF($M15=0,"",INDEX(Data!$C$2051:$C$2550,$M15))</x:f>
        <x:v>Charter</x:v>
      </x:c>
      <x:c r="D15" s="15" t="n">
        <x:f>IF($M15=0,"",IF(ISNUMBER(INDEX(Data!$G$2051:$G$2550,$M15)),INDEX(Data!$G$2051:$G$2550,$M15),""))</x:f>
        <x:v>0.9274</x:v>
      </x:c>
      <x:c r="E15" s="21" t="n">
        <x:f>IF($M15=0,"",IF(ISNUMBER(INDEX(Data!$F$2051:$F$2550,$M15)),INDEX(Data!$F$2051:$F$2550,$M15),""))</x:f>
        <x:v>617</x:v>
      </x:c>
      <x:c r="F15" s="23" t="n">
        <x:f>IF($M15=0,"",IF(ISNUMBER(INDEX(Data!$T$2051:$T$2550,$M15)),INDEX(Data!$T$2051:$T$2550,$M15),""))</x:f>
        <x:v>64</x:v>
      </x:c>
      <x:c r="G15" s="2" t="str">
        <x:f>IF($M15=0,"",INDEX(Data!$J$2051:$J$2550,$M15))</x:f>
        <x:v>No</x:v>
      </x:c>
      <x:c r="H15" s="2" t="str">
        <x:f>IF($M15=0,"",INDEX(Data!$U$2051:$U$2550,$M15))</x:f>
        <x:v>Listed</x:v>
      </x:c>
      <x:c r="I15" s="2" t="str">
        <x:f>IF($M15=0,"",INDEX(Data!$V$2051:$V$2550,$M15))</x:f>
        <x:v>Candidate</x:v>
      </x:c>
      <x:c r="J15" s="2" t="n">
        <x:f>IF($M15=0,"",INDEX(Data!$A$2051:$A$2550,$M15))</x:f>
        <x:v>3379</x:v>
      </x:c>
      <x:c r="K15" s="24" t="str">
        <x:f>IF($M15=0,"",IF(INDEX(Data!$I$2051:$I$2550,$M15)=0,"Add ID","Row "&amp;(INDEX(Data!$I$2051:$I$2550,$M15)+7)))</x:f>
        <x:v>Row 15</x:v>
      </x:c>
      <x:c r="L15" s="2"/>
      <x:c r="M15" t="n">
        <x:f>IF(COUNTIFS(Data!$Z$2051:$Z$2550,($J$5-1)*20+5)=1,MATCH(($J$5-1)*20+5,Data!$Z$2051:$Z$2550,0),0)</x:f>
        <x:v>113</x:v>
      </x:c>
    </x:row>
    <x:row r="16" ht="34" customHeight="1">
      <x:c r="A16" s="2" t="n">
        <x:f>IF($M16=0,"",IF(ISNUMBER(INDEX(Data!$X$2051:$X$2550,$M16)),INDEX(Data!$X$2051:$X$2550,$M16),""))</x:f>
        <x:v>4</x:v>
      </x:c>
      <x:c r="B16" s="20" t="str">
        <x:f>IF($M16=0,"",INDEX(Data!$B$2051:$B$2550,$M16))</x:f>
        <x:v>Rhawnhurst School</x:v>
      </x:c>
      <x:c r="C16" s="2" t="str">
        <x:f>IF($M16=0,"",INDEX(Data!$C$2051:$C$2550,$M16))</x:f>
        <x:v>District</x:v>
      </x:c>
      <x:c r="D16" s="15" t="n">
        <x:f>IF($M16=0,"",IF(ISNUMBER(INDEX(Data!$G$2051:$G$2550,$M16)),INDEX(Data!$G$2051:$G$2550,$M16),""))</x:f>
        <x:v>0.7637</x:v>
      </x:c>
      <x:c r="E16" s="21" t="n">
        <x:f>IF($M16=0,"",IF(ISNUMBER(INDEX(Data!$F$2051:$F$2550,$M16)),INDEX(Data!$F$2051:$F$2550,$M16),""))</x:f>
        <x:v>584</x:v>
      </x:c>
      <x:c r="F16" s="23" t="n">
        <x:f>IF($M16=0,"",IF(ISNUMBER(INDEX(Data!$T$2051:$T$2550,$M16)),INDEX(Data!$T$2051:$T$2550,$M16),""))</x:f>
        <x:v>64</x:v>
      </x:c>
      <x:c r="G16" s="2" t="str">
        <x:f>IF($M16=0,"",INDEX(Data!$J$2051:$J$2550,$M16))</x:f>
        <x:v>No</x:v>
      </x:c>
      <x:c r="H16" s="2" t="str">
        <x:f>IF($M16=0,"",INDEX(Data!$U$2051:$U$2550,$M16))</x:f>
        <x:v>Listed</x:v>
      </x:c>
      <x:c r="I16" s="2" t="str">
        <x:f>IF($M16=0,"",INDEX(Data!$V$2051:$V$2550,$M16))</x:f>
        <x:v>Candidate</x:v>
      </x:c>
      <x:c r="J16" s="2" t="n">
        <x:f>IF($M16=0,"",INDEX(Data!$A$2051:$A$2550,$M16))</x:f>
        <x:v>8360</x:v>
      </x:c>
      <x:c r="K16" s="24" t="str">
        <x:f>IF($M16=0,"",IF(INDEX(Data!$I$2051:$I$2550,$M16)=0,"Add ID","Row "&amp;(INDEX(Data!$I$2051:$I$2550,$M16)+7)))</x:f>
        <x:v>Row 254</x:v>
      </x:c>
      <x:c r="L16" s="2"/>
      <x:c r="M16" t="n">
        <x:f>IF(COUNTIFS(Data!$Z$2051:$Z$2550,($J$5-1)*20+6)=1,MATCH(($J$5-1)*20+6,Data!$Z$2051:$Z$2550,0),0)</x:f>
        <x:v>309</x:v>
      </x:c>
    </x:row>
    <x:row r="17" ht="34" customHeight="1">
      <x:c r="A17" s="2" t="n">
        <x:f>IF($M17=0,"",IF(ISNUMBER(INDEX(Data!$X$2051:$X$2550,$M17)),INDEX(Data!$X$2051:$X$2550,$M17),""))</x:f>
        <x:v>7</x:v>
      </x:c>
      <x:c r="B17" s="20" t="str">
        <x:f>IF($M17=0,"",INDEX(Data!$B$2051:$B$2550,$M17))</x:f>
        <x:v>Penrose School</x:v>
      </x:c>
      <x:c r="C17" s="2" t="str">
        <x:f>IF($M17=0,"",INDEX(Data!$C$2051:$C$2550,$M17))</x:f>
        <x:v>District</x:v>
      </x:c>
      <x:c r="D17" s="15" t="n">
        <x:f>IF($M17=0,"",IF(ISNUMBER(INDEX(Data!$G$2051:$G$2550,$M17)),INDEX(Data!$G$2051:$G$2550,$M17),""))</x:f>
        <x:v>0.8372</x:v>
      </x:c>
      <x:c r="E17" s="21" t="n">
        <x:f>IF($M17=0,"",IF(ISNUMBER(INDEX(Data!$F$2051:$F$2550,$M17)),INDEX(Data!$F$2051:$F$2550,$M17),""))</x:f>
        <x:v>429</x:v>
      </x:c>
      <x:c r="F17" s="23" t="n">
        <x:f>IF($M17=0,"",IF(ISNUMBER(INDEX(Data!$T$2051:$T$2550,$M17)),INDEX(Data!$T$2051:$T$2550,$M17),""))</x:f>
        <x:v>63</x:v>
      </x:c>
      <x:c r="G17" s="2" t="str">
        <x:f>IF($M17=0,"",INDEX(Data!$J$2051:$J$2550,$M17))</x:f>
        <x:v>No</x:v>
      </x:c>
      <x:c r="H17" s="2" t="str">
        <x:f>IF($M17=0,"",INDEX(Data!$U$2051:$U$2550,$M17))</x:f>
        <x:v>Listed</x:v>
      </x:c>
      <x:c r="I17" s="2" t="str">
        <x:f>IF($M17=0,"",INDEX(Data!$V$2051:$V$2550,$M17))</x:f>
        <x:v>Candidate</x:v>
      </x:c>
      <x:c r="J17" s="2" t="n">
        <x:f>IF($M17=0,"",INDEX(Data!$A$2051:$A$2550,$M17))</x:f>
        <x:v>1440</x:v>
      </x:c>
      <x:c r="K17" s="24" t="str">
        <x:f>IF($M17=0,"",IF(INDEX(Data!$I$2051:$I$2550,$M17)=0,"Add ID","Row "&amp;(INDEX(Data!$I$2051:$I$2550,$M17)+7)))</x:f>
        <x:v>Row 236</x:v>
      </x:c>
      <x:c r="L17" s="2"/>
      <x:c r="M17" t="n">
        <x:f>IF(COUNTIFS(Data!$Z$2051:$Z$2550,($J$5-1)*20+7)=1,MATCH(($J$5-1)*20+7,Data!$Z$2051:$Z$2550,0),0)</x:f>
        <x:v>24</x:v>
      </x:c>
    </x:row>
    <x:row r="18" ht="34" customHeight="1">
      <x:c r="A18" s="2" t="n">
        <x:f>IF($M18=0,"",IF(ISNUMBER(INDEX(Data!$X$2051:$X$2550,$M18)),INDEX(Data!$X$2051:$X$2550,$M18),""))</x:f>
        <x:v>7</x:v>
      </x:c>
      <x:c r="B18" s="20" t="str">
        <x:f>IF($M18=0,"",INDEX(Data!$B$2051:$B$2550,$M18))</x:f>
        <x:v>Robert E. Lamberton School</x:v>
      </x:c>
      <x:c r="C18" s="2" t="str">
        <x:f>IF($M18=0,"",INDEX(Data!$C$2051:$C$2550,$M18))</x:f>
        <x:v>District</x:v>
      </x:c>
      <x:c r="D18" s="15" t="n">
        <x:f>IF($M18=0,"",IF(ISNUMBER(INDEX(Data!$G$2051:$G$2550,$M18)),INDEX(Data!$G$2051:$G$2550,$M18),""))</x:f>
        <x:v>0.8355</x:v>
      </x:c>
      <x:c r="E18" s="21" t="n">
        <x:f>IF($M18=0,"",IF(ISNUMBER(INDEX(Data!$F$2051:$F$2550,$M18)),INDEX(Data!$F$2051:$F$2550,$M18),""))</x:f>
        <x:v>362</x:v>
      </x:c>
      <x:c r="F18" s="23" t="n">
        <x:f>IF($M18=0,"",IF(ISNUMBER(INDEX(Data!$T$2051:$T$2550,$M18)),INDEX(Data!$T$2051:$T$2550,$M18),""))</x:f>
        <x:v>63</x:v>
      </x:c>
      <x:c r="G18" s="2" t="str">
        <x:f>IF($M18=0,"",INDEX(Data!$J$2051:$J$2550,$M18))</x:f>
        <x:v>No</x:v>
      </x:c>
      <x:c r="H18" s="2" t="str">
        <x:f>IF($M18=0,"",INDEX(Data!$U$2051:$U$2550,$M18))</x:f>
        <x:v>Listed</x:v>
      </x:c>
      <x:c r="I18" s="2" t="str">
        <x:f>IF($M18=0,"",INDEX(Data!$V$2051:$V$2550,$M18))</x:f>
        <x:v>Candidate</x:v>
      </x:c>
      <x:c r="J18" s="2" t="n">
        <x:f>IF($M18=0,"",INDEX(Data!$A$2051:$A$2550,$M18))</x:f>
        <x:v>4320</x:v>
      </x:c>
      <x:c r="K18" s="24" t="str">
        <x:f>IF($M18=0,"",IF(INDEX(Data!$I$2051:$I$2550,$M18)=0,"Add ID","Row "&amp;(INDEX(Data!$I$2051:$I$2550,$M18)+7)))</x:f>
        <x:v>Row 259</x:v>
      </x:c>
      <x:c r="L18" s="2"/>
      <x:c r="M18" t="n">
        <x:f>IF(COUNTIFS(Data!$Z$2051:$Z$2550,($J$5-1)*20+8)=1,MATCH(($J$5-1)*20+8,Data!$Z$2051:$Z$2550,0),0)</x:f>
        <x:v>166</x:v>
      </x:c>
    </x:row>
    <x:row r="19" ht="34" customHeight="1">
      <x:c r="A19" s="2" t="n">
        <x:f>IF($M19=0,"",IF(ISNUMBER(INDEX(Data!$X$2051:$X$2550,$M19)),INDEX(Data!$X$2051:$X$2550,$M19),""))</x:f>
        <x:v>9</x:v>
      </x:c>
      <x:c r="B19" s="20" t="str">
        <x:f>IF($M19=0,"",INDEX(Data!$B$2051:$B$2550,$M19))</x:f>
        <x:v>Lankenau High School</x:v>
      </x:c>
      <x:c r="C19" s="2" t="str">
        <x:f>IF($M19=0,"",INDEX(Data!$C$2051:$C$2550,$M19))</x:f>
        <x:v>District</x:v>
      </x:c>
      <x:c r="D19" s="15" t="n">
        <x:f>IF($M19=0,"",IF(ISNUMBER(INDEX(Data!$G$2051:$G$2550,$M19)),INDEX(Data!$G$2051:$G$2550,$M19),""))</x:f>
        <x:v>0.64</x:v>
      </x:c>
      <x:c r="E19" s="21" t="n">
        <x:f>IF($M19=0,"",IF(ISNUMBER(INDEX(Data!$F$2051:$F$2550,$M19)),INDEX(Data!$F$2051:$F$2550,$M19),""))</x:f>
        <x:v>225</x:v>
      </x:c>
      <x:c r="F19" s="23" t="n">
        <x:f>IF($M19=0,"",IF(ISNUMBER(INDEX(Data!$T$2051:$T$2550,$M19)),INDEX(Data!$T$2051:$T$2550,$M19),""))</x:f>
        <x:v>62</x:v>
      </x:c>
      <x:c r="G19" s="2" t="str">
        <x:f>IF($M19=0,"",INDEX(Data!$J$2051:$J$2550,$M19))</x:f>
        <x:v>No</x:v>
      </x:c>
      <x:c r="H19" s="2" t="str">
        <x:f>IF($M19=0,"",INDEX(Data!$U$2051:$U$2550,$M19))</x:f>
        <x:v>Listed</x:v>
      </x:c>
      <x:c r="I19" s="2" t="str">
        <x:f>IF($M19=0,"",INDEX(Data!$V$2051:$V$2550,$M19))</x:f>
        <x:v>Candidate</x:v>
      </x:c>
      <x:c r="J19" s="2" t="n">
        <x:f>IF($M19=0,"",INDEX(Data!$A$2051:$A$2550,$M19))</x:f>
        <x:v>6540</x:v>
      </x:c>
      <x:c r="K19" s="24" t="str">
        <x:f>IF($M19=0,"",IF(INDEX(Data!$I$2051:$I$2550,$M19)=0,"Add ID","Row "&amp;(INDEX(Data!$I$2051:$I$2550,$M19)+7)))</x:f>
        <x:v>Row 174</x:v>
      </x:c>
      <x:c r="L19" s="2"/>
      <x:c r="M19" t="n">
        <x:f>IF(COUNTIFS(Data!$Z$2051:$Z$2550,($J$5-1)*20+9)=1,MATCH(($J$5-1)*20+9,Data!$Z$2051:$Z$2550,0),0)</x:f>
        <x:v>251</x:v>
      </x:c>
    </x:row>
    <x:row r="20" ht="34" customHeight="1">
      <x:c r="A20" s="2" t="n">
        <x:f>IF($M20=0,"",IF(ISNUMBER(INDEX(Data!$X$2051:$X$2550,$M20)),INDEX(Data!$X$2051:$X$2550,$M20),""))</x:f>
        <x:v>10</x:v>
      </x:c>
      <x:c r="B20" s="20" t="str">
        <x:f>IF($M20=0,"",INDEX(Data!$B$2051:$B$2550,$M20))</x:f>
        <x:v>Robert B. Pollock School</x:v>
      </x:c>
      <x:c r="C20" s="2" t="str">
        <x:f>IF($M20=0,"",INDEX(Data!$C$2051:$C$2550,$M20))</x:f>
        <x:v>District</x:v>
      </x:c>
      <x:c r="D20" s="15" t="n">
        <x:f>IF($M20=0,"",IF(ISNUMBER(INDEX(Data!$G$2051:$G$2550,$M20)),INDEX(Data!$G$2051:$G$2550,$M20),""))</x:f>
        <x:v>0.7341</x:v>
      </x:c>
      <x:c r="E20" s="21" t="n">
        <x:f>IF($M20=0,"",IF(ISNUMBER(INDEX(Data!$F$2051:$F$2550,$M20)),INDEX(Data!$F$2051:$F$2550,$M20),""))</x:f>
        <x:v>900</x:v>
      </x:c>
      <x:c r="F20" s="23" t="n">
        <x:f>IF($M20=0,"",IF(ISNUMBER(INDEX(Data!$T$2051:$T$2550,$M20)),INDEX(Data!$T$2051:$T$2550,$M20),""))</x:f>
        <x:v>60</x:v>
      </x:c>
      <x:c r="G20" s="2" t="str">
        <x:f>IF($M20=0,"",INDEX(Data!$J$2051:$J$2550,$M20))</x:f>
        <x:v>No</x:v>
      </x:c>
      <x:c r="H20" s="2" t="str">
        <x:f>IF($M20=0,"",INDEX(Data!$U$2051:$U$2550,$M20))</x:f>
        <x:v>Listed</x:v>
      </x:c>
      <x:c r="I20" s="2" t="str">
        <x:f>IF($M20=0,"",INDEX(Data!$V$2051:$V$2550,$M20))</x:f>
        <x:v>Candidate</x:v>
      </x:c>
      <x:c r="J20" s="2" t="n">
        <x:f>IF($M20=0,"",INDEX(Data!$A$2051:$A$2550,$M20))</x:f>
        <x:v>8410</x:v>
      </x:c>
      <x:c r="K20" s="24" t="str">
        <x:f>IF($M20=0,"",IF(INDEX(Data!$I$2051:$I$2550,$M20)=0,"Add ID","Row "&amp;(INDEX(Data!$I$2051:$I$2550,$M20)+7)))</x:f>
        <x:v>Row 258</x:v>
      </x:c>
      <x:c r="L20" s="2"/>
      <x:c r="M20" t="n">
        <x:f>IF(COUNTIFS(Data!$Z$2051:$Z$2550,($J$5-1)*20+10)=1,MATCH(($J$5-1)*20+10,Data!$Z$2051:$Z$2550,0),0)</x:f>
        <x:v>314</x:v>
      </x:c>
    </x:row>
    <x:row r="21" ht="34" customHeight="1">
      <x:c r="A21" s="2" t="n">
        <x:f>IF($M21=0,"",IF(ISNUMBER(INDEX(Data!$X$2051:$X$2550,$M21)),INDEX(Data!$X$2051:$X$2550,$M21),""))</x:f>
        <x:v>10</x:v>
      </x:c>
      <x:c r="B21" s="20" t="str">
        <x:f>IF($M21=0,"",INDEX(Data!$B$2051:$B$2550,$M21))</x:f>
        <x:v>Northeast High School</x:v>
      </x:c>
      <x:c r="C21" s="2" t="str">
        <x:f>IF($M21=0,"",INDEX(Data!$C$2051:$C$2550,$M21))</x:f>
        <x:v>District</x:v>
      </x:c>
      <x:c r="D21" s="15" t="n">
        <x:f>IF($M21=0,"",IF(ISNUMBER(INDEX(Data!$G$2051:$G$2550,$M21)),INDEX(Data!$G$2051:$G$2550,$M21),""))</x:f>
        <x:v>0.7192</x:v>
      </x:c>
      <x:c r="E21" s="21" t="n">
        <x:f>IF($M21=0,"",IF(ISNUMBER(INDEX(Data!$F$2051:$F$2550,$M21)),INDEX(Data!$F$2051:$F$2550,$M21),""))</x:f>
        <x:v>3541</x:v>
      </x:c>
      <x:c r="F21" s="23" t="n">
        <x:f>IF($M21=0,"",IF(ISNUMBER(INDEX(Data!$T$2051:$T$2550,$M21)),INDEX(Data!$T$2051:$T$2550,$M21),""))</x:f>
        <x:v>60</x:v>
      </x:c>
      <x:c r="G21" s="2" t="str">
        <x:f>IF($M21=0,"",INDEX(Data!$J$2051:$J$2550,$M21))</x:f>
        <x:v>No</x:v>
      </x:c>
      <x:c r="H21" s="2" t="str">
        <x:f>IF($M21=0,"",INDEX(Data!$U$2051:$U$2550,$M21))</x:f>
        <x:v>Listed</x:v>
      </x:c>
      <x:c r="I21" s="2" t="str">
        <x:f>IF($M21=0,"",INDEX(Data!$V$2051:$V$2550,$M21))</x:f>
        <x:v>Candidate</x:v>
      </x:c>
      <x:c r="J21" s="2" t="n">
        <x:f>IF($M21=0,"",INDEX(Data!$A$2051:$A$2550,$M21))</x:f>
        <x:v>8020</x:v>
      </x:c>
      <x:c r="K21" s="24" t="str">
        <x:f>IF($M21=0,"",IF(INDEX(Data!$I$2051:$I$2550,$M21)=0,"Add ID","Row "&amp;(INDEX(Data!$I$2051:$I$2550,$M21)+7)))</x:f>
        <x:v>Row 213</x:v>
      </x:c>
      <x:c r="L21" s="2"/>
      <x:c r="M21" t="n">
        <x:f>IF(COUNTIFS(Data!$Z$2051:$Z$2550,($J$5-1)*20+11)=1,MATCH(($J$5-1)*20+11,Data!$Z$2051:$Z$2550,0),0)</x:f>
        <x:v>287</x:v>
      </x:c>
    </x:row>
    <x:row r="22" ht="34" customHeight="1">
      <x:c r="A22" s="2" t="n">
        <x:f>IF($M22=0,"",IF(ISNUMBER(INDEX(Data!$X$2051:$X$2550,$M22)),INDEX(Data!$X$2051:$X$2550,$M22),""))</x:f>
        <x:v>10</x:v>
      </x:c>
      <x:c r="B22" s="20" t="str">
        <x:f>IF($M22=0,"",INDEX(Data!$B$2051:$B$2550,$M22))</x:f>
        <x:v>Aloysius L. Fitzpatrick School</x:v>
      </x:c>
      <x:c r="C22" s="2" t="str">
        <x:f>IF($M22=0,"",INDEX(Data!$C$2051:$C$2550,$M22))</x:f>
        <x:v>District</x:v>
      </x:c>
      <x:c r="D22" s="15" t="n">
        <x:f>IF($M22=0,"",IF(ISNUMBER(INDEX(Data!$G$2051:$G$2550,$M22)),INDEX(Data!$G$2051:$G$2550,$M22),""))</x:f>
        <x:v>0.7176</x:v>
      </x:c>
      <x:c r="E22" s="21" t="n">
        <x:f>IF($M22=0,"",IF(ISNUMBER(INDEX(Data!$F$2051:$F$2550,$M22)),INDEX(Data!$F$2051:$F$2550,$M22),""))</x:f>
        <x:v>868</x:v>
      </x:c>
      <x:c r="F22" s="23" t="n">
        <x:f>IF($M22=0,"",IF(ISNUMBER(INDEX(Data!$T$2051:$T$2550,$M22)),INDEX(Data!$T$2051:$T$2550,$M22),""))</x:f>
        <x:v>60</x:v>
      </x:c>
      <x:c r="G22" s="2" t="str">
        <x:f>IF($M22=0,"",INDEX(Data!$J$2051:$J$2550,$M22))</x:f>
        <x:v>No</x:v>
      </x:c>
      <x:c r="H22" s="2" t="str">
        <x:f>IF($M22=0,"",INDEX(Data!$U$2051:$U$2550,$M22))</x:f>
        <x:v>Listed</x:v>
      </x:c>
      <x:c r="I22" s="2" t="str">
        <x:f>IF($M22=0,"",INDEX(Data!$V$2051:$V$2550,$M22))</x:f>
        <x:v>Candidate</x:v>
      </x:c>
      <x:c r="J22" s="2" t="n">
        <x:f>IF($M22=0,"",INDEX(Data!$A$2051:$A$2550,$M22))</x:f>
        <x:v>8390</x:v>
      </x:c>
      <x:c r="K22" s="24" t="str">
        <x:f>IF($M22=0,"",IF(INDEX(Data!$I$2051:$I$2550,$M22)=0,"Add ID","Row "&amp;(INDEX(Data!$I$2051:$I$2550,$M22)+7)))</x:f>
        <x:v>Row 23</x:v>
      </x:c>
      <x:c r="L22" s="2"/>
      <x:c r="M22" t="n">
        <x:f>IF(COUNTIFS(Data!$Z$2051:$Z$2550,($J$5-1)*20+12)=1,MATCH(($J$5-1)*20+12,Data!$Z$2051:$Z$2550,0),0)</x:f>
        <x:v>312</x:v>
      </x:c>
    </x:row>
    <x:row r="23" ht="34" customHeight="1">
      <x:c r="A23" s="2" t="n">
        <x:f>IF($M23=0,"",IF(ISNUMBER(INDEX(Data!$X$2051:$X$2550,$M23)),INDEX(Data!$X$2051:$X$2550,$M23),""))</x:f>
        <x:v>10</x:v>
      </x:c>
      <x:c r="B23" s="20" t="str">
        <x:f>IF($M23=0,"",INDEX(Data!$B$2051:$B$2550,$M23))</x:f>
        <x:v>Franklin Towne Charter Elementary School</x:v>
      </x:c>
      <x:c r="C23" s="2" t="str">
        <x:f>IF($M23=0,"",INDEX(Data!$C$2051:$C$2550,$M23))</x:f>
        <x:v>Charter</x:v>
      </x:c>
      <x:c r="D23" s="15" t="n">
        <x:f>IF($M23=0,"",IF(ISNUMBER(INDEX(Data!$G$2051:$G$2550,$M23)),INDEX(Data!$G$2051:$G$2550,$M23),""))</x:f>
        <x:v>0.6767</x:v>
      </x:c>
      <x:c r="E23" s="21" t="n">
        <x:f>IF($M23=0,"",IF(ISNUMBER(INDEX(Data!$F$2051:$F$2550,$M23)),INDEX(Data!$F$2051:$F$2550,$M23),""))</x:f>
        <x:v>958</x:v>
      </x:c>
      <x:c r="F23" s="23" t="n">
        <x:f>IF($M23=0,"",IF(ISNUMBER(INDEX(Data!$T$2051:$T$2550,$M23)),INDEX(Data!$T$2051:$T$2550,$M23),""))</x:f>
        <x:v>60</x:v>
      </x:c>
      <x:c r="G23" s="2" t="str">
        <x:f>IF($M23=0,"",INDEX(Data!$J$2051:$J$2550,$M23))</x:f>
        <x:v>No</x:v>
      </x:c>
      <x:c r="H23" s="2" t="str">
        <x:f>IF($M23=0,"",INDEX(Data!$U$2051:$U$2550,$M23))</x:f>
        <x:v>Listed</x:v>
      </x:c>
      <x:c r="I23" s="2" t="str">
        <x:f>IF($M23=0,"",INDEX(Data!$V$2051:$V$2550,$M23))</x:f>
        <x:v>Candidate</x:v>
      </x:c>
      <x:c r="J23" s="2" t="n">
        <x:f>IF($M23=0,"",INDEX(Data!$A$2051:$A$2550,$M23))</x:f>
        <x:v>3403</x:v>
      </x:c>
      <x:c r="K23" s="24" t="str">
        <x:f>IF($M23=0,"",IF(INDEX(Data!$I$2051:$I$2550,$M23)=0,"Add ID","Row "&amp;(INDEX(Data!$I$2051:$I$2550,$M23)+7)))</x:f>
        <x:v>Row 92</x:v>
      </x:c>
      <x:c r="L23" s="2"/>
      <x:c r="M23" t="n">
        <x:f>IF(COUNTIFS(Data!$Z$2051:$Z$2550,($J$5-1)*20+13)=1,MATCH(($J$5-1)*20+13,Data!$Z$2051:$Z$2550,0),0)</x:f>
        <x:v>125</x:v>
      </x:c>
    </x:row>
    <x:row r="24" ht="34" customHeight="1">
      <x:c r="A24" s="2" t="n">
        <x:f>IF($M24=0,"",IF(ISNUMBER(INDEX(Data!$X$2051:$X$2550,$M24)),INDEX(Data!$X$2051:$X$2550,$M24),""))</x:f>
        <x:v>10</x:v>
      </x:c>
      <x:c r="B24" s="20" t="str">
        <x:f>IF($M24=0,"",INDEX(Data!$B$2051:$B$2550,$M24))</x:f>
        <x:v>Charles C.A. Baldi Middle School</x:v>
      </x:c>
      <x:c r="C24" s="2" t="str">
        <x:f>IF($M24=0,"",INDEX(Data!$C$2051:$C$2550,$M24))</x:f>
        <x:v>District</x:v>
      </x:c>
      <x:c r="D24" s="15" t="n">
        <x:f>IF($M24=0,"",IF(ISNUMBER(INDEX(Data!$G$2051:$G$2550,$M24)),INDEX(Data!$G$2051:$G$2550,$M24),""))</x:f>
        <x:v>0.6683</x:v>
      </x:c>
      <x:c r="E24" s="21" t="n">
        <x:f>IF($M24=0,"",IF(ISNUMBER(INDEX(Data!$F$2051:$F$2550,$M24)),INDEX(Data!$F$2051:$F$2550,$M24),""))</x:f>
        <x:v>1424</x:v>
      </x:c>
      <x:c r="F24" s="23" t="n">
        <x:f>IF($M24=0,"",IF(ISNUMBER(INDEX(Data!$T$2051:$T$2550,$M24)),INDEX(Data!$T$2051:$T$2550,$M24),""))</x:f>
        <x:v>60</x:v>
      </x:c>
      <x:c r="G24" s="2" t="str">
        <x:f>IF($M24=0,"",INDEX(Data!$J$2051:$J$2550,$M24))</x:f>
        <x:v>No</x:v>
      </x:c>
      <x:c r="H24" s="2" t="str">
        <x:f>IF($M24=0,"",INDEX(Data!$U$2051:$U$2550,$M24))</x:f>
        <x:v>Listed</x:v>
      </x:c>
      <x:c r="I24" s="2" t="str">
        <x:f>IF($M24=0,"",INDEX(Data!$V$2051:$V$2550,$M24))</x:f>
        <x:v>Candidate</x:v>
      </x:c>
      <x:c r="J24" s="2" t="n">
        <x:f>IF($M24=0,"",INDEX(Data!$A$2051:$A$2550,$M24))</x:f>
        <x:v>8160</x:v>
      </x:c>
      <x:c r="K24" s="24" t="str">
        <x:f>IF($M24=0,"",IF(INDEX(Data!$I$2051:$I$2550,$M24)=0,"Add ID","Row "&amp;(INDEX(Data!$I$2051:$I$2550,$M24)+7)))</x:f>
        <x:v>Row 47</x:v>
      </x:c>
      <x:c r="L24" s="2"/>
      <x:c r="M24" t="n">
        <x:f>IF(COUNTIFS(Data!$Z$2051:$Z$2550,($J$5-1)*20+14)=1,MATCH(($J$5-1)*20+14,Data!$Z$2051:$Z$2550,0),0)</x:f>
        <x:v>296</x:v>
      </x:c>
    </x:row>
    <x:row r="25" ht="34" customHeight="1">
      <x:c r="A25" s="2" t="n">
        <x:f>IF($M25=0,"",IF(ISNUMBER(INDEX(Data!$X$2051:$X$2550,$M25)),INDEX(Data!$X$2051:$X$2550,$M25),""))</x:f>
        <x:v>10</x:v>
      </x:c>
      <x:c r="B25" s="20" t="str">
        <x:f>IF($M25=0,"",INDEX(Data!$B$2051:$B$2550,$M25))</x:f>
        <x:v>Joseph Greenberg School</x:v>
      </x:c>
      <x:c r="C25" s="2" t="str">
        <x:f>IF($M25=0,"",INDEX(Data!$C$2051:$C$2550,$M25))</x:f>
        <x:v>District</x:v>
      </x:c>
      <x:c r="D25" s="15" t="n">
        <x:f>IF($M25=0,"",IF(ISNUMBER(INDEX(Data!$G$2051:$G$2550,$M25)),INDEX(Data!$G$2051:$G$2550,$M25),""))</x:f>
        <x:v>0.5234</x:v>
      </x:c>
      <x:c r="E25" s="21" t="n">
        <x:f>IF($M25=0,"",IF(ISNUMBER(INDEX(Data!$F$2051:$F$2550,$M25)),INDEX(Data!$F$2051:$F$2550,$M25),""))</x:f>
        <x:v>1048</x:v>
      </x:c>
      <x:c r="F25" s="23" t="n">
        <x:f>IF($M25=0,"",IF(ISNUMBER(INDEX(Data!$T$2051:$T$2550,$M25)),INDEX(Data!$T$2051:$T$2550,$M25),""))</x:f>
        <x:v>60</x:v>
      </x:c>
      <x:c r="G25" s="2" t="str">
        <x:f>IF($M25=0,"",INDEX(Data!$J$2051:$J$2550,$M25))</x:f>
        <x:v>No</x:v>
      </x:c>
      <x:c r="H25" s="2" t="str">
        <x:f>IF($M25=0,"",INDEX(Data!$U$2051:$U$2550,$M25))</x:f>
        <x:v>Listed</x:v>
      </x:c>
      <x:c r="I25" s="2" t="str">
        <x:f>IF($M25=0,"",INDEX(Data!$V$2051:$V$2550,$M25))</x:f>
        <x:v>Candidate</x:v>
      </x:c>
      <x:c r="J25" s="2" t="n">
        <x:f>IF($M25=0,"",INDEX(Data!$A$2051:$A$2550,$M25))</x:f>
        <x:v>8430</x:v>
      </x:c>
      <x:c r="K25" s="24" t="str">
        <x:f>IF($M25=0,"",IF(INDEX(Data!$I$2051:$I$2550,$M25)=0,"Add ID","Row "&amp;(INDEX(Data!$I$2051:$I$2550,$M25)+7)))</x:f>
        <x:v>Row 153</x:v>
      </x:c>
      <x:c r="L25" s="2"/>
      <x:c r="M25" t="n">
        <x:f>IF(COUNTIFS(Data!$Z$2051:$Z$2550,($J$5-1)*20+15)=1,MATCH(($J$5-1)*20+15,Data!$Z$2051:$Z$2550,0),0)</x:f>
        <x:v>316</x:v>
      </x:c>
    </x:row>
    <x:row r="26" ht="34" customHeight="1">
      <x:c r="A26" s="2" t="n">
        <x:f>IF($M26=0,"",IF(ISNUMBER(INDEX(Data!$X$2051:$X$2550,$M26)),INDEX(Data!$X$2051:$X$2550,$M26),""))</x:f>
        <x:v>16</x:v>
      </x:c>
      <x:c r="B26" s="20" t="str">
        <x:f>IF($M26=0,"",INDEX(Data!$B$2051:$B$2550,$M26))</x:f>
        <x:v>Bridesburg School</x:v>
      </x:c>
      <x:c r="C26" s="2" t="str">
        <x:f>IF($M26=0,"",INDEX(Data!$C$2051:$C$2550,$M26))</x:f>
        <x:v>District</x:v>
      </x:c>
      <x:c r="D26" s="15" t="n">
        <x:f>IF($M26=0,"",IF(ISNUMBER(INDEX(Data!$G$2051:$G$2550,$M26)),INDEX(Data!$G$2051:$G$2550,$M26),""))</x:f>
        <x:v>0.6934</x:v>
      </x:c>
      <x:c r="E26" s="21" t="n">
        <x:f>IF($M26=0,"",IF(ISNUMBER(INDEX(Data!$F$2051:$F$2550,$M26)),INDEX(Data!$F$2051:$F$2550,$M26),""))</x:f>
        <x:v>522</x:v>
      </x:c>
      <x:c r="F26" s="23" t="n">
        <x:f>IF($M26=0,"",IF(ISNUMBER(INDEX(Data!$T$2051:$T$2550,$M26)),INDEX(Data!$T$2051:$T$2550,$M26),""))</x:f>
        <x:v>59</x:v>
      </x:c>
      <x:c r="G26" s="2" t="str">
        <x:f>IF($M26=0,"",INDEX(Data!$J$2051:$J$2550,$M26))</x:f>
        <x:v>No</x:v>
      </x:c>
      <x:c r="H26" s="2" t="str">
        <x:f>IF($M26=0,"",INDEX(Data!$U$2051:$U$2550,$M26))</x:f>
        <x:v>Listed</x:v>
      </x:c>
      <x:c r="I26" s="2" t="str">
        <x:f>IF($M26=0,"",INDEX(Data!$V$2051:$V$2550,$M26))</x:f>
        <x:v>Candidate</x:v>
      </x:c>
      <x:c r="J26" s="2" t="n">
        <x:f>IF($M26=0,"",INDEX(Data!$A$2051:$A$2550,$M26))</x:f>
        <x:v>7470</x:v>
      </x:c>
      <x:c r="K26" s="24" t="str">
        <x:f>IF($M26=0,"",IF(INDEX(Data!$I$2051:$I$2550,$M26)=0,"Add ID","Row "&amp;(INDEX(Data!$I$2051:$I$2550,$M26)+7)))</x:f>
        <x:v>Row 41</x:v>
      </x:c>
      <x:c r="L26" s="2"/>
      <x:c r="M26" t="n">
        <x:f>IF(COUNTIFS(Data!$Z$2051:$Z$2550,($J$5-1)*20+16)=1,MATCH(($J$5-1)*20+16,Data!$Z$2051:$Z$2550,0),0)</x:f>
        <x:v>280</x:v>
      </x:c>
    </x:row>
    <x:row r="27" ht="34" customHeight="1">
      <x:c r="A27" s="2" t="n">
        <x:f>IF($M27=0,"",IF(ISNUMBER(INDEX(Data!$X$2051:$X$2550,$M27)),INDEX(Data!$X$2051:$X$2550,$M27),""))</x:f>
        <x:v>17</x:v>
      </x:c>
      <x:c r="B27" s="20" t="str">
        <x:f>IF($M27=0,"",INDEX(Data!$B$2051:$B$2550,$M27))</x:f>
        <x:v>Kensington High School</x:v>
      </x:c>
      <x:c r="C27" s="2" t="str">
        <x:f>IF($M27=0,"",INDEX(Data!$C$2051:$C$2550,$M27))</x:f>
        <x:v>District</x:v>
      </x:c>
      <x:c r="D27" s="15" t="n">
        <x:f>IF($M27=0,"",IF(ISNUMBER(INDEX(Data!$G$2051:$G$2550,$M27)),INDEX(Data!$G$2051:$G$2550,$M27),""))</x:f>
        <x:v>0.8519</x:v>
      </x:c>
      <x:c r="E27" s="21" t="n">
        <x:f>IF($M27=0,"",IF(ISNUMBER(INDEX(Data!$F$2051:$F$2550,$M27)),INDEX(Data!$F$2051:$F$2550,$M27),""))</x:f>
        <x:v>447</x:v>
      </x:c>
      <x:c r="F27" s="23" t="n">
        <x:f>IF($M27=0,"",IF(ISNUMBER(INDEX(Data!$T$2051:$T$2550,$M27)),INDEX(Data!$T$2051:$T$2550,$M27),""))</x:f>
        <x:v>58</x:v>
      </x:c>
      <x:c r="G27" s="2" t="str">
        <x:f>IF($M27=0,"",INDEX(Data!$J$2051:$J$2550,$M27))</x:f>
        <x:v>No</x:v>
      </x:c>
      <x:c r="H27" s="2" t="str">
        <x:f>IF($M27=0,"",INDEX(Data!$U$2051:$U$2550,$M27))</x:f>
        <x:v>Listed</x:v>
      </x:c>
      <x:c r="I27" s="2" t="str">
        <x:f>IF($M27=0,"",INDEX(Data!$V$2051:$V$2550,$M27))</x:f>
        <x:v>Candidate</x:v>
      </x:c>
      <x:c r="J27" s="2" t="n">
        <x:f>IF($M27=0,"",INDEX(Data!$A$2051:$A$2550,$M27))</x:f>
        <x:v>5700</x:v>
      </x:c>
      <x:c r="K27" s="24" t="str">
        <x:f>IF($M27=0,"",IF(INDEX(Data!$I$2051:$I$2550,$M27)=0,"Add ID","Row "&amp;(INDEX(Data!$I$2051:$I$2550,$M27)+7)))</x:f>
        <x:v>Row 165</x:v>
      </x:c>
      <x:c r="L27" s="2"/>
      <x:c r="M27" t="n">
        <x:f>IF(COUNTIFS(Data!$Z$2051:$Z$2550,($J$5-1)*20+17)=1,MATCH(($J$5-1)*20+17,Data!$Z$2051:$Z$2550,0),0)</x:f>
        <x:v>221</x:v>
      </x:c>
    </x:row>
    <x:row r="28" ht="34" customHeight="1">
      <x:c r="A28" s="2" t="n">
        <x:f>IF($M28=0,"",IF(ISNUMBER(INDEX(Data!$X$2051:$X$2550,$M28)),INDEX(Data!$X$2051:$X$2550,$M28),""))</x:f>
        <x:v>17</x:v>
      </x:c>
      <x:c r="B28" s="20" t="str">
        <x:f>IF($M28=0,"",INDEX(Data!$B$2051:$B$2550,$M28))</x:f>
        <x:v>Walter B. Saul High School</x:v>
      </x:c>
      <x:c r="C28" s="2" t="str">
        <x:f>IF($M28=0,"",INDEX(Data!$C$2051:$C$2550,$M28))</x:f>
        <x:v>District</x:v>
      </x:c>
      <x:c r="D28" s="15" t="n">
        <x:f>IF($M28=0,"",IF(ISNUMBER(INDEX(Data!$G$2051:$G$2550,$M28)),INDEX(Data!$G$2051:$G$2550,$M28),""))</x:f>
        <x:v>0.674</x:v>
      </x:c>
      <x:c r="E28" s="21" t="n">
        <x:f>IF($M28=0,"",IF(ISNUMBER(INDEX(Data!$F$2051:$F$2550,$M28)),INDEX(Data!$F$2051:$F$2550,$M28),""))</x:f>
        <x:v>406</x:v>
      </x:c>
      <x:c r="F28" s="23" t="n">
        <x:f>IF($M28=0,"",IF(ISNUMBER(INDEX(Data!$T$2051:$T$2550,$M28)),INDEX(Data!$T$2051:$T$2550,$M28),""))</x:f>
        <x:v>58</x:v>
      </x:c>
      <x:c r="G28" s="2" t="str">
        <x:f>IF($M28=0,"",INDEX(Data!$J$2051:$J$2550,$M28))</x:f>
        <x:v>No</x:v>
      </x:c>
      <x:c r="H28" s="2" t="str">
        <x:f>IF($M28=0,"",INDEX(Data!$U$2051:$U$2550,$M28))</x:f>
        <x:v>Listed</x:v>
      </x:c>
      <x:c r="I28" s="2" t="str">
        <x:f>IF($M28=0,"",INDEX(Data!$V$2051:$V$2550,$M28))</x:f>
        <x:v>Candidate</x:v>
      </x:c>
      <x:c r="J28" s="2" t="n">
        <x:f>IF($M28=0,"",INDEX(Data!$A$2051:$A$2550,$M28))</x:f>
        <x:v>6040</x:v>
      </x:c>
      <x:c r="K28" s="24" t="str">
        <x:f>IF($M28=0,"",IF(INDEX(Data!$I$2051:$I$2550,$M28)=0,"Add ID","Row "&amp;(INDEX(Data!$I$2051:$I$2550,$M28)+7)))</x:f>
        <x:v>Row 312</x:v>
      </x:c>
      <x:c r="L28" s="2"/>
      <x:c r="M28" t="n">
        <x:f>IF(COUNTIFS(Data!$Z$2051:$Z$2550,($J$5-1)*20+18)=1,MATCH(($J$5-1)*20+18,Data!$Z$2051:$Z$2550,0),0)</x:f>
        <x:v>225</x:v>
      </x:c>
    </x:row>
    <x:row r="29" ht="34" customHeight="1">
      <x:c r="A29" s="2" t="n">
        <x:f>IF($M29=0,"",IF(ISNUMBER(INDEX(Data!$X$2051:$X$2550,$M29)),INDEX(Data!$X$2051:$X$2550,$M29),""))</x:f>
        <x:v>17</x:v>
      </x:c>
      <x:c r="B29" s="20" t="str">
        <x:f>IF($M29=0,"",INDEX(Data!$B$2051:$B$2550,$M29))</x:f>
        <x:v>Shawmont School</x:v>
      </x:c>
      <x:c r="C29" s="2" t="str">
        <x:f>IF($M29=0,"",INDEX(Data!$C$2051:$C$2550,$M29))</x:f>
        <x:v>District</x:v>
      </x:c>
      <x:c r="D29" s="15" t="n">
        <x:f>IF($M29=0,"",IF(ISNUMBER(INDEX(Data!$G$2051:$G$2550,$M29)),INDEX(Data!$G$2051:$G$2550,$M29),""))</x:f>
        <x:v>0.6284</x:v>
      </x:c>
      <x:c r="E29" s="21" t="n">
        <x:f>IF($M29=0,"",IF(ISNUMBER(INDEX(Data!$F$2051:$F$2550,$M29)),INDEX(Data!$F$2051:$F$2550,$M29),""))</x:f>
        <x:v>457</x:v>
      </x:c>
      <x:c r="F29" s="23" t="n">
        <x:f>IF($M29=0,"",IF(ISNUMBER(INDEX(Data!$T$2051:$T$2550,$M29)),INDEX(Data!$T$2051:$T$2550,$M29),""))</x:f>
        <x:v>58</x:v>
      </x:c>
      <x:c r="G29" s="2" t="str">
        <x:f>IF($M29=0,"",INDEX(Data!$J$2051:$J$2550,$M29))</x:f>
        <x:v>No</x:v>
      </x:c>
      <x:c r="H29" s="2" t="str">
        <x:f>IF($M29=0,"",INDEX(Data!$U$2051:$U$2550,$M29))</x:f>
        <x:v>Listed</x:v>
      </x:c>
      <x:c r="I29" s="2" t="str">
        <x:f>IF($M29=0,"",INDEX(Data!$V$2051:$V$2550,$M29))</x:f>
        <x:v>Candidate</x:v>
      </x:c>
      <x:c r="J29" s="2" t="n">
        <x:f>IF($M29=0,"",INDEX(Data!$A$2051:$A$2550,$M29))</x:f>
        <x:v>6380</x:v>
      </x:c>
      <x:c r="K29" s="24" t="str">
        <x:f>IF($M29=0,"",IF(INDEX(Data!$I$2051:$I$2550,$M29)=0,"Add ID","Row "&amp;(INDEX(Data!$I$2051:$I$2550,$M29)+7)))</x:f>
        <x:v>Row 275</x:v>
      </x:c>
      <x:c r="L29" s="2"/>
      <x:c r="M29" t="n">
        <x:f>IF(COUNTIFS(Data!$Z$2051:$Z$2550,($J$5-1)*20+19)=1,MATCH(($J$5-1)*20+19,Data!$Z$2051:$Z$2550,0),0)</x:f>
        <x:v>242</x:v>
      </x:c>
    </x:row>
    <x:row r="30" ht="34" customHeight="1">
      <x:c r="A30" s="2" t="n">
        <x:f>IF($M30=0,"",IF(ISNUMBER(INDEX(Data!$X$2051:$X$2550,$M30)),INDEX(Data!$X$2051:$X$2550,$M30),""))</x:f>
        <x:v>20</x:v>
      </x:c>
      <x:c r="B30" s="20" t="str">
        <x:f>IF($M30=0,"",INDEX(Data!$B$2051:$B$2550,$M30))</x:f>
        <x:v>John F. McCloskey School</x:v>
      </x:c>
      <x:c r="C30" s="2" t="str">
        <x:f>IF($M30=0,"",INDEX(Data!$C$2051:$C$2550,$M30))</x:f>
        <x:v>District</x:v>
      </x:c>
      <x:c r="D30" s="15" t="n">
        <x:f>IF($M30=0,"",IF(ISNUMBER(INDEX(Data!$G$2051:$G$2550,$M30)),INDEX(Data!$G$2051:$G$2550,$M30),""))</x:f>
        <x:v>0.7557</x:v>
      </x:c>
      <x:c r="E30" s="21" t="n">
        <x:f>IF($M30=0,"",IF(ISNUMBER(INDEX(Data!$F$2051:$F$2550,$M30)),INDEX(Data!$F$2051:$F$2550,$M30),""))</x:f>
        <x:v>217</x:v>
      </x:c>
      <x:c r="F30" s="23" t="n">
        <x:f>IF($M30=0,"",IF(ISNUMBER(INDEX(Data!$T$2051:$T$2550,$M30)),INDEX(Data!$T$2051:$T$2550,$M30),""))</x:f>
        <x:v>57</x:v>
      </x:c>
      <x:c r="G30" s="2" t="str">
        <x:f>IF($M30=0,"",INDEX(Data!$J$2051:$J$2550,$M30))</x:f>
        <x:v>No</x:v>
      </x:c>
      <x:c r="H30" s="2" t="str">
        <x:f>IF($M30=0,"",INDEX(Data!$U$2051:$U$2550,$M30))</x:f>
        <x:v>Listed</x:v>
      </x:c>
      <x:c r="I30" s="2" t="str">
        <x:f>IF($M30=0,"",INDEX(Data!$V$2051:$V$2550,$M30))</x:f>
        <x:v>Candidate</x:v>
      </x:c>
      <x:c r="J30" s="2" t="n">
        <x:f>IF($M30=0,"",INDEX(Data!$A$2051:$A$2550,$M30))</x:f>
        <x:v>6310</x:v>
      </x:c>
      <x:c r="K30" s="24" t="str">
        <x:f>IF($M30=0,"",IF(INDEX(Data!$I$2051:$I$2550,$M30)=0,"Add ID","Row "&amp;(INDEX(Data!$I$2051:$I$2550,$M30)+7)))</x:f>
        <x:v>Row 145</x:v>
      </x:c>
      <x:c r="L30" s="2"/>
      <x:c r="M30" t="n">
        <x:f>IF(COUNTIFS(Data!$Z$2051:$Z$2550,($J$5-1)*20+20)=1,MATCH(($J$5-1)*20+20,Data!$Z$2051:$Z$2550,0),0)</x:f>
        <x:v>237</x:v>
      </x:c>
    </x:row>
    <x:row r="31" ht="22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2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2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2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2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2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2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22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2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2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2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22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22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2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22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2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2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2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22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22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22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 ht="22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 ht="22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 ht="22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 ht="2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 ht="2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 ht="22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 ht="22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 ht="22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 ht="22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 ht="22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 ht="22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 ht="22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 ht="22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 ht="22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 ht="22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 ht="22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 ht="22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 ht="22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 ht="22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 ht="22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  <x:row r="181" ht="22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 ht="22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 ht="22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 ht="22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 ht="22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  <x:row r="186" ht="22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</x:row>
    <x:row r="187" ht="22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</x:row>
    <x:row r="188" ht="22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</x:row>
    <x:row r="189" ht="22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</x:row>
    <x:row r="190" ht="22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</x:row>
    <x:row r="191" ht="22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</x:row>
    <x:row r="192" ht="22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</x:row>
    <x:row r="193" ht="22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</x:row>
    <x:row r="194" ht="22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</x:row>
    <x:row r="195" ht="22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</x:row>
    <x:row r="196" ht="22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</x:row>
    <x:row r="197" ht="22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</x:row>
    <x:row r="198" ht="22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</x:row>
    <x:row r="199" ht="22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</x:row>
    <x:row r="200" ht="22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</x:row>
    <x:row r="201" ht="22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</x:row>
    <x:row r="202" ht="22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</x:row>
    <x:row r="203" ht="22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</x:row>
    <x:row r="204" ht="22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</x:row>
    <x:row r="205" ht="22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</x:row>
    <x:row r="206" ht="22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</x:row>
    <x:row r="207" ht="22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</x:row>
    <x:row r="208" ht="22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</x:row>
    <x:row r="209" ht="22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</x:row>
    <x:row r="210" ht="22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</x:row>
    <x:row r="211" ht="22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</x:row>
    <x:row r="212" ht="22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</x:row>
    <x:row r="213" ht="22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</x:row>
    <x:row r="214" ht="22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</x:row>
    <x:row r="215" ht="22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</x:row>
    <x:row r="216" ht="22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</x:row>
    <x:row r="217" ht="22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</x:row>
    <x:row r="218" ht="22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</x:row>
    <x:row r="219" ht="22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</x:row>
    <x:row r="220" ht="22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</x:row>
    <x:row r="221" ht="22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</x:row>
    <x:row r="222" ht="22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</x:row>
    <x:row r="223" ht="22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</x:row>
    <x:row r="224" ht="22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</x:row>
    <x:row r="225" ht="22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</x:row>
    <x:row r="226" ht="22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</x:row>
    <x:row r="227" ht="22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</x:row>
    <x:row r="228" ht="22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</x:row>
    <x:row r="229" ht="22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</x:row>
    <x:row r="230" ht="22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</x:row>
    <x:row r="231" ht="22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</x:row>
    <x:row r="232" ht="22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</x:row>
    <x:row r="233" ht="22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</x:row>
    <x:row r="234" ht="22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</x:row>
    <x:row r="235" ht="22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</x:row>
    <x:row r="236" ht="22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</x:row>
    <x:row r="237" ht="22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</x:row>
    <x:row r="238" ht="22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</x:row>
    <x:row r="239" ht="22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</x:row>
    <x:row r="240" ht="22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</x:row>
    <x:row r="241" ht="22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</x:row>
    <x:row r="242" ht="22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</x:row>
    <x:row r="243" ht="22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</x:row>
    <x:row r="244" ht="22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2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2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  <x:row r="247" ht="22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</x:row>
    <x:row r="248" ht="22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</x:row>
    <x:row r="249" ht="22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</x:row>
    <x:row r="250" ht="22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</x:row>
    <x:row r="251" ht="22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 ht="22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2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2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  <x:row r="255" ht="22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</x:row>
    <x:row r="256" ht="22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</x:row>
    <x:row r="257" ht="22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</x:row>
    <x:row r="258" ht="22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</x:row>
    <x:row r="259" ht="22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</x:row>
    <x:row r="260" ht="22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</x:row>
    <x:row r="261" ht="22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</x:row>
    <x:row r="262" ht="22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</x:row>
    <x:row r="263" ht="22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</x:row>
    <x:row r="264" ht="22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</x:row>
    <x:row r="265" ht="22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</x:row>
    <x:row r="266" ht="22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</x:row>
    <x:row r="267" ht="22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</x:row>
    <x:row r="268" ht="22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</x:row>
    <x:row r="269" ht="22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</x:row>
    <x:row r="270" ht="22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</x:row>
    <x:row r="271" ht="22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</x:row>
    <x:row r="272" ht="22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</x:row>
    <x:row r="273" ht="22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</x:row>
    <x:row r="274" ht="22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</x:row>
    <x:row r="275" ht="22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</x:row>
    <x:row r="276" ht="22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</x:row>
    <x:row r="277" ht="22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</x:row>
    <x:row r="278" ht="22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</x:row>
    <x:row r="279" ht="22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</x:row>
    <x:row r="280" ht="22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</x:row>
    <x:row r="281" ht="22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</x:row>
    <x:row r="282" ht="22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</x:row>
    <x:row r="283" ht="22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</x:row>
    <x:row r="284" ht="22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</x:row>
    <x:row r="285" ht="22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</x:row>
    <x:row r="286" ht="22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</x:row>
    <x:row r="287" ht="22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</x:row>
    <x:row r="288" ht="22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</x:row>
    <x:row r="289" ht="22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</x:row>
    <x:row r="290" ht="22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</x:row>
    <x:row r="291" ht="22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</x:row>
    <x:row r="292" ht="22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</x:row>
    <x:row r="293" ht="22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</x:row>
    <x:row r="294" ht="22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</x:row>
    <x:row r="295" ht="22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</x:row>
    <x:row r="296" ht="22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</x:row>
    <x:row r="297" ht="22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</x:row>
    <x:row r="298" ht="22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</x:row>
    <x:row r="299" ht="22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</x:row>
    <x:row r="300" ht="22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</x:row>
    <x:row r="301" ht="22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</x:row>
    <x:row r="302" ht="22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</x:row>
    <x:row r="303" ht="22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</x:row>
    <x:row r="304" ht="22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</x:row>
    <x:row r="305" ht="22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</x:row>
    <x:row r="306" ht="22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</x:row>
    <x:row r="307" ht="22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</x:row>
    <x:row r="308" ht="22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</x:row>
    <x:row r="309" ht="22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</x:row>
    <x:row r="310" ht="22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</x:row>
    <x:row r="311" ht="22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</x:row>
    <x:row r="312" ht="22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</x:row>
    <x:row r="313" ht="22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</x:row>
    <x:row r="314" ht="22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</x:row>
    <x:row r="315" ht="22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</x:row>
    <x:row r="316" ht="22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</x:row>
    <x:row r="317" ht="22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</x:row>
    <x:row r="318" ht="22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</x:row>
    <x:row r="319" ht="22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</x:row>
    <x:row r="320" ht="22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</x:row>
    <x:row r="321" ht="22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</x:row>
    <x:row r="322" ht="22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</x:row>
    <x:row r="323" ht="22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</x:row>
    <x:row r="324" ht="22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</x:row>
    <x:row r="325" ht="22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</x:row>
    <x:row r="326" ht="22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</x:row>
    <x:row r="327" ht="22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</x:row>
    <x:row r="328" ht="22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</x:row>
    <x:row r="329" ht="22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</x:row>
    <x:row r="330" ht="22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</x:row>
    <x:row r="331" ht="22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</x:row>
    <x:row r="332" ht="22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</x:row>
    <x:row r="333" ht="22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</x:row>
    <x:row r="334" ht="22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</x:row>
    <x:row r="335" ht="22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</x:row>
    <x:row r="336" ht="22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</x:row>
    <x:row r="337" ht="22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</x:row>
    <x:row r="338" ht="22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</x:row>
    <x:row r="339" ht="22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</x:row>
    <x:row r="340" ht="22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</x:row>
    <x:row r="341" ht="22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</x:row>
    <x:row r="342" ht="22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</x:row>
    <x:row r="343" ht="22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</x:row>
    <x:row r="344" ht="22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</x:row>
    <x:row r="345" ht="22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</x:row>
    <x:row r="346" ht="22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</x:row>
    <x:row r="347" ht="22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</x:row>
    <x:row r="348" ht="22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</x:row>
    <x:row r="349" ht="22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</x:row>
    <x:row r="350" ht="22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</x:row>
    <x:row r="351" ht="22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</x:row>
    <x:row r="352" ht="22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</x:row>
    <x:row r="353" ht="22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</x:row>
    <x:row r="354" ht="22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</x:row>
    <x:row r="355" ht="22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</x:row>
    <x:row r="356" ht="22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</x:row>
    <x:row r="357" ht="22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</x:row>
    <x:row r="358" ht="22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</x:row>
    <x:row r="359" ht="22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</x:row>
    <x:row r="360" ht="22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</x:row>
    <x:row r="361" ht="22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</x:row>
    <x:row r="362" ht="22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</x:row>
    <x:row r="363" ht="22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</x:row>
    <x:row r="364" ht="22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</x:row>
    <x:row r="365" ht="22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</x:row>
    <x:row r="366" ht="22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</x:row>
    <x:row r="367" ht="22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</x:row>
    <x:row r="368" ht="22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</x:row>
    <x:row r="369" ht="22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</x:row>
    <x:row r="370" ht="22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</x:row>
    <x:row r="371" ht="22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</x:row>
    <x:row r="372" ht="22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</x:row>
    <x:row r="373" ht="22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</x:row>
    <x:row r="374" ht="22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</x:row>
    <x:row r="375" ht="22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</x:row>
    <x:row r="376" ht="22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</x:row>
    <x:row r="377" ht="22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</x:row>
    <x:row r="378" ht="22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</x:row>
    <x:row r="379" ht="22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</x:row>
    <x:row r="380" ht="22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</x:row>
    <x:row r="381" ht="22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</x:row>
    <x:row r="382" ht="22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</x:row>
    <x:row r="383" ht="22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</x:row>
    <x:row r="384" ht="22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</x:row>
    <x:row r="385" ht="22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</x:row>
    <x:row r="386" ht="22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</x:row>
    <x:row r="387" ht="22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</x:row>
    <x:row r="388" ht="22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</x:row>
    <x:row r="389" ht="22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  <x:row r="390" ht="22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</x:row>
    <x:row r="391" ht="22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</x:row>
    <x:row r="392" ht="22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</x:row>
    <x:row r="393" ht="22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</x:row>
    <x:row r="394" ht="22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</x:row>
    <x:row r="395" ht="22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</x:row>
    <x:row r="396" ht="22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</x:row>
    <x:row r="397" ht="22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</x:row>
    <x:row r="398" ht="22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</x:row>
    <x:row r="399" ht="22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</x:row>
    <x:row r="400" ht="22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</x:row>
    <x:row r="401" ht="22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</x:row>
    <x:row r="402" ht="22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</x:row>
    <x:row r="403" ht="22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</x:row>
    <x:row r="404" ht="22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</x:row>
    <x:row r="405" ht="22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</x:row>
    <x:row r="406" ht="22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</x:row>
    <x:row r="407" ht="22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</x:row>
    <x:row r="408" ht="22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</x:row>
    <x:row r="409" ht="22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</x:row>
    <x:row r="410" ht="22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</x:row>
    <x:row r="411" ht="22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</x:row>
    <x:row r="412" ht="22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</x:row>
    <x:row r="413" ht="22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</x:row>
    <x:row r="414" ht="22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</x:row>
    <x:row r="415" ht="22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</x:row>
    <x:row r="416" ht="22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</x:row>
    <x:row r="417" ht="22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</x:row>
    <x:row r="418" ht="22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</x:row>
    <x:row r="419" ht="22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</x:row>
    <x:row r="420" ht="22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</x:row>
    <x:row r="421" ht="22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</x:row>
    <x:row r="422" ht="22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</x:row>
    <x:row r="423" ht="22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</x:row>
    <x:row r="424" ht="22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</x:row>
    <x:row r="425" ht="22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</x:row>
    <x:row r="426" ht="22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</x:row>
    <x:row r="427" ht="22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</x:row>
    <x:row r="428" ht="22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</x:row>
    <x:row r="429" ht="22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</x:row>
    <x:row r="430" ht="22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</x:row>
    <x:row r="431" ht="22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</x:row>
    <x:row r="432" ht="22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</x:row>
    <x:row r="433" ht="22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</x:row>
    <x:row r="434" ht="22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</x:row>
    <x:row r="435" ht="22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</x:row>
    <x:row r="436" ht="22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</x:row>
    <x:row r="437" ht="22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</x:row>
    <x:row r="438" ht="22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</x:row>
    <x:row r="439" ht="22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</x:row>
    <x:row r="440" ht="22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</x:row>
    <x:row r="441" ht="22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</x:row>
    <x:row r="442" ht="22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</x:row>
    <x:row r="443" ht="22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</x:row>
    <x:row r="444" ht="22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</x:row>
    <x:row r="445" ht="22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</x:row>
    <x:row r="446" ht="22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</x:row>
    <x:row r="447" ht="22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</x:row>
    <x:row r="448" ht="22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</x:row>
    <x:row r="449" ht="22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</x:row>
    <x:row r="450" ht="22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</x:row>
    <x:row r="451" ht="22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</x:row>
    <x:row r="452" ht="22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</x:row>
    <x:row r="453" ht="22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</x:row>
    <x:row r="454" ht="22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</x:row>
    <x:row r="455" ht="22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</x:row>
    <x:row r="456" ht="22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</x:row>
    <x:row r="457" ht="22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</x:row>
    <x:row r="458" ht="22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</x:row>
    <x:row r="459" ht="22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</x:row>
    <x:row r="460" ht="22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</x:row>
    <x:row r="461" ht="22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</x:row>
    <x:row r="462" ht="22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</x:row>
    <x:row r="463" ht="22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</x:row>
    <x:row r="464" ht="22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</x:row>
    <x:row r="465" ht="22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</x:row>
    <x:row r="466" ht="22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</x:row>
    <x:row r="467" ht="22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</x:row>
    <x:row r="468" ht="22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</x:row>
    <x:row r="469" ht="22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</x:row>
    <x:row r="470" ht="22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</x:row>
    <x:row r="471" ht="22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</x:row>
    <x:row r="472" ht="22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</x:row>
    <x:row r="473" ht="22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</x:row>
    <x:row r="474" ht="22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</x:row>
    <x:row r="475" ht="22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</x:row>
    <x:row r="476" ht="22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</x:row>
    <x:row r="477" ht="22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</x:row>
    <x:row r="478" ht="22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</x:row>
    <x:row r="479" ht="22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</x:row>
    <x:row r="480" ht="22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</x:row>
    <x:row r="481" ht="22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</x:row>
    <x:row r="482" ht="22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</x:row>
    <x:row r="483" ht="22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</x:row>
    <x:row r="484" ht="22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</x:row>
    <x:row r="485" ht="22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</x:row>
    <x:row r="486" ht="22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</x:row>
    <x:row r="487" ht="22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</x:row>
    <x:row r="488" ht="22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</x:row>
    <x:row r="489" ht="22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</x:row>
    <x:row r="490" ht="22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</x:row>
    <x:row r="491" ht="22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</x:row>
    <x:row r="492" ht="22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</x:row>
    <x:row r="493" ht="22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</x:row>
    <x:row r="494" ht="22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</x:row>
    <x:row r="495" ht="22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</x:row>
    <x:row r="496" ht="22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</x:row>
    <x:row r="497" ht="22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</x:row>
    <x:row r="498" ht="22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</x:row>
    <x:row r="499" ht="22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</x:row>
    <x:row r="500" ht="22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</x:row>
    <x:row r="501" ht="22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</x:row>
    <x:row r="502" ht="22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</x:row>
    <x:row r="503" ht="22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</x:row>
    <x:row r="504" ht="22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</x:row>
    <x:row r="505" ht="22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</x:row>
    <x:row r="506" ht="22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</x:row>
    <x:row r="507" ht="22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</x:row>
    <x:row r="508" ht="22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</x:row>
    <x:row r="509" ht="22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</x:row>
    <x:row r="510" ht="22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</x:row>
    <x:row r="511" ht="22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</x:row>
    <x:row r="512" ht="22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</x:row>
    <x:row r="513" ht="22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</x:row>
    <x:row r="514" ht="22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</x:row>
    <x:row r="515" ht="22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</x:row>
    <x:row r="516" ht="22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</x:row>
    <x:row r="517" ht="22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</x:row>
    <x:row r="518" ht="22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</x:row>
    <x:row r="519" ht="22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</x:row>
    <x:row r="520" ht="22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</x:row>
    <x:row r="521" ht="22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</x:row>
    <x:row r="522" ht="22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</x:row>
    <x:row r="523" ht="22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</x:row>
    <x:row r="524" ht="22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</x:row>
    <x:row r="525" ht="22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</x:row>
    <x:row r="526" ht="22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</x:row>
    <x:row r="527" ht="22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</x:row>
    <x:row r="528" ht="22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</x:row>
    <x:row r="529" ht="22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</x:row>
    <x:row r="530" ht="22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</x:row>
    <x:row r="531" ht="22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</x:row>
    <x:row r="532" ht="22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</x:row>
    <x:row r="533" ht="22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</x:row>
    <x:row r="534" ht="22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</x:row>
    <x:row r="535" ht="22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</x:row>
    <x:row r="536" ht="22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</x:row>
    <x:row r="537" ht="22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</x:row>
    <x:row r="538" ht="22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</x:row>
    <x:row r="539" ht="22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</x:row>
    <x:row r="540" ht="22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</x:row>
    <x:row r="541" ht="22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</x:row>
    <x:row r="542" ht="22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</x:row>
    <x:row r="543" ht="22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</x:row>
    <x:row r="544" ht="22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</x:row>
    <x:row r="545" ht="22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</x:row>
    <x:row r="546" ht="22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</x:row>
    <x:row r="547" ht="22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</x:row>
    <x:row r="548" ht="22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</x:row>
    <x:row r="549" ht="22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</x:row>
    <x:row r="550" ht="22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</x:row>
  </x:sheetData>
  <x:mergeCells>
    <x:mergeCell ref="G5:H5"/>
  </x:mergeCells>
  <x:conditionalFormatting sqref="A11:K30">
    <x:cfRule type="expression" dxfId="1" priority="1">
      <x:formula>MOD(ROW(),2)=0</x:formula>
    </x:cfRule>
  </x:conditionalFormatting>
  <x:dataValidations count="3">
    <x:dataValidation type="list" sqref="D5">
      <x:formula1>"All,District,Charter"</x:formula1>
    </x:dataValidation>
    <x:dataValidation type="list" sqref="G5">
      <x:formula1>"Not marked served,All eligible,Missing data,Marked served"</x:formula1>
    </x:dataValidation>
    <x:dataValidation type="whole" operator="between" sqref="J5">
      <x:formula1>1</x:formula1>
      <x:formula2>25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23E5A"/>
  </x:sheetPr>
  <x:sheetViews>
    <x:sheetView showGridLines="0" workbookViewId="0"/>
  </x:sheetViews>
  <x:sheetFormatPr defaultRowHeight="15"/>
  <x:cols>
    <x:col min="1" max="1" width="26" hidden="0" customWidth="1"/>
    <x:col min="2" max="2" width="43" hidden="0" customWidth="1"/>
    <x:col min="3" max="3" width="16" hidden="0" customWidth="1"/>
    <x:col min="4" max="4" width="17" hidden="0" customWidth="1"/>
    <x:col min="5" max="5" width="18" hidden="0" customWidth="1"/>
    <x:col min="6" max="6" width="20" hidden="0" customWidth="1"/>
    <x:col min="7" max="7" width="22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School profile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Choose a school to see its need, evidence and next action.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 t="n">
        <x:f>IF(COUNTIFS(Data!$B$2051:$B$2550,B5)=1,MATCH(B5,Data!$B$2051:$B$2550,0),0)</x:f>
        <x:v>126</x:v>
      </x:c>
      <x:c r="L3" s="2"/>
    </x:row>
    <x:row r="4" ht="22" customHeight="1">
      <x:c r="A4" s="2" t="str">
        <x:v>School</x:v>
      </x:c>
      <x:c r="B4" s="2"/>
      <x:c r="C4" s="2"/>
      <x:c r="D4" s="2"/>
      <x:c r="E4" s="2"/>
      <x:c r="F4" s="2"/>
      <x:c r="G4" s="2"/>
      <x:c r="H4" s="2"/>
      <x:c r="I4" s="2"/>
      <x:c r="J4" s="2"/>
      <x:c r="K4" s="2" t="n">
        <x:f>IF($K$3=0,"",INDEX(Data!$AF$2051:$AF$2550,$K$3))</x:f>
        <x:v>40.06684222</x:v>
      </x:c>
      <x:c r="L4" s="2"/>
    </x:row>
    <x:row r="5" ht="22" customHeight="1">
      <x:c r="A5" s="2"/>
      <x:c r="B5" s="17" t="str">
        <x:v>Tacony Academy Charter School</x:v>
      </x:c>
      <x:c r="C5" s="2"/>
      <x:c r="D5" s="2"/>
      <x:c r="E5" s="2"/>
      <x:c r="F5" s="2"/>
      <x:c r="G5" s="2"/>
      <x:c r="H5" s="2"/>
      <x:c r="I5" s="2"/>
      <x:c r="J5" s="2"/>
      <x:c r="K5" s="2" t="n">
        <x:f>IF($K$3=0,"",INDEX(Data!$AG$2051:$AG$2550,$K$3))</x:f>
        <x:v>-75.06598353</x:v>
      </x:c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2" customHeight="1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 t="n">
        <x:f>IF($K$3=0,0,INDEX(Data!$AN$2051:$AN$2550,$K$3))</x:f>
        <x:v>126</x:v>
      </x:c>
      <x:c r="L7" s="2"/>
    </x:row>
    <x:row r="8" ht="22" customHeight="1">
      <x:c r="A8" s="2" t="str">
        <x:v>School ID</x:v>
      </x:c>
      <x:c r="B8" s="2" t="n">
        <x:f>IF($K$3=0,"",INDEX(Data!$A$2051:$A$2550,$K$3))</x:f>
        <x:v>3404</x:v>
      </x:c>
      <x:c r="C8" s="2"/>
      <x:c r="D8" s="2" t="str">
        <x:v>Rubric component</x:v>
      </x:c>
      <x:c r="E8" s="2" t="str">
        <x:v>Points</x:v>
      </x:c>
      <x:c r="F8" s="2"/>
      <x:c r="G8" s="2"/>
      <x:c r="H8" s="2"/>
      <x:c r="I8" s="2"/>
      <x:c r="J8" s="2"/>
      <x:c r="K8" s="2"/>
      <x:c r="L8" s="2"/>
    </x:row>
    <x:row r="9" ht="22" customHeight="1">
      <x:c r="A9" s="2" t="str">
        <x:v>School type</x:v>
      </x:c>
      <x:c r="B9" s="2" t="str">
        <x:f>IF($K$3=0,"",INDEX(Data!$C$2051:$C$2550,$K$3))</x:f>
        <x:v>Charter</x:v>
      </x:c>
      <x:c r="C9" s="2"/>
      <x:c r="D9" s="2" t="str">
        <x:v>Economic need</x:v>
      </x:c>
      <x:c r="E9" s="2" t="n">
        <x:f>IF($K$3=0,"",IF(ISNUMBER(INDEX(Data!$O$2051:$O$2550,$K$3)),INDEX(Data!$O$2051:$O$2550,$K$3),""))</x:f>
        <x:v>20</x:v>
      </x:c>
      <x:c r="F9" s="2"/>
      <x:c r="G9" s="2"/>
      <x:c r="H9" s="2"/>
      <x:c r="I9" s="2"/>
      <x:c r="J9" s="2"/>
      <x:c r="K9" s="2"/>
      <x:c r="L9" s="2"/>
    </x:row>
    <x:row r="10" ht="22" customHeight="1">
      <x:c r="A10" s="2" t="str">
        <x:v>School address</x:v>
      </x:c>
      <x:c r="B10" s="2" t="str">
        <x:f>IF($K$3=0,"",INDEX(Data!$AE$2051:$AE$2550,$K$3))</x:f>
        <x:v>1330 RHAWN ST</x:v>
      </x:c>
      <x:c r="C10" s="2"/>
      <x:c r="D10" s="2" t="str">
        <x:v>Fresh access</x:v>
      </x:c>
      <x:c r="E10" s="2" t="n">
        <x:f>IF($K$3=0,"",IF(ISNUMBER(INDEX(Data!$P$2051:$P$2550,$K$3)),INDEX(Data!$P$2051:$P$2550,$K$3),""))</x:f>
        <x:v>20</x:v>
      </x:c>
      <x:c r="F10" s="2"/>
      <x:c r="G10" s="2"/>
      <x:c r="H10" s="2"/>
      <x:c r="I10" s="2"/>
      <x:c r="J10" s="2"/>
      <x:c r="K10" s="2"/>
      <x:c r="L10" s="2"/>
    </x:row>
    <x:row r="11" ht="22" customHeight="1">
      <x:c r="A11" s="2" t="str">
        <x:v>Economic disadvantage</x:v>
      </x:c>
      <x:c r="B11" s="15" t="n">
        <x:f>IF($K$3=0,"",IF(ISNUMBER(INDEX(Data!$G$2051:$G$2550,$K$3)),INDEX(Data!$G$2051:$G$2550,$K$3),""))</x:f>
        <x:v>0.7204</x:v>
      </x:c>
      <x:c r="C11" s="2"/>
      <x:c r="D11" s="2" t="str">
        <x:v>Resource gap</x:v>
      </x:c>
      <x:c r="E11" s="2" t="n">
        <x:f>IF($K$3=0,"",IF(ISNUMBER(INDEX(Data!$Q$2051:$Q$2550,$K$3)),INDEX(Data!$Q$2051:$Q$2550,$K$3),""))</x:f>
        <x:v>25</x:v>
      </x:c>
      <x:c r="F11" s="2"/>
      <x:c r="G11" s="2"/>
      <x:c r="H11" s="2"/>
      <x:c r="I11" s="2"/>
      <x:c r="J11" s="2"/>
      <x:c r="K11" s="2"/>
      <x:c r="L11" s="2"/>
    </x:row>
    <x:row r="12" ht="22" customHeight="1">
      <x:c r="A12" s="2" t="str">
        <x:v>Enrollment</x:v>
      </x:c>
      <x:c r="B12" s="21" t="n">
        <x:f>IF($K$3=0,"",IF(ISNUMBER(INDEX(Data!$F$2051:$F$2550,$K$3)),INDEX(Data!$F$2051:$F$2550,$K$3),""))</x:f>
        <x:v>1090</x:v>
      </x:c>
      <x:c r="C12" s="2"/>
      <x:c r="D12" s="2" t="str">
        <x:v>Reach</x:v>
      </x:c>
      <x:c r="E12" s="2" t="n">
        <x:f>IF($K$3=0,"",IF(ISNUMBER(INDEX(Data!$R$2051:$R$2550,$K$3)),INDEX(Data!$R$2051:$R$2550,$K$3),""))</x:f>
        <x:v>5</x:v>
      </x:c>
      <x:c r="F12" s="2"/>
      <x:c r="G12" s="2"/>
      <x:c r="H12" s="2"/>
      <x:c r="I12" s="2"/>
      <x:c r="J12" s="2"/>
      <x:c r="K12" s="2"/>
      <x:c r="L12" s="2"/>
    </x:row>
    <x:row r="13" ht="22" customHeight="1">
      <x:c r="A13" s="2" t="str">
        <x:v>Active priority score /85</x:v>
      </x:c>
      <x:c r="B13" s="23" t="n">
        <x:f>IF($K$3=0,"",IF(ISNUMBER(INDEX(Data!$T$2051:$T$2550,$K$3)),INDEX(Data!$T$2051:$T$2550,$K$3),""))</x:f>
        <x:v>70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2" customHeight="1">
      <x:c r="A14" s="2" t="str">
        <x:v>Baseline score /85</x:v>
      </x:c>
      <x:c r="B14" s="23" t="n">
        <x:f>IF($K$3=0,"",IF(ISNUMBER(INDEX(Data!$S$2051:$S$2550,$K$3)),INDEX(Data!$S$2051:$S$2550,$K$3),""))</x:f>
        <x:v>70</x:v>
      </x:c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2" customHeight="1">
      <x:c r="A15" s="2" t="str">
        <x:v>Food evidence</x:v>
      </x:c>
      <x:c r="B15" s="2" t="str">
        <x:f>IF($K$3=0,"",INDEX(Data!$U$2051:$U$2550,$K$3))</x:f>
        <x:v>Listed</x:v>
      </x:c>
      <x:c r="C15" s="2"/>
      <x:c r="D15" s="2" t="str">
        <x:f>IF($K$3=0,"",IF(INDEX(Data!$I$2051:$I$2550,$K$3)=0,"Add the school ID to Staff Review","Update Staff Review row "&amp;(INDEX(Data!$I$2051:$I$2550,$K$3)+7)))</x:f>
        <x:v>Update Staff Review row 287</x:v>
      </x:c>
      <x:c r="E15" s="2"/>
      <x:c r="F15" s="2"/>
      <x:c r="G15" s="2"/>
      <x:c r="H15" s="2"/>
      <x:c r="I15" s="2"/>
      <x:c r="J15" s="2"/>
      <x:c r="K15" s="2"/>
      <x:c r="L15" s="2"/>
    </x:row>
    <x:row r="16" ht="22" customHeight="1">
      <x:c r="A16" s="2" t="str">
        <x:v>Already served (staff flag)</x:v>
      </x:c>
      <x:c r="B16" s="2" t="str">
        <x:f>IF($K$3=0,"",INDEX(Data!$J$2051:$J$2550,$K$3))</x:f>
        <x:v>No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2" customHeight="1">
      <x:c r="A17" s="2" t="str">
        <x:v>Outreach status</x:v>
      </x:c>
      <x:c r="B17" s="2" t="str">
        <x:f>IF($K$3=0,"",INDEX(Data!$AH$2051:$AH$2550,$K$3))</x:f>
        <x:v>Not contacted</x:v>
      </x:c>
      <x:c r="C17" s="2"/>
      <x:c r="D17" s="2" t="str">
        <x:f>IF($K$3=0,"",IF(INDEX(Data!$C$2051:$C$2550,$K$3)="Charter","Confirm current Title I eligibility. Published status used: 2025–26.","District-operated public school."))</x:f>
        <x:v>Confirm current Title I eligibility. Published status used: 2025–26.</x:v>
      </x:c>
      <x:c r="E17" s="2"/>
      <x:c r="F17" s="2"/>
      <x:c r="G17" s="2"/>
      <x:c r="H17" s="2"/>
      <x:c r="I17" s="2"/>
      <x:c r="J17" s="2"/>
      <x:c r="K17" s="2"/>
      <x:c r="L17" s="2"/>
    </x:row>
    <x:row r="18" ht="22" customHeight="1">
      <x:c r="A18" s="2" t="str">
        <x:v>Scope / target status</x:v>
      </x:c>
      <x:c r="B18" s="2" t="str">
        <x:f>IF($K$3=0,"",INDEX(Data!$V$2051:$V$2550,$K$3))</x:f>
        <x:v>Candidate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2" customHeight="1">
      <x:c r="A20" s="2" t="str">
        <x:v>Fresh access miles</x:v>
      </x:c>
      <x:c r="B20" s="22" t="n">
        <x:f>IF($K$3=0,"",IF(ISNUMBER(INDEX(Data!$K$2051:$K$2550,$K$3)),INDEX(Data!$K$2051:$K$2550,$K$3),""))</x:f>
        <x:v>0.7784790588441283</x:v>
      </x:c>
      <x:c r="C20" s="2"/>
      <x:c r="D20" s="2" t="str">
        <x:v>Listed miles do not establish produce quality, affordability or walking access.</x:v>
      </x:c>
      <x:c r="E20" s="2"/>
      <x:c r="F20" s="2"/>
      <x:c r="G20" s="2"/>
      <x:c r="H20" s="2"/>
      <x:c r="I20" s="2"/>
      <x:c r="J20" s="2"/>
      <x:c r="K20" s="2"/>
      <x:c r="L20" s="2"/>
    </x:row>
    <x:row r="21" ht="22" customHeight="1">
      <x:c r="A21" s="2" t="str">
        <x:v>Fresh access basis</x:v>
      </x:c>
      <x:c r="B21" s="2" t="str">
        <x:f>IF($K$3=0,"",INDEX(Data!$M$2051:$M$2550,$K$3))</x:f>
        <x:v>Listed</x:v>
      </x:c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2" customHeight="1">
      <x:c r="A22" s="2" t="str">
        <x:v>Nearby resources ≤1mi</x:v>
      </x:c>
      <x:c r="B22" s="2" t="n">
        <x:f>IF($K$3=0,"",IF(ISNUMBER(INDEX(Data!$L$2051:$L$2550,$K$3)),INDEX(Data!$L$2051:$L$2550,$K$3),""))</x:f>
        <x:v>0</x:v>
      </x:c>
      <x:c r="C22" s="2"/>
      <x:c r="D22" s="2" t="str">
        <x:v>Verified inputs require a date and evidence in Staff Review.</x:v>
      </x:c>
      <x:c r="E22" s="2"/>
      <x:c r="F22" s="2"/>
      <x:c r="G22" s="2"/>
      <x:c r="H22" s="2"/>
      <x:c r="I22" s="2"/>
      <x:c r="J22" s="2"/>
      <x:c r="K22" s="2"/>
      <x:c r="L22" s="2"/>
    </x:row>
    <x:row r="23" ht="22" customHeight="1">
      <x:c r="A23" s="2" t="str">
        <x:v>Resource basis</x:v>
      </x:c>
      <x:c r="B23" s="2" t="str">
        <x:f>IF($K$3=0,"",INDEX(Data!$N$2051:$N$2550,$K$3))</x:f>
        <x:v>Listed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2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2" customHeight="1">
      <x:c r="A26" s="2" t="str">
        <x:v>Nearest listed supermarket</x:v>
      </x:c>
      <x:c r="B26" s="2" t="str">
        <x:f>IF($K$3=0,"",INDEX(Data!$AC$2051:$AC$2550,$K$3))</x:f>
        <x:v>Bell's Market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2" customHeight="1">
      <x:c r="A27" s="2" t="str">
        <x:v>Retailer address</x:v>
      </x:c>
      <x:c r="B27" s="20" t="str">
        <x:f>IF($K$3=0,"",INDEX(Data!$AD$2051:$AD$2550,$K$3))</x:f>
        <x:v>8330 Bustleton Ave, Philadelphia, PA, 19152</x:v>
      </x:c>
      <x:c r="C27" s="20"/>
      <x:c r="D27" s="20"/>
      <x:c r="E27" s="20"/>
      <x:c r="F27" s="20"/>
      <x:c r="G27" s="20"/>
      <x:c r="H27" s="20"/>
      <x:c r="I27" s="2"/>
      <x:c r="J27" s="2"/>
      <x:c r="K27" s="2"/>
      <x:c r="L27" s="2"/>
    </x:row>
    <x:row r="28" ht="22" customHeight="1">
      <x:c r="A28" s="2"/>
      <x:c r="B28" s="20"/>
      <x:c r="C28" s="20"/>
      <x:c r="D28" s="20"/>
      <x:c r="E28" s="20"/>
      <x:c r="F28" s="20"/>
      <x:c r="G28" s="20"/>
      <x:c r="H28" s="20"/>
      <x:c r="I28" s="2"/>
      <x:c r="J28" s="2"/>
      <x:c r="K28" s="2"/>
      <x:c r="L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2" customHeight="1">
      <x:c r="A30" s="2" t="str">
        <x:v>Nearby listed food sites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2" customHeight="1">
      <x:c r="A31" s="2" t="str">
        <x:v>Active City Food Site candidates within one mile. Check hours, recurrence and eligibility before counting as verified access.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2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34" customHeight="1">
      <x:c r="A33" s="12" t="str">
        <x:v>Miles</x:v>
      </x:c>
      <x:c r="B33" s="12" t="str">
        <x:v>Food site</x:v>
      </x:c>
      <x:c r="C33" s="12" t="str">
        <x:v>Address</x:v>
      </x:c>
      <x:c r="D33" s="12" t="str"/>
      <x:c r="E33" s="12" t="str">
        <x:v>Website</x:v>
      </x:c>
      <x:c r="F33" s="12" t="str"/>
      <x:c r="G33" s="12" t="str"/>
      <x:c r="H33" s="12" t="str"/>
      <x:c r="I33" s="2"/>
      <x:c r="J33" s="2"/>
      <x:c r="K33" s="2"/>
      <x:c r="L33" s="2"/>
    </x:row>
    <x:row r="34" ht="42" customHeight="1">
      <x:c r="A34" s="22" t="str">
        <x:f>IF($K34=0,"",INDEX(Data!$M$511:$M$1010,$K34))</x:f>
      </x:c>
      <x:c r="B34" s="20" t="str">
        <x:f>IF($K$3=0,"",IF($K34=0,"No listed candidate within 1 mile",INDEX(Data!$B$511:$B$1010,$K34)))</x:f>
        <x:v>No listed candidate within 1 mile</x:v>
      </x:c>
      <x:c r="C34" s="20" t="str">
        <x:f>IF($K34=0,"",INDEX(Data!$C$511:$C$1010,$K34))</x:f>
      </x:c>
      <x:c r="D34" s="20"/>
      <x:c r="E34" s="20" t="str">
        <x:f>IF($K34=0,"",INDEX(Data!$L$511:$L$1010,$K34))</x:f>
      </x:c>
      <x:c r="F34" s="20"/>
      <x:c r="G34" s="20"/>
      <x:c r="H34" s="20"/>
      <x:c r="I34" s="2"/>
      <x:c r="J34" s="2"/>
      <x:c r="K34" s="2" t="n">
        <x:f>IF(COUNTIFS(Data!$N$511:$N$1010,1)=1,MATCH(1,Data!$N$511:$N$1010,0),0)</x:f>
        <x:v>0</x:v>
      </x:c>
      <x:c r="L34" s="2"/>
    </x:row>
    <x:row r="35" ht="42" customHeight="1">
      <x:c r="A35" s="22" t="str">
        <x:f>IF($K35=0,"",INDEX(Data!$M$511:$M$1010,$K35))</x:f>
      </x:c>
      <x:c r="B35" s="20" t="str">
        <x:f>IF($K35=0,"",INDEX(Data!$B$511:$B$1010,$K35))</x:f>
      </x:c>
      <x:c r="C35" s="20" t="str">
        <x:f>IF($K35=0,"",INDEX(Data!$C$511:$C$1010,$K35))</x:f>
      </x:c>
      <x:c r="D35" s="20"/>
      <x:c r="E35" s="20" t="str">
        <x:f>IF($K35=0,"",INDEX(Data!$L$511:$L$1010,$K35))</x:f>
      </x:c>
      <x:c r="F35" s="20"/>
      <x:c r="G35" s="20"/>
      <x:c r="H35" s="20"/>
      <x:c r="I35" s="2"/>
      <x:c r="J35" s="2"/>
      <x:c r="K35" s="2" t="n">
        <x:f>IF(COUNTIFS(Data!$N$511:$N$1010,2)=1,MATCH(2,Data!$N$511:$N$1010,0),0)</x:f>
        <x:v>0</x:v>
      </x:c>
      <x:c r="L35" s="2"/>
    </x:row>
    <x:row r="36" ht="42" customHeight="1">
      <x:c r="A36" s="22" t="str">
        <x:f>IF($K36=0,"",INDEX(Data!$M$511:$M$1010,$K36))</x:f>
      </x:c>
      <x:c r="B36" s="20" t="str">
        <x:f>IF($K36=0,"",INDEX(Data!$B$511:$B$1010,$K36))</x:f>
      </x:c>
      <x:c r="C36" s="20" t="str">
        <x:f>IF($K36=0,"",INDEX(Data!$C$511:$C$1010,$K36))</x:f>
      </x:c>
      <x:c r="D36" s="20"/>
      <x:c r="E36" s="20" t="str">
        <x:f>IF($K36=0,"",INDEX(Data!$L$511:$L$1010,$K36))</x:f>
      </x:c>
      <x:c r="F36" s="20"/>
      <x:c r="G36" s="20"/>
      <x:c r="H36" s="20"/>
      <x:c r="I36" s="2"/>
      <x:c r="J36" s="2"/>
      <x:c r="K36" s="2" t="n">
        <x:f>IF(COUNTIFS(Data!$N$511:$N$1010,3)=1,MATCH(3,Data!$N$511:$N$1010,0),0)</x:f>
        <x:v>0</x:v>
      </x:c>
      <x:c r="L36" s="2"/>
    </x:row>
    <x:row r="37" ht="42" customHeight="1">
      <x:c r="A37" s="22" t="str">
        <x:f>IF($K37=0,"",INDEX(Data!$M$511:$M$1010,$K37))</x:f>
      </x:c>
      <x:c r="B37" s="20" t="str">
        <x:f>IF($K37=0,"",INDEX(Data!$B$511:$B$1010,$K37))</x:f>
      </x:c>
      <x:c r="C37" s="20" t="str">
        <x:f>IF($K37=0,"",INDEX(Data!$C$511:$C$1010,$K37))</x:f>
      </x:c>
      <x:c r="D37" s="20"/>
      <x:c r="E37" s="20" t="str">
        <x:f>IF($K37=0,"",INDEX(Data!$L$511:$L$1010,$K37))</x:f>
      </x:c>
      <x:c r="F37" s="20"/>
      <x:c r="G37" s="20"/>
      <x:c r="H37" s="20"/>
      <x:c r="I37" s="2"/>
      <x:c r="J37" s="2"/>
      <x:c r="K37" s="2" t="n">
        <x:f>IF(COUNTIFS(Data!$N$511:$N$1010,4)=1,MATCH(4,Data!$N$511:$N$1010,0),0)</x:f>
        <x:v>0</x:v>
      </x:c>
      <x:c r="L37" s="2"/>
    </x:row>
    <x:row r="38" ht="42" customHeight="1">
      <x:c r="A38" s="22" t="str">
        <x:f>IF($K38=0,"",INDEX(Data!$M$511:$M$1010,$K38))</x:f>
      </x:c>
      <x:c r="B38" s="20" t="str">
        <x:f>IF($K38=0,"",INDEX(Data!$B$511:$B$1010,$K38))</x:f>
      </x:c>
      <x:c r="C38" s="20" t="str">
        <x:f>IF($K38=0,"",INDEX(Data!$C$511:$C$1010,$K38))</x:f>
      </x:c>
      <x:c r="D38" s="20"/>
      <x:c r="E38" s="20" t="str">
        <x:f>IF($K38=0,"",INDEX(Data!$L$511:$L$1010,$K38))</x:f>
      </x:c>
      <x:c r="F38" s="20"/>
      <x:c r="G38" s="20"/>
      <x:c r="H38" s="20"/>
      <x:c r="I38" s="2"/>
      <x:c r="J38" s="2"/>
      <x:c r="K38" s="2" t="n">
        <x:f>IF(COUNTIFS(Data!$N$511:$N$1010,5)=1,MATCH(5,Data!$N$511:$N$1010,0),0)</x:f>
        <x:v>0</x:v>
      </x:c>
      <x:c r="L38" s="2"/>
    </x:row>
    <x:row r="39" ht="22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2" customHeight="1">
      <x:c r="A40" s="2" t="str">
        <x:v>School phone</x:v>
      </x:c>
      <x:c r="B40" s="2" t="str">
        <x:f>IF($K$7=0,"",IF(LEN(INDEX(Data!$U$41:$U$540,$K$7))=0,"Not published",INDEX(Data!$U$41:$U$540,$K$7)))</x:f>
        <x:v>Not published</x:v>
      </x:c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2" customHeight="1">
      <x:c r="A41" s="2" t="str">
        <x:v>School website</x:v>
      </x:c>
      <x:c r="B41" s="2" t="str">
        <x:f>IF($K$7=0,"",INDEX(Data!$V$41:$V$540,$K$7))</x:f>
        <x:v>https://www.ap-schools.org/Tacony-Academy-Charter/</x:v>
      </x:c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2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2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 ht="22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 ht="22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 ht="22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2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2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 ht="22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 ht="22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 ht="22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 ht="22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 ht="22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 ht="22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 ht="22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 ht="22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 ht="22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 ht="22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 ht="22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 ht="22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 ht="22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 ht="2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 ht="22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 ht="22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 ht="22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 ht="22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 ht="22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 ht="22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 ht="22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 ht="22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 ht="22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 ht="22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 ht="22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 ht="22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 ht="22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 ht="22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 ht="22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 ht="22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 ht="22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 ht="22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 ht="22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 ht="22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 ht="22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 ht="22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2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2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2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2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2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2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2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 ht="22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 ht="22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 ht="22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 ht="22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 ht="22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 ht="22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 ht="22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 ht="22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 ht="22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 ht="22" customHeight="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 ht="22" customHeight="1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 ht="22" customHeight="1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 ht="22" customHeight="1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 ht="22" customHeight="1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 ht="22" customHeight="1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 ht="22" customHeight="1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 ht="22" customHeight="1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 ht="22" customHeight="1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 ht="22" customHeight="1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 ht="22" customHeight="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 ht="22" customHeight="1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 ht="22" customHeight="1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 ht="22" customHeight="1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 ht="22" customHeight="1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  <x:row r="116" ht="22" customHeight="1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</x:row>
    <x:row r="117" ht="22" customHeight="1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</x:row>
    <x:row r="118" ht="22" customHeight="1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</x:row>
    <x:row r="119" ht="22" customHeight="1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</x:row>
    <x:row r="120" ht="22" customHeight="1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</x:row>
    <x:row r="121" ht="22" customHeight="1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</x:row>
    <x:row r="122" ht="22" customHeight="1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</x:row>
    <x:row r="123" ht="22" customHeight="1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</x:row>
    <x:row r="124" ht="22" customHeight="1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</x:row>
    <x:row r="125" ht="22" customHeight="1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</x:row>
    <x:row r="126" ht="22" customHeight="1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</x:row>
    <x:row r="127" ht="22" customHeight="1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</x:row>
    <x:row r="128" ht="22" customHeight="1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</x:row>
    <x:row r="129" ht="22" customHeight="1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</x:row>
    <x:row r="130" ht="22" customHeight="1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</x:row>
    <x:row r="131" ht="22" customHeight="1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</x:row>
    <x:row r="132" ht="22" customHeight="1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</x:row>
    <x:row r="133" ht="22" customHeight="1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</x:row>
    <x:row r="134" ht="22" customHeight="1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</x:row>
    <x:row r="135" ht="22" customHeight="1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</x:row>
    <x:row r="136" ht="22" customHeight="1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</x:row>
    <x:row r="137" ht="22" customHeight="1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</x:row>
    <x:row r="138" ht="22" customHeight="1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</x:row>
    <x:row r="139" ht="22" customHeight="1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</x:row>
    <x:row r="140" ht="22" customHeight="1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</x:row>
    <x:row r="141" ht="22" customHeight="1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</x:row>
    <x:row r="142" ht="22" customHeight="1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</x:row>
    <x:row r="143" ht="22" customHeight="1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</x:row>
    <x:row r="144" ht="22" customHeight="1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</x:row>
    <x:row r="145" ht="22" customHeight="1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</x:row>
    <x:row r="146" ht="22" customHeight="1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</x:row>
    <x:row r="147" ht="22" customHeight="1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</x:row>
    <x:row r="148" ht="22" customHeight="1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</x:row>
    <x:row r="149" ht="22" customHeight="1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</x:row>
    <x:row r="150" ht="22" customHeight="1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</x:row>
    <x:row r="151" ht="22" customHeight="1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</x:row>
    <x:row r="152" ht="22" customHeight="1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</x:row>
    <x:row r="153" ht="22" customHeight="1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</x:row>
    <x:row r="154" ht="22" customHeight="1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</x:row>
    <x:row r="155" ht="22" customHeight="1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</x:row>
    <x:row r="156" ht="22" customHeight="1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</x:row>
    <x:row r="157" ht="22" customHeight="1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</x:row>
    <x:row r="158" ht="22" customHeight="1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</x:row>
    <x:row r="159" ht="22" customHeight="1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</x:row>
    <x:row r="160" ht="22" customHeight="1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</x:row>
    <x:row r="161" ht="22" customHeight="1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</x:row>
    <x:row r="162" ht="22" customHeight="1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</x:row>
    <x:row r="163" ht="22" customHeight="1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</x:row>
    <x:row r="164" ht="22" customHeight="1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</x:row>
    <x:row r="165" ht="22" customHeight="1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</x:row>
    <x:row r="166" ht="22" customHeight="1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</x:row>
    <x:row r="167" ht="22" customHeight="1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</x:row>
    <x:row r="168" ht="22" customHeight="1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</x:row>
    <x:row r="169" ht="22" customHeight="1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</x:row>
    <x:row r="170" ht="22" customHeight="1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</x:row>
    <x:row r="171" ht="22" customHeight="1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</x:row>
    <x:row r="172" ht="22" customHeight="1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</x:row>
    <x:row r="173" ht="22" customHeight="1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</x:row>
    <x:row r="174" ht="22" customHeight="1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</x:row>
    <x:row r="175" ht="22" customHeight="1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</x:row>
    <x:row r="176" ht="22" customHeight="1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</x:row>
    <x:row r="177" ht="22" customHeight="1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</x:row>
    <x:row r="178" ht="22" customHeight="1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</x:row>
    <x:row r="179" ht="22" customHeight="1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</x:row>
    <x:row r="180" ht="22" customHeight="1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</x:row>
    <x:row r="181" ht="22" customHeight="1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</x:row>
    <x:row r="182" ht="22" customHeight="1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</x:row>
    <x:row r="183" ht="22" customHeight="1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</x:row>
    <x:row r="184" ht="22" customHeight="1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</x:row>
    <x:row r="185" ht="22" customHeight="1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</x:row>
    <x:row r="186" ht="22" customHeight="1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</x:row>
    <x:row r="187" ht="22" customHeight="1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</x:row>
    <x:row r="188" ht="22" customHeight="1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</x:row>
    <x:row r="189" ht="22" customHeight="1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</x:row>
    <x:row r="190" ht="22" customHeight="1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</x:row>
    <x:row r="191" ht="22" customHeight="1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</x:row>
    <x:row r="192" ht="22" customHeight="1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</x:row>
    <x:row r="193" ht="22" customHeight="1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</x:row>
    <x:row r="194" ht="22" customHeight="1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</x:row>
    <x:row r="195" ht="22" customHeight="1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</x:row>
    <x:row r="196" ht="22" customHeight="1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</x:row>
    <x:row r="197" ht="22" customHeight="1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</x:row>
    <x:row r="198" ht="22" customHeight="1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</x:row>
    <x:row r="199" ht="22" customHeight="1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</x:row>
    <x:row r="200" ht="22" customHeight="1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</x:row>
    <x:row r="201" ht="22" customHeight="1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</x:row>
    <x:row r="202" ht="22" customHeight="1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</x:row>
    <x:row r="203" ht="22" customHeight="1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</x:row>
    <x:row r="204" ht="22" customHeight="1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</x:row>
    <x:row r="205" ht="22" customHeight="1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</x:row>
    <x:row r="206" ht="22" customHeight="1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</x:row>
    <x:row r="207" ht="22" customHeight="1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</x:row>
    <x:row r="208" ht="22" customHeight="1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</x:row>
    <x:row r="209" ht="22" customHeight="1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</x:row>
    <x:row r="210" ht="22" customHeight="1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</x:row>
    <x:row r="211" ht="22" customHeight="1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</x:row>
    <x:row r="212" ht="22" customHeight="1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</x:row>
    <x:row r="213" ht="22" customHeight="1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</x:row>
    <x:row r="214" ht="22" customHeight="1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</x:row>
    <x:row r="215" ht="22" customHeight="1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</x:row>
    <x:row r="216" ht="22" customHeight="1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</x:row>
    <x:row r="217" ht="22" customHeight="1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</x:row>
    <x:row r="218" ht="22" customHeight="1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</x:row>
    <x:row r="219" ht="22" customHeight="1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</x:row>
    <x:row r="220" ht="22" customHeight="1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</x:row>
    <x:row r="221" ht="22" customHeight="1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</x:row>
    <x:row r="222" ht="22" customHeight="1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</x:row>
    <x:row r="223" ht="22" customHeight="1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</x:row>
    <x:row r="224" ht="22" customHeight="1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</x:row>
    <x:row r="225" ht="22" customHeight="1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</x:row>
    <x:row r="226" ht="22" customHeight="1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</x:row>
    <x:row r="227" ht="22" customHeight="1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</x:row>
    <x:row r="228" ht="22" customHeight="1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</x:row>
    <x:row r="229" ht="22" customHeight="1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</x:row>
    <x:row r="230" ht="22" customHeight="1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</x:row>
    <x:row r="231" ht="22" customHeight="1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</x:row>
    <x:row r="232" ht="22" customHeight="1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</x:row>
    <x:row r="233" ht="22" customHeight="1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</x:row>
    <x:row r="234" ht="22" customHeight="1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</x:row>
    <x:row r="235" ht="22" customHeight="1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</x:row>
    <x:row r="236" ht="22" customHeight="1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</x:row>
    <x:row r="237" ht="22" customHeight="1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</x:row>
    <x:row r="238" ht="22" customHeight="1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</x:row>
    <x:row r="239" ht="22" customHeight="1">
      <x:c r="A239" s="2"/>
      <x:c r="B239" s="2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</x:row>
    <x:row r="240" ht="22" customHeight="1">
      <x:c r="A240" s="2"/>
      <x:c r="B240" s="2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</x:row>
    <x:row r="241" ht="22" customHeight="1">
      <x:c r="A241" s="2"/>
      <x:c r="B241" s="2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</x:row>
    <x:row r="242" ht="22" customHeight="1">
      <x:c r="A242" s="2"/>
      <x:c r="B242" s="2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</x:row>
    <x:row r="243" ht="22" customHeight="1">
      <x:c r="A243" s="2"/>
      <x:c r="B243" s="2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</x:row>
    <x:row r="244" ht="22" customHeight="1">
      <x:c r="A244" s="2"/>
      <x:c r="B244" s="2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</x:row>
    <x:row r="245" ht="22" customHeight="1">
      <x:c r="A245" s="2"/>
      <x:c r="B245" s="2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</x:row>
    <x:row r="246" ht="22" customHeight="1">
      <x:c r="A246" s="2"/>
      <x:c r="B246" s="2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</x:row>
    <x:row r="247" ht="22" customHeight="1">
      <x:c r="A247" s="2"/>
      <x:c r="B247" s="2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</x:row>
    <x:row r="248" ht="22" customHeight="1">
      <x:c r="A248" s="2"/>
      <x:c r="B248" s="2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</x:row>
    <x:row r="249" ht="22" customHeight="1">
      <x:c r="A249" s="2"/>
      <x:c r="B249" s="2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</x:row>
    <x:row r="250" ht="22" customHeight="1">
      <x:c r="A250" s="2"/>
      <x:c r="B250" s="2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</x:row>
    <x:row r="251" ht="22" customHeight="1">
      <x:c r="A251" s="2"/>
      <x:c r="B251" s="2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</x:row>
    <x:row r="252" ht="22" customHeight="1">
      <x:c r="A252" s="2"/>
      <x:c r="B252" s="2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</x:row>
    <x:row r="253" ht="22" customHeight="1">
      <x:c r="A253" s="2"/>
      <x:c r="B253" s="2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</x:row>
    <x:row r="254" ht="22" customHeight="1">
      <x:c r="A254" s="2"/>
      <x:c r="B254" s="2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</x:row>
    <x:row r="255" ht="22" customHeight="1">
      <x:c r="A255" s="2"/>
      <x:c r="B255" s="2"/>
      <x:c r="C255" s="2"/>
      <x:c r="D255" s="2"/>
      <x:c r="E255" s="2"/>
      <x:c r="F255" s="2"/>
      <x:c r="G255" s="2"/>
      <x:c r="H255" s="2"/>
      <x:c r="I255" s="2"/>
      <x:c r="J255" s="2"/>
      <x:c r="K255" s="2"/>
      <x:c r="L255" s="2"/>
    </x:row>
    <x:row r="256" ht="22" customHeight="1">
      <x:c r="A256" s="2"/>
      <x:c r="B256" s="2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</x:row>
    <x:row r="257" ht="22" customHeight="1">
      <x:c r="A257" s="2"/>
      <x:c r="B257" s="2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</x:row>
    <x:row r="258" ht="22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</x:row>
    <x:row r="259" ht="22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</x:row>
    <x:row r="260" ht="22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</x:row>
    <x:row r="261" ht="22" customHeight="1">
      <x:c r="A261" s="2"/>
      <x:c r="B261" s="2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</x:row>
    <x:row r="262" ht="22" customHeight="1">
      <x:c r="A262" s="2"/>
      <x:c r="B262" s="2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</x:row>
    <x:row r="263" ht="22" customHeight="1">
      <x:c r="A263" s="2"/>
      <x:c r="B263" s="2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</x:row>
    <x:row r="264" ht="22" customHeight="1">
      <x:c r="A264" s="2"/>
      <x:c r="B264" s="2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</x:row>
    <x:row r="265" ht="22" customHeight="1">
      <x:c r="A265" s="2"/>
      <x:c r="B265" s="2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</x:row>
    <x:row r="266" ht="22" customHeight="1">
      <x:c r="A266" s="2"/>
      <x:c r="B266" s="2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</x:row>
    <x:row r="267" ht="22" customHeight="1">
      <x:c r="A267" s="2"/>
      <x:c r="B267" s="2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</x:row>
    <x:row r="268" ht="22" customHeight="1">
      <x:c r="A268" s="2"/>
      <x:c r="B268" s="2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</x:row>
    <x:row r="269" ht="22" customHeight="1">
      <x:c r="A269" s="2"/>
      <x:c r="B269" s="2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</x:row>
    <x:row r="270" ht="22" customHeight="1">
      <x:c r="A270" s="2"/>
      <x:c r="B270" s="2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</x:row>
    <x:row r="271" ht="22" customHeight="1">
      <x:c r="A271" s="2"/>
      <x:c r="B271" s="2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</x:row>
    <x:row r="272" ht="22" customHeight="1">
      <x:c r="A272" s="2"/>
      <x:c r="B272" s="2"/>
      <x:c r="C272" s="2"/>
      <x:c r="D272" s="2"/>
      <x:c r="E272" s="2"/>
      <x:c r="F272" s="2"/>
      <x:c r="G272" s="2"/>
      <x:c r="H272" s="2"/>
      <x:c r="I272" s="2"/>
      <x:c r="J272" s="2"/>
      <x:c r="K272" s="2"/>
      <x:c r="L272" s="2"/>
    </x:row>
    <x:row r="273" ht="22" customHeight="1">
      <x:c r="A273" s="2"/>
      <x:c r="B273" s="2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</x:row>
    <x:row r="274" ht="22" customHeight="1">
      <x:c r="A274" s="2"/>
      <x:c r="B274" s="2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</x:row>
    <x:row r="275" ht="22" customHeight="1">
      <x:c r="A275" s="2"/>
      <x:c r="B275" s="2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</x:row>
    <x:row r="276" ht="22" customHeight="1">
      <x:c r="A276" s="2"/>
      <x:c r="B276" s="2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</x:row>
    <x:row r="277" ht="22" customHeight="1">
      <x:c r="A277" s="2"/>
      <x:c r="B277" s="2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</x:row>
    <x:row r="278" ht="22" customHeight="1">
      <x:c r="A278" s="2"/>
      <x:c r="B278" s="2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</x:row>
    <x:row r="279" ht="22" customHeight="1">
      <x:c r="A279" s="2"/>
      <x:c r="B279" s="2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</x:row>
    <x:row r="280" ht="22" customHeight="1">
      <x:c r="A280" s="2"/>
      <x:c r="B280" s="2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</x:row>
    <x:row r="281" ht="22" customHeight="1">
      <x:c r="A281" s="2"/>
      <x:c r="B281" s="2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</x:row>
    <x:row r="282" ht="22" customHeight="1">
      <x:c r="A282" s="2"/>
      <x:c r="B282" s="2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</x:row>
    <x:row r="283" ht="22" customHeight="1">
      <x:c r="A283" s="2"/>
      <x:c r="B283" s="2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</x:row>
    <x:row r="284" ht="22" customHeight="1">
      <x:c r="A284" s="2"/>
      <x:c r="B284" s="2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</x:row>
    <x:row r="285" ht="22" customHeight="1">
      <x:c r="A285" s="2"/>
      <x:c r="B285" s="2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</x:row>
    <x:row r="286" ht="22" customHeight="1">
      <x:c r="A286" s="2"/>
      <x:c r="B286" s="2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</x:row>
    <x:row r="287" ht="22" customHeight="1">
      <x:c r="A287" s="2"/>
      <x:c r="B287" s="2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</x:row>
    <x:row r="288" ht="22" customHeight="1">
      <x:c r="A288" s="2"/>
      <x:c r="B288" s="2"/>
      <x:c r="C288" s="2"/>
      <x:c r="D288" s="2"/>
      <x:c r="E288" s="2"/>
      <x:c r="F288" s="2"/>
      <x:c r="G288" s="2"/>
      <x:c r="H288" s="2"/>
      <x:c r="I288" s="2"/>
      <x:c r="J288" s="2"/>
      <x:c r="K288" s="2"/>
      <x:c r="L288" s="2"/>
    </x:row>
    <x:row r="289" ht="22" customHeight="1">
      <x:c r="A289" s="2"/>
      <x:c r="B289" s="2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</x:row>
    <x:row r="290" ht="22" customHeight="1">
      <x:c r="A290" s="2"/>
      <x:c r="B290" s="2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</x:row>
    <x:row r="291" ht="22" customHeight="1">
      <x:c r="A291" s="2"/>
      <x:c r="B291" s="2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</x:row>
    <x:row r="292" ht="22" customHeight="1">
      <x:c r="A292" s="2"/>
      <x:c r="B292" s="2"/>
      <x:c r="C292" s="2"/>
      <x:c r="D292" s="2"/>
      <x:c r="E292" s="2"/>
      <x:c r="F292" s="2"/>
      <x:c r="G292" s="2"/>
      <x:c r="H292" s="2"/>
      <x:c r="I292" s="2"/>
      <x:c r="J292" s="2"/>
      <x:c r="K292" s="2"/>
      <x:c r="L292" s="2"/>
    </x:row>
    <x:row r="293" ht="22" customHeight="1">
      <x:c r="A293" s="2"/>
      <x:c r="B293" s="2"/>
      <x:c r="C293" s="2"/>
      <x:c r="D293" s="2"/>
      <x:c r="E293" s="2"/>
      <x:c r="F293" s="2"/>
      <x:c r="G293" s="2"/>
      <x:c r="H293" s="2"/>
      <x:c r="I293" s="2"/>
      <x:c r="J293" s="2"/>
      <x:c r="K293" s="2"/>
      <x:c r="L293" s="2"/>
    </x:row>
    <x:row r="294" ht="22" customHeight="1">
      <x:c r="A294" s="2"/>
      <x:c r="B294" s="2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</x:row>
    <x:row r="295" ht="22" customHeight="1">
      <x:c r="A295" s="2"/>
      <x:c r="B295" s="2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</x:row>
    <x:row r="296" ht="22" customHeight="1">
      <x:c r="A296" s="2"/>
      <x:c r="B296" s="2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</x:row>
    <x:row r="297" ht="22" customHeight="1">
      <x:c r="A297" s="2"/>
      <x:c r="B297" s="2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</x:row>
    <x:row r="298" ht="22" customHeight="1">
      <x:c r="A298" s="2"/>
      <x:c r="B298" s="2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</x:row>
    <x:row r="299" ht="22" customHeight="1">
      <x:c r="A299" s="2"/>
      <x:c r="B299" s="2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</x:row>
    <x:row r="300" ht="22" customHeight="1">
      <x:c r="A300" s="2"/>
      <x:c r="B300" s="2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</x:row>
    <x:row r="301" ht="22" customHeight="1">
      <x:c r="A301" s="2"/>
      <x:c r="B301" s="2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</x:row>
    <x:row r="302" ht="22" customHeight="1">
      <x:c r="A302" s="2"/>
      <x:c r="B302" s="2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</x:row>
    <x:row r="303" ht="22" customHeight="1">
      <x:c r="A303" s="2"/>
      <x:c r="B303" s="2"/>
      <x:c r="C303" s="2"/>
      <x:c r="D303" s="2"/>
      <x:c r="E303" s="2"/>
      <x:c r="F303" s="2"/>
      <x:c r="G303" s="2"/>
      <x:c r="H303" s="2"/>
      <x:c r="I303" s="2"/>
      <x:c r="J303" s="2"/>
      <x:c r="K303" s="2"/>
      <x:c r="L303" s="2"/>
    </x:row>
    <x:row r="304" ht="22" customHeight="1">
      <x:c r="A304" s="2"/>
      <x:c r="B304" s="2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</x:row>
    <x:row r="305" ht="22" customHeight="1">
      <x:c r="A305" s="2"/>
      <x:c r="B305" s="2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</x:row>
    <x:row r="306" ht="22" customHeight="1">
      <x:c r="A306" s="2"/>
      <x:c r="B306" s="2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</x:row>
    <x:row r="307" ht="22" customHeight="1">
      <x:c r="A307" s="2"/>
      <x:c r="B307" s="2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</x:row>
    <x:row r="308" ht="22" customHeight="1">
      <x:c r="A308" s="2"/>
      <x:c r="B308" s="2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</x:row>
    <x:row r="309" ht="22" customHeight="1">
      <x:c r="A309" s="2"/>
      <x:c r="B309" s="2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</x:row>
    <x:row r="310" ht="22" customHeight="1">
      <x:c r="A310" s="2"/>
      <x:c r="B310" s="2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</x:row>
    <x:row r="311" ht="22" customHeight="1">
      <x:c r="A311" s="2"/>
      <x:c r="B311" s="2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</x:row>
    <x:row r="312" ht="22" customHeight="1">
      <x:c r="A312" s="2"/>
      <x:c r="B312" s="2"/>
      <x:c r="C312" s="2"/>
      <x:c r="D312" s="2"/>
      <x:c r="E312" s="2"/>
      <x:c r="F312" s="2"/>
      <x:c r="G312" s="2"/>
      <x:c r="H312" s="2"/>
      <x:c r="I312" s="2"/>
      <x:c r="J312" s="2"/>
      <x:c r="K312" s="2"/>
      <x:c r="L312" s="2"/>
    </x:row>
    <x:row r="313" ht="22" customHeight="1">
      <x:c r="A313" s="2"/>
      <x:c r="B313" s="2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</x:row>
    <x:row r="314" ht="22" customHeight="1">
      <x:c r="A314" s="2"/>
      <x:c r="B314" s="2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</x:row>
    <x:row r="315" ht="22" customHeight="1">
      <x:c r="A315" s="2"/>
      <x:c r="B315" s="2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</x:row>
    <x:row r="316" ht="22" customHeight="1">
      <x:c r="A316" s="2"/>
      <x:c r="B316" s="2"/>
      <x:c r="C316" s="2"/>
      <x:c r="D316" s="2"/>
      <x:c r="E316" s="2"/>
      <x:c r="F316" s="2"/>
      <x:c r="G316" s="2"/>
      <x:c r="H316" s="2"/>
      <x:c r="I316" s="2"/>
      <x:c r="J316" s="2"/>
      <x:c r="K316" s="2"/>
      <x:c r="L316" s="2"/>
    </x:row>
    <x:row r="317" ht="22" customHeight="1">
      <x:c r="A317" s="2"/>
      <x:c r="B317" s="2"/>
      <x:c r="C317" s="2"/>
      <x:c r="D317" s="2"/>
      <x:c r="E317" s="2"/>
      <x:c r="F317" s="2"/>
      <x:c r="G317" s="2"/>
      <x:c r="H317" s="2"/>
      <x:c r="I317" s="2"/>
      <x:c r="J317" s="2"/>
      <x:c r="K317" s="2"/>
      <x:c r="L317" s="2"/>
    </x:row>
    <x:row r="318" ht="22" customHeight="1">
      <x:c r="A318" s="2"/>
      <x:c r="B318" s="2"/>
      <x:c r="C318" s="2"/>
      <x:c r="D318" s="2"/>
      <x:c r="E318" s="2"/>
      <x:c r="F318" s="2"/>
      <x:c r="G318" s="2"/>
      <x:c r="H318" s="2"/>
      <x:c r="I318" s="2"/>
      <x:c r="J318" s="2"/>
      <x:c r="K318" s="2"/>
      <x:c r="L318" s="2"/>
    </x:row>
    <x:row r="319" ht="22" customHeight="1">
      <x:c r="A319" s="2"/>
      <x:c r="B319" s="2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</x:row>
    <x:row r="320" ht="22" customHeight="1">
      <x:c r="A320" s="2"/>
      <x:c r="B320" s="2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</x:row>
    <x:row r="321" ht="22" customHeight="1">
      <x:c r="A321" s="2"/>
      <x:c r="B321" s="2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</x:row>
    <x:row r="322" ht="22" customHeight="1">
      <x:c r="A322" s="2"/>
      <x:c r="B322" s="2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</x:row>
    <x:row r="323" ht="22" customHeight="1">
      <x:c r="A323" s="2"/>
      <x:c r="B323" s="2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</x:row>
    <x:row r="324" ht="22" customHeight="1">
      <x:c r="A324" s="2"/>
      <x:c r="B324" s="2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</x:row>
    <x:row r="325" ht="22" customHeight="1">
      <x:c r="A325" s="2"/>
      <x:c r="B325" s="2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</x:row>
    <x:row r="326" ht="22" customHeight="1">
      <x:c r="A326" s="2"/>
      <x:c r="B326" s="2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</x:row>
    <x:row r="327" ht="22" customHeight="1">
      <x:c r="A327" s="2"/>
      <x:c r="B327" s="2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</x:row>
    <x:row r="328" ht="22" customHeight="1">
      <x:c r="A328" s="2"/>
      <x:c r="B328" s="2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</x:row>
    <x:row r="329" ht="22" customHeight="1">
      <x:c r="A329" s="2"/>
      <x:c r="B329" s="2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</x:row>
    <x:row r="330" ht="22" customHeight="1">
      <x:c r="A330" s="2"/>
      <x:c r="B330" s="2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</x:row>
    <x:row r="331" ht="22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</x:row>
    <x:row r="332" ht="22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</x:row>
    <x:row r="333" ht="22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</x:row>
    <x:row r="334" ht="22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</x:row>
    <x:row r="335" ht="22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</x:row>
    <x:row r="336" ht="22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</x:row>
    <x:row r="337" ht="22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</x:row>
    <x:row r="338" ht="22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</x:row>
    <x:row r="339" ht="22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</x:row>
    <x:row r="340" ht="22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</x:row>
    <x:row r="341" ht="22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</x:row>
    <x:row r="342" ht="22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</x:row>
    <x:row r="343" ht="22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</x:row>
    <x:row r="344" ht="22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</x:row>
    <x:row r="345" ht="22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</x:row>
    <x:row r="346" ht="22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</x:row>
    <x:row r="347" ht="22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</x:row>
    <x:row r="348" ht="22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</x:row>
    <x:row r="349" ht="22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</x:row>
    <x:row r="350" ht="22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</x:row>
    <x:row r="351" ht="22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</x:row>
    <x:row r="352" ht="22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</x:row>
    <x:row r="353" ht="22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</x:row>
    <x:row r="354" ht="22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</x:row>
    <x:row r="355" ht="22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</x:row>
    <x:row r="356" ht="22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</x:row>
    <x:row r="357" ht="22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</x:row>
    <x:row r="358" ht="22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</x:row>
    <x:row r="359" ht="22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</x:row>
    <x:row r="360" ht="22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</x:row>
    <x:row r="361" ht="22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</x:row>
    <x:row r="362" ht="22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</x:row>
    <x:row r="363" ht="22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2"/>
    </x:row>
    <x:row r="364" ht="22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</x:row>
    <x:row r="365" ht="22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</x:row>
    <x:row r="366" ht="22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</x:row>
    <x:row r="367" ht="22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</x:row>
    <x:row r="368" ht="22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</x:row>
    <x:row r="369" ht="22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</x:row>
    <x:row r="370" ht="22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</x:row>
    <x:row r="371" ht="22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</x:row>
    <x:row r="372" ht="22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</x:row>
    <x:row r="373" ht="22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</x:row>
    <x:row r="374" ht="22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</x:row>
    <x:row r="375" ht="22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</x:row>
    <x:row r="376" ht="22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</x:row>
    <x:row r="377" ht="22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</x:row>
    <x:row r="378" ht="22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</x:row>
    <x:row r="379" ht="22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</x:row>
    <x:row r="380" ht="22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</x:row>
    <x:row r="381" ht="22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</x:row>
    <x:row r="382" ht="22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</x:row>
    <x:row r="383" ht="22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</x:row>
    <x:row r="384" ht="22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</x:row>
    <x:row r="385" ht="22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</x:row>
    <x:row r="386" ht="22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</x:row>
    <x:row r="387" ht="22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</x:row>
    <x:row r="388" ht="22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</x:row>
    <x:row r="389" ht="22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</x:row>
    <x:row r="390" ht="22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</x:row>
    <x:row r="391" ht="22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</x:row>
    <x:row r="392" ht="22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</x:row>
    <x:row r="393" ht="22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</x:row>
    <x:row r="394" ht="22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</x:row>
    <x:row r="395" ht="22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</x:row>
    <x:row r="396" ht="22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2"/>
    </x:row>
    <x:row r="397" ht="22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</x:row>
    <x:row r="398" ht="22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</x:row>
    <x:row r="399" ht="22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</x:row>
    <x:row r="400" ht="22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</x:row>
    <x:row r="401" ht="22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</x:row>
    <x:row r="402" ht="22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</x:row>
    <x:row r="403" ht="22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</x:row>
    <x:row r="404" ht="22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</x:row>
    <x:row r="405" ht="22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</x:row>
    <x:row r="406" ht="22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</x:row>
    <x:row r="407" ht="22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</x:row>
    <x:row r="408" ht="22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</x:row>
    <x:row r="409" ht="22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</x:row>
    <x:row r="410" ht="22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</x:row>
    <x:row r="411" ht="22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</x:row>
    <x:row r="412" ht="22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</x:row>
    <x:row r="413" ht="22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</x:row>
    <x:row r="414" ht="22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</x:row>
    <x:row r="415" ht="22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</x:row>
    <x:row r="416" ht="22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</x:row>
    <x:row r="417" ht="22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</x:row>
    <x:row r="418" ht="22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</x:row>
    <x:row r="419" ht="22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</x:row>
    <x:row r="420" ht="22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</x:row>
    <x:row r="421" ht="22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</x:row>
    <x:row r="422" ht="22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</x:row>
    <x:row r="423" ht="22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</x:row>
    <x:row r="424" ht="22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</x:row>
    <x:row r="425" ht="22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</x:row>
    <x:row r="426" ht="22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</x:row>
    <x:row r="427" ht="22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</x:row>
    <x:row r="428" ht="22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</x:row>
    <x:row r="429" ht="22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</x:row>
    <x:row r="430" ht="22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</x:row>
    <x:row r="431" ht="22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</x:row>
    <x:row r="432" ht="22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</x:row>
    <x:row r="433" ht="22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</x:row>
    <x:row r="434" ht="22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</x:row>
    <x:row r="435" ht="22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</x:row>
    <x:row r="436" ht="22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</x:row>
    <x:row r="437" ht="22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</x:row>
    <x:row r="438" ht="22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</x:row>
    <x:row r="439" ht="22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</x:row>
    <x:row r="440" ht="22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</x:row>
    <x:row r="441" ht="22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</x:row>
    <x:row r="442" ht="22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</x:row>
    <x:row r="443" ht="22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</x:row>
    <x:row r="444" ht="22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</x:row>
    <x:row r="445" ht="22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</x:row>
    <x:row r="446" ht="22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</x:row>
    <x:row r="447" ht="22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</x:row>
    <x:row r="448" ht="22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</x:row>
    <x:row r="449" ht="22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</x:row>
    <x:row r="450" ht="22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</x:row>
    <x:row r="451" ht="22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</x:row>
    <x:row r="452" ht="22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2"/>
    </x:row>
    <x:row r="453" ht="22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2"/>
    </x:row>
    <x:row r="454" ht="22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2"/>
    </x:row>
    <x:row r="455" ht="22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</x:row>
    <x:row r="456" ht="22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</x:row>
    <x:row r="457" ht="22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</x:row>
    <x:row r="458" ht="22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</x:row>
    <x:row r="459" ht="22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</x:row>
    <x:row r="460" ht="22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</x:row>
    <x:row r="461" ht="22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</x:row>
    <x:row r="462" ht="22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</x:row>
    <x:row r="463" ht="22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</x:row>
    <x:row r="464" ht="22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</x:row>
    <x:row r="465" ht="22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</x:row>
    <x:row r="466" ht="22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</x:row>
    <x:row r="467" ht="22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</x:row>
    <x:row r="468" ht="22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</x:row>
    <x:row r="469" ht="22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</x:row>
    <x:row r="470" ht="22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</x:row>
    <x:row r="471" ht="22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</x:row>
    <x:row r="472" ht="22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</x:row>
    <x:row r="473" ht="22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</x:row>
    <x:row r="474" ht="22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</x:row>
    <x:row r="475" ht="22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</x:row>
    <x:row r="476" ht="22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</x:row>
    <x:row r="477" ht="22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</x:row>
    <x:row r="478" ht="22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</x:row>
    <x:row r="479" ht="22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</x:row>
    <x:row r="480" ht="22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</x:row>
    <x:row r="481" ht="22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</x:row>
    <x:row r="482" ht="22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</x:row>
    <x:row r="483" ht="22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</x:row>
    <x:row r="484" ht="22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</x:row>
    <x:row r="485" ht="22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</x:row>
    <x:row r="486" ht="22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</x:row>
    <x:row r="487" ht="22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</x:row>
    <x:row r="488" ht="22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</x:row>
    <x:row r="489" ht="22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</x:row>
    <x:row r="490" ht="22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</x:row>
    <x:row r="491" ht="22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</x:row>
    <x:row r="492" ht="22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</x:row>
    <x:row r="493" ht="22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</x:row>
    <x:row r="494" ht="22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</x:row>
    <x:row r="495" ht="22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</x:row>
    <x:row r="496" ht="22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</x:row>
    <x:row r="497" ht="22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</x:row>
    <x:row r="498" ht="22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</x:row>
    <x:row r="499" ht="22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</x:row>
    <x:row r="500" ht="22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</x:row>
    <x:row r="501" ht="22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</x:row>
    <x:row r="502" ht="22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</x:row>
    <x:row r="503" ht="22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</x:row>
    <x:row r="504" ht="22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</x:row>
    <x:row r="505" ht="22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</x:row>
    <x:row r="506" ht="22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</x:row>
    <x:row r="507" ht="22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</x:row>
    <x:row r="508" ht="22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</x:row>
    <x:row r="509" ht="22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</x:row>
    <x:row r="510" ht="22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</x:row>
    <x:row r="511" ht="22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</x:row>
    <x:row r="512" ht="22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</x:row>
    <x:row r="513" ht="22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</x:row>
    <x:row r="514" ht="22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</x:row>
    <x:row r="515" ht="22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</x:row>
    <x:row r="516" ht="22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</x:row>
    <x:row r="517" ht="22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</x:row>
    <x:row r="518" ht="22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</x:row>
    <x:row r="519" ht="22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</x:row>
    <x:row r="520" ht="22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</x:row>
    <x:row r="521" ht="22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</x:row>
    <x:row r="522" ht="22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</x:row>
    <x:row r="523" ht="22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</x:row>
    <x:row r="524" ht="22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</x:row>
    <x:row r="525" ht="22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</x:row>
    <x:row r="526" ht="22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</x:row>
    <x:row r="527" ht="22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</x:row>
    <x:row r="528" ht="22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</x:row>
    <x:row r="529" ht="22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</x:row>
    <x:row r="530" ht="22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</x:row>
    <x:row r="531" ht="22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</x:row>
    <x:row r="532" ht="22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</x:row>
    <x:row r="533" ht="22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</x:row>
    <x:row r="534" ht="22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</x:row>
    <x:row r="535" ht="22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</x:row>
    <x:row r="536" ht="22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</x:row>
    <x:row r="537" ht="22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</x:row>
    <x:row r="538" ht="22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</x:row>
    <x:row r="539" ht="22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</x:row>
    <x:row r="540" ht="22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</x:row>
    <x:row r="541" ht="22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</x:row>
    <x:row r="542" ht="22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</x:row>
    <x:row r="543" ht="22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</x:row>
    <x:row r="544" ht="22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</x:row>
    <x:row r="545" ht="22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</x:row>
    <x:row r="546" ht="22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</x:row>
    <x:row r="547" ht="22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</x:row>
    <x:row r="548" ht="22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</x:row>
    <x:row r="549" ht="22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</x:row>
    <x:row r="550" ht="22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</x:row>
  </x:sheetData>
  <x:mergeCells>
    <x:mergeCell ref="B27:H28"/>
    <x:mergeCell ref="C33:D33"/>
    <x:mergeCell ref="E33:H33"/>
    <x:mergeCell ref="C34:D34"/>
    <x:mergeCell ref="E34:H34"/>
    <x:mergeCell ref="C35:D35"/>
    <x:mergeCell ref="E35:H35"/>
    <x:mergeCell ref="C36:D36"/>
    <x:mergeCell ref="E36:H36"/>
    <x:mergeCell ref="C37:D37"/>
    <x:mergeCell ref="E37:H37"/>
    <x:mergeCell ref="C38:D38"/>
    <x:mergeCell ref="E38:H38"/>
  </x:mergeCells>
  <x:dataValidations count="1">
    <x:dataValidation type="list" sqref="B5">
      <x:formula1>INDIRECT("Data!$B$2:$B$501")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B38635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" hidden="0" customWidth="1"/>
    <x:col min="2" max="2" width="43" hidden="0" customWidth="1"/>
    <x:col min="3" max="3" width="14" hidden="0" customWidth="1"/>
    <x:col min="4" max="4" width="17" hidden="0" customWidth="1"/>
    <x:col min="5" max="5" width="13" hidden="0" customWidth="1"/>
    <x:col min="6" max="6" width="18" hidden="0" customWidth="1"/>
    <x:col min="7" max="7" width="14" hidden="0" customWidth="1"/>
    <x:col min="8" max="8" width="60" hidden="0" customWidth="1"/>
    <x:col min="9" max="9" width="20" hidden="0" customWidth="1"/>
    <x:col min="10" max="10" width="18" hidden="0" customWidth="1"/>
    <x:col min="11" max="11" width="18" hidden="0" customWidth="1"/>
    <x:col min="12" max="12" width="21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2" customHeight="1">
      <x:c r="A2" s="3" t="str">
        <x:v>Staff review and service list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2" customHeight="1">
      <x:c r="A3" s="4" t="str">
        <x:v>Filter School name. Set Already served to Yes to remove a school from targets; No means unchecked. Amber cells are editable.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2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2" customHeight="1">
      <x:c r="A5" s="2" t="str">
        <x:v>Food evidence is optional for initial targeting. Enter a verified value, date and evidence to replace a listed estimate.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2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34" customHeight="1">
      <x:c r="A7" s="12" t="str">
        <x:v>School ID</x:v>
      </x:c>
      <x:c r="B7" s="12" t="str">
        <x:v>School name</x:v>
      </x:c>
      <x:c r="C7" s="12" t="str">
        <x:v>Already served</x:v>
      </x:c>
      <x:c r="D7" s="12" t="str">
        <x:v>Verified fresh miles</x:v>
      </x:c>
      <x:c r="E7" s="12" t="str">
        <x:v>Fresh checked</x:v>
      </x:c>
      <x:c r="F7" s="12" t="str">
        <x:v>Verified resources ≤1mi</x:v>
      </x:c>
      <x:c r="G7" s="12" t="str">
        <x:v>Resources checked</x:v>
      </x:c>
      <x:c r="H7" s="12" t="str">
        <x:v>Evidence / notes</x:v>
      </x:c>
      <x:c r="I7" s="12" t="str">
        <x:v>Owner</x:v>
      </x:c>
      <x:c r="J7" s="12" t="str">
        <x:v>Contact stage</x:v>
      </x:c>
      <x:c r="K7" s="12" t="str">
        <x:v>Readiness</x:v>
      </x:c>
      <x:c r="L7" s="12" t="str">
        <x:v>Record status</x:v>
      </x:c>
    </x:row>
    <x:row r="8" ht="32" customHeight="1">
      <x:c r="A8" s="2" t="str">
        <x:v>6090</x:v>
      </x:c>
      <x:c r="B8" s="20" t="str">
        <x:f>IF(A8="","",IF(COUNTIFS(Data!$A$2:$A$501,A8)=1,INDEX(Data!$B$2:$B$501,MATCH(A8,Data!$A$2:$A$501,0)),"Not in current directory"))</x:f>
        <x:v>A. Philip Randolph Career and Technical High School</x:v>
      </x:c>
      <x:c r="C8" s="17" t="str">
        <x:v>No</x:v>
      </x:c>
      <x:c r="D8" s="17"/>
      <x:c r="E8" s="18"/>
      <x:c r="F8" s="17"/>
      <x:c r="G8" s="18"/>
      <x:c r="H8" s="17" t="str"/>
      <x:c r="I8" s="17" t="str"/>
      <x:c r="J8" s="17" t="str">
        <x:v>Not contacted</x:v>
      </x:c>
      <x:c r="K8" s="17" t="str">
        <x:v>Unknown</x:v>
      </x:c>
      <x:c r="L8" s="2" t="str">
        <x:f>IF(A8="","",IF(COUNTIFS($A$8:$A$507,A8)&lt;&gt;1,"Duplicate ID",IF(COUNTIFS(Data!$A$2:$A$501,A8)&lt;&gt;1,"Not current","Current")))</x:f>
        <x:v>Current</x:v>
      </x:c>
    </x:row>
    <x:row r="9" ht="32" customHeight="1">
      <x:c r="A9" s="2" t="str">
        <x:v>8010</x:v>
      </x:c>
      <x:c r="B9" s="20" t="str">
        <x:f>IF(A9="","",IF(COUNTIFS(Data!$A$2:$A$501,A9)=1,INDEX(Data!$B$2:$B$501,MATCH(A9,Data!$A$2:$A$501,0)),"Not in current directory"))</x:f>
        <x:v>Abraham Lincoln High School</x:v>
      </x:c>
      <x:c r="C9" s="17" t="str">
        <x:v>No</x:v>
      </x:c>
      <x:c r="D9" s="17"/>
      <x:c r="E9" s="18"/>
      <x:c r="F9" s="17"/>
      <x:c r="G9" s="18"/>
      <x:c r="H9" s="17" t="str"/>
      <x:c r="I9" s="17" t="str"/>
      <x:c r="J9" s="17" t="str">
        <x:v>Not contacted</x:v>
      </x:c>
      <x:c r="K9" s="17" t="str">
        <x:v>Unknown</x:v>
      </x:c>
      <x:c r="L9" s="2" t="str">
        <x:f>IF(A9="","",IF(COUNTIFS($A$8:$A$507,A9)&lt;&gt;1,"Duplicate ID",IF(COUNTIFS(Data!$A$2:$A$501,A9)&lt;&gt;1,"Not current","Current")))</x:f>
        <x:v>Current</x:v>
      </x:c>
    </x:row>
    <x:row r="10" ht="32" customHeight="1">
      <x:c r="A10" s="2" t="str">
        <x:v>2520</x:v>
      </x:c>
      <x:c r="B10" s="20" t="str">
        <x:f>IF(A10="","",IF(COUNTIFS(Data!$A$2:$A$501,A10)=1,INDEX(Data!$B$2:$B$501,MATCH(A10,Data!$A$2:$A$501,0)),"Not in current directory"))</x:f>
        <x:v>Abram S. Jenks School</x:v>
      </x:c>
      <x:c r="C10" s="17" t="str">
        <x:v>No</x:v>
      </x:c>
      <x:c r="D10" s="17"/>
      <x:c r="E10" s="18"/>
      <x:c r="F10" s="17"/>
      <x:c r="G10" s="18"/>
      <x:c r="H10" s="17" t="str"/>
      <x:c r="I10" s="17" t="str"/>
      <x:c r="J10" s="17" t="str">
        <x:v>Not contacted</x:v>
      </x:c>
      <x:c r="K10" s="17" t="str">
        <x:v>Unknown</x:v>
      </x:c>
      <x:c r="L10" s="2" t="str">
        <x:f>IF(A10="","",IF(COUNTIFS($A$8:$A$507,A10)&lt;&gt;1,"Duplicate ID",IF(COUNTIFS(Data!$A$2:$A$501,A10)&lt;&gt;1,"Not current","Current")))</x:f>
        <x:v>Current</x:v>
      </x:c>
    </x:row>
    <x:row r="11" ht="32" customHeight="1">
      <x:c r="A11" s="2" t="str">
        <x:v>2620</x:v>
      </x:c>
      <x:c r="B11" s="20" t="str">
        <x:f>IF(A11="","",IF(COUNTIFS(Data!$A$2:$A$501,A11)=1,INDEX(Data!$B$2:$B$501,MATCH(A11,Data!$A$2:$A$501,0)),"Not in current directory"))</x:f>
        <x:v>Academy at Palumbo</x:v>
      </x:c>
      <x:c r="C11" s="17" t="str">
        <x:v>No</x:v>
      </x:c>
      <x:c r="D11" s="17"/>
      <x:c r="E11" s="18"/>
      <x:c r="F11" s="17"/>
      <x:c r="G11" s="18"/>
      <x:c r="H11" s="17" t="str"/>
      <x:c r="I11" s="17" t="str"/>
      <x:c r="J11" s="17" t="str">
        <x:v>Not contacted</x:v>
      </x:c>
      <x:c r="K11" s="17" t="str">
        <x:v>Unknown</x:v>
      </x:c>
      <x:c r="L11" s="2" t="str">
        <x:f>IF(A11="","",IF(COUNTIFS($A$8:$A$507,A11)&lt;&gt;1,"Duplicate ID",IF(COUNTIFS(Data!$A$2:$A$501,A11)&lt;&gt;1,"Not current","Current")))</x:f>
        <x:v>Current</x:v>
      </x:c>
    </x:row>
    <x:row r="12" ht="32" customHeight="1">
      <x:c r="A12" s="2" t="str">
        <x:v>6480</x:v>
      </x:c>
      <x:c r="B12" s="20" t="str">
        <x:f>IF(A12="","",IF(COUNTIFS(Data!$A$2:$A$501,A12)=1,INDEX(Data!$B$2:$B$501,MATCH(A12,Data!$A$2:$A$501,0)),"Not in current directory"))</x:f>
        <x:v>Academy for the Middle Years at Northwest</x:v>
      </x:c>
      <x:c r="C12" s="17" t="str">
        <x:v>No</x:v>
      </x:c>
      <x:c r="D12" s="17"/>
      <x:c r="E12" s="18"/>
      <x:c r="F12" s="17"/>
      <x:c r="G12" s="18"/>
      <x:c r="H12" s="17" t="str"/>
      <x:c r="I12" s="17" t="str"/>
      <x:c r="J12" s="17" t="str">
        <x:v>Not contacted</x:v>
      </x:c>
      <x:c r="K12" s="17" t="str">
        <x:v>Unknown</x:v>
      </x:c>
      <x:c r="L12" s="2" t="str">
        <x:f>IF(A12="","",IF(COUNTIFS($A$8:$A$507,A12)&lt;&gt;1,"Duplicate ID",IF(COUNTIFS(Data!$A$2:$A$501,A12)&lt;&gt;1,"Not current","Current")))</x:f>
        <x:v>Current</x:v>
      </x:c>
    </x:row>
    <x:row r="13" ht="32" customHeight="1">
      <x:c r="A13" s="2" t="str">
        <x:v>2310</x:v>
      </x:c>
      <x:c r="B13" s="20" t="str">
        <x:f>IF(A13="","",IF(COUNTIFS(Data!$A$2:$A$501,A13)=1,INDEX(Data!$B$2:$B$501,MATCH(A13,Data!$A$2:$A$501,0)),"Not in current directory"))</x:f>
        <x:v>Achieve Academy of Philadelphia</x:v>
      </x:c>
      <x:c r="C13" s="17" t="str">
        <x:v>No</x:v>
      </x:c>
      <x:c r="D13" s="17"/>
      <x:c r="E13" s="18"/>
      <x:c r="F13" s="17"/>
      <x:c r="G13" s="18"/>
      <x:c r="H13" s="17" t="str"/>
      <x:c r="I13" s="17" t="str"/>
      <x:c r="J13" s="17" t="str">
        <x:v>Not contacted</x:v>
      </x:c>
      <x:c r="K13" s="17" t="str">
        <x:v>Unknown</x:v>
      </x:c>
      <x:c r="L13" s="2" t="str">
        <x:f>IF(A13="","",IF(COUNTIFS($A$8:$A$507,A13)&lt;&gt;1,"Duplicate ID",IF(COUNTIFS(Data!$A$2:$A$501,A13)&lt;&gt;1,"Not current","Current")))</x:f>
        <x:v>Current</x:v>
      </x:c>
    </x:row>
    <x:row r="14" ht="32" customHeight="1">
      <x:c r="A14" s="2" t="str">
        <x:v>3820</x:v>
      </x:c>
      <x:c r="B14" s="20" t="str">
        <x:f>IF(A14="","",IF(COUNTIFS(Data!$A$2:$A$501,A14)=1,INDEX(Data!$B$2:$B$501,MATCH(A14,Data!$A$2:$A$501,0)),"Not in current directory"))</x:f>
        <x:v>Achieve Academy of Philadelphia - East Campus</x:v>
      </x:c>
      <x:c r="C14" s="17" t="str">
        <x:v>No</x:v>
      </x:c>
      <x:c r="D14" s="17"/>
      <x:c r="E14" s="18"/>
      <x:c r="F14" s="17"/>
      <x:c r="G14" s="18"/>
      <x:c r="H14" s="17" t="str"/>
      <x:c r="I14" s="17" t="str"/>
      <x:c r="J14" s="17" t="str">
        <x:v>Not contacted</x:v>
      </x:c>
      <x:c r="K14" s="17" t="str">
        <x:v>Unknown</x:v>
      </x:c>
      <x:c r="L14" s="2" t="str">
        <x:f>IF(A14="","",IF(COUNTIFS($A$8:$A$507,A14)&lt;&gt;1,"Duplicate ID",IF(COUNTIFS(Data!$A$2:$A$501,A14)&lt;&gt;1,"Not current","Current")))</x:f>
        <x:v>Current</x:v>
      </x:c>
    </x:row>
    <x:row r="15" ht="32" customHeight="1">
      <x:c r="A15" s="2" t="str">
        <x:v>3379</x:v>
      </x:c>
      <x:c r="B15" s="20" t="str">
        <x:f>IF(A15="","",IF(COUNTIFS(Data!$A$2:$A$501,A15)=1,INDEX(Data!$B$2:$B$501,MATCH(A15,Data!$A$2:$A$501,0)),"Not in current directory"))</x:f>
        <x:v>Ad Prima Charter School</x:v>
      </x:c>
      <x:c r="C15" s="17" t="str">
        <x:v>No</x:v>
      </x:c>
      <x:c r="D15" s="17"/>
      <x:c r="E15" s="18"/>
      <x:c r="F15" s="17"/>
      <x:c r="G15" s="18"/>
      <x:c r="H15" s="17" t="str"/>
      <x:c r="I15" s="17" t="str"/>
      <x:c r="J15" s="17" t="str">
        <x:v>Not contacted</x:v>
      </x:c>
      <x:c r="K15" s="17" t="str">
        <x:v>Unknown</x:v>
      </x:c>
      <x:c r="L15" s="2" t="str">
        <x:f>IF(A15="","",IF(COUNTIFS($A$8:$A$507,A15)&lt;&gt;1,"Duplicate ID",IF(COUNTIFS(Data!$A$2:$A$501,A15)&lt;&gt;1,"Not current","Current")))</x:f>
        <x:v>Current</x:v>
      </x:c>
    </x:row>
    <x:row r="16" ht="32" customHeight="1">
      <x:c r="A16" s="2" t="str">
        <x:v>1460</x:v>
      </x:c>
      <x:c r="B16" s="20" t="str">
        <x:f>IF(A16="","",IF(COUNTIFS(Data!$A$2:$A$501,A16)=1,INDEX(Data!$B$2:$B$501,MATCH(A16,Data!$A$2:$A$501,0)),"Not in current directory"))</x:f>
        <x:v>Add B. Anderson School</x:v>
      </x:c>
      <x:c r="C16" s="17" t="str">
        <x:v>No</x:v>
      </x:c>
      <x:c r="D16" s="17"/>
      <x:c r="E16" s="18"/>
      <x:c r="F16" s="17"/>
      <x:c r="G16" s="18"/>
      <x:c r="H16" s="17" t="str"/>
      <x:c r="I16" s="17" t="str"/>
      <x:c r="J16" s="17" t="str">
        <x:v>Not contacted</x:v>
      </x:c>
      <x:c r="K16" s="17" t="str">
        <x:v>Unknown</x:v>
      </x:c>
      <x:c r="L16" s="2" t="str">
        <x:f>IF(A16="","",IF(COUNTIFS($A$8:$A$507,A16)&lt;&gt;1,"Duplicate ID",IF(COUNTIFS(Data!$A$2:$A$501,A16)&lt;&gt;1,"Not current","Current")))</x:f>
        <x:v>Current</x:v>
      </x:c>
    </x:row>
    <x:row r="17" ht="32" customHeight="1">
      <x:c r="A17" s="2" t="str">
        <x:v>1470</x:v>
      </x:c>
      <x:c r="B17" s="20" t="str">
        <x:f>IF(A17="","",IF(COUNTIFS(Data!$A$2:$A$501,A17)=1,INDEX(Data!$B$2:$B$501,MATCH(A17,Data!$A$2:$A$501,0)),"Not in current directory"))</x:f>
        <x:v>Alain Locke School</x:v>
      </x:c>
      <x:c r="C17" s="17" t="str">
        <x:v>No</x:v>
      </x:c>
      <x:c r="D17" s="17"/>
      <x:c r="E17" s="18"/>
      <x:c r="F17" s="17"/>
      <x:c r="G17" s="18"/>
      <x:c r="H17" s="17" t="str"/>
      <x:c r="I17" s="17" t="str"/>
      <x:c r="J17" s="17" t="str">
        <x:v>Not contacted</x:v>
      </x:c>
      <x:c r="K17" s="17" t="str">
        <x:v>Unknown</x:v>
      </x:c>
      <x:c r="L17" s="2" t="str">
        <x:f>IF(A17="","",IF(COUNTIFS($A$8:$A$507,A17)&lt;&gt;1,"Duplicate ID",IF(COUNTIFS(Data!$A$2:$A$501,A17)&lt;&gt;1,"Not current","Current")))</x:f>
        <x:v>Current</x:v>
      </x:c>
    </x:row>
    <x:row r="18" ht="32" customHeight="1">
      <x:c r="A18" s="2" t="str">
        <x:v>2470</x:v>
      </x:c>
      <x:c r="B18" s="20" t="str">
        <x:f>IF(A18="","",IF(COUNTIFS(Data!$A$2:$A$501,A18)=1,INDEX(Data!$B$2:$B$501,MATCH(A18,Data!$A$2:$A$501,0)),"Not in current directory"))</x:f>
        <x:v>Albert M. Greenfield School</x:v>
      </x:c>
      <x:c r="C18" s="17" t="str">
        <x:v>No</x:v>
      </x:c>
      <x:c r="D18" s="17"/>
      <x:c r="E18" s="18"/>
      <x:c r="F18" s="17"/>
      <x:c r="G18" s="18"/>
      <x:c r="H18" s="17" t="str"/>
      <x:c r="I18" s="17" t="str"/>
      <x:c r="J18" s="17" t="str">
        <x:v>Not contacted</x:v>
      </x:c>
      <x:c r="K18" s="17" t="str">
        <x:v>Unknown</x:v>
      </x:c>
      <x:c r="L18" s="2" t="str">
        <x:f>IF(A18="","",IF(COUNTIFS($A$8:$A$507,A18)&lt;&gt;1,"Duplicate ID",IF(COUNTIFS(Data!$A$2:$A$501,A18)&lt;&gt;1,"Not current","Current")))</x:f>
        <x:v>Current</x:v>
      </x:c>
    </x:row>
    <x:row r="19" ht="32" customHeight="1">
      <x:c r="A19" s="2" t="str">
        <x:v>5200</x:v>
      </x:c>
      <x:c r="B19" s="20" t="str">
        <x:f>IF(A19="","",IF(COUNTIFS(Data!$A$2:$A$501,A19)=1,INDEX(Data!$B$2:$B$501,MATCH(A19,Data!$A$2:$A$501,0)),"Not in current directory"))</x:f>
        <x:v>Alexander Adaire School</x:v>
      </x:c>
      <x:c r="C19" s="17" t="str">
        <x:v>No</x:v>
      </x:c>
      <x:c r="D19" s="17"/>
      <x:c r="E19" s="18"/>
      <x:c r="F19" s="17"/>
      <x:c r="G19" s="18"/>
      <x:c r="H19" s="17" t="str"/>
      <x:c r="I19" s="17" t="str"/>
      <x:c r="J19" s="17" t="str">
        <x:v>Not contacted</x:v>
      </x:c>
      <x:c r="K19" s="17" t="str">
        <x:v>Unknown</x:v>
      </x:c>
      <x:c r="L19" s="2" t="str">
        <x:f>IF(A19="","",IF(COUNTIFS($A$8:$A$507,A19)&lt;&gt;1,"Duplicate ID",IF(COUNTIFS(Data!$A$2:$A$501,A19)&lt;&gt;1,"Not current","Current")))</x:f>
        <x:v>Current</x:v>
      </x:c>
    </x:row>
    <x:row r="20" ht="32" customHeight="1">
      <x:c r="A20" s="2" t="str">
        <x:v>7380</x:v>
      </x:c>
      <x:c r="B20" s="20" t="str">
        <x:f>IF(A20="","",IF(COUNTIFS(Data!$A$2:$A$501,A20)=1,INDEX(Data!$B$2:$B$501,MATCH(A20,Data!$A$2:$A$501,0)),"Not in current directory"))</x:f>
        <x:v>Alexander K. McClure School</x:v>
      </x:c>
      <x:c r="C20" s="17" t="str">
        <x:v>No</x:v>
      </x:c>
      <x:c r="D20" s="17"/>
      <x:c r="E20" s="18"/>
      <x:c r="F20" s="17"/>
      <x:c r="G20" s="18"/>
      <x:c r="H20" s="17" t="str"/>
      <x:c r="I20" s="17" t="str"/>
      <x:c r="J20" s="17" t="str">
        <x:v>Not contacted</x:v>
      </x:c>
      <x:c r="K20" s="17" t="str">
        <x:v>Unknown</x:v>
      </x:c>
      <x:c r="L20" s="2" t="str">
        <x:f>IF(A20="","",IF(COUNTIFS($A$8:$A$507,A20)&lt;&gt;1,"Duplicate ID",IF(COUNTIFS(Data!$A$2:$A$501,A20)&lt;&gt;1,"Not current","Current")))</x:f>
        <x:v>Current</x:v>
      </x:c>
    </x:row>
    <x:row r="21" ht="32" customHeight="1">
      <x:c r="A21" s="2" t="str">
        <x:v>7290</x:v>
      </x:c>
      <x:c r="B21" s="20" t="str">
        <x:f>IF(A21="","",IF(COUNTIFS(Data!$A$2:$A$501,A21)=1,INDEX(Data!$B$2:$B$501,MATCH(A21,Data!$A$2:$A$501,0)),"Not in current directory"))</x:f>
        <x:v>Allen M. Stearne School</x:v>
      </x:c>
      <x:c r="C21" s="17" t="str">
        <x:v>No</x:v>
      </x:c>
      <x:c r="D21" s="17"/>
      <x:c r="E21" s="18"/>
      <x:c r="F21" s="17"/>
      <x:c r="G21" s="18"/>
      <x:c r="H21" s="17" t="str"/>
      <x:c r="I21" s="17" t="str"/>
      <x:c r="J21" s="17" t="str">
        <x:v>Not contacted</x:v>
      </x:c>
      <x:c r="K21" s="17" t="str">
        <x:v>Unknown</x:v>
      </x:c>
      <x:c r="L21" s="2" t="str">
        <x:f>IF(A21="","",IF(COUNTIFS($A$8:$A$507,A21)&lt;&gt;1,"Duplicate ID",IF(COUNTIFS(Data!$A$2:$A$501,A21)&lt;&gt;1,"Not current","Current")))</x:f>
        <x:v>Current</x:v>
      </x:c>
    </x:row>
    <x:row r="22" ht="32" customHeight="1">
      <x:c r="A22" s="2" t="str">
        <x:v>3315</x:v>
      </x:c>
      <x:c r="B22" s="20" t="str">
        <x:f>IF(A22="","",IF(COUNTIFS(Data!$A$2:$A$501,A22)=1,INDEX(Data!$B$2:$B$501,MATCH(A22,Data!$A$2:$A$501,0)),"Not in current directory"))</x:f>
        <x:v>Alliance For Progress Charter School</x:v>
      </x:c>
      <x:c r="C22" s="17" t="str">
        <x:v>No</x:v>
      </x:c>
      <x:c r="D22" s="17"/>
      <x:c r="E22" s="18"/>
      <x:c r="F22" s="17"/>
      <x:c r="G22" s="18"/>
      <x:c r="H22" s="17" t="str"/>
      <x:c r="I22" s="17" t="str"/>
      <x:c r="J22" s="17" t="str">
        <x:v>Not contacted</x:v>
      </x:c>
      <x:c r="K22" s="17" t="str">
        <x:v>Unknown</x:v>
      </x:c>
      <x:c r="L22" s="2" t="str">
        <x:f>IF(A22="","",IF(COUNTIFS($A$8:$A$507,A22)&lt;&gt;1,"Duplicate ID",IF(COUNTIFS(Data!$A$2:$A$501,A22)&lt;&gt;1,"Not current","Current")))</x:f>
        <x:v>Current</x:v>
      </x:c>
    </x:row>
    <x:row r="23" ht="32" customHeight="1">
      <x:c r="A23" s="2" t="str">
        <x:v>8390</x:v>
      </x:c>
      <x:c r="B23" s="20" t="str">
        <x:f>IF(A23="","",IF(COUNTIFS(Data!$A$2:$A$501,A23)=1,INDEX(Data!$B$2:$B$501,MATCH(A23,Data!$A$2:$A$501,0)),"Not in current directory"))</x:f>
        <x:v>Aloysius L. Fitzpatrick School</x:v>
      </x:c>
      <x:c r="C23" s="17" t="str">
        <x:v>No</x:v>
      </x:c>
      <x:c r="D23" s="17"/>
      <x:c r="E23" s="18"/>
      <x:c r="F23" s="17"/>
      <x:c r="G23" s="18"/>
      <x:c r="H23" s="17" t="str"/>
      <x:c r="I23" s="17" t="str"/>
      <x:c r="J23" s="17" t="str">
        <x:v>Not contacted</x:v>
      </x:c>
      <x:c r="K23" s="17" t="str">
        <x:v>Unknown</x:v>
      </x:c>
      <x:c r="L23" s="2" t="str">
        <x:f>IF(A23="","",IF(COUNTIFS($A$8:$A$507,A23)&lt;&gt;1,"Duplicate ID",IF(COUNTIFS(Data!$A$2:$A$501,A23)&lt;&gt;1,"Not current","Current")))</x:f>
        <x:v>Current</x:v>
      </x:c>
    </x:row>
    <x:row r="24" ht="32" customHeight="1">
      <x:c r="A24" s="2" t="str">
        <x:v>5430</x:v>
      </x:c>
      <x:c r="B24" s="20" t="str">
        <x:f>IF(A24="","",IF(COUNTIFS(Data!$A$2:$A$501,A24)=1,INDEX(Data!$B$2:$B$501,MATCH(A24,Data!$A$2:$A$501,0)),"Not in current directory"))</x:f>
        <x:v>Alternative Middle Years at James Martin</x:v>
      </x:c>
      <x:c r="C24" s="17" t="str">
        <x:v>No</x:v>
      </x:c>
      <x:c r="D24" s="17"/>
      <x:c r="E24" s="18"/>
      <x:c r="F24" s="17"/>
      <x:c r="G24" s="18"/>
      <x:c r="H24" s="17" t="str"/>
      <x:c r="I24" s="17" t="str"/>
      <x:c r="J24" s="17" t="str">
        <x:v>Not contacted</x:v>
      </x:c>
      <x:c r="K24" s="17" t="str">
        <x:v>Unknown</x:v>
      </x:c>
      <x:c r="L24" s="2" t="str">
        <x:f>IF(A24="","",IF(COUNTIFS($A$8:$A$507,A24)&lt;&gt;1,"Duplicate ID",IF(COUNTIFS(Data!$A$2:$A$501,A24)&lt;&gt;1,"Not current","Current")))</x:f>
        <x:v>Current</x:v>
      </x:c>
    </x:row>
    <x:row r="25" ht="32" customHeight="1">
      <x:c r="A25" s="2" t="str">
        <x:v>1290</x:v>
      </x:c>
      <x:c r="B25" s="20" t="str">
        <x:f>IF(A25="","",IF(COUNTIFS(Data!$A$2:$A$501,A25)=1,INDEX(Data!$B$2:$B$501,MATCH(A25,Data!$A$2:$A$501,0)),"Not in current directory"))</x:f>
        <x:v>Andrew Hamilton School</x:v>
      </x:c>
      <x:c r="C25" s="17" t="str">
        <x:v>No</x:v>
      </x:c>
      <x:c r="D25" s="17"/>
      <x:c r="E25" s="18"/>
      <x:c r="F25" s="17"/>
      <x:c r="G25" s="18"/>
      <x:c r="H25" s="17" t="str"/>
      <x:c r="I25" s="17" t="str"/>
      <x:c r="J25" s="17" t="str">
        <x:v>Not contacted</x:v>
      </x:c>
      <x:c r="K25" s="17" t="str">
        <x:v>Unknown</x:v>
      </x:c>
      <x:c r="L25" s="2" t="str">
        <x:f>IF(A25="","",IF(COUNTIFS($A$8:$A$507,A25)&lt;&gt;1,"Duplicate ID",IF(COUNTIFS(Data!$A$2:$A$501,A25)&lt;&gt;1,"Not current","Current")))</x:f>
        <x:v>Current</x:v>
      </x:c>
    </x:row>
    <x:row r="26" ht="32" customHeight="1">
      <x:c r="A26" s="2" t="str">
        <x:v>7390</x:v>
      </x:c>
      <x:c r="B26" s="20" t="str">
        <x:f>IF(A26="","",IF(COUNTIFS(Data!$A$2:$A$501,A26)=1,INDEX(Data!$B$2:$B$501,MATCH(A26,Data!$A$2:$A$501,0)),"Not in current directory"))</x:f>
        <x:v>Andrew J. Morrison School</x:v>
      </x:c>
      <x:c r="C26" s="17" t="str">
        <x:v>No</x:v>
      </x:c>
      <x:c r="D26" s="17"/>
      <x:c r="E26" s="18"/>
      <x:c r="F26" s="17"/>
      <x:c r="G26" s="18"/>
      <x:c r="H26" s="17" t="str"/>
      <x:c r="I26" s="17" t="str"/>
      <x:c r="J26" s="17" t="str">
        <x:v>Not contacted</x:v>
      </x:c>
      <x:c r="K26" s="17" t="str">
        <x:v>Unknown</x:v>
      </x:c>
      <x:c r="L26" s="2" t="str">
        <x:f>IF(A26="","",IF(COUNTIFS($A$8:$A$507,A26)&lt;&gt;1,"Duplicate ID",IF(COUNTIFS(Data!$A$2:$A$501,A26)&lt;&gt;1,"Not current","Current")))</x:f>
        <x:v>Current</x:v>
      </x:c>
    </x:row>
    <x:row r="27" ht="32" customHeight="1">
      <x:c r="A27" s="2" t="str">
        <x:v>6200</x:v>
      </x:c>
      <x:c r="B27" s="20" t="str">
        <x:f>IF(A27="","",IF(COUNTIFS(Data!$A$2:$A$501,A27)=1,INDEX(Data!$B$2:$B$501,MATCH(A27,Data!$A$2:$A$501,0)),"Not in current directory"))</x:f>
        <x:v>Anna B. Day School</x:v>
      </x:c>
      <x:c r="C27" s="17" t="str">
        <x:v>No</x:v>
      </x:c>
      <x:c r="D27" s="17"/>
      <x:c r="E27" s="18"/>
      <x:c r="F27" s="17"/>
      <x:c r="G27" s="18"/>
      <x:c r="H27" s="17" t="str"/>
      <x:c r="I27" s="17" t="str"/>
      <x:c r="J27" s="17" t="str">
        <x:v>Not contacted</x:v>
      </x:c>
      <x:c r="K27" s="17" t="str">
        <x:v>Unknown</x:v>
      </x:c>
      <x:c r="L27" s="2" t="str">
        <x:f>IF(A27="","",IF(COUNTIFS($A$8:$A$507,A27)&lt;&gt;1,"Duplicate ID",IF(COUNTIFS(Data!$A$2:$A$501,A27)&lt;&gt;1,"Not current","Current")))</x:f>
        <x:v>Current</x:v>
      </x:c>
    </x:row>
    <x:row r="28" ht="32" customHeight="1">
      <x:c r="A28" s="2" t="str">
        <x:v>6440</x:v>
      </x:c>
      <x:c r="B28" s="20" t="str">
        <x:f>IF(A28="","",IF(COUNTIFS(Data!$A$2:$A$501,A28)=1,INDEX(Data!$B$2:$B$501,MATCH(A28,Data!$A$2:$A$501,0)),"Not in current directory"))</x:f>
        <x:v>Anna L. Lingelbach School</x:v>
      </x:c>
      <x:c r="C28" s="17" t="str">
        <x:v>No</x:v>
      </x:c>
      <x:c r="D28" s="17"/>
      <x:c r="E28" s="18"/>
      <x:c r="F28" s="17"/>
      <x:c r="G28" s="18"/>
      <x:c r="H28" s="17" t="str"/>
      <x:c r="I28" s="17" t="str"/>
      <x:c r="J28" s="17" t="str">
        <x:v>Not contacted</x:v>
      </x:c>
      <x:c r="K28" s="17" t="str">
        <x:v>Unknown</x:v>
      </x:c>
      <x:c r="L28" s="2" t="str">
        <x:f>IF(A28="","",IF(COUNTIFS($A$8:$A$507,A28)&lt;&gt;1,"Duplicate ID",IF(COUNTIFS(Data!$A$2:$A$501,A28)&lt;&gt;1,"Not current","Current")))</x:f>
        <x:v>Current</x:v>
      </x:c>
    </x:row>
    <x:row r="29" ht="32" customHeight="1">
      <x:c r="A29" s="2" t="str">
        <x:v>8400</x:v>
      </x:c>
      <x:c r="B29" s="20" t="str">
        <x:f>IF(A29="","",IF(COUNTIFS(Data!$A$2:$A$501,A29)=1,INDEX(Data!$B$2:$B$501,MATCH(A29,Data!$A$2:$A$501,0)),"Not in current directory"))</x:f>
        <x:v>Anne Frank School</x:v>
      </x:c>
      <x:c r="C29" s="17" t="str">
        <x:v>No</x:v>
      </x:c>
      <x:c r="D29" s="17"/>
      <x:c r="E29" s="18"/>
      <x:c r="F29" s="17"/>
      <x:c r="G29" s="18"/>
      <x:c r="H29" s="17" t="str"/>
      <x:c r="I29" s="17" t="str"/>
      <x:c r="J29" s="17" t="str">
        <x:v>Not contacted</x:v>
      </x:c>
      <x:c r="K29" s="17" t="str">
        <x:v>Unknown</x:v>
      </x:c>
      <x:c r="L29" s="2" t="str">
        <x:f>IF(A29="","",IF(COUNTIFS($A$8:$A$507,A29)&lt;&gt;1,"Duplicate ID",IF(COUNTIFS(Data!$A$2:$A$501,A29)&lt;&gt;1,"Not current","Current")))</x:f>
        <x:v>Current</x:v>
      </x:c>
    </x:row>
    <x:row r="30" ht="32" customHeight="1">
      <x:c r="A30" s="2" t="str">
        <x:v>3395</x:v>
      </x:c>
      <x:c r="B30" s="20" t="str">
        <x:f>IF(A30="","",IF(COUNTIFS(Data!$A$2:$A$501,A30)=1,INDEX(Data!$B$2:$B$501,MATCH(A30,Data!$A$2:$A$501,0)),"Not in current directory"))</x:f>
        <x:v>Antonia Pantoja Charter School</x:v>
      </x:c>
      <x:c r="C30" s="17" t="str">
        <x:v>No</x:v>
      </x:c>
      <x:c r="D30" s="17"/>
      <x:c r="E30" s="18"/>
      <x:c r="F30" s="17"/>
      <x:c r="G30" s="18"/>
      <x:c r="H30" s="17" t="str"/>
      <x:c r="I30" s="17" t="str"/>
      <x:c r="J30" s="17" t="str">
        <x:v>Not contacted</x:v>
      </x:c>
      <x:c r="K30" s="17" t="str">
        <x:v>Unknown</x:v>
      </x:c>
      <x:c r="L30" s="2" t="str">
        <x:f>IF(A30="","",IF(COUNTIFS($A$8:$A$507,A30)&lt;&gt;1,"Duplicate ID",IF(COUNTIFS(Data!$A$2:$A$501,A30)&lt;&gt;1,"Not current","Current")))</x:f>
        <x:v>Current</x:v>
      </x:c>
    </x:row>
    <x:row r="31" ht="32" customHeight="1">
      <x:c r="A31" s="2" t="str">
        <x:v>8040</x:v>
      </x:c>
      <x:c r="B31" s="20" t="str">
        <x:f>IF(A31="","",IF(COUNTIFS(Data!$A$2:$A$501,A31)=1,INDEX(Data!$B$2:$B$501,MATCH(A31,Data!$A$2:$A$501,0)),"Not in current directory"))</x:f>
        <x:v>Arts Academy at Benjamin Rush</x:v>
      </x:c>
      <x:c r="C31" s="17" t="str">
        <x:v>No</x:v>
      </x:c>
      <x:c r="D31" s="17"/>
      <x:c r="E31" s="18"/>
      <x:c r="F31" s="17"/>
      <x:c r="G31" s="18"/>
      <x:c r="H31" s="17" t="str"/>
      <x:c r="I31" s="17" t="str"/>
      <x:c r="J31" s="17" t="str">
        <x:v>Not contacted</x:v>
      </x:c>
      <x:c r="K31" s="17" t="str">
        <x:v>Unknown</x:v>
      </x:c>
      <x:c r="L31" s="2" t="str">
        <x:f>IF(A31="","",IF(COUNTIFS($A$8:$A$507,A31)&lt;&gt;1,"Duplicate ID",IF(COUNTIFS(Data!$A$2:$A$501,A31)&lt;&gt;1,"Not current","Current")))</x:f>
        <x:v>Current</x:v>
      </x:c>
    </x:row>
    <x:row r="32" ht="32" customHeight="1">
      <x:c r="A32" s="2" t="str">
        <x:v>1300</x:v>
      </x:c>
      <x:c r="B32" s="20" t="str">
        <x:f>IF(A32="","",IF(COUNTIFS(Data!$A$2:$A$501,A32)=1,INDEX(Data!$B$2:$B$501,MATCH(A32,Data!$A$2:$A$501,0)),"Not in current directory"))</x:f>
        <x:v>Avery D. Harrington School</x:v>
      </x:c>
      <x:c r="C32" s="17" t="str">
        <x:v>No</x:v>
      </x:c>
      <x:c r="D32" s="17"/>
      <x:c r="E32" s="18"/>
      <x:c r="F32" s="17"/>
      <x:c r="G32" s="18"/>
      <x:c r="H32" s="17" t="str"/>
      <x:c r="I32" s="17" t="str"/>
      <x:c r="J32" s="17" t="str">
        <x:v>Not contacted</x:v>
      </x:c>
      <x:c r="K32" s="17" t="str">
        <x:v>Unknown</x:v>
      </x:c>
      <x:c r="L32" s="2" t="str">
        <x:f>IF(A32="","",IF(COUNTIFS($A$8:$A$507,A32)&lt;&gt;1,"Duplicate ID",IF(COUNTIFS(Data!$A$2:$A$501,A32)&lt;&gt;1,"Not current","Current")))</x:f>
        <x:v>Current</x:v>
      </x:c>
    </x:row>
    <x:row r="33" ht="32" customHeight="1">
      <x:c r="A33" s="2" t="str">
        <x:v>2210</x:v>
      </x:c>
      <x:c r="B33" s="20" t="str">
        <x:f>IF(A33="","",IF(COUNTIFS(Data!$A$2:$A$501,A33)=1,INDEX(Data!$B$2:$B$501,MATCH(A33,Data!$A$2:$A$501,0)),"Not in current directory"))</x:f>
        <x:v>Bache-Martin School</x:v>
      </x:c>
      <x:c r="C33" s="17" t="str">
        <x:v>No</x:v>
      </x:c>
      <x:c r="D33" s="17"/>
      <x:c r="E33" s="18"/>
      <x:c r="F33" s="17"/>
      <x:c r="G33" s="18"/>
      <x:c r="H33" s="17" t="str"/>
      <x:c r="I33" s="17" t="str"/>
      <x:c r="J33" s="17" t="str">
        <x:v>Not contacted</x:v>
      </x:c>
      <x:c r="K33" s="17" t="str">
        <x:v>Unknown</x:v>
      </x:c>
      <x:c r="L33" s="2" t="str">
        <x:f>IF(A33="","",IF(COUNTIFS($A$8:$A$507,A33)&lt;&gt;1,"Duplicate ID",IF(COUNTIFS(Data!$A$2:$A$501,A33)&lt;&gt;1,"Not current","Current")))</x:f>
        <x:v>Current</x:v>
      </x:c>
    </x:row>
    <x:row r="34" ht="32" customHeight="1">
      <x:c r="A34" s="2" t="str">
        <x:v>7440</x:v>
      </x:c>
      <x:c r="B34" s="20" t="str">
        <x:f>IF(A34="","",IF(COUNTIFS(Data!$A$2:$A$501,A34)=1,INDEX(Data!$B$2:$B$501,MATCH(A34,Data!$A$2:$A$501,0)),"Not in current directory"))</x:f>
        <x:v>Bayard Taylor School</x:v>
      </x:c>
      <x:c r="C34" s="17" t="str">
        <x:v>No</x:v>
      </x:c>
      <x:c r="D34" s="17"/>
      <x:c r="E34" s="18"/>
      <x:c r="F34" s="17"/>
      <x:c r="G34" s="18"/>
      <x:c r="H34" s="17" t="str"/>
      <x:c r="I34" s="17" t="str"/>
      <x:c r="J34" s="17" t="str">
        <x:v>Not contacted</x:v>
      </x:c>
      <x:c r="K34" s="17" t="str">
        <x:v>Unknown</x:v>
      </x:c>
      <x:c r="L34" s="2" t="str">
        <x:f>IF(A34="","",IF(COUNTIFS($A$8:$A$507,A34)&lt;&gt;1,"Duplicate ID",IF(COUNTIFS(Data!$A$2:$A$501,A34)&lt;&gt;1,"Not current","Current")))</x:f>
        <x:v>Current</x:v>
      </x:c>
    </x:row>
    <x:row r="35" ht="32" customHeight="1">
      <x:c r="A35" s="2" t="str">
        <x:v>3368</x:v>
      </x:c>
      <x:c r="B35" s="20" t="str">
        <x:f>IF(A35="","",IF(COUNTIFS(Data!$A$2:$A$501,A35)=1,INDEX(Data!$B$2:$B$501,MATCH(A35,Data!$A$2:$A$501,0)),"Not in current directory"))</x:f>
        <x:v>Belmont Elementary Charter School</x:v>
      </x:c>
      <x:c r="C35" s="17" t="str">
        <x:v>No</x:v>
      </x:c>
      <x:c r="D35" s="17"/>
      <x:c r="E35" s="18"/>
      <x:c r="F35" s="17"/>
      <x:c r="G35" s="18"/>
      <x:c r="H35" s="17" t="str"/>
      <x:c r="I35" s="17" t="str"/>
      <x:c r="J35" s="17" t="str">
        <x:v>Not contacted</x:v>
      </x:c>
      <x:c r="K35" s="17" t="str">
        <x:v>Unknown</x:v>
      </x:c>
      <x:c r="L35" s="2" t="str">
        <x:f>IF(A35="","",IF(COUNTIFS($A$8:$A$507,A35)&lt;&gt;1,"Duplicate ID",IF(COUNTIFS(Data!$A$2:$A$501,A35)&lt;&gt;1,"Not current","Current")))</x:f>
        <x:v>Current</x:v>
      </x:c>
    </x:row>
    <x:row r="36" ht="32" customHeight="1">
      <x:c r="A36" s="2" t="str">
        <x:v>3210</x:v>
      </x:c>
      <x:c r="B36" s="20" t="str">
        <x:f>IF(A36="","",IF(COUNTIFS(Data!$A$2:$A$501,A36)=1,INDEX(Data!$B$2:$B$501,MATCH(A36,Data!$A$2:$A$501,0)),"Not in current directory"))</x:f>
        <x:v>Ben Franklin High School EOP</x:v>
      </x:c>
      <x:c r="C36" s="17" t="str">
        <x:v>No</x:v>
      </x:c>
      <x:c r="D36" s="17"/>
      <x:c r="E36" s="18"/>
      <x:c r="F36" s="17"/>
      <x:c r="G36" s="18"/>
      <x:c r="H36" s="17" t="str"/>
      <x:c r="I36" s="17" t="str"/>
      <x:c r="J36" s="17" t="str">
        <x:v>Not contacted</x:v>
      </x:c>
      <x:c r="K36" s="17" t="str">
        <x:v>Unknown</x:v>
      </x:c>
      <x:c r="L36" s="2" t="str">
        <x:f>IF(A36="","",IF(COUNTIFS($A$8:$A$507,A36)&lt;&gt;1,"Duplicate ID",IF(COUNTIFS(Data!$A$2:$A$501,A36)&lt;&gt;1,"Not current","Current")))</x:f>
        <x:v>Current</x:v>
      </x:c>
    </x:row>
    <x:row r="37" ht="32" customHeight="1">
      <x:c r="A37" s="2" t="str">
        <x:v>1260</x:v>
      </x:c>
      <x:c r="B37" s="20" t="str">
        <x:f>IF(A37="","",IF(COUNTIFS(Data!$A$2:$A$501,A37)=1,INDEX(Data!$B$2:$B$501,MATCH(A37,Data!$A$2:$A$501,0)),"Not in current directory"))</x:f>
        <x:v>Benjamin B. Comegys School</x:v>
      </x:c>
      <x:c r="C37" s="17" t="str">
        <x:v>No</x:v>
      </x:c>
      <x:c r="D37" s="17"/>
      <x:c r="E37" s="18"/>
      <x:c r="F37" s="17"/>
      <x:c r="G37" s="18"/>
      <x:c r="H37" s="17" t="str"/>
      <x:c r="I37" s="17" t="str"/>
      <x:c r="J37" s="17" t="str">
        <x:v>Not contacted</x:v>
      </x:c>
      <x:c r="K37" s="17" t="str">
        <x:v>Unknown</x:v>
      </x:c>
      <x:c r="L37" s="2" t="str">
        <x:f>IF(A37="","",IF(COUNTIFS($A$8:$A$507,A37)&lt;&gt;1,"Duplicate ID",IF(COUNTIFS(Data!$A$2:$A$501,A37)&lt;&gt;1,"Not current","Current")))</x:f>
        <x:v>Current</x:v>
      </x:c>
    </x:row>
    <x:row r="38" ht="32" customHeight="1">
      <x:c r="A38" s="2" t="str">
        <x:v>7280</x:v>
      </x:c>
      <x:c r="B38" s="20" t="str">
        <x:f>IF(A38="","",IF(COUNTIFS(Data!$A$2:$A$501,A38)=1,INDEX(Data!$B$2:$B$501,MATCH(A38,Data!$A$2:$A$501,0)),"Not in current directory"))</x:f>
        <x:v>Benjamin Franklin Elementary School</x:v>
      </x:c>
      <x:c r="C38" s="17" t="str">
        <x:v>No</x:v>
      </x:c>
      <x:c r="D38" s="17"/>
      <x:c r="E38" s="18"/>
      <x:c r="F38" s="17"/>
      <x:c r="G38" s="18"/>
      <x:c r="H38" s="17" t="str"/>
      <x:c r="I38" s="17" t="str"/>
      <x:c r="J38" s="17" t="str">
        <x:v>Not contacted</x:v>
      </x:c>
      <x:c r="K38" s="17" t="str">
        <x:v>Unknown</x:v>
      </x:c>
      <x:c r="L38" s="2" t="str">
        <x:f>IF(A38="","",IF(COUNTIFS($A$8:$A$507,A38)&lt;&gt;1,"Duplicate ID",IF(COUNTIFS(Data!$A$2:$A$501,A38)&lt;&gt;1,"Not current","Current")))</x:f>
        <x:v>Current</x:v>
      </x:c>
    </x:row>
    <x:row r="39" ht="32" customHeight="1">
      <x:c r="A39" s="2" t="str">
        <x:v>2010</x:v>
      </x:c>
      <x:c r="B39" s="20" t="str">
        <x:f>IF(A39="","",IF(COUNTIFS(Data!$A$2:$A$501,A39)=1,INDEX(Data!$B$2:$B$501,MATCH(A39,Data!$A$2:$A$501,0)),"Not in current directory"))</x:f>
        <x:v>Benjamin Franklin High School</x:v>
      </x:c>
      <x:c r="C39" s="17" t="str">
        <x:v>No</x:v>
      </x:c>
      <x:c r="D39" s="17"/>
      <x:c r="E39" s="18"/>
      <x:c r="F39" s="17"/>
      <x:c r="G39" s="18"/>
      <x:c r="H39" s="17" t="str"/>
      <x:c r="I39" s="17" t="str"/>
      <x:c r="J39" s="17" t="str">
        <x:v>Not contacted</x:v>
      </x:c>
      <x:c r="K39" s="17" t="str">
        <x:v>Unknown</x:v>
      </x:c>
      <x:c r="L39" s="2" t="str">
        <x:f>IF(A39="","",IF(COUNTIFS($A$8:$A$507,A39)&lt;&gt;1,"Duplicate ID",IF(COUNTIFS(Data!$A$2:$A$501,A39)&lt;&gt;1,"Not current","Current")))</x:f>
        <x:v>Current</x:v>
      </x:c>
    </x:row>
    <x:row r="40" ht="32" customHeight="1">
      <x:c r="A40" s="2" t="str">
        <x:v>3388</x:v>
      </x:c>
      <x:c r="B40" s="20" t="str">
        <x:f>IF(A40="","",IF(COUNTIFS(Data!$A$2:$A$501,A40)=1,INDEX(Data!$B$2:$B$501,MATCH(A40,Data!$A$2:$A$501,0)),"Not in current directory"))</x:f>
        <x:v>Boys' Latin of Philadelphia Charter School</x:v>
      </x:c>
      <x:c r="C40" s="17" t="str">
        <x:v>No</x:v>
      </x:c>
      <x:c r="D40" s="17"/>
      <x:c r="E40" s="18"/>
      <x:c r="F40" s="17"/>
      <x:c r="G40" s="18"/>
      <x:c r="H40" s="17" t="str"/>
      <x:c r="I40" s="17" t="str"/>
      <x:c r="J40" s="17" t="str">
        <x:v>Not contacted</x:v>
      </x:c>
      <x:c r="K40" s="17" t="str">
        <x:v>Unknown</x:v>
      </x:c>
      <x:c r="L40" s="2" t="str">
        <x:f>IF(A40="","",IF(COUNTIFS($A$8:$A$507,A40)&lt;&gt;1,"Duplicate ID",IF(COUNTIFS(Data!$A$2:$A$501,A40)&lt;&gt;1,"Not current","Current")))</x:f>
        <x:v>Current</x:v>
      </x:c>
    </x:row>
    <x:row r="41" ht="32" customHeight="1">
      <x:c r="A41" s="2" t="str">
        <x:v>7470</x:v>
      </x:c>
      <x:c r="B41" s="20" t="str">
        <x:f>IF(A41="","",IF(COUNTIFS(Data!$A$2:$A$501,A41)=1,INDEX(Data!$B$2:$B$501,MATCH(A41,Data!$A$2:$A$501,0)),"Not in current directory"))</x:f>
        <x:v>Bridesburg School</x:v>
      </x:c>
      <x:c r="C41" s="17" t="str">
        <x:v>No</x:v>
      </x:c>
      <x:c r="D41" s="17"/>
      <x:c r="E41" s="18"/>
      <x:c r="F41" s="17"/>
      <x:c r="G41" s="18"/>
      <x:c r="H41" s="17" t="str"/>
      <x:c r="I41" s="17" t="str"/>
      <x:c r="J41" s="17" t="str">
        <x:v>Not contacted</x:v>
      </x:c>
      <x:c r="K41" s="17" t="str">
        <x:v>Unknown</x:v>
      </x:c>
      <x:c r="L41" s="2" t="str">
        <x:f>IF(A41="","",IF(COUNTIFS($A$8:$A$507,A41)&lt;&gt;1,"Duplicate ID",IF(COUNTIFS(Data!$A$2:$A$501,A41)&lt;&gt;1,"Not current","Current")))</x:f>
        <x:v>Current</x:v>
      </x:c>
    </x:row>
    <x:row r="42" ht="32" customHeight="1">
      <x:c r="A42" s="2" t="str">
        <x:v>5610</x:v>
      </x:c>
      <x:c r="B42" s="20" t="str">
        <x:f>IF(A42="","",IF(COUNTIFS(Data!$A$2:$A$501,A42)=1,INDEX(Data!$B$2:$B$501,MATCH(A42,Data!$A$2:$A$501,0)),"Not in current directory"))</x:f>
        <x:v>Building 21</x:v>
      </x:c>
      <x:c r="C42" s="17" t="str">
        <x:v>No</x:v>
      </x:c>
      <x:c r="D42" s="17"/>
      <x:c r="E42" s="18"/>
      <x:c r="F42" s="17"/>
      <x:c r="G42" s="18"/>
      <x:c r="H42" s="17" t="str"/>
      <x:c r="I42" s="17" t="str"/>
      <x:c r="J42" s="17" t="str">
        <x:v>Not contacted</x:v>
      </x:c>
      <x:c r="K42" s="17" t="str">
        <x:v>Unknown</x:v>
      </x:c>
      <x:c r="L42" s="2" t="str">
        <x:f>IF(A42="","",IF(COUNTIFS($A$8:$A$507,A42)&lt;&gt;1,"Duplicate ID",IF(COUNTIFS(Data!$A$2:$A$501,A42)&lt;&gt;1,"Not current","Current")))</x:f>
        <x:v>Current</x:v>
      </x:c>
    </x:row>
    <x:row r="43" ht="32" customHeight="1">
      <x:c r="A43" s="2" t="str">
        <x:v>4030</x:v>
      </x:c>
      <x:c r="B43" s="20" t="str">
        <x:f>IF(A43="","",IF(COUNTIFS(Data!$A$2:$A$501,A43)=1,INDEX(Data!$B$2:$B$501,MATCH(A43,Data!$A$2:$A$501,0)),"Not in current directory"))</x:f>
        <x:v>Carver High School of Engineering and Science</x:v>
      </x:c>
      <x:c r="C43" s="17" t="str">
        <x:v>No</x:v>
      </x:c>
      <x:c r="D43" s="17"/>
      <x:c r="E43" s="18"/>
      <x:c r="F43" s="17"/>
      <x:c r="G43" s="18"/>
      <x:c r="H43" s="17" t="str"/>
      <x:c r="I43" s="17" t="str"/>
      <x:c r="J43" s="17" t="str">
        <x:v>Not contacted</x:v>
      </x:c>
      <x:c r="K43" s="17" t="str">
        <x:v>Unknown</x:v>
      </x:c>
      <x:c r="L43" s="2" t="str">
        <x:f>IF(A43="","",IF(COUNTIFS($A$8:$A$507,A43)&lt;&gt;1,"Duplicate ID",IF(COUNTIFS(Data!$A$2:$A$501,A43)&lt;&gt;1,"Not current","Current")))</x:f>
        <x:v>Current</x:v>
      </x:c>
    </x:row>
    <x:row r="44" ht="32" customHeight="1">
      <x:c r="A44" s="2" t="str">
        <x:v>8120</x:v>
      </x:c>
      <x:c r="B44" s="20" t="str">
        <x:f>IF(A44="","",IF(COUNTIFS(Data!$A$2:$A$501,A44)=1,INDEX(Data!$B$2:$B$501,MATCH(A44,Data!$A$2:$A$501,0)),"Not in current directory"))</x:f>
        <x:v>Castor Gardens Middle School</x:v>
      </x:c>
      <x:c r="C44" s="17" t="str">
        <x:v>No</x:v>
      </x:c>
      <x:c r="D44" s="17"/>
      <x:c r="E44" s="18"/>
      <x:c r="F44" s="17"/>
      <x:c r="G44" s="18"/>
      <x:c r="H44" s="17" t="str"/>
      <x:c r="I44" s="17" t="str"/>
      <x:c r="J44" s="17" t="str">
        <x:v>Not contacted</x:v>
      </x:c>
      <x:c r="K44" s="17" t="str">
        <x:v>Unknown</x:v>
      </x:c>
      <x:c r="L44" s="2" t="str">
        <x:f>IF(A44="","",IF(COUNTIFS($A$8:$A$507,A44)&lt;&gt;1,"Duplicate ID",IF(COUNTIFS(Data!$A$2:$A$501,A44)&lt;&gt;1,"Not current","Current")))</x:f>
        <x:v>Current</x:v>
      </x:c>
    </x:row>
    <x:row r="45" ht="32" customHeight="1">
      <x:c r="A45" s="2" t="str">
        <x:v>5490</x:v>
      </x:c>
      <x:c r="B45" s="20" t="str">
        <x:f>IF(A45="","",IF(COUNTIFS(Data!$A$2:$A$501,A45)=1,INDEX(Data!$B$2:$B$501,MATCH(A45,Data!$A$2:$A$501,0)),"Not in current directory"))</x:f>
        <x:v>Cayuga School</x:v>
      </x:c>
      <x:c r="C45" s="17" t="str">
        <x:v>No</x:v>
      </x:c>
      <x:c r="D45" s="17"/>
      <x:c r="E45" s="18"/>
      <x:c r="F45" s="17"/>
      <x:c r="G45" s="18"/>
      <x:c r="H45" s="17" t="str"/>
      <x:c r="I45" s="17" t="str"/>
      <x:c r="J45" s="17" t="str">
        <x:v>Not contacted</x:v>
      </x:c>
      <x:c r="K45" s="17" t="str">
        <x:v>Unknown</x:v>
      </x:c>
      <x:c r="L45" s="2" t="str">
        <x:f>IF(A45="","",IF(COUNTIFS($A$8:$A$507,A45)&lt;&gt;1,"Duplicate ID",IF(COUNTIFS(Data!$A$2:$A$501,A45)&lt;&gt;1,"Not current","Current")))</x:f>
        <x:v>Current</x:v>
      </x:c>
    </x:row>
    <x:row r="46" ht="32" customHeight="1">
      <x:c r="A46" s="2" t="str">
        <x:v>6010</x:v>
      </x:c>
      <x:c r="B46" s="20" t="str">
        <x:f>IF(A46="","",IF(COUNTIFS(Data!$A$2:$A$501,A46)=1,INDEX(Data!$B$2:$B$501,MATCH(A46,Data!$A$2:$A$501,0)),"Not in current directory"))</x:f>
        <x:v>Central High School</x:v>
      </x:c>
      <x:c r="C46" s="17" t="str">
        <x:v>No</x:v>
      </x:c>
      <x:c r="D46" s="17"/>
      <x:c r="E46" s="18"/>
      <x:c r="F46" s="17"/>
      <x:c r="G46" s="18"/>
      <x:c r="H46" s="17" t="str"/>
      <x:c r="I46" s="17" t="str"/>
      <x:c r="J46" s="17" t="str">
        <x:v>Not contacted</x:v>
      </x:c>
      <x:c r="K46" s="17" t="str">
        <x:v>Unknown</x:v>
      </x:c>
      <x:c r="L46" s="2" t="str">
        <x:f>IF(A46="","",IF(COUNTIFS($A$8:$A$507,A46)&lt;&gt;1,"Duplicate ID",IF(COUNTIFS(Data!$A$2:$A$501,A46)&lt;&gt;1,"Not current","Current")))</x:f>
        <x:v>Current</x:v>
      </x:c>
    </x:row>
    <x:row r="47" ht="32" customHeight="1">
      <x:c r="A47" s="2" t="str">
        <x:v>8160</x:v>
      </x:c>
      <x:c r="B47" s="20" t="str">
        <x:f>IF(A47="","",IF(COUNTIFS(Data!$A$2:$A$501,A47)=1,INDEX(Data!$B$2:$B$501,MATCH(A47,Data!$A$2:$A$501,0)),"Not in current directory"))</x:f>
        <x:v>Charles C.A. Baldi Middle School</x:v>
      </x:c>
      <x:c r="C47" s="17" t="str">
        <x:v>No</x:v>
      </x:c>
      <x:c r="D47" s="17"/>
      <x:c r="E47" s="18"/>
      <x:c r="F47" s="17"/>
      <x:c r="G47" s="18"/>
      <x:c r="H47" s="17" t="str"/>
      <x:c r="I47" s="17" t="str"/>
      <x:c r="J47" s="17" t="str">
        <x:v>Not contacted</x:v>
      </x:c>
      <x:c r="K47" s="17" t="str">
        <x:v>Unknown</x:v>
      </x:c>
      <x:c r="L47" s="2" t="str">
        <x:f>IF(A47="","",IF(COUNTIFS($A$8:$A$507,A47)&lt;&gt;1,"Duplicate ID",IF(COUNTIFS(Data!$A$2:$A$501,A47)&lt;&gt;1,"Not current","Current")))</x:f>
        <x:v>Current</x:v>
      </x:c>
    </x:row>
    <x:row r="48" ht="32" customHeight="1">
      <x:c r="A48" s="2" t="str">
        <x:v>6250</x:v>
      </x:c>
      <x:c r="B48" s="20" t="str">
        <x:f>IF(A48="","",IF(COUNTIFS(Data!$A$2:$A$501,A48)=1,INDEX(Data!$B$2:$B$501,MATCH(A48,Data!$A$2:$A$501,0)),"Not in current directory"))</x:f>
        <x:v>Charles W. Henry School</x:v>
      </x:c>
      <x:c r="C48" s="17" t="str">
        <x:v>No</x:v>
      </x:c>
      <x:c r="D48" s="17"/>
      <x:c r="E48" s="18"/>
      <x:c r="F48" s="17"/>
      <x:c r="G48" s="18"/>
      <x:c r="H48" s="17" t="str"/>
      <x:c r="I48" s="17" t="str"/>
      <x:c r="J48" s="17" t="str">
        <x:v>Not contacted</x:v>
      </x:c>
      <x:c r="K48" s="17" t="str">
        <x:v>Unknown</x:v>
      </x:c>
      <x:c r="L48" s="2" t="str">
        <x:f>IF(A48="","",IF(COUNTIFS($A$8:$A$507,A48)&lt;&gt;1,"Duplicate ID",IF(COUNTIFS(Data!$A$2:$A$501,A48)&lt;&gt;1,"Not current","Current")))</x:f>
        <x:v>Current</x:v>
      </x:c>
    </x:row>
    <x:row r="49" ht="32" customHeight="1">
      <x:c r="A49" s="2" t="str">
        <x:v>3306</x:v>
      </x:c>
      <x:c r="B49" s="20" t="str">
        <x:f>IF(A49="","",IF(COUNTIFS(Data!$A$2:$A$501,A49)=1,INDEX(Data!$B$2:$B$501,MATCH(A49,Data!$A$2:$A$501,0)),"Not in current directory"))</x:f>
        <x:v>Christopher Columbus Charter School</x:v>
      </x:c>
      <x:c r="C49" s="17" t="str">
        <x:v>No</x:v>
      </x:c>
      <x:c r="D49" s="17"/>
      <x:c r="E49" s="18"/>
      <x:c r="F49" s="17"/>
      <x:c r="G49" s="18"/>
      <x:c r="H49" s="17" t="str"/>
      <x:c r="I49" s="17" t="str"/>
      <x:c r="J49" s="17" t="str">
        <x:v>Not contacted</x:v>
      </x:c>
      <x:c r="K49" s="17" t="str">
        <x:v>Unknown</x:v>
      </x:c>
      <x:c r="L49" s="2" t="str">
        <x:f>IF(A49="","",IF(COUNTIFS($A$8:$A$507,A49)&lt;&gt;1,"Duplicate ID",IF(COUNTIFS(Data!$A$2:$A$501,A49)&lt;&gt;1,"Not current","Current")))</x:f>
        <x:v>Current</x:v>
      </x:c>
    </x:row>
    <x:row r="50" ht="32" customHeight="1">
      <x:c r="A50" s="2" t="str">
        <x:v>7200</x:v>
      </x:c>
      <x:c r="B50" s="20" t="str">
        <x:f>IF(A50="","",IF(COUNTIFS(Data!$A$2:$A$501,A50)=1,INDEX(Data!$B$2:$B$501,MATCH(A50,Data!$A$2:$A$501,0)),"Not in current directory"))</x:f>
        <x:v>Clara Barton School</x:v>
      </x:c>
      <x:c r="C50" s="17" t="str">
        <x:v>No</x:v>
      </x:c>
      <x:c r="D50" s="17"/>
      <x:c r="E50" s="18"/>
      <x:c r="F50" s="17"/>
      <x:c r="G50" s="18"/>
      <x:c r="H50" s="17" t="str"/>
      <x:c r="I50" s="17" t="str"/>
      <x:c r="J50" s="17" t="str">
        <x:v>Not contacted</x:v>
      </x:c>
      <x:c r="K50" s="17" t="str">
        <x:v>Unknown</x:v>
      </x:c>
      <x:c r="L50" s="2" t="str">
        <x:f>IF(A50="","",IF(COUNTIFS($A$8:$A$507,A50)&lt;&gt;1,"Duplicate ID",IF(COUNTIFS(Data!$A$2:$A$501,A50)&lt;&gt;1,"Not current","Current")))</x:f>
        <x:v>Current</x:v>
      </x:c>
    </x:row>
    <x:row r="51" ht="32" customHeight="1">
      <x:c r="A51" s="2" t="str">
        <x:v>3301</x:v>
      </x:c>
      <x:c r="B51" s="20" t="str">
        <x:f>IF(A51="","",IF(COUNTIFS(Data!$A$2:$A$501,A51)=1,INDEX(Data!$B$2:$B$501,MATCH(A51,Data!$A$2:$A$501,0)),"Not in current directory"))</x:f>
        <x:v>Community Academy of Philadelphia Charter School</x:v>
      </x:c>
      <x:c r="C51" s="17" t="str">
        <x:v>No</x:v>
      </x:c>
      <x:c r="D51" s="17"/>
      <x:c r="E51" s="18"/>
      <x:c r="F51" s="17"/>
      <x:c r="G51" s="18"/>
      <x:c r="H51" s="17" t="str"/>
      <x:c r="I51" s="17" t="str"/>
      <x:c r="J51" s="17" t="str">
        <x:v>Not contacted</x:v>
      </x:c>
      <x:c r="K51" s="17" t="str">
        <x:v>Unknown</x:v>
      </x:c>
      <x:c r="L51" s="2" t="str">
        <x:f>IF(A51="","",IF(COUNTIFS($A$8:$A$507,A51)&lt;&gt;1,"Duplicate ID",IF(COUNTIFS(Data!$A$2:$A$501,A51)&lt;&gt;1,"Not current","Current")))</x:f>
        <x:v>Current</x:v>
      </x:c>
    </x:row>
    <x:row r="52" ht="32" customHeight="1">
      <x:c r="A52" s="2" t="str">
        <x:v>2670</x:v>
      </x:c>
      <x:c r="B52" s="20" t="str">
        <x:f>IF(A52="","",IF(COUNTIFS(Data!$A$2:$A$501,A52)=1,INDEX(Data!$B$2:$B$501,MATCH(A52,Data!$A$2:$A$501,0)),"Not in current directory"))</x:f>
        <x:v>Constitution High School</x:v>
      </x:c>
      <x:c r="C52" s="17" t="str">
        <x:v>No</x:v>
      </x:c>
      <x:c r="D52" s="17"/>
      <x:c r="E52" s="18"/>
      <x:c r="F52" s="17"/>
      <x:c r="G52" s="18"/>
      <x:c r="H52" s="17" t="str"/>
      <x:c r="I52" s="17" t="str"/>
      <x:c r="J52" s="17" t="str">
        <x:v>Not contacted</x:v>
      </x:c>
      <x:c r="K52" s="17" t="str">
        <x:v>Unknown</x:v>
      </x:c>
      <x:c r="L52" s="2" t="str">
        <x:f>IF(A52="","",IF(COUNTIFS($A$8:$A$507,A52)&lt;&gt;1,"Duplicate ID",IF(COUNTIFS(Data!$A$2:$A$501,A52)&lt;&gt;1,"Not current","Current")))</x:f>
        <x:v>Current</x:v>
      </x:c>
    </x:row>
    <x:row r="53" ht="32" customHeight="1">
      <x:c r="A53" s="2" t="str">
        <x:v>6410</x:v>
      </x:c>
      <x:c r="B53" s="20" t="str">
        <x:f>IF(A53="","",IF(COUNTIFS(Data!$A$2:$A$501,A53)=1,INDEX(Data!$B$2:$B$501,MATCH(A53,Data!$A$2:$A$501,0)),"Not in current directory"))</x:f>
        <x:v>Cook-Wissahickon School</x:v>
      </x:c>
      <x:c r="C53" s="17" t="str">
        <x:v>No</x:v>
      </x:c>
      <x:c r="D53" s="17"/>
      <x:c r="E53" s="18"/>
      <x:c r="F53" s="17"/>
      <x:c r="G53" s="18"/>
      <x:c r="H53" s="17" t="str"/>
      <x:c r="I53" s="17" t="str"/>
      <x:c r="J53" s="17" t="str">
        <x:v>Not contacted</x:v>
      </x:c>
      <x:c r="K53" s="17" t="str">
        <x:v>Unknown</x:v>
      </x:c>
      <x:c r="L53" s="2" t="str">
        <x:f>IF(A53="","",IF(COUNTIFS($A$8:$A$507,A53)&lt;&gt;1,"Duplicate ID",IF(COUNTIFS(Data!$A$2:$A$501,A53)&lt;&gt;1,"Not current","Current")))</x:f>
        <x:v>Current</x:v>
      </x:c>
    </x:row>
    <x:row r="54" ht="32" customHeight="1">
      <x:c r="A54" s="2" t="str">
        <x:v>8690</x:v>
      </x:c>
      <x:c r="B54" s="20" t="str">
        <x:f>IF(A54="","",IF(COUNTIFS(Data!$A$2:$A$501,A54)=1,INDEX(Data!$B$2:$B$501,MATCH(A54,Data!$A$2:$A$501,0)),"Not in current directory"))</x:f>
        <x:v>Crossroads Accelerated Academy</x:v>
      </x:c>
      <x:c r="C54" s="17" t="str">
        <x:v>No</x:v>
      </x:c>
      <x:c r="D54" s="17"/>
      <x:c r="E54" s="18"/>
      <x:c r="F54" s="17"/>
      <x:c r="G54" s="18"/>
      <x:c r="H54" s="17" t="str"/>
      <x:c r="I54" s="17" t="str"/>
      <x:c r="J54" s="17" t="str">
        <x:v>Not contacted</x:v>
      </x:c>
      <x:c r="K54" s="17" t="str">
        <x:v>Unknown</x:v>
      </x:c>
      <x:c r="L54" s="2" t="str">
        <x:f>IF(A54="","",IF(COUNTIFS($A$8:$A$507,A54)&lt;&gt;1,"Duplicate ID",IF(COUNTIFS(Data!$A$2:$A$501,A54)&lt;&gt;1,"Not current","Current")))</x:f>
        <x:v>Current</x:v>
      </x:c>
    </x:row>
    <x:row r="55" ht="32" customHeight="1">
      <x:c r="A55" s="2" t="str">
        <x:v>3190</x:v>
      </x:c>
      <x:c r="B55" s="20" t="str">
        <x:f>IF(A55="","",IF(COUNTIFS(Data!$A$2:$A$501,A55)=1,INDEX(Data!$B$2:$B$501,MATCH(A55,Data!$A$2:$A$501,0)),"Not in current directory"))</x:f>
        <x:v>Crossroads at Hunting Park</x:v>
      </x:c>
      <x:c r="C55" s="17" t="str">
        <x:v>No</x:v>
      </x:c>
      <x:c r="D55" s="17"/>
      <x:c r="E55" s="18"/>
      <x:c r="F55" s="17"/>
      <x:c r="G55" s="18"/>
      <x:c r="H55" s="17" t="str"/>
      <x:c r="I55" s="17" t="str"/>
      <x:c r="J55" s="17" t="str">
        <x:v>Not contacted</x:v>
      </x:c>
      <x:c r="K55" s="17" t="str">
        <x:v>Unknown</x:v>
      </x:c>
      <x:c r="L55" s="2" t="str">
        <x:f>IF(A55="","",IF(COUNTIFS($A$8:$A$507,A55)&lt;&gt;1,"Duplicate ID",IF(COUNTIFS(Data!$A$2:$A$501,A55)&lt;&gt;1,"Not current","Current")))</x:f>
        <x:v>Current</x:v>
      </x:c>
    </x:row>
    <x:row r="56" ht="32" customHeight="1">
      <x:c r="A56" s="2" t="str">
        <x:v>2190</x:v>
      </x:c>
      <x:c r="B56" s="20" t="str">
        <x:f>IF(A56="","",IF(COUNTIFS(Data!$A$2:$A$501,A56)=1,INDEX(Data!$B$2:$B$501,MATCH(A56,Data!$A$2:$A$501,0)),"Not in current directory"))</x:f>
        <x:v>D. Newlin Fell School</x:v>
      </x:c>
      <x:c r="C56" s="17" t="str">
        <x:v>No</x:v>
      </x:c>
      <x:c r="D56" s="17"/>
      <x:c r="E56" s="18"/>
      <x:c r="F56" s="17"/>
      <x:c r="G56" s="18"/>
      <x:c r="H56" s="17" t="str"/>
      <x:c r="I56" s="17" t="str"/>
      <x:c r="J56" s="17" t="str">
        <x:v>Not contacted</x:v>
      </x:c>
      <x:c r="K56" s="17" t="str">
        <x:v>Unknown</x:v>
      </x:c>
      <x:c r="L56" s="2" t="str">
        <x:f>IF(A56="","",IF(COUNTIFS($A$8:$A$507,A56)&lt;&gt;1,"Duplicate ID",IF(COUNTIFS(Data!$A$2:$A$501,A56)&lt;&gt;1,"Not current","Current")))</x:f>
        <x:v>Current</x:v>
      </x:c>
    </x:row>
    <x:row r="57" ht="32" customHeight="1">
      <x:c r="A57" s="2" t="str">
        <x:v>3438</x:v>
      </x:c>
      <x:c r="B57" s="20" t="str">
        <x:f>IF(A57="","",IF(COUNTIFS(Data!$A$2:$A$501,A57)=1,INDEX(Data!$B$2:$B$501,MATCH(A57,Data!$A$2:$A$501,0)),"Not in current directory"))</x:f>
        <x:v>Deep Roots Charter School</x:v>
      </x:c>
      <x:c r="C57" s="17" t="str">
        <x:v>No</x:v>
      </x:c>
      <x:c r="D57" s="17"/>
      <x:c r="E57" s="18"/>
      <x:c r="F57" s="17"/>
      <x:c r="G57" s="18"/>
      <x:c r="H57" s="17" t="str"/>
      <x:c r="I57" s="17" t="str"/>
      <x:c r="J57" s="17" t="str">
        <x:v>Not contacted</x:v>
      </x:c>
      <x:c r="K57" s="17" t="str">
        <x:v>Unknown</x:v>
      </x:c>
      <x:c r="L57" s="2" t="str">
        <x:f>IF(A57="","",IF(COUNTIFS($A$8:$A$507,A57)&lt;&gt;1,"Duplicate ID",IF(COUNTIFS(Data!$A$2:$A$501,A57)&lt;&gt;1,"Not current","Current")))</x:f>
        <x:v>Current</x:v>
      </x:c>
    </x:row>
    <x:row r="58" ht="32" customHeight="1">
      <x:c r="A58" s="2" t="str">
        <x:v>2370</x:v>
      </x:c>
      <x:c r="B58" s="20" t="str">
        <x:f>IF(A58="","",IF(COUNTIFS(Data!$A$2:$A$501,A58)=1,INDEX(Data!$B$2:$B$501,MATCH(A58,Data!$A$2:$A$501,0)),"Not in current directory"))</x:f>
        <x:v>Delaplaine McDaniel School</x:v>
      </x:c>
      <x:c r="C58" s="17" t="str">
        <x:v>No</x:v>
      </x:c>
      <x:c r="D58" s="17"/>
      <x:c r="E58" s="18"/>
      <x:c r="F58" s="17"/>
      <x:c r="G58" s="18"/>
      <x:c r="H58" s="17" t="str"/>
      <x:c r="I58" s="17" t="str"/>
      <x:c r="J58" s="17" t="str">
        <x:v>Not contacted</x:v>
      </x:c>
      <x:c r="K58" s="17" t="str">
        <x:v>Unknown</x:v>
      </x:c>
      <x:c r="L58" s="2" t="str">
        <x:f>IF(A58="","",IF(COUNTIFS($A$8:$A$507,A58)&lt;&gt;1,"Duplicate ID",IF(COUNTIFS(Data!$A$2:$A$501,A58)&lt;&gt;1,"Not current","Current")))</x:f>
        <x:v>Current</x:v>
      </x:c>
    </x:row>
    <x:row r="59" ht="32" customHeight="1">
      <x:c r="A59" s="2" t="str">
        <x:v>4440</x:v>
      </x:c>
      <x:c r="B59" s="20" t="str">
        <x:f>IF(A59="","",IF(COUNTIFS(Data!$A$2:$A$501,A59)=1,INDEX(Data!$B$2:$B$501,MATCH(A59,Data!$A$2:$A$501,0)),"Not in current directory"))</x:f>
        <x:v>Dr. Ethel Allen School</x:v>
      </x:c>
      <x:c r="C59" s="17" t="str">
        <x:v>No</x:v>
      </x:c>
      <x:c r="D59" s="17"/>
      <x:c r="E59" s="18"/>
      <x:c r="F59" s="17"/>
      <x:c r="G59" s="18"/>
      <x:c r="H59" s="17" t="str"/>
      <x:c r="I59" s="17" t="str"/>
      <x:c r="J59" s="17" t="str">
        <x:v>Not contacted</x:v>
      </x:c>
      <x:c r="K59" s="17" t="str">
        <x:v>Unknown</x:v>
      </x:c>
      <x:c r="L59" s="2" t="str">
        <x:f>IF(A59="","",IF(COUNTIFS($A$8:$A$507,A59)&lt;&gt;1,"Duplicate ID",IF(COUNTIFS(Data!$A$2:$A$501,A59)&lt;&gt;1,"Not current","Current")))</x:f>
        <x:v>Current</x:v>
      </x:c>
    </x:row>
    <x:row r="60" ht="32" customHeight="1">
      <x:c r="A60" s="2" t="str">
        <x:v>4350</x:v>
      </x:c>
      <x:c r="B60" s="20" t="str">
        <x:f>IF(A60="","",IF(COUNTIFS(Data!$A$2:$A$501,A60)=1,INDEX(Data!$B$2:$B$501,MATCH(A60,Data!$A$2:$A$501,0)),"Not in current directory"))</x:f>
        <x:v>E. Washington Rhodes School</x:v>
      </x:c>
      <x:c r="C60" s="17" t="str">
        <x:v>No</x:v>
      </x:c>
      <x:c r="D60" s="17"/>
      <x:c r="E60" s="18"/>
      <x:c r="F60" s="17"/>
      <x:c r="G60" s="18"/>
      <x:c r="H60" s="17" t="str"/>
      <x:c r="I60" s="17" t="str"/>
      <x:c r="J60" s="17" t="str">
        <x:v>Not contacted</x:v>
      </x:c>
      <x:c r="K60" s="17" t="str">
        <x:v>Unknown</x:v>
      </x:c>
      <x:c r="L60" s="2" t="str">
        <x:f>IF(A60="","",IF(COUNTIFS($A$8:$A$507,A60)&lt;&gt;1,"Duplicate ID",IF(COUNTIFS(Data!$A$2:$A$501,A60)&lt;&gt;1,"Not current","Current")))</x:f>
        <x:v>Current</x:v>
      </x:c>
    </x:row>
    <x:row r="61" ht="32" customHeight="1">
      <x:c r="A61" s="2" t="str">
        <x:v>3250</x:v>
      </x:c>
      <x:c r="B61" s="20" t="str">
        <x:f>IF(A61="","",IF(COUNTIFS(Data!$A$2:$A$501,A61)=1,INDEX(Data!$B$2:$B$501,MATCH(A61,Data!$A$2:$A$501,0)),"Not in current directory"))</x:f>
        <x:v>Early College Charter School of Philadelphia</x:v>
      </x:c>
      <x:c r="C61" s="17" t="str">
        <x:v>No</x:v>
      </x:c>
      <x:c r="D61" s="17"/>
      <x:c r="E61" s="18"/>
      <x:c r="F61" s="17"/>
      <x:c r="G61" s="18"/>
      <x:c r="H61" s="17" t="str"/>
      <x:c r="I61" s="17" t="str"/>
      <x:c r="J61" s="17" t="str">
        <x:v>Not contacted</x:v>
      </x:c>
      <x:c r="K61" s="17" t="str">
        <x:v>Unknown</x:v>
      </x:c>
      <x:c r="L61" s="2" t="str">
        <x:f>IF(A61="","",IF(COUNTIFS($A$8:$A$507,A61)&lt;&gt;1,"Duplicate ID",IF(COUNTIFS(Data!$A$2:$A$501,A61)&lt;&gt;1,"Not current","Current")))</x:f>
        <x:v>Current</x:v>
      </x:c>
    </x:row>
    <x:row r="62" ht="32" customHeight="1">
      <x:c r="A62" s="2" t="str">
        <x:v>4530</x:v>
      </x:c>
      <x:c r="B62" s="20" t="str">
        <x:f>IF(A62="","",IF(COUNTIFS(Data!$A$2:$A$501,A62)=1,INDEX(Data!$B$2:$B$501,MATCH(A62,Data!$A$2:$A$501,0)),"Not in current directory"))</x:f>
        <x:v>Edward Gideon School</x:v>
      </x:c>
      <x:c r="C62" s="17" t="str">
        <x:v>No</x:v>
      </x:c>
      <x:c r="D62" s="17"/>
      <x:c r="E62" s="18"/>
      <x:c r="F62" s="17"/>
      <x:c r="G62" s="18"/>
      <x:c r="H62" s="17" t="str"/>
      <x:c r="I62" s="17" t="str"/>
      <x:c r="J62" s="17" t="str">
        <x:v>Not contacted</x:v>
      </x:c>
      <x:c r="K62" s="17" t="str">
        <x:v>Unknown</x:v>
      </x:c>
      <x:c r="L62" s="2" t="str">
        <x:f>IF(A62="","",IF(COUNTIFS($A$8:$A$507,A62)&lt;&gt;1,"Duplicate ID",IF(COUNTIFS(Data!$A$2:$A$501,A62)&lt;&gt;1,"Not current","Current")))</x:f>
        <x:v>Current</x:v>
      </x:c>
    </x:row>
    <x:row r="63" ht="32" customHeight="1">
      <x:c r="A63" s="2" t="str">
        <x:v>4300</x:v>
      </x:c>
      <x:c r="B63" s="20" t="str">
        <x:f>IF(A63="","",IF(COUNTIFS(Data!$A$2:$A$501,A63)=1,INDEX(Data!$B$2:$B$501,MATCH(A63,Data!$A$2:$A$501,0)),"Not in current directory"))</x:f>
        <x:v>Edward Heston School</x:v>
      </x:c>
      <x:c r="C63" s="17" t="str">
        <x:v>No</x:v>
      </x:c>
      <x:c r="D63" s="17"/>
      <x:c r="E63" s="18"/>
      <x:c r="F63" s="17"/>
      <x:c r="G63" s="18"/>
      <x:c r="H63" s="17" t="str"/>
      <x:c r="I63" s="17" t="str"/>
      <x:c r="J63" s="17" t="str">
        <x:v>Not contacted</x:v>
      </x:c>
      <x:c r="K63" s="17" t="str">
        <x:v>Unknown</x:v>
      </x:c>
      <x:c r="L63" s="2" t="str">
        <x:f>IF(A63="","",IF(COUNTIFS($A$8:$A$507,A63)&lt;&gt;1,"Duplicate ID",IF(COUNTIFS(Data!$A$2:$A$501,A63)&lt;&gt;1,"Not current","Current")))</x:f>
        <x:v>Current</x:v>
      </x:c>
    </x:row>
    <x:row r="64" ht="32" customHeight="1">
      <x:c r="A64" s="2" t="str">
        <x:v>6390</x:v>
      </x:c>
      <x:c r="B64" s="20" t="str">
        <x:f>IF(A64="","",IF(COUNTIFS(Data!$A$2:$A$501,A64)=1,INDEX(Data!$B$2:$B$501,MATCH(A64,Data!$A$2:$A$501,0)),"Not in current directory"))</x:f>
        <x:v>Edward T. Steel School</x:v>
      </x:c>
      <x:c r="C64" s="17" t="str">
        <x:v>No</x:v>
      </x:c>
      <x:c r="D64" s="17"/>
      <x:c r="E64" s="18"/>
      <x:c r="F64" s="17"/>
      <x:c r="G64" s="18"/>
      <x:c r="H64" s="17" t="str"/>
      <x:c r="I64" s="17" t="str"/>
      <x:c r="J64" s="17" t="str">
        <x:v>Not contacted</x:v>
      </x:c>
      <x:c r="K64" s="17" t="str">
        <x:v>Unknown</x:v>
      </x:c>
      <x:c r="L64" s="2" t="str">
        <x:f>IF(A64="","",IF(COUNTIFS($A$8:$A$507,A64)&lt;&gt;1,"Duplicate ID",IF(COUNTIFS(Data!$A$2:$A$501,A64)&lt;&gt;1,"Not current","Current")))</x:f>
        <x:v>Current</x:v>
      </x:c>
    </x:row>
    <x:row r="65" ht="32" customHeight="1">
      <x:c r="A65" s="2" t="str">
        <x:v>8250</x:v>
      </x:c>
      <x:c r="B65" s="20" t="str">
        <x:f>IF(A65="","",IF(COUNTIFS(Data!$A$2:$A$501,A65)=1,INDEX(Data!$B$2:$B$501,MATCH(A65,Data!$A$2:$A$501,0)),"Not in current directory"))</x:f>
        <x:v>Edwin Forrest School</x:v>
      </x:c>
      <x:c r="C65" s="17" t="str">
        <x:v>No</x:v>
      </x:c>
      <x:c r="D65" s="17"/>
      <x:c r="E65" s="18"/>
      <x:c r="F65" s="17"/>
      <x:c r="G65" s="18"/>
      <x:c r="H65" s="17" t="str"/>
      <x:c r="I65" s="17" t="str"/>
      <x:c r="J65" s="17" t="str">
        <x:v>Not contacted</x:v>
      </x:c>
      <x:c r="K65" s="17" t="str">
        <x:v>Unknown</x:v>
      </x:c>
      <x:c r="L65" s="2" t="str">
        <x:f>IF(A65="","",IF(COUNTIFS($A$8:$A$507,A65)&lt;&gt;1,"Duplicate ID",IF(COUNTIFS(Data!$A$2:$A$501,A65)&lt;&gt;1,"Not current","Current")))</x:f>
        <x:v>Current</x:v>
      </x:c>
    </x:row>
    <x:row r="66" ht="32" customHeight="1">
      <x:c r="A66" s="2" t="str">
        <x:v>2450</x:v>
      </x:c>
      <x:c r="B66" s="20" t="str">
        <x:f>IF(A66="","",IF(COUNTIFS(Data!$A$2:$A$501,A66)=1,INDEX(Data!$B$2:$B$501,MATCH(A66,Data!$A$2:$A$501,0)),"Not in current directory"))</x:f>
        <x:v>Edwin M. Stanton School</x:v>
      </x:c>
      <x:c r="C66" s="17" t="str">
        <x:v>No</x:v>
      </x:c>
      <x:c r="D66" s="17"/>
      <x:c r="E66" s="18"/>
      <x:c r="F66" s="17"/>
      <x:c r="G66" s="18"/>
      <x:c r="H66" s="17" t="str"/>
      <x:c r="I66" s="17" t="str"/>
      <x:c r="J66" s="17" t="str">
        <x:v>Not contacted</x:v>
      </x:c>
      <x:c r="K66" s="17" t="str">
        <x:v>Unknown</x:v>
      </x:c>
      <x:c r="L66" s="2" t="str">
        <x:f>IF(A66="","",IF(COUNTIFS($A$8:$A$507,A66)&lt;&gt;1,"Duplicate ID",IF(COUNTIFS(Data!$A$2:$A$501,A66)&lt;&gt;1,"Not current","Current")))</x:f>
        <x:v>Current</x:v>
      </x:c>
    </x:row>
    <x:row r="67" ht="32" customHeight="1">
      <x:c r="A67" s="2" t="str">
        <x:v>3510</x:v>
      </x:c>
      <x:c r="B67" s="20" t="str">
        <x:f>IF(A67="","",IF(COUNTIFS(Data!$A$2:$A$501,A67)=1,INDEX(Data!$B$2:$B$501,MATCH(A67,Data!$A$2:$A$501,0)),"Not in current directory"))</x:f>
        <x:v>El Centro de Estudiantes</x:v>
      </x:c>
      <x:c r="C67" s="17" t="str">
        <x:v>No</x:v>
      </x:c>
      <x:c r="D67" s="17"/>
      <x:c r="E67" s="18"/>
      <x:c r="F67" s="17"/>
      <x:c r="G67" s="18"/>
      <x:c r="H67" s="17" t="str"/>
      <x:c r="I67" s="17" t="str"/>
      <x:c r="J67" s="17" t="str">
        <x:v>Not contacted</x:v>
      </x:c>
      <x:c r="K67" s="17" t="str">
        <x:v>Unknown</x:v>
      </x:c>
      <x:c r="L67" s="2" t="str">
        <x:f>IF(A67="","",IF(COUNTIFS($A$8:$A$507,A67)&lt;&gt;1,"Duplicate ID",IF(COUNTIFS(Data!$A$2:$A$501,A67)&lt;&gt;1,"Not current","Current")))</x:f>
        <x:v>Current</x:v>
      </x:c>
    </x:row>
    <x:row r="68" ht="32" customHeight="1">
      <x:c r="A68" s="2" t="str">
        <x:v>6220</x:v>
      </x:c>
      <x:c r="B68" s="20" t="str">
        <x:f>IF(A68="","",IF(COUNTIFS(Data!$A$2:$A$501,A68)=1,INDEX(Data!$B$2:$B$501,MATCH(A68,Data!$A$2:$A$501,0)),"Not in current directory"))</x:f>
        <x:v>Eleanor C. Emlen School</x:v>
      </x:c>
      <x:c r="C68" s="17" t="str">
        <x:v>No</x:v>
      </x:c>
      <x:c r="D68" s="17"/>
      <x:c r="E68" s="18"/>
      <x:c r="F68" s="17"/>
      <x:c r="G68" s="18"/>
      <x:c r="H68" s="17" t="str"/>
      <x:c r="I68" s="17" t="str"/>
      <x:c r="J68" s="17" t="str">
        <x:v>Not contacted</x:v>
      </x:c>
      <x:c r="K68" s="17" t="str">
        <x:v>Unknown</x:v>
      </x:c>
      <x:c r="L68" s="2" t="str">
        <x:f>IF(A68="","",IF(COUNTIFS($A$8:$A$507,A68)&lt;&gt;1,"Duplicate ID",IF(COUNTIFS(Data!$A$2:$A$501,A68)&lt;&gt;1,"Not current","Current")))</x:f>
        <x:v>Current</x:v>
      </x:c>
    </x:row>
    <x:row r="69" ht="32" customHeight="1">
      <x:c r="A69" s="2" t="str">
        <x:v>2580</x:v>
      </x:c>
      <x:c r="B69" s="20" t="str">
        <x:f>IF(A69="","",IF(COUNTIFS(Data!$A$2:$A$501,A69)=1,INDEX(Data!$B$2:$B$501,MATCH(A69,Data!$A$2:$A$501,0)),"Not in current directory"))</x:f>
        <x:v>Eliza B. Kirkbride School</x:v>
      </x:c>
      <x:c r="C69" s="17" t="str">
        <x:v>No</x:v>
      </x:c>
      <x:c r="D69" s="17"/>
      <x:c r="E69" s="18"/>
      <x:c r="F69" s="17"/>
      <x:c r="G69" s="18"/>
      <x:c r="H69" s="17" t="str"/>
      <x:c r="I69" s="17" t="str"/>
      <x:c r="J69" s="17" t="str">
        <x:v>Not contacted</x:v>
      </x:c>
      <x:c r="K69" s="17" t="str">
        <x:v>Unknown</x:v>
      </x:c>
      <x:c r="L69" s="2" t="str">
        <x:f>IF(A69="","",IF(COUNTIFS($A$8:$A$507,A69)&lt;&gt;1,"Duplicate ID",IF(COUNTIFS(Data!$A$2:$A$501,A69)&lt;&gt;1,"Not current","Current")))</x:f>
        <x:v>Current</x:v>
      </x:c>
    </x:row>
    <x:row r="70" ht="32" customHeight="1">
      <x:c r="A70" s="2" t="str">
        <x:v>7260</x:v>
      </x:c>
      <x:c r="B70" s="20" t="str">
        <x:f>IF(A70="","",IF(COUNTIFS(Data!$A$2:$A$501,A70)=1,INDEX(Data!$B$2:$B$501,MATCH(A70,Data!$A$2:$A$501,0)),"Not in current directory"))</x:f>
        <x:v>Ellwood School</x:v>
      </x:c>
      <x:c r="C70" s="17" t="str">
        <x:v>No</x:v>
      </x:c>
      <x:c r="D70" s="17"/>
      <x:c r="E70" s="18"/>
      <x:c r="F70" s="17"/>
      <x:c r="G70" s="18"/>
      <x:c r="H70" s="17" t="str"/>
      <x:c r="I70" s="17" t="str"/>
      <x:c r="J70" s="17" t="str">
        <x:v>Not contacted</x:v>
      </x:c>
      <x:c r="K70" s="17" t="str">
        <x:v>Unknown</x:v>
      </x:c>
      <x:c r="L70" s="2" t="str">
        <x:f>IF(A70="","",IF(COUNTIFS($A$8:$A$507,A70)&lt;&gt;1,"Duplicate ID",IF(COUNTIFS(Data!$A$2:$A$501,A70)&lt;&gt;1,"Not current","Current")))</x:f>
        <x:v>Current</x:v>
      </x:c>
    </x:row>
    <x:row r="71" ht="32" customHeight="1">
      <x:c r="A71" s="2" t="str">
        <x:v>3333</x:v>
      </x:c>
      <x:c r="B71" s="20" t="str">
        <x:f>IF(A71="","",IF(COUNTIFS(Data!$A$2:$A$501,A71)=1,INDEX(Data!$B$2:$B$501,MATCH(A71,Data!$A$2:$A$501,0)),"Not in current directory"))</x:f>
        <x:v>Esperanza Academy Charter School</x:v>
      </x:c>
      <x:c r="C71" s="17" t="str">
        <x:v>No</x:v>
      </x:c>
      <x:c r="D71" s="17"/>
      <x:c r="E71" s="18"/>
      <x:c r="F71" s="17"/>
      <x:c r="G71" s="18"/>
      <x:c r="H71" s="17" t="str"/>
      <x:c r="I71" s="17" t="str"/>
      <x:c r="J71" s="17" t="str">
        <x:v>Not contacted</x:v>
      </x:c>
      <x:c r="K71" s="17" t="str">
        <x:v>Unknown</x:v>
      </x:c>
      <x:c r="L71" s="2" t="str">
        <x:f>IF(A71="","",IF(COUNTIFS($A$8:$A$507,A71)&lt;&gt;1,"Duplicate ID",IF(COUNTIFS(Data!$A$2:$A$501,A71)&lt;&gt;1,"Not current","Current")))</x:f>
        <x:v>Current</x:v>
      </x:c>
    </x:row>
    <x:row r="72" ht="32" customHeight="1">
      <x:c r="A72" s="2" t="str">
        <x:v>8200</x:v>
      </x:c>
      <x:c r="B72" s="20" t="str">
        <x:f>IF(A72="","",IF(COUNTIFS(Data!$A$2:$A$501,A72)=1,INDEX(Data!$B$2:$B$501,MATCH(A72,Data!$A$2:$A$501,0)),"Not in current directory"))</x:f>
        <x:v>Ethan Allen School</x:v>
      </x:c>
      <x:c r="C72" s="17" t="str">
        <x:v>No</x:v>
      </x:c>
      <x:c r="D72" s="17"/>
      <x:c r="E72" s="18"/>
      <x:c r="F72" s="17"/>
      <x:c r="G72" s="18"/>
      <x:c r="H72" s="17" t="str"/>
      <x:c r="I72" s="17" t="str"/>
      <x:c r="J72" s="17" t="str">
        <x:v>Not contacted</x:v>
      </x:c>
      <x:c r="K72" s="17" t="str">
        <x:v>Unknown</x:v>
      </x:c>
      <x:c r="L72" s="2" t="str">
        <x:f>IF(A72="","",IF(COUNTIFS($A$8:$A$507,A72)&lt;&gt;1,"Duplicate ID",IF(COUNTIFS(Data!$A$2:$A$501,A72)&lt;&gt;1,"Not current","Current")))</x:f>
        <x:v>Current</x:v>
      </x:c>
    </x:row>
    <x:row r="73" ht="32" customHeight="1">
      <x:c r="A73" s="2" t="str">
        <x:v>3307</x:v>
      </x:c>
      <x:c r="B73" s="20" t="str">
        <x:f>IF(A73="","",IF(COUNTIFS(Data!$A$2:$A$501,A73)=1,INDEX(Data!$B$2:$B$501,MATCH(A73,Data!$A$2:$A$501,0)),"Not in current directory"))</x:f>
        <x:v>Eugenio Maria De Hostos Charter School</x:v>
      </x:c>
      <x:c r="C73" s="17" t="str">
        <x:v>No</x:v>
      </x:c>
      <x:c r="D73" s="17"/>
      <x:c r="E73" s="18"/>
      <x:c r="F73" s="17"/>
      <x:c r="G73" s="18"/>
      <x:c r="H73" s="17" t="str"/>
      <x:c r="I73" s="17" t="str"/>
      <x:c r="J73" s="17" t="str">
        <x:v>Not contacted</x:v>
      </x:c>
      <x:c r="K73" s="17" t="str">
        <x:v>Unknown</x:v>
      </x:c>
      <x:c r="L73" s="2" t="str">
        <x:f>IF(A73="","",IF(COUNTIFS($A$8:$A$507,A73)&lt;&gt;1,"Duplicate ID",IF(COUNTIFS(Data!$A$2:$A$501,A73)&lt;&gt;1,"Not current","Current")))</x:f>
        <x:v>Current</x:v>
      </x:c>
    </x:row>
    <x:row r="74" ht="32" customHeight="1">
      <x:c r="A74" s="2" t="str">
        <x:v>3291</x:v>
      </x:c>
      <x:c r="B74" s="20" t="str">
        <x:f>IF(A74="","",IF(COUNTIFS(Data!$A$2:$A$501,A74)=1,INDEX(Data!$B$2:$B$501,MATCH(A74,Data!$A$2:$A$501,0)),"Not in current directory"))</x:f>
        <x:v>Excel Academy Central</x:v>
      </x:c>
      <x:c r="C74" s="17" t="str">
        <x:v>No</x:v>
      </x:c>
      <x:c r="D74" s="17"/>
      <x:c r="E74" s="18"/>
      <x:c r="F74" s="17"/>
      <x:c r="G74" s="18"/>
      <x:c r="H74" s="17" t="str"/>
      <x:c r="I74" s="17" t="str"/>
      <x:c r="J74" s="17" t="str">
        <x:v>Not contacted</x:v>
      </x:c>
      <x:c r="K74" s="17" t="str">
        <x:v>Unknown</x:v>
      </x:c>
      <x:c r="L74" s="2" t="str">
        <x:f>IF(A74="","",IF(COUNTIFS($A$8:$A$507,A74)&lt;&gt;1,"Duplicate ID",IF(COUNTIFS(Data!$A$2:$A$501,A74)&lt;&gt;1,"Not current","Current")))</x:f>
        <x:v>Current</x:v>
      </x:c>
    </x:row>
    <x:row r="75" ht="32" customHeight="1">
      <x:c r="A75" s="2" t="str">
        <x:v>8080</x:v>
      </x:c>
      <x:c r="B75" s="20" t="str">
        <x:f>IF(A75="","",IF(COUNTIFS(Data!$A$2:$A$501,A75)=1,INDEX(Data!$B$2:$B$501,MATCH(A75,Data!$A$2:$A$501,0)),"Not in current directory"))</x:f>
        <x:v>Excel Academy North</x:v>
      </x:c>
      <x:c r="C75" s="17" t="str">
        <x:v>No</x:v>
      </x:c>
      <x:c r="D75" s="17"/>
      <x:c r="E75" s="18"/>
      <x:c r="F75" s="17"/>
      <x:c r="G75" s="18"/>
      <x:c r="H75" s="17" t="str"/>
      <x:c r="I75" s="17" t="str"/>
      <x:c r="J75" s="17" t="str">
        <x:v>Not contacted</x:v>
      </x:c>
      <x:c r="K75" s="17" t="str">
        <x:v>Unknown</x:v>
      </x:c>
      <x:c r="L75" s="2" t="str">
        <x:f>IF(A75="","",IF(COUNTIFS($A$8:$A$507,A75)&lt;&gt;1,"Duplicate ID",IF(COUNTIFS(Data!$A$2:$A$501,A75)&lt;&gt;1,"Not current","Current")))</x:f>
        <x:v>Current</x:v>
      </x:c>
    </x:row>
    <x:row r="76" ht="32" customHeight="1">
      <x:c r="A76" s="2" t="str">
        <x:v>3290</x:v>
      </x:c>
      <x:c r="B76" s="20" t="str">
        <x:f>IF(A76="","",IF(COUNTIFS(Data!$A$2:$A$501,A76)=1,INDEX(Data!$B$2:$B$501,MATCH(A76,Data!$A$2:$A$501,0)),"Not in current directory"))</x:f>
        <x:v>Excel Academy South</x:v>
      </x:c>
      <x:c r="C76" s="17" t="str">
        <x:v>No</x:v>
      </x:c>
      <x:c r="D76" s="17"/>
      <x:c r="E76" s="18"/>
      <x:c r="F76" s="17"/>
      <x:c r="G76" s="18"/>
      <x:c r="H76" s="17" t="str"/>
      <x:c r="I76" s="17" t="str"/>
      <x:c r="J76" s="17" t="str">
        <x:v>Not contacted</x:v>
      </x:c>
      <x:c r="K76" s="17" t="str">
        <x:v>Unknown</x:v>
      </x:c>
      <x:c r="L76" s="2" t="str">
        <x:f>IF(A76="","",IF(COUNTIFS($A$8:$A$507,A76)&lt;&gt;1,"Duplicate ID",IF(COUNTIFS(Data!$A$2:$A$501,A76)&lt;&gt;1,"Not current","Current")))</x:f>
        <x:v>Current</x:v>
      </x:c>
    </x:row>
    <x:row r="77" ht="32" customHeight="1">
      <x:c r="A77" s="2" t="str">
        <x:v>3040</x:v>
      </x:c>
      <x:c r="B77" s="20" t="str">
        <x:f>IF(A77="","",IF(COUNTIFS(Data!$A$2:$A$501,A77)=1,INDEX(Data!$B$2:$B$501,MATCH(A77,Data!$A$2:$A$501,0)),"Not in current directory"))</x:f>
        <x:v>Excel Middle Years Academy</x:v>
      </x:c>
      <x:c r="C77" s="17" t="str">
        <x:v>No</x:v>
      </x:c>
      <x:c r="D77" s="17"/>
      <x:c r="E77" s="18"/>
      <x:c r="F77" s="17"/>
      <x:c r="G77" s="18"/>
      <x:c r="H77" s="17" t="str"/>
      <x:c r="I77" s="17" t="str"/>
      <x:c r="J77" s="17" t="str">
        <x:v>Not contacted</x:v>
      </x:c>
      <x:c r="K77" s="17" t="str">
        <x:v>Unknown</x:v>
      </x:c>
      <x:c r="L77" s="2" t="str">
        <x:f>IF(A77="","",IF(COUNTIFS($A$8:$A$507,A77)&lt;&gt;1,"Duplicate ID",IF(COUNTIFS(Data!$A$2:$A$501,A77)&lt;&gt;1,"Not current","Current")))</x:f>
        <x:v>Current</x:v>
      </x:c>
    </x:row>
    <x:row r="78" ht="32" customHeight="1">
      <x:c r="A78" s="2" t="str">
        <x:v>2240</x:v>
      </x:c>
      <x:c r="B78" s="20" t="str">
        <x:f>IF(A78="","",IF(COUNTIFS(Data!$A$2:$A$501,A78)=1,INDEX(Data!$B$2:$B$501,MATCH(A78,Data!$A$2:$A$501,0)),"Not in current directory"))</x:f>
        <x:v>F. Amedee Bregy School</x:v>
      </x:c>
      <x:c r="C78" s="17" t="str">
        <x:v>No</x:v>
      </x:c>
      <x:c r="D78" s="17"/>
      <x:c r="E78" s="18"/>
      <x:c r="F78" s="17"/>
      <x:c r="G78" s="18"/>
      <x:c r="H78" s="17" t="str"/>
      <x:c r="I78" s="17" t="str"/>
      <x:c r="J78" s="17" t="str">
        <x:v>Not contacted</x:v>
      </x:c>
      <x:c r="K78" s="17" t="str">
        <x:v>Unknown</x:v>
      </x:c>
      <x:c r="L78" s="2" t="str">
        <x:f>IF(A78="","",IF(COUNTIFS($A$8:$A$507,A78)&lt;&gt;1,"Duplicate ID",IF(COUNTIFS(Data!$A$2:$A$501,A78)&lt;&gt;1,"Not current","Current")))</x:f>
        <x:v>Current</x:v>
      </x:c>
    </x:row>
    <x:row r="79" ht="32" customHeight="1">
      <x:c r="A79" s="2" t="str">
        <x:v>2510</x:v>
      </x:c>
      <x:c r="B79" s="20" t="str">
        <x:f>IF(A79="","",IF(COUNTIFS(Data!$A$2:$A$501,A79)=1,INDEX(Data!$B$2:$B$501,MATCH(A79,Data!$A$2:$A$501,0)),"Not in current directory"))</x:f>
        <x:v>Fanny Jackson Coppin School</x:v>
      </x:c>
      <x:c r="C79" s="17" t="str">
        <x:v>No</x:v>
      </x:c>
      <x:c r="D79" s="17"/>
      <x:c r="E79" s="18"/>
      <x:c r="F79" s="17"/>
      <x:c r="G79" s="18"/>
      <x:c r="H79" s="17" t="str"/>
      <x:c r="I79" s="17" t="str"/>
      <x:c r="J79" s="17" t="str">
        <x:v>Not contacted</x:v>
      </x:c>
      <x:c r="K79" s="17" t="str">
        <x:v>Unknown</x:v>
      </x:c>
      <x:c r="L79" s="2" t="str">
        <x:f>IF(A79="","",IF(COUNTIFS($A$8:$A$507,A79)&lt;&gt;1,"Duplicate ID",IF(COUNTIFS(Data!$A$2:$A$501,A79)&lt;&gt;1,"Not current","Current")))</x:f>
        <x:v>Current</x:v>
      </x:c>
    </x:row>
    <x:row r="80" ht="32" customHeight="1">
      <x:c r="A80" s="2" t="str">
        <x:v>7310</x:v>
      </x:c>
      <x:c r="B80" s="20" t="str">
        <x:f>IF(A80="","",IF(COUNTIFS(Data!$A$2:$A$501,A80)=1,INDEX(Data!$B$2:$B$501,MATCH(A80,Data!$A$2:$A$501,0)),"Not in current directory"))</x:f>
        <x:v>Feltonville Intermediate School</x:v>
      </x:c>
      <x:c r="C80" s="17" t="str">
        <x:v>No</x:v>
      </x:c>
      <x:c r="D80" s="17"/>
      <x:c r="E80" s="18"/>
      <x:c r="F80" s="17"/>
      <x:c r="G80" s="18"/>
      <x:c r="H80" s="17" t="str"/>
      <x:c r="I80" s="17" t="str"/>
      <x:c r="J80" s="17" t="str">
        <x:v>Not contacted</x:v>
      </x:c>
      <x:c r="K80" s="17" t="str">
        <x:v>Unknown</x:v>
      </x:c>
      <x:c r="L80" s="2" t="str">
        <x:f>IF(A80="","",IF(COUNTIFS($A$8:$A$507,A80)&lt;&gt;1,"Duplicate ID",IF(COUNTIFS(Data!$A$2:$A$501,A80)&lt;&gt;1,"Not current","Current")))</x:f>
        <x:v>Current</x:v>
      </x:c>
    </x:row>
    <x:row r="81" ht="32" customHeight="1">
      <x:c r="A81" s="2" t="str">
        <x:v>7500</x:v>
      </x:c>
      <x:c r="B81" s="20" t="str">
        <x:f>IF(A81="","",IF(COUNTIFS(Data!$A$2:$A$501,A81)=1,INDEX(Data!$B$2:$B$501,MATCH(A81,Data!$A$2:$A$501,0)),"Not in current directory"))</x:f>
        <x:v>Feltonville School of Arts and Sciences</x:v>
      </x:c>
      <x:c r="C81" s="17" t="str">
        <x:v>No</x:v>
      </x:c>
      <x:c r="D81" s="17"/>
      <x:c r="E81" s="18"/>
      <x:c r="F81" s="17"/>
      <x:c r="G81" s="18"/>
      <x:c r="H81" s="17" t="str"/>
      <x:c r="I81" s="17" t="str"/>
      <x:c r="J81" s="17" t="str">
        <x:v>Not contacted</x:v>
      </x:c>
      <x:c r="K81" s="17" t="str">
        <x:v>Unknown</x:v>
      </x:c>
      <x:c r="L81" s="2" t="str">
        <x:f>IF(A81="","",IF(COUNTIFS($A$8:$A$507,A81)&lt;&gt;1,"Duplicate ID",IF(COUNTIFS(Data!$A$2:$A$501,A81)&lt;&gt;1,"Not current","Current")))</x:f>
        <x:v>Current</x:v>
      </x:c>
    </x:row>
    <x:row r="82" ht="32" customHeight="1">
      <x:c r="A82" s="2" t="str">
        <x:v>3364</x:v>
      </x:c>
      <x:c r="B82" s="20" t="str">
        <x:f>IF(A82="","",IF(COUNTIFS(Data!$A$2:$A$501,A82)=1,INDEX(Data!$B$2:$B$501,MATCH(A82,Data!$A$2:$A$501,0)),"Not in current directory"))</x:f>
        <x:v>First Philadelphia Preparatory Charter School</x:v>
      </x:c>
      <x:c r="C82" s="17" t="str">
        <x:v>No</x:v>
      </x:c>
      <x:c r="D82" s="17"/>
      <x:c r="E82" s="18"/>
      <x:c r="F82" s="17"/>
      <x:c r="G82" s="18"/>
      <x:c r="H82" s="17" t="str"/>
      <x:c r="I82" s="17" t="str"/>
      <x:c r="J82" s="17" t="str">
        <x:v>Not contacted</x:v>
      </x:c>
      <x:c r="K82" s="17" t="str">
        <x:v>Unknown</x:v>
      </x:c>
      <x:c r="L82" s="2" t="str">
        <x:f>IF(A82="","",IF(COUNTIFS($A$8:$A$507,A82)&lt;&gt;1,"Duplicate ID",IF(COUNTIFS(Data!$A$2:$A$501,A82)&lt;&gt;1,"Not current","Current")))</x:f>
        <x:v>Current</x:v>
      </x:c>
    </x:row>
    <x:row r="83" ht="32" customHeight="1">
      <x:c r="A83" s="2" t="str">
        <x:v>6230</x:v>
      </x:c>
      <x:c r="B83" s="20" t="str">
        <x:f>IF(A83="","",IF(COUNTIFS(Data!$A$2:$A$501,A83)=1,INDEX(Data!$B$2:$B$501,MATCH(A83,Data!$A$2:$A$501,0)),"Not in current directory"))</x:f>
        <x:v>Fitler Academics Plus School</x:v>
      </x:c>
      <x:c r="C83" s="17" t="str">
        <x:v>No</x:v>
      </x:c>
      <x:c r="D83" s="17"/>
      <x:c r="E83" s="18"/>
      <x:c r="F83" s="17"/>
      <x:c r="G83" s="18"/>
      <x:c r="H83" s="17" t="str"/>
      <x:c r="I83" s="17" t="str"/>
      <x:c r="J83" s="17" t="str">
        <x:v>Not contacted</x:v>
      </x:c>
      <x:c r="K83" s="17" t="str">
        <x:v>Unknown</x:v>
      </x:c>
      <x:c r="L83" s="2" t="str">
        <x:f>IF(A83="","",IF(COUNTIFS($A$8:$A$507,A83)&lt;&gt;1,"Duplicate ID",IF(COUNTIFS(Data!$A$2:$A$501,A83)&lt;&gt;1,"Not current","Current")))</x:f>
        <x:v>Current</x:v>
      </x:c>
    </x:row>
    <x:row r="84" ht="32" customHeight="1">
      <x:c r="A84" s="2" t="str">
        <x:v>3384</x:v>
      </x:c>
      <x:c r="B84" s="20" t="str">
        <x:f>IF(A84="","",IF(COUNTIFS(Data!$A$2:$A$501,A84)=1,INDEX(Data!$B$2:$B$501,MATCH(A84,Data!$A$2:$A$501,0)),"Not in current directory"))</x:f>
        <x:v>Folk Arts-Cultural Treasures Charter School</x:v>
      </x:c>
      <x:c r="C84" s="17" t="str">
        <x:v>No</x:v>
      </x:c>
      <x:c r="D84" s="17"/>
      <x:c r="E84" s="18"/>
      <x:c r="F84" s="17"/>
      <x:c r="G84" s="18"/>
      <x:c r="H84" s="17" t="str"/>
      <x:c r="I84" s="17" t="str"/>
      <x:c r="J84" s="17" t="str">
        <x:v>Not contacted</x:v>
      </x:c>
      <x:c r="K84" s="17" t="str">
        <x:v>Unknown</x:v>
      </x:c>
      <x:c r="L84" s="2" t="str">
        <x:f>IF(A84="","",IF(COUNTIFS($A$8:$A$507,A84)&lt;&gt;1,"Duplicate ID",IF(COUNTIFS(Data!$A$2:$A$501,A84)&lt;&gt;1,"Not current","Current")))</x:f>
        <x:v>Current</x:v>
      </x:c>
    </x:row>
    <x:row r="85" ht="32" customHeight="1">
      <x:c r="A85" s="2" t="str">
        <x:v>8260</x:v>
      </x:c>
      <x:c r="B85" s="20" t="str">
        <x:f>IF(A85="","",IF(COUNTIFS(Data!$A$2:$A$501,A85)=1,INDEX(Data!$B$2:$B$501,MATCH(A85,Data!$A$2:$A$501,0)),"Not in current directory"))</x:f>
        <x:v>Fox Chase School</x:v>
      </x:c>
      <x:c r="C85" s="17" t="str">
        <x:v>No</x:v>
      </x:c>
      <x:c r="D85" s="17"/>
      <x:c r="E85" s="18"/>
      <x:c r="F85" s="17"/>
      <x:c r="G85" s="18"/>
      <x:c r="H85" s="17" t="str"/>
      <x:c r="I85" s="17" t="str"/>
      <x:c r="J85" s="17" t="str">
        <x:v>Not contacted</x:v>
      </x:c>
      <x:c r="K85" s="17" t="str">
        <x:v>Unknown</x:v>
      </x:c>
      <x:c r="L85" s="2" t="str">
        <x:f>IF(A85="","",IF(COUNTIFS($A$8:$A$507,A85)&lt;&gt;1,"Duplicate ID",IF(COUNTIFS(Data!$A$2:$A$501,A85)&lt;&gt;1,"Not current","Current")))</x:f>
        <x:v>Current</x:v>
      </x:c>
    </x:row>
    <x:row r="86" ht="32" customHeight="1">
      <x:c r="A86" s="2" t="str">
        <x:v>5440</x:v>
      </x:c>
      <x:c r="B86" s="20" t="str">
        <x:f>IF(A86="","",IF(COUNTIFS(Data!$A$2:$A$501,A86)=1,INDEX(Data!$B$2:$B$501,MATCH(A86,Data!$A$2:$A$501,0)),"Not in current directory"))</x:f>
        <x:v>Frances E. Willard School</x:v>
      </x:c>
      <x:c r="C86" s="17" t="str">
        <x:v>No</x:v>
      </x:c>
      <x:c r="D86" s="17"/>
      <x:c r="E86" s="18"/>
      <x:c r="F86" s="17"/>
      <x:c r="G86" s="18"/>
      <x:c r="H86" s="17" t="str"/>
      <x:c r="I86" s="17" t="str"/>
      <x:c r="J86" s="17" t="str">
        <x:v>Not contacted</x:v>
      </x:c>
      <x:c r="K86" s="17" t="str">
        <x:v>Unknown</x:v>
      </x:c>
      <x:c r="L86" s="2" t="str">
        <x:f>IF(A86="","",IF(COUNTIFS($A$8:$A$507,A86)&lt;&gt;1,"Duplicate ID",IF(COUNTIFS(Data!$A$2:$A$501,A86)&lt;&gt;1,"Not current","Current")))</x:f>
        <x:v>Current</x:v>
      </x:c>
    </x:row>
    <x:row r="87" ht="32" customHeight="1">
      <x:c r="A87" s="2" t="str">
        <x:v>7300</x:v>
      </x:c>
      <x:c r="B87" s="20" t="str">
        <x:f>IF(A87="","",IF(COUNTIFS(Data!$A$2:$A$501,A87)=1,INDEX(Data!$B$2:$B$501,MATCH(A87,Data!$A$2:$A$501,0)),"Not in current directory"))</x:f>
        <x:v>Francis Hopkinson School</x:v>
      </x:c>
      <x:c r="C87" s="17" t="str">
        <x:v>No</x:v>
      </x:c>
      <x:c r="D87" s="17"/>
      <x:c r="E87" s="18"/>
      <x:c r="F87" s="17"/>
      <x:c r="G87" s="18"/>
      <x:c r="H87" s="17" t="str"/>
      <x:c r="I87" s="17" t="str"/>
      <x:c r="J87" s="17" t="str">
        <x:v>Not contacted</x:v>
      </x:c>
      <x:c r="K87" s="17" t="str">
        <x:v>Unknown</x:v>
      </x:c>
      <x:c r="L87" s="2" t="str">
        <x:f>IF(A87="","",IF(COUNTIFS($A$8:$A$507,A87)&lt;&gt;1,"Duplicate ID",IF(COUNTIFS(Data!$A$2:$A$501,A87)&lt;&gt;1,"Not current","Current")))</x:f>
        <x:v>Current</x:v>
      </x:c>
    </x:row>
    <x:row r="88" ht="32" customHeight="1">
      <x:c r="A88" s="2" t="str">
        <x:v>2540</x:v>
      </x:c>
      <x:c r="B88" s="20" t="str">
        <x:f>IF(A88="","",IF(COUNTIFS(Data!$A$2:$A$501,A88)=1,INDEX(Data!$B$2:$B$501,MATCH(A88,Data!$A$2:$A$501,0)),"Not in current directory"))</x:f>
        <x:v>Francis S. Key School</x:v>
      </x:c>
      <x:c r="C88" s="17" t="str">
        <x:v>No</x:v>
      </x:c>
      <x:c r="D88" s="17"/>
      <x:c r="E88" s="18"/>
      <x:c r="F88" s="17"/>
      <x:c r="G88" s="18"/>
      <x:c r="H88" s="17" t="str"/>
      <x:c r="I88" s="17" t="str"/>
      <x:c r="J88" s="17" t="str">
        <x:v>Not contacted</x:v>
      </x:c>
      <x:c r="K88" s="17" t="str">
        <x:v>Unknown</x:v>
      </x:c>
      <x:c r="L88" s="2" t="str">
        <x:f>IF(A88="","",IF(COUNTIFS($A$8:$A$507,A88)&lt;&gt;1,"Duplicate ID",IF(COUNTIFS(Data!$A$2:$A$501,A88)&lt;&gt;1,"Not current","Current")))</x:f>
        <x:v>Current</x:v>
      </x:c>
    </x:row>
    <x:row r="89" ht="32" customHeight="1">
      <x:c r="A89" s="2" t="str">
        <x:v>7010</x:v>
      </x:c>
      <x:c r="B89" s="20" t="str">
        <x:f>IF(A89="","",IF(COUNTIFS(Data!$A$2:$A$501,A89)=1,INDEX(Data!$B$2:$B$501,MATCH(A89,Data!$A$2:$A$501,0)),"Not in current directory"))</x:f>
        <x:v>Frankford High School</x:v>
      </x:c>
      <x:c r="C89" s="17" t="str">
        <x:v>No</x:v>
      </x:c>
      <x:c r="D89" s="17"/>
      <x:c r="E89" s="18"/>
      <x:c r="F89" s="17"/>
      <x:c r="G89" s="18"/>
      <x:c r="H89" s="17" t="str"/>
      <x:c r="I89" s="17" t="str"/>
      <x:c r="J89" s="17" t="str">
        <x:v>Not contacted</x:v>
      </x:c>
      <x:c r="K89" s="17" t="str">
        <x:v>Unknown</x:v>
      </x:c>
      <x:c r="L89" s="2" t="str">
        <x:f>IF(A89="","",IF(COUNTIFS($A$8:$A$507,A89)&lt;&gt;1,"Duplicate ID",IF(COUNTIFS(Data!$A$2:$A$501,A89)&lt;&gt;1,"Not current","Current")))</x:f>
        <x:v>Current</x:v>
      </x:c>
    </x:row>
    <x:row r="90" ht="32" customHeight="1">
      <x:c r="A90" s="2" t="str">
        <x:v>2290</x:v>
      </x:c>
      <x:c r="B90" s="20" t="str">
        <x:f>IF(A90="","",IF(COUNTIFS(Data!$A$2:$A$501,A90)=1,INDEX(Data!$B$2:$B$501,MATCH(A90,Data!$A$2:$A$501,0)),"Not in current directory"))</x:f>
        <x:v>Franklin Learning Center</x:v>
      </x:c>
      <x:c r="C90" s="17" t="str">
        <x:v>No</x:v>
      </x:c>
      <x:c r="D90" s="17"/>
      <x:c r="E90" s="18"/>
      <x:c r="F90" s="17"/>
      <x:c r="G90" s="18"/>
      <x:c r="H90" s="17" t="str"/>
      <x:c r="I90" s="17" t="str"/>
      <x:c r="J90" s="17" t="str">
        <x:v>Not contacted</x:v>
      </x:c>
      <x:c r="K90" s="17" t="str">
        <x:v>Unknown</x:v>
      </x:c>
      <x:c r="L90" s="2" t="str">
        <x:f>IF(A90="","",IF(COUNTIFS($A$8:$A$507,A90)&lt;&gt;1,"Duplicate ID",IF(COUNTIFS(Data!$A$2:$A$501,A90)&lt;&gt;1,"Not current","Current")))</x:f>
        <x:v>Current</x:v>
      </x:c>
    </x:row>
    <x:row r="91" ht="32" customHeight="1">
      <x:c r="A91" s="2" t="str">
        <x:v>6210</x:v>
      </x:c>
      <x:c r="B91" s="20" t="str">
        <x:f>IF(A91="","",IF(COUNTIFS(Data!$A$2:$A$501,A91)=1,INDEX(Data!$B$2:$B$501,MATCH(A91,Data!$A$2:$A$501,0)),"Not in current directory"))</x:f>
        <x:v>Franklin S. Edmonds School</x:v>
      </x:c>
      <x:c r="C91" s="17" t="str">
        <x:v>No</x:v>
      </x:c>
      <x:c r="D91" s="17"/>
      <x:c r="E91" s="18"/>
      <x:c r="F91" s="17"/>
      <x:c r="G91" s="18"/>
      <x:c r="H91" s="17" t="str"/>
      <x:c r="I91" s="17" t="str"/>
      <x:c r="J91" s="17" t="str">
        <x:v>Not contacted</x:v>
      </x:c>
      <x:c r="K91" s="17" t="str">
        <x:v>Unknown</x:v>
      </x:c>
      <x:c r="L91" s="2" t="str">
        <x:f>IF(A91="","",IF(COUNTIFS($A$8:$A$507,A91)&lt;&gt;1,"Duplicate ID",IF(COUNTIFS(Data!$A$2:$A$501,A91)&lt;&gt;1,"Not current","Current")))</x:f>
        <x:v>Current</x:v>
      </x:c>
    </x:row>
    <x:row r="92" ht="32" customHeight="1">
      <x:c r="A92" s="2" t="str">
        <x:v>3403</x:v>
      </x:c>
      <x:c r="B92" s="20" t="str">
        <x:f>IF(A92="","",IF(COUNTIFS(Data!$A$2:$A$501,A92)=1,INDEX(Data!$B$2:$B$501,MATCH(A92,Data!$A$2:$A$501,0)),"Not in current directory"))</x:f>
        <x:v>Franklin Towne Charter Elementary School</x:v>
      </x:c>
      <x:c r="C92" s="17" t="str">
        <x:v>No</x:v>
      </x:c>
      <x:c r="D92" s="17"/>
      <x:c r="E92" s="18"/>
      <x:c r="F92" s="17"/>
      <x:c r="G92" s="18"/>
      <x:c r="H92" s="17" t="str"/>
      <x:c r="I92" s="17" t="str"/>
      <x:c r="J92" s="17" t="str">
        <x:v>Not contacted</x:v>
      </x:c>
      <x:c r="K92" s="17" t="str">
        <x:v>Unknown</x:v>
      </x:c>
      <x:c r="L92" s="2" t="str">
        <x:f>IF(A92="","",IF(COUNTIFS($A$8:$A$507,A92)&lt;&gt;1,"Duplicate ID",IF(COUNTIFS(Data!$A$2:$A$501,A92)&lt;&gt;1,"Not current","Current")))</x:f>
        <x:v>Current</x:v>
      </x:c>
    </x:row>
    <x:row r="93" ht="32" customHeight="1">
      <x:c r="A93" s="2" t="str">
        <x:v>3331</x:v>
      </x:c>
      <x:c r="B93" s="20" t="str">
        <x:f>IF(A93="","",IF(COUNTIFS(Data!$A$2:$A$501,A93)=1,INDEX(Data!$B$2:$B$501,MATCH(A93,Data!$A$2:$A$501,0)),"Not in current directory"))</x:f>
        <x:v>Franklin Towne Charter High School</x:v>
      </x:c>
      <x:c r="C93" s="17" t="str">
        <x:v>No</x:v>
      </x:c>
      <x:c r="D93" s="17"/>
      <x:c r="E93" s="18"/>
      <x:c r="F93" s="17"/>
      <x:c r="G93" s="18"/>
      <x:c r="H93" s="17" t="str"/>
      <x:c r="I93" s="17" t="str"/>
      <x:c r="J93" s="17" t="str">
        <x:v>Not contacted</x:v>
      </x:c>
      <x:c r="K93" s="17" t="str">
        <x:v>Unknown</x:v>
      </x:c>
      <x:c r="L93" s="2" t="str">
        <x:f>IF(A93="","",IF(COUNTIFS($A$8:$A$507,A93)&lt;&gt;1,"Duplicate ID",IF(COUNTIFS(Data!$A$2:$A$501,A93)&lt;&gt;1,"Not current","Current")))</x:f>
        <x:v>Current</x:v>
      </x:c>
    </x:row>
    <x:row r="94" ht="32" customHeight="1">
      <x:c r="A94" s="2" t="str">
        <x:v>3318</x:v>
      </x:c>
      <x:c r="B94" s="20" t="str">
        <x:f>IF(A94="","",IF(COUNTIFS(Data!$A$2:$A$501,A94)=1,INDEX(Data!$B$2:$B$501,MATCH(A94,Data!$A$2:$A$501,0)),"Not in current directory"))</x:f>
        <x:v>Freire Charter School</x:v>
      </x:c>
      <x:c r="C94" s="17" t="str">
        <x:v>No</x:v>
      </x:c>
      <x:c r="D94" s="17"/>
      <x:c r="E94" s="18"/>
      <x:c r="F94" s="17"/>
      <x:c r="G94" s="18"/>
      <x:c r="H94" s="17" t="str"/>
      <x:c r="I94" s="17" t="str"/>
      <x:c r="J94" s="17" t="str">
        <x:v>Not contacted</x:v>
      </x:c>
      <x:c r="K94" s="17" t="str">
        <x:v>Unknown</x:v>
      </x:c>
      <x:c r="L94" s="2" t="str">
        <x:f>IF(A94="","",IF(COUNTIFS($A$8:$A$507,A94)&lt;&gt;1,"Duplicate ID",IF(COUNTIFS(Data!$A$2:$A$501,A94)&lt;&gt;1,"Not current","Current")))</x:f>
        <x:v>Current</x:v>
      </x:c>
    </x:row>
    <x:row r="95" ht="32" customHeight="1">
      <x:c r="A95" s="2" t="str">
        <x:v>8100</x:v>
      </x:c>
      <x:c r="B95" s="20" t="str">
        <x:f>IF(A95="","",IF(COUNTIFS(Data!$A$2:$A$501,A95)=1,INDEX(Data!$B$2:$B$501,MATCH(A95,Data!$A$2:$A$501,0)),"Not in current directory"))</x:f>
        <x:v>Gateway to College - Community College of Philadelphia</x:v>
      </x:c>
      <x:c r="C95" s="17" t="str">
        <x:v>No</x:v>
      </x:c>
      <x:c r="D95" s="17"/>
      <x:c r="E95" s="18"/>
      <x:c r="F95" s="17"/>
      <x:c r="G95" s="18"/>
      <x:c r="H95" s="17" t="str"/>
      <x:c r="I95" s="17" t="str"/>
      <x:c r="J95" s="17" t="str">
        <x:v>Not contacted</x:v>
      </x:c>
      <x:c r="K95" s="17" t="str">
        <x:v>Unknown</x:v>
      </x:c>
      <x:c r="L95" s="2" t="str">
        <x:f>IF(A95="","",IF(COUNTIFS($A$8:$A$507,A95)&lt;&gt;1,"Duplicate ID",IF(COUNTIFS(Data!$A$2:$A$501,A95)&lt;&gt;1,"Not current","Current")))</x:f>
        <x:v>Current</x:v>
      </x:c>
    </x:row>
    <x:row r="96" ht="32" customHeight="1">
      <x:c r="A96" s="2" t="str">
        <x:v>3419</x:v>
      </x:c>
      <x:c r="B96" s="20" t="str">
        <x:f>IF(A96="","",IF(COUNTIFS(Data!$A$2:$A$501,A96)=1,INDEX(Data!$B$2:$B$501,MATCH(A96,Data!$A$2:$A$501,0)),"Not in current directory"))</x:f>
        <x:v>General David B. Birney Charter School</x:v>
      </x:c>
      <x:c r="C96" s="17" t="str">
        <x:v>No</x:v>
      </x:c>
      <x:c r="D96" s="17"/>
      <x:c r="E96" s="18"/>
      <x:c r="F96" s="17"/>
      <x:c r="G96" s="18"/>
      <x:c r="H96" s="17" t="str"/>
      <x:c r="I96" s="17" t="str"/>
      <x:c r="J96" s="17" t="str">
        <x:v>Not contacted</x:v>
      </x:c>
      <x:c r="K96" s="17" t="str">
        <x:v>Unknown</x:v>
      </x:c>
      <x:c r="L96" s="2" t="str">
        <x:f>IF(A96="","",IF(COUNTIFS($A$8:$A$507,A96)&lt;&gt;1,"Duplicate ID",IF(COUNTIFS(Data!$A$2:$A$501,A96)&lt;&gt;1,"Not current","Current")))</x:f>
        <x:v>Current</x:v>
      </x:c>
    </x:row>
    <x:row r="97" ht="32" customHeight="1">
      <x:c r="A97" s="2" t="str">
        <x:v>2340</x:v>
      </x:c>
      <x:c r="B97" s="20" t="str">
        <x:f>IF(A97="","",IF(COUNTIFS(Data!$A$2:$A$501,A97)=1,INDEX(Data!$B$2:$B$501,MATCH(A97,Data!$A$2:$A$501,0)),"Not in current directory"))</x:f>
        <x:v>General George A. McCall School</x:v>
      </x:c>
      <x:c r="C97" s="17" t="str">
        <x:v>No</x:v>
      </x:c>
      <x:c r="D97" s="17"/>
      <x:c r="E97" s="18"/>
      <x:c r="F97" s="17"/>
      <x:c r="G97" s="18"/>
      <x:c r="H97" s="17" t="str"/>
      <x:c r="I97" s="17" t="str"/>
      <x:c r="J97" s="17" t="str">
        <x:v>Not contacted</x:v>
      </x:c>
      <x:c r="K97" s="17" t="str">
        <x:v>Unknown</x:v>
      </x:c>
      <x:c r="L97" s="2" t="str">
        <x:f>IF(A97="","",IF(COUNTIFS($A$8:$A$507,A97)&lt;&gt;1,"Duplicate ID",IF(COUNTIFS(Data!$A$2:$A$501,A97)&lt;&gt;1,"Not current","Current")))</x:f>
        <x:v>Current</x:v>
      </x:c>
    </x:row>
    <x:row r="98" ht="32" customHeight="1">
      <x:c r="A98" s="2" t="str">
        <x:v>4570</x:v>
      </x:c>
      <x:c r="B98" s="20" t="str">
        <x:f>IF(A98="","",IF(COUNTIFS(Data!$A$2:$A$501,A98)=1,INDEX(Data!$B$2:$B$501,MATCH(A98,Data!$A$2:$A$501,0)),"Not in current directory"))</x:f>
        <x:v>General George G. Meade School</x:v>
      </x:c>
      <x:c r="C98" s="17" t="str">
        <x:v>No</x:v>
      </x:c>
      <x:c r="D98" s="17"/>
      <x:c r="E98" s="18"/>
      <x:c r="F98" s="17"/>
      <x:c r="G98" s="18"/>
      <x:c r="H98" s="17" t="str"/>
      <x:c r="I98" s="17" t="str"/>
      <x:c r="J98" s="17" t="str">
        <x:v>Not contacted</x:v>
      </x:c>
      <x:c r="K98" s="17" t="str">
        <x:v>Unknown</x:v>
      </x:c>
      <x:c r="L98" s="2" t="str">
        <x:f>IF(A98="","",IF(COUNTIFS($A$8:$A$507,A98)&lt;&gt;1,"Duplicate ID",IF(COUNTIFS(Data!$A$2:$A$501,A98)&lt;&gt;1,"Not current","Current")))</x:f>
        <x:v>Current</x:v>
      </x:c>
    </x:row>
    <x:row r="99" ht="32" customHeight="1">
      <x:c r="A99" s="2" t="str">
        <x:v>7130</x:v>
      </x:c>
      <x:c r="B99" s="20" t="str">
        <x:f>IF(A99="","",IF(COUNTIFS(Data!$A$2:$A$501,A99)=1,INDEX(Data!$B$2:$B$501,MATCH(A99,Data!$A$2:$A$501,0)),"Not in current directory"))</x:f>
        <x:v>General Louis Wagner School</x:v>
      </x:c>
      <x:c r="C99" s="17" t="str">
        <x:v>No</x:v>
      </x:c>
      <x:c r="D99" s="17"/>
      <x:c r="E99" s="18"/>
      <x:c r="F99" s="17"/>
      <x:c r="G99" s="18"/>
      <x:c r="H99" s="17" t="str"/>
      <x:c r="I99" s="17" t="str"/>
      <x:c r="J99" s="17" t="str">
        <x:v>Not contacted</x:v>
      </x:c>
      <x:c r="K99" s="17" t="str">
        <x:v>Unknown</x:v>
      </x:c>
      <x:c r="L99" s="2" t="str">
        <x:f>IF(A99="","",IF(COUNTIFS($A$8:$A$507,A99)&lt;&gt;1,"Duplicate ID",IF(COUNTIFS(Data!$A$2:$A$501,A99)&lt;&gt;1,"Not current","Current")))</x:f>
        <x:v>Current</x:v>
      </x:c>
    </x:row>
    <x:row r="100" ht="32" customHeight="1">
      <x:c r="A100" s="2" t="str">
        <x:v>5480</x:v>
      </x:c>
      <x:c r="B100" s="20" t="str">
        <x:f>IF(A100="","",IF(COUNTIFS(Data!$A$2:$A$501,A100)=1,INDEX(Data!$B$2:$B$501,MATCH(A100,Data!$A$2:$A$501,0)),"Not in current directory"))</x:f>
        <x:v>General Philip Kearny School</x:v>
      </x:c>
      <x:c r="C100" s="17" t="str">
        <x:v>No</x:v>
      </x:c>
      <x:c r="D100" s="17"/>
      <x:c r="E100" s="18"/>
      <x:c r="F100" s="17"/>
      <x:c r="G100" s="18"/>
      <x:c r="H100" s="17" t="str"/>
      <x:c r="I100" s="17" t="str"/>
      <x:c r="J100" s="17" t="str">
        <x:v>Not contacted</x:v>
      </x:c>
      <x:c r="K100" s="17" t="str">
        <x:v>Unknown</x:v>
      </x:c>
      <x:c r="L100" s="2" t="str">
        <x:f>IF(A100="","",IF(COUNTIFS($A$8:$A$507,A100)&lt;&gt;1,"Duplicate ID",IF(COUNTIFS(Data!$A$2:$A$501,A100)&lt;&gt;1,"Not current","Current")))</x:f>
        <x:v>Current</x:v>
      </x:c>
    </x:row>
    <x:row r="101" ht="32" customHeight="1">
      <x:c r="A101" s="2" t="str">
        <x:v>2260</x:v>
      </x:c>
      <x:c r="B101" s="20" t="str">
        <x:f>IF(A101="","",IF(COUNTIFS(Data!$A$2:$A$501,A101)=1,INDEX(Data!$B$2:$B$501,MATCH(A101,Data!$A$2:$A$501,0)),"Not in current directory"))</x:f>
        <x:v>George W. Childs School</x:v>
      </x:c>
      <x:c r="C101" s="17" t="str">
        <x:v>No</x:v>
      </x:c>
      <x:c r="D101" s="17"/>
      <x:c r="E101" s="18"/>
      <x:c r="F101" s="17"/>
      <x:c r="G101" s="18"/>
      <x:c r="H101" s="17" t="str"/>
      <x:c r="I101" s="17" t="str"/>
      <x:c r="J101" s="17" t="str">
        <x:v>Not contacted</x:v>
      </x:c>
      <x:c r="K101" s="17" t="str">
        <x:v>Unknown</x:v>
      </x:c>
      <x:c r="L101" s="2" t="str">
        <x:f>IF(A101="","",IF(COUNTIFS($A$8:$A$507,A101)&lt;&gt;1,"Duplicate ID",IF(COUNTIFS(Data!$A$2:$A$501,A101)&lt;&gt;1,"Not current","Current")))</x:f>
        <x:v>Current</x:v>
      </x:c>
    </x:row>
    <x:row r="102" ht="32" customHeight="1">
      <x:c r="A102" s="2" t="str">
        <x:v>2590</x:v>
      </x:c>
      <x:c r="B102" s="20" t="str">
        <x:f>IF(A102="","",IF(COUNTIFS(Data!$A$2:$A$501,A102)=1,INDEX(Data!$B$2:$B$501,MATCH(A102,Data!$A$2:$A$501,0)),"Not in current directory"))</x:f>
        <x:v>George W. Nebinger School</x:v>
      </x:c>
      <x:c r="C102" s="17" t="str">
        <x:v>No</x:v>
      </x:c>
      <x:c r="D102" s="17"/>
      <x:c r="E102" s="18"/>
      <x:c r="F102" s="17"/>
      <x:c r="G102" s="18"/>
      <x:c r="H102" s="17" t="str"/>
      <x:c r="I102" s="17" t="str"/>
      <x:c r="J102" s="17" t="str">
        <x:v>Not contacted</x:v>
      </x:c>
      <x:c r="K102" s="17" t="str">
        <x:v>Unknown</x:v>
      </x:c>
      <x:c r="L102" s="2" t="str">
        <x:f>IF(A102="","",IF(COUNTIFS($A$8:$A$507,A102)&lt;&gt;1,"Duplicate ID",IF(COUNTIFS(Data!$A$2:$A$501,A102)&lt;&gt;1,"Not current","Current")))</x:f>
        <x:v>Current</x:v>
      </x:c>
    </x:row>
    <x:row r="103" ht="32" customHeight="1">
      <x:c r="A103" s="2" t="str">
        <x:v>2630</x:v>
      </x:c>
      <x:c r="B103" s="20" t="str">
        <x:f>IF(A103="","",IF(COUNTIFS(Data!$A$2:$A$501,A103)=1,INDEX(Data!$B$2:$B$501,MATCH(A103,Data!$A$2:$A$501,0)),"Not in current directory"))</x:f>
        <x:v>George W. Sharswood School</x:v>
      </x:c>
      <x:c r="C103" s="17" t="str">
        <x:v>No</x:v>
      </x:c>
      <x:c r="D103" s="17"/>
      <x:c r="E103" s="18"/>
      <x:c r="F103" s="17"/>
      <x:c r="G103" s="18"/>
      <x:c r="H103" s="17" t="str"/>
      <x:c r="I103" s="17" t="str"/>
      <x:c r="J103" s="17" t="str">
        <x:v>Not contacted</x:v>
      </x:c>
      <x:c r="K103" s="17" t="str">
        <x:v>Unknown</x:v>
      </x:c>
      <x:c r="L103" s="2" t="str">
        <x:f>IF(A103="","",IF(COUNTIFS($A$8:$A$507,A103)&lt;&gt;1,"Duplicate ID",IF(COUNTIFS(Data!$A$2:$A$501,A103)&lt;&gt;1,"Not current","Current")))</x:f>
        <x:v>Current</x:v>
      </x:c>
    </x:row>
    <x:row r="104" ht="32" customHeight="1">
      <x:c r="A104" s="2" t="str">
        <x:v>8030</x:v>
      </x:c>
      <x:c r="B104" s="20" t="str">
        <x:f>IF(A104="","",IF(COUNTIFS(Data!$A$2:$A$501,A104)=1,INDEX(Data!$B$2:$B$501,MATCH(A104,Data!$A$2:$A$501,0)),"Not in current directory"))</x:f>
        <x:v>George Washington High School</x:v>
      </x:c>
      <x:c r="C104" s="17" t="str">
        <x:v>No</x:v>
      </x:c>
      <x:c r="D104" s="17"/>
      <x:c r="E104" s="18"/>
      <x:c r="F104" s="17"/>
      <x:c r="G104" s="18"/>
      <x:c r="H104" s="17" t="str"/>
      <x:c r="I104" s="17" t="str"/>
      <x:c r="J104" s="17" t="str">
        <x:v>Not contacted</x:v>
      </x:c>
      <x:c r="K104" s="17" t="str">
        <x:v>Unknown</x:v>
      </x:c>
      <x:c r="L104" s="2" t="str">
        <x:f>IF(A104="","",IF(COUNTIFS($A$8:$A$507,A104)&lt;&gt;1,"Duplicate ID",IF(COUNTIFS(Data!$A$2:$A$501,A104)&lt;&gt;1,"Not current","Current")))</x:f>
        <x:v>Current</x:v>
      </x:c>
    </x:row>
    <x:row r="105" ht="32" customHeight="1">
      <x:c r="A105" s="2" t="str">
        <x:v>8350</x:v>
      </x:c>
      <x:c r="B105" s="20" t="str">
        <x:f>IF(A105="","",IF(COUNTIFS(Data!$A$2:$A$501,A105)=1,INDEX(Data!$B$2:$B$501,MATCH(A105,Data!$A$2:$A$501,0)),"Not in current directory"))</x:f>
        <x:v>Gilbert Spruance School</x:v>
      </x:c>
      <x:c r="C105" s="17" t="str">
        <x:v>No</x:v>
      </x:c>
      <x:c r="D105" s="17"/>
      <x:c r="E105" s="18"/>
      <x:c r="F105" s="17"/>
      <x:c r="G105" s="18"/>
      <x:c r="H105" s="17" t="str"/>
      <x:c r="I105" s="17" t="str"/>
      <x:c r="J105" s="17" t="str">
        <x:v>Not contacted</x:v>
      </x:c>
      <x:c r="K105" s="17" t="str">
        <x:v>Unknown</x:v>
      </x:c>
      <x:c r="L105" s="2" t="str">
        <x:f>IF(A105="","",IF(COUNTIFS($A$8:$A$507,A105)&lt;&gt;1,"Duplicate ID",IF(COUNTIFS(Data!$A$2:$A$501,A105)&lt;&gt;1,"Not current","Current")))</x:f>
        <x:v>Current</x:v>
      </x:c>
    </x:row>
    <x:row r="106" ht="32" customHeight="1">
      <x:c r="A106" s="2" t="str">
        <x:v>2410</x:v>
      </x:c>
      <x:c r="B106" s="20" t="str">
        <x:f>IF(A106="","",IF(COUNTIFS(Data!$A$2:$A$501,A106)=1,INDEX(Data!$B$2:$B$501,MATCH(A106,Data!$A$2:$A$501,0)),"Not in current directory"))</x:f>
        <x:v>Girard Academic Music Program High School</x:v>
      </x:c>
      <x:c r="C106" s="17" t="str">
        <x:v>No</x:v>
      </x:c>
      <x:c r="D106" s="17"/>
      <x:c r="E106" s="18"/>
      <x:c r="F106" s="17"/>
      <x:c r="G106" s="18"/>
      <x:c r="H106" s="17" t="str"/>
      <x:c r="I106" s="17" t="str"/>
      <x:c r="J106" s="17" t="str">
        <x:v>Not contacted</x:v>
      </x:c>
      <x:c r="K106" s="17" t="str">
        <x:v>Unknown</x:v>
      </x:c>
      <x:c r="L106" s="2" t="str">
        <x:f>IF(A106="","",IF(COUNTIFS($A$8:$A$507,A106)&lt;&gt;1,"Duplicate ID",IF(COUNTIFS(Data!$A$2:$A$501,A106)&lt;&gt;1,"Not current","Current")))</x:f>
        <x:v>Current</x:v>
      </x:c>
    </x:row>
    <x:row r="107" ht="32" customHeight="1">
      <x:c r="A107" s="2" t="str">
        <x:v>3337</x:v>
      </x:c>
      <x:c r="B107" s="20" t="str">
        <x:f>IF(A107="","",IF(COUNTIFS(Data!$A$2:$A$501,A107)=1,INDEX(Data!$B$2:$B$501,MATCH(A107,Data!$A$2:$A$501,0)),"Not in current directory"))</x:f>
        <x:v>Global Leadership Academy Charter School</x:v>
      </x:c>
      <x:c r="C107" s="17" t="str">
        <x:v>No</x:v>
      </x:c>
      <x:c r="D107" s="17"/>
      <x:c r="E107" s="18"/>
      <x:c r="F107" s="17"/>
      <x:c r="G107" s="18"/>
      <x:c r="H107" s="17" t="str"/>
      <x:c r="I107" s="17" t="str"/>
      <x:c r="J107" s="17" t="str">
        <x:v>Not contacted</x:v>
      </x:c>
      <x:c r="K107" s="17" t="str">
        <x:v>Unknown</x:v>
      </x:c>
      <x:c r="L107" s="2" t="str">
        <x:f>IF(A107="","",IF(COUNTIFS($A$8:$A$507,A107)&lt;&gt;1,"Duplicate ID",IF(COUNTIFS(Data!$A$2:$A$501,A107)&lt;&gt;1,"Not current","Current")))</x:f>
        <x:v>Current</x:v>
      </x:c>
    </x:row>
    <x:row r="108" ht="32" customHeight="1">
      <x:c r="A108" s="2" t="str">
        <x:v>3428</x:v>
      </x:c>
      <x:c r="B108" s="20" t="str">
        <x:f>IF(A108="","",IF(COUNTIFS(Data!$A$2:$A$501,A108)=1,INDEX(Data!$B$2:$B$501,MATCH(A108,Data!$A$2:$A$501,0)),"Not in current directory"))</x:f>
        <x:v>Global Leadership Academy Charter School Southwest at Huey</x:v>
      </x:c>
      <x:c r="C108" s="17" t="str">
        <x:v>No</x:v>
      </x:c>
      <x:c r="D108" s="17"/>
      <x:c r="E108" s="18"/>
      <x:c r="F108" s="17"/>
      <x:c r="G108" s="18"/>
      <x:c r="H108" s="17" t="str"/>
      <x:c r="I108" s="17" t="str"/>
      <x:c r="J108" s="17" t="str">
        <x:v>Not contacted</x:v>
      </x:c>
      <x:c r="K108" s="17" t="str">
        <x:v>Unknown</x:v>
      </x:c>
      <x:c r="L108" s="2" t="str">
        <x:f>IF(A108="","",IF(COUNTIFS($A$8:$A$507,A108)&lt;&gt;1,"Duplicate ID",IF(COUNTIFS(Data!$A$2:$A$501,A108)&lt;&gt;1,"Not current","Current")))</x:f>
        <x:v>Current</x:v>
      </x:c>
    </x:row>
    <x:row r="109" ht="32" customHeight="1">
      <x:c r="A109" s="2" t="str">
        <x:v>5530</x:v>
      </x:c>
      <x:c r="B109" s="20" t="str">
        <x:f>IF(A109="","",IF(COUNTIFS(Data!$A$2:$A$501,A109)=1,INDEX(Data!$B$2:$B$501,MATCH(A109,Data!$A$2:$A$501,0)),"Not in current directory"))</x:f>
        <x:v>Gloria Casarez School</x:v>
      </x:c>
      <x:c r="C109" s="17" t="str">
        <x:v>No</x:v>
      </x:c>
      <x:c r="D109" s="17"/>
      <x:c r="E109" s="18"/>
      <x:c r="F109" s="17"/>
      <x:c r="G109" s="18"/>
      <x:c r="H109" s="17" t="str"/>
      <x:c r="I109" s="17" t="str"/>
      <x:c r="J109" s="17" t="str">
        <x:v>Not contacted</x:v>
      </x:c>
      <x:c r="K109" s="17" t="str">
        <x:v>Unknown</x:v>
      </x:c>
      <x:c r="L109" s="2" t="str">
        <x:f>IF(A109="","",IF(COUNTIFS($A$8:$A$507,A109)&lt;&gt;1,"Duplicate ID",IF(COUNTIFS(Data!$A$2:$A$501,A109)&lt;&gt;1,"Not current","Current")))</x:f>
        <x:v>Current</x:v>
      </x:c>
    </x:row>
    <x:row r="110" ht="32" customHeight="1">
      <x:c r="A110" s="2" t="str">
        <x:v>3365</x:v>
      </x:c>
      <x:c r="B110" s="20" t="str">
        <x:f>IF(A110="","",IF(COUNTIFS(Data!$A$2:$A$501,A110)=1,INDEX(Data!$B$2:$B$501,MATCH(A110,Data!$A$2:$A$501,0)),"Not in current directory"))</x:f>
        <x:v>Green Woods Charter School</x:v>
      </x:c>
      <x:c r="C110" s="17" t="str">
        <x:v>No</x:v>
      </x:c>
      <x:c r="D110" s="17"/>
      <x:c r="E110" s="18"/>
      <x:c r="F110" s="17"/>
      <x:c r="G110" s="18"/>
      <x:c r="H110" s="17" t="str"/>
      <x:c r="I110" s="17" t="str"/>
      <x:c r="J110" s="17" t="str">
        <x:v>Not contacted</x:v>
      </x:c>
      <x:c r="K110" s="17" t="str">
        <x:v>Unknown</x:v>
      </x:c>
      <x:c r="L110" s="2" t="str">
        <x:f>IF(A110="","",IF(COUNTIFS($A$8:$A$507,A110)&lt;&gt;1,"Duplicate ID",IF(COUNTIFS(Data!$A$2:$A$501,A110)&lt;&gt;1,"Not current","Current")))</x:f>
        <x:v>Current</x:v>
      </x:c>
    </x:row>
    <x:row r="111" ht="32" customHeight="1">
      <x:c r="A111" s="2" t="str">
        <x:v>7370</x:v>
      </x:c>
      <x:c r="B111" s="20" t="str">
        <x:f>IF(A111="","",IF(COUNTIFS(Data!$A$2:$A$501,A111)=1,INDEX(Data!$B$2:$B$501,MATCH(A111,Data!$A$2:$A$501,0)),"Not in current directory"))</x:f>
        <x:v>Grover Washington, Jr. Middle School</x:v>
      </x:c>
      <x:c r="C111" s="17" t="str">
        <x:v>No</x:v>
      </x:c>
      <x:c r="D111" s="17"/>
      <x:c r="E111" s="18"/>
      <x:c r="F111" s="17"/>
      <x:c r="G111" s="18"/>
      <x:c r="H111" s="17" t="str"/>
      <x:c r="I111" s="17" t="str"/>
      <x:c r="J111" s="17" t="str">
        <x:v>Not contacted</x:v>
      </x:c>
      <x:c r="K111" s="17" t="str">
        <x:v>Unknown</x:v>
      </x:c>
      <x:c r="L111" s="2" t="str">
        <x:f>IF(A111="","",IF(COUNTIFS($A$8:$A$507,A111)&lt;&gt;1,"Duplicate ID",IF(COUNTIFS(Data!$A$2:$A$501,A111)&lt;&gt;1,"Not current","Current")))</x:f>
        <x:v>Current</x:v>
      </x:c>
    </x:row>
    <x:row r="112" ht="32" customHeight="1">
      <x:c r="A112" s="2" t="str">
        <x:v>4520</x:v>
      </x:c>
      <x:c r="B112" s="20" t="str">
        <x:f>IF(A112="","",IF(COUNTIFS(Data!$A$2:$A$501,A112)=1,INDEX(Data!$B$2:$B$501,MATCH(A112,Data!$A$2:$A$501,0)),"Not in current directory"))</x:f>
        <x:v>Guion S. Bluford School</x:v>
      </x:c>
      <x:c r="C112" s="17" t="str">
        <x:v>No</x:v>
      </x:c>
      <x:c r="D112" s="17"/>
      <x:c r="E112" s="18"/>
      <x:c r="F112" s="17"/>
      <x:c r="G112" s="18"/>
      <x:c r="H112" s="17" t="str"/>
      <x:c r="I112" s="17" t="str"/>
      <x:c r="J112" s="17" t="str">
        <x:v>Not contacted</x:v>
      </x:c>
      <x:c r="K112" s="17" t="str">
        <x:v>Unknown</x:v>
      </x:c>
      <x:c r="L112" s="2" t="str">
        <x:f>IF(A112="","",IF(COUNTIFS($A$8:$A$507,A112)&lt;&gt;1,"Duplicate ID",IF(COUNTIFS(Data!$A$2:$A$501,A112)&lt;&gt;1,"Not current","Current")))</x:f>
        <x:v>Current</x:v>
      </x:c>
    </x:row>
    <x:row r="113" ht="32" customHeight="1">
      <x:c r="A113" s="2" t="str">
        <x:v>8240</x:v>
      </x:c>
      <x:c r="B113" s="20" t="str">
        <x:f>IF(A113="","",IF(COUNTIFS(Data!$A$2:$A$501,A113)=1,INDEX(Data!$B$2:$B$501,MATCH(A113,Data!$A$2:$A$501,0)),"Not in current directory"))</x:f>
        <x:v>Hamilton Disston School</x:v>
      </x:c>
      <x:c r="C113" s="17" t="str">
        <x:v>No</x:v>
      </x:c>
      <x:c r="D113" s="17"/>
      <x:c r="E113" s="18"/>
      <x:c r="F113" s="17"/>
      <x:c r="G113" s="18"/>
      <x:c r="H113" s="17" t="str"/>
      <x:c r="I113" s="17" t="str"/>
      <x:c r="J113" s="17" t="str">
        <x:v>Not contacted</x:v>
      </x:c>
      <x:c r="K113" s="17" t="str">
        <x:v>Unknown</x:v>
      </x:c>
      <x:c r="L113" s="2" t="str">
        <x:f>IF(A113="","",IF(COUNTIFS($A$8:$A$507,A113)&lt;&gt;1,"Duplicate ID",IF(COUNTIFS(Data!$A$2:$A$501,A113)&lt;&gt;1,"Not current","Current")))</x:f>
        <x:v>Current</x:v>
      </x:c>
    </x:row>
    <x:row r="114" ht="32" customHeight="1">
      <x:c r="A114" s="2" t="str">
        <x:v>8770</x:v>
      </x:c>
      <x:c r="B114" s="20" t="str">
        <x:f>IF(A114="","",IF(COUNTIFS(Data!$A$2:$A$501,A114)=1,INDEX(Data!$B$2:$B$501,MATCH(A114,Data!$A$2:$A$501,0)),"Not in current directory"))</x:f>
        <x:v>Hancock, John Demonstration School</x:v>
      </x:c>
      <x:c r="C114" s="17" t="str">
        <x:v>No</x:v>
      </x:c>
      <x:c r="D114" s="17"/>
      <x:c r="E114" s="18"/>
      <x:c r="F114" s="17"/>
      <x:c r="G114" s="18"/>
      <x:c r="H114" s="17" t="str"/>
      <x:c r="I114" s="17" t="str"/>
      <x:c r="J114" s="17" t="str">
        <x:v>Not contacted</x:v>
      </x:c>
      <x:c r="K114" s="17" t="str">
        <x:v>Unknown</x:v>
      </x:c>
      <x:c r="L114" s="2" t="str">
        <x:f>IF(A114="","",IF(COUNTIFS($A$8:$A$507,A114)&lt;&gt;1,"Duplicate ID",IF(COUNTIFS(Data!$A$2:$A$501,A114)&lt;&gt;1,"Not current","Current")))</x:f>
        <x:v>Current</x:v>
      </x:c>
    </x:row>
    <x:row r="115" ht="32" customHeight="1">
      <x:c r="A115" s="2" t="str">
        <x:v>3302</x:v>
      </x:c>
      <x:c r="B115" s="20" t="str">
        <x:f>IF(A115="","",IF(COUNTIFS(Data!$A$2:$A$501,A115)=1,INDEX(Data!$B$2:$B$501,MATCH(A115,Data!$A$2:$A$501,0)),"Not in current directory"))</x:f>
        <x:v>Harambee Institute of Science and Technology Charter School</x:v>
      </x:c>
      <x:c r="C115" s="17" t="str">
        <x:v>No</x:v>
      </x:c>
      <x:c r="D115" s="17"/>
      <x:c r="E115" s="18"/>
      <x:c r="F115" s="17"/>
      <x:c r="G115" s="18"/>
      <x:c r="H115" s="17" t="str"/>
      <x:c r="I115" s="17" t="str"/>
      <x:c r="J115" s="17" t="str">
        <x:v>Not contacted</x:v>
      </x:c>
      <x:c r="K115" s="17" t="str">
        <x:v>Unknown</x:v>
      </x:c>
      <x:c r="L115" s="2" t="str">
        <x:f>IF(A115="","",IF(COUNTIFS($A$8:$A$507,A115)&lt;&gt;1,"Duplicate ID",IF(COUNTIFS(Data!$A$2:$A$501,A115)&lt;&gt;1,"Not current","Current")))</x:f>
        <x:v>Current</x:v>
      </x:c>
    </x:row>
    <x:row r="116" ht="32" customHeight="1">
      <x:c r="A116" s="2" t="str">
        <x:v>5210</x:v>
      </x:c>
      <x:c r="B116" s="20" t="str">
        <x:f>IF(A116="","",IF(COUNTIFS(Data!$A$2:$A$501,A116)=1,INDEX(Data!$B$2:$B$501,MATCH(A116,Data!$A$2:$A$501,0)),"Not in current directory"))</x:f>
        <x:v>Henry A. Brown School</x:v>
      </x:c>
      <x:c r="C116" s="17" t="str">
        <x:v>No</x:v>
      </x:c>
      <x:c r="D116" s="17"/>
      <x:c r="E116" s="18"/>
      <x:c r="F116" s="17"/>
      <x:c r="G116" s="18"/>
      <x:c r="H116" s="17" t="str"/>
      <x:c r="I116" s="17" t="str"/>
      <x:c r="J116" s="17" t="str">
        <x:v>Not contacted</x:v>
      </x:c>
      <x:c r="K116" s="17" t="str">
        <x:v>Unknown</x:v>
      </x:c>
      <x:c r="L116" s="2" t="str">
        <x:f>IF(A116="","",IF(COUNTIFS($A$8:$A$507,A116)&lt;&gt;1,"Duplicate ID",IF(COUNTIFS(Data!$A$2:$A$501,A116)&lt;&gt;1,"Not current","Current")))</x:f>
        <x:v>Current</x:v>
      </x:c>
    </x:row>
    <x:row r="117" ht="32" customHeight="1">
      <x:c r="A117" s="2" t="str">
        <x:v>1340</x:v>
      </x:c>
      <x:c r="B117" s="20" t="str">
        <x:f>IF(A117="","",IF(COUNTIFS(Data!$A$2:$A$501,A117)=1,INDEX(Data!$B$2:$B$501,MATCH(A117,Data!$A$2:$A$501,0)),"Not in current directory"))</x:f>
        <x:v>Henry C. Lea School</x:v>
      </x:c>
      <x:c r="C117" s="17" t="str">
        <x:v>No</x:v>
      </x:c>
      <x:c r="D117" s="17"/>
      <x:c r="E117" s="18"/>
      <x:c r="F117" s="17"/>
      <x:c r="G117" s="18"/>
      <x:c r="H117" s="17" t="str"/>
      <x:c r="I117" s="17" t="str"/>
      <x:c r="J117" s="17" t="str">
        <x:v>Not contacted</x:v>
      </x:c>
      <x:c r="K117" s="17" t="str">
        <x:v>Unknown</x:v>
      </x:c>
      <x:c r="L117" s="2" t="str">
        <x:f>IF(A117="","",IF(COUNTIFS($A$8:$A$507,A117)&lt;&gt;1,"Duplicate ID",IF(COUNTIFS(Data!$A$2:$A$501,A117)&lt;&gt;1,"Not current","Current")))</x:f>
        <x:v>Current</x:v>
      </x:c>
    </x:row>
    <x:row r="118" ht="32" customHeight="1">
      <x:c r="A118" s="2" t="str">
        <x:v>6260</x:v>
      </x:c>
      <x:c r="B118" s="20" t="str">
        <x:f>IF(A118="","",IF(COUNTIFS(Data!$A$2:$A$501,A118)=1,INDEX(Data!$B$2:$B$501,MATCH(A118,Data!$A$2:$A$501,0)),"Not in current directory"))</x:f>
        <x:v>Henry H. Houston School</x:v>
      </x:c>
      <x:c r="C118" s="17" t="str">
        <x:v>No</x:v>
      </x:c>
      <x:c r="D118" s="17"/>
      <x:c r="E118" s="18"/>
      <x:c r="F118" s="17"/>
      <x:c r="G118" s="18"/>
      <x:c r="H118" s="17" t="str"/>
      <x:c r="I118" s="17" t="str"/>
      <x:c r="J118" s="17" t="str">
        <x:v>Not contacted</x:v>
      </x:c>
      <x:c r="K118" s="17" t="str">
        <x:v>Unknown</x:v>
      </x:c>
      <x:c r="L118" s="2" t="str">
        <x:f>IF(A118="","",IF(COUNTIFS($A$8:$A$507,A118)&lt;&gt;1,"Duplicate ID",IF(COUNTIFS(Data!$A$2:$A$501,A118)&lt;&gt;1,"Not current","Current")))</x:f>
        <x:v>Current</x:v>
      </x:c>
    </x:row>
    <x:row r="119" ht="32" customHeight="1">
      <x:c r="A119" s="2" t="str">
        <x:v>7330</x:v>
      </x:c>
      <x:c r="B119" s="20" t="str">
        <x:f>IF(A119="","",IF(COUNTIFS(Data!$A$2:$A$501,A119)=1,INDEX(Data!$B$2:$B$501,MATCH(A119,Data!$A$2:$A$501,0)),"Not in current directory"))</x:f>
        <x:v>Henry W. Lawton School</x:v>
      </x:c>
      <x:c r="C119" s="17" t="str">
        <x:v>No</x:v>
      </x:c>
      <x:c r="D119" s="17"/>
      <x:c r="E119" s="18"/>
      <x:c r="F119" s="17"/>
      <x:c r="G119" s="18"/>
      <x:c r="H119" s="17" t="str"/>
      <x:c r="I119" s="17" t="str"/>
      <x:c r="J119" s="17" t="str">
        <x:v>Not contacted</x:v>
      </x:c>
      <x:c r="K119" s="17" t="str">
        <x:v>Unknown</x:v>
      </x:c>
      <x:c r="L119" s="2" t="str">
        <x:f>IF(A119="","",IF(COUNTIFS($A$8:$A$507,A119)&lt;&gt;1,"Duplicate ID",IF(COUNTIFS(Data!$A$2:$A$501,A119)&lt;&gt;1,"Not current","Current")))</x:f>
        <x:v>Current</x:v>
      </x:c>
    </x:row>
    <x:row r="120" ht="32" customHeight="1">
      <x:c r="A120" s="2" t="str">
        <x:v>2020</x:v>
      </x:c>
      <x:c r="B120" s="20" t="str">
        <x:f>IF(A120="","",IF(COUNTIFS(Data!$A$2:$A$501,A120)=1,INDEX(Data!$B$2:$B$501,MATCH(A120,Data!$A$2:$A$501,0)),"Not in current directory"))</x:f>
        <x:v>High School for Creative and Performing Arts</x:v>
      </x:c>
      <x:c r="C120" s="17" t="str">
        <x:v>No</x:v>
      </x:c>
      <x:c r="D120" s="17"/>
      <x:c r="E120" s="18"/>
      <x:c r="F120" s="17"/>
      <x:c r="G120" s="18"/>
      <x:c r="H120" s="17" t="str"/>
      <x:c r="I120" s="17" t="str"/>
      <x:c r="J120" s="17" t="str">
        <x:v>Not contacted</x:v>
      </x:c>
      <x:c r="K120" s="17" t="str">
        <x:v>Unknown</x:v>
      </x:c>
      <x:c r="L120" s="2" t="str">
        <x:f>IF(A120="","",IF(COUNTIFS($A$8:$A$507,A120)&lt;&gt;1,"Duplicate ID",IF(COUNTIFS(Data!$A$2:$A$501,A120)&lt;&gt;1,"Not current","Current")))</x:f>
        <x:v>Current</x:v>
      </x:c>
    </x:row>
    <x:row r="121" ht="32" customHeight="1">
      <x:c r="A121" s="2" t="str">
        <x:v>1030</x:v>
      </x:c>
      <x:c r="B121" s="20" t="str">
        <x:f>IF(A121="","",IF(COUNTIFS(Data!$A$2:$A$501,A121)=1,INDEX(Data!$B$2:$B$501,MATCH(A121,Data!$A$2:$A$501,0)),"Not in current directory"))</x:f>
        <x:v>High School of the Future</x:v>
      </x:c>
      <x:c r="C121" s="17" t="str">
        <x:v>No</x:v>
      </x:c>
      <x:c r="D121" s="17"/>
      <x:c r="E121" s="18"/>
      <x:c r="F121" s="17"/>
      <x:c r="G121" s="18"/>
      <x:c r="H121" s="17" t="str"/>
      <x:c r="I121" s="17" t="str"/>
      <x:c r="J121" s="17" t="str">
        <x:v>Not contacted</x:v>
      </x:c>
      <x:c r="K121" s="17" t="str">
        <x:v>Unknown</x:v>
      </x:c>
      <x:c r="L121" s="2" t="str">
        <x:f>IF(A121="","",IF(COUNTIFS($A$8:$A$507,A121)&lt;&gt;1,"Duplicate ID",IF(COUNTIFS(Data!$A$2:$A$501,A121)&lt;&gt;1,"Not current","Current")))</x:f>
        <x:v>Current</x:v>
      </x:c>
    </x:row>
    <x:row r="122" ht="32" customHeight="1">
      <x:c r="A122" s="2" t="str">
        <x:v>6460</x:v>
      </x:c>
      <x:c r="B122" s="20" t="str">
        <x:f>IF(A122="","",IF(COUNTIFS(Data!$A$2:$A$501,A122)=1,INDEX(Data!$B$2:$B$501,MATCH(A122,Data!$A$2:$A$501,0)),"Not in current directory"))</x:f>
        <x:v>Hill-Freedman World Academy</x:v>
      </x:c>
      <x:c r="C122" s="17" t="str">
        <x:v>No</x:v>
      </x:c>
      <x:c r="D122" s="17"/>
      <x:c r="E122" s="18"/>
      <x:c r="F122" s="17"/>
      <x:c r="G122" s="18"/>
      <x:c r="H122" s="17" t="str"/>
      <x:c r="I122" s="17" t="str"/>
      <x:c r="J122" s="17" t="str">
        <x:v>Not contacted</x:v>
      </x:c>
      <x:c r="K122" s="17" t="str">
        <x:v>Unknown</x:v>
      </x:c>
      <x:c r="L122" s="2" t="str">
        <x:f>IF(A122="","",IF(COUNTIFS($A$8:$A$507,A122)&lt;&gt;1,"Duplicate ID",IF(COUNTIFS(Data!$A$2:$A$501,A122)&lt;&gt;1,"Not current","Current")))</x:f>
        <x:v>Current</x:v>
      </x:c>
    </x:row>
    <x:row r="123" ht="32" customHeight="1">
      <x:c r="A123" s="2" t="str">
        <x:v>5680</x:v>
      </x:c>
      <x:c r="B123" s="20" t="str">
        <x:f>IF(A123="","",IF(COUNTIFS(Data!$A$2:$A$501,A123)=1,INDEX(Data!$B$2:$B$501,MATCH(A123,Data!$A$2:$A$501,0)),"Not in current directory"))</x:f>
        <x:v>Honorable Luis Munoz-Marin School</x:v>
      </x:c>
      <x:c r="C123" s="17" t="str">
        <x:v>No</x:v>
      </x:c>
      <x:c r="D123" s="17"/>
      <x:c r="E123" s="18"/>
      <x:c r="F123" s="17"/>
      <x:c r="G123" s="18"/>
      <x:c r="H123" s="17" t="str"/>
      <x:c r="I123" s="17" t="str"/>
      <x:c r="J123" s="17" t="str">
        <x:v>Not contacted</x:v>
      </x:c>
      <x:c r="K123" s="17" t="str">
        <x:v>Unknown</x:v>
      </x:c>
      <x:c r="L123" s="2" t="str">
        <x:f>IF(A123="","",IF(COUNTIFS($A$8:$A$507,A123)&lt;&gt;1,"Duplicate ID",IF(COUNTIFS(Data!$A$2:$A$501,A123)&lt;&gt;1,"Not current","Current")))</x:f>
        <x:v>Current</x:v>
      </x:c>
    </x:row>
    <x:row r="124" ht="32" customHeight="1">
      <x:c r="A124" s="2" t="str">
        <x:v>2160</x:v>
      </x:c>
      <x:c r="B124" s="20" t="str">
        <x:f>IF(A124="","",IF(COUNTIFS(Data!$A$2:$A$501,A124)=1,INDEX(Data!$B$2:$B$501,MATCH(A124,Data!$A$2:$A$501,0)),"Not in current directory"))</x:f>
        <x:v>Horace Furness High School</x:v>
      </x:c>
      <x:c r="C124" s="17" t="str">
        <x:v>No</x:v>
      </x:c>
      <x:c r="D124" s="17"/>
      <x:c r="E124" s="18"/>
      <x:c r="F124" s="17"/>
      <x:c r="G124" s="18"/>
      <x:c r="H124" s="17" t="str"/>
      <x:c r="I124" s="17" t="str"/>
      <x:c r="J124" s="17" t="str">
        <x:v>Not contacted</x:v>
      </x:c>
      <x:c r="K124" s="17" t="str">
        <x:v>Unknown</x:v>
      </x:c>
      <x:c r="L124" s="2" t="str">
        <x:f>IF(A124="","",IF(COUNTIFS($A$8:$A$507,A124)&lt;&gt;1,"Duplicate ID",IF(COUNTIFS(Data!$A$2:$A$501,A124)&lt;&gt;1,"Not current","Current")))</x:f>
        <x:v>Current</x:v>
      </x:c>
    </x:row>
    <x:row r="125" ht="32" customHeight="1">
      <x:c r="A125" s="2" t="str">
        <x:v>5300</x:v>
      </x:c>
      <x:c r="B125" s="20" t="str">
        <x:f>IF(A125="","",IF(COUNTIFS(Data!$A$2:$A$501,A125)=1,INDEX(Data!$B$2:$B$501,MATCH(A125,Data!$A$2:$A$501,0)),"Not in current directory"))</x:f>
        <x:v>Horatio B. Hackett School</x:v>
      </x:c>
      <x:c r="C125" s="17" t="str">
        <x:v>No</x:v>
      </x:c>
      <x:c r="D125" s="17"/>
      <x:c r="E125" s="18"/>
      <x:c r="F125" s="17"/>
      <x:c r="G125" s="18"/>
      <x:c r="H125" s="17" t="str"/>
      <x:c r="I125" s="17" t="str"/>
      <x:c r="J125" s="17" t="str">
        <x:v>Not contacted</x:v>
      </x:c>
      <x:c r="K125" s="17" t="str">
        <x:v>Unknown</x:v>
      </x:c>
      <x:c r="L125" s="2" t="str">
        <x:f>IF(A125="","",IF(COUNTIFS($A$8:$A$507,A125)&lt;&gt;1,"Duplicate ID",IF(COUNTIFS(Data!$A$2:$A$501,A125)&lt;&gt;1,"Not current","Current")))</x:f>
        <x:v>Current</x:v>
      </x:c>
    </x:row>
    <x:row r="126" ht="32" customHeight="1">
      <x:c r="A126" s="2" t="str">
        <x:v>3309</x:v>
      </x:c>
      <x:c r="B126" s="20" t="str">
        <x:f>IF(A126="","",IF(COUNTIFS(Data!$A$2:$A$501,A126)=1,INDEX(Data!$B$2:$B$501,MATCH(A126,Data!$A$2:$A$501,0)),"Not in current directory"))</x:f>
        <x:v>Imhotep Institute Charter High School</x:v>
      </x:c>
      <x:c r="C126" s="17" t="str">
        <x:v>No</x:v>
      </x:c>
      <x:c r="D126" s="17"/>
      <x:c r="E126" s="18"/>
      <x:c r="F126" s="17"/>
      <x:c r="G126" s="18"/>
      <x:c r="H126" s="17" t="str"/>
      <x:c r="I126" s="17" t="str"/>
      <x:c r="J126" s="17" t="str">
        <x:v>Not contacted</x:v>
      </x:c>
      <x:c r="K126" s="17" t="str">
        <x:v>Unknown</x:v>
      </x:c>
      <x:c r="L126" s="2" t="str">
        <x:f>IF(A126="","",IF(COUNTIFS($A$8:$A$507,A126)&lt;&gt;1,"Duplicate ID",IF(COUNTIFS(Data!$A$2:$A$501,A126)&lt;&gt;1,"Not current","Current")))</x:f>
        <x:v>Current</x:v>
      </x:c>
    </x:row>
    <x:row r="127" ht="32" customHeight="1">
      <x:c r="A127" s="2" t="str">
        <x:v>3442</x:v>
      </x:c>
      <x:c r="B127" s="20" t="str">
        <x:f>IF(A127="","",IF(COUNTIFS(Data!$A$2:$A$501,A127)=1,INDEX(Data!$B$2:$B$501,MATCH(A127,Data!$A$2:$A$501,0)),"Not in current directory"))</x:f>
        <x:v>Impact Charter School West</x:v>
      </x:c>
      <x:c r="C127" s="17" t="str">
        <x:v>No</x:v>
      </x:c>
      <x:c r="D127" s="17"/>
      <x:c r="E127" s="18"/>
      <x:c r="F127" s="17"/>
      <x:c r="G127" s="18"/>
      <x:c r="H127" s="17" t="str"/>
      <x:c r="I127" s="17" t="str"/>
      <x:c r="J127" s="17" t="str">
        <x:v>Not contacted</x:v>
      </x:c>
      <x:c r="K127" s="17" t="str">
        <x:v>Unknown</x:v>
      </x:c>
      <x:c r="L127" s="2" t="str">
        <x:f>IF(A127="","",IF(COUNTIFS($A$8:$A$507,A127)&lt;&gt;1,"Duplicate ID",IF(COUNTIFS(Data!$A$2:$A$501,A127)&lt;&gt;1,"Not current","Current")))</x:f>
        <x:v>Current</x:v>
      </x:c>
    </x:row>
    <x:row r="128" ht="32" customHeight="1">
      <x:c r="A128" s="2" t="str">
        <x:v>3341</x:v>
      </x:c>
      <x:c r="B128" s="20" t="str">
        <x:f>IF(A128="","",IF(COUNTIFS(Data!$A$2:$A$501,A128)=1,INDEX(Data!$B$2:$B$501,MATCH(A128,Data!$A$2:$A$501,0)),"Not in current directory"))</x:f>
        <x:v>Independence Charter School</x:v>
      </x:c>
      <x:c r="C128" s="17" t="str">
        <x:v>No</x:v>
      </x:c>
      <x:c r="D128" s="17"/>
      <x:c r="E128" s="18"/>
      <x:c r="F128" s="17"/>
      <x:c r="G128" s="18"/>
      <x:c r="H128" s="17" t="str"/>
      <x:c r="I128" s="17" t="str"/>
      <x:c r="J128" s="17" t="str">
        <x:v>Not contacted</x:v>
      </x:c>
      <x:c r="K128" s="17" t="str">
        <x:v>Unknown</x:v>
      </x:c>
      <x:c r="L128" s="2" t="str">
        <x:f>IF(A128="","",IF(COUNTIFS($A$8:$A$507,A128)&lt;&gt;1,"Duplicate ID",IF(COUNTIFS(Data!$A$2:$A$501,A128)&lt;&gt;1,"Not current","Current")))</x:f>
        <x:v>Current</x:v>
      </x:c>
    </x:row>
    <x:row r="129" ht="32" customHeight="1">
      <x:c r="A129" s="2" t="str">
        <x:v>3308</x:v>
      </x:c>
      <x:c r="B129" s="20" t="str">
        <x:f>IF(A129="","",IF(COUNTIFS(Data!$A$2:$A$501,A129)=1,INDEX(Data!$B$2:$B$501,MATCH(A129,Data!$A$2:$A$501,0)),"Not in current directory"))</x:f>
        <x:v>Inquiry Charter School</x:v>
      </x:c>
      <x:c r="C129" s="17" t="str">
        <x:v>No</x:v>
      </x:c>
      <x:c r="D129" s="17"/>
      <x:c r="E129" s="18"/>
      <x:c r="F129" s="17"/>
      <x:c r="G129" s="18"/>
      <x:c r="H129" s="17" t="str"/>
      <x:c r="I129" s="17" t="str"/>
      <x:c r="J129" s="17" t="str">
        <x:v>Not contacted</x:v>
      </x:c>
      <x:c r="K129" s="17" t="str">
        <x:v>Unknown</x:v>
      </x:c>
      <x:c r="L129" s="2" t="str">
        <x:f>IF(A129="","",IF(COUNTIFS($A$8:$A$507,A129)&lt;&gt;1,"Duplicate ID",IF(COUNTIFS(Data!$A$2:$A$501,A129)&lt;&gt;1,"Not current","Current")))</x:f>
        <x:v>Current</x:v>
      </x:c>
    </x:row>
    <x:row r="130" ht="32" customHeight="1">
      <x:c r="A130" s="2" t="str">
        <x:v>5410</x:v>
      </x:c>
      <x:c r="B130" s="20" t="str">
        <x:f>IF(A130="","",IF(COUNTIFS(Data!$A$2:$A$501,A130)=1,INDEX(Data!$B$2:$B$501,MATCH(A130,Data!$A$2:$A$501,0)),"Not in current directory"))</x:f>
        <x:v>Isaac A. Sheppard School</x:v>
      </x:c>
      <x:c r="C130" s="17" t="str">
        <x:v>No</x:v>
      </x:c>
      <x:c r="D130" s="17"/>
      <x:c r="E130" s="18"/>
      <x:c r="F130" s="17"/>
      <x:c r="G130" s="18"/>
      <x:c r="H130" s="17" t="str"/>
      <x:c r="I130" s="17" t="str"/>
      <x:c r="J130" s="17" t="str">
        <x:v>Not contacted</x:v>
      </x:c>
      <x:c r="K130" s="17" t="str">
        <x:v>Unknown</x:v>
      </x:c>
      <x:c r="L130" s="2" t="str">
        <x:f>IF(A130="","",IF(COUNTIFS($A$8:$A$507,A130)&lt;&gt;1,"Duplicate ID",IF(COUNTIFS(Data!$A$2:$A$501,A130)&lt;&gt;1,"Not current","Current")))</x:f>
        <x:v>Current</x:v>
      </x:c>
    </x:row>
    <x:row r="131" ht="32" customHeight="1">
      <x:c r="A131" s="2" t="str">
        <x:v>8310</x:v>
      </x:c>
      <x:c r="B131" s="20" t="str">
        <x:f>IF(A131="","",IF(COUNTIFS(Data!$A$2:$A$501,A131)=1,INDEX(Data!$B$2:$B$501,MATCH(A131,Data!$A$2:$A$501,0)),"Not in current directory"))</x:f>
        <x:v>J. Hampton Moore School</x:v>
      </x:c>
      <x:c r="C131" s="17" t="str">
        <x:v>No</x:v>
      </x:c>
      <x:c r="D131" s="17"/>
      <x:c r="E131" s="18"/>
      <x:c r="F131" s="17"/>
      <x:c r="G131" s="18"/>
      <x:c r="H131" s="17" t="str"/>
      <x:c r="I131" s="17" t="str"/>
      <x:c r="J131" s="17" t="str">
        <x:v>Not contacted</x:v>
      </x:c>
      <x:c r="K131" s="17" t="str">
        <x:v>Unknown</x:v>
      </x:c>
      <x:c r="L131" s="2" t="str">
        <x:f>IF(A131="","",IF(COUNTIFS($A$8:$A$507,A131)&lt;&gt;1,"Duplicate ID",IF(COUNTIFS(Data!$A$2:$A$501,A131)&lt;&gt;1,"Not current","Current")))</x:f>
        <x:v>Current</x:v>
      </x:c>
    </x:row>
    <x:row r="132" ht="32" customHeight="1">
      <x:c r="A132" s="2" t="str">
        <x:v>6450</x:v>
      </x:c>
      <x:c r="B132" s="20" t="str">
        <x:f>IF(A132="","",IF(COUNTIFS(Data!$A$2:$A$501,A132)=1,INDEX(Data!$B$2:$B$501,MATCH(A132,Data!$A$2:$A$501,0)),"Not in current directory"))</x:f>
        <x:v>James Dobson School</x:v>
      </x:c>
      <x:c r="C132" s="17" t="str">
        <x:v>No</x:v>
      </x:c>
      <x:c r="D132" s="17"/>
      <x:c r="E132" s="18"/>
      <x:c r="F132" s="17"/>
      <x:c r="G132" s="18"/>
      <x:c r="H132" s="17" t="str"/>
      <x:c r="I132" s="17" t="str"/>
      <x:c r="J132" s="17" t="str">
        <x:v>Not contacted</x:v>
      </x:c>
      <x:c r="K132" s="17" t="str">
        <x:v>Unknown</x:v>
      </x:c>
      <x:c r="L132" s="2" t="str">
        <x:f>IF(A132="","",IF(COUNTIFS($A$8:$A$507,A132)&lt;&gt;1,"Duplicate ID",IF(COUNTIFS(Data!$A$2:$A$501,A132)&lt;&gt;1,"Not current","Current")))</x:f>
        <x:v>Current</x:v>
      </x:c>
    </x:row>
    <x:row r="133" ht="32" customHeight="1">
      <x:c r="A133" s="2" t="str">
        <x:v>4220</x:v>
      </x:c>
      <x:c r="B133" s="20" t="str">
        <x:f>IF(A133="","",IF(COUNTIFS(Data!$A$2:$A$501,A133)=1,INDEX(Data!$B$2:$B$501,MATCH(A133,Data!$A$2:$A$501,0)),"Not in current directory"))</x:f>
        <x:v>James G. Blaine School</x:v>
      </x:c>
      <x:c r="C133" s="17" t="str">
        <x:v>No</x:v>
      </x:c>
      <x:c r="D133" s="17"/>
      <x:c r="E133" s="18"/>
      <x:c r="F133" s="17"/>
      <x:c r="G133" s="18"/>
      <x:c r="H133" s="17" t="str"/>
      <x:c r="I133" s="17" t="str"/>
      <x:c r="J133" s="17" t="str">
        <x:v>Not contacted</x:v>
      </x:c>
      <x:c r="K133" s="17" t="str">
        <x:v>Unknown</x:v>
      </x:c>
      <x:c r="L133" s="2" t="str">
        <x:f>IF(A133="","",IF(COUNTIFS($A$8:$A$507,A133)&lt;&gt;1,"Duplicate ID",IF(COUNTIFS(Data!$A$2:$A$501,A133)&lt;&gt;1,"Not current","Current")))</x:f>
        <x:v>Current</x:v>
      </x:c>
    </x:row>
    <x:row r="134" ht="32" customHeight="1">
      <x:c r="A134" s="2" t="str">
        <x:v>7430</x:v>
      </x:c>
      <x:c r="B134" s="20" t="str">
        <x:f>IF(A134="","",IF(COUNTIFS(Data!$A$2:$A$501,A134)=1,INDEX(Data!$B$2:$B$501,MATCH(A134,Data!$A$2:$A$501,0)),"Not in current directory"))</x:f>
        <x:v>James J. Sullivan School</x:v>
      </x:c>
      <x:c r="C134" s="17" t="str">
        <x:v>No</x:v>
      </x:c>
      <x:c r="D134" s="17"/>
      <x:c r="E134" s="18"/>
      <x:c r="F134" s="17"/>
      <x:c r="G134" s="18"/>
      <x:c r="H134" s="17" t="str"/>
      <x:c r="I134" s="17" t="str"/>
      <x:c r="J134" s="17" t="str">
        <x:v>Not contacted</x:v>
      </x:c>
      <x:c r="K134" s="17" t="str">
        <x:v>Unknown</x:v>
      </x:c>
      <x:c r="L134" s="2" t="str">
        <x:f>IF(A134="","",IF(COUNTIFS($A$8:$A$507,A134)&lt;&gt;1,"Duplicate ID",IF(COUNTIFS(Data!$A$2:$A$501,A134)&lt;&gt;1,"Not current","Current")))</x:f>
        <x:v>Current</x:v>
      </x:c>
    </x:row>
    <x:row r="135" ht="32" customHeight="1">
      <x:c r="A135" s="2" t="str">
        <x:v>6300</x:v>
      </x:c>
      <x:c r="B135" s="20" t="str">
        <x:f>IF(A135="","",IF(COUNTIFS(Data!$A$2:$A$501,A135)=1,INDEX(Data!$B$2:$B$501,MATCH(A135,Data!$A$2:$A$501,0)),"Not in current directory"))</x:f>
        <x:v>James Logan School</x:v>
      </x:c>
      <x:c r="C135" s="17" t="str">
        <x:v>No</x:v>
      </x:c>
      <x:c r="D135" s="17"/>
      <x:c r="E135" s="18"/>
      <x:c r="F135" s="17"/>
      <x:c r="G135" s="18"/>
      <x:c r="H135" s="17" t="str"/>
      <x:c r="I135" s="17" t="str"/>
      <x:c r="J135" s="17" t="str">
        <x:v>Not contacted</x:v>
      </x:c>
      <x:c r="K135" s="17" t="str">
        <x:v>Unknown</x:v>
      </x:c>
      <x:c r="L135" s="2" t="str">
        <x:f>IF(A135="","",IF(COUNTIFS($A$8:$A$507,A135)&lt;&gt;1,"Duplicate ID",IF(COUNTIFS(Data!$A$2:$A$501,A135)&lt;&gt;1,"Not current","Current")))</x:f>
        <x:v>Current</x:v>
      </x:c>
    </x:row>
    <x:row r="136" ht="32" customHeight="1">
      <x:c r="A136" s="2" t="str">
        <x:v>7350</x:v>
      </x:c>
      <x:c r="B136" s="20" t="str">
        <x:f>IF(A136="","",IF(COUNTIFS(Data!$A$2:$A$501,A136)=1,INDEX(Data!$B$2:$B$501,MATCH(A136,Data!$A$2:$A$501,0)),"Not in current directory"))</x:f>
        <x:v>James R. Lowell School</x:v>
      </x:c>
      <x:c r="C136" s="17" t="str">
        <x:v>No</x:v>
      </x:c>
      <x:c r="D136" s="17"/>
      <x:c r="E136" s="18"/>
      <x:c r="F136" s="17"/>
      <x:c r="G136" s="18"/>
      <x:c r="H136" s="17" t="str"/>
      <x:c r="I136" s="17" t="str"/>
      <x:c r="J136" s="17" t="str">
        <x:v>Not contacted</x:v>
      </x:c>
      <x:c r="K136" s="17" t="str">
        <x:v>Unknown</x:v>
      </x:c>
      <x:c r="L136" s="2" t="str">
        <x:f>IF(A136="","",IF(COUNTIFS($A$8:$A$507,A136)&lt;&gt;1,"Duplicate ID",IF(COUNTIFS(Data!$A$2:$A$501,A136)&lt;&gt;1,"Not current","Current")))</x:f>
        <x:v>Current</x:v>
      </x:c>
    </x:row>
    <x:row r="137" ht="32" customHeight="1">
      <x:c r="A137" s="2" t="str">
        <x:v>5340</x:v>
      </x:c>
      <x:c r="B137" s="20" t="str">
        <x:f>IF(A137="","",IF(COUNTIFS(Data!$A$2:$A$501,A137)=1,INDEX(Data!$B$2:$B$501,MATCH(A137,Data!$A$2:$A$501,0)),"Not in current directory"))</x:f>
        <x:v>James R. Ludlow School</x:v>
      </x:c>
      <x:c r="C137" s="17" t="str">
        <x:v>No</x:v>
      </x:c>
      <x:c r="D137" s="17"/>
      <x:c r="E137" s="18"/>
      <x:c r="F137" s="17"/>
      <x:c r="G137" s="18"/>
      <x:c r="H137" s="17" t="str"/>
      <x:c r="I137" s="17" t="str"/>
      <x:c r="J137" s="17" t="str">
        <x:v>Not contacted</x:v>
      </x:c>
      <x:c r="K137" s="17" t="str">
        <x:v>Unknown</x:v>
      </x:c>
      <x:c r="L137" s="2" t="str">
        <x:f>IF(A137="","",IF(COUNTIFS($A$8:$A$507,A137)&lt;&gt;1,"Duplicate ID",IF(COUNTIFS(Data!$A$2:$A$501,A137)&lt;&gt;1,"Not current","Current")))</x:f>
        <x:v>Current</x:v>
      </x:c>
    </x:row>
    <x:row r="138" ht="32" customHeight="1">
      <x:c r="A138" s="2" t="str">
        <x:v>1410</x:v>
      </x:c>
      <x:c r="B138" s="20" t="str">
        <x:f>IF(A138="","",IF(COUNTIFS(Data!$A$2:$A$501,A138)=1,INDEX(Data!$B$2:$B$501,MATCH(A138,Data!$A$2:$A$501,0)),"Not in current directory"))</x:f>
        <x:v>James Rhoads School</x:v>
      </x:c>
      <x:c r="C138" s="17" t="str">
        <x:v>No</x:v>
      </x:c>
      <x:c r="D138" s="17"/>
      <x:c r="E138" s="18"/>
      <x:c r="F138" s="17"/>
      <x:c r="G138" s="18"/>
      <x:c r="H138" s="17" t="str"/>
      <x:c r="I138" s="17" t="str"/>
      <x:c r="J138" s="17" t="str">
        <x:v>Not contacted</x:v>
      </x:c>
      <x:c r="K138" s="17" t="str">
        <x:v>Unknown</x:v>
      </x:c>
      <x:c r="L138" s="2" t="str">
        <x:f>IF(A138="","",IF(COUNTIFS($A$8:$A$507,A138)&lt;&gt;1,"Duplicate ID",IF(COUNTIFS(Data!$A$2:$A$501,A138)&lt;&gt;1,"Not current","Current")))</x:f>
        <x:v>Current</x:v>
      </x:c>
    </x:row>
    <x:row r="139" ht="32" customHeight="1">
      <x:c r="A139" s="2" t="str">
        <x:v>7100</x:v>
      </x:c>
      <x:c r="B139" s="20" t="str">
        <x:f>IF(A139="","",IF(COUNTIFS(Data!$A$2:$A$501,A139)=1,INDEX(Data!$B$2:$B$501,MATCH(A139,Data!$A$2:$A$501,0)),"Not in current directory"))</x:f>
        <x:v>Jay Cooke School</x:v>
      </x:c>
      <x:c r="C139" s="17" t="str">
        <x:v>No</x:v>
      </x:c>
      <x:c r="D139" s="17"/>
      <x:c r="E139" s="18"/>
      <x:c r="F139" s="17"/>
      <x:c r="G139" s="18"/>
      <x:c r="H139" s="17" t="str"/>
      <x:c r="I139" s="17" t="str"/>
      <x:c r="J139" s="17" t="str">
        <x:v>Not contacted</x:v>
      </x:c>
      <x:c r="K139" s="17" t="str">
        <x:v>Unknown</x:v>
      </x:c>
      <x:c r="L139" s="2" t="str">
        <x:f>IF(A139="","",IF(COUNTIFS($A$8:$A$507,A139)&lt;&gt;1,"Duplicate ID",IF(COUNTIFS(Data!$A$2:$A$501,A139)&lt;&gt;1,"Not current","Current")))</x:f>
        <x:v>Current</x:v>
      </x:c>
    </x:row>
    <x:row r="140" ht="32" customHeight="1">
      <x:c r="A140" s="2" t="str">
        <x:v>6470</x:v>
      </x:c>
      <x:c r="B140" s="20" t="str">
        <x:f>IF(A140="","",IF(COUNTIFS(Data!$A$2:$A$501,A140)=1,INDEX(Data!$B$2:$B$501,MATCH(A140,Data!$A$2:$A$501,0)),"Not in current directory"))</x:f>
        <x:v>John B. Kelly School</x:v>
      </x:c>
      <x:c r="C140" s="17" t="str">
        <x:v>No</x:v>
      </x:c>
      <x:c r="D140" s="17"/>
      <x:c r="E140" s="18"/>
      <x:c r="F140" s="17"/>
      <x:c r="G140" s="18"/>
      <x:c r="H140" s="17" t="str"/>
      <x:c r="I140" s="17" t="str"/>
      <x:c r="J140" s="17" t="str">
        <x:v>Not contacted</x:v>
      </x:c>
      <x:c r="K140" s="17" t="str">
        <x:v>Unknown</x:v>
      </x:c>
      <x:c r="L140" s="2" t="str">
        <x:f>IF(A140="","",IF(COUNTIFS($A$8:$A$507,A140)&lt;&gt;1,"Duplicate ID",IF(COUNTIFS(Data!$A$2:$A$501,A140)&lt;&gt;1,"Not current","Current")))</x:f>
        <x:v>Current</x:v>
      </x:c>
    </x:row>
    <x:row r="141" ht="32" customHeight="1">
      <x:c r="A141" s="2" t="str">
        <x:v>5580</x:v>
      </x:c>
      <x:c r="B141" s="20" t="str">
        <x:f>IF(A141="","",IF(COUNTIFS(Data!$A$2:$A$501,A141)=1,INDEX(Data!$B$2:$B$501,MATCH(A141,Data!$A$2:$A$501,0)),"Not in current directory"))</x:f>
        <x:v>John B. Stetson Middle School</x:v>
      </x:c>
      <x:c r="C141" s="17" t="str">
        <x:v>No</x:v>
      </x:c>
      <x:c r="D141" s="17"/>
      <x:c r="E141" s="18"/>
      <x:c r="F141" s="17"/>
      <x:c r="G141" s="18"/>
      <x:c r="H141" s="17" t="str"/>
      <x:c r="I141" s="17" t="str"/>
      <x:c r="J141" s="17" t="str">
        <x:v>Not contacted</x:v>
      </x:c>
      <x:c r="K141" s="17" t="str">
        <x:v>Unknown</x:v>
      </x:c>
      <x:c r="L141" s="2" t="str">
        <x:f>IF(A141="","",IF(COUNTIFS($A$8:$A$507,A141)&lt;&gt;1,"Duplicate ID",IF(COUNTIFS(Data!$A$2:$A$501,A141)&lt;&gt;1,"Not current","Current")))</x:f>
        <x:v>Current</x:v>
      </x:c>
    </x:row>
    <x:row r="142" ht="32" customHeight="1">
      <x:c r="A142" s="2" t="str">
        <x:v>1200</x:v>
      </x:c>
      <x:c r="B142" s="20" t="str">
        <x:f>IF(A142="","",IF(COUNTIFS(Data!$A$2:$A$501,A142)=1,INDEX(Data!$B$2:$B$501,MATCH(A142,Data!$A$2:$A$501,0)),"Not in current directory"))</x:f>
        <x:v>John Barry School</x:v>
      </x:c>
      <x:c r="C142" s="17" t="str">
        <x:v>No</x:v>
      </x:c>
      <x:c r="D142" s="17"/>
      <x:c r="E142" s="18"/>
      <x:c r="F142" s="17"/>
      <x:c r="G142" s="18"/>
      <x:c r="H142" s="17" t="str"/>
      <x:c r="I142" s="17" t="str"/>
      <x:c r="J142" s="17" t="str">
        <x:v>Not contacted</x:v>
      </x:c>
      <x:c r="K142" s="17" t="str">
        <x:v>Unknown</x:v>
      </x:c>
      <x:c r="L142" s="2" t="str">
        <x:f>IF(A142="","",IF(COUNTIFS($A$8:$A$507,A142)&lt;&gt;1,"Duplicate ID",IF(COUNTIFS(Data!$A$2:$A$501,A142)&lt;&gt;1,"Not current","Current")))</x:f>
        <x:v>Current</x:v>
      </x:c>
    </x:row>
    <x:row r="143" ht="32" customHeight="1">
      <x:c r="A143" s="2" t="str">
        <x:v>1010</x:v>
      </x:c>
      <x:c r="B143" s="20" t="str">
        <x:f>IF(A143="","",IF(COUNTIFS(Data!$A$2:$A$501,A143)=1,INDEX(Data!$B$2:$B$501,MATCH(A143,Data!$A$2:$A$501,0)),"Not in current directory"))</x:f>
        <x:v>John Bartram High School</x:v>
      </x:c>
      <x:c r="C143" s="17" t="str">
        <x:v>No</x:v>
      </x:c>
      <x:c r="D143" s="17"/>
      <x:c r="E143" s="18"/>
      <x:c r="F143" s="17"/>
      <x:c r="G143" s="18"/>
      <x:c r="H143" s="17" t="str"/>
      <x:c r="I143" s="17" t="str"/>
      <x:c r="J143" s="17" t="str">
        <x:v>Not contacted</x:v>
      </x:c>
      <x:c r="K143" s="17" t="str">
        <x:v>Unknown</x:v>
      </x:c>
      <x:c r="L143" s="2" t="str">
        <x:f>IF(A143="","",IF(COUNTIFS($A$8:$A$507,A143)&lt;&gt;1,"Duplicate ID",IF(COUNTIFS(Data!$A$2:$A$501,A143)&lt;&gt;1,"Not current","Current")))</x:f>
        <x:v>Current</x:v>
      </x:c>
    </x:row>
    <x:row r="144" ht="32" customHeight="1">
      <x:c r="A144" s="2" t="str">
        <x:v>5320</x:v>
      </x:c>
      <x:c r="B144" s="20" t="str">
        <x:f>IF(A144="","",IF(COUNTIFS(Data!$A$2:$A$501,A144)=1,INDEX(Data!$B$2:$B$501,MATCH(A144,Data!$A$2:$A$501,0)),"Not in current directory"))</x:f>
        <x:v>John F. Hartranft School</x:v>
      </x:c>
      <x:c r="C144" s="17" t="str">
        <x:v>No</x:v>
      </x:c>
      <x:c r="D144" s="17"/>
      <x:c r="E144" s="18"/>
      <x:c r="F144" s="17"/>
      <x:c r="G144" s="18"/>
      <x:c r="H144" s="17" t="str"/>
      <x:c r="I144" s="17" t="str"/>
      <x:c r="J144" s="17" t="str">
        <x:v>Not contacted</x:v>
      </x:c>
      <x:c r="K144" s="17" t="str">
        <x:v>Unknown</x:v>
      </x:c>
      <x:c r="L144" s="2" t="str">
        <x:f>IF(A144="","",IF(COUNTIFS($A$8:$A$507,A144)&lt;&gt;1,"Duplicate ID",IF(COUNTIFS(Data!$A$2:$A$501,A144)&lt;&gt;1,"Not current","Current")))</x:f>
        <x:v>Current</x:v>
      </x:c>
    </x:row>
    <x:row r="145" ht="32" customHeight="1">
      <x:c r="A145" s="2" t="str">
        <x:v>6310</x:v>
      </x:c>
      <x:c r="B145" s="20" t="str">
        <x:f>IF(A145="","",IF(COUNTIFS(Data!$A$2:$A$501,A145)=1,INDEX(Data!$B$2:$B$501,MATCH(A145,Data!$A$2:$A$501,0)),"Not in current directory"))</x:f>
        <x:v>John F. McCloskey School</x:v>
      </x:c>
      <x:c r="C145" s="17" t="str">
        <x:v>No</x:v>
      </x:c>
      <x:c r="D145" s="17"/>
      <x:c r="E145" s="18"/>
      <x:c r="F145" s="17"/>
      <x:c r="G145" s="18"/>
      <x:c r="H145" s="17" t="str"/>
      <x:c r="I145" s="17" t="str"/>
      <x:c r="J145" s="17" t="str">
        <x:v>Not contacted</x:v>
      </x:c>
      <x:c r="K145" s="17" t="str">
        <x:v>Unknown</x:v>
      </x:c>
      <x:c r="L145" s="2" t="str">
        <x:f>IF(A145="","",IF(COUNTIFS($A$8:$A$507,A145)&lt;&gt;1,"Duplicate ID",IF(COUNTIFS(Data!$A$2:$A$501,A145)&lt;&gt;1,"Not current","Current")))</x:f>
        <x:v>Current</x:v>
      </x:c>
    </x:row>
    <x:row r="146" ht="32" customHeight="1">
      <x:c r="A146" s="2" t="str">
        <x:v>2690</x:v>
      </x:c>
      <x:c r="B146" s="20" t="str">
        <x:f>IF(A146="","",IF(COUNTIFS(Data!$A$2:$A$501,A146)=1,INDEX(Data!$B$2:$B$501,MATCH(A146,Data!$A$2:$A$501,0)),"Not in current directory"))</x:f>
        <x:v>John H. Taggart School</x:v>
      </x:c>
      <x:c r="C146" s="17" t="str">
        <x:v>No</x:v>
      </x:c>
      <x:c r="D146" s="17"/>
      <x:c r="E146" s="18"/>
      <x:c r="F146" s="17"/>
      <x:c r="G146" s="18"/>
      <x:c r="H146" s="17" t="str"/>
      <x:c r="I146" s="17" t="str"/>
      <x:c r="J146" s="17" t="str">
        <x:v>Not contacted</x:v>
      </x:c>
      <x:c r="K146" s="17" t="str">
        <x:v>Unknown</x:v>
      </x:c>
      <x:c r="L146" s="2" t="str">
        <x:f>IF(A146="","",IF(COUNTIFS($A$8:$A$507,A146)&lt;&gt;1,"Duplicate ID",IF(COUNTIFS(Data!$A$2:$A$501,A146)&lt;&gt;1,"Not current","Current")))</x:f>
        <x:v>Current</x:v>
      </x:c>
    </x:row>
    <x:row r="147" ht="32" customHeight="1">
      <x:c r="A147" s="2" t="str">
        <x:v>5590</x:v>
      </x:c>
      <x:c r="B147" s="20" t="str">
        <x:f>IF(A147="","",IF(COUNTIFS(Data!$A$2:$A$501,A147)=1,INDEX(Data!$B$2:$B$501,MATCH(A147,Data!$A$2:$A$501,0)),"Not in current directory"))</x:f>
        <x:v>John H. Webster School</x:v>
      </x:c>
      <x:c r="C147" s="17" t="str">
        <x:v>No</x:v>
      </x:c>
      <x:c r="D147" s="17"/>
      <x:c r="E147" s="18"/>
      <x:c r="F147" s="17"/>
      <x:c r="G147" s="18"/>
      <x:c r="H147" s="17" t="str"/>
      <x:c r="I147" s="17" t="str"/>
      <x:c r="J147" s="17" t="str">
        <x:v>Not contacted</x:v>
      </x:c>
      <x:c r="K147" s="17" t="str">
        <x:v>Unknown</x:v>
      </x:c>
      <x:c r="L147" s="2" t="str">
        <x:f>IF(A147="","",IF(COUNTIFS($A$8:$A$507,A147)&lt;&gt;1,"Duplicate ID",IF(COUNTIFS(Data!$A$2:$A$501,A147)&lt;&gt;1,"Not current","Current")))</x:f>
        <x:v>Current</x:v>
      </x:c>
    </x:row>
    <x:row r="148" ht="32" customHeight="1">
      <x:c r="A148" s="2" t="str">
        <x:v>1400</x:v>
      </x:c>
      <x:c r="B148" s="20" t="str">
        <x:f>IF(A148="","",IF(COUNTIFS(Data!$A$2:$A$501,A148)=1,INDEX(Data!$B$2:$B$501,MATCH(A148,Data!$A$2:$A$501,0)),"Not in current directory"))</x:f>
        <x:v>John M. Patterson School</x:v>
      </x:c>
      <x:c r="C148" s="17" t="str">
        <x:v>No</x:v>
      </x:c>
      <x:c r="D148" s="17"/>
      <x:c r="E148" s="18"/>
      <x:c r="F148" s="17"/>
      <x:c r="G148" s="18"/>
      <x:c r="H148" s="17" t="str"/>
      <x:c r="I148" s="17" t="str"/>
      <x:c r="J148" s="17" t="str">
        <x:v>Not contacted</x:v>
      </x:c>
      <x:c r="K148" s="17" t="str">
        <x:v>Unknown</x:v>
      </x:c>
      <x:c r="L148" s="2" t="str">
        <x:f>IF(A148="","",IF(COUNTIFS($A$8:$A$507,A148)&lt;&gt;1,"Duplicate ID",IF(COUNTIFS(Data!$A$2:$A$501,A148)&lt;&gt;1,"Not current","Current")))</x:f>
        <x:v>Current</x:v>
      </x:c>
    </x:row>
    <x:row r="149" ht="32" customHeight="1">
      <x:c r="A149" s="2" t="str">
        <x:v>7360</x:v>
      </x:c>
      <x:c r="B149" s="20" t="str">
        <x:f>IF(A149="","",IF(COUNTIFS(Data!$A$2:$A$501,A149)=1,INDEX(Data!$B$2:$B$501,MATCH(A149,Data!$A$2:$A$501,0)),"Not in current directory"))</x:f>
        <x:v>John Marshall School</x:v>
      </x:c>
      <x:c r="C149" s="17" t="str">
        <x:v>No</x:v>
      </x:c>
      <x:c r="D149" s="17"/>
      <x:c r="E149" s="18"/>
      <x:c r="F149" s="17"/>
      <x:c r="G149" s="18"/>
      <x:c r="H149" s="17" t="str"/>
      <x:c r="I149" s="17" t="str"/>
      <x:c r="J149" s="17" t="str">
        <x:v>Not contacted</x:v>
      </x:c>
      <x:c r="K149" s="17" t="str">
        <x:v>Unknown</x:v>
      </x:c>
      <x:c r="L149" s="2" t="str">
        <x:f>IF(A149="","",IF(COUNTIFS($A$8:$A$507,A149)&lt;&gt;1,"Duplicate ID",IF(COUNTIFS(Data!$A$2:$A$501,A149)&lt;&gt;1,"Not current","Current")))</x:f>
        <x:v>Current</x:v>
      </x:c>
    </x:row>
    <x:row r="150" ht="32" customHeight="1">
      <x:c r="A150" s="2" t="str">
        <x:v>5370</x:v>
      </x:c>
      <x:c r="B150" s="20" t="str">
        <x:f>IF(A150="","",IF(COUNTIFS(Data!$A$2:$A$501,A150)=1,INDEX(Data!$B$2:$B$501,MATCH(A150,Data!$A$2:$A$501,0)),"Not in current directory"))</x:f>
        <x:v>John Moffet School</x:v>
      </x:c>
      <x:c r="C150" s="17" t="str">
        <x:v>No</x:v>
      </x:c>
      <x:c r="D150" s="17"/>
      <x:c r="E150" s="18"/>
      <x:c r="F150" s="17"/>
      <x:c r="G150" s="18"/>
      <x:c r="H150" s="17" t="str"/>
      <x:c r="I150" s="17" t="str"/>
      <x:c r="J150" s="17" t="str">
        <x:v>Not contacted</x:v>
      </x:c>
      <x:c r="K150" s="17" t="str">
        <x:v>Unknown</x:v>
      </x:c>
      <x:c r="L150" s="2" t="str">
        <x:f>IF(A150="","",IF(COUNTIFS($A$8:$A$507,A150)&lt;&gt;1,"Duplicate ID",IF(COUNTIFS(Data!$A$2:$A$501,A150)&lt;&gt;1,"Not current","Current")))</x:f>
        <x:v>Current</x:v>
      </x:c>
    </x:row>
    <x:row r="151" ht="32" customHeight="1">
      <x:c r="A151" s="2" t="str">
        <x:v>6270</x:v>
      </x:c>
      <x:c r="B151" s="20" t="str">
        <x:f>IF(A151="","",IF(COUNTIFS(Data!$A$2:$A$501,A151)=1,INDEX(Data!$B$2:$B$501,MATCH(A151,Data!$A$2:$A$501,0)),"Not in current directory"))</x:f>
        <x:v>John S. Jenks Academy for the Arts and Sciences</x:v>
      </x:c>
      <x:c r="C151" s="17" t="str">
        <x:v>No</x:v>
      </x:c>
      <x:c r="D151" s="17"/>
      <x:c r="E151" s="18"/>
      <x:c r="F151" s="17"/>
      <x:c r="G151" s="18"/>
      <x:c r="H151" s="17" t="str"/>
      <x:c r="I151" s="17" t="str"/>
      <x:c r="J151" s="17" t="str">
        <x:v>Not contacted</x:v>
      </x:c>
      <x:c r="K151" s="17" t="str">
        <x:v>Unknown</x:v>
      </x:c>
      <x:c r="L151" s="2" t="str">
        <x:f>IF(A151="","",IF(COUNTIFS($A$8:$A$507,A151)&lt;&gt;1,"Duplicate ID",IF(COUNTIFS(Data!$A$2:$A$501,A151)&lt;&gt;1,"Not current","Current")))</x:f>
        <x:v>Current</x:v>
      </x:c>
    </x:row>
    <x:row r="152" ht="32" customHeight="1">
      <x:c r="A152" s="2" t="str">
        <x:v>5420</x:v>
      </x:c>
      <x:c r="B152" s="20" t="str">
        <x:f>IF(A152="","",IF(COUNTIFS(Data!$A$2:$A$501,A152)=1,INDEX(Data!$B$2:$B$501,MATCH(A152,Data!$A$2:$A$501,0)),"Not in current directory"))</x:f>
        <x:v>John Welsh School</x:v>
      </x:c>
      <x:c r="C152" s="17" t="str">
        <x:v>No</x:v>
      </x:c>
      <x:c r="D152" s="17"/>
      <x:c r="E152" s="18"/>
      <x:c r="F152" s="17"/>
      <x:c r="G152" s="18"/>
      <x:c r="H152" s="17" t="str"/>
      <x:c r="I152" s="17" t="str"/>
      <x:c r="J152" s="17" t="str">
        <x:v>Not contacted</x:v>
      </x:c>
      <x:c r="K152" s="17" t="str">
        <x:v>Unknown</x:v>
      </x:c>
      <x:c r="L152" s="2" t="str">
        <x:f>IF(A152="","",IF(COUNTIFS($A$8:$A$507,A152)&lt;&gt;1,"Duplicate ID",IF(COUNTIFS(Data!$A$2:$A$501,A152)&lt;&gt;1,"Not current","Current")))</x:f>
        <x:v>Current</x:v>
      </x:c>
    </x:row>
    <x:row r="153" ht="32" customHeight="1">
      <x:c r="A153" s="2" t="str">
        <x:v>8430</x:v>
      </x:c>
      <x:c r="B153" s="20" t="str">
        <x:f>IF(A153="","",IF(COUNTIFS(Data!$A$2:$A$501,A153)=1,INDEX(Data!$B$2:$B$501,MATCH(A153,Data!$A$2:$A$501,0)),"Not in current directory"))</x:f>
        <x:v>Joseph Greenberg School</x:v>
      </x:c>
      <x:c r="C153" s="17" t="str">
        <x:v>No</x:v>
      </x:c>
      <x:c r="D153" s="17"/>
      <x:c r="E153" s="18"/>
      <x:c r="F153" s="17"/>
      <x:c r="G153" s="18"/>
      <x:c r="H153" s="17" t="str"/>
      <x:c r="I153" s="17" t="str"/>
      <x:c r="J153" s="17" t="str">
        <x:v>Not contacted</x:v>
      </x:c>
      <x:c r="K153" s="17" t="str">
        <x:v>Unknown</x:v>
      </x:c>
      <x:c r="L153" s="2" t="str">
        <x:f>IF(A153="","",IF(COUNTIFS($A$8:$A$507,A153)&lt;&gt;1,"Duplicate ID",IF(COUNTIFS(Data!$A$2:$A$501,A153)&lt;&gt;1,"Not current","Current")))</x:f>
        <x:v>Current</x:v>
      </x:c>
    </x:row>
    <x:row r="154" ht="32" customHeight="1">
      <x:c r="A154" s="2" t="str">
        <x:v>8210</x:v>
      </x:c>
      <x:c r="B154" s="20" t="str">
        <x:f>IF(A154="","",IF(COUNTIFS(Data!$A$2:$A$501,A154)=1,INDEX(Data!$B$2:$B$501,MATCH(A154,Data!$A$2:$A$501,0)),"Not in current directory"))</x:f>
        <x:v>Joseph H. Brown School</x:v>
      </x:c>
      <x:c r="C154" s="17" t="str">
        <x:v>No</x:v>
      </x:c>
      <x:c r="D154" s="17"/>
      <x:c r="E154" s="18"/>
      <x:c r="F154" s="17"/>
      <x:c r="G154" s="18"/>
      <x:c r="H154" s="17" t="str"/>
      <x:c r="I154" s="17" t="str"/>
      <x:c r="J154" s="17" t="str">
        <x:v>Not contacted</x:v>
      </x:c>
      <x:c r="K154" s="17" t="str">
        <x:v>Unknown</x:v>
      </x:c>
      <x:c r="L154" s="2" t="str">
        <x:f>IF(A154="","",IF(COUNTIFS($A$8:$A$507,A154)&lt;&gt;1,"Duplicate ID",IF(COUNTIFS(Data!$A$2:$A$501,A154)&lt;&gt;1,"Not current","Current")))</x:f>
        <x:v>Current</x:v>
      </x:c>
    </x:row>
    <x:row r="155" ht="32" customHeight="1">
      <x:c r="A155" s="2" t="str">
        <x:v>6340</x:v>
      </x:c>
      <x:c r="B155" s="20" t="str">
        <x:f>IF(A155="","",IF(COUNTIFS(Data!$A$2:$A$501,A155)=1,INDEX(Data!$B$2:$B$501,MATCH(A155,Data!$A$2:$A$501,0)),"Not in current directory"))</x:f>
        <x:v>Joseph Pennell School</x:v>
      </x:c>
      <x:c r="C155" s="17" t="str">
        <x:v>No</x:v>
      </x:c>
      <x:c r="D155" s="17"/>
      <x:c r="E155" s="18"/>
      <x:c r="F155" s="17"/>
      <x:c r="G155" s="18"/>
      <x:c r="H155" s="17" t="str"/>
      <x:c r="I155" s="17" t="str"/>
      <x:c r="J155" s="17" t="str">
        <x:v>Not contacted</x:v>
      </x:c>
      <x:c r="K155" s="17" t="str">
        <x:v>Unknown</x:v>
      </x:c>
      <x:c r="L155" s="2" t="str">
        <x:f>IF(A155="","",IF(COUNTIFS($A$8:$A$507,A155)&lt;&gt;1,"Duplicate ID",IF(COUNTIFS(Data!$A$2:$A$501,A155)&lt;&gt;1,"Not current","Current")))</x:f>
        <x:v>Current</x:v>
      </x:c>
    </x:row>
    <x:row r="156" ht="32" customHeight="1">
      <x:c r="A156" s="2" t="str">
        <x:v>1250</x:v>
      </x:c>
      <x:c r="B156" s="20" t="str">
        <x:f>IF(A156="","",IF(COUNTIFS(Data!$A$2:$A$501,A156)=1,INDEX(Data!$B$2:$B$501,MATCH(A156,Data!$A$2:$A$501,0)),"Not in current directory"))</x:f>
        <x:v>Joseph W. Catharine School</x:v>
      </x:c>
      <x:c r="C156" s="17" t="str">
        <x:v>No</x:v>
      </x:c>
      <x:c r="D156" s="17"/>
      <x:c r="E156" s="18"/>
      <x:c r="F156" s="17"/>
      <x:c r="G156" s="18"/>
      <x:c r="H156" s="17" t="str"/>
      <x:c r="I156" s="17" t="str"/>
      <x:c r="J156" s="17" t="str">
        <x:v>Not contacted</x:v>
      </x:c>
      <x:c r="K156" s="17" t="str">
        <x:v>Unknown</x:v>
      </x:c>
      <x:c r="L156" s="2" t="str">
        <x:f>IF(A156="","",IF(COUNTIFS($A$8:$A$507,A156)&lt;&gt;1,"Duplicate ID",IF(COUNTIFS(Data!$A$2:$A$501,A156)&lt;&gt;1,"Not current","Current")))</x:f>
        <x:v>Current</x:v>
      </x:c>
    </x:row>
    <x:row r="157" ht="32" customHeight="1">
      <x:c r="A157" s="2" t="str">
        <x:v>5060</x:v>
      </x:c>
      <x:c r="B157" s="20" t="str">
        <x:f>IF(A157="","",IF(COUNTIFS(Data!$A$2:$A$501,A157)=1,INDEX(Data!$B$2:$B$501,MATCH(A157,Data!$A$2:$A$501,0)),"Not in current directory"))</x:f>
        <x:v>Jules E. Mastbaum Area Vocational Technical High School</x:v>
      </x:c>
      <x:c r="C157" s="17" t="str">
        <x:v>No</x:v>
      </x:c>
      <x:c r="D157" s="17"/>
      <x:c r="E157" s="18"/>
      <x:c r="F157" s="17"/>
      <x:c r="G157" s="18"/>
      <x:c r="H157" s="17" t="str"/>
      <x:c r="I157" s="17" t="str"/>
      <x:c r="J157" s="17" t="str">
        <x:v>Not contacted</x:v>
      </x:c>
      <x:c r="K157" s="17" t="str">
        <x:v>Unknown</x:v>
      </x:c>
      <x:c r="L157" s="2" t="str">
        <x:f>IF(A157="","",IF(COUNTIFS($A$8:$A$507,A157)&lt;&gt;1,"Duplicate ID",IF(COUNTIFS(Data!$A$2:$A$501,A157)&lt;&gt;1,"Not current","Current")))</x:f>
        <x:v>Current</x:v>
      </x:c>
    </x:row>
    <x:row r="158" ht="32" customHeight="1">
      <x:c r="A158" s="2" t="str">
        <x:v>5170</x:v>
      </x:c>
      <x:c r="B158" s="20" t="str">
        <x:f>IF(A158="","",IF(COUNTIFS(Data!$A$2:$A$501,A158)=1,INDEX(Data!$B$2:$B$501,MATCH(A158,Data!$A$2:$A$501,0)),"Not in current directory"))</x:f>
        <x:v>Julia de Burgos School</x:v>
      </x:c>
      <x:c r="C158" s="17" t="str">
        <x:v>No</x:v>
      </x:c>
      <x:c r="D158" s="17"/>
      <x:c r="E158" s="18"/>
      <x:c r="F158" s="17"/>
      <x:c r="G158" s="18"/>
      <x:c r="H158" s="17" t="str"/>
      <x:c r="I158" s="17" t="str"/>
      <x:c r="J158" s="17" t="str">
        <x:v>Not contacted</x:v>
      </x:c>
      <x:c r="K158" s="17" t="str">
        <x:v>Unknown</x:v>
      </x:c>
      <x:c r="L158" s="2" t="str">
        <x:f>IF(A158="","",IF(COUNTIFS($A$8:$A$507,A158)&lt;&gt;1,"Duplicate ID",IF(COUNTIFS(Data!$A$2:$A$501,A158)&lt;&gt;1,"Not current","Current")))</x:f>
        <x:v>Current</x:v>
      </x:c>
    </x:row>
    <x:row r="159" ht="32" customHeight="1">
      <x:c r="A159" s="2" t="str">
        <x:v>2140</x:v>
      </x:c>
      <x:c r="B159" s="20" t="str">
        <x:f>IF(A159="","",IF(COUNTIFS(Data!$A$2:$A$501,A159)=1,INDEX(Data!$B$2:$B$501,MATCH(A159,Data!$A$2:$A$501,0)),"Not in current directory"))</x:f>
        <x:v>Julia R. Masterman High School</x:v>
      </x:c>
      <x:c r="C159" s="17" t="str">
        <x:v>No</x:v>
      </x:c>
      <x:c r="D159" s="17"/>
      <x:c r="E159" s="18"/>
      <x:c r="F159" s="17"/>
      <x:c r="G159" s="18"/>
      <x:c r="H159" s="17" t="str"/>
      <x:c r="I159" s="17" t="str"/>
      <x:c r="J159" s="17" t="str">
        <x:v>Not contacted</x:v>
      </x:c>
      <x:c r="K159" s="17" t="str">
        <x:v>Unknown</x:v>
      </x:c>
      <x:c r="L159" s="2" t="str">
        <x:f>IF(A159="","",IF(COUNTIFS($A$8:$A$507,A159)&lt;&gt;1,"Duplicate ID",IF(COUNTIFS(Data!$A$2:$A$501,A159)&lt;&gt;1,"Not current","Current")))</x:f>
        <x:v>Current</x:v>
      </x:c>
    </x:row>
    <x:row r="160" ht="32" customHeight="1">
      <x:c r="A160" s="2" t="str">
        <x:v>7320</x:v>
      </x:c>
      <x:c r="B160" s="20" t="str">
        <x:f>IF(A160="","",IF(COUNTIFS(Data!$A$2:$A$501,A160)=1,INDEX(Data!$B$2:$B$501,MATCH(A160,Data!$A$2:$A$501,0)),"Not in current directory"))</x:f>
        <x:v>Julia W. Howe School</x:v>
      </x:c>
      <x:c r="C160" s="17" t="str">
        <x:v>No</x:v>
      </x:c>
      <x:c r="D160" s="17"/>
      <x:c r="E160" s="18"/>
      <x:c r="F160" s="17"/>
      <x:c r="G160" s="18"/>
      <x:c r="H160" s="17" t="str"/>
      <x:c r="I160" s="17" t="str"/>
      <x:c r="J160" s="17" t="str">
        <x:v>Not contacted</x:v>
      </x:c>
      <x:c r="K160" s="17" t="str">
        <x:v>Unknown</x:v>
      </x:c>
      <x:c r="L160" s="2" t="str">
        <x:f>IF(A160="","",IF(COUNTIFS($A$8:$A$507,A160)&lt;&gt;1,"Duplicate ID",IF(COUNTIFS(Data!$A$2:$A$501,A160)&lt;&gt;1,"Not current","Current")))</x:f>
        <x:v>Current</x:v>
      </x:c>
    </x:row>
    <x:row r="161" ht="32" customHeight="1">
      <x:c r="A161" s="2" t="str">
        <x:v>7150</x:v>
      </x:c>
      <x:c r="B161" s="20" t="str">
        <x:f>IF(A161="","",IF(COUNTIFS(Data!$A$2:$A$501,A161)=1,INDEX(Data!$B$2:$B$501,MATCH(A161,Data!$A$2:$A$501,0)),"Not in current directory"))</x:f>
        <x:v>Juniata Park Academy</x:v>
      </x:c>
      <x:c r="C161" s="17" t="str">
        <x:v>No</x:v>
      </x:c>
      <x:c r="D161" s="17"/>
      <x:c r="E161" s="18"/>
      <x:c r="F161" s="17"/>
      <x:c r="G161" s="18"/>
      <x:c r="H161" s="17" t="str"/>
      <x:c r="I161" s="17" t="str"/>
      <x:c r="J161" s="17" t="str">
        <x:v>Not contacted</x:v>
      </x:c>
      <x:c r="K161" s="17" t="str">
        <x:v>Unknown</x:v>
      </x:c>
      <x:c r="L161" s="2" t="str">
        <x:f>IF(A161="","",IF(COUNTIFS($A$8:$A$507,A161)&lt;&gt;1,"Duplicate ID",IF(COUNTIFS(Data!$A$2:$A$501,A161)&lt;&gt;1,"Not current","Current")))</x:f>
        <x:v>Current</x:v>
      </x:c>
    </x:row>
    <x:row r="162" ht="32" customHeight="1">
      <x:c r="A162" s="2" t="str">
        <x:v>4360</x:v>
      </x:c>
      <x:c r="B162" s="20" t="str">
        <x:f>IF(A162="","",IF(COUNTIFS(Data!$A$2:$A$501,A162)=1,INDEX(Data!$B$2:$B$501,MATCH(A162,Data!$A$2:$A$501,0)),"Not in current directory"))</x:f>
        <x:v>Kenderton School</x:v>
      </x:c>
      <x:c r="C162" s="17" t="str">
        <x:v>No</x:v>
      </x:c>
      <x:c r="D162" s="17"/>
      <x:c r="E162" s="18"/>
      <x:c r="F162" s="17"/>
      <x:c r="G162" s="18"/>
      <x:c r="H162" s="17" t="str"/>
      <x:c r="I162" s="17" t="str"/>
      <x:c r="J162" s="17" t="str">
        <x:v>Not contacted</x:v>
      </x:c>
      <x:c r="K162" s="17" t="str">
        <x:v>Unknown</x:v>
      </x:c>
      <x:c r="L162" s="2" t="str">
        <x:f>IF(A162="","",IF(COUNTIFS($A$8:$A$507,A162)&lt;&gt;1,"Duplicate ID",IF(COUNTIFS(Data!$A$2:$A$501,A162)&lt;&gt;1,"Not current","Current")))</x:f>
        <x:v>Current</x:v>
      </x:c>
    </x:row>
    <x:row r="163" ht="32" customHeight="1">
      <x:c r="A163" s="2" t="str">
        <x:v>8230</x:v>
      </x:c>
      <x:c r="B163" s="20" t="str">
        <x:f>IF(A163="","",IF(COUNTIFS(Data!$A$2:$A$501,A163)=1,INDEX(Data!$B$2:$B$501,MATCH(A163,Data!$A$2:$A$501,0)),"Not in current directory"))</x:f>
        <x:v>Kennedy C. Crossan School</x:v>
      </x:c>
      <x:c r="C163" s="17" t="str">
        <x:v>No</x:v>
      </x:c>
      <x:c r="D163" s="17"/>
      <x:c r="E163" s="18"/>
      <x:c r="F163" s="17"/>
      <x:c r="G163" s="18"/>
      <x:c r="H163" s="17" t="str"/>
      <x:c r="I163" s="17" t="str"/>
      <x:c r="J163" s="17" t="str">
        <x:v>Not contacted</x:v>
      </x:c>
      <x:c r="K163" s="17" t="str">
        <x:v>Unknown</x:v>
      </x:c>
      <x:c r="L163" s="2" t="str">
        <x:f>IF(A163="","",IF(COUNTIFS($A$8:$A$507,A163)&lt;&gt;1,"Duplicate ID",IF(COUNTIFS(Data!$A$2:$A$501,A163)&lt;&gt;1,"Not current","Current")))</x:f>
        <x:v>Current</x:v>
      </x:c>
    </x:row>
    <x:row r="164" ht="32" customHeight="1">
      <x:c r="A164" s="2" t="str">
        <x:v>5550</x:v>
      </x:c>
      <x:c r="B164" s="20" t="str">
        <x:f>IF(A164="","",IF(COUNTIFS(Data!$A$2:$A$501,A164)=1,INDEX(Data!$B$2:$B$501,MATCH(A164,Data!$A$2:$A$501,0)),"Not in current directory"))</x:f>
        <x:v>Kensington Health Sciences Academy</x:v>
      </x:c>
      <x:c r="C164" s="17" t="str">
        <x:v>No</x:v>
      </x:c>
      <x:c r="D164" s="17"/>
      <x:c r="E164" s="18"/>
      <x:c r="F164" s="17"/>
      <x:c r="G164" s="18"/>
      <x:c r="H164" s="17" t="str"/>
      <x:c r="I164" s="17" t="str"/>
      <x:c r="J164" s="17" t="str">
        <x:v>Not contacted</x:v>
      </x:c>
      <x:c r="K164" s="17" t="str">
        <x:v>Unknown</x:v>
      </x:c>
      <x:c r="L164" s="2" t="str">
        <x:f>IF(A164="","",IF(COUNTIFS($A$8:$A$507,A164)&lt;&gt;1,"Duplicate ID",IF(COUNTIFS(Data!$A$2:$A$501,A164)&lt;&gt;1,"Not current","Current")))</x:f>
        <x:v>Current</x:v>
      </x:c>
    </x:row>
    <x:row r="165" ht="32" customHeight="1">
      <x:c r="A165" s="2" t="str">
        <x:v>5700</x:v>
      </x:c>
      <x:c r="B165" s="20" t="str">
        <x:f>IF(A165="","",IF(COUNTIFS(Data!$A$2:$A$501,A165)=1,INDEX(Data!$B$2:$B$501,MATCH(A165,Data!$A$2:$A$501,0)),"Not in current directory"))</x:f>
        <x:v>Kensington High School</x:v>
      </x:c>
      <x:c r="C165" s="17" t="str">
        <x:v>No</x:v>
      </x:c>
      <x:c r="D165" s="17"/>
      <x:c r="E165" s="18"/>
      <x:c r="F165" s="17"/>
      <x:c r="G165" s="18"/>
      <x:c r="H165" s="17" t="str"/>
      <x:c r="I165" s="17" t="str"/>
      <x:c r="J165" s="17" t="str">
        <x:v>Not contacted</x:v>
      </x:c>
      <x:c r="K165" s="17" t="str">
        <x:v>Unknown</x:v>
      </x:c>
      <x:c r="L165" s="2" t="str">
        <x:f>IF(A165="","",IF(COUNTIFS($A$8:$A$507,A165)&lt;&gt;1,"Duplicate ID",IF(COUNTIFS(Data!$A$2:$A$501,A165)&lt;&gt;1,"Not current","Current")))</x:f>
        <x:v>Current</x:v>
      </x:c>
    </x:row>
    <x:row r="166" ht="32" customHeight="1">
      <x:c r="A166" s="2" t="str">
        <x:v>5520</x:v>
      </x:c>
      <x:c r="B166" s="20" t="str">
        <x:f>IF(A166="","",IF(COUNTIFS(Data!$A$2:$A$501,A166)=1,INDEX(Data!$B$2:$B$501,MATCH(A166,Data!$A$2:$A$501,0)),"Not in current directory"))</x:f>
        <x:v>Kensington High School for Creative and Performing Arts</x:v>
      </x:c>
      <x:c r="C166" s="17" t="str">
        <x:v>No</x:v>
      </x:c>
      <x:c r="D166" s="17"/>
      <x:c r="E166" s="18"/>
      <x:c r="F166" s="17"/>
      <x:c r="G166" s="18"/>
      <x:c r="H166" s="17" t="str"/>
      <x:c r="I166" s="17" t="str"/>
      <x:c r="J166" s="17" t="str">
        <x:v>Not contacted</x:v>
      </x:c>
      <x:c r="K166" s="17" t="str">
        <x:v>Unknown</x:v>
      </x:c>
      <x:c r="L166" s="2" t="str">
        <x:f>IF(A166="","",IF(COUNTIFS($A$8:$A$507,A166)&lt;&gt;1,"Duplicate ID",IF(COUNTIFS(Data!$A$2:$A$501,A166)&lt;&gt;1,"Not current","Current")))</x:f>
        <x:v>Current</x:v>
      </x:c>
    </x:row>
    <x:row r="167" ht="32" customHeight="1">
      <x:c r="A167" s="2" t="str">
        <x:v>3389</x:v>
      </x:c>
      <x:c r="B167" s="20" t="str">
        <x:f>IF(A167="","",IF(COUNTIFS(Data!$A$2:$A$501,A167)=1,INDEX(Data!$B$2:$B$501,MATCH(A167,Data!$A$2:$A$501,0)),"Not in current directory"))</x:f>
        <x:v>Keystone Academy Charter School</x:v>
      </x:c>
      <x:c r="C167" s="17" t="str">
        <x:v>No</x:v>
      </x:c>
      <x:c r="D167" s="17"/>
      <x:c r="E167" s="18"/>
      <x:c r="F167" s="17"/>
      <x:c r="G167" s="18"/>
      <x:c r="H167" s="17" t="str"/>
      <x:c r="I167" s="17" t="str"/>
      <x:c r="J167" s="17" t="str">
        <x:v>Not contacted</x:v>
      </x:c>
      <x:c r="K167" s="17" t="str">
        <x:v>Unknown</x:v>
      </x:c>
      <x:c r="L167" s="2" t="str">
        <x:f>IF(A167="","",IF(COUNTIFS($A$8:$A$507,A167)&lt;&gt;1,"Duplicate ID",IF(COUNTIFS(Data!$A$2:$A$501,A167)&lt;&gt;1,"Not current","Current")))</x:f>
        <x:v>Current</x:v>
      </x:c>
    </x:row>
    <x:row r="168" ht="32" customHeight="1">
      <x:c r="A168" s="2" t="str">
        <x:v>3353</x:v>
      </x:c>
      <x:c r="B168" s="20" t="str">
        <x:f>IF(A168="","",IF(COUNTIFS(Data!$A$2:$A$501,A168)=1,INDEX(Data!$B$2:$B$501,MATCH(A168,Data!$A$2:$A$501,0)),"Not in current directory"))</x:f>
        <x:v>KIPP DuBois Charter School</x:v>
      </x:c>
      <x:c r="C168" s="17" t="str">
        <x:v>No</x:v>
      </x:c>
      <x:c r="D168" s="17"/>
      <x:c r="E168" s="18"/>
      <x:c r="F168" s="17"/>
      <x:c r="G168" s="18"/>
      <x:c r="H168" s="17" t="str"/>
      <x:c r="I168" s="17" t="str"/>
      <x:c r="J168" s="17" t="str">
        <x:v>Not contacted</x:v>
      </x:c>
      <x:c r="K168" s="17" t="str">
        <x:v>Unknown</x:v>
      </x:c>
      <x:c r="L168" s="2" t="str">
        <x:f>IF(A168="","",IF(COUNTIFS($A$8:$A$507,A168)&lt;&gt;1,"Duplicate ID",IF(COUNTIFS(Data!$A$2:$A$501,A168)&lt;&gt;1,"Not current","Current")))</x:f>
        <x:v>Current</x:v>
      </x:c>
    </x:row>
    <x:row r="169" ht="32" customHeight="1">
      <x:c r="A169" s="2" t="str">
        <x:v>3437</x:v>
      </x:c>
      <x:c r="B169" s="20" t="str">
        <x:f>IF(A169="","",IF(COUNTIFS(Data!$A$2:$A$501,A169)=1,INDEX(Data!$B$2:$B$501,MATCH(A169,Data!$A$2:$A$501,0)),"Not in current directory"))</x:f>
        <x:v>KIPP North Philadelphia Charter School</x:v>
      </x:c>
      <x:c r="C169" s="17" t="str">
        <x:v>No</x:v>
      </x:c>
      <x:c r="D169" s="17"/>
      <x:c r="E169" s="18"/>
      <x:c r="F169" s="17"/>
      <x:c r="G169" s="18"/>
      <x:c r="H169" s="17" t="str"/>
      <x:c r="I169" s="17" t="str"/>
      <x:c r="J169" s="17" t="str">
        <x:v>Not contacted</x:v>
      </x:c>
      <x:c r="K169" s="17" t="str">
        <x:v>Unknown</x:v>
      </x:c>
      <x:c r="L169" s="2" t="str">
        <x:f>IF(A169="","",IF(COUNTIFS($A$8:$A$507,A169)&lt;&gt;1,"Duplicate ID",IF(COUNTIFS(Data!$A$2:$A$501,A169)&lt;&gt;1,"Not current","Current")))</x:f>
        <x:v>Current</x:v>
      </x:c>
    </x:row>
    <x:row r="170" ht="32" customHeight="1">
      <x:c r="A170" s="2" t="str">
        <x:v>3436</x:v>
      </x:c>
      <x:c r="B170" s="20" t="str">
        <x:f>IF(A170="","",IF(COUNTIFS(Data!$A$2:$A$501,A170)=1,INDEX(Data!$B$2:$B$501,MATCH(A170,Data!$A$2:$A$501,0)),"Not in current directory"))</x:f>
        <x:v>KIPP Octavius Catto Charter School</x:v>
      </x:c>
      <x:c r="C170" s="17" t="str">
        <x:v>No</x:v>
      </x:c>
      <x:c r="D170" s="17"/>
      <x:c r="E170" s="18"/>
      <x:c r="F170" s="17"/>
      <x:c r="G170" s="18"/>
      <x:c r="H170" s="17" t="str"/>
      <x:c r="I170" s="17" t="str"/>
      <x:c r="J170" s="17" t="str">
        <x:v>Not contacted</x:v>
      </x:c>
      <x:c r="K170" s="17" t="str">
        <x:v>Unknown</x:v>
      </x:c>
      <x:c r="L170" s="2" t="str">
        <x:f>IF(A170="","",IF(COUNTIFS($A$8:$A$507,A170)&lt;&gt;1,"Duplicate ID",IF(COUNTIFS(Data!$A$2:$A$501,A170)&lt;&gt;1,"Not current","Current")))</x:f>
        <x:v>Current</x:v>
      </x:c>
    </x:row>
    <x:row r="171" ht="32" customHeight="1">
      <x:c r="A171" s="2" t="str">
        <x:v>3370</x:v>
      </x:c>
      <x:c r="B171" s="20" t="str">
        <x:f>IF(A171="","",IF(COUNTIFS(Data!$A$2:$A$501,A171)=1,INDEX(Data!$B$2:$B$501,MATCH(A171,Data!$A$2:$A$501,0)),"Not in current directory"))</x:f>
        <x:v>KIPP Philadelphia Charter School</x:v>
      </x:c>
      <x:c r="C171" s="17" t="str">
        <x:v>No</x:v>
      </x:c>
      <x:c r="D171" s="17"/>
      <x:c r="E171" s="18"/>
      <x:c r="F171" s="17"/>
      <x:c r="G171" s="18"/>
      <x:c r="H171" s="17" t="str"/>
      <x:c r="I171" s="17" t="str"/>
      <x:c r="J171" s="17" t="str">
        <x:v>Not contacted</x:v>
      </x:c>
      <x:c r="K171" s="17" t="str">
        <x:v>Unknown</x:v>
      </x:c>
      <x:c r="L171" s="2" t="str">
        <x:f>IF(A171="","",IF(COUNTIFS($A$8:$A$507,A171)&lt;&gt;1,"Duplicate ID",IF(COUNTIFS(Data!$A$2:$A$501,A171)&lt;&gt;1,"Not current","Current")))</x:f>
        <x:v>Current</x:v>
      </x:c>
    </x:row>
    <x:row r="172" ht="32" customHeight="1">
      <x:c r="A172" s="2" t="str">
        <x:v>3443</x:v>
      </x:c>
      <x:c r="B172" s="20" t="str">
        <x:f>IF(A172="","",IF(COUNTIFS(Data!$A$2:$A$501,A172)=1,INDEX(Data!$B$2:$B$501,MATCH(A172,Data!$A$2:$A$501,0)),"Not in current directory"))</x:f>
        <x:v>KIPP West Philadelphia Charter School</x:v>
      </x:c>
      <x:c r="C172" s="17" t="str">
        <x:v>No</x:v>
      </x:c>
      <x:c r="D172" s="17"/>
      <x:c r="E172" s="18"/>
      <x:c r="F172" s="17"/>
      <x:c r="G172" s="18"/>
      <x:c r="H172" s="17" t="str"/>
      <x:c r="I172" s="17" t="str"/>
      <x:c r="J172" s="17" t="str">
        <x:v>Not contacted</x:v>
      </x:c>
      <x:c r="K172" s="17" t="str">
        <x:v>Unknown</x:v>
      </x:c>
      <x:c r="L172" s="2" t="str">
        <x:f>IF(A172="","",IF(COUNTIFS($A$8:$A$507,A172)&lt;&gt;1,"Duplicate ID",IF(COUNTIFS(Data!$A$2:$A$501,A172)&lt;&gt;1,"Not current","Current")))</x:f>
        <x:v>Current</x:v>
      </x:c>
    </x:row>
    <x:row r="173" ht="32" customHeight="1">
      <x:c r="A173" s="2" t="str">
        <x:v>3310</x:v>
      </x:c>
      <x:c r="B173" s="20" t="str">
        <x:f>IF(A173="","",IF(COUNTIFS(Data!$A$2:$A$501,A173)=1,INDEX(Data!$B$2:$B$501,MATCH(A173,Data!$A$2:$A$501,0)),"Not in current directory"))</x:f>
        <x:v>Laboratory Charter School of Communication and Languages</x:v>
      </x:c>
      <x:c r="C173" s="17" t="str">
        <x:v>No</x:v>
      </x:c>
      <x:c r="D173" s="17"/>
      <x:c r="E173" s="18"/>
      <x:c r="F173" s="17"/>
      <x:c r="G173" s="18"/>
      <x:c r="H173" s="17" t="str"/>
      <x:c r="I173" s="17" t="str"/>
      <x:c r="J173" s="17" t="str">
        <x:v>Not contacted</x:v>
      </x:c>
      <x:c r="K173" s="17" t="str">
        <x:v>Unknown</x:v>
      </x:c>
      <x:c r="L173" s="2" t="str">
        <x:f>IF(A173="","",IF(COUNTIFS($A$8:$A$507,A173)&lt;&gt;1,"Duplicate ID",IF(COUNTIFS(Data!$A$2:$A$501,A173)&lt;&gt;1,"Not current","Current")))</x:f>
        <x:v>Current</x:v>
      </x:c>
    </x:row>
    <x:row r="174" ht="32" customHeight="1">
      <x:c r="A174" s="2" t="str">
        <x:v>6540</x:v>
      </x:c>
      <x:c r="B174" s="20" t="str">
        <x:f>IF(A174="","",IF(COUNTIFS(Data!$A$2:$A$501,A174)=1,INDEX(Data!$B$2:$B$501,MATCH(A174,Data!$A$2:$A$501,0)),"Not in current directory"))</x:f>
        <x:v>Lankenau High School</x:v>
      </x:c>
      <x:c r="C174" s="17" t="str">
        <x:v>No</x:v>
      </x:c>
      <x:c r="D174" s="17"/>
      <x:c r="E174" s="18"/>
      <x:c r="F174" s="17"/>
      <x:c r="G174" s="18"/>
      <x:c r="H174" s="17" t="str"/>
      <x:c r="I174" s="17" t="str"/>
      <x:c r="J174" s="17" t="str">
        <x:v>Not contacted</x:v>
      </x:c>
      <x:c r="K174" s="17" t="str">
        <x:v>Unknown</x:v>
      </x:c>
      <x:c r="L174" s="2" t="str">
        <x:f>IF(A174="","",IF(COUNTIFS($A$8:$A$507,A174)&lt;&gt;1,"Duplicate ID",IF(COUNTIFS(Data!$A$2:$A$501,A174)&lt;&gt;1,"Not current","Current")))</x:f>
        <x:v>Current</x:v>
      </x:c>
    </x:row>
    <x:row r="175" ht="32" customHeight="1">
      <x:c r="A175" s="2" t="str">
        <x:v>7220</x:v>
      </x:c>
      <x:c r="B175" s="20" t="str">
        <x:f>IF(A175="","",IF(COUNTIFS(Data!$A$2:$A$501,A175)=1,INDEX(Data!$B$2:$B$501,MATCH(A175,Data!$A$2:$A$501,0)),"Not in current directory"))</x:f>
        <x:v>Laura H. Carnell School</x:v>
      </x:c>
      <x:c r="C175" s="17" t="str">
        <x:v>No</x:v>
      </x:c>
      <x:c r="D175" s="17"/>
      <x:c r="E175" s="18"/>
      <x:c r="F175" s="17"/>
      <x:c r="G175" s="18"/>
      <x:c r="H175" s="17" t="str"/>
      <x:c r="I175" s="17" t="str"/>
      <x:c r="J175" s="17" t="str">
        <x:v>Not contacted</x:v>
      </x:c>
      <x:c r="K175" s="17" t="str">
        <x:v>Unknown</x:v>
      </x:c>
      <x:c r="L175" s="2" t="str">
        <x:f>IF(A175="","",IF(COUNTIFS($A$8:$A$507,A175)&lt;&gt;1,"Duplicate ID",IF(COUNTIFS(Data!$A$2:$A$501,A175)&lt;&gt;1,"Not current","Current")))</x:f>
        <x:v>Current</x:v>
      </x:c>
    </x:row>
    <x:row r="176" ht="32" customHeight="1">
      <x:c r="A176" s="2" t="str">
        <x:v>2490</x:v>
      </x:c>
      <x:c r="B176" s="20" t="str">
        <x:f>IF(A176="","",IF(COUNTIFS(Data!$A$2:$A$501,A176)=1,INDEX(Data!$B$2:$B$501,MATCH(A176,Data!$A$2:$A$501,0)),"Not in current directory"))</x:f>
        <x:v>Laura W. Waring School</x:v>
      </x:c>
      <x:c r="C176" s="17" t="str">
        <x:v>No</x:v>
      </x:c>
      <x:c r="D176" s="17"/>
      <x:c r="E176" s="18"/>
      <x:c r="F176" s="17"/>
      <x:c r="G176" s="18"/>
      <x:c r="H176" s="17" t="str"/>
      <x:c r="I176" s="17" t="str"/>
      <x:c r="J176" s="17" t="str">
        <x:v>Not contacted</x:v>
      </x:c>
      <x:c r="K176" s="17" t="str">
        <x:v>Unknown</x:v>
      </x:c>
      <x:c r="L176" s="2" t="str">
        <x:f>IF(A176="","",IF(COUNTIFS($A$8:$A$507,A176)&lt;&gt;1,"Duplicate ID",IF(COUNTIFS(Data!$A$2:$A$501,A176)&lt;&gt;1,"Not current","Current")))</x:f>
        <x:v>Current</x:v>
      </x:c>
    </x:row>
    <x:row r="177" ht="32" customHeight="1">
      <x:c r="A177" s="2" t="str">
        <x:v>4240</x:v>
      </x:c>
      <x:c r="B177" s="20" t="str">
        <x:f>IF(A177="","",IF(COUNTIFS(Data!$A$2:$A$501,A177)=1,INDEX(Data!$B$2:$B$501,MATCH(A177,Data!$A$2:$A$501,0)),"Not in current directory"))</x:f>
        <x:v>Lewis C. Cassidy Academics Plus School</x:v>
      </x:c>
      <x:c r="C177" s="17" t="str">
        <x:v>No</x:v>
      </x:c>
      <x:c r="D177" s="17"/>
      <x:c r="E177" s="18"/>
      <x:c r="F177" s="17"/>
      <x:c r="G177" s="18"/>
      <x:c r="H177" s="17" t="str"/>
      <x:c r="I177" s="17" t="str"/>
      <x:c r="J177" s="17" t="str">
        <x:v>Not contacted</x:v>
      </x:c>
      <x:c r="K177" s="17" t="str">
        <x:v>Unknown</x:v>
      </x:c>
      <x:c r="L177" s="2" t="str">
        <x:f>IF(A177="","",IF(COUNTIFS($A$8:$A$507,A177)&lt;&gt;1,"Duplicate ID",IF(COUNTIFS(Data!$A$2:$A$501,A177)&lt;&gt;1,"Not current","Current")))</x:f>
        <x:v>Current</x:v>
      </x:c>
    </x:row>
    <x:row r="178" ht="32" customHeight="1">
      <x:c r="A178" s="2" t="str">
        <x:v>5260</x:v>
      </x:c>
      <x:c r="B178" s="20" t="str">
        <x:f>IF(A178="","",IF(COUNTIFS(Data!$A$2:$A$501,A178)=1,INDEX(Data!$B$2:$B$501,MATCH(A178,Data!$A$2:$A$501,0)),"Not in current directory"))</x:f>
        <x:v>Lewis Elkin School</x:v>
      </x:c>
      <x:c r="C178" s="17" t="str">
        <x:v>No</x:v>
      </x:c>
      <x:c r="D178" s="17"/>
      <x:c r="E178" s="18"/>
      <x:c r="F178" s="17"/>
      <x:c r="G178" s="18"/>
      <x:c r="H178" s="17" t="str"/>
      <x:c r="I178" s="17" t="str"/>
      <x:c r="J178" s="17" t="str">
        <x:v>Not contacted</x:v>
      </x:c>
      <x:c r="K178" s="17" t="str">
        <x:v>Unknown</x:v>
      </x:c>
      <x:c r="L178" s="2" t="str">
        <x:f>IF(A178="","",IF(COUNTIFS($A$8:$A$507,A178)&lt;&gt;1,"Duplicate ID",IF(COUNTIFS(Data!$A$2:$A$501,A178)&lt;&gt;1,"Not current","Current")))</x:f>
        <x:v>Current</x:v>
      </x:c>
    </x:row>
    <x:row r="179" ht="32" customHeight="1">
      <x:c r="A179" s="2" t="str">
        <x:v>8380</x:v>
      </x:c>
      <x:c r="B179" s="20" t="str">
        <x:f>IF(A179="","",IF(COUNTIFS(Data!$A$2:$A$501,A179)=1,INDEX(Data!$B$2:$B$501,MATCH(A179,Data!$A$2:$A$501,0)),"Not in current directory"))</x:f>
        <x:v>Louis H. Farrell School</x:v>
      </x:c>
      <x:c r="C179" s="17" t="str">
        <x:v>No</x:v>
      </x:c>
      <x:c r="D179" s="17"/>
      <x:c r="E179" s="18"/>
      <x:c r="F179" s="17"/>
      <x:c r="G179" s="18"/>
      <x:c r="H179" s="17" t="str"/>
      <x:c r="I179" s="17" t="str"/>
      <x:c r="J179" s="17" t="str">
        <x:v>Not contacted</x:v>
      </x:c>
      <x:c r="K179" s="17" t="str">
        <x:v>Unknown</x:v>
      </x:c>
      <x:c r="L179" s="2" t="str">
        <x:f>IF(A179="","",IF(COUNTIFS($A$8:$A$507,A179)&lt;&gt;1,"Duplicate ID",IF(COUNTIFS(Data!$A$2:$A$501,A179)&lt;&gt;1,"Not current","Current")))</x:f>
        <x:v>Current</x:v>
      </x:c>
    </x:row>
    <x:row r="180" ht="32" customHeight="1">
      <x:c r="A180" s="2" t="str">
        <x:v>2480</x:v>
      </x:c>
      <x:c r="B180" s="20" t="str">
        <x:f>IF(A180="","",IF(COUNTIFS(Data!$A$2:$A$501,A180)=1,INDEX(Data!$B$2:$B$501,MATCH(A180,Data!$A$2:$A$501,0)),"Not in current directory"))</x:f>
        <x:v>Marian Anderson Neighborhood Academy</x:v>
      </x:c>
      <x:c r="C180" s="17" t="str">
        <x:v>No</x:v>
      </x:c>
      <x:c r="D180" s="17"/>
      <x:c r="E180" s="18"/>
      <x:c r="F180" s="17"/>
      <x:c r="G180" s="18"/>
      <x:c r="H180" s="17" t="str"/>
      <x:c r="I180" s="17" t="str"/>
      <x:c r="J180" s="17" t="str">
        <x:v>Not contacted</x:v>
      </x:c>
      <x:c r="K180" s="17" t="str">
        <x:v>Unknown</x:v>
      </x:c>
      <x:c r="L180" s="2" t="str">
        <x:f>IF(A180="","",IF(COUNTIFS($A$8:$A$507,A180)&lt;&gt;1,"Duplicate ID",IF(COUNTIFS(Data!$A$2:$A$501,A180)&lt;&gt;1,"Not current","Current")))</x:f>
        <x:v>Current</x:v>
      </x:c>
    </x:row>
    <x:row r="181" ht="32" customHeight="1">
      <x:c r="A181" s="2" t="str">
        <x:v>3332</x:v>
      </x:c>
      <x:c r="B181" s="20" t="str">
        <x:f>IF(A181="","",IF(COUNTIFS(Data!$A$2:$A$501,A181)=1,INDEX(Data!$B$2:$B$501,MATCH(A181,Data!$A$2:$A$501,0)),"Not in current directory"))</x:f>
        <x:v>Mariana Bracetti Academy Charter School</x:v>
      </x:c>
      <x:c r="C181" s="17" t="str">
        <x:v>No</x:v>
      </x:c>
      <x:c r="D181" s="17"/>
      <x:c r="E181" s="18"/>
      <x:c r="F181" s="17"/>
      <x:c r="G181" s="18"/>
      <x:c r="H181" s="17" t="str"/>
      <x:c r="I181" s="17" t="str"/>
      <x:c r="J181" s="17" t="str">
        <x:v>Not contacted</x:v>
      </x:c>
      <x:c r="K181" s="17" t="str">
        <x:v>Unknown</x:v>
      </x:c>
      <x:c r="L181" s="2" t="str">
        <x:f>IF(A181="","",IF(COUNTIFS($A$8:$A$507,A181)&lt;&gt;1,"Duplicate ID",IF(COUNTIFS(Data!$A$2:$A$501,A181)&lt;&gt;1,"Not current","Current")))</x:f>
        <x:v>Current</x:v>
      </x:c>
    </x:row>
    <x:row r="182" ht="32" customHeight="1">
      <x:c r="A182" s="2" t="str">
        <x:v>3366</x:v>
      </x:c>
      <x:c r="B182" s="20" t="str">
        <x:f>IF(A182="","",IF(COUNTIFS(Data!$A$2:$A$501,A182)=1,INDEX(Data!$B$2:$B$501,MATCH(A182,Data!$A$2:$A$501,0)),"Not in current directory"))</x:f>
        <x:v>Maritime Academy Charter School</x:v>
      </x:c>
      <x:c r="C182" s="17" t="str">
        <x:v>No</x:v>
      </x:c>
      <x:c r="D182" s="17"/>
      <x:c r="E182" s="18"/>
      <x:c r="F182" s="17"/>
      <x:c r="G182" s="18"/>
      <x:c r="H182" s="17" t="str"/>
      <x:c r="I182" s="17" t="str"/>
      <x:c r="J182" s="17" t="str">
        <x:v>Not contacted</x:v>
      </x:c>
      <x:c r="K182" s="17" t="str">
        <x:v>Unknown</x:v>
      </x:c>
      <x:c r="L182" s="2" t="str">
        <x:f>IF(A182="","",IF(COUNTIFS($A$8:$A$507,A182)&lt;&gt;1,"Duplicate ID",IF(COUNTIFS(Data!$A$2:$A$501,A182)&lt;&gt;1,"Not current","Current")))</x:f>
        <x:v>Current</x:v>
      </x:c>
    </x:row>
    <x:row r="183" ht="32" customHeight="1">
      <x:c r="A183" s="2" t="str">
        <x:v>1420</x:v>
      </x:c>
      <x:c r="B183" s="20" t="str">
        <x:f>IF(A183="","",IF(COUNTIFS(Data!$A$2:$A$501,A183)=1,INDEX(Data!$B$2:$B$501,MATCH(A183,Data!$A$2:$A$501,0)),"Not in current directory"))</x:f>
        <x:v>Martha Washington School</x:v>
      </x:c>
      <x:c r="C183" s="17" t="str">
        <x:v>No</x:v>
      </x:c>
      <x:c r="D183" s="17"/>
      <x:c r="E183" s="18"/>
      <x:c r="F183" s="17"/>
      <x:c r="G183" s="18"/>
      <x:c r="H183" s="17" t="str"/>
      <x:c r="I183" s="17" t="str"/>
      <x:c r="J183" s="17" t="str">
        <x:v>Not contacted</x:v>
      </x:c>
      <x:c r="K183" s="17" t="str">
        <x:v>Unknown</x:v>
      </x:c>
      <x:c r="L183" s="2" t="str">
        <x:f>IF(A183="","",IF(COUNTIFS($A$8:$A$507,A183)&lt;&gt;1,"Duplicate ID",IF(COUNTIFS(Data!$A$2:$A$501,A183)&lt;&gt;1,"Not current","Current")))</x:f>
        <x:v>Current</x:v>
      </x:c>
    </x:row>
    <x:row r="184" ht="32" customHeight="1">
      <x:c r="A184" s="2" t="str">
        <x:v>6060</x:v>
      </x:c>
      <x:c r="B184" s="20" t="str">
        <x:f>IF(A184="","",IF(COUNTIFS(Data!$A$2:$A$501,A184)=1,INDEX(Data!$B$2:$B$501,MATCH(A184,Data!$A$2:$A$501,0)),"Not in current directory"))</x:f>
        <x:v>Martin Luther King High School</x:v>
      </x:c>
      <x:c r="C184" s="17" t="str">
        <x:v>No</x:v>
      </x:c>
      <x:c r="D184" s="17"/>
      <x:c r="E184" s="18"/>
      <x:c r="F184" s="17"/>
      <x:c r="G184" s="18"/>
      <x:c r="H184" s="17" t="str"/>
      <x:c r="I184" s="17" t="str"/>
      <x:c r="J184" s="17" t="str">
        <x:v>Not contacted</x:v>
      </x:c>
      <x:c r="K184" s="17" t="str">
        <x:v>Unknown</x:v>
      </x:c>
      <x:c r="L184" s="2" t="str">
        <x:f>IF(A184="","",IF(COUNTIFS($A$8:$A$507,A184)&lt;&gt;1,"Duplicate ID",IF(COUNTIFS(Data!$A$2:$A$501,A184)&lt;&gt;1,"Not current","Current")))</x:f>
        <x:v>Current</x:v>
      </x:c>
    </x:row>
    <x:row r="185" ht="32" customHeight="1">
      <x:c r="A185" s="2" t="str">
        <x:v>7510</x:v>
      </x:c>
      <x:c r="B185" s="20" t="str">
        <x:f>IF(A185="","",IF(COUNTIFS(Data!$A$2:$A$501,A185)=1,INDEX(Data!$B$2:$B$501,MATCH(A185,Data!$A$2:$A$501,0)),"Not in current directory"))</x:f>
        <x:v>Mary M. Bethune School</x:v>
      </x:c>
      <x:c r="C185" s="17" t="str">
        <x:v>No</x:v>
      </x:c>
      <x:c r="D185" s="17"/>
      <x:c r="E185" s="18"/>
      <x:c r="F185" s="17"/>
      <x:c r="G185" s="18"/>
      <x:c r="H185" s="17" t="str"/>
      <x:c r="I185" s="17" t="str"/>
      <x:c r="J185" s="17" t="str">
        <x:v>Not contacted</x:v>
      </x:c>
      <x:c r="K185" s="17" t="str">
        <x:v>Unknown</x:v>
      </x:c>
      <x:c r="L185" s="2" t="str">
        <x:f>IF(A185="","",IF(COUNTIFS($A$8:$A$507,A185)&lt;&gt;1,"Duplicate ID",IF(COUNTIFS(Data!$A$2:$A$501,A185)&lt;&gt;1,"Not current","Current")))</x:f>
        <x:v>Current</x:v>
      </x:c>
    </x:row>
    <x:row r="186" ht="32" customHeight="1">
      <x:c r="A186" s="2" t="str">
        <x:v>3440</x:v>
      </x:c>
      <x:c r="B186" s="20" t="str">
        <x:f>IF(A186="","",IF(COUNTIFS(Data!$A$2:$A$501,A186)=1,INDEX(Data!$B$2:$B$501,MATCH(A186,Data!$A$2:$A$501,0)),"Not in current directory"))</x:f>
        <x:v>MaST Community Charter School II</x:v>
      </x:c>
      <x:c r="C186" s="17" t="str">
        <x:v>No</x:v>
      </x:c>
      <x:c r="D186" s="17"/>
      <x:c r="E186" s="18"/>
      <x:c r="F186" s="17"/>
      <x:c r="G186" s="18"/>
      <x:c r="H186" s="17" t="str"/>
      <x:c r="I186" s="17" t="str"/>
      <x:c r="J186" s="17" t="str">
        <x:v>Not contacted</x:v>
      </x:c>
      <x:c r="K186" s="17" t="str">
        <x:v>Unknown</x:v>
      </x:c>
      <x:c r="L186" s="2" t="str">
        <x:f>IF(A186="","",IF(COUNTIFS($A$8:$A$507,A186)&lt;&gt;1,"Duplicate ID",IF(COUNTIFS(Data!$A$2:$A$501,A186)&lt;&gt;1,"Not current","Current")))</x:f>
        <x:v>Current</x:v>
      </x:c>
    </x:row>
    <x:row r="187" ht="32" customHeight="1">
      <x:c r="A187" s="2" t="str">
        <x:v>3445</x:v>
      </x:c>
      <x:c r="B187" s="20" t="str">
        <x:f>IF(A187="","",IF(COUNTIFS(Data!$A$2:$A$501,A187)=1,INDEX(Data!$B$2:$B$501,MATCH(A187,Data!$A$2:$A$501,0)),"Not in current directory"))</x:f>
        <x:v>MAST Community Charter School III</x:v>
      </x:c>
      <x:c r="C187" s="17" t="str">
        <x:v>No</x:v>
      </x:c>
      <x:c r="D187" s="17"/>
      <x:c r="E187" s="18"/>
      <x:c r="F187" s="17"/>
      <x:c r="G187" s="18"/>
      <x:c r="H187" s="17" t="str"/>
      <x:c r="I187" s="17" t="str"/>
      <x:c r="J187" s="17" t="str">
        <x:v>Not contacted</x:v>
      </x:c>
      <x:c r="K187" s="17" t="str">
        <x:v>Unknown</x:v>
      </x:c>
      <x:c r="L187" s="2" t="str">
        <x:f>IF(A187="","",IF(COUNTIFS($A$8:$A$507,A187)&lt;&gt;1,"Duplicate ID",IF(COUNTIFS(Data!$A$2:$A$501,A187)&lt;&gt;1,"Not current","Current")))</x:f>
        <x:v>Current</x:v>
      </x:c>
    </x:row>
    <x:row r="188" ht="32" customHeight="1">
      <x:c r="A188" s="2" t="str">
        <x:v>3361</x:v>
      </x:c>
      <x:c r="B188" s="20" t="str">
        <x:f>IF(A188="","",IF(COUNTIFS(Data!$A$2:$A$501,A188)=1,INDEX(Data!$B$2:$B$501,MATCH(A188,Data!$A$2:$A$501,0)),"Not in current directory"))</x:f>
        <x:v>Mastery Charter High School</x:v>
      </x:c>
      <x:c r="C188" s="17" t="str">
        <x:v>No</x:v>
      </x:c>
      <x:c r="D188" s="17"/>
      <x:c r="E188" s="18"/>
      <x:c r="F188" s="17"/>
      <x:c r="G188" s="18"/>
      <x:c r="H188" s="17" t="str"/>
      <x:c r="I188" s="17" t="str"/>
      <x:c r="J188" s="17" t="str">
        <x:v>Not contacted</x:v>
      </x:c>
      <x:c r="K188" s="17" t="str">
        <x:v>Unknown</x:v>
      </x:c>
      <x:c r="L188" s="2" t="str">
        <x:f>IF(A188="","",IF(COUNTIFS($A$8:$A$507,A188)&lt;&gt;1,"Duplicate ID",IF(COUNTIFS(Data!$A$2:$A$501,A188)&lt;&gt;1,"Not current","Current")))</x:f>
        <x:v>Current</x:v>
      </x:c>
    </x:row>
    <x:row r="189" ht="32" customHeight="1">
      <x:c r="A189" s="2" t="str">
        <x:v>3420</x:v>
      </x:c>
      <x:c r="B189" s="20" t="str">
        <x:f>IF(A189="","",IF(COUNTIFS(Data!$A$2:$A$501,A189)=1,INDEX(Data!$B$2:$B$501,MATCH(A189,Data!$A$2:$A$501,0)),"Not in current directory"))</x:f>
        <x:v>Mastery Charter School at Cleveland</x:v>
      </x:c>
      <x:c r="C189" s="17" t="str">
        <x:v>No</x:v>
      </x:c>
      <x:c r="D189" s="17"/>
      <x:c r="E189" s="18"/>
      <x:c r="F189" s="17"/>
      <x:c r="G189" s="18"/>
      <x:c r="H189" s="17" t="str"/>
      <x:c r="I189" s="17" t="str"/>
      <x:c r="J189" s="17" t="str">
        <x:v>Not contacted</x:v>
      </x:c>
      <x:c r="K189" s="17" t="str">
        <x:v>Unknown</x:v>
      </x:c>
      <x:c r="L189" s="2" t="str">
        <x:f>IF(A189="","",IF(COUNTIFS($A$8:$A$507,A189)&lt;&gt;1,"Duplicate ID",IF(COUNTIFS(Data!$A$2:$A$501,A189)&lt;&gt;1,"Not current","Current")))</x:f>
        <x:v>Current</x:v>
      </x:c>
    </x:row>
    <x:row r="190" ht="32" customHeight="1">
      <x:c r="A190" s="2" t="str">
        <x:v>3415</x:v>
      </x:c>
      <x:c r="B190" s="20" t="str">
        <x:f>IF(A190="","",IF(COUNTIFS(Data!$A$2:$A$501,A190)=1,INDEX(Data!$B$2:$B$501,MATCH(A190,Data!$A$2:$A$501,0)),"Not in current directory"))</x:f>
        <x:v>Mastery Charter School at Clymer</x:v>
      </x:c>
      <x:c r="C190" s="17" t="str">
        <x:v>No</x:v>
      </x:c>
      <x:c r="D190" s="17"/>
      <x:c r="E190" s="18"/>
      <x:c r="F190" s="17"/>
      <x:c r="G190" s="18"/>
      <x:c r="H190" s="17" t="str"/>
      <x:c r="I190" s="17" t="str"/>
      <x:c r="J190" s="17" t="str">
        <x:v>Not contacted</x:v>
      </x:c>
      <x:c r="K190" s="17" t="str">
        <x:v>Unknown</x:v>
      </x:c>
      <x:c r="L190" s="2" t="str">
        <x:f>IF(A190="","",IF(COUNTIFS($A$8:$A$507,A190)&lt;&gt;1,"Duplicate ID",IF(COUNTIFS(Data!$A$2:$A$501,A190)&lt;&gt;1,"Not current","Current")))</x:f>
        <x:v>Current</x:v>
      </x:c>
    </x:row>
    <x:row r="191" ht="32" customHeight="1">
      <x:c r="A191" s="2" t="str">
        <x:v>3412</x:v>
      </x:c>
      <x:c r="B191" s="20" t="str">
        <x:f>IF(A191="","",IF(COUNTIFS(Data!$A$2:$A$501,A191)=1,INDEX(Data!$B$2:$B$501,MATCH(A191,Data!$A$2:$A$501,0)),"Not in current directory"))</x:f>
        <x:v>Mastery Charter School at Douglass</x:v>
      </x:c>
      <x:c r="C191" s="17" t="str">
        <x:v>No</x:v>
      </x:c>
      <x:c r="D191" s="17"/>
      <x:c r="E191" s="18"/>
      <x:c r="F191" s="17"/>
      <x:c r="G191" s="18"/>
      <x:c r="H191" s="17" t="str"/>
      <x:c r="I191" s="17" t="str"/>
      <x:c r="J191" s="17" t="str">
        <x:v>Not contacted</x:v>
      </x:c>
      <x:c r="K191" s="17" t="str">
        <x:v>Unknown</x:v>
      </x:c>
      <x:c r="L191" s="2" t="str">
        <x:f>IF(A191="","",IF(COUNTIFS($A$8:$A$507,A191)&lt;&gt;1,"Duplicate ID",IF(COUNTIFS(Data!$A$2:$A$501,A191)&lt;&gt;1,"Not current","Current")))</x:f>
        <x:v>Current</x:v>
      </x:c>
    </x:row>
    <x:row r="192" ht="32" customHeight="1">
      <x:c r="A192" s="2" t="str">
        <x:v>3416</x:v>
      </x:c>
      <x:c r="B192" s="20" t="str">
        <x:f>IF(A192="","",IF(COUNTIFS(Data!$A$2:$A$501,A192)=1,INDEX(Data!$B$2:$B$501,MATCH(A192,Data!$A$2:$A$501,0)),"Not in current directory"))</x:f>
        <x:v>Mastery Charter School at Gratz</x:v>
      </x:c>
      <x:c r="C192" s="17" t="str">
        <x:v>No</x:v>
      </x:c>
      <x:c r="D192" s="17"/>
      <x:c r="E192" s="18"/>
      <x:c r="F192" s="17"/>
      <x:c r="G192" s="18"/>
      <x:c r="H192" s="17" t="str"/>
      <x:c r="I192" s="17" t="str"/>
      <x:c r="J192" s="17" t="str">
        <x:v>Not contacted</x:v>
      </x:c>
      <x:c r="K192" s="17" t="str">
        <x:v>Unknown</x:v>
      </x:c>
      <x:c r="L192" s="2" t="str">
        <x:f>IF(A192="","",IF(COUNTIFS($A$8:$A$507,A192)&lt;&gt;1,"Duplicate ID",IF(COUNTIFS(Data!$A$2:$A$501,A192)&lt;&gt;1,"Not current","Current")))</x:f>
        <x:v>Current</x:v>
      </x:c>
    </x:row>
    <x:row r="193" ht="32" customHeight="1">
      <x:c r="A193" s="2" t="str">
        <x:v>3323</x:v>
      </x:c>
      <x:c r="B193" s="20" t="str">
        <x:f>IF(A193="","",IF(COUNTIFS(Data!$A$2:$A$501,A193)=1,INDEX(Data!$B$2:$B$501,MATCH(A193,Data!$A$2:$A$501,0)),"Not in current directory"))</x:f>
        <x:v>Mastery Charter School at Hardy Williams</x:v>
      </x:c>
      <x:c r="C193" s="17" t="str">
        <x:v>No</x:v>
      </x:c>
      <x:c r="D193" s="17"/>
      <x:c r="E193" s="18"/>
      <x:c r="F193" s="17"/>
      <x:c r="G193" s="18"/>
      <x:c r="H193" s="17" t="str"/>
      <x:c r="I193" s="17" t="str"/>
      <x:c r="J193" s="17" t="str">
        <x:v>Not contacted</x:v>
      </x:c>
      <x:c r="K193" s="17" t="str">
        <x:v>Unknown</x:v>
      </x:c>
      <x:c r="L193" s="2" t="str">
        <x:f>IF(A193="","",IF(COUNTIFS($A$8:$A$507,A193)&lt;&gt;1,"Duplicate ID",IF(COUNTIFS(Data!$A$2:$A$501,A193)&lt;&gt;1,"Not current","Current")))</x:f>
        <x:v>Current</x:v>
      </x:c>
    </x:row>
    <x:row r="194" ht="32" customHeight="1">
      <x:c r="A194" s="2" t="str">
        <x:v>3407</x:v>
      </x:c>
      <x:c r="B194" s="20" t="str">
        <x:f>IF(A194="","",IF(COUNTIFS(Data!$A$2:$A$501,A194)=1,INDEX(Data!$B$2:$B$501,MATCH(A194,Data!$A$2:$A$501,0)),"Not in current directory"))</x:f>
        <x:v>Mastery Charter School at Harrity</x:v>
      </x:c>
      <x:c r="C194" s="17" t="str">
        <x:v>No</x:v>
      </x:c>
      <x:c r="D194" s="17"/>
      <x:c r="E194" s="18"/>
      <x:c r="F194" s="17"/>
      <x:c r="G194" s="18"/>
      <x:c r="H194" s="17" t="str"/>
      <x:c r="I194" s="17" t="str"/>
      <x:c r="J194" s="17" t="str">
        <x:v>Not contacted</x:v>
      </x:c>
      <x:c r="K194" s="17" t="str">
        <x:v>Unknown</x:v>
      </x:c>
      <x:c r="L194" s="2" t="str">
        <x:f>IF(A194="","",IF(COUNTIFS($A$8:$A$507,A194)&lt;&gt;1,"Duplicate ID",IF(COUNTIFS(Data!$A$2:$A$501,A194)&lt;&gt;1,"Not current","Current")))</x:f>
        <x:v>Current</x:v>
      </x:c>
    </x:row>
    <x:row r="195" ht="32" customHeight="1">
      <x:c r="A195" s="2" t="str">
        <x:v>3408</x:v>
      </x:c>
      <x:c r="B195" s="20" t="str">
        <x:f>IF(A195="","",IF(COUNTIFS(Data!$A$2:$A$501,A195)=1,INDEX(Data!$B$2:$B$501,MATCH(A195,Data!$A$2:$A$501,0)),"Not in current directory"))</x:f>
        <x:v>Mastery Charter School at Mann</x:v>
      </x:c>
      <x:c r="C195" s="17" t="str">
        <x:v>No</x:v>
      </x:c>
      <x:c r="D195" s="17"/>
      <x:c r="E195" s="18"/>
      <x:c r="F195" s="17"/>
      <x:c r="G195" s="18"/>
      <x:c r="H195" s="17" t="str"/>
      <x:c r="I195" s="17" t="str"/>
      <x:c r="J195" s="17" t="str">
        <x:v>Not contacted</x:v>
      </x:c>
      <x:c r="K195" s="17" t="str">
        <x:v>Unknown</x:v>
      </x:c>
      <x:c r="L195" s="2" t="str">
        <x:f>IF(A195="","",IF(COUNTIFS($A$8:$A$507,A195)&lt;&gt;1,"Duplicate ID",IF(COUNTIFS(Data!$A$2:$A$501,A195)&lt;&gt;1,"Not current","Current")))</x:f>
        <x:v>Current</x:v>
      </x:c>
    </x:row>
    <x:row r="196" ht="32" customHeight="1">
      <x:c r="A196" s="2" t="str">
        <x:v>3426</x:v>
      </x:c>
      <x:c r="B196" s="20" t="str">
        <x:f>IF(A196="","",IF(COUNTIFS(Data!$A$2:$A$501,A196)=1,INDEX(Data!$B$2:$B$501,MATCH(A196,Data!$A$2:$A$501,0)),"Not in current directory"))</x:f>
        <x:v>Mastery Charter School at Pastorius</x:v>
      </x:c>
      <x:c r="C196" s="17" t="str">
        <x:v>No</x:v>
      </x:c>
      <x:c r="D196" s="17"/>
      <x:c r="E196" s="18"/>
      <x:c r="F196" s="17"/>
      <x:c r="G196" s="18"/>
      <x:c r="H196" s="17" t="str"/>
      <x:c r="I196" s="17" t="str"/>
      <x:c r="J196" s="17" t="str">
        <x:v>Not contacted</x:v>
      </x:c>
      <x:c r="K196" s="17" t="str">
        <x:v>Unknown</x:v>
      </x:c>
      <x:c r="L196" s="2" t="str">
        <x:f>IF(A196="","",IF(COUNTIFS($A$8:$A$507,A196)&lt;&gt;1,"Duplicate ID",IF(COUNTIFS(Data!$A$2:$A$501,A196)&lt;&gt;1,"Not current","Current")))</x:f>
        <x:v>Current</x:v>
      </x:c>
    </x:row>
    <x:row r="197" ht="32" customHeight="1">
      <x:c r="A197" s="2" t="str">
        <x:v>3393</x:v>
      </x:c>
      <x:c r="B197" s="20" t="str">
        <x:f>IF(A197="","",IF(COUNTIFS(Data!$A$2:$A$501,A197)=1,INDEX(Data!$B$2:$B$501,MATCH(A197,Data!$A$2:$A$501,0)),"Not in current directory"))</x:f>
        <x:v>Mastery Charter School at Pickett</x:v>
      </x:c>
      <x:c r="C197" s="17" t="str">
        <x:v>No</x:v>
      </x:c>
      <x:c r="D197" s="17"/>
      <x:c r="E197" s="18"/>
      <x:c r="F197" s="17"/>
      <x:c r="G197" s="18"/>
      <x:c r="H197" s="17" t="str"/>
      <x:c r="I197" s="17" t="str"/>
      <x:c r="J197" s="17" t="str">
        <x:v>Not contacted</x:v>
      </x:c>
      <x:c r="K197" s="17" t="str">
        <x:v>Unknown</x:v>
      </x:c>
      <x:c r="L197" s="2" t="str">
        <x:f>IF(A197="","",IF(COUNTIFS($A$8:$A$507,A197)&lt;&gt;1,"Duplicate ID",IF(COUNTIFS(Data!$A$2:$A$501,A197)&lt;&gt;1,"Not current","Current")))</x:f>
        <x:v>Current</x:v>
      </x:c>
    </x:row>
    <x:row r="198" ht="32" customHeight="1">
      <x:c r="A198" s="2" t="str">
        <x:v>3383</x:v>
      </x:c>
      <x:c r="B198" s="20" t="str">
        <x:f>IF(A198="","",IF(COUNTIFS(Data!$A$2:$A$501,A198)=1,INDEX(Data!$B$2:$B$501,MATCH(A198,Data!$A$2:$A$501,0)),"Not in current directory"))</x:f>
        <x:v>Mastery Charter School at Shoemaker</x:v>
      </x:c>
      <x:c r="C198" s="17" t="str">
        <x:v>No</x:v>
      </x:c>
      <x:c r="D198" s="17"/>
      <x:c r="E198" s="18"/>
      <x:c r="F198" s="17"/>
      <x:c r="G198" s="18"/>
      <x:c r="H198" s="17" t="str"/>
      <x:c r="I198" s="17" t="str"/>
      <x:c r="J198" s="17" t="str">
        <x:v>Not contacted</x:v>
      </x:c>
      <x:c r="K198" s="17" t="str">
        <x:v>Unknown</x:v>
      </x:c>
      <x:c r="L198" s="2" t="str">
        <x:f>IF(A198="","",IF(COUNTIFS($A$8:$A$507,A198)&lt;&gt;1,"Duplicate ID",IF(COUNTIFS(Data!$A$2:$A$501,A198)&lt;&gt;1,"Not current","Current")))</x:f>
        <x:v>Current</x:v>
      </x:c>
    </x:row>
    <x:row r="199" ht="32" customHeight="1">
      <x:c r="A199" s="2" t="str">
        <x:v>3409</x:v>
      </x:c>
      <x:c r="B199" s="20" t="str">
        <x:f>IF(A199="","",IF(COUNTIFS(Data!$A$2:$A$501,A199)=1,INDEX(Data!$B$2:$B$501,MATCH(A199,Data!$A$2:$A$501,0)),"Not in current directory"))</x:f>
        <x:v>Mastery Charter School at Smedley</x:v>
      </x:c>
      <x:c r="C199" s="17" t="str">
        <x:v>No</x:v>
      </x:c>
      <x:c r="D199" s="17"/>
      <x:c r="E199" s="18"/>
      <x:c r="F199" s="17"/>
      <x:c r="G199" s="18"/>
      <x:c r="H199" s="17" t="str"/>
      <x:c r="I199" s="17" t="str"/>
      <x:c r="J199" s="17" t="str">
        <x:v>Not contacted</x:v>
      </x:c>
      <x:c r="K199" s="17" t="str">
        <x:v>Unknown</x:v>
      </x:c>
      <x:c r="L199" s="2" t="str">
        <x:f>IF(A199="","",IF(COUNTIFS($A$8:$A$507,A199)&lt;&gt;1,"Duplicate ID",IF(COUNTIFS(Data!$A$2:$A$501,A199)&lt;&gt;1,"Not current","Current")))</x:f>
        <x:v>Current</x:v>
      </x:c>
    </x:row>
    <x:row r="200" ht="32" customHeight="1">
      <x:c r="A200" s="2" t="str">
        <x:v>3385</x:v>
      </x:c>
      <x:c r="B200" s="20" t="str">
        <x:f>IF(A200="","",IF(COUNTIFS(Data!$A$2:$A$501,A200)=1,INDEX(Data!$B$2:$B$501,MATCH(A200,Data!$A$2:$A$501,0)),"Not in current directory"))</x:f>
        <x:v>Mastery Charter School at Thomas Campus</x:v>
      </x:c>
      <x:c r="C200" s="17" t="str">
        <x:v>No</x:v>
      </x:c>
      <x:c r="D200" s="17"/>
      <x:c r="E200" s="18"/>
      <x:c r="F200" s="17"/>
      <x:c r="G200" s="18"/>
      <x:c r="H200" s="17" t="str"/>
      <x:c r="I200" s="17" t="str"/>
      <x:c r="J200" s="17" t="str">
        <x:v>Not contacted</x:v>
      </x:c>
      <x:c r="K200" s="17" t="str">
        <x:v>Unknown</x:v>
      </x:c>
      <x:c r="L200" s="2" t="str">
        <x:f>IF(A200="","",IF(COUNTIFS($A$8:$A$507,A200)&lt;&gt;1,"Duplicate ID",IF(COUNTIFS(Data!$A$2:$A$501,A200)&lt;&gt;1,"Not current","Current")))</x:f>
        <x:v>Current</x:v>
      </x:c>
    </x:row>
    <x:row r="201" ht="32" customHeight="1">
      <x:c r="A201" s="2" t="str">
        <x:v>3427</x:v>
      </x:c>
      <x:c r="B201" s="20" t="str">
        <x:f>IF(A201="","",IF(COUNTIFS(Data!$A$2:$A$501,A201)=1,INDEX(Data!$B$2:$B$501,MATCH(A201,Data!$A$2:$A$501,0)),"Not in current directory"))</x:f>
        <x:v>Mastery Charter School at Wister</x:v>
      </x:c>
      <x:c r="C201" s="17" t="str">
        <x:v>No</x:v>
      </x:c>
      <x:c r="D201" s="17"/>
      <x:c r="E201" s="18"/>
      <x:c r="F201" s="17"/>
      <x:c r="G201" s="18"/>
      <x:c r="H201" s="17" t="str"/>
      <x:c r="I201" s="17" t="str"/>
      <x:c r="J201" s="17" t="str">
        <x:v>Not contacted</x:v>
      </x:c>
      <x:c r="K201" s="17" t="str">
        <x:v>Unknown</x:v>
      </x:c>
      <x:c r="L201" s="2" t="str">
        <x:f>IF(A201="","",IF(COUNTIFS($A$8:$A$507,A201)&lt;&gt;1,"Duplicate ID",IF(COUNTIFS(Data!$A$2:$A$501,A201)&lt;&gt;1,"Not current","Current")))</x:f>
        <x:v>Current</x:v>
      </x:c>
    </x:row>
    <x:row r="202" ht="32" customHeight="1">
      <x:c r="A202" s="2" t="str">
        <x:v>3439</x:v>
      </x:c>
      <x:c r="B202" s="20" t="str">
        <x:f>IF(A202="","",IF(COUNTIFS(Data!$A$2:$A$501,A202)=1,INDEX(Data!$B$2:$B$501,MATCH(A202,Data!$A$2:$A$501,0)),"Not in current directory"))</x:f>
        <x:v>Mastery Prep Elementary Charter School</x:v>
      </x:c>
      <x:c r="C202" s="17" t="str">
        <x:v>No</x:v>
      </x:c>
      <x:c r="D202" s="17"/>
      <x:c r="E202" s="18"/>
      <x:c r="F202" s="17"/>
      <x:c r="G202" s="18"/>
      <x:c r="H202" s="17" t="str"/>
      <x:c r="I202" s="17" t="str"/>
      <x:c r="J202" s="17" t="str">
        <x:v>Not contacted</x:v>
      </x:c>
      <x:c r="K202" s="17" t="str">
        <x:v>Unknown</x:v>
      </x:c>
      <x:c r="L202" s="2" t="str">
        <x:f>IF(A202="","",IF(COUNTIFS($A$8:$A$507,A202)&lt;&gt;1,"Duplicate ID",IF(COUNTIFS(Data!$A$2:$A$501,A202)&lt;&gt;1,"Not current","Current")))</x:f>
        <x:v>Current</x:v>
      </x:c>
    </x:row>
    <x:row r="203" ht="32" customHeight="1">
      <x:c r="A203" s="2" t="str">
        <x:v>3328</x:v>
      </x:c>
      <x:c r="B203" s="20" t="str">
        <x:f>IF(A203="","",IF(COUNTIFS(Data!$A$2:$A$501,A203)=1,INDEX(Data!$B$2:$B$501,MATCH(A203,Data!$A$2:$A$501,0)),"Not in current directory"))</x:f>
        <x:v>Mathematics, Science, and Technology Community Charter School (MaST)</x:v>
      </x:c>
      <x:c r="C203" s="17" t="str">
        <x:v>No</x:v>
      </x:c>
      <x:c r="D203" s="17"/>
      <x:c r="E203" s="18"/>
      <x:c r="F203" s="17"/>
      <x:c r="G203" s="18"/>
      <x:c r="H203" s="17" t="str"/>
      <x:c r="I203" s="17" t="str"/>
      <x:c r="J203" s="17" t="str">
        <x:v>Not contacted</x:v>
      </x:c>
      <x:c r="K203" s="17" t="str">
        <x:v>Unknown</x:v>
      </x:c>
      <x:c r="L203" s="2" t="str">
        <x:f>IF(A203="","",IF(COUNTIFS($A$8:$A$507,A203)&lt;&gt;1,"Duplicate ID",IF(COUNTIFS(Data!$A$2:$A$501,A203)&lt;&gt;1,"Not current","Current")))</x:f>
        <x:v>Current</x:v>
      </x:c>
    </x:row>
    <x:row r="204" ht="32" customHeight="1">
      <x:c r="A204" s="2" t="str">
        <x:v>8300</x:v>
      </x:c>
      <x:c r="B204" s="20" t="str">
        <x:f>IF(A204="","",IF(COUNTIFS(Data!$A$2:$A$501,A204)=1,INDEX(Data!$B$2:$B$501,MATCH(A204,Data!$A$2:$A$501,0)),"Not in current directory"))</x:f>
        <x:v>Mayfair School</x:v>
      </x:c>
      <x:c r="C204" s="17" t="str">
        <x:v>No</x:v>
      </x:c>
      <x:c r="D204" s="17"/>
      <x:c r="E204" s="18"/>
      <x:c r="F204" s="17"/>
      <x:c r="G204" s="18"/>
      <x:c r="H204" s="17" t="str"/>
      <x:c r="I204" s="17" t="str"/>
      <x:c r="J204" s="17" t="str">
        <x:v>Not contacted</x:v>
      </x:c>
      <x:c r="K204" s="17" t="str">
        <x:v>Unknown</x:v>
      </x:c>
      <x:c r="L204" s="2" t="str">
        <x:f>IF(A204="","",IF(COUNTIFS($A$8:$A$507,A204)&lt;&gt;1,"Duplicate ID",IF(COUNTIFS(Data!$A$2:$A$501,A204)&lt;&gt;1,"Not current","Current")))</x:f>
        <x:v>Current</x:v>
      </x:c>
    </x:row>
    <x:row r="205" ht="32" customHeight="1">
      <x:c r="A205" s="2" t="str">
        <x:v>5710</x:v>
      </x:c>
      <x:c r="B205" s="20" t="str">
        <x:f>IF(A205="","",IF(COUNTIFS(Data!$A$2:$A$501,A205)=1,INDEX(Data!$B$2:$B$501,MATCH(A205,Data!$A$2:$A$501,0)),"Not in current directory"))</x:f>
        <x:v>Memphis Street Middle School</x:v>
      </x:c>
      <x:c r="C205" s="17" t="str">
        <x:v>No</x:v>
      </x:c>
      <x:c r="D205" s="17"/>
      <x:c r="E205" s="18"/>
      <x:c r="F205" s="17"/>
      <x:c r="G205" s="18"/>
      <x:c r="H205" s="17" t="str"/>
      <x:c r="I205" s="17" t="str"/>
      <x:c r="J205" s="17" t="str">
        <x:v>Not contacted</x:v>
      </x:c>
      <x:c r="K205" s="17" t="str">
        <x:v>Unknown</x:v>
      </x:c>
      <x:c r="L205" s="2" t="str">
        <x:f>IF(A205="","",IF(COUNTIFS($A$8:$A$507,A205)&lt;&gt;1,"Duplicate ID",IF(COUNTIFS(Data!$A$2:$A$501,A205)&lt;&gt;1,"Not current","Current")))</x:f>
        <x:v>Current</x:v>
      </x:c>
    </x:row>
    <x:row r="206" ht="32" customHeight="1">
      <x:c r="A206" s="2" t="str">
        <x:v>1580</x:v>
      </x:c>
      <x:c r="B206" s="20" t="str">
        <x:f>IF(A206="","",IF(COUNTIFS(Data!$A$2:$A$501,A206)=1,INDEX(Data!$B$2:$B$501,MATCH(A206,Data!$A$2:$A$501,0)),"Not in current directory"))</x:f>
        <x:v>Middle Years Alternative School</x:v>
      </x:c>
      <x:c r="C206" s="17" t="str">
        <x:v>No</x:v>
      </x:c>
      <x:c r="D206" s="17"/>
      <x:c r="E206" s="18"/>
      <x:c r="F206" s="17"/>
      <x:c r="G206" s="18"/>
      <x:c r="H206" s="17" t="str"/>
      <x:c r="I206" s="17" t="str"/>
      <x:c r="J206" s="17" t="str">
        <x:v>Not contacted</x:v>
      </x:c>
      <x:c r="K206" s="17" t="str">
        <x:v>Unknown</x:v>
      </x:c>
      <x:c r="L206" s="2" t="str">
        <x:f>IF(A206="","",IF(COUNTIFS($A$8:$A$507,A206)&lt;&gt;1,"Duplicate ID",IF(COUNTIFS(Data!$A$2:$A$501,A206)&lt;&gt;1,"Not current","Current")))</x:f>
        <x:v>Current</x:v>
      </x:c>
    </x:row>
    <x:row r="207" ht="32" customHeight="1">
      <x:c r="A207" s="2" t="str">
        <x:v>1360</x:v>
      </x:c>
      <x:c r="B207" s="20" t="str">
        <x:f>IF(A207="","",IF(COUNTIFS(Data!$A$2:$A$501,A207)=1,INDEX(Data!$B$2:$B$501,MATCH(A207,Data!$A$2:$A$501,0)),"Not in current directory"))</x:f>
        <x:v>Morton McMichael School</x:v>
      </x:c>
      <x:c r="C207" s="17" t="str">
        <x:v>No</x:v>
      </x:c>
      <x:c r="D207" s="17"/>
      <x:c r="E207" s="18"/>
      <x:c r="F207" s="17"/>
      <x:c r="G207" s="18"/>
      <x:c r="H207" s="17" t="str"/>
      <x:c r="I207" s="17" t="str"/>
      <x:c r="J207" s="17" t="str">
        <x:v>Not contacted</x:v>
      </x:c>
      <x:c r="K207" s="17" t="str">
        <x:v>Unknown</x:v>
      </x:c>
      <x:c r="L207" s="2" t="str">
        <x:f>IF(A207="","",IF(COUNTIFS($A$8:$A$507,A207)&lt;&gt;1,"Duplicate ID",IF(COUNTIFS(Data!$A$2:$A$501,A207)&lt;&gt;1,"Not current","Current")))</x:f>
        <x:v>Current</x:v>
      </x:c>
    </x:row>
    <x:row r="208" ht="32" customHeight="1">
      <x:c r="A208" s="2" t="str">
        <x:v>1190</x:v>
      </x:c>
      <x:c r="B208" s="20" t="str">
        <x:f>IF(A208="","",IF(COUNTIFS(Data!$A$2:$A$501,A208)=1,INDEX(Data!$B$2:$B$501,MATCH(A208,Data!$A$2:$A$501,0)),"Not in current directory"))</x:f>
        <x:v>Motivation High School</x:v>
      </x:c>
      <x:c r="C208" s="17" t="str">
        <x:v>No</x:v>
      </x:c>
      <x:c r="D208" s="17"/>
      <x:c r="E208" s="18"/>
      <x:c r="F208" s="17"/>
      <x:c r="G208" s="18"/>
      <x:c r="H208" s="17" t="str"/>
      <x:c r="I208" s="17" t="str"/>
      <x:c r="J208" s="17" t="str">
        <x:v>Not contacted</x:v>
      </x:c>
      <x:c r="K208" s="17" t="str">
        <x:v>Unknown</x:v>
      </x:c>
      <x:c r="L208" s="2" t="str">
        <x:f>IF(A208="","",IF(COUNTIFS($A$8:$A$507,A208)&lt;&gt;1,"Duplicate ID",IF(COUNTIFS(Data!$A$2:$A$501,A208)&lt;&gt;1,"Not current","Current")))</x:f>
        <x:v>Current</x:v>
      </x:c>
    </x:row>
    <x:row r="209" ht="32" customHeight="1">
      <x:c r="A209" s="2" t="str">
        <x:v>3312</x:v>
      </x:c>
      <x:c r="B209" s="20" t="str">
        <x:f>IF(A209="","",IF(COUNTIFS(Data!$A$2:$A$501,A209)=1,INDEX(Data!$B$2:$B$501,MATCH(A209,Data!$A$2:$A$501,0)),"Not in current directory"))</x:f>
        <x:v>Multicultural Academy Charter School</x:v>
      </x:c>
      <x:c r="C209" s="17" t="str">
        <x:v>No</x:v>
      </x:c>
      <x:c r="D209" s="17"/>
      <x:c r="E209" s="18"/>
      <x:c r="F209" s="17"/>
      <x:c r="G209" s="18"/>
      <x:c r="H209" s="17" t="str"/>
      <x:c r="I209" s="17" t="str"/>
      <x:c r="J209" s="17" t="str">
        <x:v>Not contacted</x:v>
      </x:c>
      <x:c r="K209" s="17" t="str">
        <x:v>Unknown</x:v>
      </x:c>
      <x:c r="L209" s="2" t="str">
        <x:f>IF(A209="","",IF(COUNTIFS($A$8:$A$507,A209)&lt;&gt;1,"Duplicate ID",IF(COUNTIFS(Data!$A$2:$A$501,A209)&lt;&gt;1,"Not current","Current")))</x:f>
        <x:v>Current</x:v>
      </x:c>
    </x:row>
    <x:row r="210" ht="32" customHeight="1">
      <x:c r="A210" s="2" t="str">
        <x:v>4060</x:v>
      </x:c>
      <x:c r="B210" s="20" t="str">
        <x:f>IF(A210="","",IF(COUNTIFS(Data!$A$2:$A$501,A210)=1,INDEX(Data!$B$2:$B$501,MATCH(A210,Data!$A$2:$A$501,0)),"Not in current directory"))</x:f>
        <x:v>Murrell Dobbins Career and Technical High School</x:v>
      </x:c>
      <x:c r="C210" s="17" t="str">
        <x:v>No</x:v>
      </x:c>
      <x:c r="D210" s="17"/>
      <x:c r="E210" s="18"/>
      <x:c r="F210" s="17"/>
      <x:c r="G210" s="18"/>
      <x:c r="H210" s="17" t="str"/>
      <x:c r="I210" s="17" t="str"/>
      <x:c r="J210" s="17" t="str">
        <x:v>Not contacted</x:v>
      </x:c>
      <x:c r="K210" s="17" t="str">
        <x:v>Unknown</x:v>
      </x:c>
      <x:c r="L210" s="2" t="str">
        <x:f>IF(A210="","",IF(COUNTIFS($A$8:$A$507,A210)&lt;&gt;1,"Duplicate ID",IF(COUNTIFS(Data!$A$2:$A$501,A210)&lt;&gt;1,"Not current","Current")))</x:f>
        <x:v>Current</x:v>
      </x:c>
    </x:row>
    <x:row r="211" ht="32" customHeight="1">
      <x:c r="A211" s="2" t="str">
        <x:v>3334</x:v>
      </x:c>
      <x:c r="B211" s="20" t="str">
        <x:f>IF(A211="","",IF(COUNTIFS(Data!$A$2:$A$501,A211)=1,INDEX(Data!$B$2:$B$501,MATCH(A211,Data!$A$2:$A$501,0)),"Not in current directory"))</x:f>
        <x:v>New Foundations Charter School</x:v>
      </x:c>
      <x:c r="C211" s="17" t="str">
        <x:v>No</x:v>
      </x:c>
      <x:c r="D211" s="17"/>
      <x:c r="E211" s="18"/>
      <x:c r="F211" s="17"/>
      <x:c r="G211" s="18"/>
      <x:c r="H211" s="17" t="str"/>
      <x:c r="I211" s="17" t="str"/>
      <x:c r="J211" s="17" t="str">
        <x:v>Not contacted</x:v>
      </x:c>
      <x:c r="K211" s="17" t="str">
        <x:v>Unknown</x:v>
      </x:c>
      <x:c r="L211" s="2" t="str">
        <x:f>IF(A211="","",IF(COUNTIFS($A$8:$A$507,A211)&lt;&gt;1,"Duplicate ID",IF(COUNTIFS(Data!$A$2:$A$501,A211)&lt;&gt;1,"Not current","Current")))</x:f>
        <x:v>Current</x:v>
      </x:c>
    </x:row>
    <x:row r="212" ht="32" customHeight="1">
      <x:c r="A212" s="2" t="str">
        <x:v>8130</x:v>
      </x:c>
      <x:c r="B212" s="20" t="str">
        <x:f>IF(A212="","",IF(COUNTIFS(Data!$A$2:$A$501,A212)=1,INDEX(Data!$B$2:$B$501,MATCH(A212,Data!$A$2:$A$501,0)),"Not in current directory"))</x:f>
        <x:v>Northeast Community Propel Academy</x:v>
      </x:c>
      <x:c r="C212" s="17" t="str">
        <x:v>No</x:v>
      </x:c>
      <x:c r="D212" s="17"/>
      <x:c r="E212" s="18"/>
      <x:c r="F212" s="17"/>
      <x:c r="G212" s="18"/>
      <x:c r="H212" s="17" t="str"/>
      <x:c r="I212" s="17" t="str"/>
      <x:c r="J212" s="17" t="str">
        <x:v>Not contacted</x:v>
      </x:c>
      <x:c r="K212" s="17" t="str">
        <x:v>Unknown</x:v>
      </x:c>
      <x:c r="L212" s="2" t="str">
        <x:f>IF(A212="","",IF(COUNTIFS($A$8:$A$507,A212)&lt;&gt;1,"Duplicate ID",IF(COUNTIFS(Data!$A$2:$A$501,A212)&lt;&gt;1,"Not current","Current")))</x:f>
        <x:v>Current</x:v>
      </x:c>
    </x:row>
    <x:row r="213" ht="32" customHeight="1">
      <x:c r="A213" s="2" t="str">
        <x:v>8020</x:v>
      </x:c>
      <x:c r="B213" s="20" t="str">
        <x:f>IF(A213="","",IF(COUNTIFS(Data!$A$2:$A$501,A213)=1,INDEX(Data!$B$2:$B$501,MATCH(A213,Data!$A$2:$A$501,0)),"Not in current directory"))</x:f>
        <x:v>Northeast High School</x:v>
      </x:c>
      <x:c r="C213" s="17" t="str">
        <x:v>No</x:v>
      </x:c>
      <x:c r="D213" s="17"/>
      <x:c r="E213" s="18"/>
      <x:c r="F213" s="17"/>
      <x:c r="G213" s="18"/>
      <x:c r="H213" s="17" t="str"/>
      <x:c r="I213" s="17" t="str"/>
      <x:c r="J213" s="17" t="str">
        <x:v>Not contacted</x:v>
      </x:c>
      <x:c r="K213" s="17" t="str">
        <x:v>Unknown</x:v>
      </x:c>
      <x:c r="L213" s="2" t="str">
        <x:f>IF(A213="","",IF(COUNTIFS($A$8:$A$507,A213)&lt;&gt;1,"Duplicate ID",IF(COUNTIFS(Data!$A$2:$A$501,A213)&lt;&gt;1,"Not current","Current")))</x:f>
        <x:v>Current</x:v>
      </x:c>
    </x:row>
    <x:row r="214" ht="32" customHeight="1">
      <x:c r="A214" s="2" t="str">
        <x:v>3850</x:v>
      </x:c>
      <x:c r="B214" s="20" t="str">
        <x:f>IF(A214="","",IF(COUNTIFS(Data!$A$2:$A$501,A214)=1,INDEX(Data!$B$2:$B$501,MATCH(A214,Data!$A$2:$A$501,0)),"Not in current directory"))</x:f>
        <x:v>Northeast High School EOP</x:v>
      </x:c>
      <x:c r="C214" s="17" t="str">
        <x:v>No</x:v>
      </x:c>
      <x:c r="D214" s="17"/>
      <x:c r="E214" s="18"/>
      <x:c r="F214" s="17"/>
      <x:c r="G214" s="18"/>
      <x:c r="H214" s="17" t="str"/>
      <x:c r="I214" s="17" t="str"/>
      <x:c r="J214" s="17" t="str">
        <x:v>Not contacted</x:v>
      </x:c>
      <x:c r="K214" s="17" t="str">
        <x:v>Unknown</x:v>
      </x:c>
      <x:c r="L214" s="2" t="str">
        <x:f>IF(A214="","",IF(COUNTIFS($A$8:$A$507,A214)&lt;&gt;1,"Duplicate ID",IF(COUNTIFS(Data!$A$2:$A$501,A214)&lt;&gt;1,"Not current","Current")))</x:f>
        <x:v>Current</x:v>
      </x:c>
    </x:row>
    <x:row r="215" ht="32" customHeight="1">
      <x:c r="A215" s="2" t="str">
        <x:v>3386</x:v>
      </x:c>
      <x:c r="B215" s="20" t="str">
        <x:f>IF(A215="","",IF(COUNTIFS(Data!$A$2:$A$501,A215)=1,INDEX(Data!$B$2:$B$501,MATCH(A215,Data!$A$2:$A$501,0)),"Not in current directory"))</x:f>
        <x:v>Northwood Academy Charter School</x:v>
      </x:c>
      <x:c r="C215" s="17" t="str">
        <x:v>No</x:v>
      </x:c>
      <x:c r="D215" s="17"/>
      <x:c r="E215" s="18"/>
      <x:c r="F215" s="17"/>
      <x:c r="G215" s="18"/>
      <x:c r="H215" s="17" t="str"/>
      <x:c r="I215" s="17" t="str"/>
      <x:c r="J215" s="17" t="str">
        <x:v>Not contacted</x:v>
      </x:c>
      <x:c r="K215" s="17" t="str">
        <x:v>Unknown</x:v>
      </x:c>
      <x:c r="L215" s="2" t="str">
        <x:f>IF(A215="","",IF(COUNTIFS($A$8:$A$507,A215)&lt;&gt;1,"Duplicate ID",IF(COUNTIFS(Data!$A$2:$A$501,A215)&lt;&gt;1,"Not current","Current")))</x:f>
        <x:v>Current</x:v>
      </x:c>
    </x:row>
    <x:row r="216" ht="32" customHeight="1">
      <x:c r="A216" s="2" t="str">
        <x:v>8070</x:v>
      </x:c>
      <x:c r="B216" s="20" t="str">
        <x:f>IF(A216="","",IF(COUNTIFS(Data!$A$2:$A$501,A216)=1,INDEX(Data!$B$2:$B$501,MATCH(A216,Data!$A$2:$A$501,0)),"Not in current directory"))</x:f>
        <x:v>OIC Career and Academic Development Institute</x:v>
      </x:c>
      <x:c r="C216" s="17" t="str">
        <x:v>No</x:v>
      </x:c>
      <x:c r="D216" s="17"/>
      <x:c r="E216" s="18"/>
      <x:c r="F216" s="17"/>
      <x:c r="G216" s="18"/>
      <x:c r="H216" s="17" t="str"/>
      <x:c r="I216" s="17" t="str"/>
      <x:c r="J216" s="17" t="str">
        <x:v>Not contacted</x:v>
      </x:c>
      <x:c r="K216" s="17" t="str">
        <x:v>Unknown</x:v>
      </x:c>
      <x:c r="L216" s="2" t="str">
        <x:f>IF(A216="","",IF(COUNTIFS($A$8:$A$507,A216)&lt;&gt;1,"Duplicate ID",IF(COUNTIFS(Data!$A$2:$A$501,A216)&lt;&gt;1,"Not current","Current")))</x:f>
        <x:v>Current</x:v>
      </x:c>
    </x:row>
    <x:row r="217" ht="32" customHeight="1">
      <x:c r="A217" s="2" t="str">
        <x:v>7400</x:v>
      </x:c>
      <x:c r="B217" s="20" t="str">
        <x:f>IF(A217="","",IF(COUNTIFS(Data!$A$2:$A$501,A217)=1,INDEX(Data!$B$2:$B$501,MATCH(A217,Data!$A$2:$A$501,0)),"Not in current directory"))</x:f>
        <x:v>Olney Elementary School</x:v>
      </x:c>
      <x:c r="C217" s="17" t="str">
        <x:v>No</x:v>
      </x:c>
      <x:c r="D217" s="17"/>
      <x:c r="E217" s="18"/>
      <x:c r="F217" s="17"/>
      <x:c r="G217" s="18"/>
      <x:c r="H217" s="17" t="str"/>
      <x:c r="I217" s="17" t="str"/>
      <x:c r="J217" s="17" t="str">
        <x:v>Not contacted</x:v>
      </x:c>
      <x:c r="K217" s="17" t="str">
        <x:v>Unknown</x:v>
      </x:c>
      <x:c r="L217" s="2" t="str">
        <x:f>IF(A217="","",IF(COUNTIFS($A$8:$A$507,A217)&lt;&gt;1,"Duplicate ID",IF(COUNTIFS(Data!$A$2:$A$501,A217)&lt;&gt;1,"Not current","Current")))</x:f>
        <x:v>Current</x:v>
      </x:c>
    </x:row>
    <x:row r="218" ht="32" customHeight="1">
      <x:c r="A218" s="2" t="str">
        <x:v>7060</x:v>
      </x:c>
      <x:c r="B218" s="20" t="str">
        <x:f>IF(A218="","",IF(COUNTIFS(Data!$A$2:$A$501,A218)=1,INDEX(Data!$B$2:$B$501,MATCH(A218,Data!$A$2:$A$501,0)),"Not in current directory"))</x:f>
        <x:v>Olney High School</x:v>
      </x:c>
      <x:c r="C218" s="17" t="str">
        <x:v>No</x:v>
      </x:c>
      <x:c r="D218" s="17"/>
      <x:c r="E218" s="18"/>
      <x:c r="F218" s="17"/>
      <x:c r="G218" s="18"/>
      <x:c r="H218" s="17" t="str"/>
      <x:c r="I218" s="17" t="str"/>
      <x:c r="J218" s="17" t="str">
        <x:v>Not contacted</x:v>
      </x:c>
      <x:c r="K218" s="17" t="str">
        <x:v>Unknown</x:v>
      </x:c>
      <x:c r="L218" s="2" t="str">
        <x:f>IF(A218="","",IF(COUNTIFS($A$8:$A$507,A218)&lt;&gt;1,"Duplicate ID",IF(COUNTIFS(Data!$A$2:$A$501,A218)&lt;&gt;1,"Not current","Current")))</x:f>
        <x:v>Current</x:v>
      </x:c>
    </x:row>
    <x:row r="219" ht="32" customHeight="1">
      <x:c r="A219" s="2" t="str">
        <x:v>7061</x:v>
      </x:c>
      <x:c r="B219" s="20" t="str">
        <x:f>IF(A219="","",IF(COUNTIFS(Data!$A$2:$A$501,A219)=1,INDEX(Data!$B$2:$B$501,MATCH(A219,Data!$A$2:$A$501,0)),"Not in current directory"))</x:f>
        <x:v>Olney High School Continuation Academy</x:v>
      </x:c>
      <x:c r="C219" s="17" t="str">
        <x:v>No</x:v>
      </x:c>
      <x:c r="D219" s="17"/>
      <x:c r="E219" s="18"/>
      <x:c r="F219" s="17"/>
      <x:c r="G219" s="18"/>
      <x:c r="H219" s="17" t="str"/>
      <x:c r="I219" s="17" t="str"/>
      <x:c r="J219" s="17" t="str">
        <x:v>Not contacted</x:v>
      </x:c>
      <x:c r="K219" s="17" t="str">
        <x:v>Unknown</x:v>
      </x:c>
      <x:c r="L219" s="2" t="str">
        <x:f>IF(A219="","",IF(COUNTIFS($A$8:$A$507,A219)&lt;&gt;1,"Duplicate ID",IF(COUNTIFS(Data!$A$2:$A$501,A219)&lt;&gt;1,"Not current","Current")))</x:f>
        <x:v>Current</x:v>
      </x:c>
    </x:row>
    <x:row r="220" ht="32" customHeight="1">
      <x:c r="A220" s="2" t="str">
        <x:v>3810</x:v>
      </x:c>
      <x:c r="B220" s="20" t="str">
        <x:f>IF(A220="","",IF(COUNTIFS(Data!$A$2:$A$501,A220)=1,INDEX(Data!$B$2:$B$501,MATCH(A220,Data!$A$2:$A$501,0)),"Not in current directory"))</x:f>
        <x:v>One Bright Ray - Elmwood</x:v>
      </x:c>
      <x:c r="C220" s="17" t="str">
        <x:v>No</x:v>
      </x:c>
      <x:c r="D220" s="17"/>
      <x:c r="E220" s="18"/>
      <x:c r="F220" s="17"/>
      <x:c r="G220" s="18"/>
      <x:c r="H220" s="17" t="str"/>
      <x:c r="I220" s="17" t="str"/>
      <x:c r="J220" s="17" t="str">
        <x:v>Not contacted</x:v>
      </x:c>
      <x:c r="K220" s="17" t="str">
        <x:v>Unknown</x:v>
      </x:c>
      <x:c r="L220" s="2" t="str">
        <x:f>IF(A220="","",IF(COUNTIFS($A$8:$A$507,A220)&lt;&gt;1,"Duplicate ID",IF(COUNTIFS(Data!$A$2:$A$501,A220)&lt;&gt;1,"Not current","Current")))</x:f>
        <x:v>Current</x:v>
      </x:c>
    </x:row>
    <x:row r="221" ht="32" customHeight="1">
      <x:c r="A221" s="2" t="str">
        <x:v>8190</x:v>
      </x:c>
      <x:c r="B221" s="20" t="str">
        <x:f>IF(A221="","",IF(COUNTIFS(Data!$A$2:$A$501,A221)=1,INDEX(Data!$B$2:$B$501,MATCH(A221,Data!$A$2:$A$501,0)),"Not in current directory"))</x:f>
        <x:v>One Bright Ray - Fairhill</x:v>
      </x:c>
      <x:c r="C221" s="17" t="str">
        <x:v>No</x:v>
      </x:c>
      <x:c r="D221" s="17"/>
      <x:c r="E221" s="18"/>
      <x:c r="F221" s="17"/>
      <x:c r="G221" s="18"/>
      <x:c r="H221" s="17" t="str"/>
      <x:c r="I221" s="17" t="str"/>
      <x:c r="J221" s="17" t="str">
        <x:v>Not contacted</x:v>
      </x:c>
      <x:c r="K221" s="17" t="str">
        <x:v>Unknown</x:v>
      </x:c>
      <x:c r="L221" s="2" t="str">
        <x:f>IF(A221="","",IF(COUNTIFS($A$8:$A$507,A221)&lt;&gt;1,"Duplicate ID",IF(COUNTIFS(Data!$A$2:$A$501,A221)&lt;&gt;1,"Not current","Current")))</x:f>
        <x:v>Current</x:v>
      </x:c>
    </x:row>
    <x:row r="222" ht="32" customHeight="1">
      <x:c r="A222" s="2" t="str">
        <x:v>8860</x:v>
      </x:c>
      <x:c r="B222" s="20" t="str">
        <x:f>IF(A222="","",IF(COUNTIFS(Data!$A$2:$A$501,A222)=1,INDEX(Data!$B$2:$B$501,MATCH(A222,Data!$A$2:$A$501,0)),"Not in current directory"))</x:f>
        <x:v>One Bright Ray - Mansion</x:v>
      </x:c>
      <x:c r="C222" s="17" t="str">
        <x:v>No</x:v>
      </x:c>
      <x:c r="D222" s="17"/>
      <x:c r="E222" s="18"/>
      <x:c r="F222" s="17"/>
      <x:c r="G222" s="18"/>
      <x:c r="H222" s="17" t="str"/>
      <x:c r="I222" s="17" t="str"/>
      <x:c r="J222" s="17" t="str">
        <x:v>Not contacted</x:v>
      </x:c>
      <x:c r="K222" s="17" t="str">
        <x:v>Unknown</x:v>
      </x:c>
      <x:c r="L222" s="2" t="str">
        <x:f>IF(A222="","",IF(COUNTIFS($A$8:$A$507,A222)&lt;&gt;1,"Duplicate ID",IF(COUNTIFS(Data!$A$2:$A$501,A222)&lt;&gt;1,"Not current","Current")))</x:f>
        <x:v>Current</x:v>
      </x:c>
    </x:row>
    <x:row r="223" ht="32" customHeight="1">
      <x:c r="A223" s="2" t="str">
        <x:v>8890</x:v>
      </x:c>
      <x:c r="B223" s="20" t="str">
        <x:f>IF(A223="","",IF(COUNTIFS(Data!$A$2:$A$501,A223)=1,INDEX(Data!$B$2:$B$501,MATCH(A223,Data!$A$2:$A$501,0)),"Not in current directory"))</x:f>
        <x:v>One Bright Ray - Simpson</x:v>
      </x:c>
      <x:c r="C223" s="17" t="str">
        <x:v>No</x:v>
      </x:c>
      <x:c r="D223" s="17"/>
      <x:c r="E223" s="18"/>
      <x:c r="F223" s="17"/>
      <x:c r="G223" s="18"/>
      <x:c r="H223" s="17" t="str"/>
      <x:c r="I223" s="17" t="str"/>
      <x:c r="J223" s="17" t="str">
        <x:v>Not contacted</x:v>
      </x:c>
      <x:c r="K223" s="17" t="str">
        <x:v>Unknown</x:v>
      </x:c>
      <x:c r="L223" s="2" t="str">
        <x:f>IF(A223="","",IF(COUNTIFS($A$8:$A$507,A223)&lt;&gt;1,"Duplicate ID",IF(COUNTIFS(Data!$A$2:$A$501,A223)&lt;&gt;1,"Not current","Current")))</x:f>
        <x:v>Current</x:v>
      </x:c>
    </x:row>
    <x:row r="224" ht="32" customHeight="1">
      <x:c r="A224" s="2" t="str">
        <x:v>8891</x:v>
      </x:c>
      <x:c r="B224" s="20" t="str">
        <x:f>IF(A224="","",IF(COUNTIFS(Data!$A$2:$A$501,A224)=1,INDEX(Data!$B$2:$B$501,MATCH(A224,Data!$A$2:$A$501,0)),"Not in current directory"))</x:f>
        <x:v>One Bright Ray - Simpson Evening</x:v>
      </x:c>
      <x:c r="C224" s="17" t="str">
        <x:v>No</x:v>
      </x:c>
      <x:c r="D224" s="17"/>
      <x:c r="E224" s="18"/>
      <x:c r="F224" s="17"/>
      <x:c r="G224" s="18"/>
      <x:c r="H224" s="17" t="str"/>
      <x:c r="I224" s="17" t="str"/>
      <x:c r="J224" s="17" t="str">
        <x:v>Not contacted</x:v>
      </x:c>
      <x:c r="K224" s="17" t="str">
        <x:v>Unknown</x:v>
      </x:c>
      <x:c r="L224" s="2" t="str">
        <x:f>IF(A224="","",IF(COUNTIFS($A$8:$A$507,A224)&lt;&gt;1,"Duplicate ID",IF(COUNTIFS(Data!$A$2:$A$501,A224)&lt;&gt;1,"Not current","Current")))</x:f>
        <x:v>Current</x:v>
      </x:c>
    </x:row>
    <x:row r="225" ht="32" customHeight="1">
      <x:c r="A225" s="2" t="str">
        <x:v>4480</x:v>
      </x:c>
      <x:c r="B225" s="20" t="str">
        <x:f>IF(A225="","",IF(COUNTIFS(Data!$A$2:$A$501,A225)=1,INDEX(Data!$B$2:$B$501,MATCH(A225,Data!$A$2:$A$501,0)),"Not in current directory"))</x:f>
        <x:v>Overbrook Educational Center</x:v>
      </x:c>
      <x:c r="C225" s="17" t="str">
        <x:v>No</x:v>
      </x:c>
      <x:c r="D225" s="17"/>
      <x:c r="E225" s="18"/>
      <x:c r="F225" s="17"/>
      <x:c r="G225" s="18"/>
      <x:c r="H225" s="17" t="str"/>
      <x:c r="I225" s="17" t="str"/>
      <x:c r="J225" s="17" t="str">
        <x:v>Not contacted</x:v>
      </x:c>
      <x:c r="K225" s="17" t="str">
        <x:v>Unknown</x:v>
      </x:c>
      <x:c r="L225" s="2" t="str">
        <x:f>IF(A225="","",IF(COUNTIFS($A$8:$A$507,A225)&lt;&gt;1,"Duplicate ID",IF(COUNTIFS(Data!$A$2:$A$501,A225)&lt;&gt;1,"Not current","Current")))</x:f>
        <x:v>Current</x:v>
      </x:c>
    </x:row>
    <x:row r="226" ht="32" customHeight="1">
      <x:c r="A226" s="2" t="str">
        <x:v>4370</x:v>
      </x:c>
      <x:c r="B226" s="20" t="str">
        <x:f>IF(A226="","",IF(COUNTIFS(Data!$A$2:$A$501,A226)=1,INDEX(Data!$B$2:$B$501,MATCH(A226,Data!$A$2:$A$501,0)),"Not in current directory"))</x:f>
        <x:v>Overbrook Elementary School</x:v>
      </x:c>
      <x:c r="C226" s="17" t="str">
        <x:v>No</x:v>
      </x:c>
      <x:c r="D226" s="17"/>
      <x:c r="E226" s="18"/>
      <x:c r="F226" s="17"/>
      <x:c r="G226" s="18"/>
      <x:c r="H226" s="17" t="str"/>
      <x:c r="I226" s="17" t="str"/>
      <x:c r="J226" s="17" t="str">
        <x:v>Not contacted</x:v>
      </x:c>
      <x:c r="K226" s="17" t="str">
        <x:v>Unknown</x:v>
      </x:c>
      <x:c r="L226" s="2" t="str">
        <x:f>IF(A226="","",IF(COUNTIFS($A$8:$A$507,A226)&lt;&gt;1,"Duplicate ID",IF(COUNTIFS(Data!$A$2:$A$501,A226)&lt;&gt;1,"Not current","Current")))</x:f>
        <x:v>Current</x:v>
      </x:c>
    </x:row>
    <x:row r="227" ht="32" customHeight="1">
      <x:c r="A227" s="2" t="str">
        <x:v>4020</x:v>
      </x:c>
      <x:c r="B227" s="20" t="str">
        <x:f>IF(A227="","",IF(COUNTIFS(Data!$A$2:$A$501,A227)=1,INDEX(Data!$B$2:$B$501,MATCH(A227,Data!$A$2:$A$501,0)),"Not in current directory"))</x:f>
        <x:v>Overbrook High School</x:v>
      </x:c>
      <x:c r="C227" s="17" t="str">
        <x:v>No</x:v>
      </x:c>
      <x:c r="D227" s="17"/>
      <x:c r="E227" s="18"/>
      <x:c r="F227" s="17"/>
      <x:c r="G227" s="18"/>
      <x:c r="H227" s="17" t="str"/>
      <x:c r="I227" s="17" t="str"/>
      <x:c r="J227" s="17" t="str">
        <x:v>Not contacted</x:v>
      </x:c>
      <x:c r="K227" s="17" t="str">
        <x:v>Unknown</x:v>
      </x:c>
      <x:c r="L227" s="2" t="str">
        <x:f>IF(A227="","",IF(COUNTIFS($A$8:$A$507,A227)&lt;&gt;1,"Duplicate ID",IF(COUNTIFS(Data!$A$2:$A$501,A227)&lt;&gt;1,"Not current","Current")))</x:f>
        <x:v>Current</x:v>
      </x:c>
    </x:row>
    <x:row r="228" ht="32" customHeight="1">
      <x:c r="A228" s="2" t="str">
        <x:v>3394</x:v>
      </x:c>
      <x:c r="B228" s="20" t="str">
        <x:f>IF(A228="","",IF(COUNTIFS(Data!$A$2:$A$501,A228)=1,INDEX(Data!$B$2:$B$501,MATCH(A228,Data!$A$2:$A$501,0)),"Not in current directory"))</x:f>
        <x:v>Pan American Academy Charter School</x:v>
      </x:c>
      <x:c r="C228" s="17" t="str">
        <x:v>No</x:v>
      </x:c>
      <x:c r="D228" s="17"/>
      <x:c r="E228" s="18"/>
      <x:c r="F228" s="17"/>
      <x:c r="G228" s="18"/>
      <x:c r="H228" s="17" t="str"/>
      <x:c r="I228" s="17" t="str"/>
      <x:c r="J228" s="17" t="str">
        <x:v>Not contacted</x:v>
      </x:c>
      <x:c r="K228" s="17" t="str">
        <x:v>Unknown</x:v>
      </x:c>
      <x:c r="L228" s="2" t="str">
        <x:f>IF(A228="","",IF(COUNTIFS($A$8:$A$507,A228)&lt;&gt;1,"Duplicate ID",IF(COUNTIFS(Data!$A$2:$A$501,A228)&lt;&gt;1,"Not current","Current")))</x:f>
        <x:v>Current</x:v>
      </x:c>
    </x:row>
    <x:row r="229" ht="32" customHeight="1">
      <x:c r="A229" s="2" t="str">
        <x:v>5080</x:v>
      </x:c>
      <x:c r="B229" s="20" t="str">
        <x:f>IF(A229="","",IF(COUNTIFS(Data!$A$2:$A$501,A229)=1,INDEX(Data!$B$2:$B$501,MATCH(A229,Data!$A$2:$A$501,0)),"Not in current directory"))</x:f>
        <x:v>Parkway Center City Middle College High School</x:v>
      </x:c>
      <x:c r="C229" s="17" t="str">
        <x:v>No</x:v>
      </x:c>
      <x:c r="D229" s="17"/>
      <x:c r="E229" s="18"/>
      <x:c r="F229" s="17"/>
      <x:c r="G229" s="18"/>
      <x:c r="H229" s="17" t="str"/>
      <x:c r="I229" s="17" t="str"/>
      <x:c r="J229" s="17" t="str">
        <x:v>Not contacted</x:v>
      </x:c>
      <x:c r="K229" s="17" t="str">
        <x:v>Unknown</x:v>
      </x:c>
      <x:c r="L229" s="2" t="str">
        <x:f>IF(A229="","",IF(COUNTIFS($A$8:$A$507,A229)&lt;&gt;1,"Duplicate ID",IF(COUNTIFS(Data!$A$2:$A$501,A229)&lt;&gt;1,"Not current","Current")))</x:f>
        <x:v>Current</x:v>
      </x:c>
    </x:row>
    <x:row r="230" ht="32" customHeight="1">
      <x:c r="A230" s="2" t="str">
        <x:v>5070</x:v>
      </x:c>
      <x:c r="B230" s="20" t="str">
        <x:f>IF(A230="","",IF(COUNTIFS(Data!$A$2:$A$501,A230)=1,INDEX(Data!$B$2:$B$501,MATCH(A230,Data!$A$2:$A$501,0)),"Not in current directory"))</x:f>
        <x:v>Parkway Northwest High School</x:v>
      </x:c>
      <x:c r="C230" s="17" t="str">
        <x:v>No</x:v>
      </x:c>
      <x:c r="D230" s="17"/>
      <x:c r="E230" s="18"/>
      <x:c r="F230" s="17"/>
      <x:c r="G230" s="18"/>
      <x:c r="H230" s="17" t="str"/>
      <x:c r="I230" s="17" t="str"/>
      <x:c r="J230" s="17" t="str">
        <x:v>Not contacted</x:v>
      </x:c>
      <x:c r="K230" s="17" t="str">
        <x:v>Unknown</x:v>
      </x:c>
      <x:c r="L230" s="2" t="str">
        <x:f>IF(A230="","",IF(COUNTIFS($A$8:$A$507,A230)&lt;&gt;1,"Duplicate ID",IF(COUNTIFS(Data!$A$2:$A$501,A230)&lt;&gt;1,"Not current","Current")))</x:f>
        <x:v>Current</x:v>
      </x:c>
    </x:row>
    <x:row r="231" ht="32" customHeight="1">
      <x:c r="A231" s="2" t="str">
        <x:v>5090</x:v>
      </x:c>
      <x:c r="B231" s="20" t="str">
        <x:f>IF(A231="","",IF(COUNTIFS(Data!$A$2:$A$501,A231)=1,INDEX(Data!$B$2:$B$501,MATCH(A231,Data!$A$2:$A$501,0)),"Not in current directory"))</x:f>
        <x:v>Parkway West High School</x:v>
      </x:c>
      <x:c r="C231" s="17" t="str">
        <x:v>No</x:v>
      </x:c>
      <x:c r="D231" s="17"/>
      <x:c r="E231" s="18"/>
      <x:c r="F231" s="17"/>
      <x:c r="G231" s="18"/>
      <x:c r="H231" s="17" t="str"/>
      <x:c r="I231" s="17" t="str"/>
      <x:c r="J231" s="17" t="str">
        <x:v>Not contacted</x:v>
      </x:c>
      <x:c r="K231" s="17" t="str">
        <x:v>Unknown</x:v>
      </x:c>
      <x:c r="L231" s="2" t="str">
        <x:f>IF(A231="","",IF(COUNTIFS($A$8:$A$507,A231)&lt;&gt;1,"Duplicate ID",IF(COUNTIFS(Data!$A$2:$A$501,A231)&lt;&gt;1,"Not current","Current")))</x:f>
        <x:v>Current</x:v>
      </x:c>
    </x:row>
    <x:row r="232" ht="32" customHeight="1">
      <x:c r="A232" s="2" t="str">
        <x:v>5250</x:v>
      </x:c>
      <x:c r="B232" s="20" t="str">
        <x:f>IF(A232="","",IF(COUNTIFS(Data!$A$2:$A$501,A232)=1,INDEX(Data!$B$2:$B$501,MATCH(A232,Data!$A$2:$A$501,0)),"Not in current directory"))</x:f>
        <x:v>Paul L. Dunbar School</x:v>
      </x:c>
      <x:c r="C232" s="17" t="str">
        <x:v>No</x:v>
      </x:c>
      <x:c r="D232" s="17"/>
      <x:c r="E232" s="18"/>
      <x:c r="F232" s="17"/>
      <x:c r="G232" s="18"/>
      <x:c r="H232" s="17" t="str"/>
      <x:c r="I232" s="17" t="str"/>
      <x:c r="J232" s="17" t="str">
        <x:v>Not contacted</x:v>
      </x:c>
      <x:c r="K232" s="17" t="str">
        <x:v>Unknown</x:v>
      </x:c>
      <x:c r="L232" s="2" t="str">
        <x:f>IF(A232="","",IF(COUNTIFS($A$8:$A$507,A232)&lt;&gt;1,"Duplicate ID",IF(COUNTIFS(Data!$A$2:$A$501,A232)&lt;&gt;1,"Not current","Current")))</x:f>
        <x:v>Current</x:v>
      </x:c>
    </x:row>
    <x:row r="233" ht="32" customHeight="1">
      <x:c r="A233" s="2" t="str">
        <x:v>1050</x:v>
      </x:c>
      <x:c r="B233" s="20" t="str">
        <x:f>IF(A233="","",IF(COUNTIFS(Data!$A$2:$A$501,A233)=1,INDEX(Data!$B$2:$B$501,MATCH(A233,Data!$A$2:$A$501,0)),"Not in current directory"))</x:f>
        <x:v>Paul Robeson High School for Human Services</x:v>
      </x:c>
      <x:c r="C233" s="17" t="str">
        <x:v>No</x:v>
      </x:c>
      <x:c r="D233" s="17"/>
      <x:c r="E233" s="18"/>
      <x:c r="F233" s="17"/>
      <x:c r="G233" s="18"/>
      <x:c r="H233" s="17" t="str"/>
      <x:c r="I233" s="17" t="str"/>
      <x:c r="J233" s="17" t="str">
        <x:v>Not contacted</x:v>
      </x:c>
      <x:c r="K233" s="17" t="str">
        <x:v>Unknown</x:v>
      </x:c>
      <x:c r="L233" s="2" t="str">
        <x:f>IF(A233="","",IF(COUNTIFS($A$8:$A$507,A233)&lt;&gt;1,"Duplicate ID",IF(COUNTIFS(Data!$A$2:$A$501,A233)&lt;&gt;1,"Not current","Current")))</x:f>
        <x:v>Current</x:v>
      </x:c>
    </x:row>
    <x:row r="234" ht="32" customHeight="1">
      <x:c r="A234" s="2" t="str">
        <x:v>5160</x:v>
      </x:c>
      <x:c r="B234" s="20" t="str">
        <x:f>IF(A234="","",IF(COUNTIFS(Data!$A$2:$A$501,A234)=1,INDEX(Data!$B$2:$B$501,MATCH(A234,Data!$A$2:$A$501,0)),"Not in current directory"))</x:f>
        <x:v>Penn Treaty School</x:v>
      </x:c>
      <x:c r="C234" s="17" t="str">
        <x:v>No</x:v>
      </x:c>
      <x:c r="D234" s="17"/>
      <x:c r="E234" s="18"/>
      <x:c r="F234" s="17"/>
      <x:c r="G234" s="18"/>
      <x:c r="H234" s="17" t="str"/>
      <x:c r="I234" s="17" t="str"/>
      <x:c r="J234" s="17" t="str">
        <x:v>Not contacted</x:v>
      </x:c>
      <x:c r="K234" s="17" t="str">
        <x:v>Unknown</x:v>
      </x:c>
      <x:c r="L234" s="2" t="str">
        <x:f>IF(A234="","",IF(COUNTIFS($A$8:$A$507,A234)&lt;&gt;1,"Duplicate ID",IF(COUNTIFS(Data!$A$2:$A$501,A234)&lt;&gt;1,"Not current","Current")))</x:f>
        <x:v>Current</x:v>
      </x:c>
    </x:row>
    <x:row r="235" ht="32" customHeight="1">
      <x:c r="A235" s="2" t="str">
        <x:v>8540</x:v>
      </x:c>
      <x:c r="B235" s="20" t="str">
        <x:f>IF(A235="","",IF(COUNTIFS(Data!$A$2:$A$501,A235)=1,INDEX(Data!$B$2:$B$501,MATCH(A235,Data!$A$2:$A$501,0)),"Not in current directory"))</x:f>
        <x:v>Pennypack House School</x:v>
      </x:c>
      <x:c r="C235" s="17" t="str">
        <x:v>No</x:v>
      </x:c>
      <x:c r="D235" s="17"/>
      <x:c r="E235" s="18"/>
      <x:c r="F235" s="17"/>
      <x:c r="G235" s="18"/>
      <x:c r="H235" s="17" t="str"/>
      <x:c r="I235" s="17" t="str"/>
      <x:c r="J235" s="17" t="str">
        <x:v>Not contacted</x:v>
      </x:c>
      <x:c r="K235" s="17" t="str">
        <x:v>Unknown</x:v>
      </x:c>
      <x:c r="L235" s="2" t="str">
        <x:f>IF(A235="","",IF(COUNTIFS($A$8:$A$507,A235)&lt;&gt;1,"Duplicate ID",IF(COUNTIFS(Data!$A$2:$A$501,A235)&lt;&gt;1,"Not current","Current")))</x:f>
        <x:v>Current</x:v>
      </x:c>
    </x:row>
    <x:row r="236" ht="32" customHeight="1">
      <x:c r="A236" s="2" t="str">
        <x:v>1440</x:v>
      </x:c>
      <x:c r="B236" s="20" t="str">
        <x:f>IF(A236="","",IF(COUNTIFS(Data!$A$2:$A$501,A236)=1,INDEX(Data!$B$2:$B$501,MATCH(A236,Data!$A$2:$A$501,0)),"Not in current directory"))</x:f>
        <x:v>Penrose School</x:v>
      </x:c>
      <x:c r="C236" s="17" t="str">
        <x:v>No</x:v>
      </x:c>
      <x:c r="D236" s="17"/>
      <x:c r="E236" s="18"/>
      <x:c r="F236" s="17"/>
      <x:c r="G236" s="18"/>
      <x:c r="H236" s="17" t="str"/>
      <x:c r="I236" s="17" t="str"/>
      <x:c r="J236" s="17" t="str">
        <x:v>Not contacted</x:v>
      </x:c>
      <x:c r="K236" s="17" t="str">
        <x:v>Unknown</x:v>
      </x:c>
      <x:c r="L236" s="2" t="str">
        <x:f>IF(A236="","",IF(COUNTIFS($A$8:$A$507,A236)&lt;&gt;1,"Duplicate ID",IF(COUNTIFS(Data!$A$2:$A$501,A236)&lt;&gt;1,"Not current","Current")))</x:f>
        <x:v>Current</x:v>
      </x:c>
    </x:row>
    <x:row r="237" ht="32" customHeight="1">
      <x:c r="A237" s="2" t="str">
        <x:v>3335</x:v>
      </x:c>
      <x:c r="B237" s="20" t="str">
        <x:f>IF(A237="","",IF(COUNTIFS(Data!$A$2:$A$501,A237)=1,INDEX(Data!$B$2:$B$501,MATCH(A237,Data!$A$2:$A$501,0)),"Not in current directory"))</x:f>
        <x:v>People for People Charter School</x:v>
      </x:c>
      <x:c r="C237" s="17" t="str">
        <x:v>No</x:v>
      </x:c>
      <x:c r="D237" s="17"/>
      <x:c r="E237" s="18"/>
      <x:c r="F237" s="17"/>
      <x:c r="G237" s="18"/>
      <x:c r="H237" s="17" t="str"/>
      <x:c r="I237" s="17" t="str"/>
      <x:c r="J237" s="17" t="str">
        <x:v>Not contacted</x:v>
      </x:c>
      <x:c r="K237" s="17" t="str">
        <x:v>Unknown</x:v>
      </x:c>
      <x:c r="L237" s="2" t="str">
        <x:f>IF(A237="","",IF(COUNTIFS($A$8:$A$507,A237)&lt;&gt;1,"Duplicate ID",IF(COUNTIFS(Data!$A$2:$A$501,A237)&lt;&gt;1,"Not current","Current")))</x:f>
        <x:v>Current</x:v>
      </x:c>
    </x:row>
    <x:row r="238" ht="32" customHeight="1">
      <x:c r="A238" s="2" t="str">
        <x:v>3322</x:v>
      </x:c>
      <x:c r="B238" s="20" t="str">
        <x:f>IF(A238="","",IF(COUNTIFS(Data!$A$2:$A$501,A238)=1,INDEX(Data!$B$2:$B$501,MATCH(A238,Data!$A$2:$A$501,0)),"Not in current directory"))</x:f>
        <x:v>Philadelphia Academy Charter School</x:v>
      </x:c>
      <x:c r="C238" s="17" t="str">
        <x:v>No</x:v>
      </x:c>
      <x:c r="D238" s="17"/>
      <x:c r="E238" s="18"/>
      <x:c r="F238" s="17"/>
      <x:c r="G238" s="18"/>
      <x:c r="H238" s="17" t="str"/>
      <x:c r="I238" s="17" t="str"/>
      <x:c r="J238" s="17" t="str">
        <x:v>Not contacted</x:v>
      </x:c>
      <x:c r="K238" s="17" t="str">
        <x:v>Unknown</x:v>
      </x:c>
      <x:c r="L238" s="2" t="str">
        <x:f>IF(A238="","",IF(COUNTIFS($A$8:$A$507,A238)&lt;&gt;1,"Duplicate ID",IF(COUNTIFS(Data!$A$2:$A$501,A238)&lt;&gt;1,"Not current","Current")))</x:f>
        <x:v>Current</x:v>
      </x:c>
    </x:row>
    <x:row r="239" ht="32" customHeight="1">
      <x:c r="A239" s="2" t="str">
        <x:v>7069</x:v>
      </x:c>
      <x:c r="B239" s="20" t="str">
        <x:f>IF(A239="","",IF(COUNTIFS(Data!$A$2:$A$501,A239)=1,INDEX(Data!$B$2:$B$501,MATCH(A239,Data!$A$2:$A$501,0)),"Not in current directory"))</x:f>
        <x:v>Philadelphia Continuation Academy</x:v>
      </x:c>
      <x:c r="C239" s="17" t="str">
        <x:v>No</x:v>
      </x:c>
      <x:c r="D239" s="17"/>
      <x:c r="E239" s="18"/>
      <x:c r="F239" s="17"/>
      <x:c r="G239" s="18"/>
      <x:c r="H239" s="17" t="str"/>
      <x:c r="I239" s="17" t="str"/>
      <x:c r="J239" s="17" t="str">
        <x:v>Not contacted</x:v>
      </x:c>
      <x:c r="K239" s="17" t="str">
        <x:v>Unknown</x:v>
      </x:c>
      <x:c r="L239" s="2" t="str">
        <x:f>IF(A239="","",IF(COUNTIFS($A$8:$A$507,A239)&lt;&gt;1,"Duplicate ID",IF(COUNTIFS(Data!$A$2:$A$501,A239)&lt;&gt;1,"Not current","Current")))</x:f>
        <x:v>Current</x:v>
      </x:c>
    </x:row>
    <x:row r="240" ht="32" customHeight="1">
      <x:c r="A240" s="2" t="str">
        <x:v>3358</x:v>
      </x:c>
      <x:c r="B240" s="20" t="str">
        <x:f>IF(A240="","",IF(COUNTIFS(Data!$A$2:$A$501,A240)=1,INDEX(Data!$B$2:$B$501,MATCH(A240,Data!$A$2:$A$501,0)),"Not in current directory"))</x:f>
        <x:v>Philadelphia Electrical and Technology Charter High School</x:v>
      </x:c>
      <x:c r="C240" s="17" t="str">
        <x:v>No</x:v>
      </x:c>
      <x:c r="D240" s="17"/>
      <x:c r="E240" s="18"/>
      <x:c r="F240" s="17"/>
      <x:c r="G240" s="18"/>
      <x:c r="H240" s="17" t="str"/>
      <x:c r="I240" s="17" t="str"/>
      <x:c r="J240" s="17" t="str">
        <x:v>Not contacted</x:v>
      </x:c>
      <x:c r="K240" s="17" t="str">
        <x:v>Unknown</x:v>
      </x:c>
      <x:c r="L240" s="2" t="str">
        <x:f>IF(A240="","",IF(COUNTIFS($A$8:$A$507,A240)&lt;&gt;1,"Duplicate ID",IF(COUNTIFS(Data!$A$2:$A$501,A240)&lt;&gt;1,"Not current","Current")))</x:f>
        <x:v>Current</x:v>
      </x:c>
    </x:row>
    <x:row r="241" ht="32" customHeight="1">
      <x:c r="A241" s="2" t="str">
        <x:v>3446</x:v>
      </x:c>
      <x:c r="B241" s="20" t="str">
        <x:f>IF(A241="","",IF(COUNTIFS(Data!$A$2:$A$501,A241)=1,INDEX(Data!$B$2:$B$501,MATCH(A241,Data!$A$2:$A$501,0)),"Not in current directory"))</x:f>
        <x:v>Philadelphia Hebrew Public Charter School</x:v>
      </x:c>
      <x:c r="C241" s="17" t="str">
        <x:v>No</x:v>
      </x:c>
      <x:c r="D241" s="17"/>
      <x:c r="E241" s="18"/>
      <x:c r="F241" s="17"/>
      <x:c r="G241" s="18"/>
      <x:c r="H241" s="17" t="str"/>
      <x:c r="I241" s="17" t="str"/>
      <x:c r="J241" s="17" t="str">
        <x:v>Not contacted</x:v>
      </x:c>
      <x:c r="K241" s="17" t="str">
        <x:v>Unknown</x:v>
      </x:c>
      <x:c r="L241" s="2" t="str">
        <x:f>IF(A241="","",IF(COUNTIFS($A$8:$A$507,A241)&lt;&gt;1,"Duplicate ID",IF(COUNTIFS(Data!$A$2:$A$501,A241)&lt;&gt;1,"Not current","Current")))</x:f>
        <x:v>Current</x:v>
      </x:c>
    </x:row>
    <x:row r="242" ht="32" customHeight="1">
      <x:c r="A242" s="2" t="str">
        <x:v>6050</x:v>
      </x:c>
      <x:c r="B242" s="20" t="str">
        <x:f>IF(A242="","",IF(COUNTIFS(Data!$A$2:$A$501,A242)=1,INDEX(Data!$B$2:$B$501,MATCH(A242,Data!$A$2:$A$501,0)),"Not in current directory"))</x:f>
        <x:v>Philadelphia High School for Girls</x:v>
      </x:c>
      <x:c r="C242" s="17" t="str">
        <x:v>No</x:v>
      </x:c>
      <x:c r="D242" s="17"/>
      <x:c r="E242" s="18"/>
      <x:c r="F242" s="17"/>
      <x:c r="G242" s="18"/>
      <x:c r="H242" s="17" t="str"/>
      <x:c r="I242" s="17" t="str"/>
      <x:c r="J242" s="17" t="str">
        <x:v>Not contacted</x:v>
      </x:c>
      <x:c r="K242" s="17" t="str">
        <x:v>Unknown</x:v>
      </x:c>
      <x:c r="L242" s="2" t="str">
        <x:f>IF(A242="","",IF(COUNTIFS($A$8:$A$507,A242)&lt;&gt;1,"Duplicate ID",IF(COUNTIFS(Data!$A$2:$A$501,A242)&lt;&gt;1,"Not current","Current")))</x:f>
        <x:v>Current</x:v>
      </x:c>
    </x:row>
    <x:row r="243" ht="32" customHeight="1">
      <x:c r="A243" s="2" t="str">
        <x:v>2530</x:v>
      </x:c>
      <x:c r="B243" s="20" t="str">
        <x:f>IF(A243="","",IF(COUNTIFS(Data!$A$2:$A$501,A243)=1,INDEX(Data!$B$2:$B$501,MATCH(A243,Data!$A$2:$A$501,0)),"Not in current directory"))</x:f>
        <x:v>Philadelphia Juvenile Justice Services Center</x:v>
      </x:c>
      <x:c r="C243" s="17" t="str">
        <x:v>No</x:v>
      </x:c>
      <x:c r="D243" s="17"/>
      <x:c r="E243" s="18"/>
      <x:c r="F243" s="17"/>
      <x:c r="G243" s="18"/>
      <x:c r="H243" s="17" t="str"/>
      <x:c r="I243" s="17" t="str"/>
      <x:c r="J243" s="17" t="str">
        <x:v>Not contacted</x:v>
      </x:c>
      <x:c r="K243" s="17" t="str">
        <x:v>Unknown</x:v>
      </x:c>
      <x:c r="L243" s="2" t="str">
        <x:f>IF(A243="","",IF(COUNTIFS($A$8:$A$507,A243)&lt;&gt;1,"Duplicate ID",IF(COUNTIFS(Data!$A$2:$A$501,A243)&lt;&gt;1,"Not current","Current")))</x:f>
        <x:v>Current</x:v>
      </x:c>
    </x:row>
    <x:row r="244" ht="32" customHeight="1">
      <x:c r="A244" s="2" t="str">
        <x:v>8470</x:v>
      </x:c>
      <x:c r="B244" s="20" t="str">
        <x:f>IF(A244="","",IF(COUNTIFS(Data!$A$2:$A$501,A244)=1,INDEX(Data!$B$2:$B$501,MATCH(A244,Data!$A$2:$A$501,0)),"Not in current directory"))</x:f>
        <x:v>Philadelphia Learning Academy North</x:v>
      </x:c>
      <x:c r="C244" s="17" t="str">
        <x:v>No</x:v>
      </x:c>
      <x:c r="D244" s="17"/>
      <x:c r="E244" s="18"/>
      <x:c r="F244" s="17"/>
      <x:c r="G244" s="18"/>
      <x:c r="H244" s="17" t="str"/>
      <x:c r="I244" s="17" t="str"/>
      <x:c r="J244" s="17" t="str">
        <x:v>Not contacted</x:v>
      </x:c>
      <x:c r="K244" s="17" t="str">
        <x:v>Unknown</x:v>
      </x:c>
      <x:c r="L244" s="2" t="str">
        <x:f>IF(A244="","",IF(COUNTIFS($A$8:$A$507,A244)&lt;&gt;1,"Duplicate ID",IF(COUNTIFS(Data!$A$2:$A$501,A244)&lt;&gt;1,"Not current","Current")))</x:f>
        <x:v>Current</x:v>
      </x:c>
    </x:row>
    <x:row r="245" ht="32" customHeight="1">
      <x:c r="A245" s="2" t="str">
        <x:v>8460</x:v>
      </x:c>
      <x:c r="B245" s="20" t="str">
        <x:f>IF(A245="","",IF(COUNTIFS(Data!$A$2:$A$501,A245)=1,INDEX(Data!$B$2:$B$501,MATCH(A245,Data!$A$2:$A$501,0)),"Not in current directory"))</x:f>
        <x:v>Philadelphia Learning Academy West</x:v>
      </x:c>
      <x:c r="C245" s="17" t="str">
        <x:v>No</x:v>
      </x:c>
      <x:c r="D245" s="17"/>
      <x:c r="E245" s="18"/>
      <x:c r="F245" s="17"/>
      <x:c r="G245" s="18"/>
      <x:c r="H245" s="17" t="str"/>
      <x:c r="I245" s="17" t="str"/>
      <x:c r="J245" s="17" t="str">
        <x:v>Not contacted</x:v>
      </x:c>
      <x:c r="K245" s="17" t="str">
        <x:v>Unknown</x:v>
      </x:c>
      <x:c r="L245" s="2" t="str">
        <x:f>IF(A245="","",IF(COUNTIFS($A$8:$A$507,A245)&lt;&gt;1,"Duplicate ID",IF(COUNTIFS(Data!$A$2:$A$501,A245)&lt;&gt;1,"Not current","Current")))</x:f>
        <x:v>Current</x:v>
      </x:c>
    </x:row>
    <x:row r="246" ht="32" customHeight="1">
      <x:c r="A246" s="2" t="str">
        <x:v>5050</x:v>
      </x:c>
      <x:c r="B246" s="20" t="str">
        <x:f>IF(A246="","",IF(COUNTIFS(Data!$A$2:$A$501,A246)=1,INDEX(Data!$B$2:$B$501,MATCH(A246,Data!$A$2:$A$501,0)),"Not in current directory"))</x:f>
        <x:v>Philadelphia Military Academy</x:v>
      </x:c>
      <x:c r="C246" s="17" t="str">
        <x:v>No</x:v>
      </x:c>
      <x:c r="D246" s="17"/>
      <x:c r="E246" s="18"/>
      <x:c r="F246" s="17"/>
      <x:c r="G246" s="18"/>
      <x:c r="H246" s="17" t="str"/>
      <x:c r="I246" s="17" t="str"/>
      <x:c r="J246" s="17" t="str">
        <x:v>Not contacted</x:v>
      </x:c>
      <x:c r="K246" s="17" t="str">
        <x:v>Unknown</x:v>
      </x:c>
      <x:c r="L246" s="2" t="str">
        <x:f>IF(A246="","",IF(COUNTIFS($A$8:$A$507,A246)&lt;&gt;1,"Duplicate ID",IF(COUNTIFS(Data!$A$2:$A$501,A246)&lt;&gt;1,"Not current","Current")))</x:f>
        <x:v>Current</x:v>
      </x:c>
    </x:row>
    <x:row r="247" ht="32" customHeight="1">
      <x:c r="A247" s="2" t="str">
        <x:v>3378</x:v>
      </x:c>
      <x:c r="B247" s="20" t="str">
        <x:f>IF(A247="","",IF(COUNTIFS(Data!$A$2:$A$501,A247)=1,INDEX(Data!$B$2:$B$501,MATCH(A247,Data!$A$2:$A$501,0)),"Not in current directory"))</x:f>
        <x:v>Philadelphia Montessori Charter School</x:v>
      </x:c>
      <x:c r="C247" s="17" t="str">
        <x:v>No</x:v>
      </x:c>
      <x:c r="D247" s="17"/>
      <x:c r="E247" s="18"/>
      <x:c r="F247" s="17"/>
      <x:c r="G247" s="18"/>
      <x:c r="H247" s="17" t="str"/>
      <x:c r="I247" s="17" t="str"/>
      <x:c r="J247" s="17" t="str">
        <x:v>Not contacted</x:v>
      </x:c>
      <x:c r="K247" s="17" t="str">
        <x:v>Unknown</x:v>
      </x:c>
      <x:c r="L247" s="2" t="str">
        <x:f>IF(A247="","",IF(COUNTIFS($A$8:$A$507,A247)&lt;&gt;1,"Duplicate ID",IF(COUNTIFS(Data!$A$2:$A$501,A247)&lt;&gt;1,"Not current","Current")))</x:f>
        <x:v>Current</x:v>
      </x:c>
    </x:row>
    <x:row r="248" ht="32" customHeight="1">
      <x:c r="A248" s="2" t="str">
        <x:v>3336</x:v>
      </x:c>
      <x:c r="B248" s="20" t="str">
        <x:f>IF(A248="","",IF(COUNTIFS(Data!$A$2:$A$501,A248)=1,INDEX(Data!$B$2:$B$501,MATCH(A248,Data!$A$2:$A$501,0)),"Not in current directory"))</x:f>
        <x:v>Philadelphia Performing Arts Charter School</x:v>
      </x:c>
      <x:c r="C248" s="17" t="str">
        <x:v>No</x:v>
      </x:c>
      <x:c r="D248" s="17"/>
      <x:c r="E248" s="18"/>
      <x:c r="F248" s="17"/>
      <x:c r="G248" s="18"/>
      <x:c r="H248" s="17" t="str"/>
      <x:c r="I248" s="17" t="str"/>
      <x:c r="J248" s="17" t="str">
        <x:v>Not contacted</x:v>
      </x:c>
      <x:c r="K248" s="17" t="str">
        <x:v>Unknown</x:v>
      </x:c>
      <x:c r="L248" s="2" t="str">
        <x:f>IF(A248="","",IF(COUNTIFS($A$8:$A$507,A248)&lt;&gt;1,"Duplicate ID",IF(COUNTIFS(Data!$A$2:$A$501,A248)&lt;&gt;1,"Not current","Current")))</x:f>
        <x:v>Current</x:v>
      </x:c>
    </x:row>
    <x:row r="249" ht="32" customHeight="1">
      <x:c r="A249" s="2" t="str">
        <x:v>8780</x:v>
      </x:c>
      <x:c r="B249" s="20" t="str">
        <x:f>IF(A249="","",IF(COUNTIFS(Data!$A$2:$A$501,A249)=1,INDEX(Data!$B$2:$B$501,MATCH(A249,Data!$A$2:$A$501,0)),"Not in current directory"))</x:f>
        <x:v>Philadelphia Virtual Academy</x:v>
      </x:c>
      <x:c r="C249" s="17" t="str">
        <x:v>No</x:v>
      </x:c>
      <x:c r="D249" s="17"/>
      <x:c r="E249" s="18"/>
      <x:c r="F249" s="17"/>
      <x:c r="G249" s="18"/>
      <x:c r="H249" s="17" t="str"/>
      <x:c r="I249" s="17" t="str"/>
      <x:c r="J249" s="17" t="str">
        <x:v>Not contacted</x:v>
      </x:c>
      <x:c r="K249" s="17" t="str">
        <x:v>Unknown</x:v>
      </x:c>
      <x:c r="L249" s="2" t="str">
        <x:f>IF(A249="","",IF(COUNTIFS($A$8:$A$507,A249)&lt;&gt;1,"Duplicate ID",IF(COUNTIFS(Data!$A$2:$A$501,A249)&lt;&gt;1,"Not current","Current")))</x:f>
        <x:v>Current</x:v>
      </x:c>
    </x:row>
    <x:row r="250" ht="32" customHeight="1">
      <x:c r="A250" s="2" t="str">
        <x:v>5390</x:v>
      </x:c>
      <x:c r="B250" s="20" t="str">
        <x:f>IF(A250="","",IF(COUNTIFS(Data!$A$2:$A$501,A250)=1,INDEX(Data!$B$2:$B$501,MATCH(A250,Data!$A$2:$A$501,0)),"Not in current directory"))</x:f>
        <x:v>Potter-Thomas School</x:v>
      </x:c>
      <x:c r="C250" s="17" t="str">
        <x:v>No</x:v>
      </x:c>
      <x:c r="D250" s="17"/>
      <x:c r="E250" s="18"/>
      <x:c r="F250" s="17"/>
      <x:c r="G250" s="18"/>
      <x:c r="H250" s="17" t="str"/>
      <x:c r="I250" s="17" t="str"/>
      <x:c r="J250" s="17" t="str">
        <x:v>Not contacted</x:v>
      </x:c>
      <x:c r="K250" s="17" t="str">
        <x:v>Unknown</x:v>
      </x:c>
      <x:c r="L250" s="2" t="str">
        <x:f>IF(A250="","",IF(COUNTIFS($A$8:$A$507,A250)&lt;&gt;1,"Duplicate ID",IF(COUNTIFS(Data!$A$2:$A$501,A250)&lt;&gt;1,"Not current","Current")))</x:f>
        <x:v>Current</x:v>
      </x:c>
    </x:row>
    <x:row r="251" ht="32" customHeight="1">
      <x:c r="A251" s="2" t="str">
        <x:v>3313</x:v>
      </x:c>
      <x:c r="B251" s="20" t="str">
        <x:f>IF(A251="","",IF(COUNTIFS(Data!$A$2:$A$501,A251)=1,INDEX(Data!$B$2:$B$501,MATCH(A251,Data!$A$2:$A$501,0)),"Not in current directory"))</x:f>
        <x:v>Preparatory Charter School of Mathematics, Science, Technology and Careers</x:v>
      </x:c>
      <x:c r="C251" s="17" t="str">
        <x:v>No</x:v>
      </x:c>
      <x:c r="D251" s="17"/>
      <x:c r="E251" s="18"/>
      <x:c r="F251" s="17"/>
      <x:c r="G251" s="18"/>
      <x:c r="H251" s="17" t="str"/>
      <x:c r="I251" s="17" t="str"/>
      <x:c r="J251" s="17" t="str">
        <x:v>Not contacted</x:v>
      </x:c>
      <x:c r="K251" s="17" t="str">
        <x:v>Unknown</x:v>
      </x:c>
      <x:c r="L251" s="2" t="str">
        <x:f>IF(A251="","",IF(COUNTIFS($A$8:$A$507,A251)&lt;&gt;1,"Duplicate ID",IF(COUNTIFS(Data!$A$2:$A$501,A251)&lt;&gt;1,"Not current","Current")))</x:f>
        <x:v>Current</x:v>
      </x:c>
    </x:row>
    <x:row r="252" ht="32" customHeight="1">
      <x:c r="A252" s="2" t="str">
        <x:v>7490</x:v>
      </x:c>
      <x:c r="B252" s="20" t="str">
        <x:f>IF(A252="","",IF(COUNTIFS(Data!$A$2:$A$501,A252)=1,INDEX(Data!$B$2:$B$501,MATCH(A252,Data!$A$2:$A$501,0)),"Not in current directory"))</x:f>
        <x:v>Prince Hall School</x:v>
      </x:c>
      <x:c r="C252" s="17" t="str">
        <x:v>No</x:v>
      </x:c>
      <x:c r="D252" s="17"/>
      <x:c r="E252" s="18"/>
      <x:c r="F252" s="17"/>
      <x:c r="G252" s="18"/>
      <x:c r="H252" s="17" t="str"/>
      <x:c r="I252" s="17" t="str"/>
      <x:c r="J252" s="17" t="str">
        <x:v>Not contacted</x:v>
      </x:c>
      <x:c r="K252" s="17" t="str">
        <x:v>Unknown</x:v>
      </x:c>
      <x:c r="L252" s="2" t="str">
        <x:f>IF(A252="","",IF(COUNTIFS($A$8:$A$507,A252)&lt;&gt;1,"Duplicate ID",IF(COUNTIFS(Data!$A$2:$A$501,A252)&lt;&gt;1,"Not current","Current")))</x:f>
        <x:v>Current</x:v>
      </x:c>
    </x:row>
    <x:row r="253" ht="32" customHeight="1">
      <x:c r="A253" s="2" t="str">
        <x:v>8900</x:v>
      </x:c>
      <x:c r="B253" s="20" t="str">
        <x:f>IF(A253="","",IF(COUNTIFS(Data!$A$2:$A$501,A253)=1,INDEX(Data!$B$2:$B$501,MATCH(A253,Data!$A$2:$A$501,0)),"Not in current directory"))</x:f>
        <x:v>Re-Engagement Center</x:v>
      </x:c>
      <x:c r="C253" s="17" t="str">
        <x:v>No</x:v>
      </x:c>
      <x:c r="D253" s="17"/>
      <x:c r="E253" s="18"/>
      <x:c r="F253" s="17"/>
      <x:c r="G253" s="18"/>
      <x:c r="H253" s="17" t="str"/>
      <x:c r="I253" s="17" t="str"/>
      <x:c r="J253" s="17" t="str">
        <x:v>Not contacted</x:v>
      </x:c>
      <x:c r="K253" s="17" t="str">
        <x:v>Unknown</x:v>
      </x:c>
      <x:c r="L253" s="2" t="str">
        <x:f>IF(A253="","",IF(COUNTIFS($A$8:$A$507,A253)&lt;&gt;1,"Duplicate ID",IF(COUNTIFS(Data!$A$2:$A$501,A253)&lt;&gt;1,"Not current","Current")))</x:f>
        <x:v>Current</x:v>
      </x:c>
    </x:row>
    <x:row r="254" ht="32" customHeight="1">
      <x:c r="A254" s="2" t="str">
        <x:v>8360</x:v>
      </x:c>
      <x:c r="B254" s="20" t="str">
        <x:f>IF(A254="","",IF(COUNTIFS(Data!$A$2:$A$501,A254)=1,INDEX(Data!$B$2:$B$501,MATCH(A254,Data!$A$2:$A$501,0)),"Not in current directory"))</x:f>
        <x:v>Rhawnhurst School</x:v>
      </x:c>
      <x:c r="C254" s="17" t="str">
        <x:v>No</x:v>
      </x:c>
      <x:c r="D254" s="17"/>
      <x:c r="E254" s="18"/>
      <x:c r="F254" s="17"/>
      <x:c r="G254" s="18"/>
      <x:c r="H254" s="17" t="str"/>
      <x:c r="I254" s="17" t="str"/>
      <x:c r="J254" s="17" t="str">
        <x:v>Not contacted</x:v>
      </x:c>
      <x:c r="K254" s="17" t="str">
        <x:v>Unknown</x:v>
      </x:c>
      <x:c r="L254" s="2" t="str">
        <x:f>IF(A254="","",IF(COUNTIFS($A$8:$A$507,A254)&lt;&gt;1,"Duplicate ID",IF(COUNTIFS(Data!$A$2:$A$501,A254)&lt;&gt;1,"Not current","Current")))</x:f>
        <x:v>Current</x:v>
      </x:c>
    </x:row>
    <x:row r="255" ht="32" customHeight="1">
      <x:c r="A255" s="2" t="str">
        <x:v>3359</x:v>
      </x:c>
      <x:c r="B255" s="20" t="str">
        <x:f>IF(A255="","",IF(COUNTIFS(Data!$A$2:$A$501,A255)=1,INDEX(Data!$B$2:$B$501,MATCH(A255,Data!$A$2:$A$501,0)),"Not in current directory"))</x:f>
        <x:v>Richard Allen Preparatory Charter School</x:v>
      </x:c>
      <x:c r="C255" s="17" t="str">
        <x:v>No</x:v>
      </x:c>
      <x:c r="D255" s="17"/>
      <x:c r="E255" s="18"/>
      <x:c r="F255" s="17"/>
      <x:c r="G255" s="18"/>
      <x:c r="H255" s="17" t="str"/>
      <x:c r="I255" s="17" t="str"/>
      <x:c r="J255" s="17" t="str">
        <x:v>Not contacted</x:v>
      </x:c>
      <x:c r="K255" s="17" t="str">
        <x:v>Unknown</x:v>
      </x:c>
      <x:c r="L255" s="2" t="str">
        <x:f>IF(A255="","",IF(COUNTIFS($A$8:$A$507,A255)&lt;&gt;1,"Duplicate ID",IF(COUNTIFS(Data!$A$2:$A$501,A255)&lt;&gt;1,"Not current","Current")))</x:f>
        <x:v>Current</x:v>
      </x:c>
    </x:row>
    <x:row r="256" ht="32" customHeight="1">
      <x:c r="A256" s="2" t="str">
        <x:v>4470</x:v>
      </x:c>
      <x:c r="B256" s="20" t="str">
        <x:f>IF(A256="","",IF(COUNTIFS(Data!$A$2:$A$501,A256)=1,INDEX(Data!$B$2:$B$501,MATCH(A256,Data!$A$2:$A$501,0)),"Not in current directory"))</x:f>
        <x:v>Richard R. Wright School</x:v>
      </x:c>
      <x:c r="C256" s="17" t="str">
        <x:v>No</x:v>
      </x:c>
      <x:c r="D256" s="17"/>
      <x:c r="E256" s="18"/>
      <x:c r="F256" s="17"/>
      <x:c r="G256" s="18"/>
      <x:c r="H256" s="17" t="str"/>
      <x:c r="I256" s="17" t="str"/>
      <x:c r="J256" s="17" t="str">
        <x:v>Not contacted</x:v>
      </x:c>
      <x:c r="K256" s="17" t="str">
        <x:v>Unknown</x:v>
      </x:c>
      <x:c r="L256" s="2" t="str">
        <x:f>IF(A256="","",IF(COUNTIFS($A$8:$A$507,A256)&lt;&gt;1,"Duplicate ID",IF(COUNTIFS(Data!$A$2:$A$501,A256)&lt;&gt;1,"Not current","Current")))</x:f>
        <x:v>Current</x:v>
      </x:c>
    </x:row>
    <x:row r="257" ht="32" customHeight="1">
      <x:c r="A257" s="2" t="str">
        <x:v>5400</x:v>
      </x:c>
      <x:c r="B257" s="20" t="str">
        <x:f>IF(A257="","",IF(COUNTIFS(Data!$A$2:$A$501,A257)=1,INDEX(Data!$B$2:$B$501,MATCH(A257,Data!$A$2:$A$501,0)),"Not in current directory"))</x:f>
        <x:v>Richmond School</x:v>
      </x:c>
      <x:c r="C257" s="17" t="str">
        <x:v>No</x:v>
      </x:c>
      <x:c r="D257" s="17"/>
      <x:c r="E257" s="18"/>
      <x:c r="F257" s="17"/>
      <x:c r="G257" s="18"/>
      <x:c r="H257" s="17" t="str"/>
      <x:c r="I257" s="17" t="str"/>
      <x:c r="J257" s="17" t="str">
        <x:v>Not contacted</x:v>
      </x:c>
      <x:c r="K257" s="17" t="str">
        <x:v>Unknown</x:v>
      </x:c>
      <x:c r="L257" s="2" t="str">
        <x:f>IF(A257="","",IF(COUNTIFS($A$8:$A$507,A257)&lt;&gt;1,"Duplicate ID",IF(COUNTIFS(Data!$A$2:$A$501,A257)&lt;&gt;1,"Not current","Current")))</x:f>
        <x:v>Current</x:v>
      </x:c>
    </x:row>
    <x:row r="258" ht="32" customHeight="1">
      <x:c r="A258" s="2" t="str">
        <x:v>8410</x:v>
      </x:c>
      <x:c r="B258" s="20" t="str">
        <x:f>IF(A258="","",IF(COUNTIFS(Data!$A$2:$A$501,A258)=1,INDEX(Data!$B$2:$B$501,MATCH(A258,Data!$A$2:$A$501,0)),"Not in current directory"))</x:f>
        <x:v>Robert B. Pollock School</x:v>
      </x:c>
      <x:c r="C258" s="17" t="str">
        <x:v>No</x:v>
      </x:c>
      <x:c r="D258" s="17"/>
      <x:c r="E258" s="18"/>
      <x:c r="F258" s="17"/>
      <x:c r="G258" s="18"/>
      <x:c r="H258" s="17" t="str"/>
      <x:c r="I258" s="17" t="str"/>
      <x:c r="J258" s="17" t="str">
        <x:v>Not contacted</x:v>
      </x:c>
      <x:c r="K258" s="17" t="str">
        <x:v>Unknown</x:v>
      </x:c>
      <x:c r="L258" s="2" t="str">
        <x:f>IF(A258="","",IF(COUNTIFS($A$8:$A$507,A258)&lt;&gt;1,"Duplicate ID",IF(COUNTIFS(Data!$A$2:$A$501,A258)&lt;&gt;1,"Not current","Current")))</x:f>
        <x:v>Current</x:v>
      </x:c>
    </x:row>
    <x:row r="259" ht="32" customHeight="1">
      <x:c r="A259" s="2" t="str">
        <x:v>4320</x:v>
      </x:c>
      <x:c r="B259" s="20" t="str">
        <x:f>IF(A259="","",IF(COUNTIFS(Data!$A$2:$A$501,A259)=1,INDEX(Data!$B$2:$B$501,MATCH(A259,Data!$A$2:$A$501,0)),"Not in current directory"))</x:f>
        <x:v>Robert E. Lamberton School</x:v>
      </x:c>
      <x:c r="C259" s="17" t="str">
        <x:v>No</x:v>
      </x:c>
      <x:c r="D259" s="17"/>
      <x:c r="E259" s="18"/>
      <x:c r="F259" s="17"/>
      <x:c r="G259" s="18"/>
      <x:c r="H259" s="17" t="str"/>
      <x:c r="I259" s="17" t="str"/>
      <x:c r="J259" s="17" t="str">
        <x:v>Not contacted</x:v>
      </x:c>
      <x:c r="K259" s="17" t="str">
        <x:v>Unknown</x:v>
      </x:c>
      <x:c r="L259" s="2" t="str">
        <x:f>IF(A259="","",IF(COUNTIFS($A$8:$A$507,A259)&lt;&gt;1,"Duplicate ID",IF(COUNTIFS(Data!$A$2:$A$501,A259)&lt;&gt;1,"Not current","Current")))</x:f>
        <x:v>Current</x:v>
      </x:c>
    </x:row>
    <x:row r="260" ht="32" customHeight="1">
      <x:c r="A260" s="2" t="str">
        <x:v>2390</x:v>
      </x:c>
      <x:c r="B260" s="20" t="str">
        <x:f>IF(A260="","",IF(COUNTIFS(Data!$A$2:$A$501,A260)=1,INDEX(Data!$B$2:$B$501,MATCH(A260,Data!$A$2:$A$501,0)),"Not in current directory"))</x:f>
        <x:v>Robert Morris School</x:v>
      </x:c>
      <x:c r="C260" s="17" t="str">
        <x:v>No</x:v>
      </x:c>
      <x:c r="D260" s="17"/>
      <x:c r="E260" s="18"/>
      <x:c r="F260" s="17"/>
      <x:c r="G260" s="18"/>
      <x:c r="H260" s="17" t="str"/>
      <x:c r="I260" s="17" t="str"/>
      <x:c r="J260" s="17" t="str">
        <x:v>Not contacted</x:v>
      </x:c>
      <x:c r="K260" s="17" t="str">
        <x:v>Unknown</x:v>
      </x:c>
      <x:c r="L260" s="2" t="str">
        <x:f>IF(A260="","",IF(COUNTIFS($A$8:$A$507,A260)&lt;&gt;1,"Duplicate ID",IF(COUNTIFS(Data!$A$2:$A$501,A260)&lt;&gt;1,"Not current","Current")))</x:f>
        <x:v>Current</x:v>
      </x:c>
    </x:row>
    <x:row r="261" ht="32" customHeight="1">
      <x:c r="A261" s="2" t="str">
        <x:v>7730</x:v>
      </x:c>
      <x:c r="B261" s="20" t="str">
        <x:f>IF(A261="","",IF(COUNTIFS(Data!$A$2:$A$501,A261)=1,INDEX(Data!$B$2:$B$501,MATCH(A261,Data!$A$2:$A$501,0)),"Not in current directory"))</x:f>
        <x:v>Roberto Clemente Middle School</x:v>
      </x:c>
      <x:c r="C261" s="17" t="str">
        <x:v>No</x:v>
      </x:c>
      <x:c r="D261" s="17"/>
      <x:c r="E261" s="18"/>
      <x:c r="F261" s="17"/>
      <x:c r="G261" s="18"/>
      <x:c r="H261" s="17" t="str"/>
      <x:c r="I261" s="17" t="str"/>
      <x:c r="J261" s="17" t="str">
        <x:v>Not contacted</x:v>
      </x:c>
      <x:c r="K261" s="17" t="str">
        <x:v>Unknown</x:v>
      </x:c>
      <x:c r="L261" s="2" t="str">
        <x:f>IF(A261="","",IF(COUNTIFS($A$8:$A$507,A261)&lt;&gt;1,"Duplicate ID",IF(COUNTIFS(Data!$A$2:$A$501,A261)&lt;&gt;1,"Not current","Current")))</x:f>
        <x:v>Current</x:v>
      </x:c>
    </x:row>
    <x:row r="262" ht="32" customHeight="1">
      <x:c r="A262" s="2" t="str">
        <x:v>6030</x:v>
      </x:c>
      <x:c r="B262" s="20" t="str">
        <x:f>IF(A262="","",IF(COUNTIFS(Data!$A$2:$A$501,A262)=1,INDEX(Data!$B$2:$B$501,MATCH(A262,Data!$A$2:$A$501,0)),"Not in current directory"))</x:f>
        <x:v>Roxborough High School</x:v>
      </x:c>
      <x:c r="C262" s="17" t="str">
        <x:v>No</x:v>
      </x:c>
      <x:c r="D262" s="17"/>
      <x:c r="E262" s="18"/>
      <x:c r="F262" s="17"/>
      <x:c r="G262" s="18"/>
      <x:c r="H262" s="17" t="str"/>
      <x:c r="I262" s="17" t="str"/>
      <x:c r="J262" s="17" t="str">
        <x:v>Not contacted</x:v>
      </x:c>
      <x:c r="K262" s="17" t="str">
        <x:v>Unknown</x:v>
      </x:c>
      <x:c r="L262" s="2" t="str">
        <x:f>IF(A262="","",IF(COUNTIFS($A$8:$A$507,A262)&lt;&gt;1,"Duplicate ID",IF(COUNTIFS(Data!$A$2:$A$501,A262)&lt;&gt;1,"Not current","Current")))</x:f>
        <x:v>Current</x:v>
      </x:c>
    </x:row>
    <x:row r="263" ht="32" customHeight="1">
      <x:c r="A263" s="2" t="str">
        <x:v>1490</x:v>
      </x:c>
      <x:c r="B263" s="20" t="str">
        <x:f>IF(A263="","",IF(COUNTIFS(Data!$A$2:$A$501,A263)=1,INDEX(Data!$B$2:$B$501,MATCH(A263,Data!$A$2:$A$501,0)),"Not in current directory"))</x:f>
        <x:v>Rudolph Blankenburg School</x:v>
      </x:c>
      <x:c r="C263" s="17" t="str">
        <x:v>No</x:v>
      </x:c>
      <x:c r="D263" s="17"/>
      <x:c r="E263" s="18"/>
      <x:c r="F263" s="17"/>
      <x:c r="G263" s="18"/>
      <x:c r="H263" s="17" t="str"/>
      <x:c r="I263" s="17" t="str"/>
      <x:c r="J263" s="17" t="str">
        <x:v>Not contacted</x:v>
      </x:c>
      <x:c r="K263" s="17" t="str">
        <x:v>Unknown</x:v>
      </x:c>
      <x:c r="L263" s="2" t="str">
        <x:f>IF(A263="","",IF(COUNTIFS($A$8:$A$507,A263)&lt;&gt;1,"Duplicate ID",IF(COUNTIFS(Data!$A$2:$A$501,A263)&lt;&gt;1,"Not current","Current")))</x:f>
        <x:v>Current</x:v>
      </x:c>
    </x:row>
    <x:row r="264" ht="32" customHeight="1">
      <x:c r="A264" s="2" t="str">
        <x:v>3360</x:v>
      </x:c>
      <x:c r="B264" s="20" t="str">
        <x:f>IF(A264="","",IF(COUNTIFS(Data!$A$2:$A$501,A264)=1,INDEX(Data!$B$2:$B$501,MATCH(A264,Data!$A$2:$A$501,0)),"Not in current directory"))</x:f>
        <x:v>Russell Byers Charter School</x:v>
      </x:c>
      <x:c r="C264" s="17" t="str">
        <x:v>No</x:v>
      </x:c>
      <x:c r="D264" s="17"/>
      <x:c r="E264" s="18"/>
      <x:c r="F264" s="17"/>
      <x:c r="G264" s="18"/>
      <x:c r="H264" s="17" t="str"/>
      <x:c r="I264" s="17" t="str"/>
      <x:c r="J264" s="17" t="str">
        <x:v>Not contacted</x:v>
      </x:c>
      <x:c r="K264" s="17" t="str">
        <x:v>Unknown</x:v>
      </x:c>
      <x:c r="L264" s="2" t="str">
        <x:f>IF(A264="","",IF(COUNTIFS($A$8:$A$507,A264)&lt;&gt;1,"Duplicate ID",IF(COUNTIFS(Data!$A$2:$A$501,A264)&lt;&gt;1,"Not current","Current")))</x:f>
        <x:v>Current</x:v>
      </x:c>
    </x:row>
    <x:row r="265" ht="32" customHeight="1">
      <x:c r="A265" s="2" t="str">
        <x:v>5230</x:v>
      </x:c>
      <x:c r="B265" s="20" t="str">
        <x:f>IF(A265="","",IF(COUNTIFS(Data!$A$2:$A$501,A265)=1,INDEX(Data!$B$2:$B$501,MATCH(A265,Data!$A$2:$A$501,0)),"Not in current directory"))</x:f>
        <x:v>Russell H. Conwell School</x:v>
      </x:c>
      <x:c r="C265" s="17" t="str">
        <x:v>No</x:v>
      </x:c>
      <x:c r="D265" s="17"/>
      <x:c r="E265" s="18"/>
      <x:c r="F265" s="17"/>
      <x:c r="G265" s="18"/>
      <x:c r="H265" s="17" t="str"/>
      <x:c r="I265" s="17" t="str"/>
      <x:c r="J265" s="17" t="str">
        <x:v>Not contacted</x:v>
      </x:c>
      <x:c r="K265" s="17" t="str">
        <x:v>Unknown</x:v>
      </x:c>
      <x:c r="L265" s="2" t="str">
        <x:f>IF(A265="","",IF(COUNTIFS($A$8:$A$507,A265)&lt;&gt;1,"Duplicate ID",IF(COUNTIFS(Data!$A$2:$A$501,A265)&lt;&gt;1,"Not current","Current")))</x:f>
        <x:v>Current</x:v>
      </x:c>
    </x:row>
    <x:row r="266" ht="32" customHeight="1">
      <x:c r="A266" s="2" t="str">
        <x:v>1370</x:v>
      </x:c>
      <x:c r="B266" s="20" t="str">
        <x:f>IF(A266="","",IF(COUNTIFS(Data!$A$2:$A$501,A266)=1,INDEX(Data!$B$2:$B$501,MATCH(A266,Data!$A$2:$A$501,0)),"Not in current directory"))</x:f>
        <x:v>S. Weir Mitchell School</x:v>
      </x:c>
      <x:c r="C266" s="17" t="str">
        <x:v>No</x:v>
      </x:c>
      <x:c r="D266" s="17"/>
      <x:c r="E266" s="18"/>
      <x:c r="F266" s="17"/>
      <x:c r="G266" s="18"/>
      <x:c r="H266" s="17" t="str"/>
      <x:c r="I266" s="17" t="str"/>
      <x:c r="J266" s="17" t="str">
        <x:v>Not contacted</x:v>
      </x:c>
      <x:c r="K266" s="17" t="str">
        <x:v>Unknown</x:v>
      </x:c>
      <x:c r="L266" s="2" t="str">
        <x:f>IF(A266="","",IF(COUNTIFS($A$8:$A$507,A266)&lt;&gt;1,"Duplicate ID",IF(COUNTIFS(Data!$A$2:$A$501,A266)&lt;&gt;1,"Not current","Current")))</x:f>
        <x:v>Current</x:v>
      </x:c>
    </x:row>
    <x:row r="267" ht="32" customHeight="1">
      <x:c r="A267" s="2" t="str">
        <x:v>1280</x:v>
      </x:c>
      <x:c r="B267" s="20" t="str">
        <x:f>IF(A267="","",IF(COUNTIFS(Data!$A$2:$A$501,A267)=1,INDEX(Data!$B$2:$B$501,MATCH(A267,Data!$A$2:$A$501,0)),"Not in current directory"))</x:f>
        <x:v>Sadie T.M. Alexander UPenn Partnership School</x:v>
      </x:c>
      <x:c r="C267" s="17" t="str">
        <x:v>No</x:v>
      </x:c>
      <x:c r="D267" s="17"/>
      <x:c r="E267" s="18"/>
      <x:c r="F267" s="17"/>
      <x:c r="G267" s="18"/>
      <x:c r="H267" s="17" t="str"/>
      <x:c r="I267" s="17" t="str"/>
      <x:c r="J267" s="17" t="str">
        <x:v>Not contacted</x:v>
      </x:c>
      <x:c r="K267" s="17" t="str">
        <x:v>Unknown</x:v>
      </x:c>
      <x:c r="L267" s="2" t="str">
        <x:f>IF(A267="","",IF(COUNTIFS($A$8:$A$507,A267)&lt;&gt;1,"Duplicate ID",IF(COUNTIFS(Data!$A$2:$A$501,A267)&lt;&gt;1,"Not current","Current")))</x:f>
        <x:v>Current</x:v>
      </x:c>
    </x:row>
    <x:row r="268" ht="32" customHeight="1">
      <x:c r="A268" s="2" t="str">
        <x:v>7120</x:v>
      </x:c>
      <x:c r="B268" s="20" t="str">
        <x:f>IF(A268="","",IF(COUNTIFS(Data!$A$2:$A$501,A268)=1,INDEX(Data!$B$2:$B$501,MATCH(A268,Data!$A$2:$A$501,0)),"Not in current directory"))</x:f>
        <x:v>Samuel Fels High School</x:v>
      </x:c>
      <x:c r="C268" s="17" t="str">
        <x:v>No</x:v>
      </x:c>
      <x:c r="D268" s="17"/>
      <x:c r="E268" s="18"/>
      <x:c r="F268" s="17"/>
      <x:c r="G268" s="18"/>
      <x:c r="H268" s="17" t="str"/>
      <x:c r="I268" s="17" t="str"/>
      <x:c r="J268" s="17" t="str">
        <x:v>Not contacted</x:v>
      </x:c>
      <x:c r="K268" s="17" t="str">
        <x:v>Unknown</x:v>
      </x:c>
      <x:c r="L268" s="2" t="str">
        <x:f>IF(A268="","",IF(COUNTIFS($A$8:$A$507,A268)&lt;&gt;1,"Duplicate ID",IF(COUNTIFS(Data!$A$2:$A$501,A268)&lt;&gt;1,"Not current","Current")))</x:f>
        <x:v>Current</x:v>
      </x:c>
    </x:row>
    <x:row r="269" ht="32" customHeight="1">
      <x:c r="A269" s="2" t="str">
        <x:v>4280</x:v>
      </x:c>
      <x:c r="B269" s="20" t="str">
        <x:f>IF(A269="","",IF(COUNTIFS(Data!$A$2:$A$501,A269)=1,INDEX(Data!$B$2:$B$501,MATCH(A269,Data!$A$2:$A$501,0)),"Not in current directory"))</x:f>
        <x:v>Samuel Gompers School</x:v>
      </x:c>
      <x:c r="C269" s="17" t="str">
        <x:v>No</x:v>
      </x:c>
      <x:c r="D269" s="17"/>
      <x:c r="E269" s="18"/>
      <x:c r="F269" s="17"/>
      <x:c r="G269" s="18"/>
      <x:c r="H269" s="17" t="str"/>
      <x:c r="I269" s="17" t="str"/>
      <x:c r="J269" s="17" t="str">
        <x:v>Not contacted</x:v>
      </x:c>
      <x:c r="K269" s="17" t="str">
        <x:v>Unknown</x:v>
      </x:c>
      <x:c r="L269" s="2" t="str">
        <x:f>IF(A269="","",IF(COUNTIFS($A$8:$A$507,A269)&lt;&gt;1,"Duplicate ID",IF(COUNTIFS(Data!$A$2:$A$501,A269)&lt;&gt;1,"Not current","Current")))</x:f>
        <x:v>Current</x:v>
      </x:c>
    </x:row>
    <x:row r="270" ht="32" customHeight="1">
      <x:c r="A270" s="2" t="str">
        <x:v>6350</x:v>
      </x:c>
      <x:c r="B270" s="20" t="str">
        <x:f>IF(A270="","",IF(COUNTIFS(Data!$A$2:$A$501,A270)=1,INDEX(Data!$B$2:$B$501,MATCH(A270,Data!$A$2:$A$501,0)),"Not in current directory"))</x:f>
        <x:v>Samuel Pennypacker School</x:v>
      </x:c>
      <x:c r="C270" s="17" t="str">
        <x:v>No</x:v>
      </x:c>
      <x:c r="D270" s="17"/>
      <x:c r="E270" s="18"/>
      <x:c r="F270" s="17"/>
      <x:c r="G270" s="18"/>
      <x:c r="H270" s="17" t="str"/>
      <x:c r="I270" s="17" t="str"/>
      <x:c r="J270" s="17" t="str">
        <x:v>Not contacted</x:v>
      </x:c>
      <x:c r="K270" s="17" t="str">
        <x:v>Unknown</x:v>
      </x:c>
      <x:c r="L270" s="2" t="str">
        <x:f>IF(A270="","",IF(COUNTIFS($A$8:$A$507,A270)&lt;&gt;1,"Duplicate ID",IF(COUNTIFS(Data!$A$2:$A$501,A270)&lt;&gt;1,"Not current","Current")))</x:f>
        <x:v>Current</x:v>
      </x:c>
    </x:row>
    <x:row r="271" ht="32" customHeight="1">
      <x:c r="A271" s="2" t="str">
        <x:v>1390</x:v>
      </x:c>
      <x:c r="B271" s="20" t="str">
        <x:f>IF(A271="","",IF(COUNTIFS(Data!$A$2:$A$501,A271)=1,INDEX(Data!$B$2:$B$501,MATCH(A271,Data!$A$2:$A$501,0)),"Not in current directory"))</x:f>
        <x:v>Samuel Powel School</x:v>
      </x:c>
      <x:c r="C271" s="17" t="str">
        <x:v>No</x:v>
      </x:c>
      <x:c r="D271" s="17"/>
      <x:c r="E271" s="18"/>
      <x:c r="F271" s="17"/>
      <x:c r="G271" s="18"/>
      <x:c r="H271" s="17" t="str"/>
      <x:c r="I271" s="17" t="str"/>
      <x:c r="J271" s="17" t="str">
        <x:v>Not contacted</x:v>
      </x:c>
      <x:c r="K271" s="17" t="str">
        <x:v>Unknown</x:v>
      </x:c>
      <x:c r="L271" s="2" t="str">
        <x:f>IF(A271="","",IF(COUNTIFS($A$8:$A$507,A271)&lt;&gt;1,"Duplicate ID",IF(COUNTIFS(Data!$A$2:$A$501,A271)&lt;&gt;1,"Not current","Current")))</x:f>
        <x:v>Current</x:v>
      </x:c>
    </x:row>
    <x:row r="272" ht="32" customHeight="1">
      <x:c r="A272" s="2" t="str">
        <x:v>3399</x:v>
      </x:c>
      <x:c r="B272" s="20" t="str">
        <x:f>IF(A272="","",IF(COUNTIFS(Data!$A$2:$A$501,A272)=1,INDEX(Data!$B$2:$B$501,MATCH(A272,Data!$A$2:$A$501,0)),"Not in current directory"))</x:f>
        <x:v>Sankofa Freedom Academy Charter School</x:v>
      </x:c>
      <x:c r="C272" s="17" t="str">
        <x:v>No</x:v>
      </x:c>
      <x:c r="D272" s="17"/>
      <x:c r="E272" s="18"/>
      <x:c r="F272" s="17"/>
      <x:c r="G272" s="18"/>
      <x:c r="H272" s="17" t="str"/>
      <x:c r="I272" s="17" t="str"/>
      <x:c r="J272" s="17" t="str">
        <x:v>Not contacted</x:v>
      </x:c>
      <x:c r="K272" s="17" t="str">
        <x:v>Unknown</x:v>
      </x:c>
      <x:c r="L272" s="2" t="str">
        <x:f>IF(A272="","",IF(COUNTIFS($A$8:$A$507,A272)&lt;&gt;1,"Duplicate ID",IF(COUNTIFS(Data!$A$2:$A$501,A272)&lt;&gt;1,"Not current","Current")))</x:f>
        <x:v>Current</x:v>
      </x:c>
    </x:row>
    <x:row r="273" ht="32" customHeight="1">
      <x:c r="A273" s="2" t="str">
        <x:v>2650</x:v>
      </x:c>
      <x:c r="B273" s="20" t="str">
        <x:f>IF(A273="","",IF(COUNTIFS(Data!$A$2:$A$501,A273)=1,INDEX(Data!$B$2:$B$501,MATCH(A273,Data!$A$2:$A$501,0)),"Not in current directory"))</x:f>
        <x:v>Science Leadership Academy High School</x:v>
      </x:c>
      <x:c r="C273" s="17" t="str">
        <x:v>No</x:v>
      </x:c>
      <x:c r="D273" s="17"/>
      <x:c r="E273" s="18"/>
      <x:c r="F273" s="17"/>
      <x:c r="G273" s="18"/>
      <x:c r="H273" s="17" t="str"/>
      <x:c r="I273" s="17" t="str"/>
      <x:c r="J273" s="17" t="str">
        <x:v>Not contacted</x:v>
      </x:c>
      <x:c r="K273" s="17" t="str">
        <x:v>Unknown</x:v>
      </x:c>
      <x:c r="L273" s="2" t="str">
        <x:f>IF(A273="","",IF(COUNTIFS($A$8:$A$507,A273)&lt;&gt;1,"Duplicate ID",IF(COUNTIFS(Data!$A$2:$A$501,A273)&lt;&gt;1,"Not current","Current")))</x:f>
        <x:v>Current</x:v>
      </x:c>
    </x:row>
    <x:row r="274" ht="32" customHeight="1">
      <x:c r="A274" s="2" t="str">
        <x:v>2050</x:v>
      </x:c>
      <x:c r="B274" s="20" t="str">
        <x:f>IF(A274="","",IF(COUNTIFS(Data!$A$2:$A$501,A274)=1,INDEX(Data!$B$2:$B$501,MATCH(A274,Data!$A$2:$A$501,0)),"Not in current directory"))</x:f>
        <x:v>Science Leadership Academy Middle School</x:v>
      </x:c>
      <x:c r="C274" s="17" t="str">
        <x:v>No</x:v>
      </x:c>
      <x:c r="D274" s="17"/>
      <x:c r="E274" s="18"/>
      <x:c r="F274" s="17"/>
      <x:c r="G274" s="18"/>
      <x:c r="H274" s="17" t="str"/>
      <x:c r="I274" s="17" t="str"/>
      <x:c r="J274" s="17" t="str">
        <x:v>Not contacted</x:v>
      </x:c>
      <x:c r="K274" s="17" t="str">
        <x:v>Unknown</x:v>
      </x:c>
      <x:c r="L274" s="2" t="str">
        <x:f>IF(A274="","",IF(COUNTIFS($A$8:$A$507,A274)&lt;&gt;1,"Duplicate ID",IF(COUNTIFS(Data!$A$2:$A$501,A274)&lt;&gt;1,"Not current","Current")))</x:f>
        <x:v>Current</x:v>
      </x:c>
    </x:row>
    <x:row r="275" ht="32" customHeight="1">
      <x:c r="A275" s="2" t="str">
        <x:v>6380</x:v>
      </x:c>
      <x:c r="B275" s="20" t="str">
        <x:f>IF(A275="","",IF(COUNTIFS(Data!$A$2:$A$501,A275)=1,INDEX(Data!$B$2:$B$501,MATCH(A275,Data!$A$2:$A$501,0)),"Not in current directory"))</x:f>
        <x:v>Shawmont School</x:v>
      </x:c>
      <x:c r="C275" s="17" t="str">
        <x:v>No</x:v>
      </x:c>
      <x:c r="D275" s="17"/>
      <x:c r="E275" s="18"/>
      <x:c r="F275" s="17"/>
      <x:c r="G275" s="18"/>
      <x:c r="H275" s="17" t="str"/>
      <x:c r="I275" s="17" t="str"/>
      <x:c r="J275" s="17" t="str">
        <x:v>Not contacted</x:v>
      </x:c>
      <x:c r="K275" s="17" t="str">
        <x:v>Unknown</x:v>
      </x:c>
      <x:c r="L275" s="2" t="str">
        <x:f>IF(A275="","",IF(COUNTIFS($A$8:$A$507,A275)&lt;&gt;1,"Duplicate ID",IF(COUNTIFS(Data!$A$2:$A$501,A275)&lt;&gt;1,"Not current","Current")))</x:f>
        <x:v>Current</x:v>
      </x:c>
    </x:row>
    <x:row r="276" ht="32" customHeight="1">
      <x:c r="A276" s="2" t="str">
        <x:v>8340</x:v>
      </x:c>
      <x:c r="B276" s="20" t="str">
        <x:f>IF(A276="","",IF(COUNTIFS(Data!$A$2:$A$501,A276)=1,INDEX(Data!$B$2:$B$501,MATCH(A276,Data!$A$2:$A$501,0)),"Not in current directory"))</x:f>
        <x:v>Solomon Solis-Cohen School</x:v>
      </x:c>
      <x:c r="C276" s="17" t="str">
        <x:v>No</x:v>
      </x:c>
      <x:c r="D276" s="17"/>
      <x:c r="E276" s="18"/>
      <x:c r="F276" s="17"/>
      <x:c r="G276" s="18"/>
      <x:c r="H276" s="17" t="str"/>
      <x:c r="I276" s="17" t="str"/>
      <x:c r="J276" s="17" t="str">
        <x:v>Not contacted</x:v>
      </x:c>
      <x:c r="K276" s="17" t="str">
        <x:v>Unknown</x:v>
      </x:c>
      <x:c r="L276" s="2" t="str">
        <x:f>IF(A276="","",IF(COUNTIFS($A$8:$A$507,A276)&lt;&gt;1,"Duplicate ID",IF(COUNTIFS(Data!$A$2:$A$501,A276)&lt;&gt;1,"Not current","Current")))</x:f>
        <x:v>Current</x:v>
      </x:c>
    </x:row>
    <x:row r="277" ht="32" customHeight="1">
      <x:c r="A277" s="2" t="str">
        <x:v>2000</x:v>
      </x:c>
      <x:c r="B277" s="20" t="str">
        <x:f>IF(A277="","",IF(COUNTIFS(Data!$A$2:$A$501,A277)=1,INDEX(Data!$B$2:$B$501,MATCH(A277,Data!$A$2:$A$501,0)),"Not in current directory"))</x:f>
        <x:v>South Philadelphia High School</x:v>
      </x:c>
      <x:c r="C277" s="17" t="str">
        <x:v>No</x:v>
      </x:c>
      <x:c r="D277" s="17"/>
      <x:c r="E277" s="18"/>
      <x:c r="F277" s="17"/>
      <x:c r="G277" s="18"/>
      <x:c r="H277" s="17" t="str"/>
      <x:c r="I277" s="17" t="str"/>
      <x:c r="J277" s="17" t="str">
        <x:v>Not contacted</x:v>
      </x:c>
      <x:c r="K277" s="17" t="str">
        <x:v>Unknown</x:v>
      </x:c>
      <x:c r="L277" s="2" t="str">
        <x:f>IF(A277="","",IF(COUNTIFS($A$8:$A$507,A277)&lt;&gt;1,"Duplicate ID",IF(COUNTIFS(Data!$A$2:$A$501,A277)&lt;&gt;1,"Not current","Current")))</x:f>
        <x:v>Current</x:v>
      </x:c>
    </x:row>
    <x:row r="278" ht="32" customHeight="1">
      <x:c r="A278" s="2" t="str">
        <x:v>3880</x:v>
      </x:c>
      <x:c r="B278" s="20" t="str">
        <x:f>IF(A278="","",IF(COUNTIFS(Data!$A$2:$A$501,A278)=1,INDEX(Data!$B$2:$B$501,MATCH(A278,Data!$A$2:$A$501,0)),"Not in current directory"))</x:f>
        <x:v>South Philadelphia High School EOP</x:v>
      </x:c>
      <x:c r="C278" s="17" t="str">
        <x:v>No</x:v>
      </x:c>
      <x:c r="D278" s="17"/>
      <x:c r="E278" s="18"/>
      <x:c r="F278" s="17"/>
      <x:c r="G278" s="18"/>
      <x:c r="H278" s="17" t="str"/>
      <x:c r="I278" s="17" t="str"/>
      <x:c r="J278" s="17" t="str">
        <x:v>Not contacted</x:v>
      </x:c>
      <x:c r="K278" s="17" t="str">
        <x:v>Unknown</x:v>
      </x:c>
      <x:c r="L278" s="2" t="str">
        <x:f>IF(A278="","",IF(COUNTIFS($A$8:$A$507,A278)&lt;&gt;1,"Duplicate ID",IF(COUNTIFS(Data!$A$2:$A$501,A278)&lt;&gt;1,"Not current","Current")))</x:f>
        <x:v>Current</x:v>
      </x:c>
    </x:row>
    <x:row r="279" ht="32" customHeight="1">
      <x:c r="A279" s="2" t="str">
        <x:v>2640</x:v>
      </x:c>
      <x:c r="B279" s="20" t="str">
        <x:f>IF(A279="","",IF(COUNTIFS(Data!$A$2:$A$501,A279)=1,INDEX(Data!$B$2:$B$501,MATCH(A279,Data!$A$2:$A$501,0)),"Not in current directory"))</x:f>
        <x:v>Southwark School</x:v>
      </x:c>
      <x:c r="C279" s="17" t="str">
        <x:v>No</x:v>
      </x:c>
      <x:c r="D279" s="17"/>
      <x:c r="E279" s="18"/>
      <x:c r="F279" s="17"/>
      <x:c r="G279" s="18"/>
      <x:c r="H279" s="17" t="str"/>
      <x:c r="I279" s="17" t="str"/>
      <x:c r="J279" s="17" t="str">
        <x:v>Not contacted</x:v>
      </x:c>
      <x:c r="K279" s="17" t="str">
        <x:v>Unknown</x:v>
      </x:c>
      <x:c r="L279" s="2" t="str">
        <x:f>IF(A279="","",IF(COUNTIFS($A$8:$A$507,A279)&lt;&gt;1,"Duplicate ID",IF(COUNTIFS(Data!$A$2:$A$501,A279)&lt;&gt;1,"Not current","Current")))</x:f>
        <x:v>Current</x:v>
      </x:c>
    </x:row>
    <x:row r="280" ht="32" customHeight="1">
      <x:c r="A280" s="2" t="str">
        <x:v>3392</x:v>
      </x:c>
      <x:c r="B280" s="20" t="str">
        <x:f>IF(A280="","",IF(COUNTIFS(Data!$A$2:$A$501,A280)=1,INDEX(Data!$B$2:$B$501,MATCH(A280,Data!$A$2:$A$501,0)),"Not in current directory"))</x:f>
        <x:v>Southwest Leadership Academy Charter School</x:v>
      </x:c>
      <x:c r="C280" s="17" t="str">
        <x:v>No</x:v>
      </x:c>
      <x:c r="D280" s="17"/>
      <x:c r="E280" s="18"/>
      <x:c r="F280" s="17"/>
      <x:c r="G280" s="18"/>
      <x:c r="H280" s="17" t="str"/>
      <x:c r="I280" s="17" t="str"/>
      <x:c r="J280" s="17" t="str">
        <x:v>Not contacted</x:v>
      </x:c>
      <x:c r="K280" s="17" t="str">
        <x:v>Unknown</x:v>
      </x:c>
      <x:c r="L280" s="2" t="str">
        <x:f>IF(A280="","",IF(COUNTIFS($A$8:$A$507,A280)&lt;&gt;1,"Duplicate ID",IF(COUNTIFS(Data!$A$2:$A$501,A280)&lt;&gt;1,"Not current","Current")))</x:f>
        <x:v>Current</x:v>
      </x:c>
    </x:row>
    <x:row r="281" ht="32" customHeight="1">
      <x:c r="A281" s="2" t="str">
        <x:v>5560</x:v>
      </x:c>
      <x:c r="B281" s="20" t="str">
        <x:f>IF(A281="","",IF(COUNTIFS(Data!$A$2:$A$501,A281)=1,INDEX(Data!$B$2:$B$501,MATCH(A281,Data!$A$2:$A$501,0)),"Not in current directory"))</x:f>
        <x:v>Spring Garden School</x:v>
      </x:c>
      <x:c r="C281" s="17" t="str">
        <x:v>No</x:v>
      </x:c>
      <x:c r="D281" s="17"/>
      <x:c r="E281" s="18"/>
      <x:c r="F281" s="17"/>
      <x:c r="G281" s="18"/>
      <x:c r="H281" s="17" t="str"/>
      <x:c r="I281" s="17" t="str"/>
      <x:c r="J281" s="17" t="str">
        <x:v>Not contacted</x:v>
      </x:c>
      <x:c r="K281" s="17" t="str">
        <x:v>Unknown</x:v>
      </x:c>
      <x:c r="L281" s="2" t="str">
        <x:f>IF(A281="","",IF(COUNTIFS($A$8:$A$507,A281)&lt;&gt;1,"Duplicate ID",IF(COUNTIFS(Data!$A$2:$A$501,A281)&lt;&gt;1,"Not current","Current")))</x:f>
        <x:v>Current</x:v>
      </x:c>
    </x:row>
    <x:row r="282" ht="32" customHeight="1">
      <x:c r="A282" s="2" t="str">
        <x:v>8420</x:v>
      </x:c>
      <x:c r="B282" s="20" t="str">
        <x:f>IF(A282="","",IF(COUNTIFS(Data!$A$2:$A$501,A282)=1,INDEX(Data!$B$2:$B$501,MATCH(A282,Data!$A$2:$A$501,0)),"Not in current directory"))</x:f>
        <x:v>Stephen Decatur School</x:v>
      </x:c>
      <x:c r="C282" s="17" t="str">
        <x:v>No</x:v>
      </x:c>
      <x:c r="D282" s="17"/>
      <x:c r="E282" s="18"/>
      <x:c r="F282" s="17"/>
      <x:c r="G282" s="18"/>
      <x:c r="H282" s="17" t="str"/>
      <x:c r="I282" s="17" t="str"/>
      <x:c r="J282" s="17" t="str">
        <x:v>Not contacted</x:v>
      </x:c>
      <x:c r="K282" s="17" t="str">
        <x:v>Unknown</x:v>
      </x:c>
      <x:c r="L282" s="2" t="str">
        <x:f>IF(A282="","",IF(COUNTIFS($A$8:$A$507,A282)&lt;&gt;1,"Duplicate ID",IF(COUNTIFS(Data!$A$2:$A$501,A282)&lt;&gt;1,"Not current","Current")))</x:f>
        <x:v>Current</x:v>
      </x:c>
    </x:row>
    <x:row r="283" ht="32" customHeight="1">
      <x:c r="A283" s="2" t="str">
        <x:v>2320</x:v>
      </x:c>
      <x:c r="B283" s="20" t="str">
        <x:f>IF(A283="","",IF(COUNTIFS(Data!$A$2:$A$501,A283)=1,INDEX(Data!$B$2:$B$501,MATCH(A283,Data!$A$2:$A$501,0)),"Not in current directory"))</x:f>
        <x:v>Stephen Girard School</x:v>
      </x:c>
      <x:c r="C283" s="17" t="str">
        <x:v>No</x:v>
      </x:c>
      <x:c r="D283" s="17"/>
      <x:c r="E283" s="18"/>
      <x:c r="F283" s="17"/>
      <x:c r="G283" s="18"/>
      <x:c r="H283" s="17" t="str"/>
      <x:c r="I283" s="17" t="str"/>
      <x:c r="J283" s="17" t="str">
        <x:v>Not contacted</x:v>
      </x:c>
      <x:c r="K283" s="17" t="str">
        <x:v>Unknown</x:v>
      </x:c>
      <x:c r="L283" s="2" t="str">
        <x:f>IF(A283="","",IF(COUNTIFS($A$8:$A$507,A283)&lt;&gt;1,"Duplicate ID",IF(COUNTIFS(Data!$A$2:$A$501,A283)&lt;&gt;1,"Not current","Current")))</x:f>
        <x:v>Current</x:v>
      </x:c>
    </x:row>
    <x:row r="284" ht="32" customHeight="1">
      <x:c r="A284" s="2" t="str">
        <x:v>5581</x:v>
      </x:c>
      <x:c r="B284" s="20" t="str">
        <x:f>IF(A284="","",IF(COUNTIFS(Data!$A$2:$A$501,A284)=1,INDEX(Data!$B$2:$B$501,MATCH(A284,Data!$A$2:$A$501,0)),"Not in current directory"))</x:f>
        <x:v>Stetson Middle School Continuation Academy</x:v>
      </x:c>
      <x:c r="C284" s="17" t="str">
        <x:v>No</x:v>
      </x:c>
      <x:c r="D284" s="17"/>
      <x:c r="E284" s="18"/>
      <x:c r="F284" s="17"/>
      <x:c r="G284" s="18"/>
      <x:c r="H284" s="17" t="str"/>
      <x:c r="I284" s="17" t="str"/>
      <x:c r="J284" s="17" t="str">
        <x:v>Not contacted</x:v>
      </x:c>
      <x:c r="K284" s="17" t="str">
        <x:v>Unknown</x:v>
      </x:c>
      <x:c r="L284" s="2" t="str">
        <x:f>IF(A284="","",IF(COUNTIFS($A$8:$A$507,A284)&lt;&gt;1,"Duplicate ID",IF(COUNTIFS(Data!$A$2:$A$501,A284)&lt;&gt;1,"Not current","Current")))</x:f>
        <x:v>Current</x:v>
      </x:c>
    </x:row>
    <x:row r="285" ht="32" customHeight="1">
      <x:c r="A285" s="2" t="str">
        <x:v>4140</x:v>
      </x:c>
      <x:c r="B285" s="20" t="str">
        <x:f>IF(A285="","",IF(COUNTIFS(Data!$A$2:$A$501,A285)=1,INDEX(Data!$B$2:$B$501,MATCH(A285,Data!$A$2:$A$501,0)),"Not in current directory"))</x:f>
        <x:v>Strawberry Mansion High School</x:v>
      </x:c>
      <x:c r="C285" s="17" t="str">
        <x:v>No</x:v>
      </x:c>
      <x:c r="D285" s="17"/>
      <x:c r="E285" s="18"/>
      <x:c r="F285" s="17"/>
      <x:c r="G285" s="18"/>
      <x:c r="H285" s="17" t="str"/>
      <x:c r="I285" s="17" t="str"/>
      <x:c r="J285" s="17" t="str">
        <x:v>Not contacted</x:v>
      </x:c>
      <x:c r="K285" s="17" t="str">
        <x:v>Unknown</x:v>
      </x:c>
      <x:c r="L285" s="2" t="str">
        <x:f>IF(A285="","",IF(COUNTIFS($A$8:$A$507,A285)&lt;&gt;1,"Duplicate ID",IF(COUNTIFS(Data!$A$2:$A$501,A285)&lt;&gt;1,"Not current","Current")))</x:f>
        <x:v>Current</x:v>
      </x:c>
    </x:row>
    <x:row r="286" ht="32" customHeight="1">
      <x:c r="A286" s="2" t="str">
        <x:v>8090</x:v>
      </x:c>
      <x:c r="B286" s="20" t="str">
        <x:f>IF(A286="","",IF(COUNTIFS(Data!$A$2:$A$501,A286)=1,INDEX(Data!$B$2:$B$501,MATCH(A286,Data!$A$2:$A$501,0)),"Not in current directory"))</x:f>
        <x:v>Swenson Arts and Technology High School</x:v>
      </x:c>
      <x:c r="C286" s="17" t="str">
        <x:v>No</x:v>
      </x:c>
      <x:c r="D286" s="17"/>
      <x:c r="E286" s="18"/>
      <x:c r="F286" s="17"/>
      <x:c r="G286" s="18"/>
      <x:c r="H286" s="17" t="str"/>
      <x:c r="I286" s="17" t="str"/>
      <x:c r="J286" s="17" t="str">
        <x:v>Not contacted</x:v>
      </x:c>
      <x:c r="K286" s="17" t="str">
        <x:v>Unknown</x:v>
      </x:c>
      <x:c r="L286" s="2" t="str">
        <x:f>IF(A286="","",IF(COUNTIFS($A$8:$A$507,A286)&lt;&gt;1,"Duplicate ID",IF(COUNTIFS(Data!$A$2:$A$501,A286)&lt;&gt;1,"Not current","Current")))</x:f>
        <x:v>Current</x:v>
      </x:c>
    </x:row>
    <x:row r="287" ht="32" customHeight="1">
      <x:c r="A287" s="2" t="str">
        <x:v>3404</x:v>
      </x:c>
      <x:c r="B287" s="20" t="str">
        <x:f>IF(A287="","",IF(COUNTIFS(Data!$A$2:$A$501,A287)=1,INDEX(Data!$B$2:$B$501,MATCH(A287,Data!$A$2:$A$501,0)),"Not in current directory"))</x:f>
        <x:v>Tacony Academy Charter School</x:v>
      </x:c>
      <x:c r="C287" s="17" t="str">
        <x:v>No</x:v>
      </x:c>
      <x:c r="D287" s="17"/>
      <x:c r="E287" s="18"/>
      <x:c r="F287" s="17"/>
      <x:c r="G287" s="18"/>
      <x:c r="H287" s="17" t="str"/>
      <x:c r="I287" s="17" t="str"/>
      <x:c r="J287" s="17" t="str">
        <x:v>Not contacted</x:v>
      </x:c>
      <x:c r="K287" s="17" t="str">
        <x:v>Unknown</x:v>
      </x:c>
      <x:c r="L287" s="2" t="str">
        <x:f>IF(A287="","",IF(COUNTIFS($A$8:$A$507,A287)&lt;&gt;1,"Duplicate ID",IF(COUNTIFS(Data!$A$2:$A$501,A287)&lt;&gt;1,"Not current","Current")))</x:f>
        <x:v>Current</x:v>
      </x:c>
    </x:row>
    <x:row r="288" ht="32" customHeight="1">
      <x:c r="A288" s="2" t="str">
        <x:v>4460</x:v>
      </x:c>
      <x:c r="B288" s="20" t="str">
        <x:f>IF(A288="","",IF(COUNTIFS(Data!$A$2:$A$501,A288)=1,INDEX(Data!$B$2:$B$501,MATCH(A288,Data!$A$2:$A$501,0)),"Not in current directory"))</x:f>
        <x:v>Tanner G. Duckrey School</x:v>
      </x:c>
      <x:c r="C288" s="17" t="str">
        <x:v>No</x:v>
      </x:c>
      <x:c r="D288" s="17"/>
      <x:c r="E288" s="18"/>
      <x:c r="F288" s="17"/>
      <x:c r="G288" s="18"/>
      <x:c r="H288" s="17" t="str"/>
      <x:c r="I288" s="17" t="str"/>
      <x:c r="J288" s="17" t="str">
        <x:v>Not contacted</x:v>
      </x:c>
      <x:c r="K288" s="17" t="str">
        <x:v>Unknown</x:v>
      </x:c>
      <x:c r="L288" s="2" t="str">
        <x:f>IF(A288="","",IF(COUNTIFS($A$8:$A$507,A288)&lt;&gt;1,"Duplicate ID",IF(COUNTIFS(Data!$A$2:$A$501,A288)&lt;&gt;1,"Not current","Current")))</x:f>
        <x:v>Current</x:v>
      </x:c>
    </x:row>
    <x:row r="289" ht="32" customHeight="1">
      <x:c r="A289" s="2" t="str">
        <x:v>3441</x:v>
      </x:c>
      <x:c r="B289" s="20" t="str">
        <x:f>IF(A289="","",IF(COUNTIFS(Data!$A$2:$A$501,A289)=1,INDEX(Data!$B$2:$B$501,MATCH(A289,Data!$A$2:$A$501,0)),"Not in current directory"))</x:f>
        <x:v>TECH Freire Charter School</x:v>
      </x:c>
      <x:c r="C289" s="17" t="str">
        <x:v>No</x:v>
      </x:c>
      <x:c r="D289" s="17"/>
      <x:c r="E289" s="18"/>
      <x:c r="F289" s="17"/>
      <x:c r="G289" s="18"/>
      <x:c r="H289" s="17" t="str"/>
      <x:c r="I289" s="17" t="str"/>
      <x:c r="J289" s="17" t="str">
        <x:v>Not contacted</x:v>
      </x:c>
      <x:c r="K289" s="17" t="str">
        <x:v>Unknown</x:v>
      </x:c>
      <x:c r="L289" s="2" t="str">
        <x:f>IF(A289="","",IF(COUNTIFS($A$8:$A$507,A289)&lt;&gt;1,"Duplicate ID",IF(COUNTIFS(Data!$A$2:$A$501,A289)&lt;&gt;1,"Not current","Current")))</x:f>
        <x:v>Current</x:v>
      </x:c>
    </x:row>
    <x:row r="290" ht="32" customHeight="1">
      <x:c r="A290" s="2" t="str">
        <x:v>3292</x:v>
      </x:c>
      <x:c r="B290" s="20" t="str">
        <x:f>IF(A290="","",IF(COUNTIFS(Data!$A$2:$A$501,A290)=1,INDEX(Data!$B$2:$B$501,MATCH(A290,Data!$A$2:$A$501,0)),"Not in current directory"))</x:f>
        <x:v>The Academy of Continued Education School</x:v>
      </x:c>
      <x:c r="C290" s="17" t="str">
        <x:v>No</x:v>
      </x:c>
      <x:c r="D290" s="17"/>
      <x:c r="E290" s="18"/>
      <x:c r="F290" s="17"/>
      <x:c r="G290" s="18"/>
      <x:c r="H290" s="17" t="str"/>
      <x:c r="I290" s="17" t="str"/>
      <x:c r="J290" s="17" t="str">
        <x:v>Not contacted</x:v>
      </x:c>
      <x:c r="K290" s="17" t="str">
        <x:v>Unknown</x:v>
      </x:c>
      <x:c r="L290" s="2" t="str">
        <x:f>IF(A290="","",IF(COUNTIFS($A$8:$A$507,A290)&lt;&gt;1,"Duplicate ID",IF(COUNTIFS(Data!$A$2:$A$501,A290)&lt;&gt;1,"Not current","Current")))</x:f>
        <x:v>Current</x:v>
      </x:c>
    </x:row>
    <x:row r="291" ht="32" customHeight="1">
      <x:c r="A291" s="2" t="str">
        <x:v>3240</x:v>
      </x:c>
      <x:c r="B291" s="20" t="str">
        <x:f>IF(A291="","",IF(COUNTIFS(Data!$A$2:$A$501,A291)=1,INDEX(Data!$B$2:$B$501,MATCH(A291,Data!$A$2:$A$501,0)),"Not in current directory"))</x:f>
        <x:v>The Fortis Program</x:v>
      </x:c>
      <x:c r="C291" s="17" t="str">
        <x:v>No</x:v>
      </x:c>
      <x:c r="D291" s="17"/>
      <x:c r="E291" s="18"/>
      <x:c r="F291" s="17"/>
      <x:c r="G291" s="18"/>
      <x:c r="H291" s="17" t="str"/>
      <x:c r="I291" s="17" t="str"/>
      <x:c r="J291" s="17" t="str">
        <x:v>Not contacted</x:v>
      </x:c>
      <x:c r="K291" s="17" t="str">
        <x:v>Unknown</x:v>
      </x:c>
      <x:c r="L291" s="2" t="str">
        <x:f>IF(A291="","",IF(COUNTIFS($A$8:$A$507,A291)&lt;&gt;1,"Duplicate ID",IF(COUNTIFS(Data!$A$2:$A$501,A291)&lt;&gt;1,"Not current","Current")))</x:f>
        <x:v>Current</x:v>
      </x:c>
    </x:row>
    <x:row r="292" ht="32" customHeight="1">
      <x:c r="A292" s="2" t="str">
        <x:v>3372</x:v>
      </x:c>
      <x:c r="B292" s="20" t="str">
        <x:f>IF(A292="","",IF(COUNTIFS(Data!$A$2:$A$501,A292)=1,INDEX(Data!$B$2:$B$501,MATCH(A292,Data!$A$2:$A$501,0)),"Not in current directory"))</x:f>
        <x:v>The Jacquelyn Y. Kelley Discovery Charter School</x:v>
      </x:c>
      <x:c r="C292" s="17" t="str">
        <x:v>No</x:v>
      </x:c>
      <x:c r="D292" s="17"/>
      <x:c r="E292" s="18"/>
      <x:c r="F292" s="17"/>
      <x:c r="G292" s="18"/>
      <x:c r="H292" s="17" t="str"/>
      <x:c r="I292" s="17" t="str"/>
      <x:c r="J292" s="17" t="str">
        <x:v>Not contacted</x:v>
      </x:c>
      <x:c r="K292" s="17" t="str">
        <x:v>Unknown</x:v>
      </x:c>
      <x:c r="L292" s="2" t="str">
        <x:f>IF(A292="","",IF(COUNTIFS($A$8:$A$507,A292)&lt;&gt;1,"Duplicate ID",IF(COUNTIFS(Data!$A$2:$A$501,A292)&lt;&gt;1,"Not current","Current")))</x:f>
        <x:v>Current</x:v>
      </x:c>
    </x:row>
    <x:row r="293" ht="32" customHeight="1">
      <x:c r="A293" s="2" t="str">
        <x:v>5660</x:v>
      </x:c>
      <x:c r="B293" s="20" t="str">
        <x:f>IF(A293="","",IF(COUNTIFS(Data!$A$2:$A$501,A293)=1,INDEX(Data!$B$2:$B$501,MATCH(A293,Data!$A$2:$A$501,0)),"Not in current directory"))</x:f>
        <x:v>The LINC High School</x:v>
      </x:c>
      <x:c r="C293" s="17" t="str">
        <x:v>No</x:v>
      </x:c>
      <x:c r="D293" s="17"/>
      <x:c r="E293" s="18"/>
      <x:c r="F293" s="17"/>
      <x:c r="G293" s="18"/>
      <x:c r="H293" s="17" t="str"/>
      <x:c r="I293" s="17" t="str"/>
      <x:c r="J293" s="17" t="str">
        <x:v>Not contacted</x:v>
      </x:c>
      <x:c r="K293" s="17" t="str">
        <x:v>Unknown</x:v>
      </x:c>
      <x:c r="L293" s="2" t="str">
        <x:f>IF(A293="","",IF(COUNTIFS($A$8:$A$507,A293)&lt;&gt;1,"Duplicate ID",IF(COUNTIFS(Data!$A$2:$A$501,A293)&lt;&gt;1,"Not current","Current")))</x:f>
        <x:v>Current</x:v>
      </x:c>
    </x:row>
    <x:row r="294" ht="32" customHeight="1">
      <x:c r="A294" s="2" t="str">
        <x:v>3422</x:v>
      </x:c>
      <x:c r="B294" s="20" t="str">
        <x:f>IF(A294="","",IF(COUNTIFS(Data!$A$2:$A$501,A294)=1,INDEX(Data!$B$2:$B$501,MATCH(A294,Data!$A$2:$A$501,0)),"Not in current directory"))</x:f>
        <x:v>The Philadelphia Charter School for Arts and Sciences</x:v>
      </x:c>
      <x:c r="C294" s="17" t="str">
        <x:v>No</x:v>
      </x:c>
      <x:c r="D294" s="17"/>
      <x:c r="E294" s="18"/>
      <x:c r="F294" s="17"/>
      <x:c r="G294" s="18"/>
      <x:c r="H294" s="17" t="str"/>
      <x:c r="I294" s="17" t="str"/>
      <x:c r="J294" s="17" t="str">
        <x:v>Not contacted</x:v>
      </x:c>
      <x:c r="K294" s="17" t="str">
        <x:v>Unknown</x:v>
      </x:c>
      <x:c r="L294" s="2" t="str">
        <x:f>IF(A294="","",IF(COUNTIFS($A$8:$A$507,A294)&lt;&gt;1,"Duplicate ID",IF(COUNTIFS(Data!$A$2:$A$501,A294)&lt;&gt;1,"Not current","Current")))</x:f>
        <x:v>Current</x:v>
      </x:c>
    </x:row>
    <x:row r="295" ht="32" customHeight="1">
      <x:c r="A295" s="2" t="str">
        <x:v>2680</x:v>
      </x:c>
      <x:c r="B295" s="20" t="str">
        <x:f>IF(A295="","",IF(COUNTIFS(Data!$A$2:$A$501,A295)=1,INDEX(Data!$B$2:$B$501,MATCH(A295,Data!$A$2:$A$501,0)),"Not in current directory"))</x:f>
        <x:v>The Science Leadership Academy at Beeber High School</x:v>
      </x:c>
      <x:c r="C295" s="17" t="str">
        <x:v>No</x:v>
      </x:c>
      <x:c r="D295" s="17"/>
      <x:c r="E295" s="18"/>
      <x:c r="F295" s="17"/>
      <x:c r="G295" s="18"/>
      <x:c r="H295" s="17" t="str"/>
      <x:c r="I295" s="17" t="str"/>
      <x:c r="J295" s="17" t="str">
        <x:v>Not contacted</x:v>
      </x:c>
      <x:c r="K295" s="17" t="str">
        <x:v>Unknown</x:v>
      </x:c>
      <x:c r="L295" s="2" t="str">
        <x:f>IF(A295="","",IF(COUNTIFS($A$8:$A$507,A295)&lt;&gt;1,"Duplicate ID",IF(COUNTIFS(Data!$A$2:$A$501,A295)&lt;&gt;1,"Not current","Current")))</x:f>
        <x:v>Current</x:v>
      </x:c>
    </x:row>
    <x:row r="296" ht="32" customHeight="1">
      <x:c r="A296" s="2" t="str">
        <x:v>5620</x:v>
      </x:c>
      <x:c r="B296" s="20" t="str">
        <x:f>IF(A296="","",IF(COUNTIFS(Data!$A$2:$A$501,A296)=1,INDEX(Data!$B$2:$B$501,MATCH(A296,Data!$A$2:$A$501,0)),"Not in current directory"))</x:f>
        <x:v>The U School</x:v>
      </x:c>
      <x:c r="C296" s="17" t="str">
        <x:v>No</x:v>
      </x:c>
      <x:c r="D296" s="17"/>
      <x:c r="E296" s="18"/>
      <x:c r="F296" s="17"/>
      <x:c r="G296" s="18"/>
      <x:c r="H296" s="17" t="str"/>
      <x:c r="I296" s="17" t="str"/>
      <x:c r="J296" s="17" t="str">
        <x:v>Not contacted</x:v>
      </x:c>
      <x:c r="K296" s="17" t="str">
        <x:v>Unknown</x:v>
      </x:c>
      <x:c r="L296" s="2" t="str">
        <x:f>IF(A296="","",IF(COUNTIFS($A$8:$A$507,A296)&lt;&gt;1,"Duplicate ID",IF(COUNTIFS(Data!$A$2:$A$501,A296)&lt;&gt;1,"Not current","Current")))</x:f>
        <x:v>Current</x:v>
      </x:c>
    </x:row>
    <x:row r="297" ht="32" customHeight="1">
      <x:c r="A297" s="2" t="str">
        <x:v>8560</x:v>
      </x:c>
      <x:c r="B297" s="20" t="str">
        <x:f>IF(A297="","",IF(COUNTIFS(Data!$A$2:$A$501,A297)=1,INDEX(Data!$B$2:$B$501,MATCH(A297,Data!$A$2:$A$501,0)),"Not in current directory"))</x:f>
        <x:v>The Workshop High School</x:v>
      </x:c>
      <x:c r="C297" s="17" t="str">
        <x:v>No</x:v>
      </x:c>
      <x:c r="D297" s="17"/>
      <x:c r="E297" s="18"/>
      <x:c r="F297" s="17"/>
      <x:c r="G297" s="18"/>
      <x:c r="H297" s="17" t="str"/>
      <x:c r="I297" s="17" t="str"/>
      <x:c r="J297" s="17" t="str">
        <x:v>Not contacted</x:v>
      </x:c>
      <x:c r="K297" s="17" t="str">
        <x:v>Unknown</x:v>
      </x:c>
      <x:c r="L297" s="2" t="str">
        <x:f>IF(A297="","",IF(COUNTIFS($A$8:$A$507,A297)&lt;&gt;1,"Duplicate ID",IF(COUNTIFS(Data!$A$2:$A$501,A297)&lt;&gt;1,"Not current","Current")))</x:f>
        <x:v>Current</x:v>
      </x:c>
    </x:row>
    <x:row r="298" ht="32" customHeight="1">
      <x:c r="A298" s="2" t="str">
        <x:v>6360</x:v>
      </x:c>
      <x:c r="B298" s="20" t="str">
        <x:f>IF(A298="","",IF(COUNTIFS(Data!$A$2:$A$501,A298)=1,INDEX(Data!$B$2:$B$501,MATCH(A298,Data!$A$2:$A$501,0)),"Not in current directory"))</x:f>
        <x:v>Theodore Roosevelt School</x:v>
      </x:c>
      <x:c r="C298" s="17" t="str">
        <x:v>No</x:v>
      </x:c>
      <x:c r="D298" s="17"/>
      <x:c r="E298" s="18"/>
      <x:c r="F298" s="17"/>
      <x:c r="G298" s="18"/>
      <x:c r="H298" s="17" t="str"/>
      <x:c r="I298" s="17" t="str"/>
      <x:c r="J298" s="17" t="str">
        <x:v>Not contacted</x:v>
      </x:c>
      <x:c r="K298" s="17" t="str">
        <x:v>Unknown</x:v>
      </x:c>
      <x:c r="L298" s="2" t="str">
        <x:f>IF(A298="","",IF(COUNTIFS($A$8:$A$507,A298)&lt;&gt;1,"Duplicate ID",IF(COUNTIFS(Data!$A$2:$A$501,A298)&lt;&gt;1,"Not current","Current")))</x:f>
        <x:v>Current</x:v>
      </x:c>
    </x:row>
    <x:row r="299" ht="32" customHeight="1">
      <x:c r="A299" s="2" t="str">
        <x:v>5020</x:v>
      </x:c>
      <x:c r="B299" s="20" t="str">
        <x:f>IF(A299="","",IF(COUNTIFS(Data!$A$2:$A$501,A299)=1,INDEX(Data!$B$2:$B$501,MATCH(A299,Data!$A$2:$A$501,0)),"Not in current directory"))</x:f>
        <x:v>Thomas A. Edison High School</x:v>
      </x:c>
      <x:c r="C299" s="17" t="str">
        <x:v>No</x:v>
      </x:c>
      <x:c r="D299" s="17"/>
      <x:c r="E299" s="18"/>
      <x:c r="F299" s="17"/>
      <x:c r="G299" s="18"/>
      <x:c r="H299" s="17" t="str"/>
      <x:c r="I299" s="17" t="str"/>
      <x:c r="J299" s="17" t="str">
        <x:v>Not contacted</x:v>
      </x:c>
      <x:c r="K299" s="17" t="str">
        <x:v>Unknown</x:v>
      </x:c>
      <x:c r="L299" s="2" t="str">
        <x:f>IF(A299="","",IF(COUNTIFS($A$8:$A$507,A299)&lt;&gt;1,"Duplicate ID",IF(COUNTIFS(Data!$A$2:$A$501,A299)&lt;&gt;1,"Not current","Current")))</x:f>
        <x:v>Current</x:v>
      </x:c>
    </x:row>
    <x:row r="300" ht="32" customHeight="1">
      <x:c r="A300" s="2" t="str">
        <x:v>1380</x:v>
      </x:c>
      <x:c r="B300" s="20" t="str">
        <x:f>IF(A300="","",IF(COUNTIFS(Data!$A$2:$A$501,A300)=1,INDEX(Data!$B$2:$B$501,MATCH(A300,Data!$A$2:$A$501,0)),"Not in current directory"))</x:f>
        <x:v>Thomas G. Morton School</x:v>
      </x:c>
      <x:c r="C300" s="17" t="str">
        <x:v>No</x:v>
      </x:c>
      <x:c r="D300" s="17"/>
      <x:c r="E300" s="18"/>
      <x:c r="F300" s="17"/>
      <x:c r="G300" s="18"/>
      <x:c r="H300" s="17" t="str"/>
      <x:c r="I300" s="17" t="str"/>
      <x:c r="J300" s="17" t="str">
        <x:v>Not contacted</x:v>
      </x:c>
      <x:c r="K300" s="17" t="str">
        <x:v>Unknown</x:v>
      </x:c>
      <x:c r="L300" s="2" t="str">
        <x:f>IF(A300="","",IF(COUNTIFS($A$8:$A$507,A300)&lt;&gt;1,"Duplicate ID",IF(COUNTIFS(Data!$A$2:$A$501,A300)&lt;&gt;1,"Not current","Current")))</x:f>
        <x:v>Current</x:v>
      </x:c>
    </x:row>
    <x:row r="301" ht="32" customHeight="1">
      <x:c r="A301" s="2" t="str">
        <x:v>8270</x:v>
      </x:c>
      <x:c r="B301" s="20" t="str">
        <x:f>IF(A301="","",IF(COUNTIFS(Data!$A$2:$A$501,A301)=1,INDEX(Data!$B$2:$B$501,MATCH(A301,Data!$A$2:$A$501,0)),"Not in current directory"))</x:f>
        <x:v>Thomas Holme School</x:v>
      </x:c>
      <x:c r="C301" s="17" t="str">
        <x:v>No</x:v>
      </x:c>
      <x:c r="D301" s="17"/>
      <x:c r="E301" s="18"/>
      <x:c r="F301" s="17"/>
      <x:c r="G301" s="18"/>
      <x:c r="H301" s="17" t="str"/>
      <x:c r="I301" s="17" t="str"/>
      <x:c r="J301" s="17" t="str">
        <x:v>Not contacted</x:v>
      </x:c>
      <x:c r="K301" s="17" t="str">
        <x:v>Unknown</x:v>
      </x:c>
      <x:c r="L301" s="2" t="str">
        <x:f>IF(A301="","",IF(COUNTIFS($A$8:$A$507,A301)&lt;&gt;1,"Duplicate ID",IF(COUNTIFS(Data!$A$2:$A$501,A301)&lt;&gt;1,"Not current","Current")))</x:f>
        <x:v>Current</x:v>
      </x:c>
    </x:row>
    <x:row r="302" ht="32" customHeight="1">
      <x:c r="A302" s="2" t="str">
        <x:v>7270</x:v>
      </x:c>
      <x:c r="B302" s="20" t="str">
        <x:f>IF(A302="","",IF(COUNTIFS(Data!$A$2:$A$501,A302)=1,INDEX(Data!$B$2:$B$501,MATCH(A302,Data!$A$2:$A$501,0)),"Not in current directory"))</x:f>
        <x:v>Thomas K. Finletter School</x:v>
      </x:c>
      <x:c r="C302" s="17" t="str">
        <x:v>No</x:v>
      </x:c>
      <x:c r="D302" s="17"/>
      <x:c r="E302" s="18"/>
      <x:c r="F302" s="17"/>
      <x:c r="G302" s="18"/>
      <x:c r="H302" s="17" t="str"/>
      <x:c r="I302" s="17" t="str"/>
      <x:c r="J302" s="17" t="str">
        <x:v>Not contacted</x:v>
      </x:c>
      <x:c r="K302" s="17" t="str">
        <x:v>Unknown</x:v>
      </x:c>
      <x:c r="L302" s="2" t="str">
        <x:f>IF(A302="","",IF(COUNTIFS($A$8:$A$507,A302)&lt;&gt;1,"Duplicate ID",IF(COUNTIFS(Data!$A$2:$A$501,A302)&lt;&gt;1,"Not current","Current")))</x:f>
        <x:v>Current</x:v>
      </x:c>
    </x:row>
    <x:row r="303" ht="32" customHeight="1">
      <x:c r="A303" s="2" t="str">
        <x:v>4380</x:v>
      </x:c>
      <x:c r="B303" s="20" t="str">
        <x:f>IF(A303="","",IF(COUNTIFS(Data!$A$2:$A$501,A303)=1,INDEX(Data!$B$2:$B$501,MATCH(A303,Data!$A$2:$A$501,0)),"Not in current directory"))</x:f>
        <x:v>Thomas M. Peirce School</x:v>
      </x:c>
      <x:c r="C303" s="17" t="str">
        <x:v>No</x:v>
      </x:c>
      <x:c r="D303" s="17"/>
      <x:c r="E303" s="18"/>
      <x:c r="F303" s="17"/>
      <x:c r="G303" s="18"/>
      <x:c r="H303" s="17" t="str"/>
      <x:c r="I303" s="17" t="str"/>
      <x:c r="J303" s="17" t="str">
        <x:v>Not contacted</x:v>
      </x:c>
      <x:c r="K303" s="17" t="str">
        <x:v>Unknown</x:v>
      </x:c>
      <x:c r="L303" s="2" t="str">
        <x:f>IF(A303="","",IF(COUNTIFS($A$8:$A$507,A303)&lt;&gt;1,"Duplicate ID",IF(COUNTIFS(Data!$A$2:$A$501,A303)&lt;&gt;1,"Not current","Current")))</x:f>
        <x:v>Current</x:v>
      </x:c>
    </x:row>
    <x:row r="304" ht="32" customHeight="1">
      <x:c r="A304" s="2" t="str">
        <x:v>6320</x:v>
      </x:c>
      <x:c r="B304" s="20" t="str">
        <x:f>IF(A304="","",IF(COUNTIFS(Data!$A$2:$A$501,A304)=1,INDEX(Data!$B$2:$B$501,MATCH(A304,Data!$A$2:$A$501,0)),"Not in current directory"))</x:f>
        <x:v>Thomas Mifflin School</x:v>
      </x:c>
      <x:c r="C304" s="17" t="str">
        <x:v>No</x:v>
      </x:c>
      <x:c r="D304" s="17"/>
      <x:c r="E304" s="18"/>
      <x:c r="F304" s="17"/>
      <x:c r="G304" s="18"/>
      <x:c r="H304" s="17" t="str"/>
      <x:c r="I304" s="17" t="str"/>
      <x:c r="J304" s="17" t="str">
        <x:v>Not contacted</x:v>
      </x:c>
      <x:c r="K304" s="17" t="str">
        <x:v>Unknown</x:v>
      </x:c>
      <x:c r="L304" s="2" t="str">
        <x:f>IF(A304="","",IF(COUNTIFS($A$8:$A$507,A304)&lt;&gt;1,"Duplicate ID",IF(COUNTIFS(Data!$A$2:$A$501,A304)&lt;&gt;1,"Not current","Current")))</x:f>
        <x:v>Current</x:v>
      </x:c>
    </x:row>
    <x:row r="305" ht="32" customHeight="1">
      <x:c r="A305" s="2" t="str">
        <x:v>5500</x:v>
      </x:c>
      <x:c r="B305" s="20" t="str">
        <x:f>IF(A305="","",IF(COUNTIFS(Data!$A$2:$A$501,A305)=1,INDEX(Data!$B$2:$B$501,MATCH(A305,Data!$A$2:$A$501,0)),"Not in current directory"))</x:f>
        <x:v>Thurgood Marshall School</x:v>
      </x:c>
      <x:c r="C305" s="17" t="str">
        <x:v>No</x:v>
      </x:c>
      <x:c r="D305" s="17"/>
      <x:c r="E305" s="18"/>
      <x:c r="F305" s="17"/>
      <x:c r="G305" s="18"/>
      <x:c r="H305" s="17" t="str"/>
      <x:c r="I305" s="17" t="str"/>
      <x:c r="J305" s="17" t="str">
        <x:v>Not contacted</x:v>
      </x:c>
      <x:c r="K305" s="17" t="str">
        <x:v>Unknown</x:v>
      </x:c>
      <x:c r="L305" s="2" t="str">
        <x:f>IF(A305="","",IF(COUNTIFS($A$8:$A$507,A305)&lt;&gt;1,"Duplicate ID",IF(COUNTIFS(Data!$A$2:$A$501,A305)&lt;&gt;1,"Not current","Current")))</x:f>
        <x:v>Current</x:v>
      </x:c>
    </x:row>
    <x:row r="306" ht="32" customHeight="1">
      <x:c r="A306" s="2" t="str">
        <x:v>3424</x:v>
      </x:c>
      <x:c r="B306" s="20" t="str">
        <x:f>IF(A306="","",IF(COUNTIFS(Data!$A$2:$A$501,A306)=1,INDEX(Data!$B$2:$B$501,MATCH(A306,Data!$A$2:$A$501,0)),"Not in current directory"))</x:f>
        <x:v>Universal Charter School at Alcorn</x:v>
      </x:c>
      <x:c r="C306" s="17" t="str">
        <x:v>No</x:v>
      </x:c>
      <x:c r="D306" s="17"/>
      <x:c r="E306" s="18"/>
      <x:c r="F306" s="17"/>
      <x:c r="G306" s="18"/>
      <x:c r="H306" s="17" t="str"/>
      <x:c r="I306" s="17" t="str"/>
      <x:c r="J306" s="17" t="str">
        <x:v>Not contacted</x:v>
      </x:c>
      <x:c r="K306" s="17" t="str">
        <x:v>Unknown</x:v>
      </x:c>
      <x:c r="L306" s="2" t="str">
        <x:f>IF(A306="","",IF(COUNTIFS($A$8:$A$507,A306)&lt;&gt;1,"Duplicate ID",IF(COUNTIFS(Data!$A$2:$A$501,A306)&lt;&gt;1,"Not current","Current")))</x:f>
        <x:v>Current</x:v>
      </x:c>
    </x:row>
    <x:row r="307" ht="32" customHeight="1">
      <x:c r="A307" s="2" t="str">
        <x:v>3417</x:v>
      </x:c>
      <x:c r="B307" s="20" t="str">
        <x:f>IF(A307="","",IF(COUNTIFS(Data!$A$2:$A$501,A307)=1,INDEX(Data!$B$2:$B$501,MATCH(A307,Data!$A$2:$A$501,0)),"Not in current directory"))</x:f>
        <x:v>Universal Charter School at Audenried</x:v>
      </x:c>
      <x:c r="C307" s="17" t="str">
        <x:v>No</x:v>
      </x:c>
      <x:c r="D307" s="17"/>
      <x:c r="E307" s="18"/>
      <x:c r="F307" s="17"/>
      <x:c r="G307" s="18"/>
      <x:c r="H307" s="17" t="str"/>
      <x:c r="I307" s="17" t="str"/>
      <x:c r="J307" s="17" t="str">
        <x:v>Not contacted</x:v>
      </x:c>
      <x:c r="K307" s="17" t="str">
        <x:v>Unknown</x:v>
      </x:c>
      <x:c r="L307" s="2" t="str">
        <x:f>IF(A307="","",IF(COUNTIFS($A$8:$A$507,A307)&lt;&gt;1,"Duplicate ID",IF(COUNTIFS(Data!$A$2:$A$501,A307)&lt;&gt;1,"Not current","Current")))</x:f>
        <x:v>Current</x:v>
      </x:c>
    </x:row>
    <x:row r="308" ht="32" customHeight="1">
      <x:c r="A308" s="2" t="str">
        <x:v>3421</x:v>
      </x:c>
      <x:c r="B308" s="20" t="str">
        <x:f>IF(A308="","",IF(COUNTIFS(Data!$A$2:$A$501,A308)=1,INDEX(Data!$B$2:$B$501,MATCH(A308,Data!$A$2:$A$501,0)),"Not in current directory"))</x:f>
        <x:v>Universal Charter School at Creighton</x:v>
      </x:c>
      <x:c r="C308" s="17" t="str">
        <x:v>No</x:v>
      </x:c>
      <x:c r="D308" s="17"/>
      <x:c r="E308" s="18"/>
      <x:c r="F308" s="17"/>
      <x:c r="G308" s="18"/>
      <x:c r="H308" s="17" t="str"/>
      <x:c r="I308" s="17" t="str"/>
      <x:c r="J308" s="17" t="str">
        <x:v>Not contacted</x:v>
      </x:c>
      <x:c r="K308" s="17" t="str">
        <x:v>Unknown</x:v>
      </x:c>
      <x:c r="L308" s="2" t="str">
        <x:f>IF(A308="","",IF(COUNTIFS($A$8:$A$507,A308)&lt;&gt;1,"Duplicate ID",IF(COUNTIFS(Data!$A$2:$A$501,A308)&lt;&gt;1,"Not current","Current")))</x:f>
        <x:v>Current</x:v>
      </x:c>
    </x:row>
    <x:row r="309" ht="32" customHeight="1">
      <x:c r="A309" s="2" t="str">
        <x:v>3326</x:v>
      </x:c>
      <x:c r="B309" s="20" t="str">
        <x:f>IF(A309="","",IF(COUNTIFS(Data!$A$2:$A$501,A309)=1,INDEX(Data!$B$2:$B$501,MATCH(A309,Data!$A$2:$A$501,0)),"Not in current directory"))</x:f>
        <x:v>Universal Institute Charter School</x:v>
      </x:c>
      <x:c r="C309" s="17" t="str">
        <x:v>No</x:v>
      </x:c>
      <x:c r="D309" s="17"/>
      <x:c r="E309" s="18"/>
      <x:c r="F309" s="17"/>
      <x:c r="G309" s="18"/>
      <x:c r="H309" s="17" t="str"/>
      <x:c r="I309" s="17" t="str"/>
      <x:c r="J309" s="17" t="str">
        <x:v>Not contacted</x:v>
      </x:c>
      <x:c r="K309" s="17" t="str">
        <x:v>Unknown</x:v>
      </x:c>
      <x:c r="L309" s="2" t="str">
        <x:f>IF(A309="","",IF(COUNTIFS($A$8:$A$507,A309)&lt;&gt;1,"Duplicate ID",IF(COUNTIFS(Data!$A$2:$A$501,A309)&lt;&gt;1,"Not current","Current")))</x:f>
        <x:v>Current</x:v>
      </x:c>
    </x:row>
    <x:row r="310" ht="32" customHeight="1">
      <x:c r="A310" s="2" t="str">
        <x:v>2720</x:v>
      </x:c>
      <x:c r="B310" s="20" t="str">
        <x:f>IF(A310="","",IF(COUNTIFS(Data!$A$2:$A$501,A310)=1,INDEX(Data!$B$2:$B$501,MATCH(A310,Data!$A$2:$A$501,0)),"Not in current directory"))</x:f>
        <x:v>Vare-Washington School</x:v>
      </x:c>
      <x:c r="C310" s="17" t="str">
        <x:v>No</x:v>
      </x:c>
      <x:c r="D310" s="17"/>
      <x:c r="E310" s="18"/>
      <x:c r="F310" s="17"/>
      <x:c r="G310" s="18"/>
      <x:c r="H310" s="17" t="str"/>
      <x:c r="I310" s="17" t="str"/>
      <x:c r="J310" s="17" t="str">
        <x:v>Not contacted</x:v>
      </x:c>
      <x:c r="K310" s="17" t="str">
        <x:v>Unknown</x:v>
      </x:c>
      <x:c r="L310" s="2" t="str">
        <x:f>IF(A310="","",IF(COUNTIFS($A$8:$A$507,A310)&lt;&gt;1,"Duplicate ID",IF(COUNTIFS(Data!$A$2:$A$501,A310)&lt;&gt;1,"Not current","Current")))</x:f>
        <x:v>Current</x:v>
      </x:c>
    </x:row>
    <x:row r="311" ht="32" customHeight="1">
      <x:c r="A311" s="2" t="str">
        <x:v>5180</x:v>
      </x:c>
      <x:c r="B311" s="20" t="str">
        <x:f>IF(A311="","",IF(COUNTIFS(Data!$A$2:$A$501,A311)=1,INDEX(Data!$B$2:$B$501,MATCH(A311,Data!$A$2:$A$501,0)),"Not in current directory"))</x:f>
        <x:v>Vaux High School</x:v>
      </x:c>
      <x:c r="C311" s="17" t="str">
        <x:v>No</x:v>
      </x:c>
      <x:c r="D311" s="17"/>
      <x:c r="E311" s="18"/>
      <x:c r="F311" s="17"/>
      <x:c r="G311" s="18"/>
      <x:c r="H311" s="17" t="str"/>
      <x:c r="I311" s="17" t="str"/>
      <x:c r="J311" s="17" t="str">
        <x:v>Not contacted</x:v>
      </x:c>
      <x:c r="K311" s="17" t="str">
        <x:v>Unknown</x:v>
      </x:c>
      <x:c r="L311" s="2" t="str">
        <x:f>IF(A311="","",IF(COUNTIFS($A$8:$A$507,A311)&lt;&gt;1,"Duplicate ID",IF(COUNTIFS(Data!$A$2:$A$501,A311)&lt;&gt;1,"Not current","Current")))</x:f>
        <x:v>Current</x:v>
      </x:c>
    </x:row>
    <x:row r="312" ht="32" customHeight="1">
      <x:c r="A312" s="2" t="str">
        <x:v>6040</x:v>
      </x:c>
      <x:c r="B312" s="20" t="str">
        <x:f>IF(A312="","",IF(COUNTIFS(Data!$A$2:$A$501,A312)=1,INDEX(Data!$B$2:$B$501,MATCH(A312,Data!$A$2:$A$501,0)),"Not in current directory"))</x:f>
        <x:v>Walter B. Saul High School</x:v>
      </x:c>
      <x:c r="C312" s="17" t="str">
        <x:v>No</x:v>
      </x:c>
      <x:c r="D312" s="17"/>
      <x:c r="E312" s="18"/>
      <x:c r="F312" s="17"/>
      <x:c r="G312" s="18"/>
      <x:c r="H312" s="17" t="str"/>
      <x:c r="I312" s="17" t="str"/>
      <x:c r="J312" s="17" t="str">
        <x:v>Not contacted</x:v>
      </x:c>
      <x:c r="K312" s="17" t="str">
        <x:v>Unknown</x:v>
      </x:c>
      <x:c r="L312" s="2" t="str">
        <x:f>IF(A312="","",IF(COUNTIFS($A$8:$A$507,A312)&lt;&gt;1,"Duplicate ID",IF(COUNTIFS(Data!$A$2:$A$501,A312)&lt;&gt;1,"Not current","Current")))</x:f>
        <x:v>Current</x:v>
      </x:c>
    </x:row>
    <x:row r="313" ht="32" customHeight="1">
      <x:c r="A313" s="2" t="str">
        <x:v>7110</x:v>
      </x:c>
      <x:c r="B313" s="20" t="str">
        <x:f>IF(A313="","",IF(COUNTIFS(Data!$A$2:$A$501,A313)=1,INDEX(Data!$B$2:$B$501,MATCH(A313,Data!$A$2:$A$501,0)),"Not in current directory"))</x:f>
        <x:v>Warren G. Harding Middle School</x:v>
      </x:c>
      <x:c r="C313" s="17" t="str">
        <x:v>No</x:v>
      </x:c>
      <x:c r="D313" s="17"/>
      <x:c r="E313" s="18"/>
      <x:c r="F313" s="17"/>
      <x:c r="G313" s="18"/>
      <x:c r="H313" s="17" t="str"/>
      <x:c r="I313" s="17" t="str"/>
      <x:c r="J313" s="17" t="str">
        <x:v>Not contacted</x:v>
      </x:c>
      <x:c r="K313" s="17" t="str">
        <x:v>Unknown</x:v>
      </x:c>
      <x:c r="L313" s="2" t="str">
        <x:f>IF(A313="","",IF(COUNTIFS($A$8:$A$507,A313)&lt;&gt;1,"Duplicate ID",IF(COUNTIFS(Data!$A$2:$A$501,A313)&lt;&gt;1,"Not current","Current")))</x:f>
        <x:v>Current</x:v>
      </x:c>
    </x:row>
    <x:row r="314" ht="32" customHeight="1">
      <x:c r="A314" s="2" t="str">
        <x:v>8370</x:v>
      </x:c>
      <x:c r="B314" s="20" t="str">
        <x:f>IF(A314="","",IF(COUNTIFS(Data!$A$2:$A$501,A314)=1,INDEX(Data!$B$2:$B$501,MATCH(A314,Data!$A$2:$A$501,0)),"Not in current directory"))</x:f>
        <x:v>Watson Comly School</x:v>
      </x:c>
      <x:c r="C314" s="17" t="str">
        <x:v>No</x:v>
      </x:c>
      <x:c r="D314" s="17"/>
      <x:c r="E314" s="18"/>
      <x:c r="F314" s="17"/>
      <x:c r="G314" s="18"/>
      <x:c r="H314" s="17" t="str"/>
      <x:c r="I314" s="17" t="str"/>
      <x:c r="J314" s="17" t="str">
        <x:v>Not contacted</x:v>
      </x:c>
      <x:c r="K314" s="17" t="str">
        <x:v>Unknown</x:v>
      </x:c>
      <x:c r="L314" s="2" t="str">
        <x:f>IF(A314="","",IF(COUNTIFS($A$8:$A$507,A314)&lt;&gt;1,"Duplicate ID",IF(COUNTIFS(Data!$A$2:$A$501,A314)&lt;&gt;1,"Not current","Current")))</x:f>
        <x:v>Current</x:v>
      </x:c>
    </x:row>
    <x:row r="315" ht="32" customHeight="1">
      <x:c r="A315" s="2" t="str">
        <x:v>3314</x:v>
      </x:c>
      <x:c r="B315" s="20" t="str">
        <x:f>IF(A315="","",IF(COUNTIFS(Data!$A$2:$A$501,A315)=1,INDEX(Data!$B$2:$B$501,MATCH(A315,Data!$A$2:$A$501,0)),"Not in current directory"))</x:f>
        <x:v>West Oak Lane Charter School</x:v>
      </x:c>
      <x:c r="C315" s="17" t="str">
        <x:v>No</x:v>
      </x:c>
      <x:c r="D315" s="17"/>
      <x:c r="E315" s="18"/>
      <x:c r="F315" s="17"/>
      <x:c r="G315" s="18"/>
      <x:c r="H315" s="17" t="str"/>
      <x:c r="I315" s="17" t="str"/>
      <x:c r="J315" s="17" t="str">
        <x:v>Not contacted</x:v>
      </x:c>
      <x:c r="K315" s="17" t="str">
        <x:v>Unknown</x:v>
      </x:c>
      <x:c r="L315" s="2" t="str">
        <x:f>IF(A315="","",IF(COUNTIFS($A$8:$A$507,A315)&lt;&gt;1,"Duplicate ID",IF(COUNTIFS(Data!$A$2:$A$501,A315)&lt;&gt;1,"Not current","Current")))</x:f>
        <x:v>Current</x:v>
      </x:c>
    </x:row>
    <x:row r="316" ht="32" customHeight="1">
      <x:c r="A316" s="2" t="str">
        <x:v>3357</x:v>
      </x:c>
      <x:c r="B316" s="20" t="str">
        <x:f>IF(A316="","",IF(COUNTIFS(Data!$A$2:$A$501,A316)=1,INDEX(Data!$B$2:$B$501,MATCH(A316,Data!$A$2:$A$501,0)),"Not in current directory"))</x:f>
        <x:v>West Philadelphia Achievement Charter School</x:v>
      </x:c>
      <x:c r="C316" s="17" t="str">
        <x:v>No</x:v>
      </x:c>
      <x:c r="D316" s="17"/>
      <x:c r="E316" s="18"/>
      <x:c r="F316" s="17"/>
      <x:c r="G316" s="18"/>
      <x:c r="H316" s="17" t="str"/>
      <x:c r="I316" s="17" t="str"/>
      <x:c r="J316" s="17" t="str">
        <x:v>Not contacted</x:v>
      </x:c>
      <x:c r="K316" s="17" t="str">
        <x:v>Unknown</x:v>
      </x:c>
      <x:c r="L316" s="2" t="str">
        <x:f>IF(A316="","",IF(COUNTIFS($A$8:$A$507,A316)&lt;&gt;1,"Duplicate ID",IF(COUNTIFS(Data!$A$2:$A$501,A316)&lt;&gt;1,"Not current","Current")))</x:f>
        <x:v>Current</x:v>
      </x:c>
    </x:row>
    <x:row r="317" ht="32" customHeight="1">
      <x:c r="A317" s="2" t="str">
        <x:v>1020</x:v>
      </x:c>
      <x:c r="B317" s="20" t="str">
        <x:f>IF(A317="","",IF(COUNTIFS(Data!$A$2:$A$501,A317)=1,INDEX(Data!$B$2:$B$501,MATCH(A317,Data!$A$2:$A$501,0)),"Not in current directory"))</x:f>
        <x:v>West Philadelphia High School</x:v>
      </x:c>
      <x:c r="C317" s="17" t="str">
        <x:v>No</x:v>
      </x:c>
      <x:c r="D317" s="17"/>
      <x:c r="E317" s="18"/>
      <x:c r="F317" s="17"/>
      <x:c r="G317" s="18"/>
      <x:c r="H317" s="17" t="str"/>
      <x:c r="I317" s="17" t="str"/>
      <x:c r="J317" s="17" t="str">
        <x:v>Not contacted</x:v>
      </x:c>
      <x:c r="K317" s="17" t="str">
        <x:v>Unknown</x:v>
      </x:c>
      <x:c r="L317" s="2" t="str">
        <x:f>IF(A317="","",IF(COUNTIFS($A$8:$A$507,A317)&lt;&gt;1,"Duplicate ID",IF(COUNTIFS(Data!$A$2:$A$501,A317)&lt;&gt;1,"Not current","Current")))</x:f>
        <x:v>Current</x:v>
      </x:c>
    </x:row>
    <x:row r="318" ht="32" customHeight="1">
      <x:c r="A318" s="2" t="str">
        <x:v>6400</x:v>
      </x:c>
      <x:c r="B318" s="20" t="str">
        <x:f>IF(A318="","",IF(COUNTIFS(Data!$A$2:$A$501,A318)=1,INDEX(Data!$B$2:$B$501,MATCH(A318,Data!$A$2:$A$501,0)),"Not in current directory"))</x:f>
        <x:v>Widener Memorial School</x:v>
      </x:c>
      <x:c r="C318" s="17" t="str">
        <x:v>No</x:v>
      </x:c>
      <x:c r="D318" s="17"/>
      <x:c r="E318" s="18"/>
      <x:c r="F318" s="17"/>
      <x:c r="G318" s="18"/>
      <x:c r="H318" s="17" t="str"/>
      <x:c r="I318" s="17" t="str"/>
      <x:c r="J318" s="17" t="str">
        <x:v>Not contacted</x:v>
      </x:c>
      <x:c r="K318" s="17" t="str">
        <x:v>Unknown</x:v>
      </x:c>
      <x:c r="L318" s="2" t="str">
        <x:f>IF(A318="","",IF(COUNTIFS($A$8:$A$507,A318)&lt;&gt;1,"Duplicate ID",IF(COUNTIFS(Data!$A$2:$A$501,A318)&lt;&gt;1,"Not current","Current")))</x:f>
        <x:v>Current</x:v>
      </x:c>
    </x:row>
    <x:row r="319" ht="32" customHeight="1">
      <x:c r="A319" s="2" t="str">
        <x:v>1230</x:v>
      </x:c>
      <x:c r="B319" s="20" t="str">
        <x:f>IF(A319="","",IF(COUNTIFS(Data!$A$2:$A$501,A319)=1,INDEX(Data!$B$2:$B$501,MATCH(A319,Data!$A$2:$A$501,0)),"Not in current directory"))</x:f>
        <x:v>William C. Bryant School</x:v>
      </x:c>
      <x:c r="C319" s="17" t="str">
        <x:v>No</x:v>
      </x:c>
      <x:c r="D319" s="17"/>
      <x:c r="E319" s="18"/>
      <x:c r="F319" s="17"/>
      <x:c r="G319" s="18"/>
      <x:c r="H319" s="17" t="str"/>
      <x:c r="I319" s="17" t="str"/>
      <x:c r="J319" s="17" t="str">
        <x:v>Not contacted</x:v>
      </x:c>
      <x:c r="K319" s="17" t="str">
        <x:v>Unknown</x:v>
      </x:c>
      <x:c r="L319" s="2" t="str">
        <x:f>IF(A319="","",IF(COUNTIFS($A$8:$A$507,A319)&lt;&gt;1,"Duplicate ID",IF(COUNTIFS(Data!$A$2:$A$501,A319)&lt;&gt;1,"Not current","Current")))</x:f>
        <x:v>Current</x:v>
      </x:c>
    </x:row>
    <x:row r="320" ht="32" customHeight="1">
      <x:c r="A320" s="2" t="str">
        <x:v>1350</x:v>
      </x:c>
      <x:c r="B320" s="20" t="str">
        <x:f>IF(A320="","",IF(COUNTIFS(Data!$A$2:$A$501,A320)=1,INDEX(Data!$B$2:$B$501,MATCH(A320,Data!$A$2:$A$501,0)),"Not in current directory"))</x:f>
        <x:v>William C. Longstreth School</x:v>
      </x:c>
      <x:c r="C320" s="17" t="str">
        <x:v>No</x:v>
      </x:c>
      <x:c r="D320" s="17"/>
      <x:c r="E320" s="18"/>
      <x:c r="F320" s="17"/>
      <x:c r="G320" s="18"/>
      <x:c r="H320" s="17" t="str"/>
      <x:c r="I320" s="17" t="str"/>
      <x:c r="J320" s="17" t="str">
        <x:v>Not contacted</x:v>
      </x:c>
      <x:c r="K320" s="17" t="str">
        <x:v>Unknown</x:v>
      </x:c>
      <x:c r="L320" s="2" t="str">
        <x:f>IF(A320="","",IF(COUNTIFS($A$8:$A$507,A320)&lt;&gt;1,"Duplicate ID",IF(COUNTIFS(Data!$A$2:$A$501,A320)&lt;&gt;1,"Not current","Current")))</x:f>
        <x:v>Current</x:v>
      </x:c>
    </x:row>
    <x:row r="321" ht="32" customHeight="1">
      <x:c r="A321" s="2" t="str">
        <x:v>5470</x:v>
      </x:c>
      <x:c r="B321" s="20" t="str">
        <x:f>IF(A321="","",IF(COUNTIFS(Data!$A$2:$A$501,A321)=1,INDEX(Data!$B$2:$B$501,MATCH(A321,Data!$A$2:$A$501,0)),"Not in current directory"))</x:f>
        <x:v>William Cramp School</x:v>
      </x:c>
      <x:c r="C321" s="17" t="str">
        <x:v>No</x:v>
      </x:c>
      <x:c r="D321" s="17"/>
      <x:c r="E321" s="18"/>
      <x:c r="F321" s="17"/>
      <x:c r="G321" s="18"/>
      <x:c r="H321" s="17" t="str"/>
      <x:c r="I321" s="17" t="str"/>
      <x:c r="J321" s="17" t="str">
        <x:v>Not contacted</x:v>
      </x:c>
      <x:c r="K321" s="17" t="str">
        <x:v>Unknown</x:v>
      </x:c>
      <x:c r="L321" s="2" t="str">
        <x:f>IF(A321="","",IF(COUNTIFS($A$8:$A$507,A321)&lt;&gt;1,"Duplicate ID",IF(COUNTIFS(Data!$A$2:$A$501,A321)&lt;&gt;1,"Not current","Current")))</x:f>
        <x:v>Current</x:v>
      </x:c>
    </x:row>
    <x:row r="322" ht="32" customHeight="1">
      <x:c r="A322" s="2" t="str">
        <x:v>4560</x:v>
      </x:c>
      <x:c r="B322" s="20" t="str">
        <x:f>IF(A322="","",IF(COUNTIFS(Data!$A$2:$A$501,A322)=1,INDEX(Data!$B$2:$B$501,MATCH(A322,Data!$A$2:$A$501,0)),"Not in current directory"))</x:f>
        <x:v>William D. Kelley School</x:v>
      </x:c>
      <x:c r="C322" s="17" t="str">
        <x:v>No</x:v>
      </x:c>
      <x:c r="D322" s="17"/>
      <x:c r="E322" s="18"/>
      <x:c r="F322" s="17"/>
      <x:c r="G322" s="18"/>
      <x:c r="H322" s="17" t="str"/>
      <x:c r="I322" s="17" t="str"/>
      <x:c r="J322" s="17" t="str">
        <x:v>Not contacted</x:v>
      </x:c>
      <x:c r="K322" s="17" t="str">
        <x:v>Unknown</x:v>
      </x:c>
      <x:c r="L322" s="2" t="str">
        <x:f>IF(A322="","",IF(COUNTIFS($A$8:$A$507,A322)&lt;&gt;1,"Duplicate ID",IF(COUNTIFS(Data!$A$2:$A$501,A322)&lt;&gt;1,"Not current","Current")))</x:f>
        <x:v>Current</x:v>
      </x:c>
    </x:row>
    <x:row r="323" ht="32" customHeight="1">
      <x:c r="A323" s="2" t="str">
        <x:v>4270</x:v>
      </x:c>
      <x:c r="B323" s="20" t="str">
        <x:f>IF(A323="","",IF(COUNTIFS(Data!$A$2:$A$501,A323)=1,INDEX(Data!$B$2:$B$501,MATCH(A323,Data!$A$2:$A$501,0)),"Not in current directory"))</x:f>
        <x:v>William Dick School</x:v>
      </x:c>
      <x:c r="C323" s="17" t="str">
        <x:v>No</x:v>
      </x:c>
      <x:c r="D323" s="17"/>
      <x:c r="E323" s="18"/>
      <x:c r="F323" s="17"/>
      <x:c r="G323" s="18"/>
      <x:c r="H323" s="17" t="str"/>
      <x:c r="I323" s="17" t="str"/>
      <x:c r="J323" s="17" t="str">
        <x:v>Not contacted</x:v>
      </x:c>
      <x:c r="K323" s="17" t="str">
        <x:v>Unknown</x:v>
      </x:c>
      <x:c r="L323" s="2" t="str">
        <x:f>IF(A323="","",IF(COUNTIFS($A$8:$A$507,A323)&lt;&gt;1,"Duplicate ID",IF(COUNTIFS(Data!$A$2:$A$501,A323)&lt;&gt;1,"Not current","Current")))</x:f>
        <x:v>Current</x:v>
      </x:c>
    </x:row>
    <x:row r="324" ht="32" customHeight="1">
      <x:c r="A324" s="2" t="str">
        <x:v>5330</x:v>
      </x:c>
      <x:c r="B324" s="20" t="str">
        <x:f>IF(A324="","",IF(COUNTIFS(Data!$A$2:$A$501,A324)=1,INDEX(Data!$B$2:$B$501,MATCH(A324,Data!$A$2:$A$501,0)),"Not in current directory"))</x:f>
        <x:v>William H. Hunter School</x:v>
      </x:c>
      <x:c r="C324" s="17" t="str">
        <x:v>No</x:v>
      </x:c>
      <x:c r="D324" s="17"/>
      <x:c r="E324" s="18"/>
      <x:c r="F324" s="17"/>
      <x:c r="G324" s="18"/>
      <x:c r="H324" s="17" t="str"/>
      <x:c r="I324" s="17" t="str"/>
      <x:c r="J324" s="17" t="str">
        <x:v>Not contacted</x:v>
      </x:c>
      <x:c r="K324" s="17" t="str">
        <x:v>Unknown</x:v>
      </x:c>
      <x:c r="L324" s="2" t="str">
        <x:f>IF(A324="","",IF(COUNTIFS($A$8:$A$507,A324)&lt;&gt;1,"Duplicate ID",IF(COUNTIFS(Data!$A$2:$A$501,A324)&lt;&gt;1,"Not current","Current")))</x:f>
        <x:v>Current</x:v>
      </x:c>
    </x:row>
    <x:row r="325" ht="32" customHeight="1">
      <x:c r="A325" s="2" t="str">
        <x:v>8440</x:v>
      </x:c>
      <x:c r="B325" s="20" t="str">
        <x:f>IF(A325="","",IF(COUNTIFS(Data!$A$2:$A$501,A325)=1,INDEX(Data!$B$2:$B$501,MATCH(A325,Data!$A$2:$A$501,0)),"Not in current directory"))</x:f>
        <x:v>William H. Loesche School</x:v>
      </x:c>
      <x:c r="C325" s="17" t="str">
        <x:v>No</x:v>
      </x:c>
      <x:c r="D325" s="17"/>
      <x:c r="E325" s="18"/>
      <x:c r="F325" s="17"/>
      <x:c r="G325" s="18"/>
      <x:c r="H325" s="17" t="str"/>
      <x:c r="I325" s="17" t="str"/>
      <x:c r="J325" s="17" t="str">
        <x:v>Not contacted</x:v>
      </x:c>
      <x:c r="K325" s="17" t="str">
        <x:v>Unknown</x:v>
      </x:c>
      <x:c r="L325" s="2" t="str">
        <x:f>IF(A325="","",IF(COUNTIFS($A$8:$A$507,A325)&lt;&gt;1,"Duplicate ID",IF(COUNTIFS(Data!$A$2:$A$501,A325)&lt;&gt;1,"Not current","Current")))</x:f>
        <x:v>Current</x:v>
      </x:c>
    </x:row>
    <x:row r="326" ht="32" customHeight="1">
      <x:c r="A326" s="2" t="str">
        <x:v>7460</x:v>
      </x:c>
      <x:c r="B326" s="20" t="str">
        <x:f>IF(A326="","",IF(COUNTIFS(Data!$A$2:$A$501,A326)=1,INDEX(Data!$B$2:$B$501,MATCH(A326,Data!$A$2:$A$501,0)),"Not in current directory"))</x:f>
        <x:v>William H. Ziegler School</x:v>
      </x:c>
      <x:c r="C326" s="17" t="str">
        <x:v>No</x:v>
      </x:c>
      <x:c r="D326" s="17"/>
      <x:c r="E326" s="18"/>
      <x:c r="F326" s="17"/>
      <x:c r="G326" s="18"/>
      <x:c r="H326" s="17" t="str"/>
      <x:c r="I326" s="17" t="str"/>
      <x:c r="J326" s="17" t="str">
        <x:v>Not contacted</x:v>
      </x:c>
      <x:c r="K326" s="17" t="str">
        <x:v>Unknown</x:v>
      </x:c>
      <x:c r="L326" s="2" t="str">
        <x:f>IF(A326="","",IF(COUNTIFS($A$8:$A$507,A326)&lt;&gt;1,"Duplicate ID",IF(COUNTIFS(Data!$A$2:$A$501,A326)&lt;&gt;1,"Not current","Current")))</x:f>
        <x:v>Current</x:v>
      </x:c>
    </x:row>
    <x:row r="327" ht="32" customHeight="1">
      <x:c r="A327" s="2" t="str">
        <x:v>1100</x:v>
      </x:c>
      <x:c r="B327" s="20" t="str">
        <x:f>IF(A327="","",IF(COUNTIFS(Data!$A$2:$A$501,A327)=1,INDEX(Data!$B$2:$B$501,MATCH(A327,Data!$A$2:$A$501,0)),"Not in current directory"))</x:f>
        <x:v>William L. Sayre High School</x:v>
      </x:c>
      <x:c r="C327" s="17" t="str">
        <x:v>No</x:v>
      </x:c>
      <x:c r="D327" s="17"/>
      <x:c r="E327" s="18"/>
      <x:c r="F327" s="17"/>
      <x:c r="G327" s="18"/>
      <x:c r="H327" s="17" t="str"/>
      <x:c r="I327" s="17" t="str"/>
      <x:c r="J327" s="17" t="str">
        <x:v>Not contacted</x:v>
      </x:c>
      <x:c r="K327" s="17" t="str">
        <x:v>Unknown</x:v>
      </x:c>
      <x:c r="L327" s="2" t="str">
        <x:f>IF(A327="","",IF(COUNTIFS($A$8:$A$507,A327)&lt;&gt;1,"Duplicate ID",IF(COUNTIFS(Data!$A$2:$A$501,A327)&lt;&gt;1,"Not current","Current")))</x:f>
        <x:v>Current</x:v>
      </x:c>
    </x:row>
    <x:row r="328" ht="32" customHeight="1">
      <x:c r="A328" s="2" t="str">
        <x:v>2380</x:v>
      </x:c>
      <x:c r="B328" s="20" t="str">
        <x:f>IF(A328="","",IF(COUNTIFS(Data!$A$2:$A$501,A328)=1,INDEX(Data!$B$2:$B$501,MATCH(A328,Data!$A$2:$A$501,0)),"Not in current directory"))</x:f>
        <x:v>William M. Meredith School</x:v>
      </x:c>
      <x:c r="C328" s="17" t="str">
        <x:v>No</x:v>
      </x:c>
      <x:c r="D328" s="17"/>
      <x:c r="E328" s="18"/>
      <x:c r="F328" s="17"/>
      <x:c r="G328" s="18"/>
      <x:c r="H328" s="17" t="str"/>
      <x:c r="I328" s="17" t="str"/>
      <x:c r="J328" s="17" t="str">
        <x:v>Not contacted</x:v>
      </x:c>
      <x:c r="K328" s="17" t="str">
        <x:v>Unknown</x:v>
      </x:c>
      <x:c r="L328" s="2" t="str">
        <x:f>IF(A328="","",IF(COUNTIFS($A$8:$A$507,A328)&lt;&gt;1,"Duplicate ID",IF(COUNTIFS(Data!$A$2:$A$501,A328)&lt;&gt;1,"Not current","Current")))</x:f>
        <x:v>Current</x:v>
      </x:c>
    </x:row>
    <x:row r="329" ht="32" customHeight="1">
      <x:c r="A329" s="2" t="str">
        <x:v>5350</x:v>
      </x:c>
      <x:c r="B329" s="20" t="str">
        <x:f>IF(A329="","",IF(COUNTIFS(Data!$A$2:$A$501,A329)=1,INDEX(Data!$B$2:$B$501,MATCH(A329,Data!$A$2:$A$501,0)),"Not in current directory"))</x:f>
        <x:v>William McKinley School</x:v>
      </x:c>
      <x:c r="C329" s="17" t="str">
        <x:v>No</x:v>
      </x:c>
      <x:c r="D329" s="17"/>
      <x:c r="E329" s="18"/>
      <x:c r="F329" s="17"/>
      <x:c r="G329" s="18"/>
      <x:c r="H329" s="17" t="str"/>
      <x:c r="I329" s="17" t="str"/>
      <x:c r="J329" s="17" t="str">
        <x:v>Not contacted</x:v>
      </x:c>
      <x:c r="K329" s="17" t="str">
        <x:v>Unknown</x:v>
      </x:c>
      <x:c r="L329" s="2" t="str">
        <x:f>IF(A329="","",IF(COUNTIFS($A$8:$A$507,A329)&lt;&gt;1,"Duplicate ID",IF(COUNTIFS(Data!$A$2:$A$501,A329)&lt;&gt;1,"Not current","Current")))</x:f>
        <x:v>Current</x:v>
      </x:c>
    </x:row>
    <x:row r="330" ht="32" customHeight="1">
      <x:c r="A330" s="2" t="str">
        <x:v>7530</x:v>
      </x:c>
      <x:c r="B330" s="20" t="str">
        <x:f>IF(A330="","",IF(COUNTIFS(Data!$A$2:$A$501,A330)=1,INDEX(Data!$B$2:$B$501,MATCH(A330,Data!$A$2:$A$501,0)),"Not in current directory"))</x:f>
        <x:v>William Rowen School</x:v>
      </x:c>
      <x:c r="C330" s="17" t="str">
        <x:v>No</x:v>
      </x:c>
      <x:c r="D330" s="17"/>
      <x:c r="E330" s="18"/>
      <x:c r="F330" s="17"/>
      <x:c r="G330" s="18"/>
      <x:c r="H330" s="17" t="str"/>
      <x:c r="I330" s="17" t="str"/>
      <x:c r="J330" s="17" t="str">
        <x:v>Not contacted</x:v>
      </x:c>
      <x:c r="K330" s="17" t="str">
        <x:v>Unknown</x:v>
      </x:c>
      <x:c r="L330" s="2" t="str">
        <x:f>IF(A330="","",IF(COUNTIFS($A$8:$A$507,A330)&lt;&gt;1,"Duplicate ID",IF(COUNTIFS(Data!$A$2:$A$501,A330)&lt;&gt;1,"Not current","Current")))</x:f>
        <x:v>Current</x:v>
      </x:c>
    </x:row>
    <x:row r="331" ht="32" customHeight="1">
      <x:c r="A331" s="2" t="str">
        <x:v>1130</x:v>
      </x:c>
      <x:c r="B331" s="20" t="str">
        <x:f>IF(A331="","",IF(COUNTIFS(Data!$A$2:$A$501,A331)=1,INDEX(Data!$B$2:$B$501,MATCH(A331,Data!$A$2:$A$501,0)),"Not in current directory"))</x:f>
        <x:v>William T. Tilden Middle School</x:v>
      </x:c>
      <x:c r="C331" s="17" t="str">
        <x:v>No</x:v>
      </x:c>
      <x:c r="D331" s="17"/>
      <x:c r="E331" s="18"/>
      <x:c r="F331" s="17"/>
      <x:c r="G331" s="18"/>
      <x:c r="H331" s="17" t="str"/>
      <x:c r="I331" s="17" t="str"/>
      <x:c r="J331" s="17" t="str">
        <x:v>Not contacted</x:v>
      </x:c>
      <x:c r="K331" s="17" t="str">
        <x:v>Unknown</x:v>
      </x:c>
      <x:c r="L331" s="2" t="str">
        <x:f>IF(A331="","",IF(COUNTIFS($A$8:$A$507,A331)&lt;&gt;1,"Duplicate ID",IF(COUNTIFS(Data!$A$2:$A$501,A331)&lt;&gt;1,"Not current","Current")))</x:f>
        <x:v>Current</x:v>
      </x:c>
    </x:row>
    <x:row r="332" ht="32" customHeight="1">
      <x:c r="A332" s="2" t="str">
        <x:v>5150</x:v>
      </x:c>
      <x:c r="B332" s="20" t="str">
        <x:f>IF(A332="","",IF(COUNTIFS(Data!$A$2:$A$501,A332)=1,INDEX(Data!$B$2:$B$501,MATCH(A332,Data!$A$2:$A$501,0)),"Not in current directory"))</x:f>
        <x:v>William W. Bodine High School</x:v>
      </x:c>
      <x:c r="C332" s="17" t="str">
        <x:v>No</x:v>
      </x:c>
      <x:c r="D332" s="17"/>
      <x:c r="E332" s="18"/>
      <x:c r="F332" s="17"/>
      <x:c r="G332" s="18"/>
      <x:c r="H332" s="17" t="str"/>
      <x:c r="I332" s="17" t="str"/>
      <x:c r="J332" s="17" t="str">
        <x:v>Not contacted</x:v>
      </x:c>
      <x:c r="K332" s="17" t="str">
        <x:v>Unknown</x:v>
      </x:c>
      <x:c r="L332" s="2" t="str">
        <x:f>IF(A332="","",IF(COUNTIFS($A$8:$A$507,A332)&lt;&gt;1,"Duplicate ID",IF(COUNTIFS(Data!$A$2:$A$501,A332)&lt;&gt;1,"Not current","Current")))</x:f>
        <x:v>Current</x:v>
      </x:c>
    </x:row>
    <x:row r="333" ht="32" customHeight="1">
      <x:c r="A333" s="2" t="str">
        <x:v>3362</x:v>
      </x:c>
      <x:c r="B333" s="20" t="str">
        <x:f>IF(A333="","",IF(COUNTIFS(Data!$A$2:$A$501,A333)=1,INDEX(Data!$B$2:$B$501,MATCH(A333,Data!$A$2:$A$501,0)),"Not in current directory"))</x:f>
        <x:v>Wissahickon Charter School</x:v>
      </x:c>
      <x:c r="C333" s="17" t="str">
        <x:v>No</x:v>
      </x:c>
      <x:c r="D333" s="17"/>
      <x:c r="E333" s="18"/>
      <x:c r="F333" s="17"/>
      <x:c r="G333" s="18"/>
      <x:c r="H333" s="17" t="str"/>
      <x:c r="I333" s="17" t="str"/>
      <x:c r="J333" s="17" t="str">
        <x:v>Not contacted</x:v>
      </x:c>
      <x:c r="K333" s="17" t="str">
        <x:v>Unknown</x:v>
      </x:c>
      <x:c r="L333" s="2" t="str">
        <x:f>IF(A333="","",IF(COUNTIFS($A$8:$A$507,A333)&lt;&gt;1,"Duplicate ID",IF(COUNTIFS(Data!$A$2:$A$501,A333)&lt;&gt;1,"Not current","Current")))</x:f>
        <x:v>Current</x:v>
      </x:c>
    </x:row>
    <x:row r="334" ht="32" customHeight="1">
      <x:c r="A334" s="2" t="str">
        <x:v>8450</x:v>
      </x:c>
      <x:c r="B334" s="20" t="str">
        <x:f>IF(A334="","",IF(COUNTIFS(Data!$A$2:$A$501,A334)=1,INDEX(Data!$B$2:$B$501,MATCH(A334,Data!$A$2:$A$501,0)),"Not in current directory"))</x:f>
        <x:v>YESPhilly</x:v>
      </x:c>
      <x:c r="C334" s="17" t="str">
        <x:v>No</x:v>
      </x:c>
      <x:c r="D334" s="17"/>
      <x:c r="E334" s="18"/>
      <x:c r="F334" s="17"/>
      <x:c r="G334" s="18"/>
      <x:c r="H334" s="17" t="str"/>
      <x:c r="I334" s="17" t="str"/>
      <x:c r="J334" s="17" t="str">
        <x:v>Not contacted</x:v>
      </x:c>
      <x:c r="K334" s="17" t="str">
        <x:v>Unknown</x:v>
      </x:c>
      <x:c r="L334" s="2" t="str">
        <x:f>IF(A334="","",IF(COUNTIFS($A$8:$A$507,A334)&lt;&gt;1,"Duplicate ID",IF(COUNTIFS(Data!$A$2:$A$501,A334)&lt;&gt;1,"Not current","Current")))</x:f>
        <x:v>Current</x:v>
      </x:c>
    </x:row>
    <x:row r="335" ht="32" customHeight="1">
      <x:c r="A335" s="2" t="str">
        <x:v>3329</x:v>
      </x:c>
      <x:c r="B335" s="20" t="str">
        <x:f>IF(A335="","",IF(COUNTIFS(Data!$A$2:$A$501,A335)=1,INDEX(Data!$B$2:$B$501,MATCH(A335,Data!$A$2:$A$501,0)),"Not in current directory"))</x:f>
        <x:v>Young Scholars Charter School</x:v>
      </x:c>
      <x:c r="C335" s="17" t="str">
        <x:v>No</x:v>
      </x:c>
      <x:c r="D335" s="17"/>
      <x:c r="E335" s="18"/>
      <x:c r="F335" s="17"/>
      <x:c r="G335" s="18"/>
      <x:c r="H335" s="17" t="str"/>
      <x:c r="I335" s="17" t="str"/>
      <x:c r="J335" s="17" t="str">
        <x:v>Not contacted</x:v>
      </x:c>
      <x:c r="K335" s="17" t="str">
        <x:v>Unknown</x:v>
      </x:c>
      <x:c r="L335" s="2" t="str">
        <x:f>IF(A335="","",IF(COUNTIFS($A$8:$A$507,A335)&lt;&gt;1,"Duplicate ID",IF(COUNTIFS(Data!$A$2:$A$501,A335)&lt;&gt;1,"Not current","Current")))</x:f>
        <x:v>Current</x:v>
      </x:c>
    </x:row>
    <x:row r="336" ht="32" customHeight="1">
      <x:c r="A336" s="2" t="str">
        <x:v>3304</x:v>
      </x:c>
      <x:c r="B336" s="20" t="str">
        <x:f>IF(A336="","",IF(COUNTIFS(Data!$A$2:$A$501,A336)=1,INDEX(Data!$B$2:$B$501,MATCH(A336,Data!$A$2:$A$501,0)),"Not in current directory"))</x:f>
        <x:v>YouthBuild Philadelphia Charter School</x:v>
      </x:c>
      <x:c r="C336" s="17" t="str">
        <x:v>No</x:v>
      </x:c>
      <x:c r="D336" s="17"/>
      <x:c r="E336" s="18"/>
      <x:c r="F336" s="17"/>
      <x:c r="G336" s="18"/>
      <x:c r="H336" s="17" t="str"/>
      <x:c r="I336" s="17" t="str"/>
      <x:c r="J336" s="17" t="str">
        <x:v>Not contacted</x:v>
      </x:c>
      <x:c r="K336" s="17" t="str">
        <x:v>Unknown</x:v>
      </x:c>
      <x:c r="L336" s="2" t="str">
        <x:f>IF(A336="","",IF(COUNTIFS($A$8:$A$507,A336)&lt;&gt;1,"Duplicate ID",IF(COUNTIFS(Data!$A$2:$A$501,A336)&lt;&gt;1,"Not current","Current")))</x:f>
        <x:v>Current</x:v>
      </x:c>
    </x:row>
    <x:row r="337" ht="32" customHeight="1">
      <x:c r="A337" s="2"/>
      <x:c r="B337" s="20" t="str">
        <x:f>IF(A337="","",IF(COUNTIFS(Data!$A$2:$A$501,A337)=1,INDEX(Data!$B$2:$B$501,MATCH(A337,Data!$A$2:$A$501,0)),"Not in current directory"))</x:f>
      </x:c>
      <x:c r="C337" s="17"/>
      <x:c r="D337" s="17"/>
      <x:c r="E337" s="18"/>
      <x:c r="F337" s="17"/>
      <x:c r="G337" s="18"/>
      <x:c r="H337" s="17"/>
      <x:c r="I337" s="17"/>
      <x:c r="J337" s="17"/>
      <x:c r="K337" s="17"/>
      <x:c r="L337" s="2" t="str">
        <x:f>IF(A337="","",IF(COUNTIFS($A$8:$A$507,A337)&lt;&gt;1,"Duplicate ID",IF(COUNTIFS(Data!$A$2:$A$501,A337)&lt;&gt;1,"Not current","Current")))</x:f>
      </x:c>
    </x:row>
    <x:row r="338" ht="32" customHeight="1">
      <x:c r="A338" s="2"/>
      <x:c r="B338" s="20" t="str">
        <x:f>IF(A338="","",IF(COUNTIFS(Data!$A$2:$A$501,A338)=1,INDEX(Data!$B$2:$B$501,MATCH(A338,Data!$A$2:$A$501,0)),"Not in current directory"))</x:f>
      </x:c>
      <x:c r="C338" s="17"/>
      <x:c r="D338" s="17"/>
      <x:c r="E338" s="18"/>
      <x:c r="F338" s="17"/>
      <x:c r="G338" s="18"/>
      <x:c r="H338" s="17"/>
      <x:c r="I338" s="17"/>
      <x:c r="J338" s="17"/>
      <x:c r="K338" s="17"/>
      <x:c r="L338" s="2" t="str">
        <x:f>IF(A338="","",IF(COUNTIFS($A$8:$A$507,A338)&lt;&gt;1,"Duplicate ID",IF(COUNTIFS(Data!$A$2:$A$501,A338)&lt;&gt;1,"Not current","Current")))</x:f>
      </x:c>
    </x:row>
    <x:row r="339" ht="32" customHeight="1">
      <x:c r="A339" s="2"/>
      <x:c r="B339" s="20" t="str">
        <x:f>IF(A339="","",IF(COUNTIFS(Data!$A$2:$A$501,A339)=1,INDEX(Data!$B$2:$B$501,MATCH(A339,Data!$A$2:$A$501,0)),"Not in current directory"))</x:f>
      </x:c>
      <x:c r="C339" s="17"/>
      <x:c r="D339" s="17"/>
      <x:c r="E339" s="18"/>
      <x:c r="F339" s="17"/>
      <x:c r="G339" s="18"/>
      <x:c r="H339" s="17"/>
      <x:c r="I339" s="17"/>
      <x:c r="J339" s="17"/>
      <x:c r="K339" s="17"/>
      <x:c r="L339" s="2" t="str">
        <x:f>IF(A339="","",IF(COUNTIFS($A$8:$A$507,A339)&lt;&gt;1,"Duplicate ID",IF(COUNTIFS(Data!$A$2:$A$501,A339)&lt;&gt;1,"Not current","Current")))</x:f>
      </x:c>
    </x:row>
    <x:row r="340" ht="32" customHeight="1">
      <x:c r="A340" s="2"/>
      <x:c r="B340" s="20" t="str">
        <x:f>IF(A340="","",IF(COUNTIFS(Data!$A$2:$A$501,A340)=1,INDEX(Data!$B$2:$B$501,MATCH(A340,Data!$A$2:$A$501,0)),"Not in current directory"))</x:f>
      </x:c>
      <x:c r="C340" s="17"/>
      <x:c r="D340" s="17"/>
      <x:c r="E340" s="18"/>
      <x:c r="F340" s="17"/>
      <x:c r="G340" s="18"/>
      <x:c r="H340" s="17"/>
      <x:c r="I340" s="17"/>
      <x:c r="J340" s="17"/>
      <x:c r="K340" s="17"/>
      <x:c r="L340" s="2" t="str">
        <x:f>IF(A340="","",IF(COUNTIFS($A$8:$A$507,A340)&lt;&gt;1,"Duplicate ID",IF(COUNTIFS(Data!$A$2:$A$501,A340)&lt;&gt;1,"Not current","Current")))</x:f>
      </x:c>
    </x:row>
    <x:row r="341" ht="32" customHeight="1">
      <x:c r="A341" s="2"/>
      <x:c r="B341" s="20" t="str">
        <x:f>IF(A341="","",IF(COUNTIFS(Data!$A$2:$A$501,A341)=1,INDEX(Data!$B$2:$B$501,MATCH(A341,Data!$A$2:$A$501,0)),"Not in current directory"))</x:f>
      </x:c>
      <x:c r="C341" s="17"/>
      <x:c r="D341" s="17"/>
      <x:c r="E341" s="18"/>
      <x:c r="F341" s="17"/>
      <x:c r="G341" s="18"/>
      <x:c r="H341" s="17"/>
      <x:c r="I341" s="17"/>
      <x:c r="J341" s="17"/>
      <x:c r="K341" s="17"/>
      <x:c r="L341" s="2" t="str">
        <x:f>IF(A341="","",IF(COUNTIFS($A$8:$A$507,A341)&lt;&gt;1,"Duplicate ID",IF(COUNTIFS(Data!$A$2:$A$501,A341)&lt;&gt;1,"Not current","Current")))</x:f>
      </x:c>
    </x:row>
    <x:row r="342" ht="32" customHeight="1">
      <x:c r="A342" s="2"/>
      <x:c r="B342" s="20" t="str">
        <x:f>IF(A342="","",IF(COUNTIFS(Data!$A$2:$A$501,A342)=1,INDEX(Data!$B$2:$B$501,MATCH(A342,Data!$A$2:$A$501,0)),"Not in current directory"))</x:f>
      </x:c>
      <x:c r="C342" s="17"/>
      <x:c r="D342" s="17"/>
      <x:c r="E342" s="18"/>
      <x:c r="F342" s="17"/>
      <x:c r="G342" s="18"/>
      <x:c r="H342" s="17"/>
      <x:c r="I342" s="17"/>
      <x:c r="J342" s="17"/>
      <x:c r="K342" s="17"/>
      <x:c r="L342" s="2" t="str">
        <x:f>IF(A342="","",IF(COUNTIFS($A$8:$A$507,A342)&lt;&gt;1,"Duplicate ID",IF(COUNTIFS(Data!$A$2:$A$501,A342)&lt;&gt;1,"Not current","Current")))</x:f>
      </x:c>
    </x:row>
    <x:row r="343" ht="32" customHeight="1">
      <x:c r="A343" s="2"/>
      <x:c r="B343" s="20" t="str">
        <x:f>IF(A343="","",IF(COUNTIFS(Data!$A$2:$A$501,A343)=1,INDEX(Data!$B$2:$B$501,MATCH(A343,Data!$A$2:$A$501,0)),"Not in current directory"))</x:f>
      </x:c>
      <x:c r="C343" s="17"/>
      <x:c r="D343" s="17"/>
      <x:c r="E343" s="18"/>
      <x:c r="F343" s="17"/>
      <x:c r="G343" s="18"/>
      <x:c r="H343" s="17"/>
      <x:c r="I343" s="17"/>
      <x:c r="J343" s="17"/>
      <x:c r="K343" s="17"/>
      <x:c r="L343" s="2" t="str">
        <x:f>IF(A343="","",IF(COUNTIFS($A$8:$A$507,A343)&lt;&gt;1,"Duplicate ID",IF(COUNTIFS(Data!$A$2:$A$501,A343)&lt;&gt;1,"Not current","Current")))</x:f>
      </x:c>
    </x:row>
    <x:row r="344" ht="32" customHeight="1">
      <x:c r="A344" s="2"/>
      <x:c r="B344" s="20" t="str">
        <x:f>IF(A344="","",IF(COUNTIFS(Data!$A$2:$A$501,A344)=1,INDEX(Data!$B$2:$B$501,MATCH(A344,Data!$A$2:$A$501,0)),"Not in current directory"))</x:f>
      </x:c>
      <x:c r="C344" s="17"/>
      <x:c r="D344" s="17"/>
      <x:c r="E344" s="18"/>
      <x:c r="F344" s="17"/>
      <x:c r="G344" s="18"/>
      <x:c r="H344" s="17"/>
      <x:c r="I344" s="17"/>
      <x:c r="J344" s="17"/>
      <x:c r="K344" s="17"/>
      <x:c r="L344" s="2" t="str">
        <x:f>IF(A344="","",IF(COUNTIFS($A$8:$A$507,A344)&lt;&gt;1,"Duplicate ID",IF(COUNTIFS(Data!$A$2:$A$501,A344)&lt;&gt;1,"Not current","Current")))</x:f>
      </x:c>
    </x:row>
    <x:row r="345" ht="32" customHeight="1">
      <x:c r="A345" s="2"/>
      <x:c r="B345" s="20" t="str">
        <x:f>IF(A345="","",IF(COUNTIFS(Data!$A$2:$A$501,A345)=1,INDEX(Data!$B$2:$B$501,MATCH(A345,Data!$A$2:$A$501,0)),"Not in current directory"))</x:f>
      </x:c>
      <x:c r="C345" s="17"/>
      <x:c r="D345" s="17"/>
      <x:c r="E345" s="18"/>
      <x:c r="F345" s="17"/>
      <x:c r="G345" s="18"/>
      <x:c r="H345" s="17"/>
      <x:c r="I345" s="17"/>
      <x:c r="J345" s="17"/>
      <x:c r="K345" s="17"/>
      <x:c r="L345" s="2" t="str">
        <x:f>IF(A345="","",IF(COUNTIFS($A$8:$A$507,A345)&lt;&gt;1,"Duplicate ID",IF(COUNTIFS(Data!$A$2:$A$501,A345)&lt;&gt;1,"Not current","Current")))</x:f>
      </x:c>
    </x:row>
    <x:row r="346" ht="32" customHeight="1">
      <x:c r="A346" s="2"/>
      <x:c r="B346" s="20" t="str">
        <x:f>IF(A346="","",IF(COUNTIFS(Data!$A$2:$A$501,A346)=1,INDEX(Data!$B$2:$B$501,MATCH(A346,Data!$A$2:$A$501,0)),"Not in current directory"))</x:f>
      </x:c>
      <x:c r="C346" s="17"/>
      <x:c r="D346" s="17"/>
      <x:c r="E346" s="18"/>
      <x:c r="F346" s="17"/>
      <x:c r="G346" s="18"/>
      <x:c r="H346" s="17"/>
      <x:c r="I346" s="17"/>
      <x:c r="J346" s="17"/>
      <x:c r="K346" s="17"/>
      <x:c r="L346" s="2" t="str">
        <x:f>IF(A346="","",IF(COUNTIFS($A$8:$A$507,A346)&lt;&gt;1,"Duplicate ID",IF(COUNTIFS(Data!$A$2:$A$501,A346)&lt;&gt;1,"Not current","Current")))</x:f>
      </x:c>
    </x:row>
    <x:row r="347" ht="32" customHeight="1">
      <x:c r="A347" s="2"/>
      <x:c r="B347" s="20" t="str">
        <x:f>IF(A347="","",IF(COUNTIFS(Data!$A$2:$A$501,A347)=1,INDEX(Data!$B$2:$B$501,MATCH(A347,Data!$A$2:$A$501,0)),"Not in current directory"))</x:f>
      </x:c>
      <x:c r="C347" s="17"/>
      <x:c r="D347" s="17"/>
      <x:c r="E347" s="18"/>
      <x:c r="F347" s="17"/>
      <x:c r="G347" s="18"/>
      <x:c r="H347" s="17"/>
      <x:c r="I347" s="17"/>
      <x:c r="J347" s="17"/>
      <x:c r="K347" s="17"/>
      <x:c r="L347" s="2" t="str">
        <x:f>IF(A347="","",IF(COUNTIFS($A$8:$A$507,A347)&lt;&gt;1,"Duplicate ID",IF(COUNTIFS(Data!$A$2:$A$501,A347)&lt;&gt;1,"Not current","Current")))</x:f>
      </x:c>
    </x:row>
    <x:row r="348" ht="32" customHeight="1">
      <x:c r="A348" s="2"/>
      <x:c r="B348" s="20" t="str">
        <x:f>IF(A348="","",IF(COUNTIFS(Data!$A$2:$A$501,A348)=1,INDEX(Data!$B$2:$B$501,MATCH(A348,Data!$A$2:$A$501,0)),"Not in current directory"))</x:f>
      </x:c>
      <x:c r="C348" s="17"/>
      <x:c r="D348" s="17"/>
      <x:c r="E348" s="18"/>
      <x:c r="F348" s="17"/>
      <x:c r="G348" s="18"/>
      <x:c r="H348" s="17"/>
      <x:c r="I348" s="17"/>
      <x:c r="J348" s="17"/>
      <x:c r="K348" s="17"/>
      <x:c r="L348" s="2" t="str">
        <x:f>IF(A348="","",IF(COUNTIFS($A$8:$A$507,A348)&lt;&gt;1,"Duplicate ID",IF(COUNTIFS(Data!$A$2:$A$501,A348)&lt;&gt;1,"Not current","Current")))</x:f>
      </x:c>
    </x:row>
    <x:row r="349" ht="32" customHeight="1">
      <x:c r="A349" s="2"/>
      <x:c r="B349" s="20" t="str">
        <x:f>IF(A349="","",IF(COUNTIFS(Data!$A$2:$A$501,A349)=1,INDEX(Data!$B$2:$B$501,MATCH(A349,Data!$A$2:$A$501,0)),"Not in current directory"))</x:f>
      </x:c>
      <x:c r="C349" s="17"/>
      <x:c r="D349" s="17"/>
      <x:c r="E349" s="18"/>
      <x:c r="F349" s="17"/>
      <x:c r="G349" s="18"/>
      <x:c r="H349" s="17"/>
      <x:c r="I349" s="17"/>
      <x:c r="J349" s="17"/>
      <x:c r="K349" s="17"/>
      <x:c r="L349" s="2" t="str">
        <x:f>IF(A349="","",IF(COUNTIFS($A$8:$A$507,A349)&lt;&gt;1,"Duplicate ID",IF(COUNTIFS(Data!$A$2:$A$501,A349)&lt;&gt;1,"Not current","Current")))</x:f>
      </x:c>
    </x:row>
    <x:row r="350" ht="32" customHeight="1">
      <x:c r="A350" s="2"/>
      <x:c r="B350" s="20" t="str">
        <x:f>IF(A350="","",IF(COUNTIFS(Data!$A$2:$A$501,A350)=1,INDEX(Data!$B$2:$B$501,MATCH(A350,Data!$A$2:$A$501,0)),"Not in current directory"))</x:f>
      </x:c>
      <x:c r="C350" s="17"/>
      <x:c r="D350" s="17"/>
      <x:c r="E350" s="18"/>
      <x:c r="F350" s="17"/>
      <x:c r="G350" s="18"/>
      <x:c r="H350" s="17"/>
      <x:c r="I350" s="17"/>
      <x:c r="J350" s="17"/>
      <x:c r="K350" s="17"/>
      <x:c r="L350" s="2" t="str">
        <x:f>IF(A350="","",IF(COUNTIFS($A$8:$A$507,A350)&lt;&gt;1,"Duplicate ID",IF(COUNTIFS(Data!$A$2:$A$501,A350)&lt;&gt;1,"Not current","Current")))</x:f>
      </x:c>
    </x:row>
    <x:row r="351" ht="32" customHeight="1">
      <x:c r="A351" s="2"/>
      <x:c r="B351" s="20" t="str">
        <x:f>IF(A351="","",IF(COUNTIFS(Data!$A$2:$A$501,A351)=1,INDEX(Data!$B$2:$B$501,MATCH(A351,Data!$A$2:$A$501,0)),"Not in current directory"))</x:f>
      </x:c>
      <x:c r="C351" s="17"/>
      <x:c r="D351" s="17"/>
      <x:c r="E351" s="18"/>
      <x:c r="F351" s="17"/>
      <x:c r="G351" s="18"/>
      <x:c r="H351" s="17"/>
      <x:c r="I351" s="17"/>
      <x:c r="J351" s="17"/>
      <x:c r="K351" s="17"/>
      <x:c r="L351" s="2" t="str">
        <x:f>IF(A351="","",IF(COUNTIFS($A$8:$A$507,A351)&lt;&gt;1,"Duplicate ID",IF(COUNTIFS(Data!$A$2:$A$501,A351)&lt;&gt;1,"Not current","Current")))</x:f>
      </x:c>
    </x:row>
    <x:row r="352" ht="32" customHeight="1">
      <x:c r="A352" s="2"/>
      <x:c r="B352" s="20" t="str">
        <x:f>IF(A352="","",IF(COUNTIFS(Data!$A$2:$A$501,A352)=1,INDEX(Data!$B$2:$B$501,MATCH(A352,Data!$A$2:$A$501,0)),"Not in current directory"))</x:f>
      </x:c>
      <x:c r="C352" s="17"/>
      <x:c r="D352" s="17"/>
      <x:c r="E352" s="18"/>
      <x:c r="F352" s="17"/>
      <x:c r="G352" s="18"/>
      <x:c r="H352" s="17"/>
      <x:c r="I352" s="17"/>
      <x:c r="J352" s="17"/>
      <x:c r="K352" s="17"/>
      <x:c r="L352" s="2" t="str">
        <x:f>IF(A352="","",IF(COUNTIFS($A$8:$A$507,A352)&lt;&gt;1,"Duplicate ID",IF(COUNTIFS(Data!$A$2:$A$501,A352)&lt;&gt;1,"Not current","Current")))</x:f>
      </x:c>
    </x:row>
    <x:row r="353" ht="32" customHeight="1">
      <x:c r="A353" s="2"/>
      <x:c r="B353" s="20" t="str">
        <x:f>IF(A353="","",IF(COUNTIFS(Data!$A$2:$A$501,A353)=1,INDEX(Data!$B$2:$B$501,MATCH(A353,Data!$A$2:$A$501,0)),"Not in current directory"))</x:f>
      </x:c>
      <x:c r="C353" s="17"/>
      <x:c r="D353" s="17"/>
      <x:c r="E353" s="18"/>
      <x:c r="F353" s="17"/>
      <x:c r="G353" s="18"/>
      <x:c r="H353" s="17"/>
      <x:c r="I353" s="17"/>
      <x:c r="J353" s="17"/>
      <x:c r="K353" s="17"/>
      <x:c r="L353" s="2" t="str">
        <x:f>IF(A353="","",IF(COUNTIFS($A$8:$A$507,A353)&lt;&gt;1,"Duplicate ID",IF(COUNTIFS(Data!$A$2:$A$501,A353)&lt;&gt;1,"Not current","Current")))</x:f>
      </x:c>
    </x:row>
    <x:row r="354" ht="32" customHeight="1">
      <x:c r="A354" s="2"/>
      <x:c r="B354" s="20" t="str">
        <x:f>IF(A354="","",IF(COUNTIFS(Data!$A$2:$A$501,A354)=1,INDEX(Data!$B$2:$B$501,MATCH(A354,Data!$A$2:$A$501,0)),"Not in current directory"))</x:f>
      </x:c>
      <x:c r="C354" s="17"/>
      <x:c r="D354" s="17"/>
      <x:c r="E354" s="18"/>
      <x:c r="F354" s="17"/>
      <x:c r="G354" s="18"/>
      <x:c r="H354" s="17"/>
      <x:c r="I354" s="17"/>
      <x:c r="J354" s="17"/>
      <x:c r="K354" s="17"/>
      <x:c r="L354" s="2" t="str">
        <x:f>IF(A354="","",IF(COUNTIFS($A$8:$A$507,A354)&lt;&gt;1,"Duplicate ID",IF(COUNTIFS(Data!$A$2:$A$501,A354)&lt;&gt;1,"Not current","Current")))</x:f>
      </x:c>
    </x:row>
    <x:row r="355" ht="32" customHeight="1">
      <x:c r="A355" s="2"/>
      <x:c r="B355" s="20" t="str">
        <x:f>IF(A355="","",IF(COUNTIFS(Data!$A$2:$A$501,A355)=1,INDEX(Data!$B$2:$B$501,MATCH(A355,Data!$A$2:$A$501,0)),"Not in current directory"))</x:f>
      </x:c>
      <x:c r="C355" s="17"/>
      <x:c r="D355" s="17"/>
      <x:c r="E355" s="18"/>
      <x:c r="F355" s="17"/>
      <x:c r="G355" s="18"/>
      <x:c r="H355" s="17"/>
      <x:c r="I355" s="17"/>
      <x:c r="J355" s="17"/>
      <x:c r="K355" s="17"/>
      <x:c r="L355" s="2" t="str">
        <x:f>IF(A355="","",IF(COUNTIFS($A$8:$A$507,A355)&lt;&gt;1,"Duplicate ID",IF(COUNTIFS(Data!$A$2:$A$501,A355)&lt;&gt;1,"Not current","Current")))</x:f>
      </x:c>
    </x:row>
    <x:row r="356" ht="32" customHeight="1">
      <x:c r="A356" s="2"/>
      <x:c r="B356" s="20" t="str">
        <x:f>IF(A356="","",IF(COUNTIFS(Data!$A$2:$A$501,A356)=1,INDEX(Data!$B$2:$B$501,MATCH(A356,Data!$A$2:$A$501,0)),"Not in current directory"))</x:f>
      </x:c>
      <x:c r="C356" s="17"/>
      <x:c r="D356" s="17"/>
      <x:c r="E356" s="18"/>
      <x:c r="F356" s="17"/>
      <x:c r="G356" s="18"/>
      <x:c r="H356" s="17"/>
      <x:c r="I356" s="17"/>
      <x:c r="J356" s="17"/>
      <x:c r="K356" s="17"/>
      <x:c r="L356" s="2" t="str">
        <x:f>IF(A356="","",IF(COUNTIFS($A$8:$A$507,A356)&lt;&gt;1,"Duplicate ID",IF(COUNTIFS(Data!$A$2:$A$501,A356)&lt;&gt;1,"Not current","Current")))</x:f>
      </x:c>
    </x:row>
    <x:row r="357" ht="32" customHeight="1">
      <x:c r="A357" s="2"/>
      <x:c r="B357" s="20" t="str">
        <x:f>IF(A357="","",IF(COUNTIFS(Data!$A$2:$A$501,A357)=1,INDEX(Data!$B$2:$B$501,MATCH(A357,Data!$A$2:$A$501,0)),"Not in current directory"))</x:f>
      </x:c>
      <x:c r="C357" s="17"/>
      <x:c r="D357" s="17"/>
      <x:c r="E357" s="18"/>
      <x:c r="F357" s="17"/>
      <x:c r="G357" s="18"/>
      <x:c r="H357" s="17"/>
      <x:c r="I357" s="17"/>
      <x:c r="J357" s="17"/>
      <x:c r="K357" s="17"/>
      <x:c r="L357" s="2" t="str">
        <x:f>IF(A357="","",IF(COUNTIFS($A$8:$A$507,A357)&lt;&gt;1,"Duplicate ID",IF(COUNTIFS(Data!$A$2:$A$501,A357)&lt;&gt;1,"Not current","Current")))</x:f>
      </x:c>
    </x:row>
    <x:row r="358" ht="32" customHeight="1">
      <x:c r="A358" s="2"/>
      <x:c r="B358" s="20" t="str">
        <x:f>IF(A358="","",IF(COUNTIFS(Data!$A$2:$A$501,A358)=1,INDEX(Data!$B$2:$B$501,MATCH(A358,Data!$A$2:$A$501,0)),"Not in current directory"))</x:f>
      </x:c>
      <x:c r="C358" s="17"/>
      <x:c r="D358" s="17"/>
      <x:c r="E358" s="18"/>
      <x:c r="F358" s="17"/>
      <x:c r="G358" s="18"/>
      <x:c r="H358" s="17"/>
      <x:c r="I358" s="17"/>
      <x:c r="J358" s="17"/>
      <x:c r="K358" s="17"/>
      <x:c r="L358" s="2" t="str">
        <x:f>IF(A358="","",IF(COUNTIFS($A$8:$A$507,A358)&lt;&gt;1,"Duplicate ID",IF(COUNTIFS(Data!$A$2:$A$501,A358)&lt;&gt;1,"Not current","Current")))</x:f>
      </x:c>
    </x:row>
    <x:row r="359" ht="32" customHeight="1">
      <x:c r="A359" s="2"/>
      <x:c r="B359" s="20" t="str">
        <x:f>IF(A359="","",IF(COUNTIFS(Data!$A$2:$A$501,A359)=1,INDEX(Data!$B$2:$B$501,MATCH(A359,Data!$A$2:$A$501,0)),"Not in current directory"))</x:f>
      </x:c>
      <x:c r="C359" s="17"/>
      <x:c r="D359" s="17"/>
      <x:c r="E359" s="18"/>
      <x:c r="F359" s="17"/>
      <x:c r="G359" s="18"/>
      <x:c r="H359" s="17"/>
      <x:c r="I359" s="17"/>
      <x:c r="J359" s="17"/>
      <x:c r="K359" s="17"/>
      <x:c r="L359" s="2" t="str">
        <x:f>IF(A359="","",IF(COUNTIFS($A$8:$A$507,A359)&lt;&gt;1,"Duplicate ID",IF(COUNTIFS(Data!$A$2:$A$501,A359)&lt;&gt;1,"Not current","Current")))</x:f>
      </x:c>
    </x:row>
    <x:row r="360" ht="32" customHeight="1">
      <x:c r="A360" s="2"/>
      <x:c r="B360" s="20" t="str">
        <x:f>IF(A360="","",IF(COUNTIFS(Data!$A$2:$A$501,A360)=1,INDEX(Data!$B$2:$B$501,MATCH(A360,Data!$A$2:$A$501,0)),"Not in current directory"))</x:f>
      </x:c>
      <x:c r="C360" s="17"/>
      <x:c r="D360" s="17"/>
      <x:c r="E360" s="18"/>
      <x:c r="F360" s="17"/>
      <x:c r="G360" s="18"/>
      <x:c r="H360" s="17"/>
      <x:c r="I360" s="17"/>
      <x:c r="J360" s="17"/>
      <x:c r="K360" s="17"/>
      <x:c r="L360" s="2" t="str">
        <x:f>IF(A360="","",IF(COUNTIFS($A$8:$A$507,A360)&lt;&gt;1,"Duplicate ID",IF(COUNTIFS(Data!$A$2:$A$501,A360)&lt;&gt;1,"Not current","Current")))</x:f>
      </x:c>
    </x:row>
    <x:row r="361" ht="32" customHeight="1">
      <x:c r="A361" s="2"/>
      <x:c r="B361" s="20" t="str">
        <x:f>IF(A361="","",IF(COUNTIFS(Data!$A$2:$A$501,A361)=1,INDEX(Data!$B$2:$B$501,MATCH(A361,Data!$A$2:$A$501,0)),"Not in current directory"))</x:f>
      </x:c>
      <x:c r="C361" s="17"/>
      <x:c r="D361" s="17"/>
      <x:c r="E361" s="18"/>
      <x:c r="F361" s="17"/>
      <x:c r="G361" s="18"/>
      <x:c r="H361" s="17"/>
      <x:c r="I361" s="17"/>
      <x:c r="J361" s="17"/>
      <x:c r="K361" s="17"/>
      <x:c r="L361" s="2" t="str">
        <x:f>IF(A361="","",IF(COUNTIFS($A$8:$A$507,A361)&lt;&gt;1,"Duplicate ID",IF(COUNTIFS(Data!$A$2:$A$501,A361)&lt;&gt;1,"Not current","Current")))</x:f>
      </x:c>
    </x:row>
    <x:row r="362" ht="32" customHeight="1">
      <x:c r="A362" s="2"/>
      <x:c r="B362" s="20" t="str">
        <x:f>IF(A362="","",IF(COUNTIFS(Data!$A$2:$A$501,A362)=1,INDEX(Data!$B$2:$B$501,MATCH(A362,Data!$A$2:$A$501,0)),"Not in current directory"))</x:f>
      </x:c>
      <x:c r="C362" s="17"/>
      <x:c r="D362" s="17"/>
      <x:c r="E362" s="18"/>
      <x:c r="F362" s="17"/>
      <x:c r="G362" s="18"/>
      <x:c r="H362" s="17"/>
      <x:c r="I362" s="17"/>
      <x:c r="J362" s="17"/>
      <x:c r="K362" s="17"/>
      <x:c r="L362" s="2" t="str">
        <x:f>IF(A362="","",IF(COUNTIFS($A$8:$A$507,A362)&lt;&gt;1,"Duplicate ID",IF(COUNTIFS(Data!$A$2:$A$501,A362)&lt;&gt;1,"Not current","Current")))</x:f>
      </x:c>
    </x:row>
    <x:row r="363" ht="32" customHeight="1">
      <x:c r="A363" s="2"/>
      <x:c r="B363" s="20" t="str">
        <x:f>IF(A363="","",IF(COUNTIFS(Data!$A$2:$A$501,A363)=1,INDEX(Data!$B$2:$B$501,MATCH(A363,Data!$A$2:$A$501,0)),"Not in current directory"))</x:f>
      </x:c>
      <x:c r="C363" s="17"/>
      <x:c r="D363" s="17"/>
      <x:c r="E363" s="18"/>
      <x:c r="F363" s="17"/>
      <x:c r="G363" s="18"/>
      <x:c r="H363" s="17"/>
      <x:c r="I363" s="17"/>
      <x:c r="J363" s="17"/>
      <x:c r="K363" s="17"/>
      <x:c r="L363" s="2" t="str">
        <x:f>IF(A363="","",IF(COUNTIFS($A$8:$A$507,A363)&lt;&gt;1,"Duplicate ID",IF(COUNTIFS(Data!$A$2:$A$501,A363)&lt;&gt;1,"Not current","Current")))</x:f>
      </x:c>
    </x:row>
    <x:row r="364" ht="32" customHeight="1">
      <x:c r="A364" s="2"/>
      <x:c r="B364" s="20" t="str">
        <x:f>IF(A364="","",IF(COUNTIFS(Data!$A$2:$A$501,A364)=1,INDEX(Data!$B$2:$B$501,MATCH(A364,Data!$A$2:$A$501,0)),"Not in current directory"))</x:f>
      </x:c>
      <x:c r="C364" s="17"/>
      <x:c r="D364" s="17"/>
      <x:c r="E364" s="18"/>
      <x:c r="F364" s="17"/>
      <x:c r="G364" s="18"/>
      <x:c r="H364" s="17"/>
      <x:c r="I364" s="17"/>
      <x:c r="J364" s="17"/>
      <x:c r="K364" s="17"/>
      <x:c r="L364" s="2" t="str">
        <x:f>IF(A364="","",IF(COUNTIFS($A$8:$A$507,A364)&lt;&gt;1,"Duplicate ID",IF(COUNTIFS(Data!$A$2:$A$501,A364)&lt;&gt;1,"Not current","Current")))</x:f>
      </x:c>
    </x:row>
    <x:row r="365" ht="32" customHeight="1">
      <x:c r="A365" s="2"/>
      <x:c r="B365" s="20" t="str">
        <x:f>IF(A365="","",IF(COUNTIFS(Data!$A$2:$A$501,A365)=1,INDEX(Data!$B$2:$B$501,MATCH(A365,Data!$A$2:$A$501,0)),"Not in current directory"))</x:f>
      </x:c>
      <x:c r="C365" s="17"/>
      <x:c r="D365" s="17"/>
      <x:c r="E365" s="18"/>
      <x:c r="F365" s="17"/>
      <x:c r="G365" s="18"/>
      <x:c r="H365" s="17"/>
      <x:c r="I365" s="17"/>
      <x:c r="J365" s="17"/>
      <x:c r="K365" s="17"/>
      <x:c r="L365" s="2" t="str">
        <x:f>IF(A365="","",IF(COUNTIFS($A$8:$A$507,A365)&lt;&gt;1,"Duplicate ID",IF(COUNTIFS(Data!$A$2:$A$501,A365)&lt;&gt;1,"Not current","Current")))</x:f>
      </x:c>
    </x:row>
    <x:row r="366" ht="32" customHeight="1">
      <x:c r="A366" s="2"/>
      <x:c r="B366" s="20" t="str">
        <x:f>IF(A366="","",IF(COUNTIFS(Data!$A$2:$A$501,A366)=1,INDEX(Data!$B$2:$B$501,MATCH(A366,Data!$A$2:$A$501,0)),"Not in current directory"))</x:f>
      </x:c>
      <x:c r="C366" s="17"/>
      <x:c r="D366" s="17"/>
      <x:c r="E366" s="18"/>
      <x:c r="F366" s="17"/>
      <x:c r="G366" s="18"/>
      <x:c r="H366" s="17"/>
      <x:c r="I366" s="17"/>
      <x:c r="J366" s="17"/>
      <x:c r="K366" s="17"/>
      <x:c r="L366" s="2" t="str">
        <x:f>IF(A366="","",IF(COUNTIFS($A$8:$A$507,A366)&lt;&gt;1,"Duplicate ID",IF(COUNTIFS(Data!$A$2:$A$501,A366)&lt;&gt;1,"Not current","Current")))</x:f>
      </x:c>
    </x:row>
    <x:row r="367" ht="32" customHeight="1">
      <x:c r="A367" s="2"/>
      <x:c r="B367" s="20" t="str">
        <x:f>IF(A367="","",IF(COUNTIFS(Data!$A$2:$A$501,A367)=1,INDEX(Data!$B$2:$B$501,MATCH(A367,Data!$A$2:$A$501,0)),"Not in current directory"))</x:f>
      </x:c>
      <x:c r="C367" s="17"/>
      <x:c r="D367" s="17"/>
      <x:c r="E367" s="18"/>
      <x:c r="F367" s="17"/>
      <x:c r="G367" s="18"/>
      <x:c r="H367" s="17"/>
      <x:c r="I367" s="17"/>
      <x:c r="J367" s="17"/>
      <x:c r="K367" s="17"/>
      <x:c r="L367" s="2" t="str">
        <x:f>IF(A367="","",IF(COUNTIFS($A$8:$A$507,A367)&lt;&gt;1,"Duplicate ID",IF(COUNTIFS(Data!$A$2:$A$501,A367)&lt;&gt;1,"Not current","Current")))</x:f>
      </x:c>
    </x:row>
    <x:row r="368" ht="32" customHeight="1">
      <x:c r="A368" s="2"/>
      <x:c r="B368" s="20" t="str">
        <x:f>IF(A368="","",IF(COUNTIFS(Data!$A$2:$A$501,A368)=1,INDEX(Data!$B$2:$B$501,MATCH(A368,Data!$A$2:$A$501,0)),"Not in current directory"))</x:f>
      </x:c>
      <x:c r="C368" s="17"/>
      <x:c r="D368" s="17"/>
      <x:c r="E368" s="18"/>
      <x:c r="F368" s="17"/>
      <x:c r="G368" s="18"/>
      <x:c r="H368" s="17"/>
      <x:c r="I368" s="17"/>
      <x:c r="J368" s="17"/>
      <x:c r="K368" s="17"/>
      <x:c r="L368" s="2" t="str">
        <x:f>IF(A368="","",IF(COUNTIFS($A$8:$A$507,A368)&lt;&gt;1,"Duplicate ID",IF(COUNTIFS(Data!$A$2:$A$501,A368)&lt;&gt;1,"Not current","Current")))</x:f>
      </x:c>
    </x:row>
    <x:row r="369" ht="32" customHeight="1">
      <x:c r="A369" s="2"/>
      <x:c r="B369" s="20" t="str">
        <x:f>IF(A369="","",IF(COUNTIFS(Data!$A$2:$A$501,A369)=1,INDEX(Data!$B$2:$B$501,MATCH(A369,Data!$A$2:$A$501,0)),"Not in current directory"))</x:f>
      </x:c>
      <x:c r="C369" s="17"/>
      <x:c r="D369" s="17"/>
      <x:c r="E369" s="18"/>
      <x:c r="F369" s="17"/>
      <x:c r="G369" s="18"/>
      <x:c r="H369" s="17"/>
      <x:c r="I369" s="17"/>
      <x:c r="J369" s="17"/>
      <x:c r="K369" s="17"/>
      <x:c r="L369" s="2" t="str">
        <x:f>IF(A369="","",IF(COUNTIFS($A$8:$A$507,A369)&lt;&gt;1,"Duplicate ID",IF(COUNTIFS(Data!$A$2:$A$501,A369)&lt;&gt;1,"Not current","Current")))</x:f>
      </x:c>
    </x:row>
    <x:row r="370" ht="32" customHeight="1">
      <x:c r="A370" s="2"/>
      <x:c r="B370" s="20" t="str">
        <x:f>IF(A370="","",IF(COUNTIFS(Data!$A$2:$A$501,A370)=1,INDEX(Data!$B$2:$B$501,MATCH(A370,Data!$A$2:$A$501,0)),"Not in current directory"))</x:f>
      </x:c>
      <x:c r="C370" s="17"/>
      <x:c r="D370" s="17"/>
      <x:c r="E370" s="18"/>
      <x:c r="F370" s="17"/>
      <x:c r="G370" s="18"/>
      <x:c r="H370" s="17"/>
      <x:c r="I370" s="17"/>
      <x:c r="J370" s="17"/>
      <x:c r="K370" s="17"/>
      <x:c r="L370" s="2" t="str">
        <x:f>IF(A370="","",IF(COUNTIFS($A$8:$A$507,A370)&lt;&gt;1,"Duplicate ID",IF(COUNTIFS(Data!$A$2:$A$501,A370)&lt;&gt;1,"Not current","Current")))</x:f>
      </x:c>
    </x:row>
    <x:row r="371" ht="32" customHeight="1">
      <x:c r="A371" s="2"/>
      <x:c r="B371" s="20" t="str">
        <x:f>IF(A371="","",IF(COUNTIFS(Data!$A$2:$A$501,A371)=1,INDEX(Data!$B$2:$B$501,MATCH(A371,Data!$A$2:$A$501,0)),"Not in current directory"))</x:f>
      </x:c>
      <x:c r="C371" s="17"/>
      <x:c r="D371" s="17"/>
      <x:c r="E371" s="18"/>
      <x:c r="F371" s="17"/>
      <x:c r="G371" s="18"/>
      <x:c r="H371" s="17"/>
      <x:c r="I371" s="17"/>
      <x:c r="J371" s="17"/>
      <x:c r="K371" s="17"/>
      <x:c r="L371" s="2" t="str">
        <x:f>IF(A371="","",IF(COUNTIFS($A$8:$A$507,A371)&lt;&gt;1,"Duplicate ID",IF(COUNTIFS(Data!$A$2:$A$501,A371)&lt;&gt;1,"Not current","Current")))</x:f>
      </x:c>
    </x:row>
    <x:row r="372" ht="32" customHeight="1">
      <x:c r="A372" s="2"/>
      <x:c r="B372" s="20" t="str">
        <x:f>IF(A372="","",IF(COUNTIFS(Data!$A$2:$A$501,A372)=1,INDEX(Data!$B$2:$B$501,MATCH(A372,Data!$A$2:$A$501,0)),"Not in current directory"))</x:f>
      </x:c>
      <x:c r="C372" s="17"/>
      <x:c r="D372" s="17"/>
      <x:c r="E372" s="18"/>
      <x:c r="F372" s="17"/>
      <x:c r="G372" s="18"/>
      <x:c r="H372" s="17"/>
      <x:c r="I372" s="17"/>
      <x:c r="J372" s="17"/>
      <x:c r="K372" s="17"/>
      <x:c r="L372" s="2" t="str">
        <x:f>IF(A372="","",IF(COUNTIFS($A$8:$A$507,A372)&lt;&gt;1,"Duplicate ID",IF(COUNTIFS(Data!$A$2:$A$501,A372)&lt;&gt;1,"Not current","Current")))</x:f>
      </x:c>
    </x:row>
    <x:row r="373" ht="32" customHeight="1">
      <x:c r="A373" s="2"/>
      <x:c r="B373" s="20" t="str">
        <x:f>IF(A373="","",IF(COUNTIFS(Data!$A$2:$A$501,A373)=1,INDEX(Data!$B$2:$B$501,MATCH(A373,Data!$A$2:$A$501,0)),"Not in current directory"))</x:f>
      </x:c>
      <x:c r="C373" s="17"/>
      <x:c r="D373" s="17"/>
      <x:c r="E373" s="18"/>
      <x:c r="F373" s="17"/>
      <x:c r="G373" s="18"/>
      <x:c r="H373" s="17"/>
      <x:c r="I373" s="17"/>
      <x:c r="J373" s="17"/>
      <x:c r="K373" s="17"/>
      <x:c r="L373" s="2" t="str">
        <x:f>IF(A373="","",IF(COUNTIFS($A$8:$A$507,A373)&lt;&gt;1,"Duplicate ID",IF(COUNTIFS(Data!$A$2:$A$501,A373)&lt;&gt;1,"Not current","Current")))</x:f>
      </x:c>
    </x:row>
    <x:row r="374" ht="32" customHeight="1">
      <x:c r="A374" s="2"/>
      <x:c r="B374" s="20" t="str">
        <x:f>IF(A374="","",IF(COUNTIFS(Data!$A$2:$A$501,A374)=1,INDEX(Data!$B$2:$B$501,MATCH(A374,Data!$A$2:$A$501,0)),"Not in current directory"))</x:f>
      </x:c>
      <x:c r="C374" s="17"/>
      <x:c r="D374" s="17"/>
      <x:c r="E374" s="18"/>
      <x:c r="F374" s="17"/>
      <x:c r="G374" s="18"/>
      <x:c r="H374" s="17"/>
      <x:c r="I374" s="17"/>
      <x:c r="J374" s="17"/>
      <x:c r="K374" s="17"/>
      <x:c r="L374" s="2" t="str">
        <x:f>IF(A374="","",IF(COUNTIFS($A$8:$A$507,A374)&lt;&gt;1,"Duplicate ID",IF(COUNTIFS(Data!$A$2:$A$501,A374)&lt;&gt;1,"Not current","Current")))</x:f>
      </x:c>
    </x:row>
    <x:row r="375" ht="32" customHeight="1">
      <x:c r="A375" s="2"/>
      <x:c r="B375" s="20" t="str">
        <x:f>IF(A375="","",IF(COUNTIFS(Data!$A$2:$A$501,A375)=1,INDEX(Data!$B$2:$B$501,MATCH(A375,Data!$A$2:$A$501,0)),"Not in current directory"))</x:f>
      </x:c>
      <x:c r="C375" s="17"/>
      <x:c r="D375" s="17"/>
      <x:c r="E375" s="18"/>
      <x:c r="F375" s="17"/>
      <x:c r="G375" s="18"/>
      <x:c r="H375" s="17"/>
      <x:c r="I375" s="17"/>
      <x:c r="J375" s="17"/>
      <x:c r="K375" s="17"/>
      <x:c r="L375" s="2" t="str">
        <x:f>IF(A375="","",IF(COUNTIFS($A$8:$A$507,A375)&lt;&gt;1,"Duplicate ID",IF(COUNTIFS(Data!$A$2:$A$501,A375)&lt;&gt;1,"Not current","Current")))</x:f>
      </x:c>
    </x:row>
    <x:row r="376" ht="32" customHeight="1">
      <x:c r="A376" s="2"/>
      <x:c r="B376" s="20" t="str">
        <x:f>IF(A376="","",IF(COUNTIFS(Data!$A$2:$A$501,A376)=1,INDEX(Data!$B$2:$B$501,MATCH(A376,Data!$A$2:$A$501,0)),"Not in current directory"))</x:f>
      </x:c>
      <x:c r="C376" s="17"/>
      <x:c r="D376" s="17"/>
      <x:c r="E376" s="18"/>
      <x:c r="F376" s="17"/>
      <x:c r="G376" s="18"/>
      <x:c r="H376" s="17"/>
      <x:c r="I376" s="17"/>
      <x:c r="J376" s="17"/>
      <x:c r="K376" s="17"/>
      <x:c r="L376" s="2" t="str">
        <x:f>IF(A376="","",IF(COUNTIFS($A$8:$A$507,A376)&lt;&gt;1,"Duplicate ID",IF(COUNTIFS(Data!$A$2:$A$501,A376)&lt;&gt;1,"Not current","Current")))</x:f>
      </x:c>
    </x:row>
    <x:row r="377" ht="32" customHeight="1">
      <x:c r="A377" s="2"/>
      <x:c r="B377" s="20" t="str">
        <x:f>IF(A377="","",IF(COUNTIFS(Data!$A$2:$A$501,A377)=1,INDEX(Data!$B$2:$B$501,MATCH(A377,Data!$A$2:$A$501,0)),"Not in current directory"))</x:f>
      </x:c>
      <x:c r="C377" s="17"/>
      <x:c r="D377" s="17"/>
      <x:c r="E377" s="18"/>
      <x:c r="F377" s="17"/>
      <x:c r="G377" s="18"/>
      <x:c r="H377" s="17"/>
      <x:c r="I377" s="17"/>
      <x:c r="J377" s="17"/>
      <x:c r="K377" s="17"/>
      <x:c r="L377" s="2" t="str">
        <x:f>IF(A377="","",IF(COUNTIFS($A$8:$A$507,A377)&lt;&gt;1,"Duplicate ID",IF(COUNTIFS(Data!$A$2:$A$501,A377)&lt;&gt;1,"Not current","Current")))</x:f>
      </x:c>
    </x:row>
    <x:row r="378" ht="32" customHeight="1">
      <x:c r="A378" s="2"/>
      <x:c r="B378" s="20" t="str">
        <x:f>IF(A378="","",IF(COUNTIFS(Data!$A$2:$A$501,A378)=1,INDEX(Data!$B$2:$B$501,MATCH(A378,Data!$A$2:$A$501,0)),"Not in current directory"))</x:f>
      </x:c>
      <x:c r="C378" s="17"/>
      <x:c r="D378" s="17"/>
      <x:c r="E378" s="18"/>
      <x:c r="F378" s="17"/>
      <x:c r="G378" s="18"/>
      <x:c r="H378" s="17"/>
      <x:c r="I378" s="17"/>
      <x:c r="J378" s="17"/>
      <x:c r="K378" s="17"/>
      <x:c r="L378" s="2" t="str">
        <x:f>IF(A378="","",IF(COUNTIFS($A$8:$A$507,A378)&lt;&gt;1,"Duplicate ID",IF(COUNTIFS(Data!$A$2:$A$501,A378)&lt;&gt;1,"Not current","Current")))</x:f>
      </x:c>
    </x:row>
    <x:row r="379" ht="32" customHeight="1">
      <x:c r="A379" s="2"/>
      <x:c r="B379" s="20" t="str">
        <x:f>IF(A379="","",IF(COUNTIFS(Data!$A$2:$A$501,A379)=1,INDEX(Data!$B$2:$B$501,MATCH(A379,Data!$A$2:$A$501,0)),"Not in current directory"))</x:f>
      </x:c>
      <x:c r="C379" s="17"/>
      <x:c r="D379" s="17"/>
      <x:c r="E379" s="18"/>
      <x:c r="F379" s="17"/>
      <x:c r="G379" s="18"/>
      <x:c r="H379" s="17"/>
      <x:c r="I379" s="17"/>
      <x:c r="J379" s="17"/>
      <x:c r="K379" s="17"/>
      <x:c r="L379" s="2" t="str">
        <x:f>IF(A379="","",IF(COUNTIFS($A$8:$A$507,A379)&lt;&gt;1,"Duplicate ID",IF(COUNTIFS(Data!$A$2:$A$501,A379)&lt;&gt;1,"Not current","Current")))</x:f>
      </x:c>
    </x:row>
    <x:row r="380" ht="32" customHeight="1">
      <x:c r="A380" s="2"/>
      <x:c r="B380" s="20" t="str">
        <x:f>IF(A380="","",IF(COUNTIFS(Data!$A$2:$A$501,A380)=1,INDEX(Data!$B$2:$B$501,MATCH(A380,Data!$A$2:$A$501,0)),"Not in current directory"))</x:f>
      </x:c>
      <x:c r="C380" s="17"/>
      <x:c r="D380" s="17"/>
      <x:c r="E380" s="18"/>
      <x:c r="F380" s="17"/>
      <x:c r="G380" s="18"/>
      <x:c r="H380" s="17"/>
      <x:c r="I380" s="17"/>
      <x:c r="J380" s="17"/>
      <x:c r="K380" s="17"/>
      <x:c r="L380" s="2" t="str">
        <x:f>IF(A380="","",IF(COUNTIFS($A$8:$A$507,A380)&lt;&gt;1,"Duplicate ID",IF(COUNTIFS(Data!$A$2:$A$501,A380)&lt;&gt;1,"Not current","Current")))</x:f>
      </x:c>
    </x:row>
    <x:row r="381" ht="32" customHeight="1">
      <x:c r="A381" s="2"/>
      <x:c r="B381" s="20" t="str">
        <x:f>IF(A381="","",IF(COUNTIFS(Data!$A$2:$A$501,A381)=1,INDEX(Data!$B$2:$B$501,MATCH(A381,Data!$A$2:$A$501,0)),"Not in current directory"))</x:f>
      </x:c>
      <x:c r="C381" s="17"/>
      <x:c r="D381" s="17"/>
      <x:c r="E381" s="18"/>
      <x:c r="F381" s="17"/>
      <x:c r="G381" s="18"/>
      <x:c r="H381" s="17"/>
      <x:c r="I381" s="17"/>
      <x:c r="J381" s="17"/>
      <x:c r="K381" s="17"/>
      <x:c r="L381" s="2" t="str">
        <x:f>IF(A381="","",IF(COUNTIFS($A$8:$A$507,A381)&lt;&gt;1,"Duplicate ID",IF(COUNTIFS(Data!$A$2:$A$501,A381)&lt;&gt;1,"Not current","Current")))</x:f>
      </x:c>
    </x:row>
    <x:row r="382" ht="32" customHeight="1">
      <x:c r="A382" s="2"/>
      <x:c r="B382" s="20" t="str">
        <x:f>IF(A382="","",IF(COUNTIFS(Data!$A$2:$A$501,A382)=1,INDEX(Data!$B$2:$B$501,MATCH(A382,Data!$A$2:$A$501,0)),"Not in current directory"))</x:f>
      </x:c>
      <x:c r="C382" s="17"/>
      <x:c r="D382" s="17"/>
      <x:c r="E382" s="18"/>
      <x:c r="F382" s="17"/>
      <x:c r="G382" s="18"/>
      <x:c r="H382" s="17"/>
      <x:c r="I382" s="17"/>
      <x:c r="J382" s="17"/>
      <x:c r="K382" s="17"/>
      <x:c r="L382" s="2" t="str">
        <x:f>IF(A382="","",IF(COUNTIFS($A$8:$A$507,A382)&lt;&gt;1,"Duplicate ID",IF(COUNTIFS(Data!$A$2:$A$501,A382)&lt;&gt;1,"Not current","Current")))</x:f>
      </x:c>
    </x:row>
    <x:row r="383" ht="32" customHeight="1">
      <x:c r="A383" s="2"/>
      <x:c r="B383" s="20" t="str">
        <x:f>IF(A383="","",IF(COUNTIFS(Data!$A$2:$A$501,A383)=1,INDEX(Data!$B$2:$B$501,MATCH(A383,Data!$A$2:$A$501,0)),"Not in current directory"))</x:f>
      </x:c>
      <x:c r="C383" s="17"/>
      <x:c r="D383" s="17"/>
      <x:c r="E383" s="18"/>
      <x:c r="F383" s="17"/>
      <x:c r="G383" s="18"/>
      <x:c r="H383" s="17"/>
      <x:c r="I383" s="17"/>
      <x:c r="J383" s="17"/>
      <x:c r="K383" s="17"/>
      <x:c r="L383" s="2" t="str">
        <x:f>IF(A383="","",IF(COUNTIFS($A$8:$A$507,A383)&lt;&gt;1,"Duplicate ID",IF(COUNTIFS(Data!$A$2:$A$501,A383)&lt;&gt;1,"Not current","Current")))</x:f>
      </x:c>
    </x:row>
    <x:row r="384" ht="32" customHeight="1">
      <x:c r="A384" s="2"/>
      <x:c r="B384" s="20" t="str">
        <x:f>IF(A384="","",IF(COUNTIFS(Data!$A$2:$A$501,A384)=1,INDEX(Data!$B$2:$B$501,MATCH(A384,Data!$A$2:$A$501,0)),"Not in current directory"))</x:f>
      </x:c>
      <x:c r="C384" s="17"/>
      <x:c r="D384" s="17"/>
      <x:c r="E384" s="18"/>
      <x:c r="F384" s="17"/>
      <x:c r="G384" s="18"/>
      <x:c r="H384" s="17"/>
      <x:c r="I384" s="17"/>
      <x:c r="J384" s="17"/>
      <x:c r="K384" s="17"/>
      <x:c r="L384" s="2" t="str">
        <x:f>IF(A384="","",IF(COUNTIFS($A$8:$A$507,A384)&lt;&gt;1,"Duplicate ID",IF(COUNTIFS(Data!$A$2:$A$501,A384)&lt;&gt;1,"Not current","Current")))</x:f>
      </x:c>
    </x:row>
    <x:row r="385" ht="32" customHeight="1">
      <x:c r="A385" s="2"/>
      <x:c r="B385" s="20" t="str">
        <x:f>IF(A385="","",IF(COUNTIFS(Data!$A$2:$A$501,A385)=1,INDEX(Data!$B$2:$B$501,MATCH(A385,Data!$A$2:$A$501,0)),"Not in current directory"))</x:f>
      </x:c>
      <x:c r="C385" s="17"/>
      <x:c r="D385" s="17"/>
      <x:c r="E385" s="18"/>
      <x:c r="F385" s="17"/>
      <x:c r="G385" s="18"/>
      <x:c r="H385" s="17"/>
      <x:c r="I385" s="17"/>
      <x:c r="J385" s="17"/>
      <x:c r="K385" s="17"/>
      <x:c r="L385" s="2" t="str">
        <x:f>IF(A385="","",IF(COUNTIFS($A$8:$A$507,A385)&lt;&gt;1,"Duplicate ID",IF(COUNTIFS(Data!$A$2:$A$501,A385)&lt;&gt;1,"Not current","Current")))</x:f>
      </x:c>
    </x:row>
    <x:row r="386" ht="32" customHeight="1">
      <x:c r="A386" s="2"/>
      <x:c r="B386" s="20" t="str">
        <x:f>IF(A386="","",IF(COUNTIFS(Data!$A$2:$A$501,A386)=1,INDEX(Data!$B$2:$B$501,MATCH(A386,Data!$A$2:$A$501,0)),"Not in current directory"))</x:f>
      </x:c>
      <x:c r="C386" s="17"/>
      <x:c r="D386" s="17"/>
      <x:c r="E386" s="18"/>
      <x:c r="F386" s="17"/>
      <x:c r="G386" s="18"/>
      <x:c r="H386" s="17"/>
      <x:c r="I386" s="17"/>
      <x:c r="J386" s="17"/>
      <x:c r="K386" s="17"/>
      <x:c r="L386" s="2" t="str">
        <x:f>IF(A386="","",IF(COUNTIFS($A$8:$A$507,A386)&lt;&gt;1,"Duplicate ID",IF(COUNTIFS(Data!$A$2:$A$501,A386)&lt;&gt;1,"Not current","Current")))</x:f>
      </x:c>
    </x:row>
    <x:row r="387" ht="32" customHeight="1">
      <x:c r="A387" s="2"/>
      <x:c r="B387" s="20" t="str">
        <x:f>IF(A387="","",IF(COUNTIFS(Data!$A$2:$A$501,A387)=1,INDEX(Data!$B$2:$B$501,MATCH(A387,Data!$A$2:$A$501,0)),"Not in current directory"))</x:f>
      </x:c>
      <x:c r="C387" s="17"/>
      <x:c r="D387" s="17"/>
      <x:c r="E387" s="18"/>
      <x:c r="F387" s="17"/>
      <x:c r="G387" s="18"/>
      <x:c r="H387" s="17"/>
      <x:c r="I387" s="17"/>
      <x:c r="J387" s="17"/>
      <x:c r="K387" s="17"/>
      <x:c r="L387" s="2" t="str">
        <x:f>IF(A387="","",IF(COUNTIFS($A$8:$A$507,A387)&lt;&gt;1,"Duplicate ID",IF(COUNTIFS(Data!$A$2:$A$501,A387)&lt;&gt;1,"Not current","Current")))</x:f>
      </x:c>
    </x:row>
    <x:row r="388" ht="32" customHeight="1">
      <x:c r="A388" s="2"/>
      <x:c r="B388" s="20" t="str">
        <x:f>IF(A388="","",IF(COUNTIFS(Data!$A$2:$A$501,A388)=1,INDEX(Data!$B$2:$B$501,MATCH(A388,Data!$A$2:$A$501,0)),"Not in current directory"))</x:f>
      </x:c>
      <x:c r="C388" s="17"/>
      <x:c r="D388" s="17"/>
      <x:c r="E388" s="18"/>
      <x:c r="F388" s="17"/>
      <x:c r="G388" s="18"/>
      <x:c r="H388" s="17"/>
      <x:c r="I388" s="17"/>
      <x:c r="J388" s="17"/>
      <x:c r="K388" s="17"/>
      <x:c r="L388" s="2" t="str">
        <x:f>IF(A388="","",IF(COUNTIFS($A$8:$A$507,A388)&lt;&gt;1,"Duplicate ID",IF(COUNTIFS(Data!$A$2:$A$501,A388)&lt;&gt;1,"Not current","Current")))</x:f>
      </x:c>
    </x:row>
    <x:row r="389" ht="32" customHeight="1">
      <x:c r="A389" s="2"/>
      <x:c r="B389" s="20" t="str">
        <x:f>IF(A389="","",IF(COUNTIFS(Data!$A$2:$A$501,A389)=1,INDEX(Data!$B$2:$B$501,MATCH(A389,Data!$A$2:$A$501,0)),"Not in current directory"))</x:f>
      </x:c>
      <x:c r="C389" s="17"/>
      <x:c r="D389" s="17"/>
      <x:c r="E389" s="18"/>
      <x:c r="F389" s="17"/>
      <x:c r="G389" s="18"/>
      <x:c r="H389" s="17"/>
      <x:c r="I389" s="17"/>
      <x:c r="J389" s="17"/>
      <x:c r="K389" s="17"/>
      <x:c r="L389" s="2" t="str">
        <x:f>IF(A389="","",IF(COUNTIFS($A$8:$A$507,A389)&lt;&gt;1,"Duplicate ID",IF(COUNTIFS(Data!$A$2:$A$501,A389)&lt;&gt;1,"Not current","Current")))</x:f>
      </x:c>
    </x:row>
    <x:row r="390" ht="32" customHeight="1">
      <x:c r="A390" s="2"/>
      <x:c r="B390" s="20" t="str">
        <x:f>IF(A390="","",IF(COUNTIFS(Data!$A$2:$A$501,A390)=1,INDEX(Data!$B$2:$B$501,MATCH(A390,Data!$A$2:$A$501,0)),"Not in current directory"))</x:f>
      </x:c>
      <x:c r="C390" s="17"/>
      <x:c r="D390" s="17"/>
      <x:c r="E390" s="18"/>
      <x:c r="F390" s="17"/>
      <x:c r="G390" s="18"/>
      <x:c r="H390" s="17"/>
      <x:c r="I390" s="17"/>
      <x:c r="J390" s="17"/>
      <x:c r="K390" s="17"/>
      <x:c r="L390" s="2" t="str">
        <x:f>IF(A390="","",IF(COUNTIFS($A$8:$A$507,A390)&lt;&gt;1,"Duplicate ID",IF(COUNTIFS(Data!$A$2:$A$501,A390)&lt;&gt;1,"Not current","Current")))</x:f>
      </x:c>
    </x:row>
    <x:row r="391" ht="32" customHeight="1">
      <x:c r="A391" s="2"/>
      <x:c r="B391" s="20" t="str">
        <x:f>IF(A391="","",IF(COUNTIFS(Data!$A$2:$A$501,A391)=1,INDEX(Data!$B$2:$B$501,MATCH(A391,Data!$A$2:$A$501,0)),"Not in current directory"))</x:f>
      </x:c>
      <x:c r="C391" s="17"/>
      <x:c r="D391" s="17"/>
      <x:c r="E391" s="18"/>
      <x:c r="F391" s="17"/>
      <x:c r="G391" s="18"/>
      <x:c r="H391" s="17"/>
      <x:c r="I391" s="17"/>
      <x:c r="J391" s="17"/>
      <x:c r="K391" s="17"/>
      <x:c r="L391" s="2" t="str">
        <x:f>IF(A391="","",IF(COUNTIFS($A$8:$A$507,A391)&lt;&gt;1,"Duplicate ID",IF(COUNTIFS(Data!$A$2:$A$501,A391)&lt;&gt;1,"Not current","Current")))</x:f>
      </x:c>
    </x:row>
    <x:row r="392" ht="32" customHeight="1">
      <x:c r="A392" s="2"/>
      <x:c r="B392" s="20" t="str">
        <x:f>IF(A392="","",IF(COUNTIFS(Data!$A$2:$A$501,A392)=1,INDEX(Data!$B$2:$B$501,MATCH(A392,Data!$A$2:$A$501,0)),"Not in current directory"))</x:f>
      </x:c>
      <x:c r="C392" s="17"/>
      <x:c r="D392" s="17"/>
      <x:c r="E392" s="18"/>
      <x:c r="F392" s="17"/>
      <x:c r="G392" s="18"/>
      <x:c r="H392" s="17"/>
      <x:c r="I392" s="17"/>
      <x:c r="J392" s="17"/>
      <x:c r="K392" s="17"/>
      <x:c r="L392" s="2" t="str">
        <x:f>IF(A392="","",IF(COUNTIFS($A$8:$A$507,A392)&lt;&gt;1,"Duplicate ID",IF(COUNTIFS(Data!$A$2:$A$501,A392)&lt;&gt;1,"Not current","Current")))</x:f>
      </x:c>
    </x:row>
    <x:row r="393" ht="32" customHeight="1">
      <x:c r="A393" s="2"/>
      <x:c r="B393" s="20" t="str">
        <x:f>IF(A393="","",IF(COUNTIFS(Data!$A$2:$A$501,A393)=1,INDEX(Data!$B$2:$B$501,MATCH(A393,Data!$A$2:$A$501,0)),"Not in current directory"))</x:f>
      </x:c>
      <x:c r="C393" s="17"/>
      <x:c r="D393" s="17"/>
      <x:c r="E393" s="18"/>
      <x:c r="F393" s="17"/>
      <x:c r="G393" s="18"/>
      <x:c r="H393" s="17"/>
      <x:c r="I393" s="17"/>
      <x:c r="J393" s="17"/>
      <x:c r="K393" s="17"/>
      <x:c r="L393" s="2" t="str">
        <x:f>IF(A393="","",IF(COUNTIFS($A$8:$A$507,A393)&lt;&gt;1,"Duplicate ID",IF(COUNTIFS(Data!$A$2:$A$501,A393)&lt;&gt;1,"Not current","Current")))</x:f>
      </x:c>
    </x:row>
    <x:row r="394" ht="32" customHeight="1">
      <x:c r="A394" s="2"/>
      <x:c r="B394" s="20" t="str">
        <x:f>IF(A394="","",IF(COUNTIFS(Data!$A$2:$A$501,A394)=1,INDEX(Data!$B$2:$B$501,MATCH(A394,Data!$A$2:$A$501,0)),"Not in current directory"))</x:f>
      </x:c>
      <x:c r="C394" s="17"/>
      <x:c r="D394" s="17"/>
      <x:c r="E394" s="18"/>
      <x:c r="F394" s="17"/>
      <x:c r="G394" s="18"/>
      <x:c r="H394" s="17"/>
      <x:c r="I394" s="17"/>
      <x:c r="J394" s="17"/>
      <x:c r="K394" s="17"/>
      <x:c r="L394" s="2" t="str">
        <x:f>IF(A394="","",IF(COUNTIFS($A$8:$A$507,A394)&lt;&gt;1,"Duplicate ID",IF(COUNTIFS(Data!$A$2:$A$501,A394)&lt;&gt;1,"Not current","Current")))</x:f>
      </x:c>
    </x:row>
    <x:row r="395" ht="32" customHeight="1">
      <x:c r="A395" s="2"/>
      <x:c r="B395" s="20" t="str">
        <x:f>IF(A395="","",IF(COUNTIFS(Data!$A$2:$A$501,A395)=1,INDEX(Data!$B$2:$B$501,MATCH(A395,Data!$A$2:$A$501,0)),"Not in current directory"))</x:f>
      </x:c>
      <x:c r="C395" s="17"/>
      <x:c r="D395" s="17"/>
      <x:c r="E395" s="18"/>
      <x:c r="F395" s="17"/>
      <x:c r="G395" s="18"/>
      <x:c r="H395" s="17"/>
      <x:c r="I395" s="17"/>
      <x:c r="J395" s="17"/>
      <x:c r="K395" s="17"/>
      <x:c r="L395" s="2" t="str">
        <x:f>IF(A395="","",IF(COUNTIFS($A$8:$A$507,A395)&lt;&gt;1,"Duplicate ID",IF(COUNTIFS(Data!$A$2:$A$501,A395)&lt;&gt;1,"Not current","Current")))</x:f>
      </x:c>
    </x:row>
    <x:row r="396" ht="32" customHeight="1">
      <x:c r="A396" s="2"/>
      <x:c r="B396" s="20" t="str">
        <x:f>IF(A396="","",IF(COUNTIFS(Data!$A$2:$A$501,A396)=1,INDEX(Data!$B$2:$B$501,MATCH(A396,Data!$A$2:$A$501,0)),"Not in current directory"))</x:f>
      </x:c>
      <x:c r="C396" s="17"/>
      <x:c r="D396" s="17"/>
      <x:c r="E396" s="18"/>
      <x:c r="F396" s="17"/>
      <x:c r="G396" s="18"/>
      <x:c r="H396" s="17"/>
      <x:c r="I396" s="17"/>
      <x:c r="J396" s="17"/>
      <x:c r="K396" s="17"/>
      <x:c r="L396" s="2" t="str">
        <x:f>IF(A396="","",IF(COUNTIFS($A$8:$A$507,A396)&lt;&gt;1,"Duplicate ID",IF(COUNTIFS(Data!$A$2:$A$501,A396)&lt;&gt;1,"Not current","Current")))</x:f>
      </x:c>
    </x:row>
    <x:row r="397" ht="32" customHeight="1">
      <x:c r="A397" s="2"/>
      <x:c r="B397" s="20" t="str">
        <x:f>IF(A397="","",IF(COUNTIFS(Data!$A$2:$A$501,A397)=1,INDEX(Data!$B$2:$B$501,MATCH(A397,Data!$A$2:$A$501,0)),"Not in current directory"))</x:f>
      </x:c>
      <x:c r="C397" s="17"/>
      <x:c r="D397" s="17"/>
      <x:c r="E397" s="18"/>
      <x:c r="F397" s="17"/>
      <x:c r="G397" s="18"/>
      <x:c r="H397" s="17"/>
      <x:c r="I397" s="17"/>
      <x:c r="J397" s="17"/>
      <x:c r="K397" s="17"/>
      <x:c r="L397" s="2" t="str">
        <x:f>IF(A397="","",IF(COUNTIFS($A$8:$A$507,A397)&lt;&gt;1,"Duplicate ID",IF(COUNTIFS(Data!$A$2:$A$501,A397)&lt;&gt;1,"Not current","Current")))</x:f>
      </x:c>
    </x:row>
    <x:row r="398" ht="32" customHeight="1">
      <x:c r="A398" s="2"/>
      <x:c r="B398" s="20" t="str">
        <x:f>IF(A398="","",IF(COUNTIFS(Data!$A$2:$A$501,A398)=1,INDEX(Data!$B$2:$B$501,MATCH(A398,Data!$A$2:$A$501,0)),"Not in current directory"))</x:f>
      </x:c>
      <x:c r="C398" s="17"/>
      <x:c r="D398" s="17"/>
      <x:c r="E398" s="18"/>
      <x:c r="F398" s="17"/>
      <x:c r="G398" s="18"/>
      <x:c r="H398" s="17"/>
      <x:c r="I398" s="17"/>
      <x:c r="J398" s="17"/>
      <x:c r="K398" s="17"/>
      <x:c r="L398" s="2" t="str">
        <x:f>IF(A398="","",IF(COUNTIFS($A$8:$A$507,A398)&lt;&gt;1,"Duplicate ID",IF(COUNTIFS(Data!$A$2:$A$501,A398)&lt;&gt;1,"Not current","Current")))</x:f>
      </x:c>
    </x:row>
    <x:row r="399" ht="32" customHeight="1">
      <x:c r="A399" s="2"/>
      <x:c r="B399" s="20" t="str">
        <x:f>IF(A399="","",IF(COUNTIFS(Data!$A$2:$A$501,A399)=1,INDEX(Data!$B$2:$B$501,MATCH(A399,Data!$A$2:$A$501,0)),"Not in current directory"))</x:f>
      </x:c>
      <x:c r="C399" s="17"/>
      <x:c r="D399" s="17"/>
      <x:c r="E399" s="18"/>
      <x:c r="F399" s="17"/>
      <x:c r="G399" s="18"/>
      <x:c r="H399" s="17"/>
      <x:c r="I399" s="17"/>
      <x:c r="J399" s="17"/>
      <x:c r="K399" s="17"/>
      <x:c r="L399" s="2" t="str">
        <x:f>IF(A399="","",IF(COUNTIFS($A$8:$A$507,A399)&lt;&gt;1,"Duplicate ID",IF(COUNTIFS(Data!$A$2:$A$501,A399)&lt;&gt;1,"Not current","Current")))</x:f>
      </x:c>
    </x:row>
    <x:row r="400" ht="32" customHeight="1">
      <x:c r="A400" s="2"/>
      <x:c r="B400" s="20" t="str">
        <x:f>IF(A400="","",IF(COUNTIFS(Data!$A$2:$A$501,A400)=1,INDEX(Data!$B$2:$B$501,MATCH(A400,Data!$A$2:$A$501,0)),"Not in current directory"))</x:f>
      </x:c>
      <x:c r="C400" s="17"/>
      <x:c r="D400" s="17"/>
      <x:c r="E400" s="18"/>
      <x:c r="F400" s="17"/>
      <x:c r="G400" s="18"/>
      <x:c r="H400" s="17"/>
      <x:c r="I400" s="17"/>
      <x:c r="J400" s="17"/>
      <x:c r="K400" s="17"/>
      <x:c r="L400" s="2" t="str">
        <x:f>IF(A400="","",IF(COUNTIFS($A$8:$A$507,A400)&lt;&gt;1,"Duplicate ID",IF(COUNTIFS(Data!$A$2:$A$501,A400)&lt;&gt;1,"Not current","Current")))</x:f>
      </x:c>
    </x:row>
    <x:row r="401" ht="32" customHeight="1">
      <x:c r="A401" s="2"/>
      <x:c r="B401" s="20" t="str">
        <x:f>IF(A401="","",IF(COUNTIFS(Data!$A$2:$A$501,A401)=1,INDEX(Data!$B$2:$B$501,MATCH(A401,Data!$A$2:$A$501,0)),"Not in current directory"))</x:f>
      </x:c>
      <x:c r="C401" s="17"/>
      <x:c r="D401" s="17"/>
      <x:c r="E401" s="18"/>
      <x:c r="F401" s="17"/>
      <x:c r="G401" s="18"/>
      <x:c r="H401" s="17"/>
      <x:c r="I401" s="17"/>
      <x:c r="J401" s="17"/>
      <x:c r="K401" s="17"/>
      <x:c r="L401" s="2" t="str">
        <x:f>IF(A401="","",IF(COUNTIFS($A$8:$A$507,A401)&lt;&gt;1,"Duplicate ID",IF(COUNTIFS(Data!$A$2:$A$501,A401)&lt;&gt;1,"Not current","Current")))</x:f>
      </x:c>
    </x:row>
    <x:row r="402" ht="32" customHeight="1">
      <x:c r="A402" s="2"/>
      <x:c r="B402" s="20" t="str">
        <x:f>IF(A402="","",IF(COUNTIFS(Data!$A$2:$A$501,A402)=1,INDEX(Data!$B$2:$B$501,MATCH(A402,Data!$A$2:$A$501,0)),"Not in current directory"))</x:f>
      </x:c>
      <x:c r="C402" s="17"/>
      <x:c r="D402" s="17"/>
      <x:c r="E402" s="18"/>
      <x:c r="F402" s="17"/>
      <x:c r="G402" s="18"/>
      <x:c r="H402" s="17"/>
      <x:c r="I402" s="17"/>
      <x:c r="J402" s="17"/>
      <x:c r="K402" s="17"/>
      <x:c r="L402" s="2" t="str">
        <x:f>IF(A402="","",IF(COUNTIFS($A$8:$A$507,A402)&lt;&gt;1,"Duplicate ID",IF(COUNTIFS(Data!$A$2:$A$501,A402)&lt;&gt;1,"Not current","Current")))</x:f>
      </x:c>
    </x:row>
    <x:row r="403" ht="32" customHeight="1">
      <x:c r="A403" s="2"/>
      <x:c r="B403" s="20" t="str">
        <x:f>IF(A403="","",IF(COUNTIFS(Data!$A$2:$A$501,A403)=1,INDEX(Data!$B$2:$B$501,MATCH(A403,Data!$A$2:$A$501,0)),"Not in current directory"))</x:f>
      </x:c>
      <x:c r="C403" s="17"/>
      <x:c r="D403" s="17"/>
      <x:c r="E403" s="18"/>
      <x:c r="F403" s="17"/>
      <x:c r="G403" s="18"/>
      <x:c r="H403" s="17"/>
      <x:c r="I403" s="17"/>
      <x:c r="J403" s="17"/>
      <x:c r="K403" s="17"/>
      <x:c r="L403" s="2" t="str">
        <x:f>IF(A403="","",IF(COUNTIFS($A$8:$A$507,A403)&lt;&gt;1,"Duplicate ID",IF(COUNTIFS(Data!$A$2:$A$501,A403)&lt;&gt;1,"Not current","Current")))</x:f>
      </x:c>
    </x:row>
    <x:row r="404" ht="32" customHeight="1">
      <x:c r="A404" s="2"/>
      <x:c r="B404" s="20" t="str">
        <x:f>IF(A404="","",IF(COUNTIFS(Data!$A$2:$A$501,A404)=1,INDEX(Data!$B$2:$B$501,MATCH(A404,Data!$A$2:$A$501,0)),"Not in current directory"))</x:f>
      </x:c>
      <x:c r="C404" s="17"/>
      <x:c r="D404" s="17"/>
      <x:c r="E404" s="18"/>
      <x:c r="F404" s="17"/>
      <x:c r="G404" s="18"/>
      <x:c r="H404" s="17"/>
      <x:c r="I404" s="17"/>
      <x:c r="J404" s="17"/>
      <x:c r="K404" s="17"/>
      <x:c r="L404" s="2" t="str">
        <x:f>IF(A404="","",IF(COUNTIFS($A$8:$A$507,A404)&lt;&gt;1,"Duplicate ID",IF(COUNTIFS(Data!$A$2:$A$501,A404)&lt;&gt;1,"Not current","Current")))</x:f>
      </x:c>
    </x:row>
    <x:row r="405" ht="32" customHeight="1">
      <x:c r="A405" s="2"/>
      <x:c r="B405" s="20" t="str">
        <x:f>IF(A405="","",IF(COUNTIFS(Data!$A$2:$A$501,A405)=1,INDEX(Data!$B$2:$B$501,MATCH(A405,Data!$A$2:$A$501,0)),"Not in current directory"))</x:f>
      </x:c>
      <x:c r="C405" s="17"/>
      <x:c r="D405" s="17"/>
      <x:c r="E405" s="18"/>
      <x:c r="F405" s="17"/>
      <x:c r="G405" s="18"/>
      <x:c r="H405" s="17"/>
      <x:c r="I405" s="17"/>
      <x:c r="J405" s="17"/>
      <x:c r="K405" s="17"/>
      <x:c r="L405" s="2" t="str">
        <x:f>IF(A405="","",IF(COUNTIFS($A$8:$A$507,A405)&lt;&gt;1,"Duplicate ID",IF(COUNTIFS(Data!$A$2:$A$501,A405)&lt;&gt;1,"Not current","Current")))</x:f>
      </x:c>
    </x:row>
    <x:row r="406" ht="32" customHeight="1">
      <x:c r="A406" s="2"/>
      <x:c r="B406" s="20" t="str">
        <x:f>IF(A406="","",IF(COUNTIFS(Data!$A$2:$A$501,A406)=1,INDEX(Data!$B$2:$B$501,MATCH(A406,Data!$A$2:$A$501,0)),"Not in current directory"))</x:f>
      </x:c>
      <x:c r="C406" s="17"/>
      <x:c r="D406" s="17"/>
      <x:c r="E406" s="18"/>
      <x:c r="F406" s="17"/>
      <x:c r="G406" s="18"/>
      <x:c r="H406" s="17"/>
      <x:c r="I406" s="17"/>
      <x:c r="J406" s="17"/>
      <x:c r="K406" s="17"/>
      <x:c r="L406" s="2" t="str">
        <x:f>IF(A406="","",IF(COUNTIFS($A$8:$A$507,A406)&lt;&gt;1,"Duplicate ID",IF(COUNTIFS(Data!$A$2:$A$501,A406)&lt;&gt;1,"Not current","Current")))</x:f>
      </x:c>
    </x:row>
    <x:row r="407" ht="32" customHeight="1">
      <x:c r="A407" s="2"/>
      <x:c r="B407" s="20" t="str">
        <x:f>IF(A407="","",IF(COUNTIFS(Data!$A$2:$A$501,A407)=1,INDEX(Data!$B$2:$B$501,MATCH(A407,Data!$A$2:$A$501,0)),"Not in current directory"))</x:f>
      </x:c>
      <x:c r="C407" s="17"/>
      <x:c r="D407" s="17"/>
      <x:c r="E407" s="18"/>
      <x:c r="F407" s="17"/>
      <x:c r="G407" s="18"/>
      <x:c r="H407" s="17"/>
      <x:c r="I407" s="17"/>
      <x:c r="J407" s="17"/>
      <x:c r="K407" s="17"/>
      <x:c r="L407" s="2" t="str">
        <x:f>IF(A407="","",IF(COUNTIFS($A$8:$A$507,A407)&lt;&gt;1,"Duplicate ID",IF(COUNTIFS(Data!$A$2:$A$501,A407)&lt;&gt;1,"Not current","Current")))</x:f>
      </x:c>
    </x:row>
    <x:row r="408" ht="32" customHeight="1">
      <x:c r="A408" s="2"/>
      <x:c r="B408" s="20" t="str">
        <x:f>IF(A408="","",IF(COUNTIFS(Data!$A$2:$A$501,A408)=1,INDEX(Data!$B$2:$B$501,MATCH(A408,Data!$A$2:$A$501,0)),"Not in current directory"))</x:f>
      </x:c>
      <x:c r="C408" s="17"/>
      <x:c r="D408" s="17"/>
      <x:c r="E408" s="18"/>
      <x:c r="F408" s="17"/>
      <x:c r="G408" s="18"/>
      <x:c r="H408" s="17"/>
      <x:c r="I408" s="17"/>
      <x:c r="J408" s="17"/>
      <x:c r="K408" s="17"/>
      <x:c r="L408" s="2" t="str">
        <x:f>IF(A408="","",IF(COUNTIFS($A$8:$A$507,A408)&lt;&gt;1,"Duplicate ID",IF(COUNTIFS(Data!$A$2:$A$501,A408)&lt;&gt;1,"Not current","Current")))</x:f>
      </x:c>
    </x:row>
    <x:row r="409" ht="32" customHeight="1">
      <x:c r="A409" s="2"/>
      <x:c r="B409" s="20" t="str">
        <x:f>IF(A409="","",IF(COUNTIFS(Data!$A$2:$A$501,A409)=1,INDEX(Data!$B$2:$B$501,MATCH(A409,Data!$A$2:$A$501,0)),"Not in current directory"))</x:f>
      </x:c>
      <x:c r="C409" s="17"/>
      <x:c r="D409" s="17"/>
      <x:c r="E409" s="18"/>
      <x:c r="F409" s="17"/>
      <x:c r="G409" s="18"/>
      <x:c r="H409" s="17"/>
      <x:c r="I409" s="17"/>
      <x:c r="J409" s="17"/>
      <x:c r="K409" s="17"/>
      <x:c r="L409" s="2" t="str">
        <x:f>IF(A409="","",IF(COUNTIFS($A$8:$A$507,A409)&lt;&gt;1,"Duplicate ID",IF(COUNTIFS(Data!$A$2:$A$501,A409)&lt;&gt;1,"Not current","Current")))</x:f>
      </x:c>
    </x:row>
    <x:row r="410" ht="32" customHeight="1">
      <x:c r="A410" s="2"/>
      <x:c r="B410" s="20" t="str">
        <x:f>IF(A410="","",IF(COUNTIFS(Data!$A$2:$A$501,A410)=1,INDEX(Data!$B$2:$B$501,MATCH(A410,Data!$A$2:$A$501,0)),"Not in current directory"))</x:f>
      </x:c>
      <x:c r="C410" s="17"/>
      <x:c r="D410" s="17"/>
      <x:c r="E410" s="18"/>
      <x:c r="F410" s="17"/>
      <x:c r="G410" s="18"/>
      <x:c r="H410" s="17"/>
      <x:c r="I410" s="17"/>
      <x:c r="J410" s="17"/>
      <x:c r="K410" s="17"/>
      <x:c r="L410" s="2" t="str">
        <x:f>IF(A410="","",IF(COUNTIFS($A$8:$A$507,A410)&lt;&gt;1,"Duplicate ID",IF(COUNTIFS(Data!$A$2:$A$501,A410)&lt;&gt;1,"Not current","Current")))</x:f>
      </x:c>
    </x:row>
    <x:row r="411" ht="32" customHeight="1">
      <x:c r="A411" s="2"/>
      <x:c r="B411" s="20" t="str">
        <x:f>IF(A411="","",IF(COUNTIFS(Data!$A$2:$A$501,A411)=1,INDEX(Data!$B$2:$B$501,MATCH(A411,Data!$A$2:$A$501,0)),"Not in current directory"))</x:f>
      </x:c>
      <x:c r="C411" s="17"/>
      <x:c r="D411" s="17"/>
      <x:c r="E411" s="18"/>
      <x:c r="F411" s="17"/>
      <x:c r="G411" s="18"/>
      <x:c r="H411" s="17"/>
      <x:c r="I411" s="17"/>
      <x:c r="J411" s="17"/>
      <x:c r="K411" s="17"/>
      <x:c r="L411" s="2" t="str">
        <x:f>IF(A411="","",IF(COUNTIFS($A$8:$A$507,A411)&lt;&gt;1,"Duplicate ID",IF(COUNTIFS(Data!$A$2:$A$501,A411)&lt;&gt;1,"Not current","Current")))</x:f>
      </x:c>
    </x:row>
    <x:row r="412" ht="32" customHeight="1">
      <x:c r="A412" s="2"/>
      <x:c r="B412" s="20" t="str">
        <x:f>IF(A412="","",IF(COUNTIFS(Data!$A$2:$A$501,A412)=1,INDEX(Data!$B$2:$B$501,MATCH(A412,Data!$A$2:$A$501,0)),"Not in current directory"))</x:f>
      </x:c>
      <x:c r="C412" s="17"/>
      <x:c r="D412" s="17"/>
      <x:c r="E412" s="18"/>
      <x:c r="F412" s="17"/>
      <x:c r="G412" s="18"/>
      <x:c r="H412" s="17"/>
      <x:c r="I412" s="17"/>
      <x:c r="J412" s="17"/>
      <x:c r="K412" s="17"/>
      <x:c r="L412" s="2" t="str">
        <x:f>IF(A412="","",IF(COUNTIFS($A$8:$A$507,A412)&lt;&gt;1,"Duplicate ID",IF(COUNTIFS(Data!$A$2:$A$501,A412)&lt;&gt;1,"Not current","Current")))</x:f>
      </x:c>
    </x:row>
    <x:row r="413" ht="32" customHeight="1">
      <x:c r="A413" s="2"/>
      <x:c r="B413" s="20" t="str">
        <x:f>IF(A413="","",IF(COUNTIFS(Data!$A$2:$A$501,A413)=1,INDEX(Data!$B$2:$B$501,MATCH(A413,Data!$A$2:$A$501,0)),"Not in current directory"))</x:f>
      </x:c>
      <x:c r="C413" s="17"/>
      <x:c r="D413" s="17"/>
      <x:c r="E413" s="18"/>
      <x:c r="F413" s="17"/>
      <x:c r="G413" s="18"/>
      <x:c r="H413" s="17"/>
      <x:c r="I413" s="17"/>
      <x:c r="J413" s="17"/>
      <x:c r="K413" s="17"/>
      <x:c r="L413" s="2" t="str">
        <x:f>IF(A413="","",IF(COUNTIFS($A$8:$A$507,A413)&lt;&gt;1,"Duplicate ID",IF(COUNTIFS(Data!$A$2:$A$501,A413)&lt;&gt;1,"Not current","Current")))</x:f>
      </x:c>
    </x:row>
    <x:row r="414" ht="32" customHeight="1">
      <x:c r="A414" s="2"/>
      <x:c r="B414" s="20" t="str">
        <x:f>IF(A414="","",IF(COUNTIFS(Data!$A$2:$A$501,A414)=1,INDEX(Data!$B$2:$B$501,MATCH(A414,Data!$A$2:$A$501,0)),"Not in current directory"))</x:f>
      </x:c>
      <x:c r="C414" s="17"/>
      <x:c r="D414" s="17"/>
      <x:c r="E414" s="18"/>
      <x:c r="F414" s="17"/>
      <x:c r="G414" s="18"/>
      <x:c r="H414" s="17"/>
      <x:c r="I414" s="17"/>
      <x:c r="J414" s="17"/>
      <x:c r="K414" s="17"/>
      <x:c r="L414" s="2" t="str">
        <x:f>IF(A414="","",IF(COUNTIFS($A$8:$A$507,A414)&lt;&gt;1,"Duplicate ID",IF(COUNTIFS(Data!$A$2:$A$501,A414)&lt;&gt;1,"Not current","Current")))</x:f>
      </x:c>
    </x:row>
    <x:row r="415" ht="32" customHeight="1">
      <x:c r="A415" s="2"/>
      <x:c r="B415" s="20" t="str">
        <x:f>IF(A415="","",IF(COUNTIFS(Data!$A$2:$A$501,A415)=1,INDEX(Data!$B$2:$B$501,MATCH(A415,Data!$A$2:$A$501,0)),"Not in current directory"))</x:f>
      </x:c>
      <x:c r="C415" s="17"/>
      <x:c r="D415" s="17"/>
      <x:c r="E415" s="18"/>
      <x:c r="F415" s="17"/>
      <x:c r="G415" s="18"/>
      <x:c r="H415" s="17"/>
      <x:c r="I415" s="17"/>
      <x:c r="J415" s="17"/>
      <x:c r="K415" s="17"/>
      <x:c r="L415" s="2" t="str">
        <x:f>IF(A415="","",IF(COUNTIFS($A$8:$A$507,A415)&lt;&gt;1,"Duplicate ID",IF(COUNTIFS(Data!$A$2:$A$501,A415)&lt;&gt;1,"Not current","Current")))</x:f>
      </x:c>
    </x:row>
    <x:row r="416" ht="32" customHeight="1">
      <x:c r="A416" s="2"/>
      <x:c r="B416" s="20" t="str">
        <x:f>IF(A416="","",IF(COUNTIFS(Data!$A$2:$A$501,A416)=1,INDEX(Data!$B$2:$B$501,MATCH(A416,Data!$A$2:$A$501,0)),"Not in current directory"))</x:f>
      </x:c>
      <x:c r="C416" s="17"/>
      <x:c r="D416" s="17"/>
      <x:c r="E416" s="18"/>
      <x:c r="F416" s="17"/>
      <x:c r="G416" s="18"/>
      <x:c r="H416" s="17"/>
      <x:c r="I416" s="17"/>
      <x:c r="J416" s="17"/>
      <x:c r="K416" s="17"/>
      <x:c r="L416" s="2" t="str">
        <x:f>IF(A416="","",IF(COUNTIFS($A$8:$A$507,A416)&lt;&gt;1,"Duplicate ID",IF(COUNTIFS(Data!$A$2:$A$501,A416)&lt;&gt;1,"Not current","Current")))</x:f>
      </x:c>
    </x:row>
    <x:row r="417" ht="32" customHeight="1">
      <x:c r="A417" s="2"/>
      <x:c r="B417" s="20" t="str">
        <x:f>IF(A417="","",IF(COUNTIFS(Data!$A$2:$A$501,A417)=1,INDEX(Data!$B$2:$B$501,MATCH(A417,Data!$A$2:$A$501,0)),"Not in current directory"))</x:f>
      </x:c>
      <x:c r="C417" s="17"/>
      <x:c r="D417" s="17"/>
      <x:c r="E417" s="18"/>
      <x:c r="F417" s="17"/>
      <x:c r="G417" s="18"/>
      <x:c r="H417" s="17"/>
      <x:c r="I417" s="17"/>
      <x:c r="J417" s="17"/>
      <x:c r="K417" s="17"/>
      <x:c r="L417" s="2" t="str">
        <x:f>IF(A417="","",IF(COUNTIFS($A$8:$A$507,A417)&lt;&gt;1,"Duplicate ID",IF(COUNTIFS(Data!$A$2:$A$501,A417)&lt;&gt;1,"Not current","Current")))</x:f>
      </x:c>
    </x:row>
    <x:row r="418" ht="32" customHeight="1">
      <x:c r="A418" s="2"/>
      <x:c r="B418" s="20" t="str">
        <x:f>IF(A418="","",IF(COUNTIFS(Data!$A$2:$A$501,A418)=1,INDEX(Data!$B$2:$B$501,MATCH(A418,Data!$A$2:$A$501,0)),"Not in current directory"))</x:f>
      </x:c>
      <x:c r="C418" s="17"/>
      <x:c r="D418" s="17"/>
      <x:c r="E418" s="18"/>
      <x:c r="F418" s="17"/>
      <x:c r="G418" s="18"/>
      <x:c r="H418" s="17"/>
      <x:c r="I418" s="17"/>
      <x:c r="J418" s="17"/>
      <x:c r="K418" s="17"/>
      <x:c r="L418" s="2" t="str">
        <x:f>IF(A418="","",IF(COUNTIFS($A$8:$A$507,A418)&lt;&gt;1,"Duplicate ID",IF(COUNTIFS(Data!$A$2:$A$501,A418)&lt;&gt;1,"Not current","Current")))</x:f>
      </x:c>
    </x:row>
    <x:row r="419" ht="32" customHeight="1">
      <x:c r="A419" s="2"/>
      <x:c r="B419" s="20" t="str">
        <x:f>IF(A419="","",IF(COUNTIFS(Data!$A$2:$A$501,A419)=1,INDEX(Data!$B$2:$B$501,MATCH(A419,Data!$A$2:$A$501,0)),"Not in current directory"))</x:f>
      </x:c>
      <x:c r="C419" s="17"/>
      <x:c r="D419" s="17"/>
      <x:c r="E419" s="18"/>
      <x:c r="F419" s="17"/>
      <x:c r="G419" s="18"/>
      <x:c r="H419" s="17"/>
      <x:c r="I419" s="17"/>
      <x:c r="J419" s="17"/>
      <x:c r="K419" s="17"/>
      <x:c r="L419" s="2" t="str">
        <x:f>IF(A419="","",IF(COUNTIFS($A$8:$A$507,A419)&lt;&gt;1,"Duplicate ID",IF(COUNTIFS(Data!$A$2:$A$501,A419)&lt;&gt;1,"Not current","Current")))</x:f>
      </x:c>
    </x:row>
    <x:row r="420" ht="32" customHeight="1">
      <x:c r="A420" s="2"/>
      <x:c r="B420" s="20" t="str">
        <x:f>IF(A420="","",IF(COUNTIFS(Data!$A$2:$A$501,A420)=1,INDEX(Data!$B$2:$B$501,MATCH(A420,Data!$A$2:$A$501,0)),"Not in current directory"))</x:f>
      </x:c>
      <x:c r="C420" s="17"/>
      <x:c r="D420" s="17"/>
      <x:c r="E420" s="18"/>
      <x:c r="F420" s="17"/>
      <x:c r="G420" s="18"/>
      <x:c r="H420" s="17"/>
      <x:c r="I420" s="17"/>
      <x:c r="J420" s="17"/>
      <x:c r="K420" s="17"/>
      <x:c r="L420" s="2" t="str">
        <x:f>IF(A420="","",IF(COUNTIFS($A$8:$A$507,A420)&lt;&gt;1,"Duplicate ID",IF(COUNTIFS(Data!$A$2:$A$501,A420)&lt;&gt;1,"Not current","Current")))</x:f>
      </x:c>
    </x:row>
    <x:row r="421" ht="32" customHeight="1">
      <x:c r="A421" s="2"/>
      <x:c r="B421" s="20" t="str">
        <x:f>IF(A421="","",IF(COUNTIFS(Data!$A$2:$A$501,A421)=1,INDEX(Data!$B$2:$B$501,MATCH(A421,Data!$A$2:$A$501,0)),"Not in current directory"))</x:f>
      </x:c>
      <x:c r="C421" s="17"/>
      <x:c r="D421" s="17"/>
      <x:c r="E421" s="18"/>
      <x:c r="F421" s="17"/>
      <x:c r="G421" s="18"/>
      <x:c r="H421" s="17"/>
      <x:c r="I421" s="17"/>
      <x:c r="J421" s="17"/>
      <x:c r="K421" s="17"/>
      <x:c r="L421" s="2" t="str">
        <x:f>IF(A421="","",IF(COUNTIFS($A$8:$A$507,A421)&lt;&gt;1,"Duplicate ID",IF(COUNTIFS(Data!$A$2:$A$501,A421)&lt;&gt;1,"Not current","Current")))</x:f>
      </x:c>
    </x:row>
    <x:row r="422" ht="32" customHeight="1">
      <x:c r="A422" s="2"/>
      <x:c r="B422" s="20" t="str">
        <x:f>IF(A422="","",IF(COUNTIFS(Data!$A$2:$A$501,A422)=1,INDEX(Data!$B$2:$B$501,MATCH(A422,Data!$A$2:$A$501,0)),"Not in current directory"))</x:f>
      </x:c>
      <x:c r="C422" s="17"/>
      <x:c r="D422" s="17"/>
      <x:c r="E422" s="18"/>
      <x:c r="F422" s="17"/>
      <x:c r="G422" s="18"/>
      <x:c r="H422" s="17"/>
      <x:c r="I422" s="17"/>
      <x:c r="J422" s="17"/>
      <x:c r="K422" s="17"/>
      <x:c r="L422" s="2" t="str">
        <x:f>IF(A422="","",IF(COUNTIFS($A$8:$A$507,A422)&lt;&gt;1,"Duplicate ID",IF(COUNTIFS(Data!$A$2:$A$501,A422)&lt;&gt;1,"Not current","Current")))</x:f>
      </x:c>
    </x:row>
    <x:row r="423" ht="32" customHeight="1">
      <x:c r="A423" s="2"/>
      <x:c r="B423" s="20" t="str">
        <x:f>IF(A423="","",IF(COUNTIFS(Data!$A$2:$A$501,A423)=1,INDEX(Data!$B$2:$B$501,MATCH(A423,Data!$A$2:$A$501,0)),"Not in current directory"))</x:f>
      </x:c>
      <x:c r="C423" s="17"/>
      <x:c r="D423" s="17"/>
      <x:c r="E423" s="18"/>
      <x:c r="F423" s="17"/>
      <x:c r="G423" s="18"/>
      <x:c r="H423" s="17"/>
      <x:c r="I423" s="17"/>
      <x:c r="J423" s="17"/>
      <x:c r="K423" s="17"/>
      <x:c r="L423" s="2" t="str">
        <x:f>IF(A423="","",IF(COUNTIFS($A$8:$A$507,A423)&lt;&gt;1,"Duplicate ID",IF(COUNTIFS(Data!$A$2:$A$501,A423)&lt;&gt;1,"Not current","Current")))</x:f>
      </x:c>
    </x:row>
    <x:row r="424" ht="32" customHeight="1">
      <x:c r="A424" s="2"/>
      <x:c r="B424" s="20" t="str">
        <x:f>IF(A424="","",IF(COUNTIFS(Data!$A$2:$A$501,A424)=1,INDEX(Data!$B$2:$B$501,MATCH(A424,Data!$A$2:$A$501,0)),"Not in current directory"))</x:f>
      </x:c>
      <x:c r="C424" s="17"/>
      <x:c r="D424" s="17"/>
      <x:c r="E424" s="18"/>
      <x:c r="F424" s="17"/>
      <x:c r="G424" s="18"/>
      <x:c r="H424" s="17"/>
      <x:c r="I424" s="17"/>
      <x:c r="J424" s="17"/>
      <x:c r="K424" s="17"/>
      <x:c r="L424" s="2" t="str">
        <x:f>IF(A424="","",IF(COUNTIFS($A$8:$A$507,A424)&lt;&gt;1,"Duplicate ID",IF(COUNTIFS(Data!$A$2:$A$501,A424)&lt;&gt;1,"Not current","Current")))</x:f>
      </x:c>
    </x:row>
    <x:row r="425" ht="32" customHeight="1">
      <x:c r="A425" s="2"/>
      <x:c r="B425" s="20" t="str">
        <x:f>IF(A425="","",IF(COUNTIFS(Data!$A$2:$A$501,A425)=1,INDEX(Data!$B$2:$B$501,MATCH(A425,Data!$A$2:$A$501,0)),"Not in current directory"))</x:f>
      </x:c>
      <x:c r="C425" s="17"/>
      <x:c r="D425" s="17"/>
      <x:c r="E425" s="18"/>
      <x:c r="F425" s="17"/>
      <x:c r="G425" s="18"/>
      <x:c r="H425" s="17"/>
      <x:c r="I425" s="17"/>
      <x:c r="J425" s="17"/>
      <x:c r="K425" s="17"/>
      <x:c r="L425" s="2" t="str">
        <x:f>IF(A425="","",IF(COUNTIFS($A$8:$A$507,A425)&lt;&gt;1,"Duplicate ID",IF(COUNTIFS(Data!$A$2:$A$501,A425)&lt;&gt;1,"Not current","Current")))</x:f>
      </x:c>
    </x:row>
    <x:row r="426" ht="32" customHeight="1">
      <x:c r="A426" s="2"/>
      <x:c r="B426" s="20" t="str">
        <x:f>IF(A426="","",IF(COUNTIFS(Data!$A$2:$A$501,A426)=1,INDEX(Data!$B$2:$B$501,MATCH(A426,Data!$A$2:$A$501,0)),"Not in current directory"))</x:f>
      </x:c>
      <x:c r="C426" s="17"/>
      <x:c r="D426" s="17"/>
      <x:c r="E426" s="18"/>
      <x:c r="F426" s="17"/>
      <x:c r="G426" s="18"/>
      <x:c r="H426" s="17"/>
      <x:c r="I426" s="17"/>
      <x:c r="J426" s="17"/>
      <x:c r="K426" s="17"/>
      <x:c r="L426" s="2" t="str">
        <x:f>IF(A426="","",IF(COUNTIFS($A$8:$A$507,A426)&lt;&gt;1,"Duplicate ID",IF(COUNTIFS(Data!$A$2:$A$501,A426)&lt;&gt;1,"Not current","Current")))</x:f>
      </x:c>
    </x:row>
    <x:row r="427" ht="32" customHeight="1">
      <x:c r="A427" s="2"/>
      <x:c r="B427" s="20" t="str">
        <x:f>IF(A427="","",IF(COUNTIFS(Data!$A$2:$A$501,A427)=1,INDEX(Data!$B$2:$B$501,MATCH(A427,Data!$A$2:$A$501,0)),"Not in current directory"))</x:f>
      </x:c>
      <x:c r="C427" s="17"/>
      <x:c r="D427" s="17"/>
      <x:c r="E427" s="18"/>
      <x:c r="F427" s="17"/>
      <x:c r="G427" s="18"/>
      <x:c r="H427" s="17"/>
      <x:c r="I427" s="17"/>
      <x:c r="J427" s="17"/>
      <x:c r="K427" s="17"/>
      <x:c r="L427" s="2" t="str">
        <x:f>IF(A427="","",IF(COUNTIFS($A$8:$A$507,A427)&lt;&gt;1,"Duplicate ID",IF(COUNTIFS(Data!$A$2:$A$501,A427)&lt;&gt;1,"Not current","Current")))</x:f>
      </x:c>
    </x:row>
    <x:row r="428" ht="32" customHeight="1">
      <x:c r="A428" s="2"/>
      <x:c r="B428" s="20" t="str">
        <x:f>IF(A428="","",IF(COUNTIFS(Data!$A$2:$A$501,A428)=1,INDEX(Data!$B$2:$B$501,MATCH(A428,Data!$A$2:$A$501,0)),"Not in current directory"))</x:f>
      </x:c>
      <x:c r="C428" s="17"/>
      <x:c r="D428" s="17"/>
      <x:c r="E428" s="18"/>
      <x:c r="F428" s="17"/>
      <x:c r="G428" s="18"/>
      <x:c r="H428" s="17"/>
      <x:c r="I428" s="17"/>
      <x:c r="J428" s="17"/>
      <x:c r="K428" s="17"/>
      <x:c r="L428" s="2" t="str">
        <x:f>IF(A428="","",IF(COUNTIFS($A$8:$A$507,A428)&lt;&gt;1,"Duplicate ID",IF(COUNTIFS(Data!$A$2:$A$501,A428)&lt;&gt;1,"Not current","Current")))</x:f>
      </x:c>
    </x:row>
    <x:row r="429" ht="32" customHeight="1">
      <x:c r="A429" s="2"/>
      <x:c r="B429" s="20" t="str">
        <x:f>IF(A429="","",IF(COUNTIFS(Data!$A$2:$A$501,A429)=1,INDEX(Data!$B$2:$B$501,MATCH(A429,Data!$A$2:$A$501,0)),"Not in current directory"))</x:f>
      </x:c>
      <x:c r="C429" s="17"/>
      <x:c r="D429" s="17"/>
      <x:c r="E429" s="18"/>
      <x:c r="F429" s="17"/>
      <x:c r="G429" s="18"/>
      <x:c r="H429" s="17"/>
      <x:c r="I429" s="17"/>
      <x:c r="J429" s="17"/>
      <x:c r="K429" s="17"/>
      <x:c r="L429" s="2" t="str">
        <x:f>IF(A429="","",IF(COUNTIFS($A$8:$A$507,A429)&lt;&gt;1,"Duplicate ID",IF(COUNTIFS(Data!$A$2:$A$501,A429)&lt;&gt;1,"Not current","Current")))</x:f>
      </x:c>
    </x:row>
    <x:row r="430" ht="32" customHeight="1">
      <x:c r="A430" s="2"/>
      <x:c r="B430" s="20" t="str">
        <x:f>IF(A430="","",IF(COUNTIFS(Data!$A$2:$A$501,A430)=1,INDEX(Data!$B$2:$B$501,MATCH(A430,Data!$A$2:$A$501,0)),"Not in current directory"))</x:f>
      </x:c>
      <x:c r="C430" s="17"/>
      <x:c r="D430" s="17"/>
      <x:c r="E430" s="18"/>
      <x:c r="F430" s="17"/>
      <x:c r="G430" s="18"/>
      <x:c r="H430" s="17"/>
      <x:c r="I430" s="17"/>
      <x:c r="J430" s="17"/>
      <x:c r="K430" s="17"/>
      <x:c r="L430" s="2" t="str">
        <x:f>IF(A430="","",IF(COUNTIFS($A$8:$A$507,A430)&lt;&gt;1,"Duplicate ID",IF(COUNTIFS(Data!$A$2:$A$501,A430)&lt;&gt;1,"Not current","Current")))</x:f>
      </x:c>
    </x:row>
    <x:row r="431" ht="32" customHeight="1">
      <x:c r="A431" s="2"/>
      <x:c r="B431" s="20" t="str">
        <x:f>IF(A431="","",IF(COUNTIFS(Data!$A$2:$A$501,A431)=1,INDEX(Data!$B$2:$B$501,MATCH(A431,Data!$A$2:$A$501,0)),"Not in current directory"))</x:f>
      </x:c>
      <x:c r="C431" s="17"/>
      <x:c r="D431" s="17"/>
      <x:c r="E431" s="18"/>
      <x:c r="F431" s="17"/>
      <x:c r="G431" s="18"/>
      <x:c r="H431" s="17"/>
      <x:c r="I431" s="17"/>
      <x:c r="J431" s="17"/>
      <x:c r="K431" s="17"/>
      <x:c r="L431" s="2" t="str">
        <x:f>IF(A431="","",IF(COUNTIFS($A$8:$A$507,A431)&lt;&gt;1,"Duplicate ID",IF(COUNTIFS(Data!$A$2:$A$501,A431)&lt;&gt;1,"Not current","Current")))</x:f>
      </x:c>
    </x:row>
    <x:row r="432" ht="32" customHeight="1">
      <x:c r="A432" s="2"/>
      <x:c r="B432" s="20" t="str">
        <x:f>IF(A432="","",IF(COUNTIFS(Data!$A$2:$A$501,A432)=1,INDEX(Data!$B$2:$B$501,MATCH(A432,Data!$A$2:$A$501,0)),"Not in current directory"))</x:f>
      </x:c>
      <x:c r="C432" s="17"/>
      <x:c r="D432" s="17"/>
      <x:c r="E432" s="18"/>
      <x:c r="F432" s="17"/>
      <x:c r="G432" s="18"/>
      <x:c r="H432" s="17"/>
      <x:c r="I432" s="17"/>
      <x:c r="J432" s="17"/>
      <x:c r="K432" s="17"/>
      <x:c r="L432" s="2" t="str">
        <x:f>IF(A432="","",IF(COUNTIFS($A$8:$A$507,A432)&lt;&gt;1,"Duplicate ID",IF(COUNTIFS(Data!$A$2:$A$501,A432)&lt;&gt;1,"Not current","Current")))</x:f>
      </x:c>
    </x:row>
    <x:row r="433" ht="32" customHeight="1">
      <x:c r="A433" s="2"/>
      <x:c r="B433" s="20" t="str">
        <x:f>IF(A433="","",IF(COUNTIFS(Data!$A$2:$A$501,A433)=1,INDEX(Data!$B$2:$B$501,MATCH(A433,Data!$A$2:$A$501,0)),"Not in current directory"))</x:f>
      </x:c>
      <x:c r="C433" s="17"/>
      <x:c r="D433" s="17"/>
      <x:c r="E433" s="18"/>
      <x:c r="F433" s="17"/>
      <x:c r="G433" s="18"/>
      <x:c r="H433" s="17"/>
      <x:c r="I433" s="17"/>
      <x:c r="J433" s="17"/>
      <x:c r="K433" s="17"/>
      <x:c r="L433" s="2" t="str">
        <x:f>IF(A433="","",IF(COUNTIFS($A$8:$A$507,A433)&lt;&gt;1,"Duplicate ID",IF(COUNTIFS(Data!$A$2:$A$501,A433)&lt;&gt;1,"Not current","Current")))</x:f>
      </x:c>
    </x:row>
    <x:row r="434" ht="32" customHeight="1">
      <x:c r="A434" s="2"/>
      <x:c r="B434" s="20" t="str">
        <x:f>IF(A434="","",IF(COUNTIFS(Data!$A$2:$A$501,A434)=1,INDEX(Data!$B$2:$B$501,MATCH(A434,Data!$A$2:$A$501,0)),"Not in current directory"))</x:f>
      </x:c>
      <x:c r="C434" s="17"/>
      <x:c r="D434" s="17"/>
      <x:c r="E434" s="18"/>
      <x:c r="F434" s="17"/>
      <x:c r="G434" s="18"/>
      <x:c r="H434" s="17"/>
      <x:c r="I434" s="17"/>
      <x:c r="J434" s="17"/>
      <x:c r="K434" s="17"/>
      <x:c r="L434" s="2" t="str">
        <x:f>IF(A434="","",IF(COUNTIFS($A$8:$A$507,A434)&lt;&gt;1,"Duplicate ID",IF(COUNTIFS(Data!$A$2:$A$501,A434)&lt;&gt;1,"Not current","Current")))</x:f>
      </x:c>
    </x:row>
    <x:row r="435" ht="32" customHeight="1">
      <x:c r="A435" s="2"/>
      <x:c r="B435" s="20" t="str">
        <x:f>IF(A435="","",IF(COUNTIFS(Data!$A$2:$A$501,A435)=1,INDEX(Data!$B$2:$B$501,MATCH(A435,Data!$A$2:$A$501,0)),"Not in current directory"))</x:f>
      </x:c>
      <x:c r="C435" s="17"/>
      <x:c r="D435" s="17"/>
      <x:c r="E435" s="18"/>
      <x:c r="F435" s="17"/>
      <x:c r="G435" s="18"/>
      <x:c r="H435" s="17"/>
      <x:c r="I435" s="17"/>
      <x:c r="J435" s="17"/>
      <x:c r="K435" s="17"/>
      <x:c r="L435" s="2" t="str">
        <x:f>IF(A435="","",IF(COUNTIFS($A$8:$A$507,A435)&lt;&gt;1,"Duplicate ID",IF(COUNTIFS(Data!$A$2:$A$501,A435)&lt;&gt;1,"Not current","Current")))</x:f>
      </x:c>
    </x:row>
    <x:row r="436" ht="32" customHeight="1">
      <x:c r="A436" s="2"/>
      <x:c r="B436" s="20" t="str">
        <x:f>IF(A436="","",IF(COUNTIFS(Data!$A$2:$A$501,A436)=1,INDEX(Data!$B$2:$B$501,MATCH(A436,Data!$A$2:$A$501,0)),"Not in current directory"))</x:f>
      </x:c>
      <x:c r="C436" s="17"/>
      <x:c r="D436" s="17"/>
      <x:c r="E436" s="18"/>
      <x:c r="F436" s="17"/>
      <x:c r="G436" s="18"/>
      <x:c r="H436" s="17"/>
      <x:c r="I436" s="17"/>
      <x:c r="J436" s="17"/>
      <x:c r="K436" s="17"/>
      <x:c r="L436" s="2" t="str">
        <x:f>IF(A436="","",IF(COUNTIFS($A$8:$A$507,A436)&lt;&gt;1,"Duplicate ID",IF(COUNTIFS(Data!$A$2:$A$501,A436)&lt;&gt;1,"Not current","Current")))</x:f>
      </x:c>
    </x:row>
    <x:row r="437" ht="32" customHeight="1">
      <x:c r="A437" s="2"/>
      <x:c r="B437" s="20" t="str">
        <x:f>IF(A437="","",IF(COUNTIFS(Data!$A$2:$A$501,A437)=1,INDEX(Data!$B$2:$B$501,MATCH(A437,Data!$A$2:$A$501,0)),"Not in current directory"))</x:f>
      </x:c>
      <x:c r="C437" s="17"/>
      <x:c r="D437" s="17"/>
      <x:c r="E437" s="18"/>
      <x:c r="F437" s="17"/>
      <x:c r="G437" s="18"/>
      <x:c r="H437" s="17"/>
      <x:c r="I437" s="17"/>
      <x:c r="J437" s="17"/>
      <x:c r="K437" s="17"/>
      <x:c r="L437" s="2" t="str">
        <x:f>IF(A437="","",IF(COUNTIFS($A$8:$A$507,A437)&lt;&gt;1,"Duplicate ID",IF(COUNTIFS(Data!$A$2:$A$501,A437)&lt;&gt;1,"Not current","Current")))</x:f>
      </x:c>
    </x:row>
    <x:row r="438" ht="32" customHeight="1">
      <x:c r="A438" s="2"/>
      <x:c r="B438" s="20" t="str">
        <x:f>IF(A438="","",IF(COUNTIFS(Data!$A$2:$A$501,A438)=1,INDEX(Data!$B$2:$B$501,MATCH(A438,Data!$A$2:$A$501,0)),"Not in current directory"))</x:f>
      </x:c>
      <x:c r="C438" s="17"/>
      <x:c r="D438" s="17"/>
      <x:c r="E438" s="18"/>
      <x:c r="F438" s="17"/>
      <x:c r="G438" s="18"/>
      <x:c r="H438" s="17"/>
      <x:c r="I438" s="17"/>
      <x:c r="J438" s="17"/>
      <x:c r="K438" s="17"/>
      <x:c r="L438" s="2" t="str">
        <x:f>IF(A438="","",IF(COUNTIFS($A$8:$A$507,A438)&lt;&gt;1,"Duplicate ID",IF(COUNTIFS(Data!$A$2:$A$501,A438)&lt;&gt;1,"Not current","Current")))</x:f>
      </x:c>
    </x:row>
    <x:row r="439" ht="32" customHeight="1">
      <x:c r="A439" s="2"/>
      <x:c r="B439" s="20" t="str">
        <x:f>IF(A439="","",IF(COUNTIFS(Data!$A$2:$A$501,A439)=1,INDEX(Data!$B$2:$B$501,MATCH(A439,Data!$A$2:$A$501,0)),"Not in current directory"))</x:f>
      </x:c>
      <x:c r="C439" s="17"/>
      <x:c r="D439" s="17"/>
      <x:c r="E439" s="18"/>
      <x:c r="F439" s="17"/>
      <x:c r="G439" s="18"/>
      <x:c r="H439" s="17"/>
      <x:c r="I439" s="17"/>
      <x:c r="J439" s="17"/>
      <x:c r="K439" s="17"/>
      <x:c r="L439" s="2" t="str">
        <x:f>IF(A439="","",IF(COUNTIFS($A$8:$A$507,A439)&lt;&gt;1,"Duplicate ID",IF(COUNTIFS(Data!$A$2:$A$501,A439)&lt;&gt;1,"Not current","Current")))</x:f>
      </x:c>
    </x:row>
    <x:row r="440" ht="32" customHeight="1">
      <x:c r="A440" s="2"/>
      <x:c r="B440" s="20" t="str">
        <x:f>IF(A440="","",IF(COUNTIFS(Data!$A$2:$A$501,A440)=1,INDEX(Data!$B$2:$B$501,MATCH(A440,Data!$A$2:$A$501,0)),"Not in current directory"))</x:f>
      </x:c>
      <x:c r="C440" s="17"/>
      <x:c r="D440" s="17"/>
      <x:c r="E440" s="18"/>
      <x:c r="F440" s="17"/>
      <x:c r="G440" s="18"/>
      <x:c r="H440" s="17"/>
      <x:c r="I440" s="17"/>
      <x:c r="J440" s="17"/>
      <x:c r="K440" s="17"/>
      <x:c r="L440" s="2" t="str">
        <x:f>IF(A440="","",IF(COUNTIFS($A$8:$A$507,A440)&lt;&gt;1,"Duplicate ID",IF(COUNTIFS(Data!$A$2:$A$501,A440)&lt;&gt;1,"Not current","Current")))</x:f>
      </x:c>
    </x:row>
    <x:row r="441" ht="32" customHeight="1">
      <x:c r="A441" s="2"/>
      <x:c r="B441" s="20" t="str">
        <x:f>IF(A441="","",IF(COUNTIFS(Data!$A$2:$A$501,A441)=1,INDEX(Data!$B$2:$B$501,MATCH(A441,Data!$A$2:$A$501,0)),"Not in current directory"))</x:f>
      </x:c>
      <x:c r="C441" s="17"/>
      <x:c r="D441" s="17"/>
      <x:c r="E441" s="18"/>
      <x:c r="F441" s="17"/>
      <x:c r="G441" s="18"/>
      <x:c r="H441" s="17"/>
      <x:c r="I441" s="17"/>
      <x:c r="J441" s="17"/>
      <x:c r="K441" s="17"/>
      <x:c r="L441" s="2" t="str">
        <x:f>IF(A441="","",IF(COUNTIFS($A$8:$A$507,A441)&lt;&gt;1,"Duplicate ID",IF(COUNTIFS(Data!$A$2:$A$501,A441)&lt;&gt;1,"Not current","Current")))</x:f>
      </x:c>
    </x:row>
    <x:row r="442" ht="32" customHeight="1">
      <x:c r="A442" s="2"/>
      <x:c r="B442" s="20" t="str">
        <x:f>IF(A442="","",IF(COUNTIFS(Data!$A$2:$A$501,A442)=1,INDEX(Data!$B$2:$B$501,MATCH(A442,Data!$A$2:$A$501,0)),"Not in current directory"))</x:f>
      </x:c>
      <x:c r="C442" s="17"/>
      <x:c r="D442" s="17"/>
      <x:c r="E442" s="18"/>
      <x:c r="F442" s="17"/>
      <x:c r="G442" s="18"/>
      <x:c r="H442" s="17"/>
      <x:c r="I442" s="17"/>
      <x:c r="J442" s="17"/>
      <x:c r="K442" s="17"/>
      <x:c r="L442" s="2" t="str">
        <x:f>IF(A442="","",IF(COUNTIFS($A$8:$A$507,A442)&lt;&gt;1,"Duplicate ID",IF(COUNTIFS(Data!$A$2:$A$501,A442)&lt;&gt;1,"Not current","Current")))</x:f>
      </x:c>
    </x:row>
    <x:row r="443" ht="32" customHeight="1">
      <x:c r="A443" s="2"/>
      <x:c r="B443" s="20" t="str">
        <x:f>IF(A443="","",IF(COUNTIFS(Data!$A$2:$A$501,A443)=1,INDEX(Data!$B$2:$B$501,MATCH(A443,Data!$A$2:$A$501,0)),"Not in current directory"))</x:f>
      </x:c>
      <x:c r="C443" s="17"/>
      <x:c r="D443" s="17"/>
      <x:c r="E443" s="18"/>
      <x:c r="F443" s="17"/>
      <x:c r="G443" s="18"/>
      <x:c r="H443" s="17"/>
      <x:c r="I443" s="17"/>
      <x:c r="J443" s="17"/>
      <x:c r="K443" s="17"/>
      <x:c r="L443" s="2" t="str">
        <x:f>IF(A443="","",IF(COUNTIFS($A$8:$A$507,A443)&lt;&gt;1,"Duplicate ID",IF(COUNTIFS(Data!$A$2:$A$501,A443)&lt;&gt;1,"Not current","Current")))</x:f>
      </x:c>
    </x:row>
    <x:row r="444" ht="32" customHeight="1">
      <x:c r="A444" s="2"/>
      <x:c r="B444" s="20" t="str">
        <x:f>IF(A444="","",IF(COUNTIFS(Data!$A$2:$A$501,A444)=1,INDEX(Data!$B$2:$B$501,MATCH(A444,Data!$A$2:$A$501,0)),"Not in current directory"))</x:f>
      </x:c>
      <x:c r="C444" s="17"/>
      <x:c r="D444" s="17"/>
      <x:c r="E444" s="18"/>
      <x:c r="F444" s="17"/>
      <x:c r="G444" s="18"/>
      <x:c r="H444" s="17"/>
      <x:c r="I444" s="17"/>
      <x:c r="J444" s="17"/>
      <x:c r="K444" s="17"/>
      <x:c r="L444" s="2" t="str">
        <x:f>IF(A444="","",IF(COUNTIFS($A$8:$A$507,A444)&lt;&gt;1,"Duplicate ID",IF(COUNTIFS(Data!$A$2:$A$501,A444)&lt;&gt;1,"Not current","Current")))</x:f>
      </x:c>
    </x:row>
    <x:row r="445" ht="32" customHeight="1">
      <x:c r="A445" s="2"/>
      <x:c r="B445" s="20" t="str">
        <x:f>IF(A445="","",IF(COUNTIFS(Data!$A$2:$A$501,A445)=1,INDEX(Data!$B$2:$B$501,MATCH(A445,Data!$A$2:$A$501,0)),"Not in current directory"))</x:f>
      </x:c>
      <x:c r="C445" s="17"/>
      <x:c r="D445" s="17"/>
      <x:c r="E445" s="18"/>
      <x:c r="F445" s="17"/>
      <x:c r="G445" s="18"/>
      <x:c r="H445" s="17"/>
      <x:c r="I445" s="17"/>
      <x:c r="J445" s="17"/>
      <x:c r="K445" s="17"/>
      <x:c r="L445" s="2" t="str">
        <x:f>IF(A445="","",IF(COUNTIFS($A$8:$A$507,A445)&lt;&gt;1,"Duplicate ID",IF(COUNTIFS(Data!$A$2:$A$501,A445)&lt;&gt;1,"Not current","Current")))</x:f>
      </x:c>
    </x:row>
    <x:row r="446" ht="32" customHeight="1">
      <x:c r="A446" s="2"/>
      <x:c r="B446" s="20" t="str">
        <x:f>IF(A446="","",IF(COUNTIFS(Data!$A$2:$A$501,A446)=1,INDEX(Data!$B$2:$B$501,MATCH(A446,Data!$A$2:$A$501,0)),"Not in current directory"))</x:f>
      </x:c>
      <x:c r="C446" s="17"/>
      <x:c r="D446" s="17"/>
      <x:c r="E446" s="18"/>
      <x:c r="F446" s="17"/>
      <x:c r="G446" s="18"/>
      <x:c r="H446" s="17"/>
      <x:c r="I446" s="17"/>
      <x:c r="J446" s="17"/>
      <x:c r="K446" s="17"/>
      <x:c r="L446" s="2" t="str">
        <x:f>IF(A446="","",IF(COUNTIFS($A$8:$A$507,A446)&lt;&gt;1,"Duplicate ID",IF(COUNTIFS(Data!$A$2:$A$501,A446)&lt;&gt;1,"Not current","Current")))</x:f>
      </x:c>
    </x:row>
    <x:row r="447" ht="32" customHeight="1">
      <x:c r="A447" s="2"/>
      <x:c r="B447" s="20" t="str">
        <x:f>IF(A447="","",IF(COUNTIFS(Data!$A$2:$A$501,A447)=1,INDEX(Data!$B$2:$B$501,MATCH(A447,Data!$A$2:$A$501,0)),"Not in current directory"))</x:f>
      </x:c>
      <x:c r="C447" s="17"/>
      <x:c r="D447" s="17"/>
      <x:c r="E447" s="18"/>
      <x:c r="F447" s="17"/>
      <x:c r="G447" s="18"/>
      <x:c r="H447" s="17"/>
      <x:c r="I447" s="17"/>
      <x:c r="J447" s="17"/>
      <x:c r="K447" s="17"/>
      <x:c r="L447" s="2" t="str">
        <x:f>IF(A447="","",IF(COUNTIFS($A$8:$A$507,A447)&lt;&gt;1,"Duplicate ID",IF(COUNTIFS(Data!$A$2:$A$501,A447)&lt;&gt;1,"Not current","Current")))</x:f>
      </x:c>
    </x:row>
    <x:row r="448" ht="32" customHeight="1">
      <x:c r="A448" s="2"/>
      <x:c r="B448" s="20" t="str">
        <x:f>IF(A448="","",IF(COUNTIFS(Data!$A$2:$A$501,A448)=1,INDEX(Data!$B$2:$B$501,MATCH(A448,Data!$A$2:$A$501,0)),"Not in current directory"))</x:f>
      </x:c>
      <x:c r="C448" s="17"/>
      <x:c r="D448" s="17"/>
      <x:c r="E448" s="18"/>
      <x:c r="F448" s="17"/>
      <x:c r="G448" s="18"/>
      <x:c r="H448" s="17"/>
      <x:c r="I448" s="17"/>
      <x:c r="J448" s="17"/>
      <x:c r="K448" s="17"/>
      <x:c r="L448" s="2" t="str">
        <x:f>IF(A448="","",IF(COUNTIFS($A$8:$A$507,A448)&lt;&gt;1,"Duplicate ID",IF(COUNTIFS(Data!$A$2:$A$501,A448)&lt;&gt;1,"Not current","Current")))</x:f>
      </x:c>
    </x:row>
    <x:row r="449" ht="32" customHeight="1">
      <x:c r="A449" s="2"/>
      <x:c r="B449" s="20" t="str">
        <x:f>IF(A449="","",IF(COUNTIFS(Data!$A$2:$A$501,A449)=1,INDEX(Data!$B$2:$B$501,MATCH(A449,Data!$A$2:$A$501,0)),"Not in current directory"))</x:f>
      </x:c>
      <x:c r="C449" s="17"/>
      <x:c r="D449" s="17"/>
      <x:c r="E449" s="18"/>
      <x:c r="F449" s="17"/>
      <x:c r="G449" s="18"/>
      <x:c r="H449" s="17"/>
      <x:c r="I449" s="17"/>
      <x:c r="J449" s="17"/>
      <x:c r="K449" s="17"/>
      <x:c r="L449" s="2" t="str">
        <x:f>IF(A449="","",IF(COUNTIFS($A$8:$A$507,A449)&lt;&gt;1,"Duplicate ID",IF(COUNTIFS(Data!$A$2:$A$501,A449)&lt;&gt;1,"Not current","Current")))</x:f>
      </x:c>
    </x:row>
    <x:row r="450" ht="32" customHeight="1">
      <x:c r="A450" s="2"/>
      <x:c r="B450" s="20" t="str">
        <x:f>IF(A450="","",IF(COUNTIFS(Data!$A$2:$A$501,A450)=1,INDEX(Data!$B$2:$B$501,MATCH(A450,Data!$A$2:$A$501,0)),"Not in current directory"))</x:f>
      </x:c>
      <x:c r="C450" s="17"/>
      <x:c r="D450" s="17"/>
      <x:c r="E450" s="18"/>
      <x:c r="F450" s="17"/>
      <x:c r="G450" s="18"/>
      <x:c r="H450" s="17"/>
      <x:c r="I450" s="17"/>
      <x:c r="J450" s="17"/>
      <x:c r="K450" s="17"/>
      <x:c r="L450" s="2" t="str">
        <x:f>IF(A450="","",IF(COUNTIFS($A$8:$A$507,A450)&lt;&gt;1,"Duplicate ID",IF(COUNTIFS(Data!$A$2:$A$501,A450)&lt;&gt;1,"Not current","Current")))</x:f>
      </x:c>
    </x:row>
    <x:row r="451" ht="32" customHeight="1">
      <x:c r="A451" s="2"/>
      <x:c r="B451" s="20" t="str">
        <x:f>IF(A451="","",IF(COUNTIFS(Data!$A$2:$A$501,A451)=1,INDEX(Data!$B$2:$B$501,MATCH(A451,Data!$A$2:$A$501,0)),"Not in current directory"))</x:f>
      </x:c>
      <x:c r="C451" s="17"/>
      <x:c r="D451" s="17"/>
      <x:c r="E451" s="18"/>
      <x:c r="F451" s="17"/>
      <x:c r="G451" s="18"/>
      <x:c r="H451" s="17"/>
      <x:c r="I451" s="17"/>
      <x:c r="J451" s="17"/>
      <x:c r="K451" s="17"/>
      <x:c r="L451" s="2" t="str">
        <x:f>IF(A451="","",IF(COUNTIFS($A$8:$A$507,A451)&lt;&gt;1,"Duplicate ID",IF(COUNTIFS(Data!$A$2:$A$501,A451)&lt;&gt;1,"Not current","Current")))</x:f>
      </x:c>
    </x:row>
    <x:row r="452" ht="32" customHeight="1">
      <x:c r="A452" s="2"/>
      <x:c r="B452" s="20" t="str">
        <x:f>IF(A452="","",IF(COUNTIFS(Data!$A$2:$A$501,A452)=1,INDEX(Data!$B$2:$B$501,MATCH(A452,Data!$A$2:$A$501,0)),"Not in current directory"))</x:f>
      </x:c>
      <x:c r="C452" s="17"/>
      <x:c r="D452" s="17"/>
      <x:c r="E452" s="18"/>
      <x:c r="F452" s="17"/>
      <x:c r="G452" s="18"/>
      <x:c r="H452" s="17"/>
      <x:c r="I452" s="17"/>
      <x:c r="J452" s="17"/>
      <x:c r="K452" s="17"/>
      <x:c r="L452" s="2" t="str">
        <x:f>IF(A452="","",IF(COUNTIFS($A$8:$A$507,A452)&lt;&gt;1,"Duplicate ID",IF(COUNTIFS(Data!$A$2:$A$501,A452)&lt;&gt;1,"Not current","Current")))</x:f>
      </x:c>
    </x:row>
    <x:row r="453" ht="32" customHeight="1">
      <x:c r="A453" s="2"/>
      <x:c r="B453" s="20" t="str">
        <x:f>IF(A453="","",IF(COUNTIFS(Data!$A$2:$A$501,A453)=1,INDEX(Data!$B$2:$B$501,MATCH(A453,Data!$A$2:$A$501,0)),"Not in current directory"))</x:f>
      </x:c>
      <x:c r="C453" s="17"/>
      <x:c r="D453" s="17"/>
      <x:c r="E453" s="18"/>
      <x:c r="F453" s="17"/>
      <x:c r="G453" s="18"/>
      <x:c r="H453" s="17"/>
      <x:c r="I453" s="17"/>
      <x:c r="J453" s="17"/>
      <x:c r="K453" s="17"/>
      <x:c r="L453" s="2" t="str">
        <x:f>IF(A453="","",IF(COUNTIFS($A$8:$A$507,A453)&lt;&gt;1,"Duplicate ID",IF(COUNTIFS(Data!$A$2:$A$501,A453)&lt;&gt;1,"Not current","Current")))</x:f>
      </x:c>
    </x:row>
    <x:row r="454" ht="32" customHeight="1">
      <x:c r="A454" s="2"/>
      <x:c r="B454" s="20" t="str">
        <x:f>IF(A454="","",IF(COUNTIFS(Data!$A$2:$A$501,A454)=1,INDEX(Data!$B$2:$B$501,MATCH(A454,Data!$A$2:$A$501,0)),"Not in current directory"))</x:f>
      </x:c>
      <x:c r="C454" s="17"/>
      <x:c r="D454" s="17"/>
      <x:c r="E454" s="18"/>
      <x:c r="F454" s="17"/>
      <x:c r="G454" s="18"/>
      <x:c r="H454" s="17"/>
      <x:c r="I454" s="17"/>
      <x:c r="J454" s="17"/>
      <x:c r="K454" s="17"/>
      <x:c r="L454" s="2" t="str">
        <x:f>IF(A454="","",IF(COUNTIFS($A$8:$A$507,A454)&lt;&gt;1,"Duplicate ID",IF(COUNTIFS(Data!$A$2:$A$501,A454)&lt;&gt;1,"Not current","Current")))</x:f>
      </x:c>
    </x:row>
    <x:row r="455" ht="32" customHeight="1">
      <x:c r="A455" s="2"/>
      <x:c r="B455" s="20" t="str">
        <x:f>IF(A455="","",IF(COUNTIFS(Data!$A$2:$A$501,A455)=1,INDEX(Data!$B$2:$B$501,MATCH(A455,Data!$A$2:$A$501,0)),"Not in current directory"))</x:f>
      </x:c>
      <x:c r="C455" s="17"/>
      <x:c r="D455" s="17"/>
      <x:c r="E455" s="18"/>
      <x:c r="F455" s="17"/>
      <x:c r="G455" s="18"/>
      <x:c r="H455" s="17"/>
      <x:c r="I455" s="17"/>
      <x:c r="J455" s="17"/>
      <x:c r="K455" s="17"/>
      <x:c r="L455" s="2" t="str">
        <x:f>IF(A455="","",IF(COUNTIFS($A$8:$A$507,A455)&lt;&gt;1,"Duplicate ID",IF(COUNTIFS(Data!$A$2:$A$501,A455)&lt;&gt;1,"Not current","Current")))</x:f>
      </x:c>
    </x:row>
    <x:row r="456" ht="32" customHeight="1">
      <x:c r="A456" s="2"/>
      <x:c r="B456" s="20" t="str">
        <x:f>IF(A456="","",IF(COUNTIFS(Data!$A$2:$A$501,A456)=1,INDEX(Data!$B$2:$B$501,MATCH(A456,Data!$A$2:$A$501,0)),"Not in current directory"))</x:f>
      </x:c>
      <x:c r="C456" s="17"/>
      <x:c r="D456" s="17"/>
      <x:c r="E456" s="18"/>
      <x:c r="F456" s="17"/>
      <x:c r="G456" s="18"/>
      <x:c r="H456" s="17"/>
      <x:c r="I456" s="17"/>
      <x:c r="J456" s="17"/>
      <x:c r="K456" s="17"/>
      <x:c r="L456" s="2" t="str">
        <x:f>IF(A456="","",IF(COUNTIFS($A$8:$A$507,A456)&lt;&gt;1,"Duplicate ID",IF(COUNTIFS(Data!$A$2:$A$501,A456)&lt;&gt;1,"Not current","Current")))</x:f>
      </x:c>
    </x:row>
    <x:row r="457" ht="32" customHeight="1">
      <x:c r="A457" s="2"/>
      <x:c r="B457" s="20" t="str">
        <x:f>IF(A457="","",IF(COUNTIFS(Data!$A$2:$A$501,A457)=1,INDEX(Data!$B$2:$B$501,MATCH(A457,Data!$A$2:$A$501,0)),"Not in current directory"))</x:f>
      </x:c>
      <x:c r="C457" s="17"/>
      <x:c r="D457" s="17"/>
      <x:c r="E457" s="18"/>
      <x:c r="F457" s="17"/>
      <x:c r="G457" s="18"/>
      <x:c r="H457" s="17"/>
      <x:c r="I457" s="17"/>
      <x:c r="J457" s="17"/>
      <x:c r="K457" s="17"/>
      <x:c r="L457" s="2" t="str">
        <x:f>IF(A457="","",IF(COUNTIFS($A$8:$A$507,A457)&lt;&gt;1,"Duplicate ID",IF(COUNTIFS(Data!$A$2:$A$501,A457)&lt;&gt;1,"Not current","Current")))</x:f>
      </x:c>
    </x:row>
    <x:row r="458" ht="32" customHeight="1">
      <x:c r="A458" s="2"/>
      <x:c r="B458" s="20" t="str">
        <x:f>IF(A458="","",IF(COUNTIFS(Data!$A$2:$A$501,A458)=1,INDEX(Data!$B$2:$B$501,MATCH(A458,Data!$A$2:$A$501,0)),"Not in current directory"))</x:f>
      </x:c>
      <x:c r="C458" s="17"/>
      <x:c r="D458" s="17"/>
      <x:c r="E458" s="18"/>
      <x:c r="F458" s="17"/>
      <x:c r="G458" s="18"/>
      <x:c r="H458" s="17"/>
      <x:c r="I458" s="17"/>
      <x:c r="J458" s="17"/>
      <x:c r="K458" s="17"/>
      <x:c r="L458" s="2" t="str">
        <x:f>IF(A458="","",IF(COUNTIFS($A$8:$A$507,A458)&lt;&gt;1,"Duplicate ID",IF(COUNTIFS(Data!$A$2:$A$501,A458)&lt;&gt;1,"Not current","Current")))</x:f>
      </x:c>
    </x:row>
    <x:row r="459" ht="32" customHeight="1">
      <x:c r="A459" s="2"/>
      <x:c r="B459" s="20" t="str">
        <x:f>IF(A459="","",IF(COUNTIFS(Data!$A$2:$A$501,A459)=1,INDEX(Data!$B$2:$B$501,MATCH(A459,Data!$A$2:$A$501,0)),"Not in current directory"))</x:f>
      </x:c>
      <x:c r="C459" s="17"/>
      <x:c r="D459" s="17"/>
      <x:c r="E459" s="18"/>
      <x:c r="F459" s="17"/>
      <x:c r="G459" s="18"/>
      <x:c r="H459" s="17"/>
      <x:c r="I459" s="17"/>
      <x:c r="J459" s="17"/>
      <x:c r="K459" s="17"/>
      <x:c r="L459" s="2" t="str">
        <x:f>IF(A459="","",IF(COUNTIFS($A$8:$A$507,A459)&lt;&gt;1,"Duplicate ID",IF(COUNTIFS(Data!$A$2:$A$501,A459)&lt;&gt;1,"Not current","Current")))</x:f>
      </x:c>
    </x:row>
    <x:row r="460" ht="32" customHeight="1">
      <x:c r="A460" s="2"/>
      <x:c r="B460" s="20" t="str">
        <x:f>IF(A460="","",IF(COUNTIFS(Data!$A$2:$A$501,A460)=1,INDEX(Data!$B$2:$B$501,MATCH(A460,Data!$A$2:$A$501,0)),"Not in current directory"))</x:f>
      </x:c>
      <x:c r="C460" s="17"/>
      <x:c r="D460" s="17"/>
      <x:c r="E460" s="18"/>
      <x:c r="F460" s="17"/>
      <x:c r="G460" s="18"/>
      <x:c r="H460" s="17"/>
      <x:c r="I460" s="17"/>
      <x:c r="J460" s="17"/>
      <x:c r="K460" s="17"/>
      <x:c r="L460" s="2" t="str">
        <x:f>IF(A460="","",IF(COUNTIFS($A$8:$A$507,A460)&lt;&gt;1,"Duplicate ID",IF(COUNTIFS(Data!$A$2:$A$501,A460)&lt;&gt;1,"Not current","Current")))</x:f>
      </x:c>
    </x:row>
    <x:row r="461" ht="32" customHeight="1">
      <x:c r="A461" s="2"/>
      <x:c r="B461" s="20" t="str">
        <x:f>IF(A461="","",IF(COUNTIFS(Data!$A$2:$A$501,A461)=1,INDEX(Data!$B$2:$B$501,MATCH(A461,Data!$A$2:$A$501,0)),"Not in current directory"))</x:f>
      </x:c>
      <x:c r="C461" s="17"/>
      <x:c r="D461" s="17"/>
      <x:c r="E461" s="18"/>
      <x:c r="F461" s="17"/>
      <x:c r="G461" s="18"/>
      <x:c r="H461" s="17"/>
      <x:c r="I461" s="17"/>
      <x:c r="J461" s="17"/>
      <x:c r="K461" s="17"/>
      <x:c r="L461" s="2" t="str">
        <x:f>IF(A461="","",IF(COUNTIFS($A$8:$A$507,A461)&lt;&gt;1,"Duplicate ID",IF(COUNTIFS(Data!$A$2:$A$501,A461)&lt;&gt;1,"Not current","Current")))</x:f>
      </x:c>
    </x:row>
    <x:row r="462" ht="32" customHeight="1">
      <x:c r="A462" s="2"/>
      <x:c r="B462" s="20" t="str">
        <x:f>IF(A462="","",IF(COUNTIFS(Data!$A$2:$A$501,A462)=1,INDEX(Data!$B$2:$B$501,MATCH(A462,Data!$A$2:$A$501,0)),"Not in current directory"))</x:f>
      </x:c>
      <x:c r="C462" s="17"/>
      <x:c r="D462" s="17"/>
      <x:c r="E462" s="18"/>
      <x:c r="F462" s="17"/>
      <x:c r="G462" s="18"/>
      <x:c r="H462" s="17"/>
      <x:c r="I462" s="17"/>
      <x:c r="J462" s="17"/>
      <x:c r="K462" s="17"/>
      <x:c r="L462" s="2" t="str">
        <x:f>IF(A462="","",IF(COUNTIFS($A$8:$A$507,A462)&lt;&gt;1,"Duplicate ID",IF(COUNTIFS(Data!$A$2:$A$501,A462)&lt;&gt;1,"Not current","Current")))</x:f>
      </x:c>
    </x:row>
    <x:row r="463" ht="32" customHeight="1">
      <x:c r="A463" s="2"/>
      <x:c r="B463" s="20" t="str">
        <x:f>IF(A463="","",IF(COUNTIFS(Data!$A$2:$A$501,A463)=1,INDEX(Data!$B$2:$B$501,MATCH(A463,Data!$A$2:$A$501,0)),"Not in current directory"))</x:f>
      </x:c>
      <x:c r="C463" s="17"/>
      <x:c r="D463" s="17"/>
      <x:c r="E463" s="18"/>
      <x:c r="F463" s="17"/>
      <x:c r="G463" s="18"/>
      <x:c r="H463" s="17"/>
      <x:c r="I463" s="17"/>
      <x:c r="J463" s="17"/>
      <x:c r="K463" s="17"/>
      <x:c r="L463" s="2" t="str">
        <x:f>IF(A463="","",IF(COUNTIFS($A$8:$A$507,A463)&lt;&gt;1,"Duplicate ID",IF(COUNTIFS(Data!$A$2:$A$501,A463)&lt;&gt;1,"Not current","Current")))</x:f>
      </x:c>
    </x:row>
    <x:row r="464" ht="32" customHeight="1">
      <x:c r="A464" s="2"/>
      <x:c r="B464" s="20" t="str">
        <x:f>IF(A464="","",IF(COUNTIFS(Data!$A$2:$A$501,A464)=1,INDEX(Data!$B$2:$B$501,MATCH(A464,Data!$A$2:$A$501,0)),"Not in current directory"))</x:f>
      </x:c>
      <x:c r="C464" s="17"/>
      <x:c r="D464" s="17"/>
      <x:c r="E464" s="18"/>
      <x:c r="F464" s="17"/>
      <x:c r="G464" s="18"/>
      <x:c r="H464" s="17"/>
      <x:c r="I464" s="17"/>
      <x:c r="J464" s="17"/>
      <x:c r="K464" s="17"/>
      <x:c r="L464" s="2" t="str">
        <x:f>IF(A464="","",IF(COUNTIFS($A$8:$A$507,A464)&lt;&gt;1,"Duplicate ID",IF(COUNTIFS(Data!$A$2:$A$501,A464)&lt;&gt;1,"Not current","Current")))</x:f>
      </x:c>
    </x:row>
    <x:row r="465" ht="32" customHeight="1">
      <x:c r="A465" s="2"/>
      <x:c r="B465" s="20" t="str">
        <x:f>IF(A465="","",IF(COUNTIFS(Data!$A$2:$A$501,A465)=1,INDEX(Data!$B$2:$B$501,MATCH(A465,Data!$A$2:$A$501,0)),"Not in current directory"))</x:f>
      </x:c>
      <x:c r="C465" s="17"/>
      <x:c r="D465" s="17"/>
      <x:c r="E465" s="18"/>
      <x:c r="F465" s="17"/>
      <x:c r="G465" s="18"/>
      <x:c r="H465" s="17"/>
      <x:c r="I465" s="17"/>
      <x:c r="J465" s="17"/>
      <x:c r="K465" s="17"/>
      <x:c r="L465" s="2" t="str">
        <x:f>IF(A465="","",IF(COUNTIFS($A$8:$A$507,A465)&lt;&gt;1,"Duplicate ID",IF(COUNTIFS(Data!$A$2:$A$501,A465)&lt;&gt;1,"Not current","Current")))</x:f>
      </x:c>
    </x:row>
    <x:row r="466" ht="32" customHeight="1">
      <x:c r="A466" s="2"/>
      <x:c r="B466" s="20" t="str">
        <x:f>IF(A466="","",IF(COUNTIFS(Data!$A$2:$A$501,A466)=1,INDEX(Data!$B$2:$B$501,MATCH(A466,Data!$A$2:$A$501,0)),"Not in current directory"))</x:f>
      </x:c>
      <x:c r="C466" s="17"/>
      <x:c r="D466" s="17"/>
      <x:c r="E466" s="18"/>
      <x:c r="F466" s="17"/>
      <x:c r="G466" s="18"/>
      <x:c r="H466" s="17"/>
      <x:c r="I466" s="17"/>
      <x:c r="J466" s="17"/>
      <x:c r="K466" s="17"/>
      <x:c r="L466" s="2" t="str">
        <x:f>IF(A466="","",IF(COUNTIFS($A$8:$A$507,A466)&lt;&gt;1,"Duplicate ID",IF(COUNTIFS(Data!$A$2:$A$501,A466)&lt;&gt;1,"Not current","Current")))</x:f>
      </x:c>
    </x:row>
    <x:row r="467" ht="32" customHeight="1">
      <x:c r="A467" s="2"/>
      <x:c r="B467" s="20" t="str">
        <x:f>IF(A467="","",IF(COUNTIFS(Data!$A$2:$A$501,A467)=1,INDEX(Data!$B$2:$B$501,MATCH(A467,Data!$A$2:$A$501,0)),"Not in current directory"))</x:f>
      </x:c>
      <x:c r="C467" s="17"/>
      <x:c r="D467" s="17"/>
      <x:c r="E467" s="18"/>
      <x:c r="F467" s="17"/>
      <x:c r="G467" s="18"/>
      <x:c r="H467" s="17"/>
      <x:c r="I467" s="17"/>
      <x:c r="J467" s="17"/>
      <x:c r="K467" s="17"/>
      <x:c r="L467" s="2" t="str">
        <x:f>IF(A467="","",IF(COUNTIFS($A$8:$A$507,A467)&lt;&gt;1,"Duplicate ID",IF(COUNTIFS(Data!$A$2:$A$501,A467)&lt;&gt;1,"Not current","Current")))</x:f>
      </x:c>
    </x:row>
    <x:row r="468" ht="32" customHeight="1">
      <x:c r="A468" s="2"/>
      <x:c r="B468" s="20" t="str">
        <x:f>IF(A468="","",IF(COUNTIFS(Data!$A$2:$A$501,A468)=1,INDEX(Data!$B$2:$B$501,MATCH(A468,Data!$A$2:$A$501,0)),"Not in current directory"))</x:f>
      </x:c>
      <x:c r="C468" s="17"/>
      <x:c r="D468" s="17"/>
      <x:c r="E468" s="18"/>
      <x:c r="F468" s="17"/>
      <x:c r="G468" s="18"/>
      <x:c r="H468" s="17"/>
      <x:c r="I468" s="17"/>
      <x:c r="J468" s="17"/>
      <x:c r="K468" s="17"/>
      <x:c r="L468" s="2" t="str">
        <x:f>IF(A468="","",IF(COUNTIFS($A$8:$A$507,A468)&lt;&gt;1,"Duplicate ID",IF(COUNTIFS(Data!$A$2:$A$501,A468)&lt;&gt;1,"Not current","Current")))</x:f>
      </x:c>
    </x:row>
    <x:row r="469" ht="32" customHeight="1">
      <x:c r="A469" s="2"/>
      <x:c r="B469" s="20" t="str">
        <x:f>IF(A469="","",IF(COUNTIFS(Data!$A$2:$A$501,A469)=1,INDEX(Data!$B$2:$B$501,MATCH(A469,Data!$A$2:$A$501,0)),"Not in current directory"))</x:f>
      </x:c>
      <x:c r="C469" s="17"/>
      <x:c r="D469" s="17"/>
      <x:c r="E469" s="18"/>
      <x:c r="F469" s="17"/>
      <x:c r="G469" s="18"/>
      <x:c r="H469" s="17"/>
      <x:c r="I469" s="17"/>
      <x:c r="J469" s="17"/>
      <x:c r="K469" s="17"/>
      <x:c r="L469" s="2" t="str">
        <x:f>IF(A469="","",IF(COUNTIFS($A$8:$A$507,A469)&lt;&gt;1,"Duplicate ID",IF(COUNTIFS(Data!$A$2:$A$501,A469)&lt;&gt;1,"Not current","Current")))</x:f>
      </x:c>
    </x:row>
    <x:row r="470" ht="32" customHeight="1">
      <x:c r="A470" s="2"/>
      <x:c r="B470" s="20" t="str">
        <x:f>IF(A470="","",IF(COUNTIFS(Data!$A$2:$A$501,A470)=1,INDEX(Data!$B$2:$B$501,MATCH(A470,Data!$A$2:$A$501,0)),"Not in current directory"))</x:f>
      </x:c>
      <x:c r="C470" s="17"/>
      <x:c r="D470" s="17"/>
      <x:c r="E470" s="18"/>
      <x:c r="F470" s="17"/>
      <x:c r="G470" s="18"/>
      <x:c r="H470" s="17"/>
      <x:c r="I470" s="17"/>
      <x:c r="J470" s="17"/>
      <x:c r="K470" s="17"/>
      <x:c r="L470" s="2" t="str">
        <x:f>IF(A470="","",IF(COUNTIFS($A$8:$A$507,A470)&lt;&gt;1,"Duplicate ID",IF(COUNTIFS(Data!$A$2:$A$501,A470)&lt;&gt;1,"Not current","Current")))</x:f>
      </x:c>
    </x:row>
    <x:row r="471" ht="32" customHeight="1">
      <x:c r="A471" s="2"/>
      <x:c r="B471" s="20" t="str">
        <x:f>IF(A471="","",IF(COUNTIFS(Data!$A$2:$A$501,A471)=1,INDEX(Data!$B$2:$B$501,MATCH(A471,Data!$A$2:$A$501,0)),"Not in current directory"))</x:f>
      </x:c>
      <x:c r="C471" s="17"/>
      <x:c r="D471" s="17"/>
      <x:c r="E471" s="18"/>
      <x:c r="F471" s="17"/>
      <x:c r="G471" s="18"/>
      <x:c r="H471" s="17"/>
      <x:c r="I471" s="17"/>
      <x:c r="J471" s="17"/>
      <x:c r="K471" s="17"/>
      <x:c r="L471" s="2" t="str">
        <x:f>IF(A471="","",IF(COUNTIFS($A$8:$A$507,A471)&lt;&gt;1,"Duplicate ID",IF(COUNTIFS(Data!$A$2:$A$501,A471)&lt;&gt;1,"Not current","Current")))</x:f>
      </x:c>
    </x:row>
    <x:row r="472" ht="32" customHeight="1">
      <x:c r="A472" s="2"/>
      <x:c r="B472" s="20" t="str">
        <x:f>IF(A472="","",IF(COUNTIFS(Data!$A$2:$A$501,A472)=1,INDEX(Data!$B$2:$B$501,MATCH(A472,Data!$A$2:$A$501,0)),"Not in current directory"))</x:f>
      </x:c>
      <x:c r="C472" s="17"/>
      <x:c r="D472" s="17"/>
      <x:c r="E472" s="18"/>
      <x:c r="F472" s="17"/>
      <x:c r="G472" s="18"/>
      <x:c r="H472" s="17"/>
      <x:c r="I472" s="17"/>
      <x:c r="J472" s="17"/>
      <x:c r="K472" s="17"/>
      <x:c r="L472" s="2" t="str">
        <x:f>IF(A472="","",IF(COUNTIFS($A$8:$A$507,A472)&lt;&gt;1,"Duplicate ID",IF(COUNTIFS(Data!$A$2:$A$501,A472)&lt;&gt;1,"Not current","Current")))</x:f>
      </x:c>
    </x:row>
    <x:row r="473" ht="32" customHeight="1">
      <x:c r="A473" s="2"/>
      <x:c r="B473" s="20" t="str">
        <x:f>IF(A473="","",IF(COUNTIFS(Data!$A$2:$A$501,A473)=1,INDEX(Data!$B$2:$B$501,MATCH(A473,Data!$A$2:$A$501,0)),"Not in current directory"))</x:f>
      </x:c>
      <x:c r="C473" s="17"/>
      <x:c r="D473" s="17"/>
      <x:c r="E473" s="18"/>
      <x:c r="F473" s="17"/>
      <x:c r="G473" s="18"/>
      <x:c r="H473" s="17"/>
      <x:c r="I473" s="17"/>
      <x:c r="J473" s="17"/>
      <x:c r="K473" s="17"/>
      <x:c r="L473" s="2" t="str">
        <x:f>IF(A473="","",IF(COUNTIFS($A$8:$A$507,A473)&lt;&gt;1,"Duplicate ID",IF(COUNTIFS(Data!$A$2:$A$501,A473)&lt;&gt;1,"Not current","Current")))</x:f>
      </x:c>
    </x:row>
    <x:row r="474" ht="32" customHeight="1">
      <x:c r="A474" s="2"/>
      <x:c r="B474" s="20" t="str">
        <x:f>IF(A474="","",IF(COUNTIFS(Data!$A$2:$A$501,A474)=1,INDEX(Data!$B$2:$B$501,MATCH(A474,Data!$A$2:$A$501,0)),"Not in current directory"))</x:f>
      </x:c>
      <x:c r="C474" s="17"/>
      <x:c r="D474" s="17"/>
      <x:c r="E474" s="18"/>
      <x:c r="F474" s="17"/>
      <x:c r="G474" s="18"/>
      <x:c r="H474" s="17"/>
      <x:c r="I474" s="17"/>
      <x:c r="J474" s="17"/>
      <x:c r="K474" s="17"/>
      <x:c r="L474" s="2" t="str">
        <x:f>IF(A474="","",IF(COUNTIFS($A$8:$A$507,A474)&lt;&gt;1,"Duplicate ID",IF(COUNTIFS(Data!$A$2:$A$501,A474)&lt;&gt;1,"Not current","Current")))</x:f>
      </x:c>
    </x:row>
    <x:row r="475" ht="32" customHeight="1">
      <x:c r="A475" s="2"/>
      <x:c r="B475" s="20" t="str">
        <x:f>IF(A475="","",IF(COUNTIFS(Data!$A$2:$A$501,A475)=1,INDEX(Data!$B$2:$B$501,MATCH(A475,Data!$A$2:$A$501,0)),"Not in current directory"))</x:f>
      </x:c>
      <x:c r="C475" s="17"/>
      <x:c r="D475" s="17"/>
      <x:c r="E475" s="18"/>
      <x:c r="F475" s="17"/>
      <x:c r="G475" s="18"/>
      <x:c r="H475" s="17"/>
      <x:c r="I475" s="17"/>
      <x:c r="J475" s="17"/>
      <x:c r="K475" s="17"/>
      <x:c r="L475" s="2" t="str">
        <x:f>IF(A475="","",IF(COUNTIFS($A$8:$A$507,A475)&lt;&gt;1,"Duplicate ID",IF(COUNTIFS(Data!$A$2:$A$501,A475)&lt;&gt;1,"Not current","Current")))</x:f>
      </x:c>
    </x:row>
    <x:row r="476" ht="32" customHeight="1">
      <x:c r="A476" s="2"/>
      <x:c r="B476" s="20" t="str">
        <x:f>IF(A476="","",IF(COUNTIFS(Data!$A$2:$A$501,A476)=1,INDEX(Data!$B$2:$B$501,MATCH(A476,Data!$A$2:$A$501,0)),"Not in current directory"))</x:f>
      </x:c>
      <x:c r="C476" s="17"/>
      <x:c r="D476" s="17"/>
      <x:c r="E476" s="18"/>
      <x:c r="F476" s="17"/>
      <x:c r="G476" s="18"/>
      <x:c r="H476" s="17"/>
      <x:c r="I476" s="17"/>
      <x:c r="J476" s="17"/>
      <x:c r="K476" s="17"/>
      <x:c r="L476" s="2" t="str">
        <x:f>IF(A476="","",IF(COUNTIFS($A$8:$A$507,A476)&lt;&gt;1,"Duplicate ID",IF(COUNTIFS(Data!$A$2:$A$501,A476)&lt;&gt;1,"Not current","Current")))</x:f>
      </x:c>
    </x:row>
    <x:row r="477" ht="32" customHeight="1">
      <x:c r="A477" s="2"/>
      <x:c r="B477" s="20" t="str">
        <x:f>IF(A477="","",IF(COUNTIFS(Data!$A$2:$A$501,A477)=1,INDEX(Data!$B$2:$B$501,MATCH(A477,Data!$A$2:$A$501,0)),"Not in current directory"))</x:f>
      </x:c>
      <x:c r="C477" s="17"/>
      <x:c r="D477" s="17"/>
      <x:c r="E477" s="18"/>
      <x:c r="F477" s="17"/>
      <x:c r="G477" s="18"/>
      <x:c r="H477" s="17"/>
      <x:c r="I477" s="17"/>
      <x:c r="J477" s="17"/>
      <x:c r="K477" s="17"/>
      <x:c r="L477" s="2" t="str">
        <x:f>IF(A477="","",IF(COUNTIFS($A$8:$A$507,A477)&lt;&gt;1,"Duplicate ID",IF(COUNTIFS(Data!$A$2:$A$501,A477)&lt;&gt;1,"Not current","Current")))</x:f>
      </x:c>
    </x:row>
    <x:row r="478" ht="32" customHeight="1">
      <x:c r="A478" s="2"/>
      <x:c r="B478" s="20" t="str">
        <x:f>IF(A478="","",IF(COUNTIFS(Data!$A$2:$A$501,A478)=1,INDEX(Data!$B$2:$B$501,MATCH(A478,Data!$A$2:$A$501,0)),"Not in current directory"))</x:f>
      </x:c>
      <x:c r="C478" s="17"/>
      <x:c r="D478" s="17"/>
      <x:c r="E478" s="18"/>
      <x:c r="F478" s="17"/>
      <x:c r="G478" s="18"/>
      <x:c r="H478" s="17"/>
      <x:c r="I478" s="17"/>
      <x:c r="J478" s="17"/>
      <x:c r="K478" s="17"/>
      <x:c r="L478" s="2" t="str">
        <x:f>IF(A478="","",IF(COUNTIFS($A$8:$A$507,A478)&lt;&gt;1,"Duplicate ID",IF(COUNTIFS(Data!$A$2:$A$501,A478)&lt;&gt;1,"Not current","Current")))</x:f>
      </x:c>
    </x:row>
    <x:row r="479" ht="32" customHeight="1">
      <x:c r="A479" s="2"/>
      <x:c r="B479" s="20" t="str">
        <x:f>IF(A479="","",IF(COUNTIFS(Data!$A$2:$A$501,A479)=1,INDEX(Data!$B$2:$B$501,MATCH(A479,Data!$A$2:$A$501,0)),"Not in current directory"))</x:f>
      </x:c>
      <x:c r="C479" s="17"/>
      <x:c r="D479" s="17"/>
      <x:c r="E479" s="18"/>
      <x:c r="F479" s="17"/>
      <x:c r="G479" s="18"/>
      <x:c r="H479" s="17"/>
      <x:c r="I479" s="17"/>
      <x:c r="J479" s="17"/>
      <x:c r="K479" s="17"/>
      <x:c r="L479" s="2" t="str">
        <x:f>IF(A479="","",IF(COUNTIFS($A$8:$A$507,A479)&lt;&gt;1,"Duplicate ID",IF(COUNTIFS(Data!$A$2:$A$501,A479)&lt;&gt;1,"Not current","Current")))</x:f>
      </x:c>
    </x:row>
    <x:row r="480" ht="32" customHeight="1">
      <x:c r="A480" s="2"/>
      <x:c r="B480" s="20" t="str">
        <x:f>IF(A480="","",IF(COUNTIFS(Data!$A$2:$A$501,A480)=1,INDEX(Data!$B$2:$B$501,MATCH(A480,Data!$A$2:$A$501,0)),"Not in current directory"))</x:f>
      </x:c>
      <x:c r="C480" s="17"/>
      <x:c r="D480" s="17"/>
      <x:c r="E480" s="18"/>
      <x:c r="F480" s="17"/>
      <x:c r="G480" s="18"/>
      <x:c r="H480" s="17"/>
      <x:c r="I480" s="17"/>
      <x:c r="J480" s="17"/>
      <x:c r="K480" s="17"/>
      <x:c r="L480" s="2" t="str">
        <x:f>IF(A480="","",IF(COUNTIFS($A$8:$A$507,A480)&lt;&gt;1,"Duplicate ID",IF(COUNTIFS(Data!$A$2:$A$501,A480)&lt;&gt;1,"Not current","Current")))</x:f>
      </x:c>
    </x:row>
    <x:row r="481" ht="32" customHeight="1">
      <x:c r="A481" s="2"/>
      <x:c r="B481" s="20" t="str">
        <x:f>IF(A481="","",IF(COUNTIFS(Data!$A$2:$A$501,A481)=1,INDEX(Data!$B$2:$B$501,MATCH(A481,Data!$A$2:$A$501,0)),"Not in current directory"))</x:f>
      </x:c>
      <x:c r="C481" s="17"/>
      <x:c r="D481" s="17"/>
      <x:c r="E481" s="18"/>
      <x:c r="F481" s="17"/>
      <x:c r="G481" s="18"/>
      <x:c r="H481" s="17"/>
      <x:c r="I481" s="17"/>
      <x:c r="J481" s="17"/>
      <x:c r="K481" s="17"/>
      <x:c r="L481" s="2" t="str">
        <x:f>IF(A481="","",IF(COUNTIFS($A$8:$A$507,A481)&lt;&gt;1,"Duplicate ID",IF(COUNTIFS(Data!$A$2:$A$501,A481)&lt;&gt;1,"Not current","Current")))</x:f>
      </x:c>
    </x:row>
    <x:row r="482" ht="32" customHeight="1">
      <x:c r="A482" s="2"/>
      <x:c r="B482" s="20" t="str">
        <x:f>IF(A482="","",IF(COUNTIFS(Data!$A$2:$A$501,A482)=1,INDEX(Data!$B$2:$B$501,MATCH(A482,Data!$A$2:$A$501,0)),"Not in current directory"))</x:f>
      </x:c>
      <x:c r="C482" s="17"/>
      <x:c r="D482" s="17"/>
      <x:c r="E482" s="18"/>
      <x:c r="F482" s="17"/>
      <x:c r="G482" s="18"/>
      <x:c r="H482" s="17"/>
      <x:c r="I482" s="17"/>
      <x:c r="J482" s="17"/>
      <x:c r="K482" s="17"/>
      <x:c r="L482" s="2" t="str">
        <x:f>IF(A482="","",IF(COUNTIFS($A$8:$A$507,A482)&lt;&gt;1,"Duplicate ID",IF(COUNTIFS(Data!$A$2:$A$501,A482)&lt;&gt;1,"Not current","Current")))</x:f>
      </x:c>
    </x:row>
    <x:row r="483" ht="32" customHeight="1">
      <x:c r="A483" s="2"/>
      <x:c r="B483" s="20" t="str">
        <x:f>IF(A483="","",IF(COUNTIFS(Data!$A$2:$A$501,A483)=1,INDEX(Data!$B$2:$B$501,MATCH(A483,Data!$A$2:$A$501,0)),"Not in current directory"))</x:f>
      </x:c>
      <x:c r="C483" s="17"/>
      <x:c r="D483" s="17"/>
      <x:c r="E483" s="18"/>
      <x:c r="F483" s="17"/>
      <x:c r="G483" s="18"/>
      <x:c r="H483" s="17"/>
      <x:c r="I483" s="17"/>
      <x:c r="J483" s="17"/>
      <x:c r="K483" s="17"/>
      <x:c r="L483" s="2" t="str">
        <x:f>IF(A483="","",IF(COUNTIFS($A$8:$A$507,A483)&lt;&gt;1,"Duplicate ID",IF(COUNTIFS(Data!$A$2:$A$501,A483)&lt;&gt;1,"Not current","Current")))</x:f>
      </x:c>
    </x:row>
    <x:row r="484" ht="32" customHeight="1">
      <x:c r="A484" s="2"/>
      <x:c r="B484" s="20" t="str">
        <x:f>IF(A484="","",IF(COUNTIFS(Data!$A$2:$A$501,A484)=1,INDEX(Data!$B$2:$B$501,MATCH(A484,Data!$A$2:$A$501,0)),"Not in current directory"))</x:f>
      </x:c>
      <x:c r="C484" s="17"/>
      <x:c r="D484" s="17"/>
      <x:c r="E484" s="18"/>
      <x:c r="F484" s="17"/>
      <x:c r="G484" s="18"/>
      <x:c r="H484" s="17"/>
      <x:c r="I484" s="17"/>
      <x:c r="J484" s="17"/>
      <x:c r="K484" s="17"/>
      <x:c r="L484" s="2" t="str">
        <x:f>IF(A484="","",IF(COUNTIFS($A$8:$A$507,A484)&lt;&gt;1,"Duplicate ID",IF(COUNTIFS(Data!$A$2:$A$501,A484)&lt;&gt;1,"Not current","Current")))</x:f>
      </x:c>
    </x:row>
    <x:row r="485" ht="32" customHeight="1">
      <x:c r="A485" s="2"/>
      <x:c r="B485" s="20" t="str">
        <x:f>IF(A485="","",IF(COUNTIFS(Data!$A$2:$A$501,A485)=1,INDEX(Data!$B$2:$B$501,MATCH(A485,Data!$A$2:$A$501,0)),"Not in current directory"))</x:f>
      </x:c>
      <x:c r="C485" s="17"/>
      <x:c r="D485" s="17"/>
      <x:c r="E485" s="18"/>
      <x:c r="F485" s="17"/>
      <x:c r="G485" s="18"/>
      <x:c r="H485" s="17"/>
      <x:c r="I485" s="17"/>
      <x:c r="J485" s="17"/>
      <x:c r="K485" s="17"/>
      <x:c r="L485" s="2" t="str">
        <x:f>IF(A485="","",IF(COUNTIFS($A$8:$A$507,A485)&lt;&gt;1,"Duplicate ID",IF(COUNTIFS(Data!$A$2:$A$501,A485)&lt;&gt;1,"Not current","Current")))</x:f>
      </x:c>
    </x:row>
    <x:row r="486" ht="32" customHeight="1">
      <x:c r="A486" s="2"/>
      <x:c r="B486" s="20" t="str">
        <x:f>IF(A486="","",IF(COUNTIFS(Data!$A$2:$A$501,A486)=1,INDEX(Data!$B$2:$B$501,MATCH(A486,Data!$A$2:$A$501,0)),"Not in current directory"))</x:f>
      </x:c>
      <x:c r="C486" s="17"/>
      <x:c r="D486" s="17"/>
      <x:c r="E486" s="18"/>
      <x:c r="F486" s="17"/>
      <x:c r="G486" s="18"/>
      <x:c r="H486" s="17"/>
      <x:c r="I486" s="17"/>
      <x:c r="J486" s="17"/>
      <x:c r="K486" s="17"/>
      <x:c r="L486" s="2" t="str">
        <x:f>IF(A486="","",IF(COUNTIFS($A$8:$A$507,A486)&lt;&gt;1,"Duplicate ID",IF(COUNTIFS(Data!$A$2:$A$501,A486)&lt;&gt;1,"Not current","Current")))</x:f>
      </x:c>
    </x:row>
    <x:row r="487" ht="32" customHeight="1">
      <x:c r="A487" s="2"/>
      <x:c r="B487" s="20" t="str">
        <x:f>IF(A487="","",IF(COUNTIFS(Data!$A$2:$A$501,A487)=1,INDEX(Data!$B$2:$B$501,MATCH(A487,Data!$A$2:$A$501,0)),"Not in current directory"))</x:f>
      </x:c>
      <x:c r="C487" s="17"/>
      <x:c r="D487" s="17"/>
      <x:c r="E487" s="18"/>
      <x:c r="F487" s="17"/>
      <x:c r="G487" s="18"/>
      <x:c r="H487" s="17"/>
      <x:c r="I487" s="17"/>
      <x:c r="J487" s="17"/>
      <x:c r="K487" s="17"/>
      <x:c r="L487" s="2" t="str">
        <x:f>IF(A487="","",IF(COUNTIFS($A$8:$A$507,A487)&lt;&gt;1,"Duplicate ID",IF(COUNTIFS(Data!$A$2:$A$501,A487)&lt;&gt;1,"Not current","Current")))</x:f>
      </x:c>
    </x:row>
    <x:row r="488" ht="32" customHeight="1">
      <x:c r="A488" s="2"/>
      <x:c r="B488" s="20" t="str">
        <x:f>IF(A488="","",IF(COUNTIFS(Data!$A$2:$A$501,A488)=1,INDEX(Data!$B$2:$B$501,MATCH(A488,Data!$A$2:$A$501,0)),"Not in current directory"))</x:f>
      </x:c>
      <x:c r="C488" s="17"/>
      <x:c r="D488" s="17"/>
      <x:c r="E488" s="18"/>
      <x:c r="F488" s="17"/>
      <x:c r="G488" s="18"/>
      <x:c r="H488" s="17"/>
      <x:c r="I488" s="17"/>
      <x:c r="J488" s="17"/>
      <x:c r="K488" s="17"/>
      <x:c r="L488" s="2" t="str">
        <x:f>IF(A488="","",IF(COUNTIFS($A$8:$A$507,A488)&lt;&gt;1,"Duplicate ID",IF(COUNTIFS(Data!$A$2:$A$501,A488)&lt;&gt;1,"Not current","Current")))</x:f>
      </x:c>
    </x:row>
    <x:row r="489" ht="32" customHeight="1">
      <x:c r="A489" s="2"/>
      <x:c r="B489" s="20" t="str">
        <x:f>IF(A489="","",IF(COUNTIFS(Data!$A$2:$A$501,A489)=1,INDEX(Data!$B$2:$B$501,MATCH(A489,Data!$A$2:$A$501,0)),"Not in current directory"))</x:f>
      </x:c>
      <x:c r="C489" s="17"/>
      <x:c r="D489" s="17"/>
      <x:c r="E489" s="18"/>
      <x:c r="F489" s="17"/>
      <x:c r="G489" s="18"/>
      <x:c r="H489" s="17"/>
      <x:c r="I489" s="17"/>
      <x:c r="J489" s="17"/>
      <x:c r="K489" s="17"/>
      <x:c r="L489" s="2" t="str">
        <x:f>IF(A489="","",IF(COUNTIFS($A$8:$A$507,A489)&lt;&gt;1,"Duplicate ID",IF(COUNTIFS(Data!$A$2:$A$501,A489)&lt;&gt;1,"Not current","Current")))</x:f>
      </x:c>
    </x:row>
    <x:row r="490" ht="32" customHeight="1">
      <x:c r="A490" s="2"/>
      <x:c r="B490" s="20" t="str">
        <x:f>IF(A490="","",IF(COUNTIFS(Data!$A$2:$A$501,A490)=1,INDEX(Data!$B$2:$B$501,MATCH(A490,Data!$A$2:$A$501,0)),"Not in current directory"))</x:f>
      </x:c>
      <x:c r="C490" s="17"/>
      <x:c r="D490" s="17"/>
      <x:c r="E490" s="18"/>
      <x:c r="F490" s="17"/>
      <x:c r="G490" s="18"/>
      <x:c r="H490" s="17"/>
      <x:c r="I490" s="17"/>
      <x:c r="J490" s="17"/>
      <x:c r="K490" s="17"/>
      <x:c r="L490" s="2" t="str">
        <x:f>IF(A490="","",IF(COUNTIFS($A$8:$A$507,A490)&lt;&gt;1,"Duplicate ID",IF(COUNTIFS(Data!$A$2:$A$501,A490)&lt;&gt;1,"Not current","Current")))</x:f>
      </x:c>
    </x:row>
    <x:row r="491" ht="32" customHeight="1">
      <x:c r="A491" s="2"/>
      <x:c r="B491" s="20" t="str">
        <x:f>IF(A491="","",IF(COUNTIFS(Data!$A$2:$A$501,A491)=1,INDEX(Data!$B$2:$B$501,MATCH(A491,Data!$A$2:$A$501,0)),"Not in current directory"))</x:f>
      </x:c>
      <x:c r="C491" s="17"/>
      <x:c r="D491" s="17"/>
      <x:c r="E491" s="18"/>
      <x:c r="F491" s="17"/>
      <x:c r="G491" s="18"/>
      <x:c r="H491" s="17"/>
      <x:c r="I491" s="17"/>
      <x:c r="J491" s="17"/>
      <x:c r="K491" s="17"/>
      <x:c r="L491" s="2" t="str">
        <x:f>IF(A491="","",IF(COUNTIFS($A$8:$A$507,A491)&lt;&gt;1,"Duplicate ID",IF(COUNTIFS(Data!$A$2:$A$501,A491)&lt;&gt;1,"Not current","Current")))</x:f>
      </x:c>
    </x:row>
    <x:row r="492" ht="32" customHeight="1">
      <x:c r="A492" s="2"/>
      <x:c r="B492" s="20" t="str">
        <x:f>IF(A492="","",IF(COUNTIFS(Data!$A$2:$A$501,A492)=1,INDEX(Data!$B$2:$B$501,MATCH(A492,Data!$A$2:$A$501,0)),"Not in current directory"))</x:f>
      </x:c>
      <x:c r="C492" s="17"/>
      <x:c r="D492" s="17"/>
      <x:c r="E492" s="18"/>
      <x:c r="F492" s="17"/>
      <x:c r="G492" s="18"/>
      <x:c r="H492" s="17"/>
      <x:c r="I492" s="17"/>
      <x:c r="J492" s="17"/>
      <x:c r="K492" s="17"/>
      <x:c r="L492" s="2" t="str">
        <x:f>IF(A492="","",IF(COUNTIFS($A$8:$A$507,A492)&lt;&gt;1,"Duplicate ID",IF(COUNTIFS(Data!$A$2:$A$501,A492)&lt;&gt;1,"Not current","Current")))</x:f>
      </x:c>
    </x:row>
    <x:row r="493" ht="32" customHeight="1">
      <x:c r="A493" s="2"/>
      <x:c r="B493" s="20" t="str">
        <x:f>IF(A493="","",IF(COUNTIFS(Data!$A$2:$A$501,A493)=1,INDEX(Data!$B$2:$B$501,MATCH(A493,Data!$A$2:$A$501,0)),"Not in current directory"))</x:f>
      </x:c>
      <x:c r="C493" s="17"/>
      <x:c r="D493" s="17"/>
      <x:c r="E493" s="18"/>
      <x:c r="F493" s="17"/>
      <x:c r="G493" s="18"/>
      <x:c r="H493" s="17"/>
      <x:c r="I493" s="17"/>
      <x:c r="J493" s="17"/>
      <x:c r="K493" s="17"/>
      <x:c r="L493" s="2" t="str">
        <x:f>IF(A493="","",IF(COUNTIFS($A$8:$A$507,A493)&lt;&gt;1,"Duplicate ID",IF(COUNTIFS(Data!$A$2:$A$501,A493)&lt;&gt;1,"Not current","Current")))</x:f>
      </x:c>
    </x:row>
    <x:row r="494" ht="32" customHeight="1">
      <x:c r="A494" s="2"/>
      <x:c r="B494" s="20" t="str">
        <x:f>IF(A494="","",IF(COUNTIFS(Data!$A$2:$A$501,A494)=1,INDEX(Data!$B$2:$B$501,MATCH(A494,Data!$A$2:$A$501,0)),"Not in current directory"))</x:f>
      </x:c>
      <x:c r="C494" s="17"/>
      <x:c r="D494" s="17"/>
      <x:c r="E494" s="18"/>
      <x:c r="F494" s="17"/>
      <x:c r="G494" s="18"/>
      <x:c r="H494" s="17"/>
      <x:c r="I494" s="17"/>
      <x:c r="J494" s="17"/>
      <x:c r="K494" s="17"/>
      <x:c r="L494" s="2" t="str">
        <x:f>IF(A494="","",IF(COUNTIFS($A$8:$A$507,A494)&lt;&gt;1,"Duplicate ID",IF(COUNTIFS(Data!$A$2:$A$501,A494)&lt;&gt;1,"Not current","Current")))</x:f>
      </x:c>
    </x:row>
    <x:row r="495" ht="32" customHeight="1">
      <x:c r="A495" s="2"/>
      <x:c r="B495" s="20" t="str">
        <x:f>IF(A495="","",IF(COUNTIFS(Data!$A$2:$A$501,A495)=1,INDEX(Data!$B$2:$B$501,MATCH(A495,Data!$A$2:$A$501,0)),"Not in current directory"))</x:f>
      </x:c>
      <x:c r="C495" s="17"/>
      <x:c r="D495" s="17"/>
      <x:c r="E495" s="18"/>
      <x:c r="F495" s="17"/>
      <x:c r="G495" s="18"/>
      <x:c r="H495" s="17"/>
      <x:c r="I495" s="17"/>
      <x:c r="J495" s="17"/>
      <x:c r="K495" s="17"/>
      <x:c r="L495" s="2" t="str">
        <x:f>IF(A495="","",IF(COUNTIFS($A$8:$A$507,A495)&lt;&gt;1,"Duplicate ID",IF(COUNTIFS(Data!$A$2:$A$501,A495)&lt;&gt;1,"Not current","Current")))</x:f>
      </x:c>
    </x:row>
    <x:row r="496" ht="32" customHeight="1">
      <x:c r="A496" s="2"/>
      <x:c r="B496" s="20" t="str">
        <x:f>IF(A496="","",IF(COUNTIFS(Data!$A$2:$A$501,A496)=1,INDEX(Data!$B$2:$B$501,MATCH(A496,Data!$A$2:$A$501,0)),"Not in current directory"))</x:f>
      </x:c>
      <x:c r="C496" s="17"/>
      <x:c r="D496" s="17"/>
      <x:c r="E496" s="18"/>
      <x:c r="F496" s="17"/>
      <x:c r="G496" s="18"/>
      <x:c r="H496" s="17"/>
      <x:c r="I496" s="17"/>
      <x:c r="J496" s="17"/>
      <x:c r="K496" s="17"/>
      <x:c r="L496" s="2" t="str">
        <x:f>IF(A496="","",IF(COUNTIFS($A$8:$A$507,A496)&lt;&gt;1,"Duplicate ID",IF(COUNTIFS(Data!$A$2:$A$501,A496)&lt;&gt;1,"Not current","Current")))</x:f>
      </x:c>
    </x:row>
    <x:row r="497" ht="32" customHeight="1">
      <x:c r="A497" s="2"/>
      <x:c r="B497" s="20" t="str">
        <x:f>IF(A497="","",IF(COUNTIFS(Data!$A$2:$A$501,A497)=1,INDEX(Data!$B$2:$B$501,MATCH(A497,Data!$A$2:$A$501,0)),"Not in current directory"))</x:f>
      </x:c>
      <x:c r="C497" s="17"/>
      <x:c r="D497" s="17"/>
      <x:c r="E497" s="18"/>
      <x:c r="F497" s="17"/>
      <x:c r="G497" s="18"/>
      <x:c r="H497" s="17"/>
      <x:c r="I497" s="17"/>
      <x:c r="J497" s="17"/>
      <x:c r="K497" s="17"/>
      <x:c r="L497" s="2" t="str">
        <x:f>IF(A497="","",IF(COUNTIFS($A$8:$A$507,A497)&lt;&gt;1,"Duplicate ID",IF(COUNTIFS(Data!$A$2:$A$501,A497)&lt;&gt;1,"Not current","Current")))</x:f>
      </x:c>
    </x:row>
    <x:row r="498" ht="32" customHeight="1">
      <x:c r="A498" s="2"/>
      <x:c r="B498" s="20" t="str">
        <x:f>IF(A498="","",IF(COUNTIFS(Data!$A$2:$A$501,A498)=1,INDEX(Data!$B$2:$B$501,MATCH(A498,Data!$A$2:$A$501,0)),"Not in current directory"))</x:f>
      </x:c>
      <x:c r="C498" s="17"/>
      <x:c r="D498" s="17"/>
      <x:c r="E498" s="18"/>
      <x:c r="F498" s="17"/>
      <x:c r="G498" s="18"/>
      <x:c r="H498" s="17"/>
      <x:c r="I498" s="17"/>
      <x:c r="J498" s="17"/>
      <x:c r="K498" s="17"/>
      <x:c r="L498" s="2" t="str">
        <x:f>IF(A498="","",IF(COUNTIFS($A$8:$A$507,A498)&lt;&gt;1,"Duplicate ID",IF(COUNTIFS(Data!$A$2:$A$501,A498)&lt;&gt;1,"Not current","Current")))</x:f>
      </x:c>
    </x:row>
    <x:row r="499" ht="32" customHeight="1">
      <x:c r="A499" s="2"/>
      <x:c r="B499" s="20" t="str">
        <x:f>IF(A499="","",IF(COUNTIFS(Data!$A$2:$A$501,A499)=1,INDEX(Data!$B$2:$B$501,MATCH(A499,Data!$A$2:$A$501,0)),"Not in current directory"))</x:f>
      </x:c>
      <x:c r="C499" s="17"/>
      <x:c r="D499" s="17"/>
      <x:c r="E499" s="18"/>
      <x:c r="F499" s="17"/>
      <x:c r="G499" s="18"/>
      <x:c r="H499" s="17"/>
      <x:c r="I499" s="17"/>
      <x:c r="J499" s="17"/>
      <x:c r="K499" s="17"/>
      <x:c r="L499" s="2" t="str">
        <x:f>IF(A499="","",IF(COUNTIFS($A$8:$A$507,A499)&lt;&gt;1,"Duplicate ID",IF(COUNTIFS(Data!$A$2:$A$501,A499)&lt;&gt;1,"Not current","Current")))</x:f>
      </x:c>
    </x:row>
    <x:row r="500" ht="32" customHeight="1">
      <x:c r="A500" s="2"/>
      <x:c r="B500" s="20" t="str">
        <x:f>IF(A500="","",IF(COUNTIFS(Data!$A$2:$A$501,A500)=1,INDEX(Data!$B$2:$B$501,MATCH(A500,Data!$A$2:$A$501,0)),"Not in current directory"))</x:f>
      </x:c>
      <x:c r="C500" s="17"/>
      <x:c r="D500" s="17"/>
      <x:c r="E500" s="18"/>
      <x:c r="F500" s="17"/>
      <x:c r="G500" s="18"/>
      <x:c r="H500" s="17"/>
      <x:c r="I500" s="17"/>
      <x:c r="J500" s="17"/>
      <x:c r="K500" s="17"/>
      <x:c r="L500" s="2" t="str">
        <x:f>IF(A500="","",IF(COUNTIFS($A$8:$A$507,A500)&lt;&gt;1,"Duplicate ID",IF(COUNTIFS(Data!$A$2:$A$501,A500)&lt;&gt;1,"Not current","Current")))</x:f>
      </x:c>
    </x:row>
    <x:row r="501" ht="32" customHeight="1">
      <x:c r="A501" s="2"/>
      <x:c r="B501" s="20" t="str">
        <x:f>IF(A501="","",IF(COUNTIFS(Data!$A$2:$A$501,A501)=1,INDEX(Data!$B$2:$B$501,MATCH(A501,Data!$A$2:$A$501,0)),"Not in current directory"))</x:f>
      </x:c>
      <x:c r="C501" s="17"/>
      <x:c r="D501" s="17"/>
      <x:c r="E501" s="18"/>
      <x:c r="F501" s="17"/>
      <x:c r="G501" s="18"/>
      <x:c r="H501" s="17"/>
      <x:c r="I501" s="17"/>
      <x:c r="J501" s="17"/>
      <x:c r="K501" s="17"/>
      <x:c r="L501" s="2" t="str">
        <x:f>IF(A501="","",IF(COUNTIFS($A$8:$A$507,A501)&lt;&gt;1,"Duplicate ID",IF(COUNTIFS(Data!$A$2:$A$501,A501)&lt;&gt;1,"Not current","Current")))</x:f>
      </x:c>
    </x:row>
    <x:row r="502" ht="32" customHeight="1">
      <x:c r="A502" s="2"/>
      <x:c r="B502" s="20" t="str">
        <x:f>IF(A502="","",IF(COUNTIFS(Data!$A$2:$A$501,A502)=1,INDEX(Data!$B$2:$B$501,MATCH(A502,Data!$A$2:$A$501,0)),"Not in current directory"))</x:f>
      </x:c>
      <x:c r="C502" s="17"/>
      <x:c r="D502" s="17"/>
      <x:c r="E502" s="18"/>
      <x:c r="F502" s="17"/>
      <x:c r="G502" s="18"/>
      <x:c r="H502" s="17"/>
      <x:c r="I502" s="17"/>
      <x:c r="J502" s="17"/>
      <x:c r="K502" s="17"/>
      <x:c r="L502" s="2" t="str">
        <x:f>IF(A502="","",IF(COUNTIFS($A$8:$A$507,A502)&lt;&gt;1,"Duplicate ID",IF(COUNTIFS(Data!$A$2:$A$501,A502)&lt;&gt;1,"Not current","Current")))</x:f>
      </x:c>
    </x:row>
    <x:row r="503" ht="32" customHeight="1">
      <x:c r="A503" s="2"/>
      <x:c r="B503" s="20" t="str">
        <x:f>IF(A503="","",IF(COUNTIFS(Data!$A$2:$A$501,A503)=1,INDEX(Data!$B$2:$B$501,MATCH(A503,Data!$A$2:$A$501,0)),"Not in current directory"))</x:f>
      </x:c>
      <x:c r="C503" s="17"/>
      <x:c r="D503" s="17"/>
      <x:c r="E503" s="18"/>
      <x:c r="F503" s="17"/>
      <x:c r="G503" s="18"/>
      <x:c r="H503" s="17"/>
      <x:c r="I503" s="17"/>
      <x:c r="J503" s="17"/>
      <x:c r="K503" s="17"/>
      <x:c r="L503" s="2" t="str">
        <x:f>IF(A503="","",IF(COUNTIFS($A$8:$A$507,A503)&lt;&gt;1,"Duplicate ID",IF(COUNTIFS(Data!$A$2:$A$501,A503)&lt;&gt;1,"Not current","Current")))</x:f>
      </x:c>
    </x:row>
    <x:row r="504" ht="32" customHeight="1">
      <x:c r="A504" s="2"/>
      <x:c r="B504" s="20" t="str">
        <x:f>IF(A504="","",IF(COUNTIFS(Data!$A$2:$A$501,A504)=1,INDEX(Data!$B$2:$B$501,MATCH(A504,Data!$A$2:$A$501,0)),"Not in current directory"))</x:f>
      </x:c>
      <x:c r="C504" s="17"/>
      <x:c r="D504" s="17"/>
      <x:c r="E504" s="18"/>
      <x:c r="F504" s="17"/>
      <x:c r="G504" s="18"/>
      <x:c r="H504" s="17"/>
      <x:c r="I504" s="17"/>
      <x:c r="J504" s="17"/>
      <x:c r="K504" s="17"/>
      <x:c r="L504" s="2" t="str">
        <x:f>IF(A504="","",IF(COUNTIFS($A$8:$A$507,A504)&lt;&gt;1,"Duplicate ID",IF(COUNTIFS(Data!$A$2:$A$501,A504)&lt;&gt;1,"Not current","Current")))</x:f>
      </x:c>
    </x:row>
    <x:row r="505" ht="32" customHeight="1">
      <x:c r="A505" s="2"/>
      <x:c r="B505" s="20" t="str">
        <x:f>IF(A505="","",IF(COUNTIFS(Data!$A$2:$A$501,A505)=1,INDEX(Data!$B$2:$B$501,MATCH(A505,Data!$A$2:$A$501,0)),"Not in current directory"))</x:f>
      </x:c>
      <x:c r="C505" s="17"/>
      <x:c r="D505" s="17"/>
      <x:c r="E505" s="18"/>
      <x:c r="F505" s="17"/>
      <x:c r="G505" s="18"/>
      <x:c r="H505" s="17"/>
      <x:c r="I505" s="17"/>
      <x:c r="J505" s="17"/>
      <x:c r="K505" s="17"/>
      <x:c r="L505" s="2" t="str">
        <x:f>IF(A505="","",IF(COUNTIFS($A$8:$A$507,A505)&lt;&gt;1,"Duplicate ID",IF(COUNTIFS(Data!$A$2:$A$501,A505)&lt;&gt;1,"Not current","Current")))</x:f>
      </x:c>
    </x:row>
    <x:row r="506" ht="32" customHeight="1">
      <x:c r="A506" s="2"/>
      <x:c r="B506" s="20" t="str">
        <x:f>IF(A506="","",IF(COUNTIFS(Data!$A$2:$A$501,A506)=1,INDEX(Data!$B$2:$B$501,MATCH(A506,Data!$A$2:$A$501,0)),"Not in current directory"))</x:f>
      </x:c>
      <x:c r="C506" s="17"/>
      <x:c r="D506" s="17"/>
      <x:c r="E506" s="18"/>
      <x:c r="F506" s="17"/>
      <x:c r="G506" s="18"/>
      <x:c r="H506" s="17"/>
      <x:c r="I506" s="17"/>
      <x:c r="J506" s="17"/>
      <x:c r="K506" s="17"/>
      <x:c r="L506" s="2" t="str">
        <x:f>IF(A506="","",IF(COUNTIFS($A$8:$A$507,A506)&lt;&gt;1,"Duplicate ID",IF(COUNTIFS(Data!$A$2:$A$501,A506)&lt;&gt;1,"Not current","Current")))</x:f>
      </x:c>
    </x:row>
    <x:row r="507" ht="32" customHeight="1">
      <x:c r="A507" s="2"/>
      <x:c r="B507" s="20" t="str">
        <x:f>IF(A507="","",IF(COUNTIFS(Data!$A$2:$A$501,A507)=1,INDEX(Data!$B$2:$B$501,MATCH(A507,Data!$A$2:$A$501,0)),"Not in current directory"))</x:f>
      </x:c>
      <x:c r="C507" s="17"/>
      <x:c r="D507" s="17"/>
      <x:c r="E507" s="18"/>
      <x:c r="F507" s="17"/>
      <x:c r="G507" s="18"/>
      <x:c r="H507" s="17"/>
      <x:c r="I507" s="17"/>
      <x:c r="J507" s="17"/>
      <x:c r="K507" s="17"/>
      <x:c r="L507" s="2" t="str">
        <x:f>IF(A507="","",IF(COUNTIFS($A$8:$A$507,A507)&lt;&gt;1,"Duplicate ID",IF(COUNTIFS(Data!$A$2:$A$501,A507)&lt;&gt;1,"Not current","Current")))</x:f>
      </x:c>
    </x:row>
    <x:row r="508" ht="22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</x:row>
    <x:row r="509" ht="22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</x:row>
    <x:row r="510" ht="22" customHeight="1">
      <x:c r="A510" s="2"/>
      <x:c r="B510" s="2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</x:row>
    <x:row r="511" ht="22" customHeight="1">
      <x:c r="A511" s="2"/>
      <x:c r="B511" s="2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</x:row>
    <x:row r="512" ht="22" customHeight="1">
      <x:c r="A512" s="2"/>
      <x:c r="B512" s="2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</x:row>
    <x:row r="513" ht="22" customHeight="1">
      <x:c r="A513" s="2"/>
      <x:c r="B513" s="2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</x:row>
    <x:row r="514" ht="22" customHeight="1">
      <x:c r="A514" s="2"/>
      <x:c r="B514" s="2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</x:row>
    <x:row r="515" ht="22" customHeight="1">
      <x:c r="A515" s="2"/>
      <x:c r="B515" s="2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</x:row>
    <x:row r="516" ht="22" customHeight="1">
      <x:c r="A516" s="2"/>
      <x:c r="B516" s="2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</x:row>
    <x:row r="517" ht="22" customHeight="1">
      <x:c r="A517" s="2"/>
      <x:c r="B517" s="2"/>
      <x:c r="C517" s="2"/>
      <x:c r="D517" s="2"/>
      <x:c r="E517" s="2"/>
      <x:c r="F517" s="2"/>
      <x:c r="G517" s="2"/>
      <x:c r="H517" s="2"/>
      <x:c r="I517" s="2"/>
      <x:c r="J517" s="2"/>
      <x:c r="K517" s="2"/>
      <x:c r="L517" s="2"/>
    </x:row>
    <x:row r="518" ht="22" customHeight="1">
      <x:c r="A518" s="2"/>
      <x:c r="B518" s="2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</x:row>
    <x:row r="519" ht="22" customHeight="1">
      <x:c r="A519" s="2"/>
      <x:c r="B519" s="2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</x:row>
    <x:row r="520" ht="22" customHeight="1">
      <x:c r="A520" s="2"/>
      <x:c r="B520" s="2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</x:row>
    <x:row r="521" ht="22" customHeight="1">
      <x:c r="A521" s="2"/>
      <x:c r="B521" s="2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</x:row>
    <x:row r="522" ht="22" customHeight="1">
      <x:c r="A522" s="2"/>
      <x:c r="B522" s="2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</x:row>
    <x:row r="523" ht="22" customHeight="1">
      <x:c r="A523" s="2"/>
      <x:c r="B523" s="2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</x:row>
    <x:row r="524" ht="22" customHeight="1">
      <x:c r="A524" s="2"/>
      <x:c r="B524" s="2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</x:row>
    <x:row r="525" ht="22" customHeight="1">
      <x:c r="A525" s="2"/>
      <x:c r="B525" s="2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</x:row>
    <x:row r="526" ht="22" customHeight="1">
      <x:c r="A526" s="2"/>
      <x:c r="B526" s="2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</x:row>
    <x:row r="527" ht="22" customHeight="1">
      <x:c r="A527" s="2"/>
      <x:c r="B527" s="2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</x:row>
    <x:row r="528" ht="22" customHeight="1">
      <x:c r="A528" s="2"/>
      <x:c r="B528" s="2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</x:row>
    <x:row r="529" ht="22" customHeight="1">
      <x:c r="A529" s="2"/>
      <x:c r="B529" s="2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</x:row>
    <x:row r="530" ht="22" customHeight="1">
      <x:c r="A530" s="2"/>
      <x:c r="B530" s="2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</x:row>
    <x:row r="531" ht="22" customHeight="1">
      <x:c r="A531" s="2"/>
      <x:c r="B531" s="2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</x:row>
    <x:row r="532" ht="22" customHeight="1">
      <x:c r="A532" s="2"/>
      <x:c r="B532" s="2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</x:row>
    <x:row r="533" ht="22" customHeight="1">
      <x:c r="A533" s="2"/>
      <x:c r="B533" s="2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</x:row>
    <x:row r="534" ht="22" customHeight="1">
      <x:c r="A534" s="2"/>
      <x:c r="B534" s="2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</x:row>
    <x:row r="535" ht="22" customHeight="1">
      <x:c r="A535" s="2"/>
      <x:c r="B535" s="2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</x:row>
    <x:row r="536" ht="22" customHeight="1">
      <x:c r="A536" s="2"/>
      <x:c r="B536" s="2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</x:row>
    <x:row r="537" ht="22" customHeight="1">
      <x:c r="A537" s="2"/>
      <x:c r="B537" s="2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</x:row>
    <x:row r="538" ht="22" customHeight="1">
      <x:c r="A538" s="2"/>
      <x:c r="B538" s="2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</x:row>
    <x:row r="539" ht="22" customHeight="1">
      <x:c r="A539" s="2"/>
      <x:c r="B539" s="2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</x:row>
    <x:row r="540" ht="22" customHeight="1">
      <x:c r="A540" s="2"/>
      <x:c r="B540" s="2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</x:row>
    <x:row r="541" ht="22" customHeight="1">
      <x:c r="A541" s="2"/>
      <x:c r="B541" s="2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</x:row>
    <x:row r="542" ht="22" customHeight="1">
      <x:c r="A542" s="2"/>
      <x:c r="B542" s="2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</x:row>
    <x:row r="543" ht="22" customHeight="1">
      <x:c r="A543" s="2"/>
      <x:c r="B543" s="2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</x:row>
    <x:row r="544" ht="22" customHeight="1">
      <x:c r="A544" s="2"/>
      <x:c r="B544" s="2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</x:row>
    <x:row r="545" ht="22" customHeight="1">
      <x:c r="A545" s="2"/>
      <x:c r="B545" s="2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</x:row>
    <x:row r="546" ht="22" customHeight="1">
      <x:c r="A546" s="2"/>
      <x:c r="B546" s="2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</x:row>
    <x:row r="547" ht="22" customHeight="1">
      <x:c r="A547" s="2"/>
      <x:c r="B547" s="2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</x:row>
    <x:row r="548" ht="22" customHeight="1">
      <x:c r="A548" s="2"/>
      <x:c r="B548" s="2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</x:row>
    <x:row r="549" ht="22" customHeight="1">
      <x:c r="A549" s="2"/>
      <x:c r="B549" s="2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</x:row>
    <x:row r="550" ht="22" customHeight="1">
      <x:c r="A550" s="2"/>
      <x:c r="B550" s="2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</x:row>
  </x:sheetData>
  <x:conditionalFormatting sqref="C8:C507">
    <x:cfRule type="cellIs" dxfId="2" priority="1" operator="equal">
      <x:formula>"Yes"</x:formula>
    </x:cfRule>
  </x:conditionalFormatting>
  <x:dataValidations count="5">
    <x:dataValidation type="list" sqref="C8:C507">
      <x:formula1>"No,Yes"</x:formula1>
    </x:dataValidation>
    <x:dataValidation type="list" sqref="J8:J507">
      <x:formula1>"Not contacted,Contacted,Interested,On hold,Declined"</x:formula1>
    </x:dataValidation>
    <x:dataValidation type="list" sqref="K8:K507">
      <x:formula1>"Unknown,Ready,Support needed,Not ready"</x:formula1>
    </x:dataValidation>
    <x:dataValidation type="decimal" operator="between" sqref="D8:D507">
      <x:formula1>0</x:formula1>
      <x:formula2>100</x:formula2>
    </x:dataValidation>
    <x:dataValidation type="whole" operator="between" sqref="F8:F507">
      <x:formula1>0</x:formula1>
      <x:formula2>1000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be5c1ea6bb747c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3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20" max="20" width="27" hidden="0" customWidth="1"/>
    <x:col min="21" max="21" width="90" hidden="0" customWidth="1"/>
  </x:cols>
  <x:sheetData>
    <x:row r="1" ht="34" customHeight="1">
      <x:c r="A1" s="12" t="str">
        <x:v>School ID</x:v>
      </x:c>
      <x:c r="B1" s="12" t="str">
        <x:v>School name</x:v>
      </x:c>
      <x:c r="C1" s="12" t="str">
        <x:v>Governance</x:v>
      </x:c>
      <x:c r="D1" s="12" t="str">
        <x:v>Title I</x:v>
      </x:c>
      <x:c r="E1" s="12" t="str">
        <x:v>Level</x:v>
      </x:c>
      <x:c r="F1" s="12" t="str">
        <x:v>Address</x:v>
      </x:c>
      <x:c r="G1" s="12" t="str">
        <x:v>City</x:v>
      </x:c>
      <x:c r="H1" s="12" t="str">
        <x:v>ZIP</x:v>
      </x:c>
      <x:c r="I1" s="12" t="str">
        <x:v>Latitude</x:v>
      </x:c>
      <x:c r="J1" s="12" t="str">
        <x:v>Longitude</x:v>
      </x:c>
      <x:c r="K1" s="12" t="str">
        <x:v>Enrollment</x:v>
      </x:c>
      <x:c r="L1" s="12" t="str">
        <x:v>Economic disadvantage</x:v>
      </x:c>
      <x:c r="M1" s="12" t="str">
        <x:v>Listed food sites ≤1mi</x:v>
      </x:c>
      <x:c r="N1" s="12" t="str">
        <x:v>School year</x:v>
      </x:c>
      <x:c r="O1" s="12" t="str">
        <x:v>Retrieved</x:v>
      </x:c>
      <x:c r="P1" s="12" t="str">
        <x:v>Dataset</x:v>
      </x:c>
      <x:c r="Q1" s="12" t="str">
        <x:v>PA school code</x:v>
      </x:c>
      <x:c r="R1" s="12" t="str">
        <x:v>AUN</x:v>
      </x:c>
      <x:c r="S1" s="1"/>
      <x:c r="T1" s="1" t="str">
        <x:v>Setting</x:v>
      </x:c>
      <x:c r="U1" s="1" t="str">
        <x:v>Value</x:v>
      </x:c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</x:row>
    <x:row r="2" ht="22" customHeight="1">
      <x:c r="A2" s="5" t="str">
        <x:v>1010</x:v>
      </x:c>
      <x:c r="B2" s="2" t="str">
        <x:v>John Bartram High School</x:v>
      </x:c>
      <x:c r="C2" s="2" t="str">
        <x:v>District</x:v>
      </x:c>
      <x:c r="D2" s="2" t="str">
        <x:v>Yes</x:v>
      </x:c>
      <x:c r="E2" s="2" t="str">
        <x:v>High</x:v>
      </x:c>
      <x:c r="F2" s="2" t="str">
        <x:v>2401 S 67TH ST</x:v>
      </x:c>
      <x:c r="G2" s="2" t="str">
        <x:v>PHILADELPHIA</x:v>
      </x:c>
      <x:c r="H2" s="2" t="str">
        <x:v>19142</x:v>
      </x:c>
      <x:c r="I2" s="2" t="n">
        <x:v>39.92149737</x:v>
      </x:c>
      <x:c r="J2" s="2" t="n">
        <x:v>-75.23405562</x:v>
      </x:c>
      <x:c r="K2" s="2" t="n">
        <x:v>594</x:v>
      </x:c>
      <x:c r="L2" s="15" t="n">
        <x:v>0.8053</x:v>
      </x:c>
      <x:c r="M2" s="1" t="n">
        <x:v>4</x:v>
      </x:c>
      <x:c r="N2" s="1" t="str">
        <x:v>2025-2026</x:v>
      </x:c>
      <x:c r="O2" s="1" t="str">
        <x:v>2026-10-09</x:v>
      </x:c>
      <x:c r="P2" s="1" t="str">
        <x:v>Live</x:v>
      </x:c>
      <x:c r="Q2" s="1" t="str">
        <x:v>3847</x:v>
      </x:c>
      <x:c r="R2" s="1" t="str">
        <x:v>126515001</x:v>
      </x:c>
      <x:c r="S2" s="1"/>
      <x:c r="T2" s="1" t="str">
        <x:v>SchoolURL</x:v>
      </x:c>
      <x:c r="U2" s="1" t="str">
        <x:v>https://cdn.philasd.org/offices/performance/Open_Data/School_Information/School_List/2026-2027%20Master%20School%20List%20(20260928).csv</x:v>
      </x:c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</x:row>
    <x:row r="3" ht="22" customHeight="1">
      <x:c r="A3" s="2" t="str">
        <x:v>1020</x:v>
      </x:c>
      <x:c r="B3" s="2" t="str">
        <x:v>West Philadelphia High School</x:v>
      </x:c>
      <x:c r="C3" s="2" t="str">
        <x:v>District</x:v>
      </x:c>
      <x:c r="D3" s="2" t="str">
        <x:v>Yes</x:v>
      </x:c>
      <x:c r="E3" s="2" t="str">
        <x:v>High</x:v>
      </x:c>
      <x:c r="F3" s="2" t="str">
        <x:v>4901 CHESTNUT ST</x:v>
      </x:c>
      <x:c r="G3" s="2" t="str">
        <x:v>PHILADELPHIA</x:v>
      </x:c>
      <x:c r="H3" s="2" t="str">
        <x:v>19139</x:v>
      </x:c>
      <x:c r="I3" s="2" t="n">
        <x:v>39.95811</x:v>
      </x:c>
      <x:c r="J3" s="2" t="n">
        <x:v>-75.219654</x:v>
      </x:c>
      <x:c r="K3" s="2" t="n">
        <x:v>729</x:v>
      </x:c>
      <x:c r="L3" s="15" t="n">
        <x:v>0.8456</x:v>
      </x:c>
      <x:c r="M3" s="1" t="n">
        <x:v>14</x:v>
      </x:c>
      <x:c r="N3" s="1" t="str">
        <x:v>2025-2026</x:v>
      </x:c>
      <x:c r="O3" s="1" t="str">
        <x:v>2026-10-09</x:v>
      </x:c>
      <x:c r="P3" s="1" t="str">
        <x:v>Live</x:v>
      </x:c>
      <x:c r="Q3" s="1" t="str">
        <x:v>3860</x:v>
      </x:c>
      <x:c r="R3" s="1" t="str">
        <x:v>126515001</x:v>
      </x:c>
      <x:c r="S3" s="1"/>
      <x:c r="T3" s="1" t="str">
        <x:v>EnrollmentURL</x:v>
      </x:c>
      <x:c r="U3" s="1" t="str">
        <x:v>https://cdn.philasd.org/offices/performance/Open_Data/School_Information/Enrollment_Demographics_School/2025-2026%20Enrollment%20%26%20Demographics.csv</x:v>
      </x:c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</x:row>
    <x:row r="4" ht="22" customHeight="1">
      <x:c r="A4" s="2" t="str">
        <x:v>1030</x:v>
      </x:c>
      <x:c r="B4" s="2" t="str">
        <x:v>High School of the Future</x:v>
      </x:c>
      <x:c r="C4" s="2" t="str">
        <x:v>District</x:v>
      </x:c>
      <x:c r="D4" s="2" t="str">
        <x:v>Yes</x:v>
      </x:c>
      <x:c r="E4" s="2" t="str">
        <x:v>High</x:v>
      </x:c>
      <x:c r="F4" s="2" t="str">
        <x:v>4021 PARKSIDE AVE</x:v>
      </x:c>
      <x:c r="G4" s="2" t="str">
        <x:v>PHILADELPHIA</x:v>
      </x:c>
      <x:c r="H4" s="2" t="str">
        <x:v>19104</x:v>
      </x:c>
      <x:c r="I4" s="2" t="n">
        <x:v>39.97465766</x:v>
      </x:c>
      <x:c r="J4" s="2" t="n">
        <x:v>-75.2047566</x:v>
      </x:c>
      <x:c r="K4" s="2" t="n">
        <x:v>648</x:v>
      </x:c>
      <x:c r="L4" s="15" t="n">
        <x:v>0.8416</x:v>
      </x:c>
      <x:c r="M4" s="1" t="n">
        <x:v>9</x:v>
      </x:c>
      <x:c r="N4" s="1" t="str">
        <x:v>2025-2026</x:v>
      </x:c>
      <x:c r="O4" s="1" t="str">
        <x:v>2026-10-09</x:v>
      </x:c>
      <x:c r="P4" s="1" t="str">
        <x:v>Live</x:v>
      </x:c>
      <x:c r="Q4" s="1" t="str">
        <x:v>7903</x:v>
      </x:c>
      <x:c r="R4" s="1" t="str">
        <x:v>126515001</x:v>
      </x:c>
      <x:c r="S4" s="1"/>
      <x:c r="T4" s="1" t="str">
        <x:v>EconomicURL</x:v>
      </x:c>
      <x:c r="U4" s="1" t="str">
        <x:v>https://www.pa.gov/content/dam/copapwp-pagov/en/education/documents/data-and-reporting/loan-cancellation/public/2526%20public%20schools%20percent%20low%20income.xlsx</x:v>
      </x:c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</x:row>
    <x:row r="5" ht="22" customHeight="1">
      <x:c r="A5" s="2" t="str">
        <x:v>1050</x:v>
      </x:c>
      <x:c r="B5" s="2" t="str">
        <x:v>Paul Robeson High School for Human Services</x:v>
      </x:c>
      <x:c r="C5" s="2" t="str">
        <x:v>District</x:v>
      </x:c>
      <x:c r="D5" s="2" t="str">
        <x:v>Yes</x:v>
      </x:c>
      <x:c r="E5" s="2" t="str">
        <x:v>High</x:v>
      </x:c>
      <x:c r="F5" s="2" t="str">
        <x:v>4125 LUDLOW ST</x:v>
      </x:c>
      <x:c r="G5" s="2" t="str">
        <x:v>PHILADELPHIA</x:v>
      </x:c>
      <x:c r="H5" s="2" t="str">
        <x:v>19104</x:v>
      </x:c>
      <x:c r="I5" s="2" t="n">
        <x:v>39.95679553</x:v>
      </x:c>
      <x:c r="J5" s="2" t="n">
        <x:v>-75.20476311</x:v>
      </x:c>
      <x:c r="K5" s="2" t="n">
        <x:v>300</x:v>
      </x:c>
      <x:c r="L5" s="15" t="n">
        <x:v>0.7533</x:v>
      </x:c>
      <x:c r="M5" s="1" t="n">
        <x:v>12</x:v>
      </x:c>
      <x:c r="N5" s="1" t="str">
        <x:v>2025-2026</x:v>
      </x:c>
      <x:c r="O5" s="1" t="str">
        <x:v>2026-10-09</x:v>
      </x:c>
      <x:c r="P5" s="1" t="str">
        <x:v>Live</x:v>
      </x:c>
      <x:c r="Q5" s="1" t="str">
        <x:v>7780</x:v>
      </x:c>
      <x:c r="R5" s="1" t="str">
        <x:v>126515001</x:v>
      </x:c>
      <x:c r="S5" s="1"/>
      <x:c r="T5" s="1" t="str">
        <x:v>FoodURL</x:v>
      </x:c>
      <x:c r="U5" s="1" t="str">
        <x:v>https://services.arcgis.com/fLeGjb7u4uXqeF9q/ArcGIS/rest/services/free_meal_sites/FeatureServer/0/query?where=1%3D1&amp;outFields=*&amp;outSR=4326&amp;f=json</x:v>
      </x:c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</x:row>
    <x:row r="6" ht="22" customHeight="1">
      <x:c r="A6" s="2" t="str">
        <x:v>1100</x:v>
      </x:c>
      <x:c r="B6" s="2" t="str">
        <x:v>William L. Sayre High School</x:v>
      </x:c>
      <x:c r="C6" s="2" t="str">
        <x:v>District</x:v>
      </x:c>
      <x:c r="D6" s="2" t="str">
        <x:v>Yes</x:v>
      </x:c>
      <x:c r="E6" s="2" t="str">
        <x:v>High</x:v>
      </x:c>
      <x:c r="F6" s="2" t="str">
        <x:v>5800 WALNUT ST</x:v>
      </x:c>
      <x:c r="G6" s="2" t="str">
        <x:v>PHILADELPHIA</x:v>
      </x:c>
      <x:c r="H6" s="2" t="str">
        <x:v>19139</x:v>
      </x:c>
      <x:c r="I6" s="2" t="n">
        <x:v>39.95759354</x:v>
      </x:c>
      <x:c r="J6" s="2" t="n">
        <x:v>-75.23859405</x:v>
      </x:c>
      <x:c r="K6" s="2" t="n">
        <x:v>439</x:v>
      </x:c>
      <x:c r="L6" s="15" t="n">
        <x:v>0.8084</x:v>
      </x:c>
      <x:c r="M6" s="1" t="n">
        <x:v>13</x:v>
      </x:c>
      <x:c r="N6" s="1" t="str">
        <x:v>2025-2026</x:v>
      </x:c>
      <x:c r="O6" s="1" t="str">
        <x:v>2026-10-09</x:v>
      </x:c>
      <x:c r="P6" s="1" t="str">
        <x:v>Live</x:v>
      </x:c>
      <x:c r="Q6" s="1" t="str">
        <x:v>7245</x:v>
      </x:c>
      <x:c r="R6" s="1" t="str">
        <x:v>126515001</x:v>
      </x:c>
      <x:c r="S6" s="1"/>
      <x:c r="T6" s="1" t="str">
        <x:v>TitleHistoryURL</x:v>
      </x:c>
      <x:c r="U6" s="1" t="str">
        <x:v>https://cdn.philasd.org/offices/performance/Open_Data/School_Information/School_List/2025-2026%20Master%20School%20List%20(20251001).csv</x:v>
      </x:c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</x:row>
    <x:row r="7" ht="22" customHeight="1">
      <x:c r="A7" s="2" t="str">
        <x:v>1130</x:v>
      </x:c>
      <x:c r="B7" s="2" t="str">
        <x:v>William T. Tilden Middle School</x:v>
      </x:c>
      <x:c r="C7" s="2" t="str">
        <x:v>District</x:v>
      </x:c>
      <x:c r="D7" s="2" t="str">
        <x:v>Yes</x:v>
      </x:c>
      <x:c r="E7" s="2" t="str">
        <x:v>Middle</x:v>
      </x:c>
      <x:c r="F7" s="2" t="str">
        <x:v>6601 ELMWOOD AVE</x:v>
      </x:c>
      <x:c r="G7" s="2" t="str">
        <x:v>PHILADELPHIA</x:v>
      </x:c>
      <x:c r="H7" s="2" t="str">
        <x:v>19142</x:v>
      </x:c>
      <x:c r="I7" s="2" t="n">
        <x:v>39.92093619</x:v>
      </x:c>
      <x:c r="J7" s="2" t="n">
        <x:v>-75.23227632</x:v>
      </x:c>
      <x:c r="K7" s="2" t="n">
        <x:v>230</x:v>
      </x:c>
      <x:c r="L7" s="15" t="n">
        <x:v>0.8787</x:v>
      </x:c>
      <x:c r="M7" s="1" t="n">
        <x:v>4</x:v>
      </x:c>
      <x:c r="N7" s="1" t="str">
        <x:v>2025-2026</x:v>
      </x:c>
      <x:c r="O7" s="1" t="str">
        <x:v>2026-10-09</x:v>
      </x:c>
      <x:c r="P7" s="1" t="str">
        <x:v>Live</x:v>
      </x:c>
      <x:c r="Q7" s="1" t="str">
        <x:v>8297</x:v>
      </x:c>
      <x:c r="R7" s="1" t="str">
        <x:v>126515001</x:v>
      </x:c>
      <x:c r="S7" s="1"/>
      <x:c r="T7" s="1" t="str">
        <x:v>DirectoryYear</x:v>
      </x:c>
      <x:c r="U7" s="1" t="str">
        <x:v>2026-2027</x:v>
      </x:c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</x:row>
    <x:row r="8" ht="22" customHeight="1">
      <x:c r="A8" s="2" t="str">
        <x:v>1190</x:v>
      </x:c>
      <x:c r="B8" s="2" t="str">
        <x:v>Motivation High School</x:v>
      </x:c>
      <x:c r="C8" s="2" t="str">
        <x:v>District</x:v>
      </x:c>
      <x:c r="D8" s="2" t="str">
        <x:v>Yes</x:v>
      </x:c>
      <x:c r="E8" s="2" t="str">
        <x:v>High</x:v>
      </x:c>
      <x:c r="F8" s="2" t="str">
        <x:v>5900 BALTIMORE AVE</x:v>
      </x:c>
      <x:c r="G8" s="2" t="str">
        <x:v>PHILADELPHIA</x:v>
      </x:c>
      <x:c r="H8" s="2" t="str">
        <x:v>19143</x:v>
      </x:c>
      <x:c r="I8" s="2" t="n">
        <x:v>39.94453199</x:v>
      </x:c>
      <x:c r="J8" s="2" t="n">
        <x:v>-75.24184422</x:v>
      </x:c>
      <x:c r="K8" s="2" t="n">
        <x:v>151</x:v>
      </x:c>
      <x:c r="L8" s="15" t="n">
        <x:v>0.8344</x:v>
      </x:c>
      <x:c r="M8" s="1" t="n">
        <x:v>5</x:v>
      </x:c>
      <x:c r="N8" s="1" t="str">
        <x:v>2025-2026</x:v>
      </x:c>
      <x:c r="O8" s="1" t="str">
        <x:v>2026-10-09</x:v>
      </x:c>
      <x:c r="P8" s="1" t="str">
        <x:v>Live</x:v>
      </x:c>
      <x:c r="Q8" s="1" t="str">
        <x:v>7815</x:v>
      </x:c>
      <x:c r="R8" s="1" t="str">
        <x:v>126515001</x:v>
      </x:c>
      <x:c r="S8" s="1"/>
      <x:c r="T8" s="1" t="str">
        <x:v>EconomicSheet</x:v>
      </x:c>
      <x:c r="U8" s="1" t="str">
        <x:v>2026 LIP by School</x:v>
      </x:c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</x:row>
    <x:row r="9" ht="22" customHeight="1">
      <x:c r="A9" s="2" t="str">
        <x:v>1200</x:v>
      </x:c>
      <x:c r="B9" s="2" t="str">
        <x:v>John Barry School</x:v>
      </x:c>
      <x:c r="C9" s="2" t="str">
        <x:v>District</x:v>
      </x:c>
      <x:c r="D9" s="2" t="str">
        <x:v>Yes</x:v>
      </x:c>
      <x:c r="E9" s="2" t="str">
        <x:v>Elementary-Middle</x:v>
      </x:c>
      <x:c r="F9" s="2" t="str">
        <x:v>5900 RACE ST</x:v>
      </x:c>
      <x:c r="G9" s="2" t="str">
        <x:v>PHILADELPHIA</x:v>
      </x:c>
      <x:c r="H9" s="2" t="str">
        <x:v>19139</x:v>
      </x:c>
      <x:c r="I9" s="2" t="n">
        <x:v>39.96437494</x:v>
      </x:c>
      <x:c r="J9" s="2" t="n">
        <x:v>-75.23860376</x:v>
      </x:c>
      <x:c r="K9" s="2" t="n">
        <x:v>442</x:v>
      </x:c>
      <x:c r="L9" s="15" t="n">
        <x:v>0.9118</x:v>
      </x:c>
      <x:c r="M9" s="1" t="n">
        <x:v>11</x:v>
      </x:c>
      <x:c r="N9" s="1" t="str">
        <x:v>2025-2026</x:v>
      </x:c>
      <x:c r="O9" s="1" t="str">
        <x:v>2026-10-09</x:v>
      </x:c>
      <x:c r="P9" s="1" t="str">
        <x:v>Live</x:v>
      </x:c>
      <x:c r="Q9" s="1" t="str">
        <x:v>8029</x:v>
      </x:c>
      <x:c r="R9" s="1" t="str">
        <x:v>126515001</x:v>
      </x:c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</x:row>
    <x:row r="10" ht="22" customHeight="1">
      <x:c r="A10" s="2" t="str">
        <x:v>1230</x:v>
      </x:c>
      <x:c r="B10" s="2" t="str">
        <x:v>William C. Bryant School</x:v>
      </x:c>
      <x:c r="C10" s="2" t="str">
        <x:v>District</x:v>
      </x:c>
      <x:c r="D10" s="2" t="str">
        <x:v>Yes</x:v>
      </x:c>
      <x:c r="E10" s="2" t="str">
        <x:v>Elementary-Middle</x:v>
      </x:c>
      <x:c r="F10" s="2" t="str">
        <x:v>6001 CEDAR AVE</x:v>
      </x:c>
      <x:c r="G10" s="2" t="str">
        <x:v>PHILADELPHIA</x:v>
      </x:c>
      <x:c r="H10" s="2" t="str">
        <x:v>19143</x:v>
      </x:c>
      <x:c r="I10" s="2" t="n">
        <x:v>39.952687</x:v>
      </x:c>
      <x:c r="J10" s="2" t="n">
        <x:v>-75.243691</x:v>
      </x:c>
      <x:c r="K10" s="2" t="n">
        <x:v>332</x:v>
      </x:c>
      <x:c r="L10" s="15" t="n">
        <x:v>0.9023</x:v>
      </x:c>
      <x:c r="M10" s="1" t="n">
        <x:v>5</x:v>
      </x:c>
      <x:c r="N10" s="1" t="str">
        <x:v>2025-2026</x:v>
      </x:c>
      <x:c r="O10" s="1" t="str">
        <x:v>2026-10-09</x:v>
      </x:c>
      <x:c r="P10" s="1" t="str">
        <x:v>Live</x:v>
      </x:c>
      <x:c r="Q10" s="1" t="str">
        <x:v>3601</x:v>
      </x:c>
      <x:c r="R10" s="1" t="str">
        <x:v>126515001</x:v>
      </x:c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</x:row>
    <x:row r="11" ht="22" customHeight="1">
      <x:c r="A11" s="2" t="str">
        <x:v>1250</x:v>
      </x:c>
      <x:c r="B11" s="2" t="str">
        <x:v>Joseph W. Catharine School</x:v>
      </x:c>
      <x:c r="C11" s="2" t="str">
        <x:v>District</x:v>
      </x:c>
      <x:c r="D11" s="2" t="str">
        <x:v>Yes</x:v>
      </x:c>
      <x:c r="E11" s="2" t="str">
        <x:v>Elementary</x:v>
      </x:c>
      <x:c r="F11" s="2" t="str">
        <x:v>6600 CHESTER AVE</x:v>
      </x:c>
      <x:c r="G11" s="2" t="str">
        <x:v>PHILADELPHIA</x:v>
      </x:c>
      <x:c r="H11" s="2" t="str">
        <x:v>19142</x:v>
      </x:c>
      <x:c r="I11" s="2" t="n">
        <x:v>39.927435</x:v>
      </x:c>
      <x:c r="J11" s="2" t="n">
        <x:v>-75.239911</x:v>
      </x:c>
      <x:c r="K11" s="2" t="n">
        <x:v>377</x:v>
      </x:c>
      <x:c r="L11" s="15" t="n">
        <x:v>0.782</x:v>
      </x:c>
      <x:c r="M11" s="1" t="n">
        <x:v>5</x:v>
      </x:c>
      <x:c r="N11" s="1" t="str">
        <x:v>2025-2026</x:v>
      </x:c>
      <x:c r="O11" s="1" t="str">
        <x:v>2026-10-09</x:v>
      </x:c>
      <x:c r="P11" s="1" t="str">
        <x:v>Live</x:v>
      </x:c>
      <x:c r="Q11" s="1" t="str">
        <x:v>3602</x:v>
      </x:c>
      <x:c r="R11" s="1" t="str">
        <x:v>126515001</x:v>
      </x:c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</x:row>
    <x:row r="12" ht="44" customHeight="1">
      <x:c r="A12" s="2" t="str">
        <x:v>1260</x:v>
      </x:c>
      <x:c r="B12" s="2" t="str">
        <x:v>Benjamin B. Comegys School</x:v>
      </x:c>
      <x:c r="C12" s="2" t="str">
        <x:v>District</x:v>
      </x:c>
      <x:c r="D12" s="2" t="str">
        <x:v>Yes</x:v>
      </x:c>
      <x:c r="E12" s="2" t="str">
        <x:v>Elementary-Middle</x:v>
      </x:c>
      <x:c r="F12" s="2" t="str">
        <x:v>5100 GREENWAY AVE</x:v>
      </x:c>
      <x:c r="G12" s="2" t="str">
        <x:v>PHILADELPHIA</x:v>
      </x:c>
      <x:c r="H12" s="2" t="str">
        <x:v>19143</x:v>
      </x:c>
      <x:c r="I12" s="2" t="n">
        <x:v>39.94052</x:v>
      </x:c>
      <x:c r="J12" s="2" t="n">
        <x:v>-75.216289</x:v>
      </x:c>
      <x:c r="K12" s="2" t="n">
        <x:v>213</x:v>
      </x:c>
      <x:c r="L12" s="15" t="n">
        <x:v>0.9014</x:v>
      </x:c>
      <x:c r="M12" s="1" t="n">
        <x:v>7</x:v>
      </x:c>
      <x:c r="N12" s="1" t="str">
        <x:v>2025-2026</x:v>
      </x:c>
      <x:c r="O12" s="1" t="str">
        <x:v>2026-10-09</x:v>
      </x:c>
      <x:c r="P12" s="1" t="str">
        <x:v>Live</x:v>
      </x:c>
      <x:c r="Q12" s="1" t="str">
        <x:v>3782</x:v>
      </x:c>
      <x:c r="R12" s="1" t="str">
        <x:v>126515001</x:v>
      </x:c>
      <x:c r="S12" s="1"/>
      <x:c r="T12" s="1" t="str">
        <x:v>Method</x:v>
      </x:c>
      <x:c r="U12" s="14" t="str">
        <x:v>Definition</x:v>
      </x:c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</x:row>
    <x:row r="13" ht="44" customHeight="1">
      <x:c r="A13" s="2" t="str">
        <x:v>1280</x:v>
      </x:c>
      <x:c r="B13" s="2" t="str">
        <x:v>Sadie T.M. Alexander UPenn Partnership School</x:v>
      </x:c>
      <x:c r="C13" s="2" t="str">
        <x:v>District</x:v>
      </x:c>
      <x:c r="D13" s="2" t="str">
        <x:v>Yes</x:v>
      </x:c>
      <x:c r="E13" s="2" t="str">
        <x:v>Elementary-Middle</x:v>
      </x:c>
      <x:c r="F13" s="2" t="str">
        <x:v>4209 SPRUCE ST</x:v>
      </x:c>
      <x:c r="G13" s="2" t="str">
        <x:v>PHILADELPHIA</x:v>
      </x:c>
      <x:c r="H13" s="2" t="str">
        <x:v>19104</x:v>
      </x:c>
      <x:c r="I13" s="2" t="n">
        <x:v>39.953099</x:v>
      </x:c>
      <x:c r="J13" s="2" t="n">
        <x:v>-75.208187</x:v>
      </x:c>
      <x:c r="K13" s="2" t="n">
        <x:v>601</x:v>
      </x:c>
      <x:c r="L13" s="15" t="n">
        <x:v>0.2288</x:v>
      </x:c>
      <x:c r="M13" s="1" t="n">
        <x:v>10</x:v>
      </x:c>
      <x:c r="N13" s="1" t="str">
        <x:v>2025-2026</x:v>
      </x:c>
      <x:c r="O13" s="1" t="str">
        <x:v>2026-10-09</x:v>
      </x:c>
      <x:c r="P13" s="1" t="str">
        <x:v>Live</x:v>
      </x:c>
      <x:c r="Q13" s="1" t="str">
        <x:v>7706</x:v>
      </x:c>
      <x:c r="R13" s="1" t="str">
        <x:v>126515001</x:v>
      </x:c>
      <x:c r="S13" s="1"/>
      <x:c r="T13" s="1" t="str">
        <x:v>Scope</x:v>
      </x:c>
      <x:c r="U13" s="14" t="str">
        <x:v>Philadelphia district schools and charters with last-published Title I status. Contracted schools excluded.</x:v>
      </x:c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</x:row>
    <x:row r="14" ht="44" customHeight="1">
      <x:c r="A14" s="2" t="str">
        <x:v>1290</x:v>
      </x:c>
      <x:c r="B14" s="2" t="str">
        <x:v>Andrew Hamilton School</x:v>
      </x:c>
      <x:c r="C14" s="2" t="str">
        <x:v>District</x:v>
      </x:c>
      <x:c r="D14" s="2" t="str">
        <x:v>Yes</x:v>
      </x:c>
      <x:c r="E14" s="2" t="str">
        <x:v>Elementary-Middle</x:v>
      </x:c>
      <x:c r="F14" s="2" t="str">
        <x:v>5640 SPRUCE ST</x:v>
      </x:c>
      <x:c r="G14" s="2" t="str">
        <x:v>PHILADELPHIA</x:v>
      </x:c>
      <x:c r="H14" s="2" t="str">
        <x:v>19139</x:v>
      </x:c>
      <x:c r="I14" s="2" t="n">
        <x:v>39.955438</x:v>
      </x:c>
      <x:c r="J14" s="2" t="n">
        <x:v>-75.235543</x:v>
      </x:c>
      <x:c r="K14" s="2" t="n">
        <x:v>366</x:v>
      </x:c>
      <x:c r="L14" s="15" t="n">
        <x:v>0.9013</x:v>
      </x:c>
      <x:c r="M14" s="1" t="n">
        <x:v>10</x:v>
      </x:c>
      <x:c r="N14" s="1" t="str">
        <x:v>2025-2026</x:v>
      </x:c>
      <x:c r="O14" s="1" t="str">
        <x:v>2026-10-09</x:v>
      </x:c>
      <x:c r="P14" s="1" t="str">
        <x:v>Live</x:v>
      </x:c>
      <x:c r="Q14" s="1" t="str">
        <x:v>5185</x:v>
      </x:c>
      <x:c r="R14" s="1" t="str">
        <x:v>126515001</x:v>
      </x:c>
      <x:c r="S14" s="1"/>
      <x:c r="T14" s="1" t="str">
        <x:v>Directory</x:v>
      </x:c>
      <x:c r="U14" s="14" t="str">
        <x:v>2026–27 current school directory; demographics use 2025–26 published files.</x:v>
      </x:c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</x:row>
    <x:row r="15" ht="44" customHeight="1">
      <x:c r="A15" s="2" t="str">
        <x:v>1300</x:v>
      </x:c>
      <x:c r="B15" s="2" t="str">
        <x:v>Avery D. Harrington School</x:v>
      </x:c>
      <x:c r="C15" s="2" t="str">
        <x:v>District</x:v>
      </x:c>
      <x:c r="D15" s="2" t="str">
        <x:v>Yes</x:v>
      </x:c>
      <x:c r="E15" s="2" t="str">
        <x:v>Elementary-Middle</x:v>
      </x:c>
      <x:c r="F15" s="2" t="str">
        <x:v>5300 BALTIMORE AVE</x:v>
      </x:c>
      <x:c r="G15" s="2" t="str">
        <x:v>PHILADELPHIA</x:v>
      </x:c>
      <x:c r="H15" s="2" t="str">
        <x:v>19143</x:v>
      </x:c>
      <x:c r="I15" s="2" t="n">
        <x:v>39.94736517</x:v>
      </x:c>
      <x:c r="J15" s="2" t="n">
        <x:v>-75.23059508</x:v>
      </x:c>
      <x:c r="K15" s="2" t="n">
        <x:v>259</x:v>
      </x:c>
      <x:c r="L15" s="15" t="n">
        <x:v>0.874</x:v>
      </x:c>
      <x:c r="M15" s="1" t="n">
        <x:v>11</x:v>
      </x:c>
      <x:c r="N15" s="1" t="str">
        <x:v>2025-2026</x:v>
      </x:c>
      <x:c r="O15" s="1" t="str">
        <x:v>2026-10-09</x:v>
      </x:c>
      <x:c r="P15" s="1" t="str">
        <x:v>Live</x:v>
      </x:c>
      <x:c r="Q15" s="1" t="str">
        <x:v>6528</x:v>
      </x:c>
      <x:c r="R15" s="1" t="str">
        <x:v>126515001</x:v>
      </x:c>
      <x:c r="S15" s="1"/>
      <x:c r="T15" s="1" t="str">
        <x:v>Title I gap</x:v>
      </x:c>
      <x:c r="U15" s="14" t="str">
        <x:v>2026–27 and May 2026 directories omit charter Title I. Last populated October 2025 designation is matched on ULCS + AUN + PA code. Confirm charter eligibility before commitment.</x:v>
      </x:c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</x:row>
    <x:row r="16" ht="44" customHeight="1">
      <x:c r="A16" s="2" t="str">
        <x:v>1340</x:v>
      </x:c>
      <x:c r="B16" s="2" t="str">
        <x:v>Henry C. Lea School</x:v>
      </x:c>
      <x:c r="C16" s="2" t="str">
        <x:v>District</x:v>
      </x:c>
      <x:c r="D16" s="2" t="str">
        <x:v>Yes</x:v>
      </x:c>
      <x:c r="E16" s="2" t="str">
        <x:v>Elementary-Middle</x:v>
      </x:c>
      <x:c r="F16" s="2" t="str">
        <x:v>4700 LOCUST ST</x:v>
      </x:c>
      <x:c r="G16" s="2" t="str">
        <x:v>PHILADELPHIA</x:v>
      </x:c>
      <x:c r="H16" s="2" t="str">
        <x:v>19139</x:v>
      </x:c>
      <x:c r="I16" s="2" t="n">
        <x:v>39.954515</x:v>
      </x:c>
      <x:c r="J16" s="2" t="n">
        <x:v>-75.216347</x:v>
      </x:c>
      <x:c r="K16" s="2" t="n">
        <x:v>463</x:v>
      </x:c>
      <x:c r="L16" s="15" t="n">
        <x:v>0.7081</x:v>
      </x:c>
      <x:c r="M16" s="1" t="n">
        <x:v>12</x:v>
      </x:c>
      <x:c r="N16" s="1" t="str">
        <x:v>2025-2026</x:v>
      </x:c>
      <x:c r="O16" s="1" t="str">
        <x:v>2026-10-09</x:v>
      </x:c>
      <x:c r="P16" s="1" t="str">
        <x:v>Live</x:v>
      </x:c>
      <x:c r="Q16" s="1" t="str">
        <x:v>6530</x:v>
      </x:c>
      <x:c r="R16" s="1" t="str">
        <x:v>126515001</x:v>
      </x:c>
      <x:c r="S16" s="1"/>
      <x:c r="T16" s="1" t="str">
        <x:v>Fresh access</x:v>
      </x:c>
      <x:c r="U16" s="14" t="str">
        <x:v>Nearest USDA-listed SNAP supermarket/superstore. Smaller groceries and produce affordability are not established.</x:v>
      </x:c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</x:row>
    <x:row r="17" ht="44" customHeight="1">
      <x:c r="A17" s="2" t="str">
        <x:v>1350</x:v>
      </x:c>
      <x:c r="B17" s="2" t="str">
        <x:v>William C. Longstreth School</x:v>
      </x:c>
      <x:c r="C17" s="2" t="str">
        <x:v>District</x:v>
      </x:c>
      <x:c r="D17" s="2" t="str">
        <x:v>Yes</x:v>
      </x:c>
      <x:c r="E17" s="2" t="str">
        <x:v>Elementary-Middle</x:v>
      </x:c>
      <x:c r="F17" s="2" t="str">
        <x:v>5700 WILLOWS AVE</x:v>
      </x:c>
      <x:c r="G17" s="2" t="str">
        <x:v>PHILADELPHIA</x:v>
      </x:c>
      <x:c r="H17" s="2" t="str">
        <x:v>19143</x:v>
      </x:c>
      <x:c r="I17" s="2" t="n">
        <x:v>39.94090823</x:v>
      </x:c>
      <x:c r="J17" s="2" t="n">
        <x:v>-75.23237316</x:v>
      </x:c>
      <x:c r="K17" s="2" t="n">
        <x:v>259</x:v>
      </x:c>
      <x:c r="L17" s="15" t="n">
        <x:v>0.8958</x:v>
      </x:c>
      <x:c r="M17" s="1" t="n">
        <x:v>8</x:v>
      </x:c>
      <x:c r="N17" s="1" t="str">
        <x:v>2025-2026</x:v>
      </x:c>
      <x:c r="O17" s="1" t="str">
        <x:v>2026-10-09</x:v>
      </x:c>
      <x:c r="P17" s="1" t="str">
        <x:v>Live</x:v>
      </x:c>
      <x:c r="Q17" s="1" t="str">
        <x:v>6533</x:v>
      </x:c>
      <x:c r="R17" s="1" t="str">
        <x:v>126515001</x:v>
      </x:c>
      <x:c r="S17" s="1"/>
      <x:c r="T17" s="1" t="str">
        <x:v>Food resources</x:v>
      </x:c>
      <x:c r="U17" s="14" t="str">
        <x:v>Distinct active City Food Site addresses within 1 mile, excluding closure flags. Recurrence, eligibility and neighboring jurisdictions require review.</x:v>
      </x:c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</x:row>
    <x:row r="18" ht="44" customHeight="1">
      <x:c r="A18" s="2" t="str">
        <x:v>1360</x:v>
      </x:c>
      <x:c r="B18" s="2" t="str">
        <x:v>Morton McMichael School</x:v>
      </x:c>
      <x:c r="C18" s="2" t="str">
        <x:v>District</x:v>
      </x:c>
      <x:c r="D18" s="2" t="str">
        <x:v>Yes</x:v>
      </x:c>
      <x:c r="E18" s="2" t="str">
        <x:v>Elementary-Middle</x:v>
      </x:c>
      <x:c r="F18" s="2" t="str">
        <x:v>3543 FAIRMOUNT AVE</x:v>
      </x:c>
      <x:c r="G18" s="2" t="str">
        <x:v>PHILADELPHIA</x:v>
      </x:c>
      <x:c r="H18" s="2" t="str">
        <x:v>19104</x:v>
      </x:c>
      <x:c r="I18" s="2" t="n">
        <x:v>39.96619727</x:v>
      </x:c>
      <x:c r="J18" s="2" t="n">
        <x:v>-75.19411487</x:v>
      </x:c>
      <x:c r="K18" s="2" t="n">
        <x:v>286</x:v>
      </x:c>
      <x:c r="L18" s="15" t="n">
        <x:v>0.9264</x:v>
      </x:c>
      <x:c r="M18" s="1" t="n">
        <x:v>11</x:v>
      </x:c>
      <x:c r="N18" s="1" t="str">
        <x:v>2025-2026</x:v>
      </x:c>
      <x:c r="O18" s="1" t="str">
        <x:v>2026-10-09</x:v>
      </x:c>
      <x:c r="P18" s="1" t="str">
        <x:v>Live</x:v>
      </x:c>
      <x:c r="Q18" s="1" t="str">
        <x:v>3611</x:v>
      </x:c>
      <x:c r="R18" s="1" t="str">
        <x:v>126515001</x:v>
      </x:c>
      <x:c r="S18" s="1"/>
      <x:c r="T18" s="1" t="str">
        <x:v>Review overrides</x:v>
      </x:c>
      <x:c r="U18" s="14" t="str">
        <x:v>Dated, nonnegative staff inputs with evidence replace the corresponding source proxy for 180 days by default. Zero is valid.</x:v>
      </x:c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</x:row>
    <x:row r="19" ht="44" customHeight="1">
      <x:c r="A19" s="2" t="str">
        <x:v>1370</x:v>
      </x:c>
      <x:c r="B19" s="2" t="str">
        <x:v>S. Weir Mitchell School</x:v>
      </x:c>
      <x:c r="C19" s="2" t="str">
        <x:v>District</x:v>
      </x:c>
      <x:c r="D19" s="2" t="str">
        <x:v>Yes</x:v>
      </x:c>
      <x:c r="E19" s="2" t="str">
        <x:v>Elementary-Middle</x:v>
      </x:c>
      <x:c r="F19" s="2" t="str">
        <x:v>5500 KINGSESSING AVE</x:v>
      </x:c>
      <x:c r="G19" s="2" t="str">
        <x:v>PHILADELPHIA</x:v>
      </x:c>
      <x:c r="H19" s="2" t="str">
        <x:v>19143</x:v>
      </x:c>
      <x:c r="I19" s="2" t="n">
        <x:v>39.93681427</x:v>
      </x:c>
      <x:c r="J19" s="2" t="n">
        <x:v>-75.223291</x:v>
      </x:c>
      <x:c r="K19" s="2" t="n">
        <x:v>271</x:v>
      </x:c>
      <x:c r="L19" s="15" t="n">
        <x:v>0.8726</x:v>
      </x:c>
      <x:c r="M19" s="1" t="n">
        <x:v>9</x:v>
      </x:c>
      <x:c r="N19" s="1" t="str">
        <x:v>2025-2026</x:v>
      </x:c>
      <x:c r="O19" s="1" t="str">
        <x:v>2026-10-09</x:v>
      </x:c>
      <x:c r="P19" s="1" t="str">
        <x:v>Live</x:v>
      </x:c>
      <x:c r="Q19" s="1" t="str">
        <x:v>3798</x:v>
      </x:c>
      <x:c r="R19" s="1" t="str">
        <x:v>126515001</x:v>
      </x:c>
      <x:c r="S19" s="1"/>
      <x:c r="T19" s="1" t="str">
        <x:v>Already served</x:v>
      </x:c>
      <x:c r="U19" s="14" t="str">
        <x:v>Staff flag only. No means unchecked, not proof the organization has never served the school. Yes excludes it immediately.</x:v>
      </x:c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</x:row>
    <x:row r="20" ht="44" customHeight="1">
      <x:c r="A20" s="2" t="str">
        <x:v>1380</x:v>
      </x:c>
      <x:c r="B20" s="2" t="str">
        <x:v>Thomas G. Morton School</x:v>
      </x:c>
      <x:c r="C20" s="2" t="str">
        <x:v>District</x:v>
      </x:c>
      <x:c r="D20" s="2" t="str">
        <x:v>Yes</x:v>
      </x:c>
      <x:c r="E20" s="2" t="str">
        <x:v>Elementary</x:v>
      </x:c>
      <x:c r="F20" s="2" t="str">
        <x:v>2501 S 63RD ST</x:v>
      </x:c>
      <x:c r="G20" s="2" t="str">
        <x:v>PHILADELPHIA</x:v>
      </x:c>
      <x:c r="H20" s="2" t="str">
        <x:v>19142</x:v>
      </x:c>
      <x:c r="I20" s="2" t="n">
        <x:v>39.92346826</x:v>
      </x:c>
      <x:c r="J20" s="2" t="n">
        <x:v>-75.22690015</x:v>
      </x:c>
      <x:c r="K20" s="2" t="n">
        <x:v>363</x:v>
      </x:c>
      <x:c r="L20" s="15" t="n">
        <x:v>0.8457</x:v>
      </x:c>
      <x:c r="M20" s="1" t="n">
        <x:v>5</x:v>
      </x:c>
      <x:c r="N20" s="1" t="str">
        <x:v>2025-2026</x:v>
      </x:c>
      <x:c r="O20" s="1" t="str">
        <x:v>2026-10-09</x:v>
      </x:c>
      <x:c r="P20" s="1" t="str">
        <x:v>Live</x:v>
      </x:c>
      <x:c r="Q20" s="1" t="str">
        <x:v>6535</x:v>
      </x:c>
      <x:c r="R20" s="1" t="str">
        <x:v>126515001</x:v>
      </x:c>
      <x:c r="S20" s="1"/>
      <x:c r="T20" s="1" t="str">
        <x:v>Rank order</x:v>
      </x:c>
      <x:c r="U20" s="14" t="str">
        <x:v>Active score descending, then economic disadvantage descending, enrollment descending, then school ID ascending. Equal scores still share a need rank.</x:v>
      </x:c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</x:row>
    <x:row r="21" ht="44" customHeight="1">
      <x:c r="A21" s="2" t="str">
        <x:v>1390</x:v>
      </x:c>
      <x:c r="B21" s="2" t="str">
        <x:v>Samuel Powel School</x:v>
      </x:c>
      <x:c r="C21" s="2" t="str">
        <x:v>District</x:v>
      </x:c>
      <x:c r="D21" s="2" t="str">
        <x:v>Yes</x:v>
      </x:c>
      <x:c r="E21" s="2" t="str">
        <x:v>Elementary</x:v>
      </x:c>
      <x:c r="F21" s="2" t="str">
        <x:v>3610 WARREN ST</x:v>
      </x:c>
      <x:c r="G21" s="2" t="str">
        <x:v>PHILADELPHIA</x:v>
      </x:c>
      <x:c r="H21" s="2" t="str">
        <x:v>19104</x:v>
      </x:c>
      <x:c r="I21" s="2" t="n">
        <x:v>39.9579628</x:v>
      </x:c>
      <x:c r="J21" s="2" t="n">
        <x:v>-75.1939177</x:v>
      </x:c>
      <x:c r="K21" s="2" t="n">
        <x:v>342</x:v>
      </x:c>
      <x:c r="L21" s="15" t="n">
        <x:v>0.4736</x:v>
      </x:c>
      <x:c r="M21" s="1" t="n">
        <x:v>10</x:v>
      </x:c>
      <x:c r="N21" s="1" t="str">
        <x:v>2025-2026</x:v>
      </x:c>
      <x:c r="O21" s="1" t="str">
        <x:v>2026-10-09</x:v>
      </x:c>
      <x:c r="P21" s="1" t="str">
        <x:v>Live</x:v>
      </x:c>
      <x:c r="Q21" s="1" t="str">
        <x:v>3783</x:v>
      </x:c>
      <x:c r="R21" s="1" t="str">
        <x:v>126515001</x:v>
      </x:c>
      <x:c r="S21" s="1"/>
      <x:c r="T21" s="1" t="str">
        <x:v>Tier</x:v>
      </x:c>
      <x:c r="U21" s="14" t="str">
        <x:v>Baseline rubric only: 70+ Tier 1, 55+ Tier 2, 40+ Tier 3, below 40 Tier 4.</x:v>
      </x:c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</x:row>
    <x:row r="22" ht="44" customHeight="1">
      <x:c r="A22" s="2" t="str">
        <x:v>1400</x:v>
      </x:c>
      <x:c r="B22" s="2" t="str">
        <x:v>John M. Patterson School</x:v>
      </x:c>
      <x:c r="C22" s="2" t="str">
        <x:v>District</x:v>
      </x:c>
      <x:c r="D22" s="2" t="str">
        <x:v>Yes</x:v>
      </x:c>
      <x:c r="E22" s="2" t="str">
        <x:v>Elementary</x:v>
      </x:c>
      <x:c r="F22" s="2" t="str">
        <x:v>7000 BUIST AVE</x:v>
      </x:c>
      <x:c r="G22" s="2" t="str">
        <x:v>PHILADELPHIA</x:v>
      </x:c>
      <x:c r="H22" s="2" t="str">
        <x:v>19142</x:v>
      </x:c>
      <x:c r="I22" s="2" t="n">
        <x:v>39.916095</x:v>
      </x:c>
      <x:c r="J22" s="2" t="n">
        <x:v>-75.236762</x:v>
      </x:c>
      <x:c r="K22" s="2" t="n">
        <x:v>353</x:v>
      </x:c>
      <x:c r="L22" s="15" t="n">
        <x:v>0.8425</x:v>
      </x:c>
      <x:c r="M22" s="1" t="n">
        <x:v>3</x:v>
      </x:c>
      <x:c r="N22" s="1" t="str">
        <x:v>2025-2026</x:v>
      </x:c>
      <x:c r="O22" s="1" t="str">
        <x:v>2026-10-09</x:v>
      </x:c>
      <x:c r="P22" s="1" t="str">
        <x:v>Live</x:v>
      </x:c>
      <x:c r="Q22" s="1" t="str">
        <x:v>3613</x:v>
      </x:c>
      <x:c r="R22" s="1" t="str">
        <x:v>126515001</x:v>
      </x:c>
      <x:c r="S22" s="1"/>
      <x:c r="T22" s="1" t="str">
        <x:v>Missing data</x:v>
      </x:c>
      <x:c r="U22" s="14" t="str">
        <x:v>Missing economic %, enrollment or access input prevents a complete score. No imputation.</x:v>
      </x:c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</x:row>
    <x:row r="23" ht="44" customHeight="1">
      <x:c r="A23" s="2" t="str">
        <x:v>1410</x:v>
      </x:c>
      <x:c r="B23" s="2" t="str">
        <x:v>James Rhoads School</x:v>
      </x:c>
      <x:c r="C23" s="2" t="str">
        <x:v>District</x:v>
      </x:c>
      <x:c r="D23" s="2" t="str">
        <x:v>Yes</x:v>
      </x:c>
      <x:c r="E23" s="2" t="str">
        <x:v>Elementary-Middle</x:v>
      </x:c>
      <x:c r="F23" s="2" t="str">
        <x:v>4901 PARRISH ST</x:v>
      </x:c>
      <x:c r="G23" s="2" t="str">
        <x:v>PHILADELPHIA</x:v>
      </x:c>
      <x:c r="H23" s="2" t="str">
        <x:v>19139</x:v>
      </x:c>
      <x:c r="I23" s="2" t="n">
        <x:v>39.967339</x:v>
      </x:c>
      <x:c r="J23" s="2" t="n">
        <x:v>-75.220063</x:v>
      </x:c>
      <x:c r="K23" s="2" t="n">
        <x:v>415</x:v>
      </x:c>
      <x:c r="L23" s="15" t="n">
        <x:v>0.927</x:v>
      </x:c>
      <x:c r="M23" s="1" t="n">
        <x:v>12</x:v>
      </x:c>
      <x:c r="N23" s="1" t="str">
        <x:v>2025-2026</x:v>
      </x:c>
      <x:c r="O23" s="1" t="str">
        <x:v>2026-10-09</x:v>
      </x:c>
      <x:c r="P23" s="1" t="str">
        <x:v>Live</x:v>
      </x:c>
      <x:c r="Q23" s="1" t="str">
        <x:v>3614</x:v>
      </x:c>
      <x:c r="R23" s="1" t="str">
        <x:v>126515001</x:v>
      </x:c>
      <x:c r="S23" s="1"/>
      <x:c r="T23" s="1" t="str">
        <x:v>Refresh</x:v>
      </x:c>
      <x:c r="U23" s="14" t="str">
        <x:v>Native query installation is required once on Windows. Then Data &gt; Refresh All. See kit.</x:v>
      </x:c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</x:row>
    <x:row r="24" ht="44" customHeight="1">
      <x:c r="A24" s="2" t="str">
        <x:v>1420</x:v>
      </x:c>
      <x:c r="B24" s="2" t="str">
        <x:v>Martha Washington School</x:v>
      </x:c>
      <x:c r="C24" s="2" t="str">
        <x:v>District</x:v>
      </x:c>
      <x:c r="D24" s="2" t="str">
        <x:v>Yes</x:v>
      </x:c>
      <x:c r="E24" s="2" t="str">
        <x:v>Elementary-Middle</x:v>
      </x:c>
      <x:c r="F24" s="2" t="str">
        <x:v>766 N 44TH ST</x:v>
      </x:c>
      <x:c r="G24" s="2" t="str">
        <x:v>PHILADELPHIA</x:v>
      </x:c>
      <x:c r="H24" s="2" t="str">
        <x:v>19104</x:v>
      </x:c>
      <x:c r="I24" s="2" t="n">
        <x:v>39.966206</x:v>
      </x:c>
      <x:c r="J24" s="2" t="n">
        <x:v>-75.211179</x:v>
      </x:c>
      <x:c r="K24" s="2" t="n">
        <x:v>213</x:v>
      </x:c>
      <x:c r="L24" s="15" t="n">
        <x:v>0.9245</x:v>
      </x:c>
      <x:c r="M24" s="1" t="n">
        <x:v>14</x:v>
      </x:c>
      <x:c r="N24" s="1" t="str">
        <x:v>2025-2026</x:v>
      </x:c>
      <x:c r="O24" s="1" t="str">
        <x:v>2026-10-09</x:v>
      </x:c>
      <x:c r="P24" s="1" t="str">
        <x:v>Live</x:v>
      </x:c>
      <x:c r="Q24" s="1" t="str">
        <x:v>3615</x:v>
      </x:c>
      <x:c r="R24" s="1" t="str">
        <x:v>126515001</x:v>
      </x:c>
      <x:c r="S24" s="1"/>
      <x:c r="T24" s="1" t="str">
        <x:v>Source check</x:v>
      </x:c>
      <x:c r="U24" s="14" t="str">
        <x:v>Government source files retrieved 2026-10-09. This is a retrieval date, not their reporting period.</x:v>
      </x:c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</x:row>
    <x:row r="25" ht="44" customHeight="1">
      <x:c r="A25" s="2" t="str">
        <x:v>1440</x:v>
      </x:c>
      <x:c r="B25" s="2" t="str">
        <x:v>Penrose School</x:v>
      </x:c>
      <x:c r="C25" s="2" t="str">
        <x:v>District</x:v>
      </x:c>
      <x:c r="D25" s="2" t="str">
        <x:v>Yes</x:v>
      </x:c>
      <x:c r="E25" s="2" t="str">
        <x:v>Elementary-Middle</x:v>
      </x:c>
      <x:c r="F25" s="2" t="str">
        <x:v>2515 S 78TH ST</x:v>
      </x:c>
      <x:c r="G25" s="2" t="str">
        <x:v>PHILADELPHIA</x:v>
      </x:c>
      <x:c r="H25" s="2" t="str">
        <x:v>19153</x:v>
      </x:c>
      <x:c r="I25" s="2" t="n">
        <x:v>39.90692358</x:v>
      </x:c>
      <x:c r="J25" s="2" t="n">
        <x:v>-75.24865833</x:v>
      </x:c>
      <x:c r="K25" s="2" t="n">
        <x:v>429</x:v>
      </x:c>
      <x:c r="L25" s="15" t="n">
        <x:v>0.8372</x:v>
      </x:c>
      <x:c r="M25" s="1" t="n">
        <x:v>1</x:v>
      </x:c>
      <x:c r="N25" s="1" t="str">
        <x:v>2025-2026</x:v>
      </x:c>
      <x:c r="O25" s="1" t="str">
        <x:v>2026-10-09</x:v>
      </x:c>
      <x:c r="P25" s="1" t="str">
        <x:v>Live</x:v>
      </x:c>
      <x:c r="Q25" s="1" t="str">
        <x:v>3616</x:v>
      </x:c>
      <x:c r="R25" s="1" t="str">
        <x:v>126515001</x:v>
      </x:c>
      <x:c r="S25" s="1"/>
      <x:c r="T25" s="1" t="str">
        <x:v>Annual update</x:v>
      </x:c>
      <x:c r="U25" s="14" t="str">
        <x:v>Review current district and PDE downloads. Update SourceSettings and validate keys, definitions and reporting periods.</x:v>
      </x:c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</x:row>
    <x:row r="26" ht="44" customHeight="1">
      <x:c r="A26" s="2" t="str">
        <x:v>1460</x:v>
      </x:c>
      <x:c r="B26" s="2" t="str">
        <x:v>Add B. Anderson School</x:v>
      </x:c>
      <x:c r="C26" s="2" t="str">
        <x:v>District</x:v>
      </x:c>
      <x:c r="D26" s="2" t="str">
        <x:v>Yes</x:v>
      </x:c>
      <x:c r="E26" s="2" t="str">
        <x:v>Elementary-Middle</x:v>
      </x:c>
      <x:c r="F26" s="2" t="str">
        <x:v>1034 S 60TH ST</x:v>
      </x:c>
      <x:c r="G26" s="2" t="str">
        <x:v>PHILADELPHIA</x:v>
      </x:c>
      <x:c r="H26" s="2" t="str">
        <x:v>19143</x:v>
      </x:c>
      <x:c r="I26" s="2" t="n">
        <x:v>39.946726</x:v>
      </x:c>
      <x:c r="J26" s="2" t="n">
        <x:v>-75.245717</x:v>
      </x:c>
      <x:c r="K26" s="2" t="n">
        <x:v>318</x:v>
      </x:c>
      <x:c r="L26" s="15" t="n">
        <x:v>0.8646</x:v>
      </x:c>
      <x:c r="M26" s="1" t="n">
        <x:v>6</x:v>
      </x:c>
      <x:c r="N26" s="1" t="str">
        <x:v>2025-2026</x:v>
      </x:c>
      <x:c r="O26" s="1" t="str">
        <x:v>2026-10-09</x:v>
      </x:c>
      <x:c r="P26" s="1" t="str">
        <x:v>Live</x:v>
      </x:c>
      <x:c r="Q26" s="1" t="str">
        <x:v>3804</x:v>
      </x:c>
      <x:c r="R26" s="1" t="str">
        <x:v>126515001</x:v>
      </x:c>
      <x:c r="S26" s="1"/>
      <x:c r="T26" s="1" t="str">
        <x:v>Retail feed</x:v>
      </x:c>
      <x:c r="U26" s="14" t="str">
        <x:v>https://services1.arcgis.com/RLQu0rK7h4kbsBq5/arcgis/rest/services/snap_retailer_location_data/FeatureServer/0/query?where=Latitude%3E%3D39.8%20AND%20Latitude%3C%3D40.2%20AND%20Longitude%3E%3D-75.4%20AND%20Longitude%3C%3D-74.9%20AND%20Store_Type%20IN%20(%27Supermarket%27,%27Super%20Store%27)&amp;outFields=*&amp;returnGeometry=false&amp;f=json&amp;resultRecordCount=1000&amp;orderByFields=ObjectId</x:v>
      </x:c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</x:row>
    <x:row r="27" ht="44" customHeight="1">
      <x:c r="A27" s="2" t="str">
        <x:v>1470</x:v>
      </x:c>
      <x:c r="B27" s="2" t="str">
        <x:v>Alain Locke School</x:v>
      </x:c>
      <x:c r="C27" s="2" t="str">
        <x:v>District</x:v>
      </x:c>
      <x:c r="D27" s="2" t="str">
        <x:v>Yes</x:v>
      </x:c>
      <x:c r="E27" s="2" t="str">
        <x:v>Elementary-Middle</x:v>
      </x:c>
      <x:c r="F27" s="2" t="str">
        <x:v>4550 HAVERFORD AVE</x:v>
      </x:c>
      <x:c r="G27" s="2" t="str">
        <x:v>PHILADELPHIA</x:v>
      </x:c>
      <x:c r="H27" s="2" t="str">
        <x:v>19139</x:v>
      </x:c>
      <x:c r="I27" s="2" t="n">
        <x:v>39.96262376</x:v>
      </x:c>
      <x:c r="J27" s="2" t="n">
        <x:v>-75.21245097</x:v>
      </x:c>
      <x:c r="K27" s="2" t="n">
        <x:v>276</x:v>
      </x:c>
      <x:c r="L27" s="15" t="n">
        <x:v>0.829</x:v>
      </x:c>
      <x:c r="M27" s="1" t="n">
        <x:v>15</x:v>
      </x:c>
      <x:c r="N27" s="1" t="str">
        <x:v>2025-2026</x:v>
      </x:c>
      <x:c r="O27" s="1" t="str">
        <x:v>2026-10-09</x:v>
      </x:c>
      <x:c r="P27" s="1" t="str">
        <x:v>Live</x:v>
      </x:c>
      <x:c r="Q27" s="1" t="str">
        <x:v>4732</x:v>
      </x:c>
      <x:c r="R27" s="1" t="str">
        <x:v>126515001</x:v>
      </x:c>
      <x:c r="S27" s="1"/>
      <x:c r="T27" s="1" t="str">
        <x:v>Notes</x:v>
      </x:c>
      <x:c r="U27" s="14" t="str">
        <x:v>Straight-line Haversine miles (earth radius 3958.7613). Estimates guide outreach; listed access is not verified availability.</x:v>
      </x:c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</x:row>
    <x:row r="28" ht="22" customHeight="1">
      <x:c r="A28" s="2" t="str">
        <x:v>1490</x:v>
      </x:c>
      <x:c r="B28" s="2" t="str">
        <x:v>Rudolph Blankenburg School</x:v>
      </x:c>
      <x:c r="C28" s="2" t="str">
        <x:v>District</x:v>
      </x:c>
      <x:c r="D28" s="2" t="str">
        <x:v>Yes</x:v>
      </x:c>
      <x:c r="E28" s="2" t="str">
        <x:v>Elementary-Middle</x:v>
      </x:c>
      <x:c r="F28" s="2" t="str">
        <x:v>4600 W GIRARD AVE</x:v>
      </x:c>
      <x:c r="G28" s="2" t="str">
        <x:v>PHILADELPHIA</x:v>
      </x:c>
      <x:c r="H28" s="2" t="str">
        <x:v>19131</x:v>
      </x:c>
      <x:c r="I28" s="2" t="n">
        <x:v>39.97296312</x:v>
      </x:c>
      <x:c r="J28" s="2" t="n">
        <x:v>-75.21388868</x:v>
      </x:c>
      <x:c r="K28" s="2" t="n">
        <x:v>228</x:v>
      </x:c>
      <x:c r="L28" s="15" t="n">
        <x:v>0.8979</x:v>
      </x:c>
      <x:c r="M28" s="1" t="n">
        <x:v>9</x:v>
      </x:c>
      <x:c r="N28" s="1" t="str">
        <x:v>2025-2026</x:v>
      </x:c>
      <x:c r="O28" s="1" t="str">
        <x:v>2026-10-09</x:v>
      </x:c>
      <x:c r="P28" s="1" t="str">
        <x:v>Live</x:v>
      </x:c>
      <x:c r="Q28" s="1" t="str">
        <x:v>3663</x:v>
      </x:c>
      <x:c r="R28" s="1" t="str">
        <x:v>126515001</x:v>
      </x:c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</x:row>
    <x:row r="29" ht="22" customHeight="1">
      <x:c r="A29" s="2" t="str">
        <x:v>1580</x:v>
      </x:c>
      <x:c r="B29" s="2" t="str">
        <x:v>Middle Years Alternative School</x:v>
      </x:c>
      <x:c r="C29" s="2" t="str">
        <x:v>District</x:v>
      </x:c>
      <x:c r="D29" s="2" t="str">
        <x:v>Yes</x:v>
      </x:c>
      <x:c r="E29" s="2" t="str">
        <x:v>Middle</x:v>
      </x:c>
      <x:c r="F29" s="2" t="str">
        <x:v>4725 FAIRMOUNT AVE</x:v>
      </x:c>
      <x:c r="G29" s="2" t="str">
        <x:v>PHILADELPHIA</x:v>
      </x:c>
      <x:c r="H29" s="2" t="str">
        <x:v>19139</x:v>
      </x:c>
      <x:c r="I29" s="2" t="n">
        <x:v>39.96425379</x:v>
      </x:c>
      <x:c r="J29" s="2" t="n">
        <x:v>-75.21546704</x:v>
      </x:c>
      <x:c r="K29" s="2" t="n">
        <x:v>122</x:v>
      </x:c>
      <x:c r="L29" s="15" t="n">
        <x:v>0.8</x:v>
      </x:c>
      <x:c r="M29" s="1" t="n">
        <x:v>14</x:v>
      </x:c>
      <x:c r="N29" s="1" t="str">
        <x:v>2025-2026</x:v>
      </x:c>
      <x:c r="O29" s="1" t="str">
        <x:v>2026-10-09</x:v>
      </x:c>
      <x:c r="P29" s="1" t="str">
        <x:v>Live</x:v>
      </x:c>
      <x:c r="Q29" s="1" t="str">
        <x:v>7022</x:v>
      </x:c>
      <x:c r="R29" s="1" t="str">
        <x:v>126515001</x:v>
      </x:c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</x:row>
    <x:row r="30" ht="22" customHeight="1">
      <x:c r="A30" s="2" t="str">
        <x:v>2000</x:v>
      </x:c>
      <x:c r="B30" s="2" t="str">
        <x:v>South Philadelphia High School</x:v>
      </x:c>
      <x:c r="C30" s="2" t="str">
        <x:v>District</x:v>
      </x:c>
      <x:c r="D30" s="2" t="str">
        <x:v>Yes</x:v>
      </x:c>
      <x:c r="E30" s="2" t="str">
        <x:v>High</x:v>
      </x:c>
      <x:c r="F30" s="2" t="str">
        <x:v>2101 S BROAD ST</x:v>
      </x:c>
      <x:c r="G30" s="2" t="str">
        <x:v>PHILADELPHIA</x:v>
      </x:c>
      <x:c r="H30" s="2" t="str">
        <x:v>19148</x:v>
      </x:c>
      <x:c r="I30" s="2" t="n">
        <x:v>39.9238987</x:v>
      </x:c>
      <x:c r="J30" s="2" t="n">
        <x:v>-75.1691065</x:v>
      </x:c>
      <x:c r="K30" s="2" t="n">
        <x:v>647</x:v>
      </x:c>
      <x:c r="L30" s="15" t="n">
        <x:v>0.7803</x:v>
      </x:c>
      <x:c r="M30" s="1" t="n">
        <x:v>10</x:v>
      </x:c>
      <x:c r="N30" s="1" t="str">
        <x:v>2025-2026</x:v>
      </x:c>
      <x:c r="O30" s="1" t="str">
        <x:v>2026-10-09</x:v>
      </x:c>
      <x:c r="P30" s="1" t="str">
        <x:v>Live</x:v>
      </x:c>
      <x:c r="Q30" s="1" t="str">
        <x:v>3859</x:v>
      </x:c>
      <x:c r="R30" s="1" t="str">
        <x:v>126515001</x:v>
      </x:c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</x:row>
    <x:row r="31" ht="22" customHeight="1">
      <x:c r="A31" s="2" t="str">
        <x:v>2010</x:v>
      </x:c>
      <x:c r="B31" s="2" t="str">
        <x:v>Benjamin Franklin High School</x:v>
      </x:c>
      <x:c r="C31" s="2" t="str">
        <x:v>District</x:v>
      </x:c>
      <x:c r="D31" s="2" t="str">
        <x:v>Yes</x:v>
      </x:c>
      <x:c r="E31" s="2" t="str">
        <x:v>High</x:v>
      </x:c>
      <x:c r="F31" s="2" t="str">
        <x:v>550 N BROAD ST</x:v>
      </x:c>
      <x:c r="G31" s="2" t="str">
        <x:v>PHILADELPHIA</x:v>
      </x:c>
      <x:c r="H31" s="2" t="str">
        <x:v>19130</x:v>
      </x:c>
      <x:c r="I31" s="2" t="n">
        <x:v>39.96353</x:v>
      </x:c>
      <x:c r="J31" s="2" t="n">
        <x:v>-75.16164</x:v>
      </x:c>
      <x:c r="K31" s="2" t="n">
        <x:v>530</x:v>
      </x:c>
      <x:c r="L31" s="15" t="n">
        <x:v>0.831</x:v>
      </x:c>
      <x:c r="M31" s="1" t="n">
        <x:v>10</x:v>
      </x:c>
      <x:c r="N31" s="1" t="str">
        <x:v>2025-2026</x:v>
      </x:c>
      <x:c r="O31" s="1" t="str">
        <x:v>2026-10-09</x:v>
      </x:c>
      <x:c r="P31" s="1" t="str">
        <x:v>Live</x:v>
      </x:c>
      <x:c r="Q31" s="1" t="str">
        <x:v>3851</x:v>
      </x:c>
      <x:c r="R31" s="1" t="str">
        <x:v>126515001</x:v>
      </x:c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</x:row>
    <x:row r="32" ht="22" customHeight="1">
      <x:c r="A32" s="2" t="str">
        <x:v>2020</x:v>
      </x:c>
      <x:c r="B32" s="2" t="str">
        <x:v>High School for Creative and Performing Arts</x:v>
      </x:c>
      <x:c r="C32" s="2" t="str">
        <x:v>District</x:v>
      </x:c>
      <x:c r="D32" s="2" t="str">
        <x:v>Yes</x:v>
      </x:c>
      <x:c r="E32" s="2" t="str">
        <x:v>High</x:v>
      </x:c>
      <x:c r="F32" s="2" t="str">
        <x:v>901 S BROAD ST</x:v>
      </x:c>
      <x:c r="G32" s="2" t="str">
        <x:v>PHILADELPHIA</x:v>
      </x:c>
      <x:c r="H32" s="2" t="str">
        <x:v>19147</x:v>
      </x:c>
      <x:c r="I32" s="2" t="n">
        <x:v>39.93941992</x:v>
      </x:c>
      <x:c r="J32" s="2" t="n">
        <x:v>-75.16548375</x:v>
      </x:c>
      <x:c r="K32" s="2" t="n">
        <x:v>597</x:v>
      </x:c>
      <x:c r="L32" s="15" t="n">
        <x:v>0.4815</x:v>
      </x:c>
      <x:c r="M32" s="1" t="n">
        <x:v>13</x:v>
      </x:c>
      <x:c r="N32" s="1" t="str">
        <x:v>2025-2026</x:v>
      </x:c>
      <x:c r="O32" s="1" t="str">
        <x:v>2026-10-09</x:v>
      </x:c>
      <x:c r="P32" s="1" t="str">
        <x:v>Live</x:v>
      </x:c>
      <x:c r="Q32" s="1" t="str">
        <x:v>6996</x:v>
      </x:c>
      <x:c r="R32" s="1" t="str">
        <x:v>126515001</x:v>
      </x:c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</x:row>
    <x:row r="33" ht="22" customHeight="1">
      <x:c r="A33" s="2" t="str">
        <x:v>2050</x:v>
      </x:c>
      <x:c r="B33" s="2" t="str">
        <x:v>Science Leadership Academy Middle School</x:v>
      </x:c>
      <x:c r="C33" s="2" t="str">
        <x:v>District</x:v>
      </x:c>
      <x:c r="D33" s="2" t="str">
        <x:v>Yes</x:v>
      </x:c>
      <x:c r="E33" s="2" t="str">
        <x:v>Middle</x:v>
      </x:c>
      <x:c r="F33" s="2" t="str">
        <x:v>3610 WARREN ST</x:v>
      </x:c>
      <x:c r="G33" s="2" t="str">
        <x:v>PHILADELPHIA</x:v>
      </x:c>
      <x:c r="H33" s="2" t="str">
        <x:v>19104</x:v>
      </x:c>
      <x:c r="I33" s="2" t="n">
        <x:v>39.9579628</x:v>
      </x:c>
      <x:c r="J33" s="2" t="n">
        <x:v>-75.1939177</x:v>
      </x:c>
      <x:c r="K33" s="2" t="n">
        <x:v>351</x:v>
      </x:c>
      <x:c r="L33" s="15" t="n">
        <x:v>0.51</x:v>
      </x:c>
      <x:c r="M33" s="1" t="n">
        <x:v>10</x:v>
      </x:c>
      <x:c r="N33" s="1" t="str">
        <x:v>2025-2026</x:v>
      </x:c>
      <x:c r="O33" s="1" t="str">
        <x:v>2026-10-09</x:v>
      </x:c>
      <x:c r="P33" s="1" t="str">
        <x:v>Live</x:v>
      </x:c>
      <x:c r="Q33" s="1" t="str">
        <x:v>8387</x:v>
      </x:c>
      <x:c r="R33" s="1" t="str">
        <x:v>126515001</x:v>
      </x:c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</x:row>
    <x:row r="34" ht="22" customHeight="1">
      <x:c r="A34" s="2" t="str">
        <x:v>2140</x:v>
      </x:c>
      <x:c r="B34" s="2" t="str">
        <x:v>Julia R. Masterman High School</x:v>
      </x:c>
      <x:c r="C34" s="2" t="str">
        <x:v>District</x:v>
      </x:c>
      <x:c r="D34" s="2" t="str">
        <x:v>Yes</x:v>
      </x:c>
      <x:c r="E34" s="2" t="str">
        <x:v>Middle-High</x:v>
      </x:c>
      <x:c r="F34" s="2" t="str">
        <x:v>1699 SPRING GARDEN ST</x:v>
      </x:c>
      <x:c r="G34" s="2" t="str">
        <x:v>PHILADELPHIA</x:v>
      </x:c>
      <x:c r="H34" s="2" t="str">
        <x:v>19130</x:v>
      </x:c>
      <x:c r="I34" s="2" t="n">
        <x:v>39.96320031</x:v>
      </x:c>
      <x:c r="J34" s="2" t="n">
        <x:v>-75.16620758</x:v>
      </x:c>
      <x:c r="K34" s="2" t="n">
        <x:v>1221</x:v>
      </x:c>
      <x:c r="L34" s="15" t="n">
        <x:v>0.3778</x:v>
      </x:c>
      <x:c r="M34" s="1" t="n">
        <x:v>8</x:v>
      </x:c>
      <x:c r="N34" s="1" t="str">
        <x:v>2025-2026</x:v>
      </x:c>
      <x:c r="O34" s="1" t="str">
        <x:v>2026-10-09</x:v>
      </x:c>
      <x:c r="P34" s="1" t="str">
        <x:v>Live</x:v>
      </x:c>
      <x:c r="Q34" s="1" t="str">
        <x:v>3808</x:v>
      </x:c>
      <x:c r="R34" s="1" t="str">
        <x:v>126515001</x:v>
      </x:c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</x:row>
    <x:row r="35" ht="22" customHeight="1">
      <x:c r="A35" s="2" t="str">
        <x:v>2160</x:v>
      </x:c>
      <x:c r="B35" s="2" t="str">
        <x:v>Horace Furness High School</x:v>
      </x:c>
      <x:c r="C35" s="2" t="str">
        <x:v>District</x:v>
      </x:c>
      <x:c r="D35" s="2" t="str">
        <x:v>Yes</x:v>
      </x:c>
      <x:c r="E35" s="2" t="str">
        <x:v>High</x:v>
      </x:c>
      <x:c r="F35" s="2" t="str">
        <x:v>1900 S 3RD ST</x:v>
      </x:c>
      <x:c r="G35" s="2" t="str">
        <x:v>PHILADELPHIA</x:v>
      </x:c>
      <x:c r="H35" s="2" t="str">
        <x:v>19148</x:v>
      </x:c>
      <x:c r="I35" s="2" t="n">
        <x:v>39.923762</x:v>
      </x:c>
      <x:c r="J35" s="2" t="n">
        <x:v>-75.150585</x:v>
      </x:c>
      <x:c r="K35" s="2" t="n">
        <x:v>836</x:v>
      </x:c>
      <x:c r="L35" s="15" t="n">
        <x:v>0.6889</x:v>
      </x:c>
      <x:c r="M35" s="1" t="n">
        <x:v>6</x:v>
      </x:c>
      <x:c r="N35" s="1" t="str">
        <x:v>2025-2026</x:v>
      </x:c>
      <x:c r="O35" s="1" t="str">
        <x:v>2026-10-09</x:v>
      </x:c>
      <x:c r="P35" s="1" t="str">
        <x:v>Live</x:v>
      </x:c>
      <x:c r="Q35" s="1" t="str">
        <x:v>3818</x:v>
      </x:c>
      <x:c r="R35" s="1" t="str">
        <x:v>126515001</x:v>
      </x:c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</x:row>
    <x:row r="36" ht="22" customHeight="1">
      <x:c r="A36" s="2" t="str">
        <x:v>2190</x:v>
      </x:c>
      <x:c r="B36" s="2" t="str">
        <x:v>D. Newlin Fell School</x:v>
      </x:c>
      <x:c r="C36" s="2" t="str">
        <x:v>District</x:v>
      </x:c>
      <x:c r="D36" s="2" t="str">
        <x:v>Yes</x:v>
      </x:c>
      <x:c r="E36" s="2" t="str">
        <x:v>Elementary-Middle</x:v>
      </x:c>
      <x:c r="F36" s="2" t="str">
        <x:v>900 W OREGON AVE</x:v>
      </x:c>
      <x:c r="G36" s="2" t="str">
        <x:v>PHILADELPHIA</x:v>
      </x:c>
      <x:c r="H36" s="2" t="str">
        <x:v>19148</x:v>
      </x:c>
      <x:c r="I36" s="2" t="n">
        <x:v>39.91558638</x:v>
      </x:c>
      <x:c r="J36" s="2" t="n">
        <x:v>-75.16300858</x:v>
      </x:c>
      <x:c r="K36" s="2" t="n">
        <x:v>519</x:v>
      </x:c>
      <x:c r="L36" s="15" t="n">
        <x:v>0.7552</x:v>
      </x:c>
      <x:c r="M36" s="1" t="n">
        <x:v>5</x:v>
      </x:c>
      <x:c r="N36" s="1" t="str">
        <x:v>2025-2026</x:v>
      </x:c>
      <x:c r="O36" s="1" t="str">
        <x:v>2026-10-09</x:v>
      </x:c>
      <x:c r="P36" s="1" t="str">
        <x:v>Live</x:v>
      </x:c>
      <x:c r="Q36" s="1" t="str">
        <x:v>7226</x:v>
      </x:c>
      <x:c r="R36" s="1" t="str">
        <x:v>126515001</x:v>
      </x:c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</x:row>
    <x:row r="37" ht="22" customHeight="1">
      <x:c r="A37" s="2" t="str">
        <x:v>2210</x:v>
      </x:c>
      <x:c r="B37" s="2" t="str">
        <x:v>Bache-Martin School</x:v>
      </x:c>
      <x:c r="C37" s="2" t="str">
        <x:v>District</x:v>
      </x:c>
      <x:c r="D37" s="2" t="str">
        <x:v>Yes</x:v>
      </x:c>
      <x:c r="E37" s="2" t="str">
        <x:v>Elementary-Middle</x:v>
      </x:c>
      <x:c r="F37" s="2" t="str">
        <x:v>2201 BROWN ST</x:v>
      </x:c>
      <x:c r="G37" s="2" t="str">
        <x:v>PHILADELPHIA</x:v>
      </x:c>
      <x:c r="H37" s="2" t="str">
        <x:v>19130</x:v>
      </x:c>
      <x:c r="I37" s="2" t="n">
        <x:v>39.96967782</x:v>
      </x:c>
      <x:c r="J37" s="2" t="n">
        <x:v>-75.17384692</x:v>
      </x:c>
      <x:c r="K37" s="2" t="n">
        <x:v>622</x:v>
      </x:c>
      <x:c r="L37" s="15" t="n">
        <x:v>0.5334</x:v>
      </x:c>
      <x:c r="M37" s="1" t="n">
        <x:v>7</x:v>
      </x:c>
      <x:c r="N37" s="1" t="str">
        <x:v>2025-2026</x:v>
      </x:c>
      <x:c r="O37" s="1" t="str">
        <x:v>2026-10-09</x:v>
      </x:c>
      <x:c r="P37" s="1" t="str">
        <x:v>Live</x:v>
      </x:c>
      <x:c r="Q37" s="1" t="str">
        <x:v>3618</x:v>
      </x:c>
      <x:c r="R37" s="1" t="str">
        <x:v>126515001</x:v>
      </x:c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</x:row>
    <x:row r="38" ht="22" customHeight="1">
      <x:c r="A38" s="2" t="str">
        <x:v>2240</x:v>
      </x:c>
      <x:c r="B38" s="2" t="str">
        <x:v>F. Amedee Bregy School</x:v>
      </x:c>
      <x:c r="C38" s="2" t="str">
        <x:v>District</x:v>
      </x:c>
      <x:c r="D38" s="2" t="str">
        <x:v>Yes</x:v>
      </x:c>
      <x:c r="E38" s="2" t="str">
        <x:v>Elementary-Middle</x:v>
      </x:c>
      <x:c r="F38" s="2" t="str">
        <x:v>1700 BIGLER ST</x:v>
      </x:c>
      <x:c r="G38" s="2" t="str">
        <x:v>PHILADELPHIA</x:v>
      </x:c>
      <x:c r="H38" s="2" t="str">
        <x:v>19145</x:v>
      </x:c>
      <x:c r="I38" s="2" t="n">
        <x:v>39.914699</x:v>
      </x:c>
      <x:c r="J38" s="2" t="n">
        <x:v>-75.176674</x:v>
      </x:c>
      <x:c r="K38" s="2" t="n">
        <x:v>244</x:v>
      </x:c>
      <x:c r="L38" s="15" t="n">
        <x:v>0.8191</x:v>
      </x:c>
      <x:c r="M38" s="1" t="n">
        <x:v>1</x:v>
      </x:c>
      <x:c r="N38" s="1" t="str">
        <x:v>2025-2026</x:v>
      </x:c>
      <x:c r="O38" s="1" t="str">
        <x:v>2026-10-09</x:v>
      </x:c>
      <x:c r="P38" s="1" t="str">
        <x:v>Live</x:v>
      </x:c>
      <x:c r="Q38" s="1" t="str">
        <x:v>3620</x:v>
      </x:c>
      <x:c r="R38" s="1" t="str">
        <x:v>126515001</x:v>
      </x:c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</x:row>
    <x:row r="39" ht="22" customHeight="1">
      <x:c r="A39" s="2" t="str">
        <x:v>2260</x:v>
      </x:c>
      <x:c r="B39" s="2" t="str">
        <x:v>George W. Childs School</x:v>
      </x:c>
      <x:c r="C39" s="2" t="str">
        <x:v>District</x:v>
      </x:c>
      <x:c r="D39" s="2" t="str">
        <x:v>Yes</x:v>
      </x:c>
      <x:c r="E39" s="2" t="str">
        <x:v>Elementary-Middle</x:v>
      </x:c>
      <x:c r="F39" s="2" t="str">
        <x:v>1599 WHARTON ST</x:v>
      </x:c>
      <x:c r="G39" s="2" t="str">
        <x:v>PHILADELPHIA</x:v>
      </x:c>
      <x:c r="H39" s="2" t="str">
        <x:v>19146</x:v>
      </x:c>
      <x:c r="I39" s="2" t="n">
        <x:v>39.934637</x:v>
      </x:c>
      <x:c r="J39" s="2" t="n">
        <x:v>-75.170493</x:v>
      </x:c>
      <x:c r="K39" s="2" t="n">
        <x:v>443</x:v>
      </x:c>
      <x:c r="L39" s="15" t="n">
        <x:v>0.7626</x:v>
      </x:c>
      <x:c r="M39" s="1" t="n">
        <x:v>16</x:v>
      </x:c>
      <x:c r="N39" s="1" t="str">
        <x:v>2025-2026</x:v>
      </x:c>
      <x:c r="O39" s="1" t="str">
        <x:v>2026-10-09</x:v>
      </x:c>
      <x:c r="P39" s="1" t="str">
        <x:v>Live</x:v>
      </x:c>
      <x:c r="Q39" s="1" t="str">
        <x:v>3622</x:v>
      </x:c>
      <x:c r="R39" s="1" t="str">
        <x:v>126515001</x:v>
      </x:c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</x:row>
    <x:row r="40" ht="22" customHeight="1">
      <x:c r="A40" s="2" t="str">
        <x:v>2290</x:v>
      </x:c>
      <x:c r="B40" s="2" t="str">
        <x:v>Franklin Learning Center</x:v>
      </x:c>
      <x:c r="C40" s="2" t="str">
        <x:v>District</x:v>
      </x:c>
      <x:c r="D40" s="2" t="str">
        <x:v>Yes</x:v>
      </x:c>
      <x:c r="E40" s="2" t="str">
        <x:v>High</x:v>
      </x:c>
      <x:c r="F40" s="2" t="str">
        <x:v>616 N 15TH ST</x:v>
      </x:c>
      <x:c r="G40" s="2" t="str">
        <x:v>PHILADELPHIA</x:v>
      </x:c>
      <x:c r="H40" s="2" t="str">
        <x:v>19130</x:v>
      </x:c>
      <x:c r="I40" s="2" t="n">
        <x:v>39.965049</x:v>
      </x:c>
      <x:c r="J40" s="2" t="n">
        <x:v>-75.162753</x:v>
      </x:c>
      <x:c r="K40" s="2" t="n">
        <x:v>975</x:v>
      </x:c>
      <x:c r="L40" s="15" t="n">
        <x:v>0.7603</x:v>
      </x:c>
      <x:c r="M40" s="1" t="n">
        <x:v>10</x:v>
      </x:c>
      <x:c r="N40" s="1" t="str">
        <x:v>2025-2026</x:v>
      </x:c>
      <x:c r="O40" s="1" t="str">
        <x:v>2026-10-09</x:v>
      </x:c>
      <x:c r="P40" s="1" t="str">
        <x:v>Live</x:v>
      </x:c>
      <x:c r="Q40" s="1" t="str">
        <x:v>6822</x:v>
      </x:c>
      <x:c r="R40" s="1" t="str">
        <x:v>126515001</x:v>
      </x:c>
      <x:c r="S40" s="1"/>
      <x:c r="T40" s="1" t="str">
        <x:v>School ID</x:v>
      </x:c>
      <x:c r="U40" s="1" t="str">
        <x:v>Phone</x:v>
      </x:c>
      <x:c r="V40" s="1" t="str">
        <x:v>Website</x:v>
      </x:c>
      <x:c r="W40" s="1" t="str">
        <x:v>Directory year</x:v>
      </x:c>
      <x:c r="X40" s="1" t="str">
        <x:v>Title I source year</x:v>
      </x:c>
      <x:c r="Y40" s="1" t="str">
        <x:v>Published Title I value used</x:v>
      </x:c>
      <x:c r="Z40" s="1" t="str">
        <x:v>Current directory Title I</x:v>
      </x:c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</x:row>
    <x:row r="41" ht="22" customHeight="1">
      <x:c r="A41" s="2" t="str">
        <x:v>2310</x:v>
      </x:c>
      <x:c r="B41" s="2" t="str">
        <x:v>Achieve Academy of Philadelphia</x:v>
      </x:c>
      <x:c r="C41" s="2" t="str">
        <x:v>Contracted</x:v>
      </x:c>
      <x:c r="D41" s="2" t="str">
        <x:v>No</x:v>
      </x:c>
      <x:c r="E41" s="2" t="str">
        <x:v>Transition/Overage School</x:v>
      </x:c>
      <x:c r="F41" s="2" t="str">
        <x:v>1435 N 26TH ST</x:v>
      </x:c>
      <x:c r="G41" s="2" t="str">
        <x:v>PHILADELPHIA</x:v>
      </x:c>
      <x:c r="H41" s="2" t="str">
        <x:v>19121</x:v>
      </x:c>
      <x:c r="I41" s="2" t="n">
        <x:v>39.978134</x:v>
      </x:c>
      <x:c r="J41" s="2" t="n">
        <x:v>-75.177658</x:v>
      </x:c>
      <x:c r="K41" s="2" t="n">
        <x:v>49</x:v>
      </x:c>
      <x:c r="L41" s="15"/>
      <x:c r="M41" s="1" t="n">
        <x:v>12</x:v>
      </x:c>
      <x:c r="N41" s="1" t="str">
        <x:v>2025-2026</x:v>
      </x:c>
      <x:c r="O41" s="1" t="str">
        <x:v>2026-10-09</x:v>
      </x:c>
      <x:c r="P41" s="1" t="str">
        <x:v>Live</x:v>
      </x:c>
      <x:c r="Q41" s="1" t="str">
        <x:v>9999</x:v>
      </x:c>
      <x:c r="R41" s="1" t="str">
        <x:v>126515001</x:v>
      </x:c>
      <x:c r="S41" s="1"/>
      <x:c r="T41" s="1" t="str">
        <x:v>1010</x:v>
      </x:c>
      <x:c r="U41" s="1" t="str">
        <x:v>215-400-8100</x:v>
      </x:c>
      <x:c r="V41" s="1" t="str">
        <x:v>https://bartram.philasd.org/</x:v>
      </x:c>
      <x:c r="W41" s="1" t="str">
        <x:v>2026-2027</x:v>
      </x:c>
      <x:c r="X41" s="1" t="str">
        <x:v>2026-2027</x:v>
      </x:c>
      <x:c r="Y41" s="1" t="str">
        <x:v>1</x:v>
      </x:c>
      <x:c r="Z41" s="1" t="str">
        <x:v>1</x:v>
      </x:c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</x:row>
    <x:row r="42" ht="22" customHeight="1">
      <x:c r="A42" s="2" t="str">
        <x:v>2320</x:v>
      </x:c>
      <x:c r="B42" s="2" t="str">
        <x:v>Stephen Girard School</x:v>
      </x:c>
      <x:c r="C42" s="2" t="str">
        <x:v>District</x:v>
      </x:c>
      <x:c r="D42" s="2" t="str">
        <x:v>Yes</x:v>
      </x:c>
      <x:c r="E42" s="2" t="str">
        <x:v>Elementary</x:v>
      </x:c>
      <x:c r="F42" s="2" t="str">
        <x:v>1800 SNYDER AVE</x:v>
      </x:c>
      <x:c r="G42" s="2" t="str">
        <x:v>PHILADELPHIA</x:v>
      </x:c>
      <x:c r="H42" s="2" t="str">
        <x:v>19145</x:v>
      </x:c>
      <x:c r="I42" s="2" t="n">
        <x:v>39.925059</x:v>
      </x:c>
      <x:c r="J42" s="2" t="n">
        <x:v>-75.176611</x:v>
      </x:c>
      <x:c r="K42" s="2" t="n">
        <x:v>304</x:v>
      </x:c>
      <x:c r="L42" s="15" t="n">
        <x:v>0.8411</x:v>
      </x:c>
      <x:c r="M42" s="1" t="n">
        <x:v>12</x:v>
      </x:c>
      <x:c r="N42" s="1" t="str">
        <x:v>2025-2026</x:v>
      </x:c>
      <x:c r="O42" s="1" t="str">
        <x:v>2026-10-09</x:v>
      </x:c>
      <x:c r="P42" s="1" t="str">
        <x:v>Live</x:v>
      </x:c>
      <x:c r="Q42" s="1" t="str">
        <x:v>3776</x:v>
      </x:c>
      <x:c r="R42" s="1" t="str">
        <x:v>126515001</x:v>
      </x:c>
      <x:c r="S42" s="1"/>
      <x:c r="T42" s="1" t="str">
        <x:v>1020</x:v>
      </x:c>
      <x:c r="U42" s="1" t="str">
        <x:v>215-400-7900</x:v>
      </x:c>
      <x:c r="V42" s="1" t="str">
        <x:v>https://wphs.philasd.org/</x:v>
      </x:c>
      <x:c r="W42" s="1" t="str">
        <x:v>2026-2027</x:v>
      </x:c>
      <x:c r="X42" s="1" t="str">
        <x:v>2026-2027</x:v>
      </x:c>
      <x:c r="Y42" s="1" t="str">
        <x:v>1</x:v>
      </x:c>
      <x:c r="Z42" s="1" t="str">
        <x:v>1</x:v>
      </x:c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</x:row>
    <x:row r="43" ht="22" customHeight="1">
      <x:c r="A43" s="2" t="str">
        <x:v>2340</x:v>
      </x:c>
      <x:c r="B43" s="2" t="str">
        <x:v>General George A. McCall School</x:v>
      </x:c>
      <x:c r="C43" s="2" t="str">
        <x:v>District</x:v>
      </x:c>
      <x:c r="D43" s="2" t="str">
        <x:v>Yes</x:v>
      </x:c>
      <x:c r="E43" s="2" t="str">
        <x:v>Elementary-Middle</x:v>
      </x:c>
      <x:c r="F43" s="2" t="str">
        <x:v>325 S 7TH ST</x:v>
      </x:c>
      <x:c r="G43" s="2" t="str">
        <x:v>PHILADELPHIA</x:v>
      </x:c>
      <x:c r="H43" s="2" t="str">
        <x:v>19106</x:v>
      </x:c>
      <x:c r="I43" s="2" t="n">
        <x:v>39.944635</x:v>
      </x:c>
      <x:c r="J43" s="2" t="n">
        <x:v>-75.15318</x:v>
      </x:c>
      <x:c r="K43" s="2" t="n">
        <x:v>667</x:v>
      </x:c>
      <x:c r="L43" s="15" t="n">
        <x:v>0.4009</x:v>
      </x:c>
      <x:c r="M43" s="1" t="n">
        <x:v>7</x:v>
      </x:c>
      <x:c r="N43" s="1" t="str">
        <x:v>2025-2026</x:v>
      </x:c>
      <x:c r="O43" s="1" t="str">
        <x:v>2026-10-09</x:v>
      </x:c>
      <x:c r="P43" s="1" t="str">
        <x:v>Live</x:v>
      </x:c>
      <x:c r="Q43" s="1" t="str">
        <x:v>3648</x:v>
      </x:c>
      <x:c r="R43" s="1" t="str">
        <x:v>126515001</x:v>
      </x:c>
      <x:c r="S43" s="1"/>
      <x:c r="T43" s="1" t="str">
        <x:v>1030</x:v>
      </x:c>
      <x:c r="U43" s="1" t="str">
        <x:v>215-400-7790</x:v>
      </x:c>
      <x:c r="V43" s="1" t="str">
        <x:v>https://sof.philasd.org/</x:v>
      </x:c>
      <x:c r="W43" s="1" t="str">
        <x:v>2026-2027</x:v>
      </x:c>
      <x:c r="X43" s="1" t="str">
        <x:v>2026-2027</x:v>
      </x:c>
      <x:c r="Y43" s="1" t="str">
        <x:v>1</x:v>
      </x:c>
      <x:c r="Z43" s="1" t="str">
        <x:v>1</x:v>
      </x:c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</x:row>
    <x:row r="44" ht="22" customHeight="1">
      <x:c r="A44" s="2" t="str">
        <x:v>2370</x:v>
      </x:c>
      <x:c r="B44" s="2" t="str">
        <x:v>Delaplaine McDaniel School</x:v>
      </x:c>
      <x:c r="C44" s="2" t="str">
        <x:v>District</x:v>
      </x:c>
      <x:c r="D44" s="2" t="str">
        <x:v>Yes</x:v>
      </x:c>
      <x:c r="E44" s="2" t="str">
        <x:v>Elementary-Middle</x:v>
      </x:c>
      <x:c r="F44" s="2" t="str">
        <x:v>1801 S 22ND ST</x:v>
      </x:c>
      <x:c r="G44" s="2" t="str">
        <x:v>PHILADELPHIA</x:v>
      </x:c>
      <x:c r="H44" s="2" t="str">
        <x:v>19145</x:v>
      </x:c>
      <x:c r="I44" s="2" t="n">
        <x:v>39.929592</x:v>
      </x:c>
      <x:c r="J44" s="2" t="n">
        <x:v>-75.181793</x:v>
      </x:c>
      <x:c r="K44" s="2" t="n">
        <x:v>240</x:v>
      </x:c>
      <x:c r="L44" s="15" t="n">
        <x:v>0.8547</x:v>
      </x:c>
      <x:c r="M44" s="1" t="n">
        <x:v>11</x:v>
      </x:c>
      <x:c r="N44" s="1" t="str">
        <x:v>2025-2026</x:v>
      </x:c>
      <x:c r="O44" s="1" t="str">
        <x:v>2026-10-09</x:v>
      </x:c>
      <x:c r="P44" s="1" t="str">
        <x:v>Live</x:v>
      </x:c>
      <x:c r="Q44" s="1" t="str">
        <x:v>3629</x:v>
      </x:c>
      <x:c r="R44" s="1" t="str">
        <x:v>126515001</x:v>
      </x:c>
      <x:c r="S44" s="1"/>
      <x:c r="T44" s="1" t="str">
        <x:v>1050</x:v>
      </x:c>
      <x:c r="U44" s="1" t="str">
        <x:v>215-400-7780</x:v>
      </x:c>
      <x:c r="V44" s="1" t="str">
        <x:v>https://robeson.philasd.org/</x:v>
      </x:c>
      <x:c r="W44" s="1" t="str">
        <x:v>2026-2027</x:v>
      </x:c>
      <x:c r="X44" s="1" t="str">
        <x:v>2026-2027</x:v>
      </x:c>
      <x:c r="Y44" s="1" t="str">
        <x:v>1</x:v>
      </x:c>
      <x:c r="Z44" s="1" t="str">
        <x:v>1</x:v>
      </x:c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</x:row>
    <x:row r="45" ht="22" customHeight="1">
      <x:c r="A45" s="2" t="str">
        <x:v>2380</x:v>
      </x:c>
      <x:c r="B45" s="2" t="str">
        <x:v>William M. Meredith School</x:v>
      </x:c>
      <x:c r="C45" s="2" t="str">
        <x:v>District</x:v>
      </x:c>
      <x:c r="D45" s="2" t="str">
        <x:v>No</x:v>
      </x:c>
      <x:c r="E45" s="2" t="str">
        <x:v>Elementary-Middle</x:v>
      </x:c>
      <x:c r="F45" s="2" t="str">
        <x:v>725 S 5TH ST</x:v>
      </x:c>
      <x:c r="G45" s="2" t="str">
        <x:v>PHILADELPHIA</x:v>
      </x:c>
      <x:c r="H45" s="2" t="str">
        <x:v>19147</x:v>
      </x:c>
      <x:c r="I45" s="2" t="n">
        <x:v>39.93974936</x:v>
      </x:c>
      <x:c r="J45" s="2" t="n">
        <x:v>-75.15113339</x:v>
      </x:c>
      <x:c r="K45" s="2" t="n">
        <x:v>579</x:v>
      </x:c>
      <x:c r="L45" s="15" t="n">
        <x:v>0.1539</x:v>
      </x:c>
      <x:c r="M45" s="1" t="n">
        <x:v>6</x:v>
      </x:c>
      <x:c r="N45" s="1" t="str">
        <x:v>2025-2026</x:v>
      </x:c>
      <x:c r="O45" s="1" t="str">
        <x:v>2026-10-09</x:v>
      </x:c>
      <x:c r="P45" s="1" t="str">
        <x:v>Live</x:v>
      </x:c>
      <x:c r="Q45" s="1" t="str">
        <x:v>3649</x:v>
      </x:c>
      <x:c r="R45" s="1" t="str">
        <x:v>126515001</x:v>
      </x:c>
      <x:c r="S45" s="1"/>
      <x:c r="T45" s="1" t="str">
        <x:v>1100</x:v>
      </x:c>
      <x:c r="U45" s="1" t="str">
        <x:v>215-400-7800</x:v>
      </x:c>
      <x:c r="V45" s="1" t="str">
        <x:v>https://sayre.philasd.org/</x:v>
      </x:c>
      <x:c r="W45" s="1" t="str">
        <x:v>2026-2027</x:v>
      </x:c>
      <x:c r="X45" s="1" t="str">
        <x:v>2026-2027</x:v>
      </x:c>
      <x:c r="Y45" s="1" t="str">
        <x:v>1</x:v>
      </x:c>
      <x:c r="Z45" s="1" t="str">
        <x:v>1</x:v>
      </x:c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</x:row>
    <x:row r="46" ht="22" customHeight="1">
      <x:c r="A46" s="2" t="str">
        <x:v>2390</x:v>
      </x:c>
      <x:c r="B46" s="2" t="str">
        <x:v>Robert Morris School</x:v>
      </x:c>
      <x:c r="C46" s="2" t="str">
        <x:v>District</x:v>
      </x:c>
      <x:c r="D46" s="2" t="str">
        <x:v>Yes</x:v>
      </x:c>
      <x:c r="E46" s="2" t="str">
        <x:v>Elementary-Middle</x:v>
      </x:c>
      <x:c r="F46" s="2" t="str">
        <x:v>2600 W THOMPSON ST</x:v>
      </x:c>
      <x:c r="G46" s="2" t="str">
        <x:v>PHILADELPHIA</x:v>
      </x:c>
      <x:c r="H46" s="2" t="str">
        <x:v>19121</x:v>
      </x:c>
      <x:c r="I46" s="2" t="n">
        <x:v>39.975439</x:v>
      </x:c>
      <x:c r="J46" s="2" t="n">
        <x:v>-75.17866</x:v>
      </x:c>
      <x:c r="K46" s="2" t="n">
        <x:v>216</x:v>
      </x:c>
      <x:c r="L46" s="15" t="n">
        <x:v>0.9023</x:v>
      </x:c>
      <x:c r="M46" s="1" t="n">
        <x:v>9</x:v>
      </x:c>
      <x:c r="N46" s="1" t="str">
        <x:v>2025-2026</x:v>
      </x:c>
      <x:c r="O46" s="1" t="str">
        <x:v>2026-10-09</x:v>
      </x:c>
      <x:c r="P46" s="1" t="str">
        <x:v>Live</x:v>
      </x:c>
      <x:c r="Q46" s="1" t="str">
        <x:v>4868</x:v>
      </x:c>
      <x:c r="R46" s="1" t="str">
        <x:v>126515001</x:v>
      </x:c>
      <x:c r="S46" s="1"/>
      <x:c r="T46" s="1" t="str">
        <x:v>1130</x:v>
      </x:c>
      <x:c r="U46" s="1" t="str">
        <x:v>215-400-8170</x:v>
      </x:c>
      <x:c r="V46" s="1" t="str">
        <x:v>https://tilden.philasd.org/</x:v>
      </x:c>
      <x:c r="W46" s="1" t="str">
        <x:v>2026-2027</x:v>
      </x:c>
      <x:c r="X46" s="1" t="str">
        <x:v>2026-2027</x:v>
      </x:c>
      <x:c r="Y46" s="1" t="str">
        <x:v>1</x:v>
      </x:c>
      <x:c r="Z46" s="1" t="str">
        <x:v>1</x:v>
      </x:c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</x:row>
    <x:row r="47" ht="22" customHeight="1">
      <x:c r="A47" s="2" t="str">
        <x:v>2410</x:v>
      </x:c>
      <x:c r="B47" s="2" t="str">
        <x:v>Girard Academic Music Program High School</x:v>
      </x:c>
      <x:c r="C47" s="2" t="str">
        <x:v>District</x:v>
      </x:c>
      <x:c r="D47" s="2" t="str">
        <x:v>Yes</x:v>
      </x:c>
      <x:c r="E47" s="2" t="str">
        <x:v>Middle-High</x:v>
      </x:c>
      <x:c r="F47" s="2" t="str">
        <x:v>2136 W RITNER ST, GAMP</x:v>
      </x:c>
      <x:c r="G47" s="2" t="str">
        <x:v>PHILADELPHIA</x:v>
      </x:c>
      <x:c r="H47" s="2" t="str">
        <x:v>19145</x:v>
      </x:c>
      <x:c r="I47" s="2" t="n">
        <x:v>39.92210463</x:v>
      </x:c>
      <x:c r="J47" s="2" t="n">
        <x:v>-75.18256439</x:v>
      </x:c>
      <x:c r="K47" s="2" t="n">
        <x:v>666</x:v>
      </x:c>
      <x:c r="L47" s="15"/>
      <x:c r="M47" s="1" t="n">
        <x:v>7</x:v>
      </x:c>
      <x:c r="N47" s="1" t="str">
        <x:v>2025-2026</x:v>
      </x:c>
      <x:c r="O47" s="1" t="str">
        <x:v>2026-10-09</x:v>
      </x:c>
      <x:c r="P47" s="1" t="str">
        <x:v>Live</x:v>
      </x:c>
      <x:c r="Q47" s="1" t="str">
        <x:v>007664</x:v>
      </x:c>
      <x:c r="R47" s="1" t="str">
        <x:v>126515001</x:v>
      </x:c>
      <x:c r="S47" s="1"/>
      <x:c r="T47" s="1" t="str">
        <x:v>1190</x:v>
      </x:c>
      <x:c r="U47" s="1" t="str">
        <x:v>215-400-7930</x:v>
      </x:c>
      <x:c r="V47" s="1" t="str">
        <x:v>https://motivationhs.philasd.org/</x:v>
      </x:c>
      <x:c r="W47" s="1" t="str">
        <x:v>2026-2027</x:v>
      </x:c>
      <x:c r="X47" s="1" t="str">
        <x:v>2026-2027</x:v>
      </x:c>
      <x:c r="Y47" s="1" t="str">
        <x:v>1</x:v>
      </x:c>
      <x:c r="Z47" s="1" t="str">
        <x:v>1</x:v>
      </x:c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</x:row>
    <x:row r="48" ht="22" customHeight="1">
      <x:c r="A48" s="2" t="str">
        <x:v>2450</x:v>
      </x:c>
      <x:c r="B48" s="2" t="str">
        <x:v>Edwin M. Stanton School</x:v>
      </x:c>
      <x:c r="C48" s="2" t="str">
        <x:v>District</x:v>
      </x:c>
      <x:c r="D48" s="2" t="str">
        <x:v>Yes</x:v>
      </x:c>
      <x:c r="E48" s="2" t="str">
        <x:v>Elementary-Middle</x:v>
      </x:c>
      <x:c r="F48" s="2" t="str">
        <x:v>901 S. 17TH ST.</x:v>
      </x:c>
      <x:c r="G48" s="2" t="str">
        <x:v>PHILADELPHIA</x:v>
      </x:c>
      <x:c r="H48" s="2" t="str">
        <x:v>19146</x:v>
      </x:c>
      <x:c r="I48" s="2" t="n">
        <x:v>39.940503</x:v>
      </x:c>
      <x:c r="J48" s="2" t="n">
        <x:v>-75.171017</x:v>
      </x:c>
      <x:c r="K48" s="2" t="n">
        <x:v>316</x:v>
      </x:c>
      <x:c r="L48" s="15" t="n">
        <x:v>0.6497</x:v>
      </x:c>
      <x:c r="M48" s="1" t="n">
        <x:v>15</x:v>
      </x:c>
      <x:c r="N48" s="1" t="str">
        <x:v>2025-2026</x:v>
      </x:c>
      <x:c r="O48" s="1" t="str">
        <x:v>2026-10-09</x:v>
      </x:c>
      <x:c r="P48" s="1" t="str">
        <x:v>Live</x:v>
      </x:c>
      <x:c r="Q48" s="1" t="str">
        <x:v>3635</x:v>
      </x:c>
      <x:c r="R48" s="1" t="str">
        <x:v>126515001</x:v>
      </x:c>
      <x:c r="S48" s="1"/>
      <x:c r="T48" s="1" t="str">
        <x:v>1200</x:v>
      </x:c>
      <x:c r="U48" s="1" t="str">
        <x:v>215-400-7640</x:v>
      </x:c>
      <x:c r="V48" s="1" t="str">
        <x:v>https://barry.philasd.org/</x:v>
      </x:c>
      <x:c r="W48" s="1" t="str">
        <x:v>2026-2027</x:v>
      </x:c>
      <x:c r="X48" s="1" t="str">
        <x:v>2026-2027</x:v>
      </x:c>
      <x:c r="Y48" s="1" t="str">
        <x:v>1</x:v>
      </x:c>
      <x:c r="Z48" s="1" t="str">
        <x:v>1</x:v>
      </x:c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</x:row>
    <x:row r="49" ht="22" customHeight="1">
      <x:c r="A49" s="2" t="str">
        <x:v>2470</x:v>
      </x:c>
      <x:c r="B49" s="2" t="str">
        <x:v>Albert M. Greenfield School</x:v>
      </x:c>
      <x:c r="C49" s="2" t="str">
        <x:v>District</x:v>
      </x:c>
      <x:c r="D49" s="2" t="str">
        <x:v>No</x:v>
      </x:c>
      <x:c r="E49" s="2" t="str">
        <x:v>Elementary-Middle</x:v>
      </x:c>
      <x:c r="F49" s="2" t="str">
        <x:v>2200 CHESTNUT ST</x:v>
      </x:c>
      <x:c r="G49" s="2" t="str">
        <x:v>PHILADELPHIA</x:v>
      </x:c>
      <x:c r="H49" s="2" t="str">
        <x:v>19103</x:v>
      </x:c>
      <x:c r="I49" s="2" t="n">
        <x:v>39.95227234</x:v>
      </x:c>
      <x:c r="J49" s="2" t="n">
        <x:v>-75.17739206</x:v>
      </x:c>
      <x:c r="K49" s="2" t="n">
        <x:v>757</x:v>
      </x:c>
      <x:c r="L49" s="15" t="n">
        <x:v>0.1576</x:v>
      </x:c>
      <x:c r="M49" s="1" t="n">
        <x:v>5</x:v>
      </x:c>
      <x:c r="N49" s="1" t="str">
        <x:v>2025-2026</x:v>
      </x:c>
      <x:c r="O49" s="1" t="str">
        <x:v>2026-10-09</x:v>
      </x:c>
      <x:c r="P49" s="1" t="str">
        <x:v>Live</x:v>
      </x:c>
      <x:c r="Q49" s="1" t="str">
        <x:v>5186</x:v>
      </x:c>
      <x:c r="R49" s="1" t="str">
        <x:v>126515001</x:v>
      </x:c>
      <x:c r="S49" s="1"/>
      <x:c r="T49" s="1" t="str">
        <x:v>1230</x:v>
      </x:c>
      <x:c r="U49" s="1" t="str">
        <x:v>215-400-7910</x:v>
      </x:c>
      <x:c r="V49" s="1" t="str">
        <x:v>https://bryant.philasd.org/</x:v>
      </x:c>
      <x:c r="W49" s="1" t="str">
        <x:v>2026-2027</x:v>
      </x:c>
      <x:c r="X49" s="1" t="str">
        <x:v>2026-2027</x:v>
      </x:c>
      <x:c r="Y49" s="1" t="str">
        <x:v>1</x:v>
      </x:c>
      <x:c r="Z49" s="1" t="str">
        <x:v>1</x:v>
      </x:c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</x:row>
    <x:row r="50" ht="22" customHeight="1">
      <x:c r="A50" s="2" t="str">
        <x:v>2480</x:v>
      </x:c>
      <x:c r="B50" s="2" t="str">
        <x:v>Marian Anderson Neighborhood Academy</x:v>
      </x:c>
      <x:c r="C50" s="2" t="str">
        <x:v>District</x:v>
      </x:c>
      <x:c r="D50" s="2" t="str">
        <x:v>Yes</x:v>
      </x:c>
      <x:c r="E50" s="2" t="str">
        <x:v>Elementary-Middle</x:v>
      </x:c>
      <x:c r="F50" s="2" t="str">
        <x:v>2000 CATHARINE ST</x:v>
      </x:c>
      <x:c r="G50" s="2" t="str">
        <x:v>PHILADELPHIA</x:v>
      </x:c>
      <x:c r="H50" s="2" t="str">
        <x:v>19146</x:v>
      </x:c>
      <x:c r="I50" s="2" t="n">
        <x:v>39.94190083</x:v>
      </x:c>
      <x:c r="J50" s="2" t="n">
        <x:v>-75.17569882</x:v>
      </x:c>
      <x:c r="K50" s="2" t="n">
        <x:v>348</x:v>
      </x:c>
      <x:c r="L50" s="15" t="n">
        <x:v>0.4109</x:v>
      </x:c>
      <x:c r="M50" s="1" t="n">
        <x:v>16</x:v>
      </x:c>
      <x:c r="N50" s="1" t="str">
        <x:v>2025-2026</x:v>
      </x:c>
      <x:c r="O50" s="1" t="str">
        <x:v>2026-10-09</x:v>
      </x:c>
      <x:c r="P50" s="1" t="str">
        <x:v>Live</x:v>
      </x:c>
      <x:c r="Q50" s="1" t="str">
        <x:v>3805</x:v>
      </x:c>
      <x:c r="R50" s="1" t="str">
        <x:v>126515001</x:v>
      </x:c>
      <x:c r="S50" s="1"/>
      <x:c r="T50" s="1" t="str">
        <x:v>1250</x:v>
      </x:c>
      <x:c r="U50" s="1" t="str">
        <x:v>215-400-8150</x:v>
      </x:c>
      <x:c r="V50" s="1" t="str">
        <x:v>https://catharine.philasd.org/</x:v>
      </x:c>
      <x:c r="W50" s="1" t="str">
        <x:v>2026-2027</x:v>
      </x:c>
      <x:c r="X50" s="1" t="str">
        <x:v>2026-2027</x:v>
      </x:c>
      <x:c r="Y50" s="1" t="str">
        <x:v>1</x:v>
      </x:c>
      <x:c r="Z50" s="1" t="str">
        <x:v>1</x:v>
      </x:c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</x:row>
    <x:row r="51" ht="22" customHeight="1">
      <x:c r="A51" s="2" t="str">
        <x:v>2490</x:v>
      </x:c>
      <x:c r="B51" s="2" t="str">
        <x:v>Laura W. Waring School</x:v>
      </x:c>
      <x:c r="C51" s="2" t="str">
        <x:v>District</x:v>
      </x:c>
      <x:c r="D51" s="2" t="str">
        <x:v>Yes</x:v>
      </x:c>
      <x:c r="E51" s="2" t="str">
        <x:v>Elementary-Middle</x:v>
      </x:c>
      <x:c r="F51" s="2" t="str">
        <x:v>1801 GREEN ST</x:v>
      </x:c>
      <x:c r="G51" s="2" t="str">
        <x:v>PHILADELPHIA</x:v>
      </x:c>
      <x:c r="H51" s="2" t="str">
        <x:v>19130</x:v>
      </x:c>
      <x:c r="I51" s="2" t="n">
        <x:v>39.96491939</x:v>
      </x:c>
      <x:c r="J51" s="2" t="n">
        <x:v>-75.1677006</x:v>
      </x:c>
      <x:c r="K51" s="2" t="n">
        <x:v>170</x:v>
      </x:c>
      <x:c r="L51" s="15" t="n">
        <x:v>0.7916</x:v>
      </x:c>
      <x:c r="M51" s="1" t="n">
        <x:v>9</x:v>
      </x:c>
      <x:c r="N51" s="1" t="str">
        <x:v>2025-2026</x:v>
      </x:c>
      <x:c r="O51" s="1" t="str">
        <x:v>2026-10-09</x:v>
      </x:c>
      <x:c r="P51" s="1" t="str">
        <x:v>Live</x:v>
      </x:c>
      <x:c r="Q51" s="1" t="str">
        <x:v>7225</x:v>
      </x:c>
      <x:c r="R51" s="1" t="str">
        <x:v>126515001</x:v>
      </x:c>
      <x:c r="S51" s="1"/>
      <x:c r="T51" s="1" t="str">
        <x:v>1260</x:v>
      </x:c>
      <x:c r="U51" s="1" t="str">
        <x:v>215-400-7860</x:v>
      </x:c>
      <x:c r="V51" s="1" t="str">
        <x:v>https://comegys.philasd.org/</x:v>
      </x:c>
      <x:c r="W51" s="1" t="str">
        <x:v>2026-2027</x:v>
      </x:c>
      <x:c r="X51" s="1" t="str">
        <x:v>2026-2027</x:v>
      </x:c>
      <x:c r="Y51" s="1" t="str">
        <x:v>1</x:v>
      </x:c>
      <x:c r="Z51" s="1" t="str">
        <x:v>1</x:v>
      </x:c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</x:row>
    <x:row r="52" ht="22" customHeight="1">
      <x:c r="A52" s="2" t="str">
        <x:v>2510</x:v>
      </x:c>
      <x:c r="B52" s="2" t="str">
        <x:v>Fanny Jackson Coppin School</x:v>
      </x:c>
      <x:c r="C52" s="2" t="str">
        <x:v>District</x:v>
      </x:c>
      <x:c r="D52" s="2" t="str">
        <x:v>Yes</x:v>
      </x:c>
      <x:c r="E52" s="2" t="str">
        <x:v>Elementary-Middle</x:v>
      </x:c>
      <x:c r="F52" s="2" t="str">
        <x:v>1213 S 12TH ST</x:v>
      </x:c>
      <x:c r="G52" s="2" t="str">
        <x:v>PHILADELPHIA</x:v>
      </x:c>
      <x:c r="H52" s="2" t="str">
        <x:v>19147</x:v>
      </x:c>
      <x:c r="I52" s="2" t="n">
        <x:v>39.934623</x:v>
      </x:c>
      <x:c r="J52" s="2" t="n">
        <x:v>-75.163481</x:v>
      </x:c>
      <x:c r="K52" s="2" t="n">
        <x:v>541</x:v>
      </x:c>
      <x:c r="L52" s="15" t="n">
        <x:v>0.4564</x:v>
      </x:c>
      <x:c r="M52" s="1" t="n">
        <x:v>11</x:v>
      </x:c>
      <x:c r="N52" s="1" t="str">
        <x:v>2025-2026</x:v>
      </x:c>
      <x:c r="O52" s="1" t="str">
        <x:v>2026-10-09</x:v>
      </x:c>
      <x:c r="P52" s="1" t="str">
        <x:v>Live</x:v>
      </x:c>
      <x:c r="Q52" s="1" t="str">
        <x:v>3642</x:v>
      </x:c>
      <x:c r="R52" s="1" t="str">
        <x:v>126515001</x:v>
      </x:c>
      <x:c r="S52" s="1"/>
      <x:c r="T52" s="1" t="str">
        <x:v>1280</x:v>
      </x:c>
      <x:c r="U52" s="1" t="str">
        <x:v>215-400-7760</x:v>
      </x:c>
      <x:c r="V52" s="1" t="str">
        <x:v>https://pennalexander.philasd.org/</x:v>
      </x:c>
      <x:c r="W52" s="1" t="str">
        <x:v>2026-2027</x:v>
      </x:c>
      <x:c r="X52" s="1" t="str">
        <x:v>2026-2027</x:v>
      </x:c>
      <x:c r="Y52" s="1" t="str">
        <x:v>1</x:v>
      </x:c>
      <x:c r="Z52" s="1" t="str">
        <x:v>1</x:v>
      </x:c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</x:row>
    <x:row r="53" ht="22" customHeight="1">
      <x:c r="A53" s="2" t="str">
        <x:v>2520</x:v>
      </x:c>
      <x:c r="B53" s="2" t="str">
        <x:v>Abram S. Jenks School</x:v>
      </x:c>
      <x:c r="C53" s="2" t="str">
        <x:v>District</x:v>
      </x:c>
      <x:c r="D53" s="2" t="str">
        <x:v>Yes</x:v>
      </x:c>
      <x:c r="E53" s="2" t="str">
        <x:v>Elementary</x:v>
      </x:c>
      <x:c r="F53" s="2" t="str">
        <x:v>2501 S 13TH ST</x:v>
      </x:c>
      <x:c r="G53" s="2" t="str">
        <x:v>PHILADELPHIA</x:v>
      </x:c>
      <x:c r="H53" s="2" t="str">
        <x:v>19148</x:v>
      </x:c>
      <x:c r="I53" s="2" t="n">
        <x:v>39.918773</x:v>
      </x:c>
      <x:c r="J53" s="2" t="n">
        <x:v>-75.168367</x:v>
      </x:c>
      <x:c r="K53" s="2" t="n">
        <x:v>272</x:v>
      </x:c>
      <x:c r="L53" s="15" t="n">
        <x:v>0.619</x:v>
      </x:c>
      <x:c r="M53" s="1" t="n">
        <x:v>6</x:v>
      </x:c>
      <x:c r="N53" s="1" t="str">
        <x:v>2025-2026</x:v>
      </x:c>
      <x:c r="O53" s="1" t="str">
        <x:v>2026-10-09</x:v>
      </x:c>
      <x:c r="P53" s="1" t="str">
        <x:v>Live</x:v>
      </x:c>
      <x:c r="Q53" s="1" t="str">
        <x:v>7227</x:v>
      </x:c>
      <x:c r="R53" s="1" t="str">
        <x:v>126515001</x:v>
      </x:c>
      <x:c r="S53" s="1"/>
      <x:c r="T53" s="1" t="str">
        <x:v>1290</x:v>
      </x:c>
      <x:c r="U53" s="1" t="str">
        <x:v>215-400-7650</x:v>
      </x:c>
      <x:c r="V53" s="1" t="str">
        <x:v>https://hamilton.philasd.org/</x:v>
      </x:c>
      <x:c r="W53" s="1" t="str">
        <x:v>2026-2027</x:v>
      </x:c>
      <x:c r="X53" s="1" t="str">
        <x:v>2026-2027</x:v>
      </x:c>
      <x:c r="Y53" s="1" t="str">
        <x:v>1</x:v>
      </x:c>
      <x:c r="Z53" s="1" t="str">
        <x:v>1</x:v>
      </x:c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</x:row>
    <x:row r="54" ht="22" customHeight="1">
      <x:c r="A54" s="2" t="str">
        <x:v>2530</x:v>
      </x:c>
      <x:c r="B54" s="2" t="str">
        <x:v>Philadelphia Juvenile Justice Services Center</x:v>
      </x:c>
      <x:c r="C54" s="2" t="str">
        <x:v>District</x:v>
      </x:c>
      <x:c r="D54" s="2" t="str">
        <x:v>Yes</x:v>
      </x:c>
      <x:c r="E54" s="2" t="str">
        <x:v>Transition/Overage School</x:v>
      </x:c>
      <x:c r="F54" s="2" t="str">
        <x:v>91 N 48TH ST</x:v>
      </x:c>
      <x:c r="G54" s="2" t="str">
        <x:v>PHILADELPHIA</x:v>
      </x:c>
      <x:c r="H54" s="2" t="str">
        <x:v>19139</x:v>
      </x:c>
      <x:c r="I54" s="2" t="n">
        <x:v>39.96136565</x:v>
      </x:c>
      <x:c r="J54" s="2" t="n">
        <x:v>-75.21572624</x:v>
      </x:c>
      <x:c r="K54" s="2" t="n">
        <x:v>124</x:v>
      </x:c>
      <x:c r="L54" s="15"/>
      <x:c r="M54" s="1" t="n">
        <x:v>14</x:v>
      </x:c>
      <x:c r="N54" s="1" t="str">
        <x:v>2025-2026</x:v>
      </x:c>
      <x:c r="O54" s="1" t="str">
        <x:v>2026-10-09</x:v>
      </x:c>
      <x:c r="P54" s="1" t="str">
        <x:v>Live</x:v>
      </x:c>
      <x:c r="Q54" s="1" t="str">
        <x:v>9999</x:v>
      </x:c>
      <x:c r="R54" s="1" t="str">
        <x:v>126515001</x:v>
      </x:c>
      <x:c r="S54" s="1"/>
      <x:c r="T54" s="1" t="str">
        <x:v>1300</x:v>
      </x:c>
      <x:c r="U54" s="1" t="str">
        <x:v>215-400-7920</x:v>
      </x:c>
      <x:c r="V54" s="1" t="str">
        <x:v>https://harrington.philasd.org/</x:v>
      </x:c>
      <x:c r="W54" s="1" t="str">
        <x:v>2026-2027</x:v>
      </x:c>
      <x:c r="X54" s="1" t="str">
        <x:v>2026-2027</x:v>
      </x:c>
      <x:c r="Y54" s="1" t="str">
        <x:v>1</x:v>
      </x:c>
      <x:c r="Z54" s="1" t="str">
        <x:v>1</x:v>
      </x:c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</x:row>
    <x:row r="55" ht="22" customHeight="1">
      <x:c r="A55" s="2" t="str">
        <x:v>2540</x:v>
      </x:c>
      <x:c r="B55" s="2" t="str">
        <x:v>Francis S. Key School</x:v>
      </x:c>
      <x:c r="C55" s="2" t="str">
        <x:v>District</x:v>
      </x:c>
      <x:c r="D55" s="2" t="str">
        <x:v>Yes</x:v>
      </x:c>
      <x:c r="E55" s="2" t="str">
        <x:v>Elementary</x:v>
      </x:c>
      <x:c r="F55" s="2" t="str">
        <x:v>2230 S 8TH ST</x:v>
      </x:c>
      <x:c r="G55" s="2" t="str">
        <x:v>PHILADELPHIA</x:v>
      </x:c>
      <x:c r="H55" s="2" t="str">
        <x:v>19148</x:v>
      </x:c>
      <x:c r="I55" s="2" t="n">
        <x:v>39.9213857</x:v>
      </x:c>
      <x:c r="J55" s="2" t="n">
        <x:v>-75.1601961</x:v>
      </x:c>
      <x:c r="K55" s="2" t="n">
        <x:v>349</x:v>
      </x:c>
      <x:c r="L55" s="15" t="n">
        <x:v>0.8074</x:v>
      </x:c>
      <x:c r="M55" s="1" t="n">
        <x:v>6</x:v>
      </x:c>
      <x:c r="N55" s="1" t="str">
        <x:v>2025-2026</x:v>
      </x:c>
      <x:c r="O55" s="1" t="str">
        <x:v>2026-10-09</x:v>
      </x:c>
      <x:c r="P55" s="1" t="str">
        <x:v>Live</x:v>
      </x:c>
      <x:c r="Q55" s="1" t="str">
        <x:v>7228</x:v>
      </x:c>
      <x:c r="R55" s="1" t="str">
        <x:v>126515001</x:v>
      </x:c>
      <x:c r="S55" s="1"/>
      <x:c r="T55" s="1" t="str">
        <x:v>1340</x:v>
      </x:c>
      <x:c r="U55" s="1" t="str">
        <x:v>215-400-7660</x:v>
      </x:c>
      <x:c r="V55" s="1" t="str">
        <x:v>https://lea.philasd.org/</x:v>
      </x:c>
      <x:c r="W55" s="1" t="str">
        <x:v>2026-2027</x:v>
      </x:c>
      <x:c r="X55" s="1" t="str">
        <x:v>2026-2027</x:v>
      </x:c>
      <x:c r="Y55" s="1" t="str">
        <x:v>1</x:v>
      </x:c>
      <x:c r="Z55" s="1" t="str">
        <x:v>1</x:v>
      </x:c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</x:row>
    <x:row r="56" ht="22" customHeight="1">
      <x:c r="A56" s="2" t="str">
        <x:v>2580</x:v>
      </x:c>
      <x:c r="B56" s="2" t="str">
        <x:v>Eliza B. Kirkbride School</x:v>
      </x:c>
      <x:c r="C56" s="2" t="str">
        <x:v>District</x:v>
      </x:c>
      <x:c r="D56" s="2" t="str">
        <x:v>Yes</x:v>
      </x:c>
      <x:c r="E56" s="2" t="str">
        <x:v>Elementary-Middle</x:v>
      </x:c>
      <x:c r="F56" s="2" t="str">
        <x:v>1501 S 7TH ST</x:v>
      </x:c>
      <x:c r="G56" s="2" t="str">
        <x:v>PHILADELPHIA</x:v>
      </x:c>
      <x:c r="H56" s="2" t="str">
        <x:v>19147</x:v>
      </x:c>
      <x:c r="I56" s="2" t="n">
        <x:v>39.93002</x:v>
      </x:c>
      <x:c r="J56" s="2" t="n">
        <x:v>-75.156466</x:v>
      </x:c>
      <x:c r="K56" s="2" t="n">
        <x:v>481</x:v>
      </x:c>
      <x:c r="L56" s="15" t="n">
        <x:v>0.7716</x:v>
      </x:c>
      <x:c r="M56" s="1" t="n">
        <x:v>9</x:v>
      </x:c>
      <x:c r="N56" s="1" t="str">
        <x:v>2025-2026</x:v>
      </x:c>
      <x:c r="O56" s="1" t="str">
        <x:v>2026-10-09</x:v>
      </x:c>
      <x:c r="P56" s="1" t="str">
        <x:v>Live</x:v>
      </x:c>
      <x:c r="Q56" s="1" t="str">
        <x:v>3647</x:v>
      </x:c>
      <x:c r="R56" s="1" t="str">
        <x:v>126515001</x:v>
      </x:c>
      <x:c r="S56" s="1"/>
      <x:c r="T56" s="1" t="str">
        <x:v>1350</x:v>
      </x:c>
      <x:c r="U56" s="1" t="str">
        <x:v>215-400-7870</x:v>
      </x:c>
      <x:c r="V56" s="1" t="str">
        <x:v>https://longstreth.philasd.org/</x:v>
      </x:c>
      <x:c r="W56" s="1" t="str">
        <x:v>2026-2027</x:v>
      </x:c>
      <x:c r="X56" s="1" t="str">
        <x:v>2026-2027</x:v>
      </x:c>
      <x:c r="Y56" s="1" t="str">
        <x:v>1</x:v>
      </x:c>
      <x:c r="Z56" s="1" t="str">
        <x:v>1</x:v>
      </x:c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</x:row>
    <x:row r="57" ht="22" customHeight="1">
      <x:c r="A57" s="2" t="str">
        <x:v>2590</x:v>
      </x:c>
      <x:c r="B57" s="2" t="str">
        <x:v>George W. Nebinger School</x:v>
      </x:c>
      <x:c r="C57" s="2" t="str">
        <x:v>District</x:v>
      </x:c>
      <x:c r="D57" s="2" t="str">
        <x:v>Yes</x:v>
      </x:c>
      <x:c r="E57" s="2" t="str">
        <x:v>Elementary-Middle</x:v>
      </x:c>
      <x:c r="F57" s="2" t="str">
        <x:v>601 CARPENTER ST</x:v>
      </x:c>
      <x:c r="G57" s="2" t="str">
        <x:v>PHILADELPHIA</x:v>
      </x:c>
      <x:c r="H57" s="2" t="str">
        <x:v>19147</x:v>
      </x:c>
      <x:c r="I57" s="2" t="n">
        <x:v>39.936694</x:v>
      </x:c>
      <x:c r="J57" s="2" t="n">
        <x:v>-75.15383</x:v>
      </x:c>
      <x:c r="K57" s="2" t="n">
        <x:v>399</x:v>
      </x:c>
      <x:c r="L57" s="15" t="n">
        <x:v>0.6262</x:v>
      </x:c>
      <x:c r="M57" s="1" t="n">
        <x:v>8</x:v>
      </x:c>
      <x:c r="N57" s="1" t="str">
        <x:v>2025-2026</x:v>
      </x:c>
      <x:c r="O57" s="1" t="str">
        <x:v>2026-10-09</x:v>
      </x:c>
      <x:c r="P57" s="1" t="str">
        <x:v>Live</x:v>
      </x:c>
      <x:c r="Q57" s="1" t="str">
        <x:v>3650</x:v>
      </x:c>
      <x:c r="R57" s="1" t="str">
        <x:v>126515001</x:v>
      </x:c>
      <x:c r="S57" s="1"/>
      <x:c r="T57" s="1" t="str">
        <x:v>1360</x:v>
      </x:c>
      <x:c r="U57" s="1" t="str">
        <x:v>215-400-7750</x:v>
      </x:c>
      <x:c r="V57" s="1" t="str">
        <x:v>https://mcmichael.philasd.org/</x:v>
      </x:c>
      <x:c r="W57" s="1" t="str">
        <x:v>2026-2027</x:v>
      </x:c>
      <x:c r="X57" s="1" t="str">
        <x:v>2026-2027</x:v>
      </x:c>
      <x:c r="Y57" s="1" t="str">
        <x:v>1</x:v>
      </x:c>
      <x:c r="Z57" s="1" t="str">
        <x:v>1</x:v>
      </x:c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</x:row>
    <x:row r="58" ht="22" customHeight="1">
      <x:c r="A58" s="2" t="str">
        <x:v>2620</x:v>
      </x:c>
      <x:c r="B58" s="2" t="str">
        <x:v>Academy at Palumbo</x:v>
      </x:c>
      <x:c r="C58" s="2" t="str">
        <x:v>District</x:v>
      </x:c>
      <x:c r="D58" s="2" t="str">
        <x:v>Yes</x:v>
      </x:c>
      <x:c r="E58" s="2" t="str">
        <x:v>High</x:v>
      </x:c>
      <x:c r="F58" s="2" t="str">
        <x:v>1100 CATHARINE ST</x:v>
      </x:c>
      <x:c r="G58" s="2" t="str">
        <x:v>PHILADELPHIA</x:v>
      </x:c>
      <x:c r="H58" s="2" t="str">
        <x:v>19147</x:v>
      </x:c>
      <x:c r="I58" s="2" t="n">
        <x:v>39.94019787</x:v>
      </x:c>
      <x:c r="J58" s="2" t="n">
        <x:v>-75.16194915</x:v>
      </x:c>
      <x:c r="K58" s="2" t="n">
        <x:v>1242</x:v>
      </x:c>
      <x:c r="L58" s="15" t="n">
        <x:v>0.5998</x:v>
      </x:c>
      <x:c r="M58" s="1" t="n">
        <x:v>11</x:v>
      </x:c>
      <x:c r="N58" s="1" t="str">
        <x:v>2025-2026</x:v>
      </x:c>
      <x:c r="O58" s="1" t="str">
        <x:v>2026-10-09</x:v>
      </x:c>
      <x:c r="P58" s="1" t="str">
        <x:v>Live</x:v>
      </x:c>
      <x:c r="Q58" s="1" t="str">
        <x:v>7904</x:v>
      </x:c>
      <x:c r="R58" s="1" t="str">
        <x:v>126515001</x:v>
      </x:c>
      <x:c r="S58" s="1"/>
      <x:c r="T58" s="1" t="str">
        <x:v>1370</x:v>
      </x:c>
      <x:c r="U58" s="1" t="str">
        <x:v>215-400-7880</x:v>
      </x:c>
      <x:c r="V58" s="1" t="str">
        <x:v>https://mitchell.philasd.org/</x:v>
      </x:c>
      <x:c r="W58" s="1" t="str">
        <x:v>2026-2027</x:v>
      </x:c>
      <x:c r="X58" s="1" t="str">
        <x:v>2026-2027</x:v>
      </x:c>
      <x:c r="Y58" s="1" t="str">
        <x:v>1</x:v>
      </x:c>
      <x:c r="Z58" s="1" t="str">
        <x:v>1</x:v>
      </x:c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</x:row>
    <x:row r="59" ht="22" customHeight="1">
      <x:c r="A59" s="2" t="str">
        <x:v>2630</x:v>
      </x:c>
      <x:c r="B59" s="2" t="str">
        <x:v>George W. Sharswood School</x:v>
      </x:c>
      <x:c r="C59" s="2" t="str">
        <x:v>District</x:v>
      </x:c>
      <x:c r="D59" s="2" t="str">
        <x:v>Yes</x:v>
      </x:c>
      <x:c r="E59" s="2" t="str">
        <x:v>Elementary-Middle</x:v>
      </x:c>
      <x:c r="F59" s="2" t="str">
        <x:v>2300 S 2ND ST</x:v>
      </x:c>
      <x:c r="G59" s="2" t="str">
        <x:v>PHILADELPHIA</x:v>
      </x:c>
      <x:c r="H59" s="2" t="str">
        <x:v>19148</x:v>
      </x:c>
      <x:c r="I59" s="2" t="n">
        <x:v>39.91935714</x:v>
      </x:c>
      <x:c r="J59" s="2" t="n">
        <x:v>-75.15055053</x:v>
      </x:c>
      <x:c r="K59" s="2" t="n">
        <x:v>317</x:v>
      </x:c>
      <x:c r="L59" s="15" t="n">
        <x:v>0.7977</x:v>
      </x:c>
      <x:c r="M59" s="1" t="n">
        <x:v>4</x:v>
      </x:c>
      <x:c r="N59" s="1" t="str">
        <x:v>2025-2026</x:v>
      </x:c>
      <x:c r="O59" s="1" t="str">
        <x:v>2026-10-09</x:v>
      </x:c>
      <x:c r="P59" s="1" t="str">
        <x:v>Live</x:v>
      </x:c>
      <x:c r="Q59" s="1" t="str">
        <x:v>3653</x:v>
      </x:c>
      <x:c r="R59" s="1" t="str">
        <x:v>126515001</x:v>
      </x:c>
      <x:c r="S59" s="1"/>
      <x:c r="T59" s="1" t="str">
        <x:v>1380</x:v>
      </x:c>
      <x:c r="U59" s="1" t="str">
        <x:v>215-400-8160</x:v>
      </x:c>
      <x:c r="V59" s="1" t="str">
        <x:v>https://morton.philasd.org/</x:v>
      </x:c>
      <x:c r="W59" s="1" t="str">
        <x:v>2026-2027</x:v>
      </x:c>
      <x:c r="X59" s="1" t="str">
        <x:v>2026-2027</x:v>
      </x:c>
      <x:c r="Y59" s="1" t="str">
        <x:v>1</x:v>
      </x:c>
      <x:c r="Z59" s="1" t="str">
        <x:v>1</x:v>
      </x:c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</x:row>
    <x:row r="60" ht="22" customHeight="1">
      <x:c r="A60" s="2" t="str">
        <x:v>2640</x:v>
      </x:c>
      <x:c r="B60" s="2" t="str">
        <x:v>Southwark School</x:v>
      </x:c>
      <x:c r="C60" s="2" t="str">
        <x:v>District</x:v>
      </x:c>
      <x:c r="D60" s="2" t="str">
        <x:v>Yes</x:v>
      </x:c>
      <x:c r="E60" s="2" t="str">
        <x:v>Elementary-Middle</x:v>
      </x:c>
      <x:c r="F60" s="2" t="str">
        <x:v>1835 S 9TH ST</x:v>
      </x:c>
      <x:c r="G60" s="2" t="str">
        <x:v>PHILADELPHIA</x:v>
      </x:c>
      <x:c r="H60" s="2" t="str">
        <x:v>19148</x:v>
      </x:c>
      <x:c r="I60" s="2" t="n">
        <x:v>39.92637775</x:v>
      </x:c>
      <x:c r="J60" s="2" t="n">
        <x:v>-75.16053168</x:v>
      </x:c>
      <x:c r="K60" s="2" t="n">
        <x:v>889</x:v>
      </x:c>
      <x:c r="L60" s="15" t="n">
        <x:v>0.7478</x:v>
      </x:c>
      <x:c r="M60" s="1" t="n">
        <x:v>8</x:v>
      </x:c>
      <x:c r="N60" s="1" t="str">
        <x:v>2025-2026</x:v>
      </x:c>
      <x:c r="O60" s="1" t="str">
        <x:v>2026-10-09</x:v>
      </x:c>
      <x:c r="P60" s="1" t="str">
        <x:v>Live</x:v>
      </x:c>
      <x:c r="Q60" s="1" t="str">
        <x:v>3654</x:v>
      </x:c>
      <x:c r="R60" s="1" t="str">
        <x:v>126515001</x:v>
      </x:c>
      <x:c r="S60" s="1"/>
      <x:c r="T60" s="1" t="str">
        <x:v>1390</x:v>
      </x:c>
      <x:c r="U60" s="1" t="str">
        <x:v>215-400-7740</x:v>
      </x:c>
      <x:c r="V60" s="1" t="str">
        <x:v>https://powel.philasd.org/</x:v>
      </x:c>
      <x:c r="W60" s="1" t="str">
        <x:v>2026-2027</x:v>
      </x:c>
      <x:c r="X60" s="1" t="str">
        <x:v>2026-2027</x:v>
      </x:c>
      <x:c r="Y60" s="1" t="str">
        <x:v>1</x:v>
      </x:c>
      <x:c r="Z60" s="1" t="str">
        <x:v>1</x:v>
      </x:c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</x:row>
    <x:row r="61" ht="22" customHeight="1">
      <x:c r="A61" s="2" t="str">
        <x:v>2650</x:v>
      </x:c>
      <x:c r="B61" s="2" t="str">
        <x:v>Science Leadership Academy High School</x:v>
      </x:c>
      <x:c r="C61" s="2" t="str">
        <x:v>District</x:v>
      </x:c>
      <x:c r="D61" s="2" t="str">
        <x:v>Yes</x:v>
      </x:c>
      <x:c r="E61" s="2" t="str">
        <x:v>High</x:v>
      </x:c>
      <x:c r="F61" s="2" t="str">
        <x:v>550 N BROAD ST, SCIENCE LEADERSHIP ACADEMY, SUITE 202</x:v>
      </x:c>
      <x:c r="G61" s="2" t="str">
        <x:v>PHILADELPHIA</x:v>
      </x:c>
      <x:c r="H61" s="2" t="str">
        <x:v>19130</x:v>
      </x:c>
      <x:c r="I61" s="2" t="n">
        <x:v>39.963701</x:v>
      </x:c>
      <x:c r="J61" s="2" t="n">
        <x:v>-75.162516</x:v>
      </x:c>
      <x:c r="K61" s="2" t="n">
        <x:v>510</x:v>
      </x:c>
      <x:c r="L61" s="15" t="n">
        <x:v>0.4627</x:v>
      </x:c>
      <x:c r="M61" s="1" t="n">
        <x:v>10</x:v>
      </x:c>
      <x:c r="N61" s="1" t="str">
        <x:v>2025-2026</x:v>
      </x:c>
      <x:c r="O61" s="1" t="str">
        <x:v>2026-10-09</x:v>
      </x:c>
      <x:c r="P61" s="1" t="str">
        <x:v>Live</x:v>
      </x:c>
      <x:c r="Q61" s="1" t="str">
        <x:v>7906</x:v>
      </x:c>
      <x:c r="R61" s="1" t="str">
        <x:v>126515001</x:v>
      </x:c>
      <x:c r="S61" s="1"/>
      <x:c r="T61" s="1" t="str">
        <x:v>1400</x:v>
      </x:c>
      <x:c r="U61" s="1" t="str">
        <x:v>215-400-8190</x:v>
      </x:c>
      <x:c r="V61" s="1" t="str">
        <x:v>https://patterson.philasd.org/</x:v>
      </x:c>
      <x:c r="W61" s="1" t="str">
        <x:v>2026-2027</x:v>
      </x:c>
      <x:c r="X61" s="1" t="str">
        <x:v>2026-2027</x:v>
      </x:c>
      <x:c r="Y61" s="1" t="str">
        <x:v>1</x:v>
      </x:c>
      <x:c r="Z61" s="1" t="str">
        <x:v>1</x:v>
      </x:c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</x:row>
    <x:row r="62" ht="22" customHeight="1">
      <x:c r="A62" s="2" t="str">
        <x:v>2670</x:v>
      </x:c>
      <x:c r="B62" s="2" t="str">
        <x:v>Constitution High School</x:v>
      </x:c>
      <x:c r="C62" s="2" t="str">
        <x:v>District</x:v>
      </x:c>
      <x:c r="D62" s="2" t="str">
        <x:v>Yes</x:v>
      </x:c>
      <x:c r="E62" s="2" t="str">
        <x:v>High</x:v>
      </x:c>
      <x:c r="F62" s="2" t="str">
        <x:v>18 S 7TH ST</x:v>
      </x:c>
      <x:c r="G62" s="2" t="str">
        <x:v>PHILADELPHIA</x:v>
      </x:c>
      <x:c r="H62" s="2" t="str">
        <x:v>19106</x:v>
      </x:c>
      <x:c r="I62" s="2" t="n">
        <x:v>39.950252</x:v>
      </x:c>
      <x:c r="J62" s="2" t="n">
        <x:v>-75.152336</x:v>
      </x:c>
      <x:c r="K62" s="2" t="n">
        <x:v>410</x:v>
      </x:c>
      <x:c r="L62" s="15" t="n">
        <x:v>0.8112</x:v>
      </x:c>
      <x:c r="M62" s="1" t="n">
        <x:v>7</x:v>
      </x:c>
      <x:c r="N62" s="1" t="str">
        <x:v>2025-2026</x:v>
      </x:c>
      <x:c r="O62" s="1" t="str">
        <x:v>2026-10-09</x:v>
      </x:c>
      <x:c r="P62" s="1" t="str">
        <x:v>Live</x:v>
      </x:c>
      <x:c r="Q62" s="1" t="str">
        <x:v>7905</x:v>
      </x:c>
      <x:c r="R62" s="1" t="str">
        <x:v>126515001</x:v>
      </x:c>
      <x:c r="S62" s="1"/>
      <x:c r="T62" s="1" t="str">
        <x:v>1410</x:v>
      </x:c>
      <x:c r="U62" s="1" t="str">
        <x:v>215-400-7680</x:v>
      </x:c>
      <x:c r="V62" s="1" t="str">
        <x:v>https://rhoads.philasd.org/</x:v>
      </x:c>
      <x:c r="W62" s="1" t="str">
        <x:v>2026-2027</x:v>
      </x:c>
      <x:c r="X62" s="1" t="str">
        <x:v>2026-2027</x:v>
      </x:c>
      <x:c r="Y62" s="1" t="str">
        <x:v>1</x:v>
      </x:c>
      <x:c r="Z62" s="1" t="str">
        <x:v>1</x:v>
      </x:c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</x:row>
    <x:row r="63" ht="22" customHeight="1">
      <x:c r="A63" s="2" t="str">
        <x:v>2680</x:v>
      </x:c>
      <x:c r="B63" s="2" t="str">
        <x:v>The Science Leadership Academy at Beeber High School</x:v>
      </x:c>
      <x:c r="C63" s="2" t="str">
        <x:v>District</x:v>
      </x:c>
      <x:c r="D63" s="2" t="str">
        <x:v>Yes</x:v>
      </x:c>
      <x:c r="E63" s="2" t="str">
        <x:v>Middle-High</x:v>
      </x:c>
      <x:c r="F63" s="2" t="str">
        <x:v>5925 MALVERN AVE</x:v>
      </x:c>
      <x:c r="G63" s="2" t="str">
        <x:v>PHILADELPHIA</x:v>
      </x:c>
      <x:c r="H63" s="2" t="str">
        <x:v>19131</x:v>
      </x:c>
      <x:c r="I63" s="2" t="n">
        <x:v>39.98610221</x:v>
      </x:c>
      <x:c r="J63" s="2" t="n">
        <x:v>-75.24192008</x:v>
      </x:c>
      <x:c r="K63" s="2" t="n">
        <x:v>492</x:v>
      </x:c>
      <x:c r="L63" s="15" t="n">
        <x:v>0.5152</x:v>
      </x:c>
      <x:c r="M63" s="1" t="n">
        <x:v>5</x:v>
      </x:c>
      <x:c r="N63" s="1" t="str">
        <x:v>2025-2026</x:v>
      </x:c>
      <x:c r="O63" s="1" t="str">
        <x:v>2026-10-09</x:v>
      </x:c>
      <x:c r="P63" s="1" t="str">
        <x:v>Live</x:v>
      </x:c>
      <x:c r="Q63" s="1" t="str">
        <x:v>8330</x:v>
      </x:c>
      <x:c r="R63" s="1" t="str">
        <x:v>126515001</x:v>
      </x:c>
      <x:c r="S63" s="1"/>
      <x:c r="T63" s="1" t="str">
        <x:v>1420</x:v>
      </x:c>
      <x:c r="U63" s="1" t="str">
        <x:v>215-400-7770</x:v>
      </x:c>
      <x:c r="V63" s="1" t="str">
        <x:v>https://mwashington.philasd.org/</x:v>
      </x:c>
      <x:c r="W63" s="1" t="str">
        <x:v>2026-2027</x:v>
      </x:c>
      <x:c r="X63" s="1" t="str">
        <x:v>2026-2027</x:v>
      </x:c>
      <x:c r="Y63" s="1" t="str">
        <x:v>1</x:v>
      </x:c>
      <x:c r="Z63" s="1" t="str">
        <x:v>1</x:v>
      </x:c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</x:row>
    <x:row r="64" ht="22" customHeight="1">
      <x:c r="A64" s="2" t="str">
        <x:v>2690</x:v>
      </x:c>
      <x:c r="B64" s="2" t="str">
        <x:v>John H. Taggart School</x:v>
      </x:c>
      <x:c r="C64" s="2" t="str">
        <x:v>District</x:v>
      </x:c>
      <x:c r="D64" s="2" t="str">
        <x:v>Yes</x:v>
      </x:c>
      <x:c r="E64" s="2" t="str">
        <x:v>Elementary-Middle</x:v>
      </x:c>
      <x:c r="F64" s="2" t="str">
        <x:v>400 W PORTER ST</x:v>
      </x:c>
      <x:c r="G64" s="2" t="str">
        <x:v>PHILADELPHIA</x:v>
      </x:c>
      <x:c r="H64" s="2" t="str">
        <x:v>19148</x:v>
      </x:c>
      <x:c r="I64" s="2" t="n">
        <x:v>39.91721223</x:v>
      </x:c>
      <x:c r="J64" s="2" t="n">
        <x:v>-75.15452237</x:v>
      </x:c>
      <x:c r="K64" s="2" t="n">
        <x:v>485</x:v>
      </x:c>
      <x:c r="L64" s="15" t="n">
        <x:v>0.806</x:v>
      </x:c>
      <x:c r="M64" s="1" t="n">
        <x:v>4</x:v>
      </x:c>
      <x:c r="N64" s="1" t="str">
        <x:v>2025-2026</x:v>
      </x:c>
      <x:c r="O64" s="1" t="str">
        <x:v>2026-10-09</x:v>
      </x:c>
      <x:c r="P64" s="1" t="str">
        <x:v>Live</x:v>
      </x:c>
      <x:c r="Q64" s="1" t="str">
        <x:v>3657</x:v>
      </x:c>
      <x:c r="R64" s="1" t="str">
        <x:v>126515001</x:v>
      </x:c>
      <x:c r="S64" s="1"/>
      <x:c r="T64" s="1" t="str">
        <x:v>1440</x:v>
      </x:c>
      <x:c r="U64" s="1" t="str">
        <x:v>215-400-8310</x:v>
      </x:c>
      <x:c r="V64" s="1" t="str">
        <x:v>https://penrose.philasd.org/</x:v>
      </x:c>
      <x:c r="W64" s="1" t="str">
        <x:v>2026-2027</x:v>
      </x:c>
      <x:c r="X64" s="1" t="str">
        <x:v>2026-2027</x:v>
      </x:c>
      <x:c r="Y64" s="1" t="str">
        <x:v>1</x:v>
      </x:c>
      <x:c r="Z64" s="1" t="str">
        <x:v>1</x:v>
      </x:c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</x:row>
    <x:row r="65" ht="22" customHeight="1">
      <x:c r="A65" s="2" t="str">
        <x:v>2720</x:v>
      </x:c>
      <x:c r="B65" s="2" t="str">
        <x:v>Vare-Washington School</x:v>
      </x:c>
      <x:c r="C65" s="2" t="str">
        <x:v>District</x:v>
      </x:c>
      <x:c r="D65" s="2" t="str">
        <x:v>Yes</x:v>
      </x:c>
      <x:c r="E65" s="2" t="str">
        <x:v>Elementary-Middle</x:v>
      </x:c>
      <x:c r="F65" s="2" t="str">
        <x:v>1198 S 5TH ST</x:v>
      </x:c>
      <x:c r="G65" s="2" t="str">
        <x:v>PHILADELPHIA</x:v>
      </x:c>
      <x:c r="H65" s="2" t="str">
        <x:v>19147</x:v>
      </x:c>
      <x:c r="I65" s="2" t="n">
        <x:v>39.93427949</x:v>
      </x:c>
      <x:c r="J65" s="2" t="n">
        <x:v>-75.15252649</x:v>
      </x:c>
      <x:c r="K65" s="2" t="n">
        <x:v>370</x:v>
      </x:c>
      <x:c r="L65" s="15" t="n">
        <x:v>0.6856</x:v>
      </x:c>
      <x:c r="M65" s="1" t="n">
        <x:v>8</x:v>
      </x:c>
      <x:c r="N65" s="1" t="str">
        <x:v>2025-2026</x:v>
      </x:c>
      <x:c r="O65" s="1" t="str">
        <x:v>2026-10-09</x:v>
      </x:c>
      <x:c r="P65" s="1" t="str">
        <x:v>Live</x:v>
      </x:c>
      <x:c r="Q65" s="1" t="str">
        <x:v>8294</x:v>
      </x:c>
      <x:c r="R65" s="1" t="str">
        <x:v>126515001</x:v>
      </x:c>
      <x:c r="S65" s="1"/>
      <x:c r="T65" s="1" t="str">
        <x:v>1460</x:v>
      </x:c>
      <x:c r="U65" s="1" t="str">
        <x:v>215-400-7890</x:v>
      </x:c>
      <x:c r="V65" s="1" t="str">
        <x:v>https://anderson.philasd.org/</x:v>
      </x:c>
      <x:c r="W65" s="1" t="str">
        <x:v>2026-2027</x:v>
      </x:c>
      <x:c r="X65" s="1" t="str">
        <x:v>2026-2027</x:v>
      </x:c>
      <x:c r="Y65" s="1" t="str">
        <x:v>1</x:v>
      </x:c>
      <x:c r="Z65" s="1" t="str">
        <x:v>1</x:v>
      </x:c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</x:row>
    <x:row r="66" ht="22" customHeight="1">
      <x:c r="A66" s="2" t="str">
        <x:v>3040</x:v>
      </x:c>
      <x:c r="B66" s="2" t="str">
        <x:v>Excel Middle Years Academy</x:v>
      </x:c>
      <x:c r="C66" s="2" t="str">
        <x:v>Contracted</x:v>
      </x:c>
      <x:c r="D66" s="2" t="str">
        <x:v>No</x:v>
      </x:c>
      <x:c r="E66" s="2" t="str">
        <x:v>Transition/Overage School</x:v>
      </x:c>
      <x:c r="F66" s="2" t="str">
        <x:v>4300 WESTMINSTER AVE</x:v>
      </x:c>
      <x:c r="G66" s="2" t="str">
        <x:v>PHILADELPHIA</x:v>
      </x:c>
      <x:c r="H66" s="2" t="str">
        <x:v>19104</x:v>
      </x:c>
      <x:c r="I66" s="2" t="n">
        <x:v>39.969705</x:v>
      </x:c>
      <x:c r="J66" s="2" t="n">
        <x:v>-75.210282</x:v>
      </x:c>
      <x:c r="K66" s="2" t="n">
        <x:v>24</x:v>
      </x:c>
      <x:c r="L66" s="15"/>
      <x:c r="M66" s="1" t="n">
        <x:v>11</x:v>
      </x:c>
      <x:c r="N66" s="1" t="str">
        <x:v>2025-2026</x:v>
      </x:c>
      <x:c r="O66" s="1" t="str">
        <x:v>2026-10-09</x:v>
      </x:c>
      <x:c r="P66" s="1" t="str">
        <x:v>Live</x:v>
      </x:c>
      <x:c r="Q66" s="1" t="str">
        <x:v>9999</x:v>
      </x:c>
      <x:c r="R66" s="1" t="str">
        <x:v>126515001</x:v>
      </x:c>
      <x:c r="S66" s="1"/>
      <x:c r="T66" s="1" t="str">
        <x:v>1470</x:v>
      </x:c>
      <x:c r="U66" s="1" t="str">
        <x:v>215-400-7670</x:v>
      </x:c>
      <x:c r="V66" s="1" t="str">
        <x:v>https://locke.philasd.org/</x:v>
      </x:c>
      <x:c r="W66" s="1" t="str">
        <x:v>2026-2027</x:v>
      </x:c>
      <x:c r="X66" s="1" t="str">
        <x:v>2026-2027</x:v>
      </x:c>
      <x:c r="Y66" s="1" t="str">
        <x:v>1</x:v>
      </x:c>
      <x:c r="Z66" s="1" t="str">
        <x:v>1</x:v>
      </x:c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</x:row>
    <x:row r="67" ht="22" customHeight="1">
      <x:c r="A67" s="2" t="str">
        <x:v>3190</x:v>
      </x:c>
      <x:c r="B67" s="2" t="str">
        <x:v>Crossroads at Hunting Park</x:v>
      </x:c>
      <x:c r="C67" s="2" t="str">
        <x:v>District</x:v>
      </x:c>
      <x:c r="D67" s="2" t="str">
        <x:v>No</x:v>
      </x:c>
      <x:c r="E67" s="2" t="str">
        <x:v>Transition/Overage School</x:v>
      </x:c>
      <x:c r="F67" s="2" t="str">
        <x:v>4224 N FRONT ST</x:v>
      </x:c>
      <x:c r="G67" s="2" t="str">
        <x:v>PHILADELPHIA</x:v>
      </x:c>
      <x:c r="H67" s="2" t="str">
        <x:v>19140</x:v>
      </x:c>
      <x:c r="I67" s="2" t="n">
        <x:v>40.01425525</x:v>
      </x:c>
      <x:c r="J67" s="2" t="n">
        <x:v>-75.12599679</x:v>
      </x:c>
      <x:c r="K67" s="2" t="n">
        <x:v>25</x:v>
      </x:c>
      <x:c r="L67" s="15"/>
      <x:c r="M67" s="1" t="n">
        <x:v>10</x:v>
      </x:c>
      <x:c r="N67" s="1" t="str">
        <x:v>2025-2026</x:v>
      </x:c>
      <x:c r="O67" s="1" t="str">
        <x:v>2026-10-09</x:v>
      </x:c>
      <x:c r="P67" s="1" t="str">
        <x:v>Live</x:v>
      </x:c>
      <x:c r="Q67" s="1" t="str">
        <x:v>9999</x:v>
      </x:c>
      <x:c r="R67" s="1" t="str">
        <x:v>126515001</x:v>
      </x:c>
      <x:c r="S67" s="1"/>
      <x:c r="T67" s="1" t="str">
        <x:v>1490</x:v>
      </x:c>
      <x:c r="U67" s="1" t="str">
        <x:v>215-400-7280</x:v>
      </x:c>
      <x:c r="V67" s="1" t="str">
        <x:v>https://blankenburg.philasd.org/</x:v>
      </x:c>
      <x:c r="W67" s="1" t="str">
        <x:v>2026-2027</x:v>
      </x:c>
      <x:c r="X67" s="1" t="str">
        <x:v>2026-2027</x:v>
      </x:c>
      <x:c r="Y67" s="1" t="str">
        <x:v>1</x:v>
      </x:c>
      <x:c r="Z67" s="1" t="str">
        <x:v>1</x:v>
      </x:c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</x:row>
    <x:row r="68" ht="22" customHeight="1">
      <x:c r="A68" s="2" t="str">
        <x:v>3210</x:v>
      </x:c>
      <x:c r="B68" s="2" t="str">
        <x:v>Ben Franklin High School EOP</x:v>
      </x:c>
      <x:c r="C68" s="2" t="str">
        <x:v>District</x:v>
      </x:c>
      <x:c r="D68" s="2" t="str">
        <x:v>No</x:v>
      </x:c>
      <x:c r="E68" s="2" t="str">
        <x:v>Transition/Overage School</x:v>
      </x:c>
      <x:c r="F68" s="2" t="str">
        <x:v>550 N BROAD ST</x:v>
      </x:c>
      <x:c r="G68" s="2" t="str">
        <x:v>PHILADELPHIA</x:v>
      </x:c>
      <x:c r="H68" s="2" t="str">
        <x:v>19130</x:v>
      </x:c>
      <x:c r="I68" s="2" t="n">
        <x:v>39.96353</x:v>
      </x:c>
      <x:c r="J68" s="2" t="n">
        <x:v>-75.16164</x:v>
      </x:c>
      <x:c r="K68" s="2" t="n">
        <x:v>211</x:v>
      </x:c>
      <x:c r="L68" s="15"/>
      <x:c r="M68" s="1" t="n">
        <x:v>10</x:v>
      </x:c>
      <x:c r="N68" s="1" t="str">
        <x:v>2025-2026</x:v>
      </x:c>
      <x:c r="O68" s="1" t="str">
        <x:v>2026-10-09</x:v>
      </x:c>
      <x:c r="P68" s="1" t="str">
        <x:v>Live</x:v>
      </x:c>
      <x:c r="Q68" s="1" t="str">
        <x:v>9999</x:v>
      </x:c>
      <x:c r="R68" s="1" t="str">
        <x:v>126515001</x:v>
      </x:c>
      <x:c r="S68" s="1"/>
      <x:c r="T68" s="1" t="str">
        <x:v>1580</x:v>
      </x:c>
      <x:c r="U68" s="1" t="str">
        <x:v>215-400-7720</x:v>
      </x:c>
      <x:c r="V68" s="1" t="str">
        <x:v>https://mya.philasd.org/</x:v>
      </x:c>
      <x:c r="W68" s="1" t="str">
        <x:v>2026-2027</x:v>
      </x:c>
      <x:c r="X68" s="1" t="str">
        <x:v>2026-2027</x:v>
      </x:c>
      <x:c r="Y68" s="1" t="str">
        <x:v>1</x:v>
      </x:c>
      <x:c r="Z68" s="1" t="str">
        <x:v>1</x:v>
      </x:c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</x:row>
    <x:row r="69" ht="22" customHeight="1">
      <x:c r="A69" s="2" t="str">
        <x:v>3240</x:v>
      </x:c>
      <x:c r="B69" s="2" t="str">
        <x:v>The Fortis Program</x:v>
      </x:c>
      <x:c r="C69" s="2" t="str">
        <x:v>Contracted</x:v>
      </x:c>
      <x:c r="D69" s="2" t="str">
        <x:v>No</x:v>
      </x:c>
      <x:c r="E69" s="2" t="str">
        <x:v>Transition/Overage School</x:v>
      </x:c>
      <x:c r="F69" s="2" t="str">
        <x:v>2343 E TUCKER ST</x:v>
      </x:c>
      <x:c r="G69" s="2" t="str">
        <x:v>PHILADELPHIA</x:v>
      </x:c>
      <x:c r="H69" s="2" t="str">
        <x:v>19125</x:v>
      </x:c>
      <x:c r="I69" s="2" t="n">
        <x:v>39.9814901</x:v>
      </x:c>
      <x:c r="J69" s="2" t="n">
        <x:v>-75.1188706</x:v>
      </x:c>
      <x:c r="K69" s="2" t="n">
        <x:v>105</x:v>
      </x:c>
      <x:c r="L69" s="15"/>
      <x:c r="M69" s="1" t="n">
        <x:v>6</x:v>
      </x:c>
      <x:c r="N69" s="1" t="str">
        <x:v>2025-2026</x:v>
      </x:c>
      <x:c r="O69" s="1" t="str">
        <x:v>2026-10-09</x:v>
      </x:c>
      <x:c r="P69" s="1" t="str">
        <x:v>Live</x:v>
      </x:c>
      <x:c r="Q69" s="1" t="str">
        <x:v>N/A</x:v>
      </x:c>
      <x:c r="R69" s="1" t="str">
        <x:v>326510730</x:v>
      </x:c>
      <x:c r="S69" s="1"/>
      <x:c r="T69" s="1" t="str">
        <x:v>2000</x:v>
      </x:c>
      <x:c r="U69" s="1" t="str">
        <x:v>215-400-8400</x:v>
      </x:c>
      <x:c r="V69" s="1" t="str">
        <x:v>https://sphs.philasd.org/</x:v>
      </x:c>
      <x:c r="W69" s="1" t="str">
        <x:v>2026-2027</x:v>
      </x:c>
      <x:c r="X69" s="1" t="str">
        <x:v>2026-2027</x:v>
      </x:c>
      <x:c r="Y69" s="1" t="str">
        <x:v>1</x:v>
      </x:c>
      <x:c r="Z69" s="1" t="str">
        <x:v>1</x:v>
      </x:c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</x:row>
    <x:row r="70" ht="22" customHeight="1">
      <x:c r="A70" s="2" t="str">
        <x:v>3250</x:v>
      </x:c>
      <x:c r="B70" s="2" t="str">
        <x:v>Early College Charter School of Philadelphia</x:v>
      </x:c>
      <x:c r="C70" s="2" t="str">
        <x:v>Charter</x:v>
      </x:c>
      <x:c r="D70" s="2" t="str">
        <x:v>Unknown</x:v>
      </x:c>
      <x:c r="E70" s="2" t="str">
        <x:v>Middle</x:v>
      </x:c>
      <x:c r="F70" s="2" t="str">
        <x:v>1420 PINE ST</x:v>
      </x:c>
      <x:c r="G70" s="2" t="str">
        <x:v>PHILADELPHIA</x:v>
      </x:c>
      <x:c r="H70" s="2" t="str">
        <x:v>19102</x:v>
      </x:c>
      <x:c r="I70" s="2" t="n">
        <x:v>39.94542</x:v>
      </x:c>
      <x:c r="J70" s="2" t="n">
        <x:v>-75.1663</x:v>
      </x:c>
      <x:c r="K70" s="2"/>
      <x:c r="L70" s="15"/>
      <x:c r="M70" s="1" t="n">
        <x:v>10</x:v>
      </x:c>
      <x:c r="N70" s="1" t="str">
        <x:v>2025-2026</x:v>
      </x:c>
      <x:c r="O70" s="1" t="str">
        <x:v>2026-10-09</x:v>
      </x:c>
      <x:c r="P70" s="1" t="str">
        <x:v>Live</x:v>
      </x:c>
      <x:c r="Q70" s="1" t="str">
        <x:v>N/A</x:v>
      </x:c>
      <x:c r="R70" s="1" t="str">
        <x:v>126518705</x:v>
      </x:c>
      <x:c r="S70" s="1"/>
      <x:c r="T70" s="1" t="str">
        <x:v>2010</x:v>
      </x:c>
      <x:c r="U70" s="1" t="str">
        <x:v>215-400-7600</x:v>
      </x:c>
      <x:c r="V70" s="1" t="str">
        <x:v>https://bfhs.philasd.org/</x:v>
      </x:c>
      <x:c r="W70" s="1" t="str">
        <x:v>2026-2027</x:v>
      </x:c>
      <x:c r="X70" s="1" t="str">
        <x:v>2026-2027</x:v>
      </x:c>
      <x:c r="Y70" s="1" t="str">
        <x:v>1</x:v>
      </x:c>
      <x:c r="Z70" s="1" t="str">
        <x:v>1</x:v>
      </x:c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</x:row>
    <x:row r="71" ht="22" customHeight="1">
      <x:c r="A71" s="2" t="str">
        <x:v>3290</x:v>
      </x:c>
      <x:c r="B71" s="2" t="str">
        <x:v>Excel Academy South</x:v>
      </x:c>
      <x:c r="C71" s="2" t="str">
        <x:v>Contracted</x:v>
      </x:c>
      <x:c r="D71" s="2" t="str">
        <x:v>No</x:v>
      </x:c>
      <x:c r="E71" s="2" t="str">
        <x:v>Transition/Overage School</x:v>
      </x:c>
      <x:c r="F71" s="2" t="str">
        <x:v>4641 ROOSEVELT BLVD</x:v>
      </x:c>
      <x:c r="G71" s="2" t="str">
        <x:v>PHILADELPHIA</x:v>
      </x:c>
      <x:c r="H71" s="2" t="str">
        <x:v>19124</x:v>
      </x:c>
      <x:c r="I71" s="2" t="n">
        <x:v>40.02608143</x:v>
      </x:c>
      <x:c r="J71" s="2" t="n">
        <x:v>-75.10251944</x:v>
      </x:c>
      <x:c r="K71" s="2" t="n">
        <x:v>183</x:v>
      </x:c>
      <x:c r="L71" s="15"/>
      <x:c r="M71" s="1" t="n">
        <x:v>3</x:v>
      </x:c>
      <x:c r="N71" s="1" t="str">
        <x:v>2025-2026</x:v>
      </x:c>
      <x:c r="O71" s="1" t="str">
        <x:v>2026-10-09</x:v>
      </x:c>
      <x:c r="P71" s="1" t="str">
        <x:v>Live</x:v>
      </x:c>
      <x:c r="Q71" s="1" t="str">
        <x:v>9999</x:v>
      </x:c>
      <x:c r="R71" s="1" t="str">
        <x:v>126515001</x:v>
      </x:c>
      <x:c r="S71" s="1"/>
      <x:c r="T71" s="1" t="str">
        <x:v>2020</x:v>
      </x:c>
      <x:c r="U71" s="1" t="str">
        <x:v>215-400-8140</x:v>
      </x:c>
      <x:c r="V71" s="1" t="str">
        <x:v>https://capa.philasd.org/</x:v>
      </x:c>
      <x:c r="W71" s="1" t="str">
        <x:v>2026-2027</x:v>
      </x:c>
      <x:c r="X71" s="1" t="str">
        <x:v>2026-2027</x:v>
      </x:c>
      <x:c r="Y71" s="1" t="str">
        <x:v>1</x:v>
      </x:c>
      <x:c r="Z71" s="1" t="str">
        <x:v>1</x:v>
      </x:c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</x:row>
    <x:row r="72" ht="22" customHeight="1">
      <x:c r="A72" s="2" t="str">
        <x:v>3291</x:v>
      </x:c>
      <x:c r="B72" s="2" t="str">
        <x:v>Excel Academy Central</x:v>
      </x:c>
      <x:c r="C72" s="2" t="str">
        <x:v>Contracted</x:v>
      </x:c>
      <x:c r="D72" s="2" t="str">
        <x:v>No</x:v>
      </x:c>
      <x:c r="E72" s="2" t="str">
        <x:v>Transition/Overage School</x:v>
      </x:c>
      <x:c r="F72" s="2" t="str">
        <x:v>201 E OLNEY AVE</x:v>
      </x:c>
      <x:c r="G72" s="2" t="str">
        <x:v>PHILADELPHIA</x:v>
      </x:c>
      <x:c r="H72" s="2" t="str">
        <x:v>19120</x:v>
      </x:c>
      <x:c r="I72" s="2" t="n">
        <x:v>40.0354143</x:v>
      </x:c>
      <x:c r="J72" s="2" t="n">
        <x:v>-75.1179626</x:v>
      </x:c>
      <x:c r="K72" s="2" t="n">
        <x:v>199</x:v>
      </x:c>
      <x:c r="L72" s="15"/>
      <x:c r="M72" s="1" t="n">
        <x:v>6</x:v>
      </x:c>
      <x:c r="N72" s="1" t="str">
        <x:v>2025-2026</x:v>
      </x:c>
      <x:c r="O72" s="1" t="str">
        <x:v>2026-10-09</x:v>
      </x:c>
      <x:c r="P72" s="1" t="str">
        <x:v>Live</x:v>
      </x:c>
      <x:c r="Q72" s="1" t="str">
        <x:v>N/A</x:v>
      </x:c>
      <x:c r="R72" s="1" t="str">
        <x:v>126515001</x:v>
      </x:c>
      <x:c r="S72" s="1"/>
      <x:c r="T72" s="1" t="str">
        <x:v>2050</x:v>
      </x:c>
      <x:c r="U72" s="1" t="str">
        <x:v>215-400-8320</x:v>
      </x:c>
      <x:c r="V72" s="1" t="str">
        <x:v>https://slams.philasd.org/</x:v>
      </x:c>
      <x:c r="W72" s="1" t="str">
        <x:v>2026-2027</x:v>
      </x:c>
      <x:c r="X72" s="1" t="str">
        <x:v>2026-2027</x:v>
      </x:c>
      <x:c r="Y72" s="1" t="str">
        <x:v>1</x:v>
      </x:c>
      <x:c r="Z72" s="1" t="str">
        <x:v>1</x:v>
      </x:c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</x:row>
    <x:row r="73" ht="22" customHeight="1">
      <x:c r="A73" s="2" t="str">
        <x:v>3292</x:v>
      </x:c>
      <x:c r="B73" s="2" t="str">
        <x:v>The Academy of Continued Education School</x:v>
      </x:c>
      <x:c r="C73" s="2" t="str">
        <x:v>District</x:v>
      </x:c>
      <x:c r="D73" s="2" t="str">
        <x:v>No</x:v>
      </x:c>
      <x:c r="E73" s="2" t="str">
        <x:v>Transition/Overage School</x:v>
      </x:c>
      <x:c r="F73" s="2" t="str">
        <x:v>440 N BROAD ST</x:v>
      </x:c>
      <x:c r="G73" s="2" t="str">
        <x:v>PHILADELPHIA</x:v>
      </x:c>
      <x:c r="H73" s="2" t="str">
        <x:v>19130</x:v>
      </x:c>
      <x:c r="I73" s="2" t="n">
        <x:v>39.9613083</x:v>
      </x:c>
      <x:c r="J73" s="2" t="n">
        <x:v>-75.1622511</x:v>
      </x:c>
      <x:c r="K73" s="2"/>
      <x:c r="L73" s="15"/>
      <x:c r="M73" s="1" t="n">
        <x:v>10</x:v>
      </x:c>
      <x:c r="N73" s="1" t="str">
        <x:v>2025-2026</x:v>
      </x:c>
      <x:c r="O73" s="1" t="str">
        <x:v>2026-10-09</x:v>
      </x:c>
      <x:c r="P73" s="1" t="str">
        <x:v>Live</x:v>
      </x:c>
      <x:c r="Q73" s="1" t="str">
        <x:v>N/A</x:v>
      </x:c>
      <x:c r="R73" s="1" t="str">
        <x:v>126515001</x:v>
      </x:c>
      <x:c r="S73" s="1"/>
      <x:c r="T73" s="1" t="str">
        <x:v>2140</x:v>
      </x:c>
      <x:c r="U73" s="1" t="str">
        <x:v>215-400-7580</x:v>
      </x:c>
      <x:c r="V73" s="1" t="str">
        <x:v>https://masterman.philasd.org/</x:v>
      </x:c>
      <x:c r="W73" s="1" t="str">
        <x:v>2026-2027</x:v>
      </x:c>
      <x:c r="X73" s="1" t="str">
        <x:v>2026-2027</x:v>
      </x:c>
      <x:c r="Y73" s="1" t="str">
        <x:v>1</x:v>
      </x:c>
      <x:c r="Z73" s="1" t="str">
        <x:v>1</x:v>
      </x:c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</x:row>
    <x:row r="74" ht="22" customHeight="1">
      <x:c r="A74" s="2" t="str">
        <x:v>3301</x:v>
      </x:c>
      <x:c r="B74" s="2" t="str">
        <x:v>Community Academy of Philadelphia Charter School</x:v>
      </x:c>
      <x:c r="C74" s="2" t="str">
        <x:v>Charter</x:v>
      </x:c>
      <x:c r="D74" s="2" t="str">
        <x:v>Yes</x:v>
      </x:c>
      <x:c r="E74" s="2" t="str">
        <x:v>Elementary-Middle-High</x:v>
      </x:c>
      <x:c r="F74" s="2" t="str">
        <x:v>1100 E ERIE AVE</x:v>
      </x:c>
      <x:c r="G74" s="2" t="str">
        <x:v>PHILADELPHIA</x:v>
      </x:c>
      <x:c r="H74" s="2" t="str">
        <x:v>19124</x:v>
      </x:c>
      <x:c r="I74" s="2" t="n">
        <x:v>40.00538049</x:v>
      </x:c>
      <x:c r="J74" s="2" t="n">
        <x:v>-75.10735613</x:v>
      </x:c>
      <x:c r="K74" s="2" t="n">
        <x:v>1251</x:v>
      </x:c>
      <x:c r="L74" s="15" t="n">
        <x:v>0.9114</x:v>
      </x:c>
      <x:c r="M74" s="1" t="n">
        <x:v>7</x:v>
      </x:c>
      <x:c r="N74" s="1" t="str">
        <x:v>2025-2026</x:v>
      </x:c>
      <x:c r="O74" s="1" t="str">
        <x:v>2026-10-09</x:v>
      </x:c>
      <x:c r="P74" s="1" t="str">
        <x:v>Live</x:v>
      </x:c>
      <x:c r="Q74" s="1" t="str">
        <x:v>7510</x:v>
      </x:c>
      <x:c r="R74" s="1" t="str">
        <x:v>126512840</x:v>
      </x:c>
      <x:c r="S74" s="1"/>
      <x:c r="T74" s="1" t="str">
        <x:v>2160</x:v>
      </x:c>
      <x:c r="U74" s="1" t="str">
        <x:v>215-400-8300</x:v>
      </x:c>
      <x:c r="V74" s="1" t="str">
        <x:v>https://furness.philasd.org/</x:v>
      </x:c>
      <x:c r="W74" s="1" t="str">
        <x:v>2026-2027</x:v>
      </x:c>
      <x:c r="X74" s="1" t="str">
        <x:v>2026-2027</x:v>
      </x:c>
      <x:c r="Y74" s="1" t="str">
        <x:v>1</x:v>
      </x:c>
      <x:c r="Z74" s="1" t="str">
        <x:v>1</x:v>
      </x:c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</x:row>
    <x:row r="75" ht="22" customHeight="1">
      <x:c r="A75" s="2" t="str">
        <x:v>3302</x:v>
      </x:c>
      <x:c r="B75" s="2" t="str">
        <x:v>Harambee Institute of Science and Technology Charter School</x:v>
      </x:c>
      <x:c r="C75" s="2" t="str">
        <x:v>Charter</x:v>
      </x:c>
      <x:c r="D75" s="2" t="str">
        <x:v>Yes</x:v>
      </x:c>
      <x:c r="E75" s="2" t="str">
        <x:v>Elementary-Middle</x:v>
      </x:c>
      <x:c r="F75" s="2" t="str">
        <x:v>640 N 66TH ST</x:v>
      </x:c>
      <x:c r="G75" s="2" t="str">
        <x:v>PHILADELPHIA</x:v>
      </x:c>
      <x:c r="H75" s="2" t="str">
        <x:v>19151</x:v>
      </x:c>
      <x:c r="I75" s="2" t="n">
        <x:v>39.97309111</x:v>
      </x:c>
      <x:c r="J75" s="2" t="n">
        <x:v>-75.25171974</x:v>
      </x:c>
      <x:c r="K75" s="2" t="n">
        <x:v>555</x:v>
      </x:c>
      <x:c r="L75" s="15" t="n">
        <x:v>0.7941</x:v>
      </x:c>
      <x:c r="M75" s="1" t="n">
        <x:v>7</x:v>
      </x:c>
      <x:c r="N75" s="1" t="str">
        <x:v>2025-2026</x:v>
      </x:c>
      <x:c r="O75" s="1" t="str">
        <x:v>2026-10-09</x:v>
      </x:c>
      <x:c r="P75" s="1" t="str">
        <x:v>Live</x:v>
      </x:c>
      <x:c r="Q75" s="1" t="str">
        <x:v>7511</x:v>
      </x:c>
      <x:c r="R75" s="1" t="str">
        <x:v>126512850</x:v>
      </x:c>
      <x:c r="S75" s="1"/>
      <x:c r="T75" s="1" t="str">
        <x:v>2190</x:v>
      </x:c>
      <x:c r="U75" s="1" t="str">
        <x:v>215-400-8260</x:v>
      </x:c>
      <x:c r="V75" s="1" t="str">
        <x:v>https://fell.philasd.org/</x:v>
      </x:c>
      <x:c r="W75" s="1" t="str">
        <x:v>2026-2027</x:v>
      </x:c>
      <x:c r="X75" s="1" t="str">
        <x:v>2026-2027</x:v>
      </x:c>
      <x:c r="Y75" s="1" t="str">
        <x:v>1</x:v>
      </x:c>
      <x:c r="Z75" s="1" t="str">
        <x:v>1</x:v>
      </x:c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</x:row>
    <x:row r="76" ht="22" customHeight="1">
      <x:c r="A76" s="2" t="str">
        <x:v>3304</x:v>
      </x:c>
      <x:c r="B76" s="2" t="str">
        <x:v>YouthBuild Philadelphia Charter School</x:v>
      </x:c>
      <x:c r="C76" s="2" t="str">
        <x:v>Charter</x:v>
      </x:c>
      <x:c r="D76" s="2" t="str">
        <x:v>Unknown</x:v>
      </x:c>
      <x:c r="E76" s="2" t="str">
        <x:v>High</x:v>
      </x:c>
      <x:c r="F76" s="2" t="str">
        <x:v>2309 N BROAD ST</x:v>
      </x:c>
      <x:c r="G76" s="2" t="str">
        <x:v>PHILADELPHIA</x:v>
      </x:c>
      <x:c r="H76" s="2" t="str">
        <x:v>19132</x:v>
      </x:c>
      <x:c r="I76" s="2" t="n">
        <x:v>39.9882193</x:v>
      </x:c>
      <x:c r="J76" s="2" t="n">
        <x:v>-75.1553227</x:v>
      </x:c>
      <x:c r="K76" s="2" t="n">
        <x:v>286</x:v>
      </x:c>
      <x:c r="L76" s="15"/>
      <x:c r="M76" s="1" t="n">
        <x:v>16</x:v>
      </x:c>
      <x:c r="N76" s="1" t="str">
        <x:v>2025-2026</x:v>
      </x:c>
      <x:c r="O76" s="1" t="str">
        <x:v>2026-10-09</x:v>
      </x:c>
      <x:c r="P76" s="1" t="str">
        <x:v>Live</x:v>
      </x:c>
      <x:c r="Q76" s="1" t="str">
        <x:v>007513</x:v>
      </x:c>
      <x:c r="R76" s="1" t="str">
        <x:v>126512870</x:v>
      </x:c>
      <x:c r="S76" s="1"/>
      <x:c r="T76" s="1" t="str">
        <x:v>2210</x:v>
      </x:c>
      <x:c r="U76" s="1" t="str">
        <x:v>215-400-7550</x:v>
      </x:c>
      <x:c r="V76" s="1" t="str">
        <x:v>https://bachemartin.philasd.org/</x:v>
      </x:c>
      <x:c r="W76" s="1" t="str">
        <x:v>2026-2027</x:v>
      </x:c>
      <x:c r="X76" s="1" t="str">
        <x:v>2026-2027</x:v>
      </x:c>
      <x:c r="Y76" s="1" t="str">
        <x:v>1</x:v>
      </x:c>
      <x:c r="Z76" s="1" t="str">
        <x:v>1</x:v>
      </x:c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</x:row>
    <x:row r="77" ht="22" customHeight="1">
      <x:c r="A77" s="2" t="str">
        <x:v>3306</x:v>
      </x:c>
      <x:c r="B77" s="2" t="str">
        <x:v>Christopher Columbus Charter School</x:v>
      </x:c>
      <x:c r="C77" s="2" t="str">
        <x:v>Charter</x:v>
      </x:c>
      <x:c r="D77" s="2" t="str">
        <x:v>Yes</x:v>
      </x:c>
      <x:c r="E77" s="2" t="str">
        <x:v>Elementary-Middle</x:v>
      </x:c>
      <x:c r="F77" s="2" t="str">
        <x:v>916 CHRISTIAN ST</x:v>
      </x:c>
      <x:c r="G77" s="2" t="str">
        <x:v>PHILADELPHIA</x:v>
      </x:c>
      <x:c r="H77" s="2" t="str">
        <x:v>19147</x:v>
      </x:c>
      <x:c r="I77" s="2" t="n">
        <x:v>39.93894574</x:v>
      </x:c>
      <x:c r="J77" s="2" t="n">
        <x:v>-75.15824752</x:v>
      </x:c>
      <x:c r="K77" s="2" t="n">
        <x:v>817</x:v>
      </x:c>
      <x:c r="L77" s="15" t="n">
        <x:v>0.6031</x:v>
      </x:c>
      <x:c r="M77" s="1" t="n">
        <x:v>11</x:v>
      </x:c>
      <x:c r="N77" s="1" t="str">
        <x:v>2025-2026</x:v>
      </x:c>
      <x:c r="O77" s="1" t="str">
        <x:v>2026-10-09</x:v>
      </x:c>
      <x:c r="P77" s="1" t="str">
        <x:v>Live</x:v>
      </x:c>
      <x:c r="Q77" s="1" t="str">
        <x:v>7575</x:v>
      </x:c>
      <x:c r="R77" s="1" t="str">
        <x:v>126513160</x:v>
      </x:c>
      <x:c r="S77" s="1"/>
      <x:c r="T77" s="1" t="str">
        <x:v>2240</x:v>
      </x:c>
      <x:c r="U77" s="1" t="str">
        <x:v>215-400-8210</x:v>
      </x:c>
      <x:c r="V77" s="1" t="str">
        <x:v>https://bregy.philasd.org/</x:v>
      </x:c>
      <x:c r="W77" s="1" t="str">
        <x:v>2026-2027</x:v>
      </x:c>
      <x:c r="X77" s="1" t="str">
        <x:v>2026-2027</x:v>
      </x:c>
      <x:c r="Y77" s="1" t="str">
        <x:v>1</x:v>
      </x:c>
      <x:c r="Z77" s="1" t="str">
        <x:v>1</x:v>
      </x:c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</x:row>
    <x:row r="78" ht="22" customHeight="1">
      <x:c r="A78" s="2" t="str">
        <x:v>3307</x:v>
      </x:c>
      <x:c r="B78" s="2" t="str">
        <x:v>Eugenio Maria De Hostos Charter School</x:v>
      </x:c>
      <x:c r="C78" s="2" t="str">
        <x:v>Charter</x:v>
      </x:c>
      <x:c r="D78" s="2" t="str">
        <x:v>Yes</x:v>
      </x:c>
      <x:c r="E78" s="2" t="str">
        <x:v>Elementary-Middle</x:v>
      </x:c>
      <x:c r="F78" s="2" t="str">
        <x:v>6301 N 2ND ST</x:v>
      </x:c>
      <x:c r="G78" s="2" t="str">
        <x:v>PHILADELPHIA</x:v>
      </x:c>
      <x:c r="H78" s="2" t="str">
        <x:v>19120</x:v>
      </x:c>
      <x:c r="I78" s="2" t="n">
        <x:v>40.04655012</x:v>
      </x:c>
      <x:c r="J78" s="2" t="n">
        <x:v>-75.12324994</x:v>
      </x:c>
      <x:c r="K78" s="2" t="n">
        <x:v>697</x:v>
      </x:c>
      <x:c r="L78" s="15" t="n">
        <x:v>0.7647</x:v>
      </x:c>
      <x:c r="M78" s="1" t="n">
        <x:v>3</x:v>
      </x:c>
      <x:c r="N78" s="1" t="str">
        <x:v>2025-2026</x:v>
      </x:c>
      <x:c r="O78" s="1" t="str">
        <x:v>2026-10-09</x:v>
      </x:c>
      <x:c r="P78" s="1" t="str">
        <x:v>Live</x:v>
      </x:c>
      <x:c r="Q78" s="1" t="str">
        <x:v>7564</x:v>
      </x:c>
      <x:c r="R78" s="1" t="str">
        <x:v>126513100</x:v>
      </x:c>
      <x:c r="S78" s="1"/>
      <x:c r="T78" s="1" t="str">
        <x:v>2260</x:v>
      </x:c>
      <x:c r="U78" s="1" t="str">
        <x:v>215-400-7950</x:v>
      </x:c>
      <x:c r="V78" s="1" t="str">
        <x:v>https://childs.philasd.org/</x:v>
      </x:c>
      <x:c r="W78" s="1" t="str">
        <x:v>2026-2027</x:v>
      </x:c>
      <x:c r="X78" s="1" t="str">
        <x:v>2026-2027</x:v>
      </x:c>
      <x:c r="Y78" s="1" t="str">
        <x:v>1</x:v>
      </x:c>
      <x:c r="Z78" s="1" t="str">
        <x:v>1</x:v>
      </x:c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</x:row>
    <x:row r="79" ht="22" customHeight="1">
      <x:c r="A79" s="2" t="str">
        <x:v>3308</x:v>
      </x:c>
      <x:c r="B79" s="2" t="str">
        <x:v>Inquiry Charter School</x:v>
      </x:c>
      <x:c r="C79" s="2" t="str">
        <x:v>Charter</x:v>
      </x:c>
      <x:c r="D79" s="2" t="str">
        <x:v>Yes</x:v>
      </x:c>
      <x:c r="E79" s="2" t="str">
        <x:v>Elementary</x:v>
      </x:c>
      <x:c r="F79" s="2" t="str">
        <x:v>1301 BELMONT AVE</x:v>
      </x:c>
      <x:c r="G79" s="2" t="str">
        <x:v>PHILADELPHIA</x:v>
      </x:c>
      <x:c r="H79" s="2" t="str">
        <x:v>19104</x:v>
      </x:c>
      <x:c r="I79" s="2" t="n">
        <x:v>39.97475234</x:v>
      </x:c>
      <x:c r="J79" s="2" t="n">
        <x:v>-75.21252924</x:v>
      </x:c>
      <x:c r="K79" s="2" t="n">
        <x:v>272</x:v>
      </x:c>
      <x:c r="L79" s="15" t="n">
        <x:v>0.6336</x:v>
      </x:c>
      <x:c r="M79" s="1" t="n">
        <x:v>9</x:v>
      </x:c>
      <x:c r="N79" s="1" t="str">
        <x:v>2025-2026</x:v>
      </x:c>
      <x:c r="O79" s="1" t="str">
        <x:v>2026-10-09</x:v>
      </x:c>
      <x:c r="P79" s="1" t="str">
        <x:v>Live</x:v>
      </x:c>
      <x:c r="Q79" s="1" t="str">
        <x:v>7557</x:v>
      </x:c>
      <x:c r="R79" s="1" t="str">
        <x:v>126513070</x:v>
      </x:c>
      <x:c r="S79" s="1"/>
      <x:c r="T79" s="1" t="str">
        <x:v>2290</x:v>
      </x:c>
      <x:c r="U79" s="1" t="str">
        <x:v>215-400-7570</x:v>
      </x:c>
      <x:c r="V79" s="1" t="str">
        <x:v>https://flc.philasd.org/</x:v>
      </x:c>
      <x:c r="W79" s="1" t="str">
        <x:v>2026-2027</x:v>
      </x:c>
      <x:c r="X79" s="1" t="str">
        <x:v>2026-2027</x:v>
      </x:c>
      <x:c r="Y79" s="1" t="str">
        <x:v>1</x:v>
      </x:c>
      <x:c r="Z79" s="1" t="str">
        <x:v>1</x:v>
      </x:c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</x:row>
    <x:row r="80" ht="22" customHeight="1">
      <x:c r="A80" s="2" t="str">
        <x:v>3309</x:v>
      </x:c>
      <x:c r="B80" s="2" t="str">
        <x:v>Imhotep Institute Charter High School</x:v>
      </x:c>
      <x:c r="C80" s="2" t="str">
        <x:v>Charter</x:v>
      </x:c>
      <x:c r="D80" s="2" t="str">
        <x:v>Yes</x:v>
      </x:c>
      <x:c r="E80" s="2" t="str">
        <x:v>High</x:v>
      </x:c>
      <x:c r="F80" s="2" t="str">
        <x:v>6201 N 21ST ST</x:v>
      </x:c>
      <x:c r="G80" s="2" t="str">
        <x:v>PHILADELPHIA</x:v>
      </x:c>
      <x:c r="H80" s="2" t="str">
        <x:v>19138</x:v>
      </x:c>
      <x:c r="I80" s="2" t="n">
        <x:v>40.049427</x:v>
      </x:c>
      <x:c r="J80" s="2" t="n">
        <x:v>-75.154717</x:v>
      </x:c>
      <x:c r="K80" s="2" t="n">
        <x:v>604</x:v>
      </x:c>
      <x:c r="L80" s="15" t="n">
        <x:v>0.796</x:v>
      </x:c>
      <x:c r="M80" s="1" t="n">
        <x:v>13</x:v>
      </x:c>
      <x:c r="N80" s="1" t="str">
        <x:v>2025-2026</x:v>
      </x:c>
      <x:c r="O80" s="1" t="str">
        <x:v>2026-10-09</x:v>
      </x:c>
      <x:c r="P80" s="1" t="str">
        <x:v>Live</x:v>
      </x:c>
      <x:c r="Q80" s="1" t="str">
        <x:v>7542</x:v>
      </x:c>
      <x:c r="R80" s="1" t="str">
        <x:v>126512980</x:v>
      </x:c>
      <x:c r="S80" s="1"/>
      <x:c r="T80" s="1" t="str">
        <x:v>2310</x:v>
      </x:c>
      <x:c r="U80" s="1" t="str">
        <x:v>215-684-5080</x:v>
      </x:c>
      <x:c r="V80" s="1" t="str">
        <x:v>https://sesischools.com/location/achieve-academy-of-philadelphia/</x:v>
      </x:c>
      <x:c r="W80" s="1" t="str">
        <x:v>2026-2027</x:v>
      </x:c>
      <x:c r="X80" s="1" t="str">
        <x:v>2026-2027</x:v>
      </x:c>
      <x:c r="Y80" s="1" t="str">
        <x:v>0</x:v>
      </x:c>
      <x:c r="Z80" s="1" t="str">
        <x:v>0</x:v>
      </x:c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</x:row>
    <x:row r="81" ht="22" customHeight="1">
      <x:c r="A81" s="2" t="str">
        <x:v>3310</x:v>
      </x:c>
      <x:c r="B81" s="2" t="str">
        <x:v>Laboratory Charter School of Communication and Languages</x:v>
      </x:c>
      <x:c r="C81" s="2" t="str">
        <x:v>Charter</x:v>
      </x:c>
      <x:c r="D81" s="2" t="str">
        <x:v>Yes</x:v>
      </x:c>
      <x:c r="E81" s="2" t="str">
        <x:v>Elementary-Middle</x:v>
      </x:c>
      <x:c r="F81" s="2" t="str">
        <x:v>926 W SEDGLEY AVE</x:v>
      </x:c>
      <x:c r="G81" s="2" t="str">
        <x:v>PHILADELPHIA</x:v>
      </x:c>
      <x:c r="H81" s="2" t="str">
        <x:v>19140</x:v>
      </x:c>
      <x:c r="I81" s="2" t="n">
        <x:v>40.001404</x:v>
      </x:c>
      <x:c r="J81" s="2" t="n">
        <x:v>-75.145662</x:v>
      </x:c>
      <x:c r="K81" s="2" t="n">
        <x:v>375</x:v>
      </x:c>
      <x:c r="L81" s="15" t="n">
        <x:v>0.8611</x:v>
      </x:c>
      <x:c r="M81" s="1" t="n">
        <x:v>10</x:v>
      </x:c>
      <x:c r="N81" s="1" t="str">
        <x:v>2025-2026</x:v>
      </x:c>
      <x:c r="O81" s="1" t="str">
        <x:v>2026-10-09</x:v>
      </x:c>
      <x:c r="P81" s="1" t="str">
        <x:v>Live</x:v>
      </x:c>
      <x:c r="Q81" s="1" t="str">
        <x:v>7565</x:v>
      </x:c>
      <x:c r="R81" s="1" t="str">
        <x:v>126513110</x:v>
      </x:c>
      <x:c r="S81" s="1"/>
      <x:c r="T81" s="1" t="str">
        <x:v>2320</x:v>
      </x:c>
      <x:c r="U81" s="1" t="str">
        <x:v>215-400-8180</x:v>
      </x:c>
      <x:c r="V81" s="1" t="str">
        <x:v>https://girard.philasd.org/</x:v>
      </x:c>
      <x:c r="W81" s="1" t="str">
        <x:v>2026-2027</x:v>
      </x:c>
      <x:c r="X81" s="1" t="str">
        <x:v>2026-2027</x:v>
      </x:c>
      <x:c r="Y81" s="1" t="str">
        <x:v>1</x:v>
      </x:c>
      <x:c r="Z81" s="1" t="str">
        <x:v>1</x:v>
      </x:c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</x:row>
    <x:row r="82" ht="22" customHeight="1">
      <x:c r="A82" s="2" t="str">
        <x:v>3312</x:v>
      </x:c>
      <x:c r="B82" s="2" t="str">
        <x:v>Multicultural Academy Charter School</x:v>
      </x:c>
      <x:c r="C82" s="2" t="str">
        <x:v>Charter</x:v>
      </x:c>
      <x:c r="D82" s="2" t="str">
        <x:v>Yes</x:v>
      </x:c>
      <x:c r="E82" s="2" t="str">
        <x:v>High</x:v>
      </x:c>
      <x:c r="F82" s="2" t="str">
        <x:v>3821 N BROAD ST</x:v>
      </x:c>
      <x:c r="G82" s="2" t="str">
        <x:v>PHILADELPHIA</x:v>
      </x:c>
      <x:c r="H82" s="2" t="str">
        <x:v>19140</x:v>
      </x:c>
      <x:c r="I82" s="2" t="n">
        <x:v>40.01112725</x:v>
      </x:c>
      <x:c r="J82" s="2" t="n">
        <x:v>-75.15073123</x:v>
      </x:c>
      <x:c r="K82" s="2" t="n">
        <x:v>261</x:v>
      </x:c>
      <x:c r="L82" s="15" t="n">
        <x:v>0.6896</x:v>
      </x:c>
      <x:c r="M82" s="1" t="n">
        <x:v>9</x:v>
      </x:c>
      <x:c r="N82" s="1" t="str">
        <x:v>2025-2026</x:v>
      </x:c>
      <x:c r="O82" s="1" t="str">
        <x:v>2026-10-09</x:v>
      </x:c>
      <x:c r="P82" s="1" t="str">
        <x:v>Live</x:v>
      </x:c>
      <x:c r="Q82" s="1" t="str">
        <x:v>7546</x:v>
      </x:c>
      <x:c r="R82" s="1" t="str">
        <x:v>126513000</x:v>
      </x:c>
      <x:c r="S82" s="1"/>
      <x:c r="T82" s="1" t="str">
        <x:v>2340</x:v>
      </x:c>
      <x:c r="U82" s="1" t="str">
        <x:v>215-400-7840</x:v>
      </x:c>
      <x:c r="V82" s="1" t="str">
        <x:v>https://mccall.philasd.org/</x:v>
      </x:c>
      <x:c r="W82" s="1" t="str">
        <x:v>2026-2027</x:v>
      </x:c>
      <x:c r="X82" s="1" t="str">
        <x:v>2026-2027</x:v>
      </x:c>
      <x:c r="Y82" s="1" t="str">
        <x:v>1</x:v>
      </x:c>
      <x:c r="Z82" s="1" t="str">
        <x:v>1</x:v>
      </x:c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</x:row>
    <x:row r="83" ht="22" customHeight="1">
      <x:c r="A83" s="2" t="str">
        <x:v>3313</x:v>
      </x:c>
      <x:c r="B83" s="2" t="str">
        <x:v>Preparatory Charter School of Mathematics, Science, Technology and Careers</x:v>
      </x:c>
      <x:c r="C83" s="2" t="str">
        <x:v>Charter</x:v>
      </x:c>
      <x:c r="D83" s="2" t="str">
        <x:v>Yes</x:v>
      </x:c>
      <x:c r="E83" s="2" t="str">
        <x:v>High</x:v>
      </x:c>
      <x:c r="F83" s="2" t="str">
        <x:v>1928 POINT BREEZE AVE</x:v>
      </x:c>
      <x:c r="G83" s="2" t="str">
        <x:v>PHILADELPHIA</x:v>
      </x:c>
      <x:c r="H83" s="2" t="str">
        <x:v>19145</x:v>
      </x:c>
      <x:c r="I83" s="2" t="n">
        <x:v>39.92845355</x:v>
      </x:c>
      <x:c r="J83" s="2" t="n">
        <x:v>-75.18665686</x:v>
      </x:c>
      <x:c r="K83" s="2" t="n">
        <x:v>590</x:v>
      </x:c>
      <x:c r="L83" s="15" t="n">
        <x:v>0.75</x:v>
      </x:c>
      <x:c r="M83" s="1" t="n">
        <x:v>10</x:v>
      </x:c>
      <x:c r="N83" s="1" t="str">
        <x:v>2025-2026</x:v>
      </x:c>
      <x:c r="O83" s="1" t="str">
        <x:v>2026-10-09</x:v>
      </x:c>
      <x:c r="P83" s="1" t="str">
        <x:v>Live</x:v>
      </x:c>
      <x:c r="Q83" s="1" t="str">
        <x:v>7540</x:v>
      </x:c>
      <x:c r="R83" s="1" t="str">
        <x:v>126512960</x:v>
      </x:c>
      <x:c r="S83" s="1"/>
      <x:c r="T83" s="1" t="str">
        <x:v>2370</x:v>
      </x:c>
      <x:c r="U83" s="1" t="str">
        <x:v>215-400-8220</x:v>
      </x:c>
      <x:c r="V83" s="1" t="str">
        <x:v>https://mcdaniel.philasd.org/</x:v>
      </x:c>
      <x:c r="W83" s="1" t="str">
        <x:v>2026-2027</x:v>
      </x:c>
      <x:c r="X83" s="1" t="str">
        <x:v>2026-2027</x:v>
      </x:c>
      <x:c r="Y83" s="1" t="str">
        <x:v>1</x:v>
      </x:c>
      <x:c r="Z83" s="1" t="str">
        <x:v>1</x:v>
      </x:c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</x:row>
    <x:row r="84" ht="22" customHeight="1">
      <x:c r="A84" s="2" t="str">
        <x:v>3314</x:v>
      </x:c>
      <x:c r="B84" s="2" t="str">
        <x:v>West Oak Lane Charter School</x:v>
      </x:c>
      <x:c r="C84" s="2" t="str">
        <x:v>Charter</x:v>
      </x:c>
      <x:c r="D84" s="2" t="str">
        <x:v>Yes</x:v>
      </x:c>
      <x:c r="E84" s="2" t="str">
        <x:v>Elementary-Middle</x:v>
      </x:c>
      <x:c r="F84" s="2" t="str">
        <x:v>7115 STENTON AVE</x:v>
      </x:c>
      <x:c r="G84" s="2" t="str">
        <x:v>PHILADELPHIA</x:v>
      </x:c>
      <x:c r="H84" s="2" t="str">
        <x:v>19138</x:v>
      </x:c>
      <x:c r="I84" s="2" t="n">
        <x:v>40.05936358</x:v>
      </x:c>
      <x:c r="J84" s="2" t="n">
        <x:v>-75.16363798</x:v>
      </x:c>
      <x:c r="K84" s="2" t="n">
        <x:v>1007</x:v>
      </x:c>
      <x:c r="L84" s="15" t="n">
        <x:v>0.9637</x:v>
      </x:c>
      <x:c r="M84" s="1" t="n">
        <x:v>8</x:v>
      </x:c>
      <x:c r="N84" s="1" t="str">
        <x:v>2025-2026</x:v>
      </x:c>
      <x:c r="O84" s="1" t="str">
        <x:v>2026-10-09</x:v>
      </x:c>
      <x:c r="P84" s="1" t="str">
        <x:v>Live</x:v>
      </x:c>
      <x:c r="Q84" s="1" t="str">
        <x:v>7548</x:v>
      </x:c>
      <x:c r="R84" s="1" t="str">
        <x:v>126513020</x:v>
      </x:c>
      <x:c r="S84" s="1"/>
      <x:c r="T84" s="1" t="str">
        <x:v>2380</x:v>
      </x:c>
      <x:c r="U84" s="1" t="str">
        <x:v>215-400-7990</x:v>
      </x:c>
      <x:c r="V84" s="1" t="str">
        <x:v>https://meredith.philasd.org/</x:v>
      </x:c>
      <x:c r="W84" s="1" t="str">
        <x:v>2026-2027</x:v>
      </x:c>
      <x:c r="X84" s="1" t="str">
        <x:v>2026-2027</x:v>
      </x:c>
      <x:c r="Y84" s="1" t="str">
        <x:v>0</x:v>
      </x:c>
      <x:c r="Z84" s="1" t="str">
        <x:v>0</x:v>
      </x:c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</x:row>
    <x:row r="85" ht="22" customHeight="1">
      <x:c r="A85" s="2" t="str">
        <x:v>3315</x:v>
      </x:c>
      <x:c r="B85" s="2" t="str">
        <x:v>Alliance For Progress Charter School</x:v>
      </x:c>
      <x:c r="C85" s="2" t="str">
        <x:v>Charter</x:v>
      </x:c>
      <x:c r="D85" s="2" t="str">
        <x:v>Yes</x:v>
      </x:c>
      <x:c r="E85" s="2" t="str">
        <x:v>Elementary-Middle</x:v>
      </x:c>
      <x:c r="F85" s="2" t="str">
        <x:v>1722 CECIL B MOORE AVE</x:v>
      </x:c>
      <x:c r="G85" s="2" t="str">
        <x:v>PHILADELPHIA</x:v>
      </x:c>
      <x:c r="H85" s="2" t="str">
        <x:v>19121</x:v>
      </x:c>
      <x:c r="I85" s="2" t="n">
        <x:v>39.979731</x:v>
      </x:c>
      <x:c r="J85" s="2" t="n">
        <x:v>-75.165471</x:v>
      </x:c>
      <x:c r="K85" s="2" t="n">
        <x:v>616</x:v>
      </x:c>
      <x:c r="L85" s="15" t="n">
        <x:v>0.927</x:v>
      </x:c>
      <x:c r="M85" s="1" t="n">
        <x:v>14</x:v>
      </x:c>
      <x:c r="N85" s="1" t="str">
        <x:v>2025-2026</x:v>
      </x:c>
      <x:c r="O85" s="1" t="str">
        <x:v>2026-10-09</x:v>
      </x:c>
      <x:c r="P85" s="1" t="str">
        <x:v>Live</x:v>
      </x:c>
      <x:c r="Q85" s="1" t="str">
        <x:v>7543</x:v>
      </x:c>
      <x:c r="R85" s="1" t="str">
        <x:v>126512990</x:v>
      </x:c>
      <x:c r="S85" s="1"/>
      <x:c r="T85" s="1" t="str">
        <x:v>2390</x:v>
      </x:c>
      <x:c r="U85" s="1" t="str">
        <x:v>215-400-7320</x:v>
      </x:c>
      <x:c r="V85" s="1" t="str">
        <x:v>https://morris.philasd.org/</x:v>
      </x:c>
      <x:c r="W85" s="1" t="str">
        <x:v>2026-2027</x:v>
      </x:c>
      <x:c r="X85" s="1" t="str">
        <x:v>2026-2027</x:v>
      </x:c>
      <x:c r="Y85" s="1" t="str">
        <x:v>1</x:v>
      </x:c>
      <x:c r="Z85" s="1" t="str">
        <x:v>1</x:v>
      </x:c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</x:row>
    <x:row r="86" ht="22" customHeight="1">
      <x:c r="A86" s="2" t="str">
        <x:v>3318</x:v>
      </x:c>
      <x:c r="B86" s="2" t="str">
        <x:v>Freire Charter School</x:v>
      </x:c>
      <x:c r="C86" s="2" t="str">
        <x:v>Charter</x:v>
      </x:c>
      <x:c r="D86" s="2" t="str">
        <x:v>Yes</x:v>
      </x:c>
      <x:c r="E86" s="2" t="str">
        <x:v>Middle-High</x:v>
      </x:c>
      <x:c r="F86" s="2" t="str">
        <x:v>2027 CHESTNUT ST</x:v>
      </x:c>
      <x:c r="G86" s="2" t="str">
        <x:v>PHILADELPHIA</x:v>
      </x:c>
      <x:c r="H86" s="2" t="str">
        <x:v>19103</x:v>
      </x:c>
      <x:c r="I86" s="2" t="n">
        <x:v>39.95247289</x:v>
      </x:c>
      <x:c r="J86" s="2" t="n">
        <x:v>-75.17442259</x:v>
      </x:c>
      <x:c r="K86" s="2" t="n">
        <x:v>1072</x:v>
      </x:c>
      <x:c r="L86" s="15" t="n">
        <x:v>0.7488</x:v>
      </x:c>
      <x:c r="M86" s="1" t="n">
        <x:v>5</x:v>
      </x:c>
      <x:c r="N86" s="1" t="str">
        <x:v>2025-2026</x:v>
      </x:c>
      <x:c r="O86" s="1" t="str">
        <x:v>2026-10-09</x:v>
      </x:c>
      <x:c r="P86" s="1" t="str">
        <x:v>Live</x:v>
      </x:c>
      <x:c r="Q86" s="1" t="str">
        <x:v>7586</x:v>
      </x:c>
      <x:c r="R86" s="1" t="str">
        <x:v>126513270</x:v>
      </x:c>
      <x:c r="S86" s="1"/>
      <x:c r="T86" s="1" t="str">
        <x:v>2410</x:v>
      </x:c>
      <x:c r="U86" s="1" t="str">
        <x:v>215-400-8230</x:v>
      </x:c>
      <x:c r="V86" s="1" t="str">
        <x:v>https://gamp.philasd.org/</x:v>
      </x:c>
      <x:c r="W86" s="1" t="str">
        <x:v>2026-2027</x:v>
      </x:c>
      <x:c r="X86" s="1" t="str">
        <x:v>2026-2027</x:v>
      </x:c>
      <x:c r="Y86" s="1" t="str">
        <x:v>1</x:v>
      </x:c>
      <x:c r="Z86" s="1" t="str">
        <x:v>1</x:v>
      </x:c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</x:row>
    <x:row r="87" ht="22" customHeight="1">
      <x:c r="A87" s="2" t="str">
        <x:v>3322</x:v>
      </x:c>
      <x:c r="B87" s="2" t="str">
        <x:v>Philadelphia Academy Charter School</x:v>
      </x:c>
      <x:c r="C87" s="2" t="str">
        <x:v>Charter</x:v>
      </x:c>
      <x:c r="D87" s="2" t="str">
        <x:v>Yes</x:v>
      </x:c>
      <x:c r="E87" s="2" t="str">
        <x:v>Elementary-Middle-High</x:v>
      </x:c>
      <x:c r="F87" s="2" t="str">
        <x:v>11000 ROOSEVELT BLVD</x:v>
      </x:c>
      <x:c r="G87" s="2" t="str">
        <x:v>PHILADELPHIA</x:v>
      </x:c>
      <x:c r="H87" s="2" t="str">
        <x:v>19116</x:v>
      </x:c>
      <x:c r="I87" s="2" t="n">
        <x:v>40.10358436</x:v>
      </x:c>
      <x:c r="J87" s="2" t="n">
        <x:v>-75.01109307</x:v>
      </x:c>
      <x:c r="K87" s="2" t="n">
        <x:v>1195</x:v>
      </x:c>
      <x:c r="L87" s="15" t="n">
        <x:v>0.5388</x:v>
      </x:c>
      <x:c r="M87" s="1" t="n">
        <x:v>3</x:v>
      </x:c>
      <x:c r="N87" s="1" t="str">
        <x:v>2025-2026</x:v>
      </x:c>
      <x:c r="O87" s="1" t="str">
        <x:v>2026-10-09</x:v>
      </x:c>
      <x:c r="P87" s="1" t="str">
        <x:v>Live</x:v>
      </x:c>
      <x:c r="Q87" s="1" t="str">
        <x:v>7587</x:v>
      </x:c>
      <x:c r="R87" s="1" t="str">
        <x:v>126513280</x:v>
      </x:c>
      <x:c r="S87" s="1"/>
      <x:c r="T87" s="1" t="str">
        <x:v>2450</x:v>
      </x:c>
      <x:c r="U87" s="1" t="str">
        <x:v>215-400-7960</x:v>
      </x:c>
      <x:c r="V87" s="1" t="str">
        <x:v>https://emstanton.philasd.org/</x:v>
      </x:c>
      <x:c r="W87" s="1" t="str">
        <x:v>2026-2027</x:v>
      </x:c>
      <x:c r="X87" s="1" t="str">
        <x:v>2026-2027</x:v>
      </x:c>
      <x:c r="Y87" s="1" t="str">
        <x:v>1</x:v>
      </x:c>
      <x:c r="Z87" s="1" t="str">
        <x:v>1</x:v>
      </x:c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</x:row>
    <x:row r="88" ht="22" customHeight="1">
      <x:c r="A88" s="2" t="str">
        <x:v>3323</x:v>
      </x:c>
      <x:c r="B88" s="2" t="str">
        <x:v>Mastery Charter School at Hardy Williams</x:v>
      </x:c>
      <x:c r="C88" s="2" t="str">
        <x:v>Charter</x:v>
      </x:c>
      <x:c r="D88" s="2" t="str">
        <x:v>Yes</x:v>
      </x:c>
      <x:c r="E88" s="2" t="str">
        <x:v>Elementary-Middle-High</x:v>
      </x:c>
      <x:c r="F88" s="2" t="str">
        <x:v>5400 WARRINGTON AVE</x:v>
      </x:c>
      <x:c r="G88" s="2" t="str">
        <x:v>PHILADELPHIA</x:v>
      </x:c>
      <x:c r="H88" s="2" t="str">
        <x:v>19143</x:v>
      </x:c>
      <x:c r="I88" s="2" t="n">
        <x:v>39.941562</x:v>
      </x:c>
      <x:c r="J88" s="2" t="n">
        <x:v>-75.226447</x:v>
      </x:c>
      <x:c r="K88" s="2" t="n">
        <x:v>1211</x:v>
      </x:c>
      <x:c r="L88" s="15" t="n">
        <x:v>0.9076</x:v>
      </x:c>
      <x:c r="M88" s="1" t="n">
        <x:v>10</x:v>
      </x:c>
      <x:c r="N88" s="1" t="str">
        <x:v>2025-2026</x:v>
      </x:c>
      <x:c r="O88" s="1" t="str">
        <x:v>2026-10-09</x:v>
      </x:c>
      <x:c r="P88" s="1" t="str">
        <x:v>Live</x:v>
      </x:c>
      <x:c r="Q88" s="1" t="str">
        <x:v>7588</x:v>
      </x:c>
      <x:c r="R88" s="1" t="str">
        <x:v>126513290</x:v>
      </x:c>
      <x:c r="S88" s="1"/>
      <x:c r="T88" s="1" t="str">
        <x:v>2470</x:v>
      </x:c>
      <x:c r="U88" s="1" t="str">
        <x:v>215-400-7810</x:v>
      </x:c>
      <x:c r="V88" s="1" t="str">
        <x:v>https://greenfield.philasd.org/</x:v>
      </x:c>
      <x:c r="W88" s="1" t="str">
        <x:v>2026-2027</x:v>
      </x:c>
      <x:c r="X88" s="1" t="str">
        <x:v>2026-2027</x:v>
      </x:c>
      <x:c r="Y88" s="1" t="str">
        <x:v>0</x:v>
      </x:c>
      <x:c r="Z88" s="1" t="str">
        <x:v>0</x:v>
      </x:c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</x:row>
    <x:row r="89" ht="22" customHeight="1">
      <x:c r="A89" s="2" t="str">
        <x:v>3326</x:v>
      </x:c>
      <x:c r="B89" s="2" t="str">
        <x:v>Universal Institute Charter School</x:v>
      </x:c>
      <x:c r="C89" s="2" t="str">
        <x:v>Charter</x:v>
      </x:c>
      <x:c r="D89" s="2" t="str">
        <x:v>Yes</x:v>
      </x:c>
      <x:c r="E89" s="2" t="str">
        <x:v>Elementary-Middle</x:v>
      </x:c>
      <x:c r="F89" s="2" t="str">
        <x:v>801 S 15TH ST</x:v>
      </x:c>
      <x:c r="G89" s="2" t="str">
        <x:v>PHILADELPHIA</x:v>
      </x:c>
      <x:c r="H89" s="2" t="str">
        <x:v>19146</x:v>
      </x:c>
      <x:c r="I89" s="2" t="n">
        <x:v>39.940931</x:v>
      </x:c>
      <x:c r="J89" s="2" t="n">
        <x:v>-75.16794</x:v>
      </x:c>
      <x:c r="K89" s="2" t="n">
        <x:v>565</x:v>
      </x:c>
      <x:c r="L89" s="15" t="n">
        <x:v>0.8049</x:v>
      </x:c>
      <x:c r="M89" s="1" t="n">
        <x:v>13</x:v>
      </x:c>
      <x:c r="N89" s="1" t="str">
        <x:v>2025-2026</x:v>
      </x:c>
      <x:c r="O89" s="1" t="str">
        <x:v>2026-10-09</x:v>
      </x:c>
      <x:c r="P89" s="1" t="str">
        <x:v>Live</x:v>
      </x:c>
      <x:c r="Q89" s="1" t="str">
        <x:v>7580</x:v>
      </x:c>
      <x:c r="R89" s="1" t="str">
        <x:v>126513210</x:v>
      </x:c>
      <x:c r="S89" s="1"/>
      <x:c r="T89" s="1" t="str">
        <x:v>2480</x:v>
      </x:c>
      <x:c r="U89" s="1" t="str">
        <x:v>215-400-7940</x:v>
      </x:c>
      <x:c r="V89" s="1" t="str">
        <x:v>https://mariananderson.philasd.org/</x:v>
      </x:c>
      <x:c r="W89" s="1" t="str">
        <x:v>2026-2027</x:v>
      </x:c>
      <x:c r="X89" s="1" t="str">
        <x:v>2026-2027</x:v>
      </x:c>
      <x:c r="Y89" s="1" t="str">
        <x:v>1</x:v>
      </x:c>
      <x:c r="Z89" s="1" t="str">
        <x:v>1</x:v>
      </x:c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</x:row>
    <x:row r="90" ht="22" customHeight="1">
      <x:c r="A90" s="2" t="str">
        <x:v>3328</x:v>
      </x:c>
      <x:c r="B90" s="2" t="str">
        <x:v>Mathematics, Science, and Technology Community Charter School (MaST)</x:v>
      </x:c>
      <x:c r="C90" s="2" t="str">
        <x:v>Charter</x:v>
      </x:c>
      <x:c r="D90" s="2" t="str">
        <x:v>Yes</x:v>
      </x:c>
      <x:c r="E90" s="2" t="str">
        <x:v>Elementary-Middle-High</x:v>
      </x:c>
      <x:c r="F90" s="2" t="str">
        <x:v>1800 BYBERRY RD</x:v>
      </x:c>
      <x:c r="G90" s="2" t="str">
        <x:v>PHILADELPHIA</x:v>
      </x:c>
      <x:c r="H90" s="2" t="str">
        <x:v>19116</x:v>
      </x:c>
      <x:c r="I90" s="2" t="n">
        <x:v>40.113832</x:v>
      </x:c>
      <x:c r="J90" s="2" t="n">
        <x:v>-75.005658</x:v>
      </x:c>
      <x:c r="K90" s="2" t="n">
        <x:v>1486</x:v>
      </x:c>
      <x:c r="L90" s="15" t="n">
        <x:v>0.4112</x:v>
      </x:c>
      <x:c r="M90" s="1" t="n">
        <x:v>1</x:v>
      </x:c>
      <x:c r="N90" s="1" t="str">
        <x:v>2025-2026</x:v>
      </x:c>
      <x:c r="O90" s="1" t="str">
        <x:v>2026-10-09</x:v>
      </x:c>
      <x:c r="P90" s="1" t="str">
        <x:v>Live</x:v>
      </x:c>
      <x:c r="Q90" s="1" t="str">
        <x:v>7574</x:v>
      </x:c>
      <x:c r="R90" s="1" t="str">
        <x:v>126513150</x:v>
      </x:c>
      <x:c r="S90" s="1"/>
      <x:c r="T90" s="1" t="str">
        <x:v>2490</x:v>
      </x:c>
      <x:c r="U90" s="1" t="str">
        <x:v>215-400-7560</x:v>
      </x:c>
      <x:c r="V90" s="1" t="str">
        <x:v>https://waring.philasd.org/</x:v>
      </x:c>
      <x:c r="W90" s="1" t="str">
        <x:v>2026-2027</x:v>
      </x:c>
      <x:c r="X90" s="1" t="str">
        <x:v>2026-2027</x:v>
      </x:c>
      <x:c r="Y90" s="1" t="str">
        <x:v>1</x:v>
      </x:c>
      <x:c r="Z90" s="1" t="str">
        <x:v>1</x:v>
      </x:c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</x:row>
    <x:row r="91" ht="22" customHeight="1">
      <x:c r="A91" s="2" t="str">
        <x:v>3329</x:v>
      </x:c>
      <x:c r="B91" s="2" t="str">
        <x:v>Young Scholars Charter School</x:v>
      </x:c>
      <x:c r="C91" s="2" t="str">
        <x:v>Charter</x:v>
      </x:c>
      <x:c r="D91" s="2" t="str">
        <x:v>Yes</x:v>
      </x:c>
      <x:c r="E91" s="2" t="str">
        <x:v>Middle</x:v>
      </x:c>
      <x:c r="F91" s="2" t="str">
        <x:v>900 N MARSHALL ST</x:v>
      </x:c>
      <x:c r="G91" s="2" t="str">
        <x:v>PHILADELPHIA</x:v>
      </x:c>
      <x:c r="H91" s="2" t="str">
        <x:v>19123</x:v>
      </x:c>
      <x:c r="I91" s="2" t="n">
        <x:v>39.96734659</x:v>
      </x:c>
      <x:c r="J91" s="2" t="n">
        <x:v>-75.14799661</x:v>
      </x:c>
      <x:c r="K91" s="2" t="n">
        <x:v>285</x:v>
      </x:c>
      <x:c r="L91" s="15" t="n">
        <x:v>0.9285</x:v>
      </x:c>
      <x:c r="M91" s="1" t="n">
        <x:v>11</x:v>
      </x:c>
      <x:c r="N91" s="1" t="str">
        <x:v>2025-2026</x:v>
      </x:c>
      <x:c r="O91" s="1" t="str">
        <x:v>2026-10-09</x:v>
      </x:c>
      <x:c r="P91" s="1" t="str">
        <x:v>Live</x:v>
      </x:c>
      <x:c r="Q91" s="1" t="str">
        <x:v>7584</x:v>
      </x:c>
      <x:c r="R91" s="1" t="str">
        <x:v>126513250</x:v>
      </x:c>
      <x:c r="S91" s="1"/>
      <x:c r="T91" s="1" t="str">
        <x:v>2510</x:v>
      </x:c>
      <x:c r="U91" s="1" t="str">
        <x:v>215-400-7970</x:v>
      </x:c>
      <x:c r="V91" s="1" t="str">
        <x:v>https://coppin.philasd.org/</x:v>
      </x:c>
      <x:c r="W91" s="1" t="str">
        <x:v>2026-2027</x:v>
      </x:c>
      <x:c r="X91" s="1" t="str">
        <x:v>2026-2027</x:v>
      </x:c>
      <x:c r="Y91" s="1" t="str">
        <x:v>1</x:v>
      </x:c>
      <x:c r="Z91" s="1" t="str">
        <x:v>1</x:v>
      </x:c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</x:row>
    <x:row r="92" ht="22" customHeight="1">
      <x:c r="A92" s="2" t="str">
        <x:v>3331</x:v>
      </x:c>
      <x:c r="B92" s="2" t="str">
        <x:v>Franklin Towne Charter High School</x:v>
      </x:c>
      <x:c r="C92" s="2" t="str">
        <x:v>Charter</x:v>
      </x:c>
      <x:c r="D92" s="2" t="str">
        <x:v>Yes</x:v>
      </x:c>
      <x:c r="E92" s="2" t="str">
        <x:v>High</x:v>
      </x:c>
      <x:c r="F92" s="2" t="str">
        <x:v>5301 TACONY ST</x:v>
      </x:c>
      <x:c r="G92" s="2" t="str">
        <x:v>PHILADELPHIA</x:v>
      </x:c>
      <x:c r="H92" s="2" t="str">
        <x:v>19137</x:v>
      </x:c>
      <x:c r="I92" s="2" t="n">
        <x:v>40.007337</x:v>
      </x:c>
      <x:c r="J92" s="2" t="n">
        <x:v>-75.066611</x:v>
      </x:c>
      <x:c r="K92" s="2" t="n">
        <x:v>1306</x:v>
      </x:c>
      <x:c r="L92" s="15" t="n">
        <x:v>0.6071</x:v>
      </x:c>
      <x:c r="M92" s="1" t="n">
        <x:v>4</x:v>
      </x:c>
      <x:c r="N92" s="1" t="str">
        <x:v>2025-2026</x:v>
      </x:c>
      <x:c r="O92" s="1" t="str">
        <x:v>2026-10-09</x:v>
      </x:c>
      <x:c r="P92" s="1" t="str">
        <x:v>Live</x:v>
      </x:c>
      <x:c r="Q92" s="1" t="str">
        <x:v>7666</x:v>
      </x:c>
      <x:c r="R92" s="1" t="str">
        <x:v>126513450</x:v>
      </x:c>
      <x:c r="S92" s="1"/>
      <x:c r="T92" s="1" t="str">
        <x:v>2520</x:v>
      </x:c>
      <x:c r="U92" s="1" t="str">
        <x:v>215-400-8240</x:v>
      </x:c>
      <x:c r="V92" s="1" t="str">
        <x:v>https://asjenks.philasd.org/</x:v>
      </x:c>
      <x:c r="W92" s="1" t="str">
        <x:v>2026-2027</x:v>
      </x:c>
      <x:c r="X92" s="1" t="str">
        <x:v>2026-2027</x:v>
      </x:c>
      <x:c r="Y92" s="1" t="str">
        <x:v>1</x:v>
      </x:c>
      <x:c r="Z92" s="1" t="str">
        <x:v>1</x:v>
      </x:c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</x:row>
    <x:row r="93" ht="22" customHeight="1">
      <x:c r="A93" s="2" t="str">
        <x:v>3332</x:v>
      </x:c>
      <x:c r="B93" s="2" t="str">
        <x:v>Mariana Bracetti Academy Charter School</x:v>
      </x:c>
      <x:c r="C93" s="2" t="str">
        <x:v>Charter</x:v>
      </x:c>
      <x:c r="D93" s="2" t="str">
        <x:v>Yes</x:v>
      </x:c>
      <x:c r="E93" s="2" t="str">
        <x:v>Elementary-Middle-High</x:v>
      </x:c>
      <x:c r="F93" s="2" t="str">
        <x:v>1840 TORRESDALE AVE</x:v>
      </x:c>
      <x:c r="G93" s="2" t="str">
        <x:v>PHILADELPHIA</x:v>
      </x:c>
      <x:c r="H93" s="2" t="str">
        <x:v>19124</x:v>
      </x:c>
      <x:c r="I93" s="2" t="n">
        <x:v>40.005757</x:v>
      </x:c>
      <x:c r="J93" s="2" t="n">
        <x:v>-75.094146</x:v>
      </x:c>
      <x:c r="K93" s="2" t="n">
        <x:v>1520</x:v>
      </x:c>
      <x:c r="L93" s="15" t="n">
        <x:v>0.8222</x:v>
      </x:c>
      <x:c r="M93" s="1" t="n">
        <x:v>9</x:v>
      </x:c>
      <x:c r="N93" s="1" t="str">
        <x:v>2025-2026</x:v>
      </x:c>
      <x:c r="O93" s="1" t="str">
        <x:v>2026-10-09</x:v>
      </x:c>
      <x:c r="P93" s="1" t="str">
        <x:v>Live</x:v>
      </x:c>
      <x:c r="Q93" s="1" t="str">
        <x:v>7672</x:v>
      </x:c>
      <x:c r="R93" s="1" t="str">
        <x:v>126513480</x:v>
      </x:c>
      <x:c r="S93" s="1"/>
      <x:c r="T93" s="1" t="str">
        <x:v>2530</x:v>
      </x:c>
      <x:c r="U93" s="1" t="str">
        <x:v>215-683-3495</x:v>
      </x:c>
      <x:c r="V93" s="1" t="str">
        <x:v>https://pjjsc.philasd.org/</x:v>
      </x:c>
      <x:c r="W93" s="1" t="str">
        <x:v>2026-2027</x:v>
      </x:c>
      <x:c r="X93" s="1" t="str">
        <x:v>2026-2027</x:v>
      </x:c>
      <x:c r="Y93" s="1" t="str">
        <x:v>1</x:v>
      </x:c>
      <x:c r="Z93" s="1" t="str">
        <x:v>1</x:v>
      </x:c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</x:row>
    <x:row r="94" ht="22" customHeight="1">
      <x:c r="A94" s="2" t="str">
        <x:v>3333</x:v>
      </x:c>
      <x:c r="B94" s="2" t="str">
        <x:v>Esperanza Academy Charter School</x:v>
      </x:c>
      <x:c r="C94" s="2" t="str">
        <x:v>Charter</x:v>
      </x:c>
      <x:c r="D94" s="2" t="str">
        <x:v>Yes</x:v>
      </x:c>
      <x:c r="E94" s="2" t="str">
        <x:v>Elementary-Middle-High</x:v>
      </x:c>
      <x:c r="F94" s="2" t="str">
        <x:v>301 W HUNTING PARK AVE</x:v>
      </x:c>
      <x:c r="G94" s="2" t="str">
        <x:v>PHILADELPHIA</x:v>
      </x:c>
      <x:c r="H94" s="2" t="str">
        <x:v>19140</x:v>
      </x:c>
      <x:c r="I94" s="2" t="n">
        <x:v>40.01478539</x:v>
      </x:c>
      <x:c r="J94" s="2" t="n">
        <x:v>-75.13232396</x:v>
      </x:c>
      <x:c r="K94" s="2" t="n">
        <x:v>2246</x:v>
      </x:c>
      <x:c r="L94" s="15" t="n">
        <x:v>0.8682</x:v>
      </x:c>
      <x:c r="M94" s="1" t="n">
        <x:v>10</x:v>
      </x:c>
      <x:c r="N94" s="1" t="str">
        <x:v>2025-2026</x:v>
      </x:c>
      <x:c r="O94" s="1" t="str">
        <x:v>2026-10-09</x:v>
      </x:c>
      <x:c r="P94" s="1" t="str">
        <x:v>Live</x:v>
      </x:c>
      <x:c r="Q94" s="1" t="str">
        <x:v>7665</x:v>
      </x:c>
      <x:c r="R94" s="1" t="str">
        <x:v>126513440</x:v>
      </x:c>
      <x:c r="S94" s="1"/>
      <x:c r="T94" s="1" t="str">
        <x:v>2540</x:v>
      </x:c>
      <x:c r="U94" s="1" t="str">
        <x:v>215-400-8250</x:v>
      </x:c>
      <x:c r="V94" s="1" t="str">
        <x:v>https://key.philasd.org/</x:v>
      </x:c>
      <x:c r="W94" s="1" t="str">
        <x:v>2026-2027</x:v>
      </x:c>
      <x:c r="X94" s="1" t="str">
        <x:v>2026-2027</x:v>
      </x:c>
      <x:c r="Y94" s="1" t="str">
        <x:v>1</x:v>
      </x:c>
      <x:c r="Z94" s="1" t="str">
        <x:v>1</x:v>
      </x:c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</x:row>
    <x:row r="95" ht="22" customHeight="1">
      <x:c r="A95" s="2" t="str">
        <x:v>3334</x:v>
      </x:c>
      <x:c r="B95" s="2" t="str">
        <x:v>New Foundations Charter School</x:v>
      </x:c>
      <x:c r="C95" s="2" t="str">
        <x:v>Charter</x:v>
      </x:c>
      <x:c r="D95" s="2" t="str">
        <x:v>Yes</x:v>
      </x:c>
      <x:c r="E95" s="2" t="str">
        <x:v>Elementary-Middle-High</x:v>
      </x:c>
      <x:c r="F95" s="2" t="str">
        <x:v>8001 TORRESDALE AVE</x:v>
      </x:c>
      <x:c r="G95" s="2" t="str">
        <x:v>PHILADELPHIA</x:v>
      </x:c>
      <x:c r="H95" s="2" t="str">
        <x:v>19136</x:v>
      </x:c>
      <x:c r="I95" s="2" t="n">
        <x:v>40.03507</x:v>
      </x:c>
      <x:c r="J95" s="2" t="n">
        <x:v>-75.024187</x:v>
      </x:c>
      <x:c r="K95" s="2" t="n">
        <x:v>1538</x:v>
      </x:c>
      <x:c r="L95" s="15" t="n">
        <x:v>0.7084</x:v>
      </x:c>
      <x:c r="M95" s="1" t="n">
        <x:v>2</x:v>
      </x:c>
      <x:c r="N95" s="1" t="str">
        <x:v>2025-2026</x:v>
      </x:c>
      <x:c r="O95" s="1" t="str">
        <x:v>2026-10-09</x:v>
      </x:c>
      <x:c r="P95" s="1" t="str">
        <x:v>Live</x:v>
      </x:c>
      <x:c r="Q95" s="1" t="str">
        <x:v>7649</x:v>
      </x:c>
      <x:c r="R95" s="1" t="str">
        <x:v>126513420</x:v>
      </x:c>
      <x:c r="S95" s="1"/>
      <x:c r="T95" s="1" t="str">
        <x:v>2580</x:v>
      </x:c>
      <x:c r="U95" s="1" t="str">
        <x:v>215-400-7980</x:v>
      </x:c>
      <x:c r="V95" s="1" t="str">
        <x:v>https://kirkbride.philasd.org/</x:v>
      </x:c>
      <x:c r="W95" s="1" t="str">
        <x:v>2026-2027</x:v>
      </x:c>
      <x:c r="X95" s="1" t="str">
        <x:v>2026-2027</x:v>
      </x:c>
      <x:c r="Y95" s="1" t="str">
        <x:v>1</x:v>
      </x:c>
      <x:c r="Z95" s="1" t="str">
        <x:v>1</x:v>
      </x:c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</x:row>
    <x:row r="96" ht="22" customHeight="1">
      <x:c r="A96" s="2" t="str">
        <x:v>3335</x:v>
      </x:c>
      <x:c r="B96" s="2" t="str">
        <x:v>People for People Charter School</x:v>
      </x:c>
      <x:c r="C96" s="2" t="str">
        <x:v>Charter</x:v>
      </x:c>
      <x:c r="D96" s="2" t="str">
        <x:v>Yes</x:v>
      </x:c>
      <x:c r="E96" s="2" t="str">
        <x:v>Elementary-Middle-High</x:v>
      </x:c>
      <x:c r="F96" s="2" t="str">
        <x:v>800 N BROAD ST</x:v>
      </x:c>
      <x:c r="G96" s="2" t="str">
        <x:v>PHILADELPHIA</x:v>
      </x:c>
      <x:c r="H96" s="2" t="str">
        <x:v>19130</x:v>
      </x:c>
      <x:c r="I96" s="2" t="n">
        <x:v>39.96810141</x:v>
      </x:c>
      <x:c r="J96" s="2" t="n">
        <x:v>-75.16067477</x:v>
      </x:c>
      <x:c r="K96" s="2" t="n">
        <x:v>556</x:v>
      </x:c>
      <x:c r="L96" s="15" t="n">
        <x:v>0.9981</x:v>
      </x:c>
      <x:c r="M96" s="1" t="n">
        <x:v>11</x:v>
      </x:c>
      <x:c r="N96" s="1" t="str">
        <x:v>2025-2026</x:v>
      </x:c>
      <x:c r="O96" s="1" t="str">
        <x:v>2026-10-09</x:v>
      </x:c>
      <x:c r="P96" s="1" t="str">
        <x:v>Live</x:v>
      </x:c>
      <x:c r="Q96" s="1" t="str">
        <x:v>7685</x:v>
      </x:c>
      <x:c r="R96" s="1" t="str">
        <x:v>126510004</x:v>
      </x:c>
      <x:c r="S96" s="1"/>
      <x:c r="T96" s="1" t="str">
        <x:v>2590</x:v>
      </x:c>
      <x:c r="U96" s="1" t="str">
        <x:v>215-400-8110</x:v>
      </x:c>
      <x:c r="V96" s="1" t="str">
        <x:v>https://nebinger.philasd.org/</x:v>
      </x:c>
      <x:c r="W96" s="1" t="str">
        <x:v>2026-2027</x:v>
      </x:c>
      <x:c r="X96" s="1" t="str">
        <x:v>2026-2027</x:v>
      </x:c>
      <x:c r="Y96" s="1" t="str">
        <x:v>1</x:v>
      </x:c>
      <x:c r="Z96" s="1" t="str">
        <x:v>1</x:v>
      </x:c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</x:row>
    <x:row r="97" ht="22" customHeight="1">
      <x:c r="A97" s="2" t="str">
        <x:v>3336</x:v>
      </x:c>
      <x:c r="B97" s="2" t="str">
        <x:v>Philadelphia Performing Arts Charter School</x:v>
      </x:c>
      <x:c r="C97" s="2" t="str">
        <x:v>Charter</x:v>
      </x:c>
      <x:c r="D97" s="2" t="str">
        <x:v>Yes</x:v>
      </x:c>
      <x:c r="E97" s="2" t="str">
        <x:v>Elementary-Middle-High</x:v>
      </x:c>
      <x:c r="F97" s="2" t="str">
        <x:v>2600 S BROAD ST</x:v>
      </x:c>
      <x:c r="G97" s="2" t="str">
        <x:v>PHILADELPHIA</x:v>
      </x:c>
      <x:c r="H97" s="2" t="str">
        <x:v>19145</x:v>
      </x:c>
      <x:c r="I97" s="2" t="n">
        <x:v>39.91777662</x:v>
      </x:c>
      <x:c r="J97" s="2" t="n">
        <x:v>-75.17166577</x:v>
      </x:c>
      <x:c r="K97" s="2" t="n">
        <x:v>2484</x:v>
      </x:c>
      <x:c r="L97" s="15" t="n">
        <x:v>0.6301</x:v>
      </x:c>
      <x:c r="M97" s="1" t="n">
        <x:v>5</x:v>
      </x:c>
      <x:c r="N97" s="1" t="str">
        <x:v>2025-2026</x:v>
      </x:c>
      <x:c r="O97" s="1" t="str">
        <x:v>2026-10-09</x:v>
      </x:c>
      <x:c r="P97" s="1" t="str">
        <x:v>Live</x:v>
      </x:c>
      <x:c r="Q97" s="1" t="str">
        <x:v>7647</x:v>
      </x:c>
      <x:c r="R97" s="1" t="str">
        <x:v>126513400</x:v>
      </x:c>
      <x:c r="S97" s="1"/>
      <x:c r="T97" s="1" t="str">
        <x:v>2620</x:v>
      </x:c>
      <x:c r="U97" s="1" t="str">
        <x:v>215-400-8130</x:v>
      </x:c>
      <x:c r="V97" s="1" t="str">
        <x:v>https://palumbo.philasd.org/</x:v>
      </x:c>
      <x:c r="W97" s="1" t="str">
        <x:v>2026-2027</x:v>
      </x:c>
      <x:c r="X97" s="1" t="str">
        <x:v>2026-2027</x:v>
      </x:c>
      <x:c r="Y97" s="1" t="str">
        <x:v>1</x:v>
      </x:c>
      <x:c r="Z97" s="1" t="str">
        <x:v>1</x:v>
      </x:c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</x:row>
    <x:row r="98" ht="22" customHeight="1">
      <x:c r="A98" s="2" t="str">
        <x:v>3337</x:v>
      </x:c>
      <x:c r="B98" s="2" t="str">
        <x:v>Global Leadership Academy Charter School</x:v>
      </x:c>
      <x:c r="C98" s="2" t="str">
        <x:v>Charter</x:v>
      </x:c>
      <x:c r="D98" s="2" t="str">
        <x:v>Yes</x:v>
      </x:c>
      <x:c r="E98" s="2" t="str">
        <x:v>Elementary-Middle</x:v>
      </x:c>
      <x:c r="F98" s="2" t="str">
        <x:v>4601 W GIRARD AVE</x:v>
      </x:c>
      <x:c r="G98" s="2" t="str">
        <x:v>PHILADELPHIA</x:v>
      </x:c>
      <x:c r="H98" s="2" t="str">
        <x:v>19131</x:v>
      </x:c>
      <x:c r="I98" s="2" t="n">
        <x:v>39.97335953</x:v>
      </x:c>
      <x:c r="J98" s="2" t="n">
        <x:v>-75.2154352</x:v>
      </x:c>
      <x:c r="K98" s="2" t="n">
        <x:v>704</x:v>
      </x:c>
      <x:c r="L98" s="15" t="n">
        <x:v>0.7332</x:v>
      </x:c>
      <x:c r="M98" s="1" t="n">
        <x:v>9</x:v>
      </x:c>
      <x:c r="N98" s="1" t="str">
        <x:v>2025-2026</x:v>
      </x:c>
      <x:c r="O98" s="1" t="str">
        <x:v>2026-10-09</x:v>
      </x:c>
      <x:c r="P98" s="1" t="str">
        <x:v>Live</x:v>
      </x:c>
      <x:c r="Q98" s="1" t="str">
        <x:v>7639</x:v>
      </x:c>
      <x:c r="R98" s="1" t="str">
        <x:v>126513380</x:v>
      </x:c>
      <x:c r="S98" s="1"/>
      <x:c r="T98" s="1" t="str">
        <x:v>2630</x:v>
      </x:c>
      <x:c r="U98" s="1" t="str">
        <x:v>215-400-8270</x:v>
      </x:c>
      <x:c r="V98" s="1" t="str">
        <x:v>https://sharswood.philasd.org/</x:v>
      </x:c>
      <x:c r="W98" s="1" t="str">
        <x:v>2026-2027</x:v>
      </x:c>
      <x:c r="X98" s="1" t="str">
        <x:v>2026-2027</x:v>
      </x:c>
      <x:c r="Y98" s="1" t="str">
        <x:v>1</x:v>
      </x:c>
      <x:c r="Z98" s="1" t="str">
        <x:v>1</x:v>
      </x:c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</x:row>
    <x:row r="99" ht="22" customHeight="1">
      <x:c r="A99" s="2" t="str">
        <x:v>3341</x:v>
      </x:c>
      <x:c r="B99" s="2" t="str">
        <x:v>Independence Charter School</x:v>
      </x:c>
      <x:c r="C99" s="2" t="str">
        <x:v>Charter</x:v>
      </x:c>
      <x:c r="D99" s="2" t="str">
        <x:v>Yes</x:v>
      </x:c>
      <x:c r="E99" s="2" t="str">
        <x:v>Elementary-Middle</x:v>
      </x:c>
      <x:c r="F99" s="2" t="str">
        <x:v>1600 LOMBARD ST</x:v>
      </x:c>
      <x:c r="G99" s="2" t="str">
        <x:v>PHILADELPHIA</x:v>
      </x:c>
      <x:c r="H99" s="2" t="str">
        <x:v>19146</x:v>
      </x:c>
      <x:c r="I99" s="2" t="n">
        <x:v>39.94496682</x:v>
      </x:c>
      <x:c r="J99" s="2" t="n">
        <x:v>-75.16855598</x:v>
      </x:c>
      <x:c r="K99" s="2" t="n">
        <x:v>815</x:v>
      </x:c>
      <x:c r="L99" s="15" t="n">
        <x:v>0.5465</x:v>
      </x:c>
      <x:c r="M99" s="1" t="n">
        <x:v>10</x:v>
      </x:c>
      <x:c r="N99" s="1" t="str">
        <x:v>2025-2026</x:v>
      </x:c>
      <x:c r="O99" s="1" t="str">
        <x:v>2026-10-09</x:v>
      </x:c>
      <x:c r="P99" s="1" t="str">
        <x:v>Live</x:v>
      </x:c>
      <x:c r="Q99" s="1" t="str">
        <x:v>7683</x:v>
      </x:c>
      <x:c r="R99" s="1" t="str">
        <x:v>126513510</x:v>
      </x:c>
      <x:c r="S99" s="1"/>
      <x:c r="T99" s="1" t="str">
        <x:v>2640</x:v>
      </x:c>
      <x:c r="U99" s="1" t="str">
        <x:v>215-400-8280</x:v>
      </x:c>
      <x:c r="V99" s="1" t="str">
        <x:v>https://southwark.philasd.org/</x:v>
      </x:c>
      <x:c r="W99" s="1" t="str">
        <x:v>2026-2027</x:v>
      </x:c>
      <x:c r="X99" s="1" t="str">
        <x:v>2026-2027</x:v>
      </x:c>
      <x:c r="Y99" s="1" t="str">
        <x:v>1</x:v>
      </x:c>
      <x:c r="Z99" s="1" t="str">
        <x:v>1</x:v>
      </x:c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</x:row>
    <x:row r="100" ht="22" customHeight="1">
      <x:c r="A100" s="2" t="str">
        <x:v>3353</x:v>
      </x:c>
      <x:c r="B100" s="2" t="str">
        <x:v>KIPP DuBois Charter School</x:v>
      </x:c>
      <x:c r="C100" s="2" t="str">
        <x:v>Charter</x:v>
      </x:c>
      <x:c r="D100" s="2" t="str">
        <x:v>Yes</x:v>
      </x:c>
      <x:c r="E100" s="2" t="str">
        <x:v>High</x:v>
      </x:c>
      <x:c r="F100" s="2" t="str">
        <x:v>5070 PARKSIDE AVE</x:v>
      </x:c>
      <x:c r="G100" s="2" t="str">
        <x:v>PHILADELPHIA</x:v>
      </x:c>
      <x:c r="H100" s="2" t="str">
        <x:v>19131</x:v>
      </x:c>
      <x:c r="I100" s="2" t="n">
        <x:v>39.98043019</x:v>
      </x:c>
      <x:c r="J100" s="2" t="n">
        <x:v>-75.22085032</x:v>
      </x:c>
      <x:c r="K100" s="2" t="n">
        <x:v>504</x:v>
      </x:c>
      <x:c r="L100" s="15" t="n">
        <x:v>0.5964</x:v>
      </x:c>
      <x:c r="M100" s="1" t="n">
        <x:v>5</x:v>
      </x:c>
      <x:c r="N100" s="1" t="str">
        <x:v>2025-2026</x:v>
      </x:c>
      <x:c r="O100" s="1" t="str">
        <x:v>2026-10-09</x:v>
      </x:c>
      <x:c r="P100" s="1" t="str">
        <x:v>Live</x:v>
      </x:c>
      <x:c r="Q100" s="1" t="str">
        <x:v>8358</x:v>
      </x:c>
      <x:c r="R100" s="1" t="str">
        <x:v>126514864</x:v>
      </x:c>
      <x:c r="S100" s="1"/>
      <x:c r="T100" s="1" t="str">
        <x:v>2650</x:v>
      </x:c>
      <x:c r="U100" s="1" t="str">
        <x:v>215-400-7830</x:v>
      </x:c>
      <x:c r="V100" s="1" t="str">
        <x:v>https://sla.philasd.org/</x:v>
      </x:c>
      <x:c r="W100" s="1" t="str">
        <x:v>2026-2027</x:v>
      </x:c>
      <x:c r="X100" s="1" t="str">
        <x:v>2026-2027</x:v>
      </x:c>
      <x:c r="Y100" s="1" t="str">
        <x:v>1</x:v>
      </x:c>
      <x:c r="Z100" s="1" t="str">
        <x:v>1</x:v>
      </x:c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</x:row>
    <x:row r="101" ht="22" customHeight="1">
      <x:c r="A101" s="2" t="str">
        <x:v>3357</x:v>
      </x:c>
      <x:c r="B101" s="2" t="str">
        <x:v>West Philadelphia Achievement Charter School</x:v>
      </x:c>
      <x:c r="C101" s="2" t="str">
        <x:v>Charter</x:v>
      </x:c>
      <x:c r="D101" s="2" t="str">
        <x:v>Yes</x:v>
      </x:c>
      <x:c r="E101" s="2" t="str">
        <x:v>Elementary</x:v>
      </x:c>
      <x:c r="F101" s="2" t="str">
        <x:v>6701 CALLOWHILL ST</x:v>
      </x:c>
      <x:c r="G101" s="2" t="str">
        <x:v>PHILADELPHIA</x:v>
      </x:c>
      <x:c r="H101" s="2" t="str">
        <x:v>19151</x:v>
      </x:c>
      <x:c r="I101" s="2" t="n">
        <x:v>39.970667</x:v>
      </x:c>
      <x:c r="J101" s="2" t="n">
        <x:v>-75.254111</x:v>
      </x:c>
      <x:c r="K101" s="2" t="n">
        <x:v>613</x:v>
      </x:c>
      <x:c r="L101" s="15" t="n">
        <x:v>1</x:v>
      </x:c>
      <x:c r="M101" s="1" t="n">
        <x:v>7</x:v>
      </x:c>
      <x:c r="N101" s="1" t="str">
        <x:v>2025-2026</x:v>
      </x:c>
      <x:c r="O101" s="1" t="str">
        <x:v>2026-10-09</x:v>
      </x:c>
      <x:c r="P101" s="1" t="str">
        <x:v>Live</x:v>
      </x:c>
      <x:c r="Q101" s="1" t="str">
        <x:v>7722</x:v>
      </x:c>
      <x:c r="R101" s="1" t="str">
        <x:v>126510006</x:v>
      </x:c>
      <x:c r="S101" s="1"/>
      <x:c r="T101" s="1" t="str">
        <x:v>2670</x:v>
      </x:c>
      <x:c r="U101" s="1" t="str">
        <x:v>215-400-7850</x:v>
      </x:c>
      <x:c r="V101" s="1" t="str">
        <x:v>https://constitutionhs.philasd.org/</x:v>
      </x:c>
      <x:c r="W101" s="1" t="str">
        <x:v>2026-2027</x:v>
      </x:c>
      <x:c r="X101" s="1" t="str">
        <x:v>2026-2027</x:v>
      </x:c>
      <x:c r="Y101" s="1" t="str">
        <x:v>1</x:v>
      </x:c>
      <x:c r="Z101" s="1" t="str">
        <x:v>1</x:v>
      </x:c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</x:row>
    <x:row r="102" ht="22" customHeight="1">
      <x:c r="A102" s="2" t="str">
        <x:v>3358</x:v>
      </x:c>
      <x:c r="B102" s="2" t="str">
        <x:v>Philadelphia Electrical and Technology Charter High School</x:v>
      </x:c>
      <x:c r="C102" s="2" t="str">
        <x:v>Charter</x:v>
      </x:c>
      <x:c r="D102" s="2" t="str">
        <x:v>Yes</x:v>
      </x:c>
      <x:c r="E102" s="2" t="str">
        <x:v>High</x:v>
      </x:c>
      <x:c r="F102" s="2" t="str">
        <x:v>1709 BENJAMIN FRANKLIN PKWY</x:v>
      </x:c>
      <x:c r="G102" s="2" t="str">
        <x:v>PHILADELPHIA</x:v>
      </x:c>
      <x:c r="H102" s="2" t="str">
        <x:v>19103</x:v>
      </x:c>
      <x:c r="I102" s="2" t="n">
        <x:v>39.9566589</x:v>
      </x:c>
      <x:c r="J102" s="2" t="n">
        <x:v>-75.1681729</x:v>
      </x:c>
      <x:c r="K102" s="2" t="n">
        <x:v>627</x:v>
      </x:c>
      <x:c r="L102" s="15" t="n">
        <x:v>0.8709</x:v>
      </x:c>
      <x:c r="M102" s="1" t="n">
        <x:v>7</x:v>
      </x:c>
      <x:c r="N102" s="1" t="str">
        <x:v>2025-2026</x:v>
      </x:c>
      <x:c r="O102" s="1" t="str">
        <x:v>2026-10-09</x:v>
      </x:c>
      <x:c r="P102" s="1" t="str">
        <x:v>Live</x:v>
      </x:c>
      <x:c r="Q102" s="1" t="str">
        <x:v>7737</x:v>
      </x:c>
      <x:c r="R102" s="1" t="str">
        <x:v>126510009</x:v>
      </x:c>
      <x:c r="S102" s="1"/>
      <x:c r="T102" s="1" t="str">
        <x:v>2680</x:v>
      </x:c>
      <x:c r="U102" s="1" t="str">
        <x:v>215-400-7270</x:v>
      </x:c>
      <x:c r="V102" s="1" t="str">
        <x:v>https://slabeeber.philasd.org/</x:v>
      </x:c>
      <x:c r="W102" s="1" t="str">
        <x:v>2026-2027</x:v>
      </x:c>
      <x:c r="X102" s="1" t="str">
        <x:v>2026-2027</x:v>
      </x:c>
      <x:c r="Y102" s="1" t="str">
        <x:v>1</x:v>
      </x:c>
      <x:c r="Z102" s="1" t="str">
        <x:v>1</x:v>
      </x:c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</x:row>
    <x:row r="103" ht="22" customHeight="1">
      <x:c r="A103" s="2" t="str">
        <x:v>3359</x:v>
      </x:c>
      <x:c r="B103" s="2" t="str">
        <x:v>Richard Allen Preparatory Charter School</x:v>
      </x:c>
      <x:c r="C103" s="2" t="str">
        <x:v>Charter</x:v>
      </x:c>
      <x:c r="D103" s="2" t="str">
        <x:v>Yes</x:v>
      </x:c>
      <x:c r="E103" s="2" t="str">
        <x:v>Middle</x:v>
      </x:c>
      <x:c r="F103" s="2" t="str">
        <x:v>2601 S 58TH ST</x:v>
      </x:c>
      <x:c r="G103" s="2" t="str">
        <x:v>PHILADELPHIA</x:v>
      </x:c>
      <x:c r="H103" s="2" t="str">
        <x:v>19143</x:v>
      </x:c>
      <x:c r="I103" s="2" t="n">
        <x:v>39.92809187</x:v>
      </x:c>
      <x:c r="J103" s="2" t="n">
        <x:v>-75.21926743</x:v>
      </x:c>
      <x:c r="K103" s="2" t="n">
        <x:v>309</x:v>
      </x:c>
      <x:c r="L103" s="15" t="n">
        <x:v>1</x:v>
      </x:c>
      <x:c r="M103" s="1" t="n">
        <x:v>7</x:v>
      </x:c>
      <x:c r="N103" s="1" t="str">
        <x:v>2025-2026</x:v>
      </x:c>
      <x:c r="O103" s="1" t="str">
        <x:v>2026-10-09</x:v>
      </x:c>
      <x:c r="P103" s="1" t="str">
        <x:v>Live</x:v>
      </x:c>
      <x:c r="Q103" s="1" t="str">
        <x:v>7684</x:v>
      </x:c>
      <x:c r="R103" s="1" t="str">
        <x:v>126510008</x:v>
      </x:c>
      <x:c r="S103" s="1"/>
      <x:c r="T103" s="1" t="str">
        <x:v>2690</x:v>
      </x:c>
      <x:c r="U103" s="1" t="str">
        <x:v>215-400-8290</x:v>
      </x:c>
      <x:c r="V103" s="1" t="str">
        <x:v>https://taggart.philasd.org/</x:v>
      </x:c>
      <x:c r="W103" s="1" t="str">
        <x:v>2026-2027</x:v>
      </x:c>
      <x:c r="X103" s="1" t="str">
        <x:v>2026-2027</x:v>
      </x:c>
      <x:c r="Y103" s="1" t="str">
        <x:v>1</x:v>
      </x:c>
      <x:c r="Z103" s="1" t="str">
        <x:v>1</x:v>
      </x:c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</x:row>
    <x:row r="104" ht="22" customHeight="1">
      <x:c r="A104" s="2" t="str">
        <x:v>3360</x:v>
      </x:c>
      <x:c r="B104" s="2" t="str">
        <x:v>Russell Byers Charter School</x:v>
      </x:c>
      <x:c r="C104" s="2" t="str">
        <x:v>Charter</x:v>
      </x:c>
      <x:c r="D104" s="2" t="str">
        <x:v>Yes</x:v>
      </x:c>
      <x:c r="E104" s="2" t="str">
        <x:v>Elementary-Middle</x:v>
      </x:c>
      <x:c r="F104" s="2" t="str">
        <x:v>1911 ARCH ST</x:v>
      </x:c>
      <x:c r="G104" s="2" t="str">
        <x:v>PHILADELPHIA</x:v>
      </x:c>
      <x:c r="H104" s="2" t="str">
        <x:v>19103</x:v>
      </x:c>
      <x:c r="I104" s="2" t="n">
        <x:v>39.95594922</x:v>
      </x:c>
      <x:c r="J104" s="2" t="n">
        <x:v>-75.17155064</x:v>
      </x:c>
      <x:c r="K104" s="2" t="n">
        <x:v>681</x:v>
      </x:c>
      <x:c r="L104" s="15" t="n">
        <x:v>0.9747</x:v>
      </x:c>
      <x:c r="M104" s="1" t="n">
        <x:v>5</x:v>
      </x:c>
      <x:c r="N104" s="1" t="str">
        <x:v>2025-2026</x:v>
      </x:c>
      <x:c r="O104" s="1" t="str">
        <x:v>2026-10-09</x:v>
      </x:c>
      <x:c r="P104" s="1" t="str">
        <x:v>Live</x:v>
      </x:c>
      <x:c r="Q104" s="1" t="str">
        <x:v>7677</x:v>
      </x:c>
      <x:c r="R104" s="1" t="str">
        <x:v>126510001</x:v>
      </x:c>
      <x:c r="S104" s="1"/>
      <x:c r="T104" s="1" t="str">
        <x:v>2720</x:v>
      </x:c>
      <x:c r="U104" s="1" t="str">
        <x:v>215-400-8120</x:v>
      </x:c>
      <x:c r="V104" s="1" t="str">
        <x:v>https://vare.philasd.org/</x:v>
      </x:c>
      <x:c r="W104" s="1" t="str">
        <x:v>2026-2027</x:v>
      </x:c>
      <x:c r="X104" s="1" t="str">
        <x:v>2026-2027</x:v>
      </x:c>
      <x:c r="Y104" s="1" t="str">
        <x:v>1</x:v>
      </x:c>
      <x:c r="Z104" s="1" t="str">
        <x:v>1</x:v>
      </x:c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</x:row>
    <x:row r="105" ht="22" customHeight="1">
      <x:c r="A105" s="2" t="str">
        <x:v>3361</x:v>
      </x:c>
      <x:c r="B105" s="2" t="str">
        <x:v>Mastery Charter High School</x:v>
      </x:c>
      <x:c r="C105" s="2" t="str">
        <x:v>Charter</x:v>
      </x:c>
      <x:c r="D105" s="2" t="str">
        <x:v>Yes</x:v>
      </x:c>
      <x:c r="E105" s="2" t="str">
        <x:v>Middle-High</x:v>
      </x:c>
      <x:c r="F105" s="2" t="str">
        <x:v>35 S 4TH ST</x:v>
      </x:c>
      <x:c r="G105" s="2" t="str">
        <x:v>PHILADELPHIA</x:v>
      </x:c>
      <x:c r="H105" s="2" t="str">
        <x:v>19106</x:v>
      </x:c>
      <x:c r="I105" s="2" t="n">
        <x:v>39.94950579</x:v>
      </x:c>
      <x:c r="J105" s="2" t="n">
        <x:v>-75.14734776</x:v>
      </x:c>
      <x:c r="K105" s="2" t="n">
        <x:v>614</x:v>
      </x:c>
      <x:c r="L105" s="15" t="n">
        <x:v>0.8921</x:v>
      </x:c>
      <x:c r="M105" s="1" t="n">
        <x:v>3</x:v>
      </x:c>
      <x:c r="N105" s="1" t="str">
        <x:v>2025-2026</x:v>
      </x:c>
      <x:c r="O105" s="1" t="str">
        <x:v>2026-10-09</x:v>
      </x:c>
      <x:c r="P105" s="1" t="str">
        <x:v>Live</x:v>
      </x:c>
      <x:c r="Q105" s="1" t="str">
        <x:v>7678</x:v>
      </x:c>
      <x:c r="R105" s="1" t="str">
        <x:v>126510002</x:v>
      </x:c>
      <x:c r="S105" s="1"/>
      <x:c r="T105" s="1" t="str">
        <x:v>3040</x:v>
      </x:c>
      <x:c r="U105" s="1" t="str">
        <x:v>215-436-0307</x:v>
      </x:c>
      <x:c r="V105" s="1" t="str">
        <x:v>https://sesischools.com/location/excel-middle-years-academy/</x:v>
      </x:c>
      <x:c r="W105" s="1" t="str">
        <x:v>2026-2027</x:v>
      </x:c>
      <x:c r="X105" s="1" t="str">
        <x:v>2026-2027</x:v>
      </x:c>
      <x:c r="Y105" s="1" t="str">
        <x:v>0</x:v>
      </x:c>
      <x:c r="Z105" s="1" t="str">
        <x:v>0</x:v>
      </x:c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</x:row>
    <x:row r="106" ht="22" customHeight="1">
      <x:c r="A106" s="2" t="str">
        <x:v>3362</x:v>
      </x:c>
      <x:c r="B106" s="2" t="str">
        <x:v>Wissahickon Charter School</x:v>
      </x:c>
      <x:c r="C106" s="2" t="str">
        <x:v>Charter</x:v>
      </x:c>
      <x:c r="D106" s="2" t="str">
        <x:v>Yes</x:v>
      </x:c>
      <x:c r="E106" s="2" t="str">
        <x:v>Elementary-Middle</x:v>
      </x:c>
      <x:c r="F106" s="2" t="str">
        <x:v>4700 WISSAHICKON AVE</x:v>
      </x:c>
      <x:c r="G106" s="2" t="str">
        <x:v>PHILADELPHIA</x:v>
      </x:c>
      <x:c r="H106" s="2" t="str">
        <x:v>19144</x:v>
      </x:c>
      <x:c r="I106" s="2" t="n">
        <x:v>40.01537246</x:v>
      </x:c>
      <x:c r="J106" s="2" t="n">
        <x:v>-75.17405347</x:v>
      </x:c>
      <x:c r="K106" s="2" t="n">
        <x:v>998</x:v>
      </x:c>
      <x:c r="L106" s="15" t="n">
        <x:v>0.7295</x:v>
      </x:c>
      <x:c r="M106" s="1" t="n">
        <x:v>4</x:v>
      </x:c>
      <x:c r="N106" s="1" t="str">
        <x:v>2025-2026</x:v>
      </x:c>
      <x:c r="O106" s="1" t="str">
        <x:v>2026-10-09</x:v>
      </x:c>
      <x:c r="P106" s="1" t="str">
        <x:v>Live</x:v>
      </x:c>
      <x:c r="Q106" s="1" t="str">
        <x:v>7724</x:v>
      </x:c>
      <x:c r="R106" s="1" t="str">
        <x:v>126510007</x:v>
      </x:c>
      <x:c r="S106" s="1"/>
      <x:c r="T106" s="1" t="str">
        <x:v>3190</x:v>
      </x:c>
      <x:c r="U106" s="1" t="str">
        <x:v>215-400-9060</x:v>
      </x:c>
      <x:c r="V106" s="1" t="str">
        <x:v>https://crossroads-huntingpark.philasd.org/</x:v>
      </x:c>
      <x:c r="W106" s="1" t="str">
        <x:v>2026-2027</x:v>
      </x:c>
      <x:c r="X106" s="1" t="str">
        <x:v>2026-2027</x:v>
      </x:c>
      <x:c r="Y106" s="1" t="str">
        <x:v>0</x:v>
      </x:c>
      <x:c r="Z106" s="1" t="str">
        <x:v>0</x:v>
      </x:c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</x:row>
    <x:row r="107" ht="22" customHeight="1">
      <x:c r="A107" s="2" t="str">
        <x:v>3364</x:v>
      </x:c>
      <x:c r="B107" s="2" t="str">
        <x:v>First Philadelphia Preparatory Charter School</x:v>
      </x:c>
      <x:c r="C107" s="2" t="str">
        <x:v>Charter</x:v>
      </x:c>
      <x:c r="D107" s="2" t="str">
        <x:v>Yes</x:v>
      </x:c>
      <x:c r="E107" s="2" t="str">
        <x:v>Elementary-Middle-High</x:v>
      </x:c>
      <x:c r="F107" s="2" t="str">
        <x:v>4300 TACONY ST</x:v>
      </x:c>
      <x:c r="G107" s="2" t="str">
        <x:v>PHILADELPHIA</x:v>
      </x:c>
      <x:c r="H107" s="2" t="str">
        <x:v>19124</x:v>
      </x:c>
      <x:c r="I107" s="2" t="n">
        <x:v>40.00719991</x:v>
      </x:c>
      <x:c r="J107" s="2" t="n">
        <x:v>-75.08240619</x:v>
      </x:c>
      <x:c r="K107" s="2" t="n">
        <x:v>1880</x:v>
      </x:c>
      <x:c r="L107" s="15" t="n">
        <x:v>0.7978</x:v>
      </x:c>
      <x:c r="M107" s="1" t="n">
        <x:v>7</x:v>
      </x:c>
      <x:c r="N107" s="1" t="str">
        <x:v>2025-2026</x:v>
      </x:c>
      <x:c r="O107" s="1" t="str">
        <x:v>2026-10-09</x:v>
      </x:c>
      <x:c r="P107" s="1" t="str">
        <x:v>Live</x:v>
      </x:c>
      <x:c r="Q107" s="1" t="str">
        <x:v>7744</x:v>
      </x:c>
      <x:c r="R107" s="1" t="str">
        <x:v>100510000</x:v>
      </x:c>
      <x:c r="S107" s="1"/>
      <x:c r="T107" s="1" t="str">
        <x:v>3210</x:v>
      </x:c>
      <x:c r="U107" s="1" t="str">
        <x:v>215-400-7600</x:v>
      </x:c>
      <x:c r="V107" s="1" t="str">
        <x:v>https://www.philasd.org/backontrack/#aded</x:v>
      </x:c>
      <x:c r="W107" s="1" t="str">
        <x:v>2026-2027</x:v>
      </x:c>
      <x:c r="X107" s="1" t="str">
        <x:v>2026-2027</x:v>
      </x:c>
      <x:c r="Y107" s="1" t="str">
        <x:v>0</x:v>
      </x:c>
      <x:c r="Z107" s="1" t="str">
        <x:v>0</x:v>
      </x:c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</x:row>
    <x:row r="108" ht="22" customHeight="1">
      <x:c r="A108" s="2" t="str">
        <x:v>3365</x:v>
      </x:c>
      <x:c r="B108" s="2" t="str">
        <x:v>Green Woods Charter School</x:v>
      </x:c>
      <x:c r="C108" s="2" t="str">
        <x:v>Charter</x:v>
      </x:c>
      <x:c r="D108" s="2" t="str">
        <x:v>Yes</x:v>
      </x:c>
      <x:c r="E108" s="2" t="str">
        <x:v>Elementary-Middle</x:v>
      </x:c>
      <x:c r="F108" s="2" t="str">
        <x:v>468 DOMINO LN</x:v>
      </x:c>
      <x:c r="G108" s="2" t="str">
        <x:v>PHILADELPHIA</x:v>
      </x:c>
      <x:c r="H108" s="2" t="str">
        <x:v>19128</x:v>
      </x:c>
      <x:c r="I108" s="2" t="n">
        <x:v>40.04416378</x:v>
      </x:c>
      <x:c r="J108" s="2" t="n">
        <x:v>-75.23385852</x:v>
      </x:c>
      <x:c r="K108" s="2" t="n">
        <x:v>716</x:v>
      </x:c>
      <x:c r="L108" s="15" t="n">
        <x:v>0.3229</x:v>
      </x:c>
      <x:c r="M108" s="1" t="n">
        <x:v>0</x:v>
      </x:c>
      <x:c r="N108" s="1" t="str">
        <x:v>2025-2026</x:v>
      </x:c>
      <x:c r="O108" s="1" t="str">
        <x:v>2026-10-09</x:v>
      </x:c>
      <x:c r="P108" s="1" t="str">
        <x:v>Live</x:v>
      </x:c>
      <x:c r="Q108" s="1" t="str">
        <x:v>7748</x:v>
      </x:c>
      <x:c r="R108" s="1" t="str">
        <x:v>126510005</x:v>
      </x:c>
      <x:c r="S108" s="1"/>
      <x:c r="T108" s="1" t="str">
        <x:v>3240</x:v>
      </x:c>
      <x:c r="U108" s="1" t="str">
        <x:v>215-571-1952</x:v>
      </x:c>
      <x:c r="V108" s="1" t="str">
        <x:v>https://www.liguoriacademy.org/the-fortis-program</x:v>
      </x:c>
      <x:c r="W108" s="1" t="str">
        <x:v>2026-2027</x:v>
      </x:c>
      <x:c r="X108" s="1" t="str">
        <x:v>2026-2027</x:v>
      </x:c>
      <x:c r="Y108" s="1" t="str">
        <x:v>0</x:v>
      </x:c>
      <x:c r="Z108" s="1" t="str">
        <x:v>0</x:v>
      </x:c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</x:row>
    <x:row r="109" ht="22" customHeight="1">
      <x:c r="A109" s="2" t="str">
        <x:v>3366</x:v>
      </x:c>
      <x:c r="B109" s="2" t="str">
        <x:v>Maritime Academy Charter School</x:v>
      </x:c>
      <x:c r="C109" s="2" t="str">
        <x:v>Charter</x:v>
      </x:c>
      <x:c r="D109" s="2" t="str">
        <x:v>Yes</x:v>
      </x:c>
      <x:c r="E109" s="2" t="str">
        <x:v>Elementary-Middle-High</x:v>
      </x:c>
      <x:c r="F109" s="2" t="str">
        <x:v>2275 BRIDGE ST</x:v>
      </x:c>
      <x:c r="G109" s="2" t="str">
        <x:v>PHILADELPHIA</x:v>
      </x:c>
      <x:c r="H109" s="2" t="str">
        <x:v>19137</x:v>
      </x:c>
      <x:c r="I109" s="2" t="n">
        <x:v>40.007862</x:v>
      </x:c>
      <x:c r="J109" s="2" t="n">
        <x:v>-75.068318</x:v>
      </x:c>
      <x:c r="K109" s="2" t="n">
        <x:v>833</x:v>
      </x:c>
      <x:c r="L109" s="15" t="n">
        <x:v>0.8828</x:v>
      </x:c>
      <x:c r="M109" s="1" t="n">
        <x:v>6</x:v>
      </x:c>
      <x:c r="N109" s="1" t="str">
        <x:v>2025-2026</x:v>
      </x:c>
      <x:c r="O109" s="1" t="str">
        <x:v>2026-10-09</x:v>
      </x:c>
      <x:c r="P109" s="1" t="str">
        <x:v>Live</x:v>
      </x:c>
      <x:c r="Q109" s="1" t="str">
        <x:v>7777</x:v>
      </x:c>
      <x:c r="R109" s="1" t="str">
        <x:v>126510014</x:v>
      </x:c>
      <x:c r="S109" s="1"/>
      <x:c r="T109" s="1" t="str">
        <x:v>3250</x:v>
      </x:c>
      <x:c r="U109" s="1" t="str"/>
      <x:c r="V109" s="1" t="str">
        <x:v>https://earlycollegephl.org/</x:v>
      </x:c>
      <x:c r="W109" s="1" t="str">
        <x:v>2026-2027</x:v>
      </x:c>
      <x:c r="X109" s="1" t="str">
        <x:v>2026-2027</x:v>
      </x:c>
      <x:c r="Y109" s="1" t="str"/>
      <x:c r="Z109" s="1" t="str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</x:row>
    <x:row r="110" ht="22" customHeight="1">
      <x:c r="A110" s="2" t="str">
        <x:v>3368</x:v>
      </x:c>
      <x:c r="B110" s="2" t="str">
        <x:v>Belmont Elementary Charter School</x:v>
      </x:c>
      <x:c r="C110" s="2" t="str">
        <x:v>Charter</x:v>
      </x:c>
      <x:c r="D110" s="2" t="str">
        <x:v>Yes</x:v>
      </x:c>
      <x:c r="E110" s="2" t="str">
        <x:v>Elementary-Middle-High</x:v>
      </x:c>
      <x:c r="F110" s="2" t="str">
        <x:v>4030 BROWN ST</x:v>
      </x:c>
      <x:c r="G110" s="2" t="str">
        <x:v>PHILADELPHIA</x:v>
      </x:c>
      <x:c r="H110" s="2" t="str">
        <x:v>19104</x:v>
      </x:c>
      <x:c r="I110" s="2" t="n">
        <x:v>39.96696484</x:v>
      </x:c>
      <x:c r="J110" s="2" t="n">
        <x:v>-75.20487093</x:v>
      </x:c>
      <x:c r="K110" s="2" t="n">
        <x:v>928</x:v>
      </x:c>
      <x:c r="L110" s="15" t="n">
        <x:v>0.7881</x:v>
      </x:c>
      <x:c r="M110" s="1" t="n">
        <x:v>12</x:v>
      </x:c>
      <x:c r="N110" s="1" t="str">
        <x:v>2025-2026</x:v>
      </x:c>
      <x:c r="O110" s="1" t="str">
        <x:v>2026-10-09</x:v>
      </x:c>
      <x:c r="P110" s="1" t="str">
        <x:v>Live</x:v>
      </x:c>
      <x:c r="Q110" s="1" t="str">
        <x:v>7750</x:v>
      </x:c>
      <x:c r="R110" s="1" t="str">
        <x:v>126510010</x:v>
      </x:c>
      <x:c r="S110" s="1"/>
      <x:c r="T110" s="1" t="str">
        <x:v>3290</x:v>
      </x:c>
      <x:c r="U110" s="1" t="str">
        <x:v>215-904-6254</x:v>
      </x:c>
      <x:c r="V110" s="1" t="str">
        <x:v>http://cameloteducation.org/our-schools/accelerated-schools/excel-academy-south</x:v>
      </x:c>
      <x:c r="W110" s="1" t="str">
        <x:v>2026-2027</x:v>
      </x:c>
      <x:c r="X110" s="1" t="str">
        <x:v>2026-2027</x:v>
      </x:c>
      <x:c r="Y110" s="1" t="str">
        <x:v>0</x:v>
      </x:c>
      <x:c r="Z110" s="1" t="str">
        <x:v>0</x:v>
      </x:c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</x:row>
    <x:row r="111" ht="22" customHeight="1">
      <x:c r="A111" s="2" t="str">
        <x:v>3370</x:v>
      </x:c>
      <x:c r="B111" s="2" t="str">
        <x:v>KIPP Philadelphia Charter School</x:v>
      </x:c>
      <x:c r="C111" s="2" t="str">
        <x:v>Charter</x:v>
      </x:c>
      <x:c r="D111" s="2" t="str">
        <x:v>Yes</x:v>
      </x:c>
      <x:c r="E111" s="2" t="str">
        <x:v>Elementary-Middle</x:v>
      </x:c>
      <x:c r="F111" s="2" t="str">
        <x:v>2600 W CLEARFIELD ST</x:v>
      </x:c>
      <x:c r="G111" s="2" t="str">
        <x:v>PHILADELPHIA</x:v>
      </x:c>
      <x:c r="H111" s="2" t="str">
        <x:v>19132</x:v>
      </x:c>
      <x:c r="I111" s="2" t="n">
        <x:v>40.0023048</x:v>
      </x:c>
      <x:c r="J111" s="2" t="n">
        <x:v>-75.1736095</x:v>
      </x:c>
      <x:c r="K111" s="2" t="n">
        <x:v>845</x:v>
      </x:c>
      <x:c r="L111" s="15" t="n">
        <x:v>0.6643</x:v>
      </x:c>
      <x:c r="M111" s="1" t="n">
        <x:v>8</x:v>
      </x:c>
      <x:c r="N111" s="1" t="str">
        <x:v>2025-2026</x:v>
      </x:c>
      <x:c r="O111" s="1" t="str">
        <x:v>2026-10-09</x:v>
      </x:c>
      <x:c r="P111" s="1" t="str">
        <x:v>Live</x:v>
      </x:c>
      <x:c r="Q111" s="1" t="str">
        <x:v>7776</x:v>
      </x:c>
      <x:c r="R111" s="1" t="str">
        <x:v>126510013</x:v>
      </x:c>
      <x:c r="S111" s="1"/>
      <x:c r="T111" s="1" t="str">
        <x:v>3291</x:v>
      </x:c>
      <x:c r="U111" s="1" t="str">
        <x:v>215-346-8970</x:v>
      </x:c>
      <x:c r="V111" s="1" t="str">
        <x:v>https://sesischools.com/</x:v>
      </x:c>
      <x:c r="W111" s="1" t="str">
        <x:v>2026-2027</x:v>
      </x:c>
      <x:c r="X111" s="1" t="str">
        <x:v>2026-2027</x:v>
      </x:c>
      <x:c r="Y111" s="1" t="str">
        <x:v>0</x:v>
      </x:c>
      <x:c r="Z111" s="1" t="str">
        <x:v>0</x:v>
      </x:c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</x:row>
    <x:row r="112" ht="22" customHeight="1">
      <x:c r="A112" s="2" t="str">
        <x:v>3372</x:v>
      </x:c>
      <x:c r="B112" s="2" t="str">
        <x:v>The Jacquelyn Y. Kelley Discovery Charter School</x:v>
      </x:c>
      <x:c r="C112" s="2" t="str">
        <x:v>Charter</x:v>
      </x:c>
      <x:c r="D112" s="2" t="str">
        <x:v>Yes</x:v>
      </x:c>
      <x:c r="E112" s="2" t="str">
        <x:v>Elementary-Middle</x:v>
      </x:c>
      <x:c r="F112" s="2" t="str">
        <x:v>4700 PARKSIDE AVE</x:v>
      </x:c>
      <x:c r="G112" s="2" t="str">
        <x:v>PHILADELPHIA</x:v>
      </x:c>
      <x:c r="H112" s="2" t="str">
        <x:v>19131</x:v>
      </x:c>
      <x:c r="I112" s="2" t="n">
        <x:v>39.97770823</x:v>
      </x:c>
      <x:c r="J112" s="2" t="n">
        <x:v>-75.21350485</x:v>
      </x:c>
      <x:c r="K112" s="2" t="n">
        <x:v>641</x:v>
      </x:c>
      <x:c r="L112" s="15" t="n">
        <x:v>0.7786</x:v>
      </x:c>
      <x:c r="M112" s="1" t="n">
        <x:v>6</x:v>
      </x:c>
      <x:c r="N112" s="1" t="str">
        <x:v>2025-2026</x:v>
      </x:c>
      <x:c r="O112" s="1" t="str">
        <x:v>2026-10-09</x:v>
      </x:c>
      <x:c r="P112" s="1" t="str">
        <x:v>Live</x:v>
      </x:c>
      <x:c r="Q112" s="1" t="str">
        <x:v>7775</x:v>
      </x:c>
      <x:c r="R112" s="1" t="str">
        <x:v>126510011</x:v>
      </x:c>
      <x:c r="S112" s="1"/>
      <x:c r="T112" s="1" t="str">
        <x:v>3292</x:v>
      </x:c>
      <x:c r="U112" s="1" t="str">
        <x:v>215-400-6844</x:v>
      </x:c>
      <x:c r="V112" s="1" t="str">
        <x:v>https://www.philasd.org/academics/ace/</x:v>
      </x:c>
      <x:c r="W112" s="1" t="str">
        <x:v>2026-2027</x:v>
      </x:c>
      <x:c r="X112" s="1" t="str">
        <x:v>2026-2027</x:v>
      </x:c>
      <x:c r="Y112" s="1" t="str">
        <x:v>0</x:v>
      </x:c>
      <x:c r="Z112" s="1" t="str">
        <x:v>0</x:v>
      </x:c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</x:row>
    <x:row r="113" ht="22" customHeight="1">
      <x:c r="A113" s="2" t="str">
        <x:v>3378</x:v>
      </x:c>
      <x:c r="B113" s="2" t="str">
        <x:v>Philadelphia Montessori Charter School</x:v>
      </x:c>
      <x:c r="C113" s="2" t="str">
        <x:v>Charter</x:v>
      </x:c>
      <x:c r="D113" s="2" t="str">
        <x:v>Yes</x:v>
      </x:c>
      <x:c r="E113" s="2" t="str">
        <x:v>Elementary</x:v>
      </x:c>
      <x:c r="F113" s="2" t="str">
        <x:v>2227 ISLAND RD</x:v>
      </x:c>
      <x:c r="G113" s="2" t="str">
        <x:v>PHILADELPHIA</x:v>
      </x:c>
      <x:c r="H113" s="2" t="str">
        <x:v>19142</x:v>
      </x:c>
      <x:c r="I113" s="2" t="n">
        <x:v>39.91656437</x:v>
      </x:c>
      <x:c r="J113" s="2" t="n">
        <x:v>-75.24515327</x:v>
      </x:c>
      <x:c r="K113" s="2" t="n">
        <x:v>249</x:v>
      </x:c>
      <x:c r="L113" s="15" t="n">
        <x:v>0.6706</x:v>
      </x:c>
      <x:c r="M113" s="1" t="n">
        <x:v>1</x:v>
      </x:c>
      <x:c r="N113" s="1" t="str">
        <x:v>2025-2026</x:v>
      </x:c>
      <x:c r="O113" s="1" t="str">
        <x:v>2026-10-09</x:v>
      </x:c>
      <x:c r="P113" s="1" t="str">
        <x:v>Live</x:v>
      </x:c>
      <x:c r="Q113" s="1" t="str">
        <x:v>7828</x:v>
      </x:c>
      <x:c r="R113" s="1" t="str">
        <x:v>126510016</x:v>
      </x:c>
      <x:c r="S113" s="1"/>
      <x:c r="T113" s="1" t="str">
        <x:v>3301</x:v>
      </x:c>
      <x:c r="U113" s="1" t="str">
        <x:v>215-533-6700</x:v>
      </x:c>
      <x:c r="V113" s="1" t="str">
        <x:v>https://www.communityacademy.org</x:v>
      </x:c>
      <x:c r="W113" s="1" t="str">
        <x:v>2026-2027</x:v>
      </x:c>
      <x:c r="X113" s="1" t="str">
        <x:v>2025-2026</x:v>
      </x:c>
      <x:c r="Y113" s="1" t="str">
        <x:v>1</x:v>
      </x:c>
      <x:c r="Z113" s="1" t="str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</x:row>
    <x:row r="114" ht="22" customHeight="1">
      <x:c r="A114" s="2" t="str">
        <x:v>3379</x:v>
      </x:c>
      <x:c r="B114" s="2" t="str">
        <x:v>Ad Prima Charter School</x:v>
      </x:c>
      <x:c r="C114" s="2" t="str">
        <x:v>Charter</x:v>
      </x:c>
      <x:c r="D114" s="2" t="str">
        <x:v>Yes</x:v>
      </x:c>
      <x:c r="E114" s="2" t="str">
        <x:v>Elementary-Middle</x:v>
      </x:c>
      <x:c r="F114" s="2" t="str">
        <x:v>1922 N 63RD ST</x:v>
      </x:c>
      <x:c r="G114" s="2" t="str">
        <x:v>PHILADELPHIA</x:v>
      </x:c>
      <x:c r="H114" s="2" t="str">
        <x:v>19151</x:v>
      </x:c>
      <x:c r="I114" s="2" t="n">
        <x:v>39.984296</x:v>
      </x:c>
      <x:c r="J114" s="2" t="n">
        <x:v>-75.24786</x:v>
      </x:c>
      <x:c r="K114" s="2" t="n">
        <x:v>617</x:v>
      </x:c>
      <x:c r="L114" s="15" t="n">
        <x:v>0.9274</x:v>
      </x:c>
      <x:c r="M114" s="1" t="n">
        <x:v>4</x:v>
      </x:c>
      <x:c r="N114" s="1" t="str">
        <x:v>2025-2026</x:v>
      </x:c>
      <x:c r="O114" s="1" t="str">
        <x:v>2026-10-09</x:v>
      </x:c>
      <x:c r="P114" s="1" t="str">
        <x:v>Live</x:v>
      </x:c>
      <x:c r="Q114" s="1" t="str">
        <x:v>7825</x:v>
      </x:c>
      <x:c r="R114" s="1" t="str">
        <x:v>126510015</x:v>
      </x:c>
      <x:c r="S114" s="1"/>
      <x:c r="T114" s="1" t="str">
        <x:v>3302</x:v>
      </x:c>
      <x:c r="U114" s="1" t="str">
        <x:v>215-472-8770</x:v>
      </x:c>
      <x:c r="V114" s="1" t="str">
        <x:v>https://histcs.org</x:v>
      </x:c>
      <x:c r="W114" s="1" t="str">
        <x:v>2026-2027</x:v>
      </x:c>
      <x:c r="X114" s="1" t="str">
        <x:v>2025-2026</x:v>
      </x:c>
      <x:c r="Y114" s="1" t="str">
        <x:v>1</x:v>
      </x:c>
      <x:c r="Z114" s="1" t="str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</x:row>
    <x:row r="115" ht="22" customHeight="1">
      <x:c r="A115" s="2" t="str">
        <x:v>3383</x:v>
      </x:c>
      <x:c r="B115" s="2" t="str">
        <x:v>Mastery Charter School at Shoemaker</x:v>
      </x:c>
      <x:c r="C115" s="2" t="str">
        <x:v>Charter</x:v>
      </x:c>
      <x:c r="D115" s="2" t="str">
        <x:v>Yes</x:v>
      </x:c>
      <x:c r="E115" s="2" t="str">
        <x:v>Middle-High</x:v>
      </x:c>
      <x:c r="F115" s="2" t="str">
        <x:v>5301 MEDIA ST</x:v>
      </x:c>
      <x:c r="G115" s="2" t="str">
        <x:v>PHILADELPHIA</x:v>
      </x:c>
      <x:c r="H115" s="2" t="str">
        <x:v>19131</x:v>
      </x:c>
      <x:c r="I115" s="2" t="n">
        <x:v>39.975799</x:v>
      </x:c>
      <x:c r="J115" s="2" t="n">
        <x:v>-75.228437</x:v>
      </x:c>
      <x:c r="K115" s="2" t="n">
        <x:v>733</x:v>
      </x:c>
      <x:c r="L115" s="15" t="n">
        <x:v>0.7243</x:v>
      </x:c>
      <x:c r="M115" s="1" t="n">
        <x:v>10</x:v>
      </x:c>
      <x:c r="N115" s="1" t="str">
        <x:v>2025-2026</x:v>
      </x:c>
      <x:c r="O115" s="1" t="str">
        <x:v>2026-10-09</x:v>
      </x:c>
      <x:c r="P115" s="1" t="str">
        <x:v>Live</x:v>
      </x:c>
      <x:c r="Q115" s="1" t="str">
        <x:v>7909</x:v>
      </x:c>
      <x:c r="R115" s="1" t="str">
        <x:v>126510022</x:v>
      </x:c>
      <x:c r="S115" s="1"/>
      <x:c r="T115" s="1" t="str">
        <x:v>3304</x:v>
      </x:c>
      <x:c r="U115" s="1" t="str"/>
      <x:c r="V115" s="1" t="str">
        <x:v>https://www.youthbuildphilly.org</x:v>
      </x:c>
      <x:c r="W115" s="1" t="str">
        <x:v>2026-2027</x:v>
      </x:c>
      <x:c r="X115" s="1" t="str">
        <x:v>2026-2027</x:v>
      </x:c>
      <x:c r="Y115" s="1" t="str"/>
      <x:c r="Z115" s="1" t="str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</x:row>
    <x:row r="116" ht="22" customHeight="1">
      <x:c r="A116" s="2" t="str">
        <x:v>3384</x:v>
      </x:c>
      <x:c r="B116" s="2" t="str">
        <x:v>Folk Arts-Cultural Treasures Charter School</x:v>
      </x:c>
      <x:c r="C116" s="2" t="str">
        <x:v>Charter</x:v>
      </x:c>
      <x:c r="D116" s="2" t="str">
        <x:v>Yes</x:v>
      </x:c>
      <x:c r="E116" s="2" t="str">
        <x:v>Elementary-Middle</x:v>
      </x:c>
      <x:c r="F116" s="2" t="str">
        <x:v>1023 CALLOWHILL ST</x:v>
      </x:c>
      <x:c r="G116" s="2" t="str">
        <x:v>PHILADELPHIA</x:v>
      </x:c>
      <x:c r="H116" s="2" t="str">
        <x:v>19123</x:v>
      </x:c>
      <x:c r="I116" s="2" t="n">
        <x:v>39.95885103</x:v>
      </x:c>
      <x:c r="J116" s="2" t="n">
        <x:v>-75.15551365</x:v>
      </x:c>
      <x:c r="K116" s="2" t="n">
        <x:v>497</x:v>
      </x:c>
      <x:c r="L116" s="15" t="n">
        <x:v>0.4314</x:v>
      </x:c>
      <x:c r="M116" s="1" t="n">
        <x:v>11</x:v>
      </x:c>
      <x:c r="N116" s="1" t="str">
        <x:v>2025-2026</x:v>
      </x:c>
      <x:c r="O116" s="1" t="str">
        <x:v>2026-10-09</x:v>
      </x:c>
      <x:c r="P116" s="1" t="str">
        <x:v>Live</x:v>
      </x:c>
      <x:c r="Q116" s="1" t="str">
        <x:v>7857</x:v>
      </x:c>
      <x:c r="R116" s="1" t="str">
        <x:v>126510021</x:v>
      </x:c>
      <x:c r="S116" s="1"/>
      <x:c r="T116" s="1" t="str">
        <x:v>3306</x:v>
      </x:c>
      <x:c r="U116" s="1" t="str">
        <x:v>215-925-7400</x:v>
      </x:c>
      <x:c r="V116" s="1" t="str">
        <x:v>https://columbuscharter.org/</x:v>
      </x:c>
      <x:c r="W116" s="1" t="str">
        <x:v>2026-2027</x:v>
      </x:c>
      <x:c r="X116" s="1" t="str">
        <x:v>2025-2026</x:v>
      </x:c>
      <x:c r="Y116" s="1" t="str">
        <x:v>1</x:v>
      </x:c>
      <x:c r="Z116" s="1" t="str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</x:row>
    <x:row r="117" ht="22" customHeight="1">
      <x:c r="A117" s="2" t="str">
        <x:v>3385</x:v>
      </x:c>
      <x:c r="B117" s="2" t="str">
        <x:v>Mastery Charter School at Thomas Campus</x:v>
      </x:c>
      <x:c r="C117" s="2" t="str">
        <x:v>Charter</x:v>
      </x:c>
      <x:c r="D117" s="2" t="str">
        <x:v>Yes</x:v>
      </x:c>
      <x:c r="E117" s="2" t="str">
        <x:v>Elementary-Middle-High</x:v>
      </x:c>
      <x:c r="F117" s="2" t="str">
        <x:v>927 JOHNSTON ST</x:v>
      </x:c>
      <x:c r="G117" s="2" t="str">
        <x:v>PHILADELPHIA</x:v>
      </x:c>
      <x:c r="H117" s="2" t="str">
        <x:v>19148</x:v>
      </x:c>
      <x:c r="I117" s="2" t="n">
        <x:v>39.91454096</x:v>
      </x:c>
      <x:c r="J117" s="2" t="n">
        <x:v>-75.16358831</x:v>
      </x:c>
      <x:c r="K117" s="2" t="n">
        <x:v>1269</x:v>
      </x:c>
      <x:c r="L117" s="15" t="n">
        <x:v>0.9098</x:v>
      </x:c>
      <x:c r="M117" s="1" t="n">
        <x:v>4</x:v>
      </x:c>
      <x:c r="N117" s="1" t="str">
        <x:v>2025-2026</x:v>
      </x:c>
      <x:c r="O117" s="1" t="str">
        <x:v>2026-10-09</x:v>
      </x:c>
      <x:c r="P117" s="1" t="str">
        <x:v>Live</x:v>
      </x:c>
      <x:c r="Q117" s="1" t="str">
        <x:v>7910</x:v>
      </x:c>
      <x:c r="R117" s="1" t="str">
        <x:v>126510023</x:v>
      </x:c>
      <x:c r="S117" s="1"/>
      <x:c r="T117" s="1" t="str">
        <x:v>3307</x:v>
      </x:c>
      <x:c r="U117" s="1" t="str">
        <x:v>215-455-2300</x:v>
      </x:c>
      <x:c r="V117" s="1" t="str">
        <x:v>https://hostoscharter.org/</x:v>
      </x:c>
      <x:c r="W117" s="1" t="str">
        <x:v>2026-2027</x:v>
      </x:c>
      <x:c r="X117" s="1" t="str">
        <x:v>2025-2026</x:v>
      </x:c>
      <x:c r="Y117" s="1" t="str">
        <x:v>1</x:v>
      </x:c>
      <x:c r="Z117" s="1" t="str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</x:row>
    <x:row r="118" ht="22" customHeight="1">
      <x:c r="A118" s="2" t="str">
        <x:v>3386</x:v>
      </x:c>
      <x:c r="B118" s="2" t="str">
        <x:v>Northwood Academy Charter School</x:v>
      </x:c>
      <x:c r="C118" s="2" t="str">
        <x:v>Charter</x:v>
      </x:c>
      <x:c r="D118" s="2" t="str">
        <x:v>Yes</x:v>
      </x:c>
      <x:c r="E118" s="2" t="str">
        <x:v>Elementary-Middle</x:v>
      </x:c>
      <x:c r="F118" s="2" t="str">
        <x:v>4621 CASTOR AVE</x:v>
      </x:c>
      <x:c r="G118" s="2" t="str">
        <x:v>PHILADELPHIA</x:v>
      </x:c>
      <x:c r="H118" s="2" t="str">
        <x:v>19124</x:v>
      </x:c>
      <x:c r="I118" s="2" t="n">
        <x:v>40.02015006</x:v>
      </x:c>
      <x:c r="J118" s="2" t="n">
        <x:v>-75.09523811</x:v>
      </x:c>
      <x:c r="K118" s="2" t="n">
        <x:v>801</x:v>
      </x:c>
      <x:c r="L118" s="15" t="n">
        <x:v>0.7506</x:v>
      </x:c>
      <x:c r="M118" s="1" t="n">
        <x:v>6</x:v>
      </x:c>
      <x:c r="N118" s="1" t="str">
        <x:v>2025-2026</x:v>
      </x:c>
      <x:c r="O118" s="1" t="str">
        <x:v>2026-10-09</x:v>
      </x:c>
      <x:c r="P118" s="1" t="str">
        <x:v>Live</x:v>
      </x:c>
      <x:c r="Q118" s="1" t="str">
        <x:v>7856</x:v>
      </x:c>
      <x:c r="R118" s="1" t="str">
        <x:v>126510019</x:v>
      </x:c>
      <x:c r="S118" s="1"/>
      <x:c r="T118" s="1" t="str">
        <x:v>3308</x:v>
      </x:c>
      <x:c r="U118" s="1" t="str">
        <x:v>215-386-5768</x:v>
      </x:c>
      <x:c r="V118" s="1" t="str">
        <x:v>https://www.belmontcharternetwork.org/ics/</x:v>
      </x:c>
      <x:c r="W118" s="1" t="str">
        <x:v>2026-2027</x:v>
      </x:c>
      <x:c r="X118" s="1" t="str">
        <x:v>2025-2026</x:v>
      </x:c>
      <x:c r="Y118" s="1" t="str">
        <x:v>1</x:v>
      </x:c>
      <x:c r="Z118" s="1" t="str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</x:row>
    <x:row r="119" ht="22" customHeight="1">
      <x:c r="A119" s="2" t="str">
        <x:v>3388</x:v>
      </x:c>
      <x:c r="B119" s="2" t="str">
        <x:v>Boys' Latin of Philadelphia Charter School</x:v>
      </x:c>
      <x:c r="C119" s="2" t="str">
        <x:v>Charter</x:v>
      </x:c>
      <x:c r="D119" s="2" t="str">
        <x:v>Yes</x:v>
      </x:c>
      <x:c r="E119" s="2" t="str">
        <x:v>Middle-High</x:v>
      </x:c>
      <x:c r="F119" s="2" t="str">
        <x:v>5501 CEDAR AVE</x:v>
      </x:c>
      <x:c r="G119" s="2" t="str">
        <x:v>PHILADELPHIA</x:v>
      </x:c>
      <x:c r="H119" s="2" t="str">
        <x:v>19143</x:v>
      </x:c>
      <x:c r="I119" s="2" t="n">
        <x:v>39.95172558</x:v>
      </x:c>
      <x:c r="J119" s="2" t="n">
        <x:v>-75.23374851</x:v>
      </x:c>
      <x:c r="K119" s="2" t="n">
        <x:v>768</x:v>
      </x:c>
      <x:c r="L119" s="15" t="n">
        <x:v>0.6551</x:v>
      </x:c>
      <x:c r="M119" s="1" t="n">
        <x:v>11</x:v>
      </x:c>
      <x:c r="N119" s="1" t="str">
        <x:v>2025-2026</x:v>
      </x:c>
      <x:c r="O119" s="1" t="str">
        <x:v>2026-10-09</x:v>
      </x:c>
      <x:c r="P119" s="1" t="str">
        <x:v>Live</x:v>
      </x:c>
      <x:c r="Q119" s="1" t="str">
        <x:v>7981</x:v>
      </x:c>
      <x:c r="R119" s="1" t="str">
        <x:v>185515523</x:v>
      </x:c>
      <x:c r="S119" s="1"/>
      <x:c r="T119" s="1" t="str">
        <x:v>3309</x:v>
      </x:c>
      <x:c r="U119" s="1" t="str">
        <x:v>215-438-4140</x:v>
      </x:c>
      <x:c r="V119" s="1" t="str">
        <x:v>https://www.imhotephighschool.com</x:v>
      </x:c>
      <x:c r="W119" s="1" t="str">
        <x:v>2026-2027</x:v>
      </x:c>
      <x:c r="X119" s="1" t="str">
        <x:v>2025-2026</x:v>
      </x:c>
      <x:c r="Y119" s="1" t="str">
        <x:v>1</x:v>
      </x:c>
      <x:c r="Z119" s="1" t="str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</x:row>
    <x:row r="120" ht="22" customHeight="1">
      <x:c r="A120" s="2" t="str">
        <x:v>3389</x:v>
      </x:c>
      <x:c r="B120" s="2" t="str">
        <x:v>Keystone Academy Charter School</x:v>
      </x:c>
      <x:c r="C120" s="2" t="str">
        <x:v>Charter</x:v>
      </x:c>
      <x:c r="D120" s="2" t="str">
        <x:v>Yes</x:v>
      </x:c>
      <x:c r="E120" s="2" t="str">
        <x:v>Elementary-Middle</x:v>
      </x:c>
      <x:c r="F120" s="2" t="str">
        <x:v>4521 LONGSHORE AVE</x:v>
      </x:c>
      <x:c r="G120" s="2" t="str">
        <x:v>PHILADELPHIA</x:v>
      </x:c>
      <x:c r="H120" s="2" t="str">
        <x:v>19135</x:v>
      </x:c>
      <x:c r="I120" s="2" t="n">
        <x:v>40.0276042</x:v>
      </x:c>
      <x:c r="J120" s="2" t="n">
        <x:v>-75.0435822</x:v>
      </x:c>
      <x:c r="K120" s="2" t="n">
        <x:v>649</x:v>
      </x:c>
      <x:c r="L120" s="15" t="n">
        <x:v>0.723</x:v>
      </x:c>
      <x:c r="M120" s="1" t="n">
        <x:v>6</x:v>
      </x:c>
      <x:c r="N120" s="1" t="str">
        <x:v>2025-2026</x:v>
      </x:c>
      <x:c r="O120" s="1" t="str">
        <x:v>2026-10-09</x:v>
      </x:c>
      <x:c r="P120" s="1" t="str">
        <x:v>Live</x:v>
      </x:c>
      <x:c r="Q120" s="1" t="str">
        <x:v>7979</x:v>
      </x:c>
      <x:c r="R120" s="1" t="str">
        <x:v>182514568</x:v>
      </x:c>
      <x:c r="S120" s="1"/>
      <x:c r="T120" s="1" t="str">
        <x:v>3310</x:v>
      </x:c>
      <x:c r="U120" s="1" t="str">
        <x:v>215-574-1680</x:v>
      </x:c>
      <x:c r="V120" s="1" t="str">
        <x:v>https://www.laboratorycharterschool.com/</x:v>
      </x:c>
      <x:c r="W120" s="1" t="str">
        <x:v>2026-2027</x:v>
      </x:c>
      <x:c r="X120" s="1" t="str">
        <x:v>2025-2026</x:v>
      </x:c>
      <x:c r="Y120" s="1" t="str">
        <x:v>1</x:v>
      </x:c>
      <x:c r="Z120" s="1" t="str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</x:row>
    <x:row r="121" ht="22" customHeight="1">
      <x:c r="A121" s="2" t="str">
        <x:v>3392</x:v>
      </x:c>
      <x:c r="B121" s="2" t="str">
        <x:v>Southwest Leadership Academy Charter School</x:v>
      </x:c>
      <x:c r="C121" s="2" t="str">
        <x:v>Charter</x:v>
      </x:c>
      <x:c r="D121" s="2" t="str">
        <x:v>Yes</x:v>
      </x:c>
      <x:c r="E121" s="2" t="str">
        <x:v>Elementary-Middle</x:v>
      </x:c>
      <x:c r="F121" s="2" t="str">
        <x:v>7101 PASCHALL AVE</x:v>
      </x:c>
      <x:c r="G121" s="2" t="str">
        <x:v>PHILADELPHIA</x:v>
      </x:c>
      <x:c r="H121" s="2" t="str">
        <x:v>19142</x:v>
      </x:c>
      <x:c r="I121" s="2" t="n">
        <x:v>39.918099</x:v>
      </x:c>
      <x:c r="J121" s="2" t="n">
        <x:v>-75.2426</x:v>
      </x:c>
      <x:c r="K121" s="2" t="n">
        <x:v>690</x:v>
      </x:c>
      <x:c r="L121" s="15" t="n">
        <x:v>1</x:v>
      </x:c>
      <x:c r="M121" s="1" t="n">
        <x:v>2</x:v>
      </x:c>
      <x:c r="N121" s="1" t="str">
        <x:v>2025-2026</x:v>
      </x:c>
      <x:c r="O121" s="1" t="str">
        <x:v>2026-10-09</x:v>
      </x:c>
      <x:c r="P121" s="1" t="str">
        <x:v>Live</x:v>
      </x:c>
      <x:c r="Q121" s="1" t="str">
        <x:v>7960</x:v>
      </x:c>
      <x:c r="R121" s="1" t="str">
        <x:v>108515107</x:v>
      </x:c>
      <x:c r="S121" s="1"/>
      <x:c r="T121" s="1" t="str">
        <x:v>3312</x:v>
      </x:c>
      <x:c r="U121" s="1" t="str">
        <x:v>215-457-6666</x:v>
      </x:c>
      <x:c r="V121" s="1" t="str">
        <x:v>https://www.macs.k12.pa.us</x:v>
      </x:c>
      <x:c r="W121" s="1" t="str">
        <x:v>2026-2027</x:v>
      </x:c>
      <x:c r="X121" s="1" t="str">
        <x:v>2025-2026</x:v>
      </x:c>
      <x:c r="Y121" s="1" t="str">
        <x:v>1</x:v>
      </x:c>
      <x:c r="Z121" s="1" t="str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</x:row>
    <x:row r="122" ht="22" customHeight="1">
      <x:c r="A122" s="2" t="str">
        <x:v>3393</x:v>
      </x:c>
      <x:c r="B122" s="2" t="str">
        <x:v>Mastery Charter School at Pickett</x:v>
      </x:c>
      <x:c r="C122" s="2" t="str">
        <x:v>Charter</x:v>
      </x:c>
      <x:c r="D122" s="2" t="str">
        <x:v>Yes</x:v>
      </x:c>
      <x:c r="E122" s="2" t="str">
        <x:v>Middle-High</x:v>
      </x:c>
      <x:c r="F122" s="2" t="str">
        <x:v>5700 WAYNE AVE</x:v>
      </x:c>
      <x:c r="G122" s="2" t="str">
        <x:v>PHILADELPHIA</x:v>
      </x:c>
      <x:c r="H122" s="2" t="str">
        <x:v>19144</x:v>
      </x:c>
      <x:c r="I122" s="2" t="n">
        <x:v>40.03187441</x:v>
      </x:c>
      <x:c r="J122" s="2" t="n">
        <x:v>-75.18087124</x:v>
      </x:c>
      <x:c r="K122" s="2" t="n">
        <x:v>903</x:v>
      </x:c>
      <x:c r="L122" s="15" t="n">
        <x:v>0.8035</x:v>
      </x:c>
      <x:c r="M122" s="1" t="n">
        <x:v>15</x:v>
      </x:c>
      <x:c r="N122" s="1" t="str">
        <x:v>2025-2026</x:v>
      </x:c>
      <x:c r="O122" s="1" t="str">
        <x:v>2026-10-09</x:v>
      </x:c>
      <x:c r="P122" s="1" t="str">
        <x:v>Live</x:v>
      </x:c>
      <x:c r="Q122" s="1" t="str">
        <x:v>7961</x:v>
      </x:c>
      <x:c r="R122" s="1" t="str">
        <x:v>151514721</x:v>
      </x:c>
      <x:c r="S122" s="1"/>
      <x:c r="T122" s="1" t="str">
        <x:v>3313</x:v>
      </x:c>
      <x:c r="U122" s="1" t="str">
        <x:v>215-334-6144</x:v>
      </x:c>
      <x:c r="V122" s="1" t="str">
        <x:v>https://prepchs.org</x:v>
      </x:c>
      <x:c r="W122" s="1" t="str">
        <x:v>2026-2027</x:v>
      </x:c>
      <x:c r="X122" s="1" t="str">
        <x:v>2025-2026</x:v>
      </x:c>
      <x:c r="Y122" s="1" t="str">
        <x:v>1</x:v>
      </x:c>
      <x:c r="Z122" s="1" t="str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</x:row>
    <x:row r="123" ht="22" customHeight="1">
      <x:c r="A123" s="2" t="str">
        <x:v>3394</x:v>
      </x:c>
      <x:c r="B123" s="2" t="str">
        <x:v>Pan American Academy Charter School</x:v>
      </x:c>
      <x:c r="C123" s="2" t="str">
        <x:v>Charter</x:v>
      </x:c>
      <x:c r="D123" s="2" t="str">
        <x:v>Yes</x:v>
      </x:c>
      <x:c r="E123" s="2" t="str">
        <x:v>Elementary-Middle</x:v>
      </x:c>
      <x:c r="F123" s="2" t="str">
        <x:v>2830 N AMERICAN ST</x:v>
      </x:c>
      <x:c r="G123" s="2" t="str">
        <x:v>PHILADELPHIA</x:v>
      </x:c>
      <x:c r="H123" s="2" t="str">
        <x:v>19133</x:v>
      </x:c>
      <x:c r="I123" s="2" t="n">
        <x:v>39.99428061</x:v>
      </x:c>
      <x:c r="J123" s="2" t="n">
        <x:v>-75.13614883</x:v>
      </x:c>
      <x:c r="K123" s="2" t="n">
        <x:v>767</x:v>
      </x:c>
      <x:c r="L123" s="15" t="n">
        <x:v>0.8617</x:v>
      </x:c>
      <x:c r="M123" s="1" t="n">
        <x:v>12</x:v>
      </x:c>
      <x:c r="N123" s="1" t="str">
        <x:v>2025-2026</x:v>
      </x:c>
      <x:c r="O123" s="1" t="str">
        <x:v>2026-10-09</x:v>
      </x:c>
      <x:c r="P123" s="1" t="str">
        <x:v>Live</x:v>
      </x:c>
      <x:c r="Q123" s="1" t="str">
        <x:v>7985</x:v>
      </x:c>
      <x:c r="R123" s="1" t="str">
        <x:v>173515368</x:v>
      </x:c>
      <x:c r="S123" s="1"/>
      <x:c r="T123" s="1" t="str">
        <x:v>3314</x:v>
      </x:c>
      <x:c r="U123" s="1" t="str">
        <x:v>215-927-7995</x:v>
      </x:c>
      <x:c r="V123" s="1" t="str">
        <x:v>https://www.wolcs.org</x:v>
      </x:c>
      <x:c r="W123" s="1" t="str">
        <x:v>2026-2027</x:v>
      </x:c>
      <x:c r="X123" s="1" t="str">
        <x:v>2025-2026</x:v>
      </x:c>
      <x:c r="Y123" s="1" t="str">
        <x:v>1</x:v>
      </x:c>
      <x:c r="Z123" s="1" t="str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</x:row>
    <x:row r="124" ht="22" customHeight="1">
      <x:c r="A124" s="2" t="str">
        <x:v>3395</x:v>
      </x:c>
      <x:c r="B124" s="2" t="str">
        <x:v>Antonia Pantoja Charter School</x:v>
      </x:c>
      <x:c r="C124" s="2" t="str">
        <x:v>Charter</x:v>
      </x:c>
      <x:c r="D124" s="2" t="str">
        <x:v>Yes</x:v>
      </x:c>
      <x:c r="E124" s="2" t="str">
        <x:v>Elementary-Middle</x:v>
      </x:c>
      <x:c r="F124" s="2" t="str">
        <x:v>4101 N AMERICAN ST</x:v>
      </x:c>
      <x:c r="G124" s="2" t="str">
        <x:v>PHILADELPHIA</x:v>
      </x:c>
      <x:c r="H124" s="2" t="str">
        <x:v>19140</x:v>
      </x:c>
      <x:c r="I124" s="2" t="n">
        <x:v>40.01300525</x:v>
      </x:c>
      <x:c r="J124" s="2" t="n">
        <x:v>-75.13136564</x:v>
      </x:c>
      <x:c r="K124" s="2" t="n">
        <x:v>746</x:v>
      </x:c>
      <x:c r="L124" s="15" t="n">
        <x:v>0.8</x:v>
      </x:c>
      <x:c r="M124" s="1" t="n">
        <x:v>10</x:v>
      </x:c>
      <x:c r="N124" s="1" t="str">
        <x:v>2025-2026</x:v>
      </x:c>
      <x:c r="O124" s="1" t="str">
        <x:v>2026-10-09</x:v>
      </x:c>
      <x:c r="P124" s="1" t="str">
        <x:v>Live</x:v>
      </x:c>
      <x:c r="Q124" s="1" t="str">
        <x:v>8031</x:v>
      </x:c>
      <x:c r="R124" s="1" t="str">
        <x:v>104510394</x:v>
      </x:c>
      <x:c r="S124" s="1"/>
      <x:c r="T124" s="1" t="str">
        <x:v>3315</x:v>
      </x:c>
      <x:c r="U124" s="1" t="str">
        <x:v>215-232-4892</x:v>
      </x:c>
      <x:c r="V124" s="1" t="str">
        <x:v>https://www.afpcs.org</x:v>
      </x:c>
      <x:c r="W124" s="1" t="str">
        <x:v>2026-2027</x:v>
      </x:c>
      <x:c r="X124" s="1" t="str">
        <x:v>2025-2026</x:v>
      </x:c>
      <x:c r="Y124" s="1" t="str">
        <x:v>1</x:v>
      </x:c>
      <x:c r="Z124" s="1" t="str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</x:row>
    <x:row r="125" ht="22" customHeight="1">
      <x:c r="A125" s="2" t="str">
        <x:v>3399</x:v>
      </x:c>
      <x:c r="B125" s="2" t="str">
        <x:v>Sankofa Freedom Academy Charter School</x:v>
      </x:c>
      <x:c r="C125" s="2" t="str">
        <x:v>Charter</x:v>
      </x:c>
      <x:c r="D125" s="2" t="str">
        <x:v>Yes</x:v>
      </x:c>
      <x:c r="E125" s="2" t="str">
        <x:v>Elementary-Middle-High</x:v>
      </x:c>
      <x:c r="F125" s="2" t="str">
        <x:v>2501 KENSINGTON AVE</x:v>
      </x:c>
      <x:c r="G125" s="2" t="str">
        <x:v>PHILADELPHIA</x:v>
      </x:c>
      <x:c r="H125" s="2" t="str">
        <x:v>19125</x:v>
      </x:c>
      <x:c r="I125" s="2" t="n">
        <x:v>39.987082</x:v>
      </x:c>
      <x:c r="J125" s="2" t="n">
        <x:v>-75.128641</x:v>
      </x:c>
      <x:c r="K125" s="2" t="n">
        <x:v>647</x:v>
      </x:c>
      <x:c r="L125" s="15" t="n">
        <x:v>0.8207</x:v>
      </x:c>
      <x:c r="M125" s="1" t="n">
        <x:v>10</x:v>
      </x:c>
      <x:c r="N125" s="1" t="str">
        <x:v>2025-2026</x:v>
      </x:c>
      <x:c r="O125" s="1" t="str">
        <x:v>2026-10-09</x:v>
      </x:c>
      <x:c r="P125" s="1" t="str">
        <x:v>Live</x:v>
      </x:c>
      <x:c r="Q125" s="1" t="str">
        <x:v>8083</x:v>
      </x:c>
      <x:c r="R125" s="1" t="str">
        <x:v>114514135</x:v>
      </x:c>
      <x:c r="S125" s="1"/>
      <x:c r="T125" s="1" t="str">
        <x:v>3318</x:v>
      </x:c>
      <x:c r="U125" s="1" t="str">
        <x:v>215-557-8555</x:v>
      </x:c>
      <x:c r="V125" s="1" t="str">
        <x:v>https://freirecharterschool.org/</x:v>
      </x:c>
      <x:c r="W125" s="1" t="str">
        <x:v>2026-2027</x:v>
      </x:c>
      <x:c r="X125" s="1" t="str">
        <x:v>2025-2026</x:v>
      </x:c>
      <x:c r="Y125" s="1" t="str">
        <x:v>1</x:v>
      </x:c>
      <x:c r="Z125" s="1" t="str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</x:row>
    <x:row r="126" ht="22" customHeight="1">
      <x:c r="A126" s="2" t="str">
        <x:v>3403</x:v>
      </x:c>
      <x:c r="B126" s="2" t="str">
        <x:v>Franklin Towne Charter Elementary School</x:v>
      </x:c>
      <x:c r="C126" s="2" t="str">
        <x:v>Charter</x:v>
      </x:c>
      <x:c r="D126" s="2" t="str">
        <x:v>Yes</x:v>
      </x:c>
      <x:c r="E126" s="2" t="str">
        <x:v>Elementary-Middle</x:v>
      </x:c>
      <x:c r="F126" s="2" t="str">
        <x:v>4259 RICHMOND ST</x:v>
      </x:c>
      <x:c r="G126" s="2" t="str">
        <x:v>PHILADELPHIA</x:v>
      </x:c>
      <x:c r="H126" s="2" t="str">
        <x:v>19137</x:v>
      </x:c>
      <x:c r="I126" s="2" t="n">
        <x:v>39.99551599</x:v>
      </x:c>
      <x:c r="J126" s="2" t="n">
        <x:v>-75.07472434</x:v>
      </x:c>
      <x:c r="K126" s="2" t="n">
        <x:v>958</x:v>
      </x:c>
      <x:c r="L126" s="15" t="n">
        <x:v>0.6767</x:v>
      </x:c>
      <x:c r="M126" s="1" t="n">
        <x:v>1</x:v>
      </x:c>
      <x:c r="N126" s="1" t="str">
        <x:v>2025-2026</x:v>
      </x:c>
      <x:c r="O126" s="1" t="str">
        <x:v>2026-10-09</x:v>
      </x:c>
      <x:c r="P126" s="1" t="str">
        <x:v>Live</x:v>
      </x:c>
      <x:c r="Q126" s="1" t="str">
        <x:v>8123</x:v>
      </x:c>
      <x:c r="R126" s="1" t="str">
        <x:v>147513703</x:v>
      </x:c>
      <x:c r="S126" s="1"/>
      <x:c r="T126" s="1" t="str">
        <x:v>3322</x:v>
      </x:c>
      <x:c r="U126" s="1" t="str">
        <x:v>215-676-8320</x:v>
      </x:c>
      <x:c r="V126" s="1" t="str">
        <x:v>https://www.philadelphiaacademy.org</x:v>
      </x:c>
      <x:c r="W126" s="1" t="str">
        <x:v>2026-2027</x:v>
      </x:c>
      <x:c r="X126" s="1" t="str">
        <x:v>2025-2026</x:v>
      </x:c>
      <x:c r="Y126" s="1" t="str">
        <x:v>1</x:v>
      </x:c>
      <x:c r="Z126" s="1" t="str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</x:row>
    <x:row r="127" ht="22" customHeight="1">
      <x:c r="A127" s="2" t="str">
        <x:v>3404</x:v>
      </x:c>
      <x:c r="B127" s="2" t="str">
        <x:v>Tacony Academy Charter School</x:v>
      </x:c>
      <x:c r="C127" s="2" t="str">
        <x:v>Charter</x:v>
      </x:c>
      <x:c r="D127" s="2" t="str">
        <x:v>Yes</x:v>
      </x:c>
      <x:c r="E127" s="2" t="str">
        <x:v>Elementary-Middle-High</x:v>
      </x:c>
      <x:c r="F127" s="2" t="str">
        <x:v>1330 RHAWN ST</x:v>
      </x:c>
      <x:c r="G127" s="2" t="str">
        <x:v>PHILADELPHIA</x:v>
      </x:c>
      <x:c r="H127" s="2" t="str">
        <x:v>19111</x:v>
      </x:c>
      <x:c r="I127" s="2" t="n">
        <x:v>40.06684222</x:v>
      </x:c>
      <x:c r="J127" s="2" t="n">
        <x:v>-75.06598353</x:v>
      </x:c>
      <x:c r="K127" s="2" t="n">
        <x:v>1090</x:v>
      </x:c>
      <x:c r="L127" s="15" t="n">
        <x:v>0.7204</x:v>
      </x:c>
      <x:c r="M127" s="1" t="n">
        <x:v>0</x:v>
      </x:c>
      <x:c r="N127" s="1" t="str">
        <x:v>2025-2026</x:v>
      </x:c>
      <x:c r="O127" s="1" t="str">
        <x:v>2026-10-09</x:v>
      </x:c>
      <x:c r="P127" s="1" t="str">
        <x:v>Live</x:v>
      </x:c>
      <x:c r="Q127" s="1" t="str">
        <x:v>8126</x:v>
      </x:c>
      <x:c r="R127" s="1" t="str">
        <x:v>192518422</x:v>
      </x:c>
      <x:c r="S127" s="1"/>
      <x:c r="T127" s="1" t="str">
        <x:v>3323</x:v>
      </x:c>
      <x:c r="U127" s="1" t="str">
        <x:v>215-724-2343</x:v>
      </x:c>
      <x:c r="V127" s="1" t="str">
        <x:v>https://masterycharter.org/secondary-schools/hardy-williams-high</x:v>
      </x:c>
      <x:c r="W127" s="1" t="str">
        <x:v>2026-2027</x:v>
      </x:c>
      <x:c r="X127" s="1" t="str">
        <x:v>2025-2026</x:v>
      </x:c>
      <x:c r="Y127" s="1" t="str">
        <x:v>1</x:v>
      </x:c>
      <x:c r="Z127" s="1" t="str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</x:row>
    <x:row r="128" ht="22" customHeight="1">
      <x:c r="A128" s="2" t="str">
        <x:v>3407</x:v>
      </x:c>
      <x:c r="B128" s="2" t="str">
        <x:v>Mastery Charter School at Harrity</x:v>
      </x:c>
      <x:c r="C128" s="2" t="str">
        <x:v>Charter</x:v>
      </x:c>
      <x:c r="D128" s="2" t="str">
        <x:v>Yes</x:v>
      </x:c>
      <x:c r="E128" s="2" t="str">
        <x:v>Elementary-Middle</x:v>
      </x:c>
      <x:c r="F128" s="2" t="str">
        <x:v>5601 CHRISTIAN ST</x:v>
      </x:c>
      <x:c r="G128" s="2" t="str">
        <x:v>PHILADELPHIA</x:v>
      </x:c>
      <x:c r="H128" s="2" t="str">
        <x:v>19143</x:v>
      </x:c>
      <x:c r="I128" s="2" t="n">
        <x:v>39.94852458</x:v>
      </x:c>
      <x:c r="J128" s="2" t="n">
        <x:v>-75.23548525</x:v>
      </x:c>
      <x:c r="K128" s="2" t="n">
        <x:v>753</x:v>
      </x:c>
      <x:c r="L128" s="15" t="n">
        <x:v>0.9907</x:v>
      </x:c>
      <x:c r="M128" s="1" t="n">
        <x:v>9</x:v>
      </x:c>
      <x:c r="N128" s="1" t="str">
        <x:v>2025-2026</x:v>
      </x:c>
      <x:c r="O128" s="1" t="str">
        <x:v>2026-10-09</x:v>
      </x:c>
      <x:c r="P128" s="1" t="str">
        <x:v>Live</x:v>
      </x:c>
      <x:c r="Q128" s="1" t="str">
        <x:v>8153</x:v>
      </x:c>
      <x:c r="R128" s="1" t="str">
        <x:v>126516457</x:v>
      </x:c>
      <x:c r="S128" s="1"/>
      <x:c r="T128" s="1" t="str">
        <x:v>3326</x:v>
      </x:c>
      <x:c r="U128" s="1" t="str">
        <x:v>215-732-2876</x:v>
      </x:c>
      <x:c r="V128" s="1" t="str">
        <x:v>https://www.universalfamilyofschools.org/universal-institute/</x:v>
      </x:c>
      <x:c r="W128" s="1" t="str">
        <x:v>2026-2027</x:v>
      </x:c>
      <x:c r="X128" s="1" t="str">
        <x:v>2025-2026</x:v>
      </x:c>
      <x:c r="Y128" s="1" t="str">
        <x:v>1</x:v>
      </x:c>
      <x:c r="Z128" s="1" t="str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</x:row>
    <x:row r="129" ht="22" customHeight="1">
      <x:c r="A129" s="2" t="str">
        <x:v>3408</x:v>
      </x:c>
      <x:c r="B129" s="2" t="str">
        <x:v>Mastery Charter School at Mann</x:v>
      </x:c>
      <x:c r="C129" s="2" t="str">
        <x:v>Charter</x:v>
      </x:c>
      <x:c r="D129" s="2" t="str">
        <x:v>Yes</x:v>
      </x:c>
      <x:c r="E129" s="2" t="str">
        <x:v>Elementary</x:v>
      </x:c>
      <x:c r="F129" s="2" t="str">
        <x:v>5376 W BERKS ST</x:v>
      </x:c>
      <x:c r="G129" s="2" t="str">
        <x:v>PHILADELPHIA</x:v>
      </x:c>
      <x:c r="H129" s="2" t="str">
        <x:v>19131</x:v>
      </x:c>
      <x:c r="I129" s="2" t="n">
        <x:v>39.98590147</x:v>
      </x:c>
      <x:c r="J129" s="2" t="n">
        <x:v>-75.2313266</x:v>
      </x:c>
      <x:c r="K129" s="2" t="n">
        <x:v>549</x:v>
      </x:c>
      <x:c r="L129" s="15" t="n">
        <x:v>0.8836</x:v>
      </x:c>
      <x:c r="M129" s="1" t="n">
        <x:v>5</x:v>
      </x:c>
      <x:c r="N129" s="1" t="str">
        <x:v>2025-2026</x:v>
      </x:c>
      <x:c r="O129" s="1" t="str">
        <x:v>2026-10-09</x:v>
      </x:c>
      <x:c r="P129" s="1" t="str">
        <x:v>Live</x:v>
      </x:c>
      <x:c r="Q129" s="1" t="str">
        <x:v>8152</x:v>
      </x:c>
      <x:c r="R129" s="1" t="str">
        <x:v>126519433</x:v>
      </x:c>
      <x:c r="S129" s="1"/>
      <x:c r="T129" s="1" t="str">
        <x:v>3328</x:v>
      </x:c>
      <x:c r="U129" s="1" t="str">
        <x:v>267-348-1100</x:v>
      </x:c>
      <x:c r="V129" s="1" t="str">
        <x:v>https://www.mastccs.org</x:v>
      </x:c>
      <x:c r="W129" s="1" t="str">
        <x:v>2026-2027</x:v>
      </x:c>
      <x:c r="X129" s="1" t="str">
        <x:v>2025-2026</x:v>
      </x:c>
      <x:c r="Y129" s="1" t="str">
        <x:v>1</x:v>
      </x:c>
      <x:c r="Z129" s="1" t="str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</x:row>
    <x:row r="130" ht="22" customHeight="1">
      <x:c r="A130" s="2" t="str">
        <x:v>3409</x:v>
      </x:c>
      <x:c r="B130" s="2" t="str">
        <x:v>Mastery Charter School at Smedley</x:v>
      </x:c>
      <x:c r="C130" s="2" t="str">
        <x:v>Charter</x:v>
      </x:c>
      <x:c r="D130" s="2" t="str">
        <x:v>Yes</x:v>
      </x:c>
      <x:c r="E130" s="2" t="str">
        <x:v>Elementary</x:v>
      </x:c>
      <x:c r="F130" s="2" t="str">
        <x:v>1790 BRIDGE ST</x:v>
      </x:c>
      <x:c r="G130" s="2" t="str">
        <x:v>PHILADELPHIA</x:v>
      </x:c>
      <x:c r="H130" s="2" t="str">
        <x:v>19124</x:v>
      </x:c>
      <x:c r="I130" s="2" t="n">
        <x:v>40.019786</x:v>
      </x:c>
      <x:c r="J130" s="2" t="n">
        <x:v>-75.073892</x:v>
      </x:c>
      <x:c r="K130" s="2" t="n">
        <x:v>737</x:v>
      </x:c>
      <x:c r="L130" s="15" t="n">
        <x:v>0.8631</x:v>
      </x:c>
      <x:c r="M130" s="1" t="n">
        <x:v>10</x:v>
      </x:c>
      <x:c r="N130" s="1" t="str">
        <x:v>2025-2026</x:v>
      </x:c>
      <x:c r="O130" s="1" t="str">
        <x:v>2026-10-09</x:v>
      </x:c>
      <x:c r="P130" s="1" t="str">
        <x:v>Live</x:v>
      </x:c>
      <x:c r="Q130" s="1" t="str">
        <x:v>8151</x:v>
      </x:c>
      <x:c r="R130" s="1" t="str">
        <x:v>126517286</x:v>
      </x:c>
      <x:c r="S130" s="1"/>
      <x:c r="T130" s="1" t="str">
        <x:v>3329</x:v>
      </x:c>
      <x:c r="U130" s="1" t="str">
        <x:v>215-232-9727</x:v>
      </x:c>
      <x:c r="V130" s="1" t="str">
        <x:v>https://www.phillyscholars.org</x:v>
      </x:c>
      <x:c r="W130" s="1" t="str">
        <x:v>2026-2027</x:v>
      </x:c>
      <x:c r="X130" s="1" t="str">
        <x:v>2025-2026</x:v>
      </x:c>
      <x:c r="Y130" s="1" t="str">
        <x:v>1</x:v>
      </x:c>
      <x:c r="Z130" s="1" t="str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</x:row>
    <x:row r="131" ht="22" customHeight="1">
      <x:c r="A131" s="2" t="str">
        <x:v>3412</x:v>
      </x:c>
      <x:c r="B131" s="2" t="str">
        <x:v>Mastery Charter School at Douglass</x:v>
      </x:c>
      <x:c r="C131" s="2" t="str">
        <x:v>Charter</x:v>
      </x:c>
      <x:c r="D131" s="2" t="str">
        <x:v>Yes</x:v>
      </x:c>
      <x:c r="E131" s="2" t="str">
        <x:v>Elementary-Middle</x:v>
      </x:c>
      <x:c r="F131" s="2" t="str">
        <x:v>2118 W NORRIS ST</x:v>
      </x:c>
      <x:c r="G131" s="2" t="str">
        <x:v>PHILADELPHIA</x:v>
      </x:c>
      <x:c r="H131" s="2" t="str">
        <x:v>19121</x:v>
      </x:c>
      <x:c r="I131" s="2" t="n">
        <x:v>39.98461532</x:v>
      </x:c>
      <x:c r="J131" s="2" t="n">
        <x:v>-75.16846267</x:v>
      </x:c>
      <x:c r="K131" s="2" t="n">
        <x:v>559</x:v>
      </x:c>
      <x:c r="L131" s="15" t="n">
        <x:v>0.9928</x:v>
      </x:c>
      <x:c r="M131" s="1" t="n">
        <x:v>19</x:v>
      </x:c>
      <x:c r="N131" s="1" t="str">
        <x:v>2025-2026</x:v>
      </x:c>
      <x:c r="O131" s="1" t="str">
        <x:v>2026-10-09</x:v>
      </x:c>
      <x:c r="P131" s="1" t="str">
        <x:v>Live</x:v>
      </x:c>
      <x:c r="Q131" s="1" t="str">
        <x:v>8150</x:v>
      </x:c>
      <x:c r="R131" s="1" t="str">
        <x:v>126518547</x:v>
      </x:c>
      <x:c r="S131" s="1"/>
      <x:c r="T131" s="1" t="str">
        <x:v>3331</x:v>
      </x:c>
      <x:c r="U131" s="1" t="str">
        <x:v>215-289-5000</x:v>
      </x:c>
      <x:c r="V131" s="1" t="str">
        <x:v>https://hs.franklintowne.org</x:v>
      </x:c>
      <x:c r="W131" s="1" t="str">
        <x:v>2026-2027</x:v>
      </x:c>
      <x:c r="X131" s="1" t="str">
        <x:v>2025-2026</x:v>
      </x:c>
      <x:c r="Y131" s="1" t="str">
        <x:v>1</x:v>
      </x:c>
      <x:c r="Z131" s="1" t="str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</x:row>
    <x:row r="132" ht="22" customHeight="1">
      <x:c r="A132" s="2" t="str">
        <x:v>3415</x:v>
      </x:c>
      <x:c r="B132" s="2" t="str">
        <x:v>Mastery Charter School at Clymer</x:v>
      </x:c>
      <x:c r="C132" s="2" t="str">
        <x:v>Charter</x:v>
      </x:c>
      <x:c r="D132" s="2" t="str">
        <x:v>Yes</x:v>
      </x:c>
      <x:c r="E132" s="2" t="str">
        <x:v>Elementary</x:v>
      </x:c>
      <x:c r="F132" s="2" t="str">
        <x:v>1201 W RUSH ST</x:v>
      </x:c>
      <x:c r="G132" s="2" t="str">
        <x:v>PHILADELPHIA</x:v>
      </x:c>
      <x:c r="H132" s="2" t="str">
        <x:v>19133</x:v>
      </x:c>
      <x:c r="I132" s="2" t="n">
        <x:v>39.99565934</x:v>
      </x:c>
      <x:c r="J132" s="2" t="n">
        <x:v>-75.15034419</x:v>
      </x:c>
      <x:c r="K132" s="2" t="n">
        <x:v>417</x:v>
      </x:c>
      <x:c r="L132" s="15" t="n">
        <x:v>0.9808</x:v>
      </x:c>
      <x:c r="M132" s="1" t="n">
        <x:v>14</x:v>
      </x:c>
      <x:c r="N132" s="1" t="str">
        <x:v>2025-2026</x:v>
      </x:c>
      <x:c r="O132" s="1" t="str">
        <x:v>2026-10-09</x:v>
      </x:c>
      <x:c r="P132" s="1" t="str">
        <x:v>Live</x:v>
      </x:c>
      <x:c r="Q132" s="1" t="str">
        <x:v>8208</x:v>
      </x:c>
      <x:c r="R132" s="1" t="str">
        <x:v>126511748</x:v>
      </x:c>
      <x:c r="S132" s="1"/>
      <x:c r="T132" s="1" t="str">
        <x:v>3332</x:v>
      </x:c>
      <x:c r="U132" s="1" t="str">
        <x:v>215-291-4436</x:v>
      </x:c>
      <x:c r="V132" s="1" t="str">
        <x:v>https://www.mbacs.org</x:v>
      </x:c>
      <x:c r="W132" s="1" t="str">
        <x:v>2026-2027</x:v>
      </x:c>
      <x:c r="X132" s="1" t="str">
        <x:v>2025-2026</x:v>
      </x:c>
      <x:c r="Y132" s="1" t="str">
        <x:v>1</x:v>
      </x:c>
      <x:c r="Z132" s="1" t="str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</x:row>
    <x:row r="133" ht="22" customHeight="1">
      <x:c r="A133" s="2" t="str">
        <x:v>3416</x:v>
      </x:c>
      <x:c r="B133" s="2" t="str">
        <x:v>Mastery Charter School at Gratz</x:v>
      </x:c>
      <x:c r="C133" s="2" t="str">
        <x:v>Charter</x:v>
      </x:c>
      <x:c r="D133" s="2" t="str">
        <x:v>Yes</x:v>
      </x:c>
      <x:c r="E133" s="2" t="str">
        <x:v>Middle-High</x:v>
      </x:c>
      <x:c r="F133" s="2" t="str">
        <x:v>1798 W HUNTING PARK AVE</x:v>
      </x:c>
      <x:c r="G133" s="2" t="str">
        <x:v>PHILADELPHIA</x:v>
      </x:c>
      <x:c r="H133" s="2" t="str">
        <x:v>19140</x:v>
      </x:c>
      <x:c r="I133" s="2" t="n">
        <x:v>40.01453965</x:v>
      </x:c>
      <x:c r="J133" s="2" t="n">
        <x:v>-75.15660685</x:v>
      </x:c>
      <x:c r="K133" s="2" t="n">
        <x:v>1097</x:v>
      </x:c>
      <x:c r="L133" s="15" t="n">
        <x:v>0.8847</x:v>
      </x:c>
      <x:c r="M133" s="1" t="n">
        <x:v>8</x:v>
      </x:c>
      <x:c r="N133" s="1" t="str">
        <x:v>2025-2026</x:v>
      </x:c>
      <x:c r="O133" s="1" t="str">
        <x:v>2026-10-09</x:v>
      </x:c>
      <x:c r="P133" s="1" t="str">
        <x:v>Live</x:v>
      </x:c>
      <x:c r="Q133" s="1" t="str">
        <x:v>8207</x:v>
      </x:c>
      <x:c r="R133" s="1" t="str">
        <x:v>126513734</x:v>
      </x:c>
      <x:c r="S133" s="1"/>
      <x:c r="T133" s="1" t="str">
        <x:v>3333</x:v>
      </x:c>
      <x:c r="U133" s="1" t="str">
        <x:v>215-457-3667</x:v>
      </x:c>
      <x:c r="V133" s="1" t="str">
        <x:v>https://esperanzaacademycs.org</x:v>
      </x:c>
      <x:c r="W133" s="1" t="str">
        <x:v>2026-2027</x:v>
      </x:c>
      <x:c r="X133" s="1" t="str">
        <x:v>2025-2026</x:v>
      </x:c>
      <x:c r="Y133" s="1" t="str">
        <x:v>1</x:v>
      </x:c>
      <x:c r="Z133" s="1" t="str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</x:row>
    <x:row r="134" ht="22" customHeight="1">
      <x:c r="A134" s="2" t="str">
        <x:v>3417</x:v>
      </x:c>
      <x:c r="B134" s="2" t="str">
        <x:v>Universal Charter School at Audenried</x:v>
      </x:c>
      <x:c r="C134" s="2" t="str">
        <x:v>Charter</x:v>
      </x:c>
      <x:c r="D134" s="2" t="str">
        <x:v>Yes</x:v>
      </x:c>
      <x:c r="E134" s="2" t="str">
        <x:v>High</x:v>
      </x:c>
      <x:c r="F134" s="2" t="str">
        <x:v>3301 TASKER ST</x:v>
      </x:c>
      <x:c r="G134" s="2" t="str">
        <x:v>PHILADELPHIA</x:v>
      </x:c>
      <x:c r="H134" s="2" t="str">
        <x:v>19145</x:v>
      </x:c>
      <x:c r="I134" s="2" t="n">
        <x:v>39.933737</x:v>
      </x:c>
      <x:c r="J134" s="2" t="n">
        <x:v>-75.19859</x:v>
      </x:c>
      <x:c r="K134" s="2" t="n">
        <x:v>606</x:v>
      </x:c>
      <x:c r="L134" s="15" t="n">
        <x:v>0.9783</x:v>
      </x:c>
      <x:c r="M134" s="1" t="n">
        <x:v>6</x:v>
      </x:c>
      <x:c r="N134" s="1" t="str">
        <x:v>2025-2026</x:v>
      </x:c>
      <x:c r="O134" s="1" t="str">
        <x:v>2026-10-09</x:v>
      </x:c>
      <x:c r="P134" s="1" t="str">
        <x:v>Live</x:v>
      </x:c>
      <x:c r="Q134" s="1" t="str">
        <x:v>8195</x:v>
      </x:c>
      <x:c r="R134" s="1" t="str">
        <x:v>126519434</x:v>
      </x:c>
      <x:c r="S134" s="1"/>
      <x:c r="T134" s="1" t="str">
        <x:v>3334</x:v>
      </x:c>
      <x:c r="U134" s="1" t="str">
        <x:v>215-624-8100</x:v>
      </x:c>
      <x:c r="V134" s="1" t="str">
        <x:v>https://www.newfoundations.org/</x:v>
      </x:c>
      <x:c r="W134" s="1" t="str">
        <x:v>2026-2027</x:v>
      </x:c>
      <x:c r="X134" s="1" t="str">
        <x:v>2025-2026</x:v>
      </x:c>
      <x:c r="Y134" s="1" t="str">
        <x:v>1</x:v>
      </x:c>
      <x:c r="Z134" s="1" t="str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</x:row>
    <x:row r="135" ht="22" customHeight="1">
      <x:c r="A135" s="2" t="str">
        <x:v>3419</x:v>
      </x:c>
      <x:c r="B135" s="2" t="str">
        <x:v>General David B. Birney Charter School</x:v>
      </x:c>
      <x:c r="C135" s="2" t="str">
        <x:v>Charter</x:v>
      </x:c>
      <x:c r="D135" s="2" t="str">
        <x:v>Yes</x:v>
      </x:c>
      <x:c r="E135" s="2" t="str">
        <x:v>Elementary-Middle</x:v>
      </x:c>
      <x:c r="F135" s="2" t="str">
        <x:v>900 LINDLEY AVE</x:v>
      </x:c>
      <x:c r="G135" s="2" t="str">
        <x:v>PHILADELPHIA</x:v>
      </x:c>
      <x:c r="H135" s="2" t="str">
        <x:v>19141</x:v>
      </x:c>
      <x:c r="I135" s="2" t="n">
        <x:v>40.02954904</x:v>
      </x:c>
      <x:c r="J135" s="2" t="n">
        <x:v>-75.13883269</x:v>
      </x:c>
      <x:c r="K135" s="2" t="n">
        <x:v>721</x:v>
      </x:c>
      <x:c r="L135" s="15" t="n">
        <x:v>0.9188</x:v>
      </x:c>
      <x:c r="M135" s="1" t="n">
        <x:v>11</x:v>
      </x:c>
      <x:c r="N135" s="1" t="str">
        <x:v>2025-2026</x:v>
      </x:c>
      <x:c r="O135" s="1" t="str">
        <x:v>2026-10-09</x:v>
      </x:c>
      <x:c r="P135" s="1" t="str">
        <x:v>Live</x:v>
      </x:c>
      <x:c r="Q135" s="1" t="str">
        <x:v>8206</x:v>
      </x:c>
      <x:c r="R135" s="1" t="str">
        <x:v>126519476</x:v>
      </x:c>
      <x:c r="S135" s="1"/>
      <x:c r="T135" s="1" t="str">
        <x:v>3335</x:v>
      </x:c>
      <x:c r="U135" s="1" t="str">
        <x:v>215-763-7060</x:v>
      </x:c>
      <x:c r="V135" s="1" t="str">
        <x:v>https://www.pfpcs.org</x:v>
      </x:c>
      <x:c r="W135" s="1" t="str">
        <x:v>2026-2027</x:v>
      </x:c>
      <x:c r="X135" s="1" t="str">
        <x:v>2025-2026</x:v>
      </x:c>
      <x:c r="Y135" s="1" t="str">
        <x:v>1</x:v>
      </x:c>
      <x:c r="Z135" s="1" t="str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</x:row>
    <x:row r="136" ht="22" customHeight="1">
      <x:c r="A136" s="2" t="str">
        <x:v>3420</x:v>
      </x:c>
      <x:c r="B136" s="2" t="str">
        <x:v>Mastery Charter School at Cleveland</x:v>
      </x:c>
      <x:c r="C136" s="2" t="str">
        <x:v>Charter</x:v>
      </x:c>
      <x:c r="D136" s="2" t="str">
        <x:v>Unknown</x:v>
      </x:c>
      <x:c r="E136" s="2" t="str">
        <x:v>Elementary-Middle</x:v>
      </x:c>
      <x:c r="F136" s="2" t="str">
        <x:v>3701 N 19TH ST</x:v>
      </x:c>
      <x:c r="G136" s="2" t="str">
        <x:v>PHILADELPHIA</x:v>
      </x:c>
      <x:c r="H136" s="2" t="str">
        <x:v>19140</x:v>
      </x:c>
      <x:c r="I136" s="2" t="n">
        <x:v>40.01027824</x:v>
      </x:c>
      <x:c r="J136" s="2" t="n">
        <x:v>-75.15908455</x:v>
      </x:c>
      <x:c r="K136" s="2" t="n">
        <x:v>699</x:v>
      </x:c>
      <x:c r="L136" s="15" t="n">
        <x:v>0.9414</x:v>
      </x:c>
      <x:c r="M136" s="1" t="n">
        <x:v>5</x:v>
      </x:c>
      <x:c r="N136" s="1" t="str">
        <x:v>2025-2026</x:v>
      </x:c>
      <x:c r="O136" s="1" t="str">
        <x:v>2026-10-09</x:v>
      </x:c>
      <x:c r="P136" s="1" t="str">
        <x:v>Live</x:v>
      </x:c>
      <x:c r="Q136" s="1" t="str">
        <x:v>8259</x:v>
      </x:c>
      <x:c r="R136" s="1" t="str">
        <x:v>126519644</x:v>
      </x:c>
      <x:c r="S136" s="1"/>
      <x:c r="T136" s="1" t="str">
        <x:v>3336</x:v>
      </x:c>
      <x:c r="U136" s="1" t="str">
        <x:v>215-551-4000</x:v>
      </x:c>
      <x:c r="V136" s="1" t="str">
        <x:v>https://www.stringtheoryschools.org</x:v>
      </x:c>
      <x:c r="W136" s="1" t="str">
        <x:v>2026-2027</x:v>
      </x:c>
      <x:c r="X136" s="1" t="str">
        <x:v>2025-2026</x:v>
      </x:c>
      <x:c r="Y136" s="1" t="str">
        <x:v>1</x:v>
      </x:c>
      <x:c r="Z136" s="1" t="str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</x:row>
    <x:row r="137" ht="22" customHeight="1">
      <x:c r="A137" s="2" t="str">
        <x:v>3421</x:v>
      </x:c>
      <x:c r="B137" s="2" t="str">
        <x:v>Universal Charter School at Creighton</x:v>
      </x:c>
      <x:c r="C137" s="2" t="str">
        <x:v>Charter</x:v>
      </x:c>
      <x:c r="D137" s="2" t="str">
        <x:v>Yes</x:v>
      </x:c>
      <x:c r="E137" s="2" t="str">
        <x:v>Elementary-Middle</x:v>
      </x:c>
      <x:c r="F137" s="2" t="str">
        <x:v>5401 TABOR AVE</x:v>
      </x:c>
      <x:c r="G137" s="2" t="str">
        <x:v>PHILADELPHIA</x:v>
      </x:c>
      <x:c r="H137" s="2" t="str">
        <x:v>19120</x:v>
      </x:c>
      <x:c r="I137" s="2" t="n">
        <x:v>40.03404277</x:v>
      </x:c>
      <x:c r="J137" s="2" t="n">
        <x:v>-75.10586492</x:v>
      </x:c>
      <x:c r="K137" s="2" t="n">
        <x:v>652</x:v>
      </x:c>
      <x:c r="L137" s="15" t="n">
        <x:v>0.8157</x:v>
      </x:c>
      <x:c r="M137" s="1" t="n">
        <x:v>6</x:v>
      </x:c>
      <x:c r="N137" s="1" t="str">
        <x:v>2025-2026</x:v>
      </x:c>
      <x:c r="O137" s="1" t="str">
        <x:v>2026-10-09</x:v>
      </x:c>
      <x:c r="P137" s="1" t="str">
        <x:v>Live</x:v>
      </x:c>
      <x:c r="Q137" s="1" t="str">
        <x:v>8251</x:v>
      </x:c>
      <x:c r="R137" s="1" t="str">
        <x:v>126517442</x:v>
      </x:c>
      <x:c r="S137" s="1"/>
      <x:c r="T137" s="1" t="str">
        <x:v>3337</x:v>
      </x:c>
      <x:c r="U137" s="1" t="str">
        <x:v>215-477-6672</x:v>
      </x:c>
      <x:c r="V137" s="1" t="str">
        <x:v>https://glacharter.org/gla-west</x:v>
      </x:c>
      <x:c r="W137" s="1" t="str">
        <x:v>2026-2027</x:v>
      </x:c>
      <x:c r="X137" s="1" t="str">
        <x:v>2025-2026</x:v>
      </x:c>
      <x:c r="Y137" s="1" t="str">
        <x:v>1</x:v>
      </x:c>
      <x:c r="Z137" s="1" t="str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</x:row>
    <x:row r="138" ht="22" customHeight="1">
      <x:c r="A138" s="2" t="str">
        <x:v>3422</x:v>
      </x:c>
      <x:c r="B138" s="2" t="str">
        <x:v>The Philadelphia Charter School for Arts and Sciences</x:v>
      </x:c>
      <x:c r="C138" s="2" t="str">
        <x:v>Charter</x:v>
      </x:c>
      <x:c r="D138" s="2" t="str">
        <x:v>Yes</x:v>
      </x:c>
      <x:c r="E138" s="2" t="str">
        <x:v>Elementary-Middle</x:v>
      </x:c>
      <x:c r="F138" s="2" t="str">
        <x:v>1197 HAWORTH ST</x:v>
      </x:c>
      <x:c r="G138" s="2" t="str">
        <x:v>PHILADELPHIA</x:v>
      </x:c>
      <x:c r="H138" s="2" t="str">
        <x:v>19124</x:v>
      </x:c>
      <x:c r="I138" s="2" t="n">
        <x:v>40.02423246</x:v>
      </x:c>
      <x:c r="J138" s="2" t="n">
        <x:v>-75.08599631</x:v>
      </x:c>
      <x:c r="K138" s="2" t="n">
        <x:v>837</x:v>
      </x:c>
      <x:c r="L138" s="15" t="n">
        <x:v>0.8432</x:v>
      </x:c>
      <x:c r="M138" s="1" t="n">
        <x:v>7</x:v>
      </x:c>
      <x:c r="N138" s="1" t="str">
        <x:v>2025-2026</x:v>
      </x:c>
      <x:c r="O138" s="1" t="str">
        <x:v>2026-10-09</x:v>
      </x:c>
      <x:c r="P138" s="1" t="str">
        <x:v>Live</x:v>
      </x:c>
      <x:c r="Q138" s="1" t="str">
        <x:v>8252</x:v>
      </x:c>
      <x:c r="R138" s="1" t="str">
        <x:v>126515691</x:v>
      </x:c>
      <x:c r="S138" s="1"/>
      <x:c r="T138" s="1" t="str">
        <x:v>3341</x:v>
      </x:c>
      <x:c r="U138" s="1" t="str">
        <x:v>215-238-8000</x:v>
      </x:c>
      <x:c r="V138" s="1" t="str">
        <x:v>https://independencecharter.org/</x:v>
      </x:c>
      <x:c r="W138" s="1" t="str">
        <x:v>2026-2027</x:v>
      </x:c>
      <x:c r="X138" s="1" t="str">
        <x:v>2025-2026</x:v>
      </x:c>
      <x:c r="Y138" s="1" t="str">
        <x:v>1</x:v>
      </x:c>
      <x:c r="Z138" s="1" t="str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</x:row>
    <x:row r="139" ht="22" customHeight="1">
      <x:c r="A139" s="2" t="str">
        <x:v>3424</x:v>
      </x:c>
      <x:c r="B139" s="2" t="str">
        <x:v>Universal Charter School at Alcorn</x:v>
      </x:c>
      <x:c r="C139" s="2" t="str">
        <x:v>Charter</x:v>
      </x:c>
      <x:c r="D139" s="2" t="str">
        <x:v>Yes</x:v>
      </x:c>
      <x:c r="E139" s="2" t="str">
        <x:v>Elementary-Middle</x:v>
      </x:c>
      <x:c r="F139" s="2" t="str">
        <x:v>3200 DICKINSON ST</x:v>
      </x:c>
      <x:c r="G139" s="2" t="str">
        <x:v>PHILADELPHIA</x:v>
      </x:c>
      <x:c r="H139" s="2" t="str">
        <x:v>19146</x:v>
      </x:c>
      <x:c r="I139" s="2" t="n">
        <x:v>39.935499</x:v>
      </x:c>
      <x:c r="J139" s="2" t="n">
        <x:v>-75.197771</x:v>
      </x:c>
      <x:c r="K139" s="2" t="n">
        <x:v>473</x:v>
      </x:c>
      <x:c r="L139" s="15" t="n">
        <x:v>0.8322</x:v>
      </x:c>
      <x:c r="M139" s="1" t="n">
        <x:v>8</x:v>
      </x:c>
      <x:c r="N139" s="1" t="str">
        <x:v>2025-2026</x:v>
      </x:c>
      <x:c r="O139" s="1" t="str">
        <x:v>2026-10-09</x:v>
      </x:c>
      <x:c r="P139" s="1" t="str">
        <x:v>Live</x:v>
      </x:c>
      <x:c r="Q139" s="1" t="str">
        <x:v>8287</x:v>
      </x:c>
      <x:c r="R139" s="1" t="str">
        <x:v>126512674</x:v>
      </x:c>
      <x:c r="S139" s="1"/>
      <x:c r="T139" s="1" t="str">
        <x:v>3353</x:v>
      </x:c>
      <x:c r="U139" s="1" t="str"/>
      <x:c r="V139" s="1" t="str">
        <x:v>https://kippphiladelphia.org/our-schools/kipp-dubois-collegiate-academy</x:v>
      </x:c>
      <x:c r="W139" s="1" t="str">
        <x:v>2026-2027</x:v>
      </x:c>
      <x:c r="X139" s="1" t="str">
        <x:v>2025-2026</x:v>
      </x:c>
      <x:c r="Y139" s="1" t="str">
        <x:v>1</x:v>
      </x:c>
      <x:c r="Z139" s="1" t="str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</x:row>
    <x:row r="140" ht="22" customHeight="1">
      <x:c r="A140" s="2" t="str">
        <x:v>3426</x:v>
      </x:c>
      <x:c r="B140" s="2" t="str">
        <x:v>Mastery Charter School at Pastorius</x:v>
      </x:c>
      <x:c r="C140" s="2" t="str">
        <x:v>Charter</x:v>
      </x:c>
      <x:c r="D140" s="2" t="str">
        <x:v>Unknown</x:v>
      </x:c>
      <x:c r="E140" s="2" t="str">
        <x:v>Elementary-Middle</x:v>
      </x:c>
      <x:c r="F140" s="2" t="str">
        <x:v>5650 SPRAGUE ST</x:v>
      </x:c>
      <x:c r="G140" s="2" t="str">
        <x:v>PHILADELPHIA</x:v>
      </x:c>
      <x:c r="H140" s="2" t="str">
        <x:v>19138</x:v>
      </x:c>
      <x:c r="I140" s="2" t="n">
        <x:v>40.048208</x:v>
      </x:c>
      <x:c r="J140" s="2" t="n">
        <x:v>-75.161424</x:v>
      </x:c>
      <x:c r="K140" s="2" t="n">
        <x:v>688</x:v>
      </x:c>
      <x:c r="L140" s="15" t="n">
        <x:v>0.8602</x:v>
      </x:c>
      <x:c r="M140" s="1" t="n">
        <x:v>17</x:v>
      </x:c>
      <x:c r="N140" s="1" t="str">
        <x:v>2025-2026</x:v>
      </x:c>
      <x:c r="O140" s="1" t="str">
        <x:v>2026-10-09</x:v>
      </x:c>
      <x:c r="P140" s="1" t="str">
        <x:v>Live</x:v>
      </x:c>
      <x:c r="Q140" s="1" t="str">
        <x:v>8288</x:v>
      </x:c>
      <x:c r="R140" s="1" t="str">
        <x:v>126518795</x:v>
      </x:c>
      <x:c r="S140" s="1"/>
      <x:c r="T140" s="1" t="str">
        <x:v>3357</x:v>
      </x:c>
      <x:c r="U140" s="1" t="str">
        <x:v>215-476-6471</x:v>
      </x:c>
      <x:c r="V140" s="1" t="str">
        <x:v>https://www.wpaces.org</x:v>
      </x:c>
      <x:c r="W140" s="1" t="str">
        <x:v>2026-2027</x:v>
      </x:c>
      <x:c r="X140" s="1" t="str">
        <x:v>2025-2026</x:v>
      </x:c>
      <x:c r="Y140" s="1" t="str">
        <x:v>1</x:v>
      </x:c>
      <x:c r="Z140" s="1" t="str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</x:row>
    <x:row r="141" ht="22" customHeight="1">
      <x:c r="A141" s="2" t="str">
        <x:v>3427</x:v>
      </x:c>
      <x:c r="B141" s="2" t="str">
        <x:v>Mastery Charter School at Wister</x:v>
      </x:c>
      <x:c r="C141" s="2" t="str">
        <x:v>Charter</x:v>
      </x:c>
      <x:c r="D141" s="2" t="str">
        <x:v>Yes</x:v>
      </x:c>
      <x:c r="E141" s="2" t="str">
        <x:v>Elementary</x:v>
      </x:c>
      <x:c r="F141" s="2" t="str">
        <x:v>67 E BRINGHURST ST</x:v>
      </x:c>
      <x:c r="G141" s="2" t="str">
        <x:v>PHILADELPHIA</x:v>
      </x:c>
      <x:c r="H141" s="2" t="str">
        <x:v>19144</x:v>
      </x:c>
      <x:c r="I141" s="2" t="n">
        <x:v>40.03288146</x:v>
      </x:c>
      <x:c r="J141" s="2" t="n">
        <x:v>-75.16672063</x:v>
      </x:c>
      <x:c r="K141" s="2" t="n">
        <x:v>505</x:v>
      </x:c>
      <x:c r="L141" s="15" t="n">
        <x:v>0.998</x:v>
      </x:c>
      <x:c r="M141" s="1" t="n">
        <x:v>19</x:v>
      </x:c>
      <x:c r="N141" s="1" t="str">
        <x:v>2025-2026</x:v>
      </x:c>
      <x:c r="O141" s="1" t="str">
        <x:v>2026-10-09</x:v>
      </x:c>
      <x:c r="P141" s="1" t="str">
        <x:v>Live</x:v>
      </x:c>
      <x:c r="Q141" s="1" t="str">
        <x:v>8365</x:v>
      </x:c>
      <x:c r="R141" s="1" t="str">
        <x:v>126518118</x:v>
      </x:c>
      <x:c r="S141" s="1"/>
      <x:c r="T141" s="1" t="str">
        <x:v>3358</x:v>
      </x:c>
      <x:c r="U141" s="1" t="str">
        <x:v>267-514-1823</x:v>
      </x:c>
      <x:c r="V141" s="1" t="str">
        <x:v>https://www.petchs.org</x:v>
      </x:c>
      <x:c r="W141" s="1" t="str">
        <x:v>2026-2027</x:v>
      </x:c>
      <x:c r="X141" s="1" t="str">
        <x:v>2025-2026</x:v>
      </x:c>
      <x:c r="Y141" s="1" t="str">
        <x:v>1</x:v>
      </x:c>
      <x:c r="Z141" s="1" t="str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</x:row>
    <x:row r="142" ht="22" customHeight="1">
      <x:c r="A142" s="2" t="str">
        <x:v>3428</x:v>
      </x:c>
      <x:c r="B142" s="2" t="str">
        <x:v>Global Leadership Academy Charter School Southwest at Huey</x:v>
      </x:c>
      <x:c r="C142" s="2" t="str">
        <x:v>Charter</x:v>
      </x:c>
      <x:c r="D142" s="2" t="str">
        <x:v>Yes</x:v>
      </x:c>
      <x:c r="E142" s="2" t="str">
        <x:v>Elementary-Middle</x:v>
      </x:c>
      <x:c r="F142" s="2" t="str">
        <x:v>5200 PINE ST</x:v>
      </x:c>
      <x:c r="G142" s="2" t="str">
        <x:v>PHILADELPHIA</x:v>
      </x:c>
      <x:c r="H142" s="2" t="str">
        <x:v>19143</x:v>
      </x:c>
      <x:c r="I142" s="2" t="n">
        <x:v>39.95332691</x:v>
      </x:c>
      <x:c r="J142" s="2" t="n">
        <x:v>-75.22685833</x:v>
      </x:c>
      <x:c r="K142" s="2" t="n">
        <x:v>611</x:v>
      </x:c>
      <x:c r="L142" s="15" t="n">
        <x:v>0.825</x:v>
      </x:c>
      <x:c r="M142" s="1" t="n">
        <x:v>11</x:v>
      </x:c>
      <x:c r="N142" s="1" t="str">
        <x:v>2025-2026</x:v>
      </x:c>
      <x:c r="O142" s="1" t="str">
        <x:v>2026-10-09</x:v>
      </x:c>
      <x:c r="P142" s="1" t="str">
        <x:v>Live</x:v>
      </x:c>
      <x:c r="Q142" s="1" t="str">
        <x:v>8390</x:v>
      </x:c>
      <x:c r="R142" s="1" t="str">
        <x:v>126518004</x:v>
      </x:c>
      <x:c r="S142" s="1"/>
      <x:c r="T142" s="1" t="str">
        <x:v>3359</x:v>
      </x:c>
      <x:c r="U142" s="1" t="str">
        <x:v>215-878-5144</x:v>
      </x:c>
      <x:c r="V142" s="1" t="str">
        <x:v>https://www.rapcs.org</x:v>
      </x:c>
      <x:c r="W142" s="1" t="str">
        <x:v>2026-2027</x:v>
      </x:c>
      <x:c r="X142" s="1" t="str">
        <x:v>2025-2026</x:v>
      </x:c>
      <x:c r="Y142" s="1" t="str">
        <x:v>1</x:v>
      </x:c>
      <x:c r="Z142" s="1" t="str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</x:row>
    <x:row r="143" ht="22" customHeight="1">
      <x:c r="A143" s="2" t="str">
        <x:v>3436</x:v>
      </x:c>
      <x:c r="B143" s="2" t="str">
        <x:v>KIPP Octavius Catto Charter School</x:v>
      </x:c>
      <x:c r="C143" s="2" t="str">
        <x:v>Charter</x:v>
      </x:c>
      <x:c r="D143" s="2" t="str">
        <x:v>Unknown</x:v>
      </x:c>
      <x:c r="E143" s="2" t="str">
        <x:v>Elementary</x:v>
      </x:c>
      <x:c r="F143" s="2" t="str">
        <x:v>4601 MARKET ST</x:v>
      </x:c>
      <x:c r="G143" s="2" t="str">
        <x:v>PHILADELPHIA</x:v>
      </x:c>
      <x:c r="H143" s="2" t="str">
        <x:v>19139</x:v>
      </x:c>
      <x:c r="I143" s="2" t="n">
        <x:v>39.959724</x:v>
      </x:c>
      <x:c r="J143" s="2" t="n">
        <x:v>-75.21459105</x:v>
      </x:c>
      <x:c r="K143" s="2" t="n">
        <x:v>476</x:v>
      </x:c>
      <x:c r="L143" s="15" t="n">
        <x:v>0.5635</x:v>
      </x:c>
      <x:c r="M143" s="1" t="n">
        <x:v>15</x:v>
      </x:c>
      <x:c r="N143" s="1" t="str">
        <x:v>2025-2026</x:v>
      </x:c>
      <x:c r="O143" s="1" t="str">
        <x:v>2026-10-09</x:v>
      </x:c>
      <x:c r="P143" s="1" t="str">
        <x:v>Live</x:v>
      </x:c>
      <x:c r="Q143" s="1" t="str">
        <x:v>8499</x:v>
      </x:c>
      <x:c r="R143" s="1" t="str">
        <x:v>126515362</x:v>
      </x:c>
      <x:c r="S143" s="1"/>
      <x:c r="T143" s="1" t="str">
        <x:v>3360</x:v>
      </x:c>
      <x:c r="U143" s="1" t="str">
        <x:v>215-972-1700</x:v>
      </x:c>
      <x:c r="V143" s="1" t="str">
        <x:v>https://www.byerschool.org</x:v>
      </x:c>
      <x:c r="W143" s="1" t="str">
        <x:v>2026-2027</x:v>
      </x:c>
      <x:c r="X143" s="1" t="str">
        <x:v>2025-2026</x:v>
      </x:c>
      <x:c r="Y143" s="1" t="str">
        <x:v>1</x:v>
      </x:c>
      <x:c r="Z143" s="1" t="str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</x:row>
    <x:row r="144" ht="22" customHeight="1">
      <x:c r="A144" s="2" t="str">
        <x:v>3437</x:v>
      </x:c>
      <x:c r="B144" s="2" t="str">
        <x:v>KIPP North Philadelphia Charter School</x:v>
      </x:c>
      <x:c r="C144" s="2" t="str">
        <x:v>Charter</x:v>
      </x:c>
      <x:c r="D144" s="2" t="str">
        <x:v>Yes</x:v>
      </x:c>
      <x:c r="E144" s="2" t="str">
        <x:v>Elementary</x:v>
      </x:c>
      <x:c r="F144" s="2" t="str">
        <x:v>2539 N 16TH ST</x:v>
      </x:c>
      <x:c r="G144" s="2" t="str">
        <x:v>PHILADELPHIA</x:v>
      </x:c>
      <x:c r="H144" s="2" t="str">
        <x:v>19132</x:v>
      </x:c>
      <x:c r="I144" s="2" t="n">
        <x:v>39.99193</x:v>
      </x:c>
      <x:c r="J144" s="2" t="n">
        <x:v>-75.158212</x:v>
      </x:c>
      <x:c r="K144" s="2" t="n">
        <x:v>705</x:v>
      </x:c>
      <x:c r="L144" s="15" t="n">
        <x:v>0.5904</x:v>
      </x:c>
      <x:c r="M144" s="1" t="n">
        <x:v>16</x:v>
      </x:c>
      <x:c r="N144" s="1" t="str">
        <x:v>2025-2026</x:v>
      </x:c>
      <x:c r="O144" s="1" t="str">
        <x:v>2026-10-09</x:v>
      </x:c>
      <x:c r="P144" s="1" t="str">
        <x:v>Live</x:v>
      </x:c>
      <x:c r="Q144" s="1" t="str">
        <x:v>8431</x:v>
      </x:c>
      <x:c r="R144" s="1" t="str">
        <x:v>126514059</x:v>
      </x:c>
      <x:c r="S144" s="1"/>
      <x:c r="T144" s="1" t="str">
        <x:v>3361</x:v>
      </x:c>
      <x:c r="U144" s="1" t="str">
        <x:v>215-922-1902</x:v>
      </x:c>
      <x:c r="V144" s="1" t="str">
        <x:v>https://masterycharter.org/secondary-schools/lenfest-campus</x:v>
      </x:c>
      <x:c r="W144" s="1" t="str">
        <x:v>2026-2027</x:v>
      </x:c>
      <x:c r="X144" s="1" t="str">
        <x:v>2025-2026</x:v>
      </x:c>
      <x:c r="Y144" s="1" t="str">
        <x:v>1</x:v>
      </x:c>
      <x:c r="Z144" s="1" t="str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</x:row>
    <x:row r="145" ht="22" customHeight="1">
      <x:c r="A145" s="2" t="str">
        <x:v>3438</x:v>
      </x:c>
      <x:c r="B145" s="2" t="str">
        <x:v>Deep Roots Charter School</x:v>
      </x:c>
      <x:c r="C145" s="2" t="str">
        <x:v>Charter</x:v>
      </x:c>
      <x:c r="D145" s="2" t="str">
        <x:v>Yes</x:v>
      </x:c>
      <x:c r="E145" s="2" t="str">
        <x:v>Elementary</x:v>
      </x:c>
      <x:c r="F145" s="2" t="str">
        <x:v>3556 FRANKFORD AVE</x:v>
      </x:c>
      <x:c r="G145" s="2" t="str">
        <x:v>PHILADELPHIA</x:v>
      </x:c>
      <x:c r="H145" s="2" t="str">
        <x:v>19134</x:v>
      </x:c>
      <x:c r="I145" s="2" t="n">
        <x:v>39.998066</x:v>
      </x:c>
      <x:c r="J145" s="2" t="n">
        <x:v>-75.101664</x:v>
      </x:c>
      <x:c r="K145" s="2" t="n">
        <x:v>343</x:v>
      </x:c>
      <x:c r="L145" s="15" t="n">
        <x:v>0.9074</x:v>
      </x:c>
      <x:c r="M145" s="1" t="n">
        <x:v>7</x:v>
      </x:c>
      <x:c r="N145" s="1" t="str">
        <x:v>2025-2026</x:v>
      </x:c>
      <x:c r="O145" s="1" t="str">
        <x:v>2026-10-09</x:v>
      </x:c>
      <x:c r="P145" s="1" t="str">
        <x:v>Live</x:v>
      </x:c>
      <x:c r="Q145" s="1" t="str">
        <x:v>8425</x:v>
      </x:c>
      <x:c r="R145" s="1" t="str">
        <x:v>126516724</x:v>
      </x:c>
      <x:c r="S145" s="1"/>
      <x:c r="T145" s="1" t="str">
        <x:v>3362</x:v>
      </x:c>
      <x:c r="U145" s="1" t="str">
        <x:v>267-338-1020</x:v>
      </x:c>
      <x:c r="V145" s="1" t="str">
        <x:v>https://www.wissahickoncharter.org/</x:v>
      </x:c>
      <x:c r="W145" s="1" t="str">
        <x:v>2026-2027</x:v>
      </x:c>
      <x:c r="X145" s="1" t="str">
        <x:v>2025-2026</x:v>
      </x:c>
      <x:c r="Y145" s="1" t="str">
        <x:v>1</x:v>
      </x:c>
      <x:c r="Z145" s="1" t="str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</x:row>
    <x:row r="146" ht="22" customHeight="1">
      <x:c r="A146" s="2" t="str">
        <x:v>3439</x:v>
      </x:c>
      <x:c r="B146" s="2" t="str">
        <x:v>Mastery Prep Elementary Charter School</x:v>
      </x:c>
      <x:c r="C146" s="2" t="str">
        <x:v>Charter</x:v>
      </x:c>
      <x:c r="D146" s="2" t="str">
        <x:v>Yes</x:v>
      </x:c>
      <x:c r="E146" s="2" t="str">
        <x:v>Elementary</x:v>
      </x:c>
      <x:c r="F146" s="2" t="str">
        <x:v>1801 W PIKE ST</x:v>
      </x:c>
      <x:c r="G146" s="2" t="str">
        <x:v>PHILADELPHIA</x:v>
      </x:c>
      <x:c r="H146" s="2" t="str">
        <x:v>19140</x:v>
      </x:c>
      <x:c r="I146" s="2" t="n">
        <x:v>40.013457</x:v>
      </x:c>
      <x:c r="J146" s="2" t="n">
        <x:v>-75.156128</x:v>
      </x:c>
      <x:c r="K146" s="2" t="n">
        <x:v>602</x:v>
      </x:c>
      <x:c r="L146" s="15" t="n">
        <x:v>0.9152</x:v>
      </x:c>
      <x:c r="M146" s="1" t="n">
        <x:v>9</x:v>
      </x:c>
      <x:c r="N146" s="1" t="str">
        <x:v>2025-2026</x:v>
      </x:c>
      <x:c r="O146" s="1" t="str">
        <x:v>2026-10-09</x:v>
      </x:c>
      <x:c r="P146" s="1" t="str">
        <x:v>Live</x:v>
      </x:c>
      <x:c r="Q146" s="1" t="str">
        <x:v>8427</x:v>
      </x:c>
      <x:c r="R146" s="1" t="str">
        <x:v>126517643</x:v>
      </x:c>
      <x:c r="S146" s="1"/>
      <x:c r="T146" s="1" t="str">
        <x:v>3364</x:v>
      </x:c>
      <x:c r="U146" s="1" t="str">
        <x:v>215-743-3100</x:v>
      </x:c>
      <x:c r="V146" s="1" t="str">
        <x:v>https://www.ap-schools.org/First-Phila-Prep/</x:v>
      </x:c>
      <x:c r="W146" s="1" t="str">
        <x:v>2026-2027</x:v>
      </x:c>
      <x:c r="X146" s="1" t="str">
        <x:v>2025-2026</x:v>
      </x:c>
      <x:c r="Y146" s="1" t="str">
        <x:v>1</x:v>
      </x:c>
      <x:c r="Z146" s="1" t="str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</x:row>
    <x:row r="147" ht="22" customHeight="1">
      <x:c r="A147" s="2" t="str">
        <x:v>3440</x:v>
      </x:c>
      <x:c r="B147" s="2" t="str">
        <x:v>MaST Community Charter School II</x:v>
      </x:c>
      <x:c r="C147" s="2" t="str">
        <x:v>Charter</x:v>
      </x:c>
      <x:c r="D147" s="2" t="str">
        <x:v>Yes</x:v>
      </x:c>
      <x:c r="E147" s="2" t="str">
        <x:v>Elementary-High</x:v>
      </x:c>
      <x:c r="F147" s="2" t="str">
        <x:v>6501 STATE RD</x:v>
      </x:c>
      <x:c r="G147" s="2" t="str">
        <x:v>PHILADELPHIA</x:v>
      </x:c>
      <x:c r="H147" s="2" t="str">
        <x:v>19135</x:v>
      </x:c>
      <x:c r="I147" s="2" t="n">
        <x:v>40.017476</x:v>
      </x:c>
      <x:c r="J147" s="2" t="n">
        <x:v>-75.044372</x:v>
      </x:c>
      <x:c r="K147" s="2" t="n">
        <x:v>1903</x:v>
      </x:c>
      <x:c r="L147" s="15" t="n">
        <x:v>0.5451</x:v>
      </x:c>
      <x:c r="M147" s="1" t="n">
        <x:v>3</x:v>
      </x:c>
      <x:c r="N147" s="1" t="str">
        <x:v>2025-2026</x:v>
      </x:c>
      <x:c r="O147" s="1" t="str">
        <x:v>2026-10-09</x:v>
      </x:c>
      <x:c r="P147" s="1" t="str">
        <x:v>Live</x:v>
      </x:c>
      <x:c r="Q147" s="1" t="str">
        <x:v>8360</x:v>
      </x:c>
      <x:c r="R147" s="1" t="str">
        <x:v>126513117</x:v>
      </x:c>
      <x:c r="S147" s="1"/>
      <x:c r="T147" s="1" t="str">
        <x:v>3365</x:v>
      </x:c>
      <x:c r="U147" s="1" t="str">
        <x:v>215-482-6337</x:v>
      </x:c>
      <x:c r="V147" s="1" t="str">
        <x:v>https://www.greenwoodscharter.org</x:v>
      </x:c>
      <x:c r="W147" s="1" t="str">
        <x:v>2026-2027</x:v>
      </x:c>
      <x:c r="X147" s="1" t="str">
        <x:v>2025-2026</x:v>
      </x:c>
      <x:c r="Y147" s="1" t="str">
        <x:v>1</x:v>
      </x:c>
      <x:c r="Z147" s="1" t="str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</x:row>
    <x:row r="148" ht="22" customHeight="1">
      <x:c r="A148" s="2" t="str">
        <x:v>3441</x:v>
      </x:c>
      <x:c r="B148" s="2" t="str">
        <x:v>TECH Freire Charter School</x:v>
      </x:c>
      <x:c r="C148" s="2" t="str">
        <x:v>Charter</x:v>
      </x:c>
      <x:c r="D148" s="2" t="str">
        <x:v>Yes</x:v>
      </x:c>
      <x:c r="E148" s="2" t="str">
        <x:v>High</x:v>
      </x:c>
      <x:c r="F148" s="2" t="str">
        <x:v>2221 N BROAD ST</x:v>
      </x:c>
      <x:c r="G148" s="2" t="str">
        <x:v>PHILADELPHIA</x:v>
      </x:c>
      <x:c r="H148" s="2" t="str">
        <x:v>19132</x:v>
      </x:c>
      <x:c r="I148" s="2" t="n">
        <x:v>39.986869</x:v>
      </x:c>
      <x:c r="J148" s="2" t="n">
        <x:v>-75.155669</x:v>
      </x:c>
      <x:c r="K148" s="2" t="n">
        <x:v>565</x:v>
      </x:c>
      <x:c r="L148" s="15" t="n">
        <x:v>0.7932</x:v>
      </x:c>
      <x:c r="M148" s="1" t="n">
        <x:v>16</x:v>
      </x:c>
      <x:c r="N148" s="1" t="str">
        <x:v>2025-2026</x:v>
      </x:c>
      <x:c r="O148" s="1" t="str">
        <x:v>2026-10-09</x:v>
      </x:c>
      <x:c r="P148" s="1" t="str">
        <x:v>Live</x:v>
      </x:c>
      <x:c r="Q148" s="1" t="str">
        <x:v>8359</x:v>
      </x:c>
      <x:c r="R148" s="1" t="str">
        <x:v>126511530</x:v>
      </x:c>
      <x:c r="S148" s="1"/>
      <x:c r="T148" s="1" t="str">
        <x:v>3366</x:v>
      </x:c>
      <x:c r="U148" s="1" t="str">
        <x:v>215-535-4555</x:v>
      </x:c>
      <x:c r="V148" s="1" t="str">
        <x:v>https://www.maritimecharter.org</x:v>
      </x:c>
      <x:c r="W148" s="1" t="str">
        <x:v>2026-2027</x:v>
      </x:c>
      <x:c r="X148" s="1" t="str">
        <x:v>2025-2026</x:v>
      </x:c>
      <x:c r="Y148" s="1" t="str">
        <x:v>1</x:v>
      </x:c>
      <x:c r="Z148" s="1" t="str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</x:row>
    <x:row r="149" ht="22" customHeight="1">
      <x:c r="A149" s="2" t="str">
        <x:v>3442</x:v>
      </x:c>
      <x:c r="B149" s="2" t="str">
        <x:v>Impact Charter School West</x:v>
      </x:c>
      <x:c r="C149" s="2" t="str">
        <x:v>Charter</x:v>
      </x:c>
      <x:c r="D149" s="2" t="str">
        <x:v>Yes</x:v>
      </x:c>
      <x:c r="E149" s="2" t="str">
        <x:v>Elementary-Middle</x:v>
      </x:c>
      <x:c r="F149" s="2" t="str">
        <x:v>5600 CHESTER AVE</x:v>
      </x:c>
      <x:c r="G149" s="2" t="str">
        <x:v>PHILADELPHIA</x:v>
      </x:c>
      <x:c r="H149" s="2" t="str">
        <x:v>19143</x:v>
      </x:c>
      <x:c r="I149" s="2" t="n">
        <x:v>39.93731366</x:v>
      </x:c>
      <x:c r="J149" s="2" t="n">
        <x:v>-75.22614036</x:v>
      </x:c>
      <x:c r="K149" s="2" t="n">
        <x:v>833</x:v>
      </x:c>
      <x:c r="L149" s="15" t="n">
        <x:v>0.874</x:v>
      </x:c>
      <x:c r="M149" s="1" t="n">
        <x:v>10</x:v>
      </x:c>
      <x:c r="N149" s="1" t="str">
        <x:v>2025-2026</x:v>
      </x:c>
      <x:c r="O149" s="1" t="str">
        <x:v>2026-10-09</x:v>
      </x:c>
      <x:c r="P149" s="1" t="str">
        <x:v>Live</x:v>
      </x:c>
      <x:c r="Q149" s="1" t="str">
        <x:v>8361</x:v>
      </x:c>
      <x:c r="R149" s="1" t="str">
        <x:v>126512039</x:v>
      </x:c>
      <x:c r="S149" s="1"/>
      <x:c r="T149" s="1" t="str">
        <x:v>3368</x:v>
      </x:c>
      <x:c r="U149" s="1" t="str">
        <x:v>215-823-8208</x:v>
      </x:c>
      <x:c r="V149" s="1" t="str">
        <x:v>https://www.belmontcharternetwork.org/bcs</x:v>
      </x:c>
      <x:c r="W149" s="1" t="str">
        <x:v>2026-2027</x:v>
      </x:c>
      <x:c r="X149" s="1" t="str">
        <x:v>2025-2026</x:v>
      </x:c>
      <x:c r="Y149" s="1" t="str">
        <x:v>1</x:v>
      </x:c>
      <x:c r="Z149" s="1" t="str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</x:row>
    <x:row r="150" ht="22" customHeight="1">
      <x:c r="A150" s="2" t="str">
        <x:v>3443</x:v>
      </x:c>
      <x:c r="B150" s="2" t="str">
        <x:v>KIPP West Philadelphia Charter School</x:v>
      </x:c>
      <x:c r="C150" s="2" t="str">
        <x:v>Charter</x:v>
      </x:c>
      <x:c r="D150" s="2" t="str">
        <x:v>Yes</x:v>
      </x:c>
      <x:c r="E150" s="2" t="str">
        <x:v>Elementary</x:v>
      </x:c>
      <x:c r="F150" s="2" t="str">
        <x:v>5070 PARKSIDE AVE</x:v>
      </x:c>
      <x:c r="G150" s="2" t="str">
        <x:v>PHILADELPHIA</x:v>
      </x:c>
      <x:c r="H150" s="2" t="str">
        <x:v>19131</x:v>
      </x:c>
      <x:c r="I150" s="2" t="n">
        <x:v>39.9796873</x:v>
      </x:c>
      <x:c r="J150" s="2" t="n">
        <x:v>-75.2210853</x:v>
      </x:c>
      <x:c r="K150" s="2" t="n">
        <x:v>823</x:v>
      </x:c>
      <x:c r="L150" s="15"/>
      <x:c r="M150" s="1" t="n">
        <x:v>5</x:v>
      </x:c>
      <x:c r="N150" s="1" t="str">
        <x:v>2025-2026</x:v>
      </x:c>
      <x:c r="O150" s="1" t="str">
        <x:v>2026-10-09</x:v>
      </x:c>
      <x:c r="P150" s="1" t="str">
        <x:v>Live</x:v>
      </x:c>
      <x:c r="Q150" s="1" t="str">
        <x:v>8363</x:v>
      </x:c>
      <x:c r="R150" s="1" t="str">
        <x:v>126515492</x:v>
      </x:c>
      <x:c r="S150" s="1"/>
      <x:c r="T150" s="1" t="str">
        <x:v>3370</x:v>
      </x:c>
      <x:c r="U150" s="1" t="str">
        <x:v>215-227-1728</x:v>
      </x:c>
      <x:c r="V150" s="1" t="str">
        <x:v>https://kippphiladelphia.org/our-schools/kipp-philadelphia-preparatory-academy</x:v>
      </x:c>
      <x:c r="W150" s="1" t="str">
        <x:v>2026-2027</x:v>
      </x:c>
      <x:c r="X150" s="1" t="str">
        <x:v>2025-2026</x:v>
      </x:c>
      <x:c r="Y150" s="1" t="str">
        <x:v>1</x:v>
      </x:c>
      <x:c r="Z150" s="1" t="str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</x:row>
    <x:row r="151" ht="22" customHeight="1">
      <x:c r="A151" s="2" t="str">
        <x:v>3445</x:v>
      </x:c>
      <x:c r="B151" s="2" t="str">
        <x:v>MAST Community Charter School III</x:v>
      </x:c>
      <x:c r="C151" s="2" t="str">
        <x:v>Charter</x:v>
      </x:c>
      <x:c r="D151" s="2" t="str">
        <x:v>Yes</x:v>
      </x:c>
      <x:c r="E151" s="2" t="str">
        <x:v>Elementary</x:v>
      </x:c>
      <x:c r="F151" s="2" t="str">
        <x:v>1 CROWN WAY</x:v>
      </x:c>
      <x:c r="G151" s="2" t="str">
        <x:v>PHILADELPHIA</x:v>
      </x:c>
      <x:c r="H151" s="2" t="str">
        <x:v>19154</x:v>
      </x:c>
      <x:c r="I151" s="2" t="n">
        <x:v>40.109575</x:v>
      </x:c>
      <x:c r="J151" s="2" t="n">
        <x:v>-74.991671</x:v>
      </x:c>
      <x:c r="K151" s="2" t="n">
        <x:v>1328</x:v>
      </x:c>
      <x:c r="L151" s="15" t="n">
        <x:v>0.6847</x:v>
      </x:c>
      <x:c r="M151" s="1" t="n">
        <x:v>1</x:v>
      </x:c>
      <x:c r="N151" s="1" t="str">
        <x:v>2025-2026</x:v>
      </x:c>
      <x:c r="O151" s="1" t="str">
        <x:v>2026-10-09</x:v>
      </x:c>
      <x:c r="P151" s="1" t="str">
        <x:v>Live</x:v>
      </x:c>
      <x:c r="Q151" s="1" t="str">
        <x:v>8453</x:v>
      </x:c>
      <x:c r="R151" s="1" t="str">
        <x:v>126511624</x:v>
      </x:c>
      <x:c r="S151" s="1"/>
      <x:c r="T151" s="1" t="str">
        <x:v>3372</x:v>
      </x:c>
      <x:c r="U151" s="1" t="str">
        <x:v>215-879-8182</x:v>
      </x:c>
      <x:c r="V151" s="1" t="str">
        <x:v>https://jykdiscoverycharterschool.com/</x:v>
      </x:c>
      <x:c r="W151" s="1" t="str">
        <x:v>2026-2027</x:v>
      </x:c>
      <x:c r="X151" s="1" t="str">
        <x:v>2025-2026</x:v>
      </x:c>
      <x:c r="Y151" s="1" t="str">
        <x:v>1</x:v>
      </x:c>
      <x:c r="Z151" s="1" t="str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</x:row>
    <x:row r="152" ht="22" customHeight="1">
      <x:c r="A152" s="2" t="str">
        <x:v>3446</x:v>
      </x:c>
      <x:c r="B152" s="2" t="str">
        <x:v>Philadelphia Hebrew Public Charter School</x:v>
      </x:c>
      <x:c r="C152" s="2" t="str">
        <x:v>Charter</x:v>
      </x:c>
      <x:c r="D152" s="2" t="str">
        <x:v>Yes</x:v>
      </x:c>
      <x:c r="E152" s="2" t="str">
        <x:v>Elementary</x:v>
      </x:c>
      <x:c r="F152" s="2" t="str">
        <x:v>3300 HENRY AVE</x:v>
      </x:c>
      <x:c r="G152" s="2" t="str">
        <x:v>PHILADELPHIA</x:v>
      </x:c>
      <x:c r="H152" s="2" t="str">
        <x:v>19129</x:v>
      </x:c>
      <x:c r="I152" s="2" t="n">
        <x:v>40.012045</x:v>
      </x:c>
      <x:c r="J152" s="2" t="n">
        <x:v>-75.184376</x:v>
      </x:c>
      <x:c r="K152" s="2" t="n">
        <x:v>614</x:v>
      </x:c>
      <x:c r="L152" s="15" t="n">
        <x:v>0.7869</x:v>
      </x:c>
      <x:c r="M152" s="1" t="n">
        <x:v>3</x:v>
      </x:c>
      <x:c r="N152" s="1" t="str">
        <x:v>2025-2026</x:v>
      </x:c>
      <x:c r="O152" s="1" t="str">
        <x:v>2026-10-09</x:v>
      </x:c>
      <x:c r="P152" s="1" t="str">
        <x:v>Live</x:v>
      </x:c>
      <x:c r="Q152" s="1" t="str">
        <x:v>8454</x:v>
      </x:c>
      <x:c r="R152" s="1" t="str">
        <x:v>126510929</x:v>
      </x:c>
      <x:c r="S152" s="1"/>
      <x:c r="T152" s="1" t="str">
        <x:v>3378</x:v>
      </x:c>
      <x:c r="U152" s="1" t="str">
        <x:v>215-365-4011</x:v>
      </x:c>
      <x:c r="V152" s="1" t="str">
        <x:v>https://www.philadelphiamontessori.org</x:v>
      </x:c>
      <x:c r="W152" s="1" t="str">
        <x:v>2026-2027</x:v>
      </x:c>
      <x:c r="X152" s="1" t="str">
        <x:v>2025-2026</x:v>
      </x:c>
      <x:c r="Y152" s="1" t="str">
        <x:v>1</x:v>
      </x:c>
      <x:c r="Z152" s="1" t="str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</x:row>
    <x:row r="153" ht="22" customHeight="1">
      <x:c r="A153" s="2" t="str">
        <x:v>3510</x:v>
      </x:c>
      <x:c r="B153" s="2" t="str">
        <x:v>El Centro de Estudiantes</x:v>
      </x:c>
      <x:c r="C153" s="2" t="str">
        <x:v>Contracted</x:v>
      </x:c>
      <x:c r="D153" s="2" t="str">
        <x:v>No</x:v>
      </x:c>
      <x:c r="E153" s="2" t="str">
        <x:v>Transition/Overage School</x:v>
      </x:c>
      <x:c r="F153" s="2" t="str">
        <x:v>3360 FRANKFORD AVE</x:v>
      </x:c>
      <x:c r="G153" s="2" t="str">
        <x:v>PHILADELPHIA</x:v>
      </x:c>
      <x:c r="H153" s="2" t="str">
        <x:v>19134</x:v>
      </x:c>
      <x:c r="I153" s="2" t="n">
        <x:v>39.99560895</x:v>
      </x:c>
      <x:c r="J153" s="2" t="n">
        <x:v>-75.10661699</x:v>
      </x:c>
      <x:c r="K153" s="2" t="n">
        <x:v>146</x:v>
      </x:c>
      <x:c r="L153" s="15"/>
      <x:c r="M153" s="1" t="n">
        <x:v>7</x:v>
      </x:c>
      <x:c r="N153" s="1" t="str">
        <x:v>2025-2026</x:v>
      </x:c>
      <x:c r="O153" s="1" t="str">
        <x:v>2026-10-09</x:v>
      </x:c>
      <x:c r="P153" s="1" t="str">
        <x:v>Live</x:v>
      </x:c>
      <x:c r="Q153" s="1" t="str">
        <x:v>9999</x:v>
      </x:c>
      <x:c r="R153" s="1" t="str">
        <x:v>126515001</x:v>
      </x:c>
      <x:c r="S153" s="1"/>
      <x:c r="T153" s="1" t="str">
        <x:v>3379</x:v>
      </x:c>
      <x:c r="U153" s="1" t="str">
        <x:v>267-403-2672</x:v>
      </x:c>
      <x:c r="V153" s="1" t="str">
        <x:v>https://www.adprimacharterschools.org</x:v>
      </x:c>
      <x:c r="W153" s="1" t="str">
        <x:v>2026-2027</x:v>
      </x:c>
      <x:c r="X153" s="1" t="str">
        <x:v>2025-2026</x:v>
      </x:c>
      <x:c r="Y153" s="1" t="str">
        <x:v>1</x:v>
      </x:c>
      <x:c r="Z153" s="1" t="str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</x:row>
    <x:row r="154" ht="22" customHeight="1">
      <x:c r="A154" s="2" t="str">
        <x:v>3810</x:v>
      </x:c>
      <x:c r="B154" s="2" t="str">
        <x:v>One Bright Ray - Elmwood</x:v>
      </x:c>
      <x:c r="C154" s="2" t="str">
        <x:v>Contracted</x:v>
      </x:c>
      <x:c r="D154" s="2" t="str">
        <x:v>No</x:v>
      </x:c>
      <x:c r="E154" s="2" t="str">
        <x:v>Transition/Overage School</x:v>
      </x:c>
      <x:c r="F154" s="2" t="str">
        <x:v>6404 ELMWOOD AVE</x:v>
      </x:c>
      <x:c r="G154" s="2" t="str">
        <x:v>PHILADELPHIA</x:v>
      </x:c>
      <x:c r="H154" s="2" t="str">
        <x:v>19142</x:v>
      </x:c>
      <x:c r="I154" s="2" t="n">
        <x:v>39.92251591</x:v>
      </x:c>
      <x:c r="J154" s="2" t="n">
        <x:v>-75.22908493</x:v>
      </x:c>
      <x:c r="K154" s="2" t="n">
        <x:v>102</x:v>
      </x:c>
      <x:c r="L154" s="15"/>
      <x:c r="M154" s="1" t="n">
        <x:v>5</x:v>
      </x:c>
      <x:c r="N154" s="1" t="str">
        <x:v>2025-2026</x:v>
      </x:c>
      <x:c r="O154" s="1" t="str">
        <x:v>2026-10-09</x:v>
      </x:c>
      <x:c r="P154" s="1" t="str">
        <x:v>Live</x:v>
      </x:c>
      <x:c r="Q154" s="1" t="str">
        <x:v>9999</x:v>
      </x:c>
      <x:c r="R154" s="1" t="str">
        <x:v>126515001</x:v>
      </x:c>
      <x:c r="S154" s="1"/>
      <x:c r="T154" s="1" t="str">
        <x:v>3383</x:v>
      </x:c>
      <x:c r="U154" s="1" t="str">
        <x:v>267-296-7111</x:v>
      </x:c>
      <x:c r="V154" s="1" t="str">
        <x:v>https://masterycharter.org/secondary-schools/shoemaker-campus</x:v>
      </x:c>
      <x:c r="W154" s="1" t="str">
        <x:v>2026-2027</x:v>
      </x:c>
      <x:c r="X154" s="1" t="str">
        <x:v>2025-2026</x:v>
      </x:c>
      <x:c r="Y154" s="1" t="str">
        <x:v>1</x:v>
      </x:c>
      <x:c r="Z154" s="1" t="str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</x:row>
    <x:row r="155" ht="22" customHeight="1">
      <x:c r="A155" s="2" t="str">
        <x:v>3820</x:v>
      </x:c>
      <x:c r="B155" s="2" t="str">
        <x:v>Achieve Academy of Philadelphia - East Campus</x:v>
      </x:c>
      <x:c r="C155" s="2" t="str">
        <x:v>Contracted</x:v>
      </x:c>
      <x:c r="D155" s="2" t="str">
        <x:v>No</x:v>
      </x:c>
      <x:c r="E155" s="2" t="str">
        <x:v>Transition/Overage School</x:v>
      </x:c>
      <x:c r="F155" s="2" t="str">
        <x:v>4224 N FRONT ST</x:v>
      </x:c>
      <x:c r="G155" s="2" t="str">
        <x:v>PHILADELPHIA</x:v>
      </x:c>
      <x:c r="H155" s="2" t="str">
        <x:v>19140</x:v>
      </x:c>
      <x:c r="I155" s="2" t="n">
        <x:v>40.01425525</x:v>
      </x:c>
      <x:c r="J155" s="2" t="n">
        <x:v>-75.12599679</x:v>
      </x:c>
      <x:c r="K155" s="2" t="n">
        <x:v>46</x:v>
      </x:c>
      <x:c r="L155" s="15"/>
      <x:c r="M155" s="1" t="n">
        <x:v>10</x:v>
      </x:c>
      <x:c r="N155" s="1" t="str">
        <x:v>2025-2026</x:v>
      </x:c>
      <x:c r="O155" s="1" t="str">
        <x:v>2026-10-09</x:v>
      </x:c>
      <x:c r="P155" s="1" t="str">
        <x:v>Live</x:v>
      </x:c>
      <x:c r="Q155" s="1" t="str">
        <x:v>9999</x:v>
      </x:c>
      <x:c r="R155" s="1" t="str">
        <x:v>126515001</x:v>
      </x:c>
      <x:c r="S155" s="1"/>
      <x:c r="T155" s="1" t="str">
        <x:v>3384</x:v>
      </x:c>
      <x:c r="U155" s="1" t="str">
        <x:v>215-569-2600</x:v>
      </x:c>
      <x:c r="V155" s="1" t="str">
        <x:v>https://factschool.org/</x:v>
      </x:c>
      <x:c r="W155" s="1" t="str">
        <x:v>2026-2027</x:v>
      </x:c>
      <x:c r="X155" s="1" t="str">
        <x:v>2025-2026</x:v>
      </x:c>
      <x:c r="Y155" s="1" t="str">
        <x:v>1</x:v>
      </x:c>
      <x:c r="Z155" s="1" t="str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</x:row>
    <x:row r="156" ht="22" customHeight="1">
      <x:c r="A156" s="2" t="str">
        <x:v>3850</x:v>
      </x:c>
      <x:c r="B156" s="2" t="str">
        <x:v>Northeast High School EOP</x:v>
      </x:c>
      <x:c r="C156" s="2" t="str">
        <x:v>District</x:v>
      </x:c>
      <x:c r="D156" s="2" t="str">
        <x:v>No</x:v>
      </x:c>
      <x:c r="E156" s="2" t="str">
        <x:v>Transition/Overage School</x:v>
      </x:c>
      <x:c r="F156" s="2" t="str">
        <x:v>1601 COTTMAN AVE</x:v>
      </x:c>
      <x:c r="G156" s="2" t="str">
        <x:v>PHILADELPHIA</x:v>
      </x:c>
      <x:c r="H156" s="2" t="str">
        <x:v>19111</x:v>
      </x:c>
      <x:c r="I156" s="2" t="n">
        <x:v>40.055681</x:v>
      </x:c>
      <x:c r="J156" s="2" t="n">
        <x:v>-75.071168</x:v>
      </x:c>
      <x:c r="K156" s="2" t="n">
        <x:v>185</x:v>
      </x:c>
      <x:c r="L156" s="15"/>
      <x:c r="M156" s="1" t="n">
        <x:v>0</x:v>
      </x:c>
      <x:c r="N156" s="1" t="str">
        <x:v>2025-2026</x:v>
      </x:c>
      <x:c r="O156" s="1" t="str">
        <x:v>2026-10-09</x:v>
      </x:c>
      <x:c r="P156" s="1" t="str">
        <x:v>Live</x:v>
      </x:c>
      <x:c r="Q156" s="1" t="str">
        <x:v>9999</x:v>
      </x:c>
      <x:c r="R156" s="1" t="str">
        <x:v>126515001</x:v>
      </x:c>
      <x:c r="S156" s="1"/>
      <x:c r="T156" s="1" t="str">
        <x:v>3385</x:v>
      </x:c>
      <x:c r="U156" s="1" t="str">
        <x:v>267-236-0036</x:v>
      </x:c>
      <x:c r="V156" s="1" t="str">
        <x:v>https://masterycharter.org/elementary-schools/thomas</x:v>
      </x:c>
      <x:c r="W156" s="1" t="str">
        <x:v>2026-2027</x:v>
      </x:c>
      <x:c r="X156" s="1" t="str">
        <x:v>2025-2026</x:v>
      </x:c>
      <x:c r="Y156" s="1" t="str">
        <x:v>1</x:v>
      </x:c>
      <x:c r="Z156" s="1" t="str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</x:row>
    <x:row r="157" ht="22" customHeight="1">
      <x:c r="A157" s="2" t="str">
        <x:v>3880</x:v>
      </x:c>
      <x:c r="B157" s="2" t="str">
        <x:v>South Philadelphia High School EOP</x:v>
      </x:c>
      <x:c r="C157" s="2" t="str">
        <x:v>District</x:v>
      </x:c>
      <x:c r="D157" s="2" t="str">
        <x:v>No</x:v>
      </x:c>
      <x:c r="E157" s="2" t="str">
        <x:v>Transition/Overage School</x:v>
      </x:c>
      <x:c r="F157" s="2" t="str">
        <x:v>2101 S BROAD ST</x:v>
      </x:c>
      <x:c r="G157" s="2" t="str">
        <x:v>PHILADELPHIA</x:v>
      </x:c>
      <x:c r="H157" s="2" t="str">
        <x:v>19148</x:v>
      </x:c>
      <x:c r="I157" s="2" t="n">
        <x:v>39.9238987</x:v>
      </x:c>
      <x:c r="J157" s="2" t="n">
        <x:v>-75.1691065</x:v>
      </x:c>
      <x:c r="K157" s="2" t="n">
        <x:v>121</x:v>
      </x:c>
      <x:c r="L157" s="15"/>
      <x:c r="M157" s="1" t="n">
        <x:v>10</x:v>
      </x:c>
      <x:c r="N157" s="1" t="str">
        <x:v>2025-2026</x:v>
      </x:c>
      <x:c r="O157" s="1" t="str">
        <x:v>2026-10-09</x:v>
      </x:c>
      <x:c r="P157" s="1" t="str">
        <x:v>Live</x:v>
      </x:c>
      <x:c r="Q157" s="1" t="str">
        <x:v>9999</x:v>
      </x:c>
      <x:c r="R157" s="1" t="str">
        <x:v>126515001</x:v>
      </x:c>
      <x:c r="S157" s="1"/>
      <x:c r="T157" s="1" t="str">
        <x:v>3386</x:v>
      </x:c>
      <x:c r="U157" s="1" t="str">
        <x:v>215-289-5606</x:v>
      </x:c>
      <x:c r="V157" s="1" t="str">
        <x:v>https://www.northwoodcs.org</x:v>
      </x:c>
      <x:c r="W157" s="1" t="str">
        <x:v>2026-2027</x:v>
      </x:c>
      <x:c r="X157" s="1" t="str">
        <x:v>2025-2026</x:v>
      </x:c>
      <x:c r="Y157" s="1" t="str">
        <x:v>1</x:v>
      </x:c>
      <x:c r="Z157" s="1" t="str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</x:row>
    <x:row r="158" ht="22" customHeight="1">
      <x:c r="A158" s="2" t="str">
        <x:v>4020</x:v>
      </x:c>
      <x:c r="B158" s="2" t="str">
        <x:v>Overbrook High School</x:v>
      </x:c>
      <x:c r="C158" s="2" t="str">
        <x:v>District</x:v>
      </x:c>
      <x:c r="D158" s="2" t="str">
        <x:v>Yes</x:v>
      </x:c>
      <x:c r="E158" s="2" t="str">
        <x:v>High</x:v>
      </x:c>
      <x:c r="F158" s="2" t="str">
        <x:v>5898 LANCASTER AVE</x:v>
      </x:c>
      <x:c r="G158" s="2" t="str">
        <x:v>PHILADELPHIA</x:v>
      </x:c>
      <x:c r="H158" s="2" t="str">
        <x:v>19131</x:v>
      </x:c>
      <x:c r="I158" s="2" t="n">
        <x:v>39.981028</x:v>
      </x:c>
      <x:c r="J158" s="2" t="n">
        <x:v>-75.238556</x:v>
      </x:c>
      <x:c r="K158" s="2" t="n">
        <x:v>466</x:v>
      </x:c>
      <x:c r="L158" s="15" t="n">
        <x:v>0.8232</x:v>
      </x:c>
      <x:c r="M158" s="1" t="n">
        <x:v>8</x:v>
      </x:c>
      <x:c r="N158" s="1" t="str">
        <x:v>2025-2026</x:v>
      </x:c>
      <x:c r="O158" s="1" t="str">
        <x:v>2026-10-09</x:v>
      </x:c>
      <x:c r="P158" s="1" t="str">
        <x:v>Live</x:v>
      </x:c>
      <x:c r="Q158" s="1" t="str">
        <x:v>3857</x:v>
      </x:c>
      <x:c r="R158" s="1" t="str">
        <x:v>126515001</x:v>
      </x:c>
      <x:c r="S158" s="1"/>
      <x:c r="T158" s="1" t="str">
        <x:v>3388</x:v>
      </x:c>
      <x:c r="U158" s="1" t="str">
        <x:v>215-387-5149</x:v>
      </x:c>
      <x:c r="V158" s="1" t="str">
        <x:v>https://www.boyslatin.org</x:v>
      </x:c>
      <x:c r="W158" s="1" t="str">
        <x:v>2026-2027</x:v>
      </x:c>
      <x:c r="X158" s="1" t="str">
        <x:v>2025-2026</x:v>
      </x:c>
      <x:c r="Y158" s="1" t="str">
        <x:v>1</x:v>
      </x:c>
      <x:c r="Z158" s="1" t="str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</x:row>
    <x:row r="159" ht="22" customHeight="1">
      <x:c r="A159" s="2" t="str">
        <x:v>4030</x:v>
      </x:c>
      <x:c r="B159" s="2" t="str">
        <x:v>Carver High School of Engineering and Science</x:v>
      </x:c>
      <x:c r="C159" s="2" t="str">
        <x:v>District</x:v>
      </x:c>
      <x:c r="D159" s="2" t="str">
        <x:v>Yes</x:v>
      </x:c>
      <x:c r="E159" s="2" t="str">
        <x:v>Middle-High</x:v>
      </x:c>
      <x:c r="F159" s="2" t="str">
        <x:v>1600 W NORRIS ST</x:v>
      </x:c>
      <x:c r="G159" s="2" t="str">
        <x:v>PHILADELPHIA</x:v>
      </x:c>
      <x:c r="H159" s="2" t="str">
        <x:v>19121</x:v>
      </x:c>
      <x:c r="I159" s="2" t="n">
        <x:v>39.98341809</x:v>
      </x:c>
      <x:c r="J159" s="2" t="n">
        <x:v>-75.16127789</x:v>
      </x:c>
      <x:c r="K159" s="2" t="n">
        <x:v>906</x:v>
      </x:c>
      <x:c r="L159" s="15" t="n">
        <x:v>0.5444</x:v>
      </x:c>
      <x:c r="M159" s="1" t="n">
        <x:v>13</x:v>
      </x:c>
      <x:c r="N159" s="1" t="str">
        <x:v>2025-2026</x:v>
      </x:c>
      <x:c r="O159" s="1" t="str">
        <x:v>2026-10-09</x:v>
      </x:c>
      <x:c r="P159" s="1" t="str">
        <x:v>Live</x:v>
      </x:c>
      <x:c r="Q159" s="1" t="str">
        <x:v>7023</x:v>
      </x:c>
      <x:c r="R159" s="1" t="str">
        <x:v>126515001</x:v>
      </x:c>
      <x:c r="S159" s="1"/>
      <x:c r="T159" s="1" t="str">
        <x:v>3389</x:v>
      </x:c>
      <x:c r="U159" s="1" t="str">
        <x:v>215-332-2111</x:v>
      </x:c>
      <x:c r="V159" s="1" t="str">
        <x:v>https://keystoneacademycs.org/</x:v>
      </x:c>
      <x:c r="W159" s="1" t="str">
        <x:v>2026-2027</x:v>
      </x:c>
      <x:c r="X159" s="1" t="str">
        <x:v>2025-2026</x:v>
      </x:c>
      <x:c r="Y159" s="1" t="str">
        <x:v>1</x:v>
      </x:c>
      <x:c r="Z159" s="1" t="str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</x:row>
    <x:row r="160" ht="22" customHeight="1">
      <x:c r="A160" s="2" t="str">
        <x:v>4060</x:v>
      </x:c>
      <x:c r="B160" s="2" t="str">
        <x:v>Murrell Dobbins Career and Technical High School</x:v>
      </x:c>
      <x:c r="C160" s="2" t="str">
        <x:v>District</x:v>
      </x:c>
      <x:c r="D160" s="2" t="str">
        <x:v>Yes</x:v>
      </x:c>
      <x:c r="E160" s="2" t="str">
        <x:v>High</x:v>
      </x:c>
      <x:c r="F160" s="2" t="str">
        <x:v>2150 W LEHIGH AVE</x:v>
      </x:c>
      <x:c r="G160" s="2" t="str">
        <x:v>PHILADELPHIA</x:v>
      </x:c>
      <x:c r="H160" s="2" t="str">
        <x:v>19132</x:v>
      </x:c>
      <x:c r="I160" s="2" t="n">
        <x:v>39.9954293</x:v>
      </x:c>
      <x:c r="J160" s="2" t="n">
        <x:v>-75.16679334</x:v>
      </x:c>
      <x:c r="K160" s="2" t="n">
        <x:v>535</x:v>
      </x:c>
      <x:c r="L160" s="15" t="n">
        <x:v>0.9064</x:v>
      </x:c>
      <x:c r="M160" s="1" t="n">
        <x:v>14</x:v>
      </x:c>
      <x:c r="N160" s="1" t="str">
        <x:v>2025-2026</x:v>
      </x:c>
      <x:c r="O160" s="1" t="str">
        <x:v>2026-10-09</x:v>
      </x:c>
      <x:c r="P160" s="1" t="str">
        <x:v>Live</x:v>
      </x:c>
      <x:c r="Q160" s="1" t="str">
        <x:v>3841</x:v>
      </x:c>
      <x:c r="R160" s="1" t="str">
        <x:v>126515001</x:v>
      </x:c>
      <x:c r="S160" s="1"/>
      <x:c r="T160" s="1" t="str">
        <x:v>3392</x:v>
      </x:c>
      <x:c r="U160" s="1" t="str">
        <x:v>215-729-1939</x:v>
      </x:c>
      <x:c r="V160" s="1" t="str">
        <x:v>https://www.slacs-phila.org/</x:v>
      </x:c>
      <x:c r="W160" s="1" t="str">
        <x:v>2026-2027</x:v>
      </x:c>
      <x:c r="X160" s="1" t="str">
        <x:v>2025-2026</x:v>
      </x:c>
      <x:c r="Y160" s="1" t="str">
        <x:v>1</x:v>
      </x:c>
      <x:c r="Z160" s="1" t="str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</x:row>
    <x:row r="161" ht="22" customHeight="1">
      <x:c r="A161" s="2" t="str">
        <x:v>4140</x:v>
      </x:c>
      <x:c r="B161" s="2" t="str">
        <x:v>Strawberry Mansion High School</x:v>
      </x:c>
      <x:c r="C161" s="2" t="str">
        <x:v>District</x:v>
      </x:c>
      <x:c r="D161" s="2" t="str">
        <x:v>Yes</x:v>
      </x:c>
      <x:c r="E161" s="2" t="str">
        <x:v>High</x:v>
      </x:c>
      <x:c r="F161" s="2" t="str">
        <x:v>3133 RIDGE AVE</x:v>
      </x:c>
      <x:c r="G161" s="2" t="str">
        <x:v>PHILADELPHIA</x:v>
      </x:c>
      <x:c r="H161" s="2" t="str">
        <x:v>19121</x:v>
      </x:c>
      <x:c r="I161" s="2" t="n">
        <x:v>39.99074371</x:v>
      </x:c>
      <x:c r="J161" s="2" t="n">
        <x:v>-75.18402464</x:v>
      </x:c>
      <x:c r="K161" s="2" t="n">
        <x:v>275</x:v>
      </x:c>
      <x:c r="L161" s="15" t="n">
        <x:v>0.8735</x:v>
      </x:c>
      <x:c r="M161" s="1" t="n">
        <x:v>12</x:v>
      </x:c>
      <x:c r="N161" s="1" t="str">
        <x:v>2025-2026</x:v>
      </x:c>
      <x:c r="O161" s="1" t="str">
        <x:v>2026-10-09</x:v>
      </x:c>
      <x:c r="P161" s="1" t="str">
        <x:v>Live</x:v>
      </x:c>
      <x:c r="Q161" s="1" t="str">
        <x:v>7255</x:v>
      </x:c>
      <x:c r="R161" s="1" t="str">
        <x:v>126515001</x:v>
      </x:c>
      <x:c r="S161" s="1"/>
      <x:c r="T161" s="1" t="str">
        <x:v>3393</x:v>
      </x:c>
      <x:c r="U161" s="1" t="str">
        <x:v>215-866-9000</x:v>
      </x:c>
      <x:c r="V161" s="1" t="str">
        <x:v>https://masterycharter.org/secondary-schools/pickett-campus</x:v>
      </x:c>
      <x:c r="W161" s="1" t="str">
        <x:v>2026-2027</x:v>
      </x:c>
      <x:c r="X161" s="1" t="str">
        <x:v>2025-2026</x:v>
      </x:c>
      <x:c r="Y161" s="1" t="str">
        <x:v>1</x:v>
      </x:c>
      <x:c r="Z161" s="1" t="str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</x:row>
    <x:row r="162" ht="22" customHeight="1">
      <x:c r="A162" s="2" t="str">
        <x:v>4220</x:v>
      </x:c>
      <x:c r="B162" s="2" t="str">
        <x:v>James G. Blaine School</x:v>
      </x:c>
      <x:c r="C162" s="2" t="str">
        <x:v>District</x:v>
      </x:c>
      <x:c r="D162" s="2" t="str">
        <x:v>Yes</x:v>
      </x:c>
      <x:c r="E162" s="2" t="str">
        <x:v>Elementary-Middle</x:v>
      </x:c>
      <x:c r="F162" s="2" t="str">
        <x:v>3001 W BERKS ST</x:v>
      </x:c>
      <x:c r="G162" s="2" t="str">
        <x:v>PHILADELPHIA</x:v>
      </x:c>
      <x:c r="H162" s="2" t="str">
        <x:v>19121</x:v>
      </x:c>
      <x:c r="I162" s="2" t="n">
        <x:v>39.98521297</x:v>
      </x:c>
      <x:c r="J162" s="2" t="n">
        <x:v>-75.18293887</x:v>
      </x:c>
      <x:c r="K162" s="2" t="n">
        <x:v>299</x:v>
      </x:c>
      <x:c r="L162" s="15" t="n">
        <x:v>0.8944</x:v>
      </x:c>
      <x:c r="M162" s="1" t="n">
        <x:v>11</x:v>
      </x:c>
      <x:c r="N162" s="1" t="str">
        <x:v>2025-2026</x:v>
      </x:c>
      <x:c r="O162" s="1" t="str">
        <x:v>2026-10-09</x:v>
      </x:c>
      <x:c r="P162" s="1" t="str">
        <x:v>Live</x:v>
      </x:c>
      <x:c r="Q162" s="1" t="str">
        <x:v>3662</x:v>
      </x:c>
      <x:c r="R162" s="1" t="str">
        <x:v>126515001</x:v>
      </x:c>
      <x:c r="S162" s="1"/>
      <x:c r="T162" s="1" t="str">
        <x:v>3394</x:v>
      </x:c>
      <x:c r="U162" s="1" t="str">
        <x:v>215-425-1212</x:v>
      </x:c>
      <x:c r="V162" s="1" t="str">
        <x:v>https://panamcs.org/</x:v>
      </x:c>
      <x:c r="W162" s="1" t="str">
        <x:v>2026-2027</x:v>
      </x:c>
      <x:c r="X162" s="1" t="str">
        <x:v>2025-2026</x:v>
      </x:c>
      <x:c r="Y162" s="1" t="str">
        <x:v>1</x:v>
      </x:c>
      <x:c r="Z162" s="1" t="str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</x:row>
    <x:row r="163" ht="22" customHeight="1">
      <x:c r="A163" s="2" t="str">
        <x:v>4240</x:v>
      </x:c>
      <x:c r="B163" s="2" t="str">
        <x:v>Lewis C. Cassidy Academics Plus School</x:v>
      </x:c>
      <x:c r="C163" s="2" t="str">
        <x:v>District</x:v>
      </x:c>
      <x:c r="D163" s="2" t="str">
        <x:v>Yes</x:v>
      </x:c>
      <x:c r="E163" s="2" t="str">
        <x:v>Elementary-Middle</x:v>
      </x:c>
      <x:c r="F163" s="2" t="str">
        <x:v>6523 LANSDOWNE AVE</x:v>
      </x:c>
      <x:c r="G163" s="2" t="str">
        <x:v>PHILADELPHIA</x:v>
      </x:c>
      <x:c r="H163" s="2" t="str">
        <x:v>19151</x:v>
      </x:c>
      <x:c r="I163" s="2" t="n">
        <x:v>39.97551874</x:v>
      </x:c>
      <x:c r="J163" s="2" t="n">
        <x:v>-75.25077443</x:v>
      </x:c>
      <x:c r="K163" s="2" t="n">
        <x:v>363</x:v>
      </x:c>
      <x:c r="L163" s="15" t="n">
        <x:v>0.7479</x:v>
      </x:c>
      <x:c r="M163" s="1" t="n">
        <x:v>6</x:v>
      </x:c>
      <x:c r="N163" s="1" t="str">
        <x:v>2025-2026</x:v>
      </x:c>
      <x:c r="O163" s="1" t="str">
        <x:v>2026-10-09</x:v>
      </x:c>
      <x:c r="P163" s="1" t="str">
        <x:v>Live</x:v>
      </x:c>
      <x:c r="Q163" s="1" t="str">
        <x:v>3664</x:v>
      </x:c>
      <x:c r="R163" s="1" t="str">
        <x:v>126515001</x:v>
      </x:c>
      <x:c r="S163" s="1"/>
      <x:c r="T163" s="1" t="str">
        <x:v>3395</x:v>
      </x:c>
      <x:c r="U163" s="1" t="str"/>
      <x:c r="V163" s="1" t="str">
        <x:v>https://pantojacharter.org/</x:v>
      </x:c>
      <x:c r="W163" s="1" t="str">
        <x:v>2026-2027</x:v>
      </x:c>
      <x:c r="X163" s="1" t="str">
        <x:v>2025-2026</x:v>
      </x:c>
      <x:c r="Y163" s="1" t="str">
        <x:v>1</x:v>
      </x:c>
      <x:c r="Z163" s="1" t="str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</x:row>
    <x:row r="164" ht="22" customHeight="1">
      <x:c r="A164" s="2" t="str">
        <x:v>4270</x:v>
      </x:c>
      <x:c r="B164" s="2" t="str">
        <x:v>William Dick School</x:v>
      </x:c>
      <x:c r="C164" s="2" t="str">
        <x:v>District</x:v>
      </x:c>
      <x:c r="D164" s="2" t="str">
        <x:v>Yes</x:v>
      </x:c>
      <x:c r="E164" s="2" t="str">
        <x:v>Elementary-Middle</x:v>
      </x:c>
      <x:c r="F164" s="2" t="str">
        <x:v>2498 W DIAMOND ST</x:v>
      </x:c>
      <x:c r="G164" s="2" t="str">
        <x:v>PHILADELPHIA</x:v>
      </x:c>
      <x:c r="H164" s="2" t="str">
        <x:v>19121</x:v>
      </x:c>
      <x:c r="I164" s="2" t="n">
        <x:v>39.98673</x:v>
      </x:c>
      <x:c r="J164" s="2" t="n">
        <x:v>-75.173787</x:v>
      </x:c>
      <x:c r="K164" s="2" t="n">
        <x:v>306</x:v>
      </x:c>
      <x:c r="L164" s="15" t="n">
        <x:v>0.9638</x:v>
      </x:c>
      <x:c r="M164" s="1" t="n">
        <x:v>18</x:v>
      </x:c>
      <x:c r="N164" s="1" t="str">
        <x:v>2025-2026</x:v>
      </x:c>
      <x:c r="O164" s="1" t="str">
        <x:v>2026-10-09</x:v>
      </x:c>
      <x:c r="P164" s="1" t="str">
        <x:v>Live</x:v>
      </x:c>
      <x:c r="Q164" s="1" t="str">
        <x:v>3786</x:v>
      </x:c>
      <x:c r="R164" s="1" t="str">
        <x:v>126515001</x:v>
      </x:c>
      <x:c r="S164" s="1"/>
      <x:c r="T164" s="1" t="str">
        <x:v>3399</x:v>
      </x:c>
      <x:c r="U164" s="1" t="str"/>
      <x:c r="V164" s="1" t="str">
        <x:v>https://www.sfacs.us</x:v>
      </x:c>
      <x:c r="W164" s="1" t="str">
        <x:v>2026-2027</x:v>
      </x:c>
      <x:c r="X164" s="1" t="str">
        <x:v>2025-2026</x:v>
      </x:c>
      <x:c r="Y164" s="1" t="str">
        <x:v>1</x:v>
      </x:c>
      <x:c r="Z164" s="1" t="str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</x:row>
    <x:row r="165" ht="22" customHeight="1">
      <x:c r="A165" s="2" t="str">
        <x:v>4280</x:v>
      </x:c>
      <x:c r="B165" s="2" t="str">
        <x:v>Samuel Gompers School</x:v>
      </x:c>
      <x:c r="C165" s="2" t="str">
        <x:v>District</x:v>
      </x:c>
      <x:c r="D165" s="2" t="str">
        <x:v>Yes</x:v>
      </x:c>
      <x:c r="E165" s="2" t="str">
        <x:v>Elementary-Middle</x:v>
      </x:c>
      <x:c r="F165" s="2" t="str">
        <x:v>5701 WYNNEFIELD AVE</x:v>
      </x:c>
      <x:c r="G165" s="2" t="str">
        <x:v>PHILADELPHIA</x:v>
      </x:c>
      <x:c r="H165" s="2" t="str">
        <x:v>19131</x:v>
      </x:c>
      <x:c r="I165" s="2" t="n">
        <x:v>39.99205763</x:v>
      </x:c>
      <x:c r="J165" s="2" t="n">
        <x:v>-75.23754028</x:v>
      </x:c>
      <x:c r="K165" s="2" t="n">
        <x:v>236</x:v>
      </x:c>
      <x:c r="L165" s="15" t="n">
        <x:v>0.7203</x:v>
      </x:c>
      <x:c r="M165" s="1" t="n">
        <x:v>3</x:v>
      </x:c>
      <x:c r="N165" s="1" t="str">
        <x:v>2025-2026</x:v>
      </x:c>
      <x:c r="O165" s="1" t="str">
        <x:v>2026-10-09</x:v>
      </x:c>
      <x:c r="P165" s="1" t="str">
        <x:v>Live</x:v>
      </x:c>
      <x:c r="Q165" s="1" t="str">
        <x:v>3668</x:v>
      </x:c>
      <x:c r="R165" s="1" t="str">
        <x:v>126515001</x:v>
      </x:c>
      <x:c r="S165" s="1"/>
      <x:c r="T165" s="1" t="str">
        <x:v>3403</x:v>
      </x:c>
      <x:c r="U165" s="1" t="str"/>
      <x:c r="V165" s="1" t="str">
        <x:v>https://www.towne.org/</x:v>
      </x:c>
      <x:c r="W165" s="1" t="str">
        <x:v>2026-2027</x:v>
      </x:c>
      <x:c r="X165" s="1" t="str">
        <x:v>2025-2026</x:v>
      </x:c>
      <x:c r="Y165" s="1" t="str">
        <x:v>1</x:v>
      </x:c>
      <x:c r="Z165" s="1" t="str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</x:row>
    <x:row r="166" ht="22" customHeight="1">
      <x:c r="A166" s="2" t="str">
        <x:v>4300</x:v>
      </x:c>
      <x:c r="B166" s="2" t="str">
        <x:v>Edward Heston School</x:v>
      </x:c>
      <x:c r="C166" s="2" t="str">
        <x:v>District</x:v>
      </x:c>
      <x:c r="D166" s="2" t="str">
        <x:v>Yes</x:v>
      </x:c>
      <x:c r="E166" s="2" t="str">
        <x:v>Elementary-Middle</x:v>
      </x:c>
      <x:c r="F166" s="2" t="str">
        <x:v>1621 N 54TH ST</x:v>
      </x:c>
      <x:c r="G166" s="2" t="str">
        <x:v>PHILADELPHIA</x:v>
      </x:c>
      <x:c r="H166" s="2" t="str">
        <x:v>19131</x:v>
      </x:c>
      <x:c r="I166" s="2" t="n">
        <x:v>39.977852</x:v>
      </x:c>
      <x:c r="J166" s="2" t="n">
        <x:v>-75.229727</x:v>
      </x:c>
      <x:c r="K166" s="2" t="n">
        <x:v>219</x:v>
      </x:c>
      <x:c r="L166" s="15" t="n">
        <x:v>0.9111</x:v>
      </x:c>
      <x:c r="M166" s="1" t="n">
        <x:v>11</x:v>
      </x:c>
      <x:c r="N166" s="1" t="str">
        <x:v>2025-2026</x:v>
      </x:c>
      <x:c r="O166" s="1" t="str">
        <x:v>2026-10-09</x:v>
      </x:c>
      <x:c r="P166" s="1" t="str">
        <x:v>Live</x:v>
      </x:c>
      <x:c r="Q166" s="1" t="str">
        <x:v>5187</x:v>
      </x:c>
      <x:c r="R166" s="1" t="str">
        <x:v>126515001</x:v>
      </x:c>
      <x:c r="S166" s="1"/>
      <x:c r="T166" s="1" t="str">
        <x:v>3404</x:v>
      </x:c>
      <x:c r="U166" s="1" t="str"/>
      <x:c r="V166" s="1" t="str">
        <x:v>https://www.ap-schools.org/Tacony-Academy-Charter/</x:v>
      </x:c>
      <x:c r="W166" s="1" t="str">
        <x:v>2026-2027</x:v>
      </x:c>
      <x:c r="X166" s="1" t="str">
        <x:v>2025-2026</x:v>
      </x:c>
      <x:c r="Y166" s="1" t="str">
        <x:v>1</x:v>
      </x:c>
      <x:c r="Z166" s="1" t="str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</x:row>
    <x:row r="167" ht="22" customHeight="1">
      <x:c r="A167" s="2" t="str">
        <x:v>4320</x:v>
      </x:c>
      <x:c r="B167" s="2" t="str">
        <x:v>Robert E. Lamberton School</x:v>
      </x:c>
      <x:c r="C167" s="2" t="str">
        <x:v>District</x:v>
      </x:c>
      <x:c r="D167" s="2" t="str">
        <x:v>Yes</x:v>
      </x:c>
      <x:c r="E167" s="2" t="str">
        <x:v>Elementary-Middle</x:v>
      </x:c>
      <x:c r="F167" s="2" t="str">
        <x:v>7501 WOODBINE AVE</x:v>
      </x:c>
      <x:c r="G167" s="2" t="str">
        <x:v>PHILADELPHIA</x:v>
      </x:c>
      <x:c r="H167" s="2" t="str">
        <x:v>19151</x:v>
      </x:c>
      <x:c r="I167" s="2" t="n">
        <x:v>39.975465</x:v>
      </x:c>
      <x:c r="J167" s="2" t="n">
        <x:v>-75.266329</x:v>
      </x:c>
      <x:c r="K167" s="2" t="n">
        <x:v>362</x:v>
      </x:c>
      <x:c r="L167" s="15" t="n">
        <x:v>0.8355</x:v>
      </x:c>
      <x:c r="M167" s="1" t="n">
        <x:v>0</x:v>
      </x:c>
      <x:c r="N167" s="1" t="str">
        <x:v>2025-2026</x:v>
      </x:c>
      <x:c r="O167" s="1" t="str">
        <x:v>2026-10-09</x:v>
      </x:c>
      <x:c r="P167" s="1" t="str">
        <x:v>Live</x:v>
      </x:c>
      <x:c r="Q167" s="1" t="str">
        <x:v>3670</x:v>
      </x:c>
      <x:c r="R167" s="1" t="str">
        <x:v>126515001</x:v>
      </x:c>
      <x:c r="S167" s="1"/>
      <x:c r="T167" s="1" t="str">
        <x:v>3407</x:v>
      </x:c>
      <x:c r="U167" s="1" t="str">
        <x:v>215-471-2908</x:v>
      </x:c>
      <x:c r="V167" s="1" t="str">
        <x:v>https://masterycharter.org/elementary-schools/harrity</x:v>
      </x:c>
      <x:c r="W167" s="1" t="str">
        <x:v>2026-2027</x:v>
      </x:c>
      <x:c r="X167" s="1" t="str">
        <x:v>2025-2026</x:v>
      </x:c>
      <x:c r="Y167" s="1" t="str">
        <x:v>1</x:v>
      </x:c>
      <x:c r="Z167" s="1" t="str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</x:row>
    <x:row r="168" ht="22" customHeight="1">
      <x:c r="A168" s="2" t="str">
        <x:v>4350</x:v>
      </x:c>
      <x:c r="B168" s="2" t="str">
        <x:v>E. Washington Rhodes School</x:v>
      </x:c>
      <x:c r="C168" s="2" t="str">
        <x:v>District</x:v>
      </x:c>
      <x:c r="D168" s="2" t="str">
        <x:v>Yes</x:v>
      </x:c>
      <x:c r="E168" s="2" t="str">
        <x:v>Elementary-Middle</x:v>
      </x:c>
      <x:c r="F168" s="2" t="str">
        <x:v>2900 W CLEARFIELD ST</x:v>
      </x:c>
      <x:c r="G168" s="2" t="str">
        <x:v>PHILADELPHIA</x:v>
      </x:c>
      <x:c r="H168" s="2" t="str">
        <x:v>19132</x:v>
      </x:c>
      <x:c r="I168" s="2" t="n">
        <x:v>40.00275594</x:v>
      </x:c>
      <x:c r="J168" s="2" t="n">
        <x:v>-75.17812979</x:v>
      </x:c>
      <x:c r="K168" s="2" t="n">
        <x:v>350</x:v>
      </x:c>
      <x:c r="L168" s="15" t="n">
        <x:v>0.9248</x:v>
      </x:c>
      <x:c r="M168" s="1" t="n">
        <x:v>9</x:v>
      </x:c>
      <x:c r="N168" s="1" t="str">
        <x:v>2025-2026</x:v>
      </x:c>
      <x:c r="O168" s="1" t="str">
        <x:v>2026-10-09</x:v>
      </x:c>
      <x:c r="P168" s="1" t="str">
        <x:v>Live</x:v>
      </x:c>
      <x:c r="Q168" s="1" t="str">
        <x:v>8292</x:v>
      </x:c>
      <x:c r="R168" s="1" t="str">
        <x:v>126515001</x:v>
      </x:c>
      <x:c r="S168" s="1"/>
      <x:c r="T168" s="1" t="str">
        <x:v>3408</x:v>
      </x:c>
      <x:c r="U168" s="1" t="str">
        <x:v>215-581-5516</x:v>
      </x:c>
      <x:c r="V168" s="1" t="str">
        <x:v>https://masterycharter.org/elementary-schools/mann</x:v>
      </x:c>
      <x:c r="W168" s="1" t="str">
        <x:v>2026-2027</x:v>
      </x:c>
      <x:c r="X168" s="1" t="str">
        <x:v>2025-2026</x:v>
      </x:c>
      <x:c r="Y168" s="1" t="str">
        <x:v>1</x:v>
      </x:c>
      <x:c r="Z168" s="1" t="str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</x:row>
    <x:row r="169" ht="22" customHeight="1">
      <x:c r="A169" s="2" t="str">
        <x:v>4360</x:v>
      </x:c>
      <x:c r="B169" s="2" t="str">
        <x:v>Kenderton School</x:v>
      </x:c>
      <x:c r="C169" s="2" t="str">
        <x:v>District</x:v>
      </x:c>
      <x:c r="D169" s="2" t="str">
        <x:v>Yes</x:v>
      </x:c>
      <x:c r="E169" s="2" t="str">
        <x:v>Elementary-Middle</x:v>
      </x:c>
      <x:c r="F169" s="2" t="str">
        <x:v>1500 W ONTARIO ST</x:v>
      </x:c>
      <x:c r="G169" s="2" t="str">
        <x:v>PHILADELPHIA</x:v>
      </x:c>
      <x:c r="H169" s="2" t="str">
        <x:v>19140</x:v>
      </x:c>
      <x:c r="I169" s="2" t="n">
        <x:v>40.00494</x:v>
      </x:c>
      <x:c r="J169" s="2" t="n">
        <x:v>-75.154241</x:v>
      </x:c>
      <x:c r="K169" s="2" t="n">
        <x:v>271</x:v>
      </x:c>
      <x:c r="L169" s="15" t="n">
        <x:v>0.9125</x:v>
      </x:c>
      <x:c r="M169" s="1" t="n">
        <x:v>10</x:v>
      </x:c>
      <x:c r="N169" s="1" t="str">
        <x:v>2025-2026</x:v>
      </x:c>
      <x:c r="O169" s="1" t="str">
        <x:v>2026-10-09</x:v>
      </x:c>
      <x:c r="P169" s="1" t="str">
        <x:v>Live</x:v>
      </x:c>
      <x:c r="Q169" s="1" t="str">
        <x:v>8389</x:v>
      </x:c>
      <x:c r="R169" s="1" t="str">
        <x:v>126515001</x:v>
      </x:c>
      <x:c r="S169" s="1"/>
      <x:c r="T169" s="1" t="str">
        <x:v>3409</x:v>
      </x:c>
      <x:c r="U169" s="1" t="str">
        <x:v>215-537-2523</x:v>
      </x:c>
      <x:c r="V169" s="1" t="str">
        <x:v>https://masterycharter.org/elementary-schools/smedley</x:v>
      </x:c>
      <x:c r="W169" s="1" t="str">
        <x:v>2026-2027</x:v>
      </x:c>
      <x:c r="X169" s="1" t="str">
        <x:v>2025-2026</x:v>
      </x:c>
      <x:c r="Y169" s="1" t="str">
        <x:v>1</x:v>
      </x:c>
      <x:c r="Z169" s="1" t="str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</x:row>
    <x:row r="170" ht="22" customHeight="1">
      <x:c r="A170" s="2" t="str">
        <x:v>4370</x:v>
      </x:c>
      <x:c r="B170" s="2" t="str">
        <x:v>Overbrook Elementary School</x:v>
      </x:c>
      <x:c r="C170" s="2" t="str">
        <x:v>District</x:v>
      </x:c>
      <x:c r="D170" s="2" t="str">
        <x:v>Yes</x:v>
      </x:c>
      <x:c r="E170" s="2" t="str">
        <x:v>Elementary-Middle</x:v>
      </x:c>
      <x:c r="F170" s="2" t="str">
        <x:v>2032 N 62ND ST</x:v>
      </x:c>
      <x:c r="G170" s="2" t="str">
        <x:v>PHILADELPHIA</x:v>
      </x:c>
      <x:c r="H170" s="2" t="str">
        <x:v>19151</x:v>
      </x:c>
      <x:c r="I170" s="2" t="n">
        <x:v>39.98225806</x:v>
      </x:c>
      <x:c r="J170" s="2" t="n">
        <x:v>-75.24584611</x:v>
      </x:c>
      <x:c r="K170" s="2" t="n">
        <x:v>215</x:v>
      </x:c>
      <x:c r="L170" s="15" t="n">
        <x:v>0.8558</x:v>
      </x:c>
      <x:c r="M170" s="1" t="n">
        <x:v>6</x:v>
      </x:c>
      <x:c r="N170" s="1" t="str">
        <x:v>2025-2026</x:v>
      </x:c>
      <x:c r="O170" s="1" t="str">
        <x:v>2026-10-09</x:v>
      </x:c>
      <x:c r="P170" s="1" t="str">
        <x:v>Live</x:v>
      </x:c>
      <x:c r="Q170" s="1" t="str">
        <x:v>7472</x:v>
      </x:c>
      <x:c r="R170" s="1" t="str">
        <x:v>126515001</x:v>
      </x:c>
      <x:c r="S170" s="1"/>
      <x:c r="T170" s="1" t="str">
        <x:v>3412</x:v>
      </x:c>
      <x:c r="U170" s="1" t="str">
        <x:v>215-684-5063</x:v>
      </x:c>
      <x:c r="V170" s="1" t="str">
        <x:v>https://masterycharter.org/elementary-schools/frederick-douglass</x:v>
      </x:c>
      <x:c r="W170" s="1" t="str">
        <x:v>2026-2027</x:v>
      </x:c>
      <x:c r="X170" s="1" t="str">
        <x:v>2025-2026</x:v>
      </x:c>
      <x:c r="Y170" s="1" t="str">
        <x:v>1</x:v>
      </x:c>
      <x:c r="Z170" s="1" t="str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</x:row>
    <x:row r="171" ht="22" customHeight="1">
      <x:c r="A171" s="2" t="str">
        <x:v>4380</x:v>
      </x:c>
      <x:c r="B171" s="2" t="str">
        <x:v>Thomas M. Peirce School</x:v>
      </x:c>
      <x:c r="C171" s="2" t="str">
        <x:v>District</x:v>
      </x:c>
      <x:c r="D171" s="2" t="str">
        <x:v>Yes</x:v>
      </x:c>
      <x:c r="E171" s="2" t="str">
        <x:v>Elementary</x:v>
      </x:c>
      <x:c r="F171" s="2" t="str">
        <x:v>2300 W CAMBRIA ST</x:v>
      </x:c>
      <x:c r="G171" s="2" t="str">
        <x:v>PHILADELPHIA</x:v>
      </x:c>
      <x:c r="H171" s="2" t="str">
        <x:v>19132</x:v>
      </x:c>
      <x:c r="I171" s="2" t="n">
        <x:v>39.998839</x:v>
      </x:c>
      <x:c r="J171" s="2" t="n">
        <x:v>-75.168424</x:v>
      </x:c>
      <x:c r="K171" s="2" t="n">
        <x:v>292</x:v>
      </x:c>
      <x:c r="L171" s="15" t="n">
        <x:v>0.9375</x:v>
      </x:c>
      <x:c r="M171" s="1" t="n">
        <x:v>12</x:v>
      </x:c>
      <x:c r="N171" s="1" t="str">
        <x:v>2025-2026</x:v>
      </x:c>
      <x:c r="O171" s="1" t="str">
        <x:v>2026-10-09</x:v>
      </x:c>
      <x:c r="P171" s="1" t="str">
        <x:v>Live</x:v>
      </x:c>
      <x:c r="Q171" s="1" t="str">
        <x:v>3675</x:v>
      </x:c>
      <x:c r="R171" s="1" t="str">
        <x:v>126515001</x:v>
      </x:c>
      <x:c r="S171" s="1"/>
      <x:c r="T171" s="1" t="str">
        <x:v>3415</x:v>
      </x:c>
      <x:c r="U171" s="1" t="str"/>
      <x:c r="V171" s="1" t="str">
        <x:v>https://masterycharter.org/elementary-schools/clymer</x:v>
      </x:c>
      <x:c r="W171" s="1" t="str">
        <x:v>2026-2027</x:v>
      </x:c>
      <x:c r="X171" s="1" t="str">
        <x:v>2025-2026</x:v>
      </x:c>
      <x:c r="Y171" s="1" t="str">
        <x:v>1</x:v>
      </x:c>
      <x:c r="Z171" s="1" t="str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</x:row>
    <x:row r="172" ht="22" customHeight="1">
      <x:c r="A172" s="2" t="str">
        <x:v>4440</x:v>
      </x:c>
      <x:c r="B172" s="2" t="str">
        <x:v>Dr. Ethel Allen School</x:v>
      </x:c>
      <x:c r="C172" s="2" t="str">
        <x:v>District</x:v>
      </x:c>
      <x:c r="D172" s="2" t="str">
        <x:v>Yes</x:v>
      </x:c>
      <x:c r="E172" s="2" t="str">
        <x:v>Elementary-Middle</x:v>
      </x:c>
      <x:c r="F172" s="2" t="str">
        <x:v>3200 W LEHIGH AVE</x:v>
      </x:c>
      <x:c r="G172" s="2" t="str">
        <x:v>PHILADELPHIA</x:v>
      </x:c>
      <x:c r="H172" s="2" t="str">
        <x:v>19132</x:v>
      </x:c>
      <x:c r="I172" s="2" t="n">
        <x:v>39.99757697</x:v>
      </x:c>
      <x:c r="J172" s="2" t="n">
        <x:v>-75.18345963</x:v>
      </x:c>
      <x:c r="K172" s="2" t="n">
        <x:v>274</x:v>
      </x:c>
      <x:c r="L172" s="15" t="n">
        <x:v>0.9062</x:v>
      </x:c>
      <x:c r="M172" s="1" t="n">
        <x:v>10</x:v>
      </x:c>
      <x:c r="N172" s="1" t="str">
        <x:v>2025-2026</x:v>
      </x:c>
      <x:c r="O172" s="1" t="str">
        <x:v>2026-10-09</x:v>
      </x:c>
      <x:c r="P172" s="1" t="str">
        <x:v>Live</x:v>
      </x:c>
      <x:c r="Q172" s="1" t="str">
        <x:v>5292</x:v>
      </x:c>
      <x:c r="R172" s="1" t="str">
        <x:v>126515001</x:v>
      </x:c>
      <x:c r="S172" s="1"/>
      <x:c r="T172" s="1" t="str">
        <x:v>3416</x:v>
      </x:c>
      <x:c r="U172" s="1" t="str"/>
      <x:c r="V172" s="1" t="str">
        <x:v>https://masterycharter.org/secondary-schools/gratz-prep-middle</x:v>
      </x:c>
      <x:c r="W172" s="1" t="str">
        <x:v>2026-2027</x:v>
      </x:c>
      <x:c r="X172" s="1" t="str">
        <x:v>2025-2026</x:v>
      </x:c>
      <x:c r="Y172" s="1" t="str">
        <x:v>1</x:v>
      </x:c>
      <x:c r="Z172" s="1" t="str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</x:row>
    <x:row r="173" ht="22" customHeight="1">
      <x:c r="A173" s="2" t="str">
        <x:v>4460</x:v>
      </x:c>
      <x:c r="B173" s="2" t="str">
        <x:v>Tanner G. Duckrey School</x:v>
      </x:c>
      <x:c r="C173" s="2" t="str">
        <x:v>District</x:v>
      </x:c>
      <x:c r="D173" s="2" t="str">
        <x:v>Yes</x:v>
      </x:c>
      <x:c r="E173" s="2" t="str">
        <x:v>Elementary-Middle</x:v>
      </x:c>
      <x:c r="F173" s="2" t="str">
        <x:v>1501 W DIAMOND ST</x:v>
      </x:c>
      <x:c r="G173" s="2" t="str">
        <x:v>PHILADELPHIA</x:v>
      </x:c>
      <x:c r="H173" s="2" t="str">
        <x:v>19121</x:v>
      </x:c>
      <x:c r="I173" s="2" t="n">
        <x:v>39.98520302</x:v>
      </x:c>
      <x:c r="J173" s="2" t="n">
        <x:v>-75.15830107</x:v>
      </x:c>
      <x:c r="K173" s="2" t="n">
        <x:v>402</x:v>
      </x:c>
      <x:c r="L173" s="15" t="n">
        <x:v>0.9047</x:v>
      </x:c>
      <x:c r="M173" s="1" t="n">
        <x:v>14</x:v>
      </x:c>
      <x:c r="N173" s="1" t="str">
        <x:v>2025-2026</x:v>
      </x:c>
      <x:c r="O173" s="1" t="str">
        <x:v>2026-10-09</x:v>
      </x:c>
      <x:c r="P173" s="1" t="str">
        <x:v>Live</x:v>
      </x:c>
      <x:c r="Q173" s="1" t="str">
        <x:v>5040</x:v>
      </x:c>
      <x:c r="R173" s="1" t="str">
        <x:v>126515001</x:v>
      </x:c>
      <x:c r="S173" s="1"/>
      <x:c r="T173" s="1" t="str">
        <x:v>3417</x:v>
      </x:c>
      <x:c r="U173" s="1" t="str"/>
      <x:c r="V173" s="1" t="str">
        <x:v>https://www.universalfamilyofschools.org/universal-audenried/</x:v>
      </x:c>
      <x:c r="W173" s="1" t="str">
        <x:v>2026-2027</x:v>
      </x:c>
      <x:c r="X173" s="1" t="str">
        <x:v>2025-2026</x:v>
      </x:c>
      <x:c r="Y173" s="1" t="str">
        <x:v>1</x:v>
      </x:c>
      <x:c r="Z173" s="1" t="str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</x:row>
    <x:row r="174" ht="22" customHeight="1">
      <x:c r="A174" s="2" t="str">
        <x:v>4470</x:v>
      </x:c>
      <x:c r="B174" s="2" t="str">
        <x:v>Richard R. Wright School</x:v>
      </x:c>
      <x:c r="C174" s="2" t="str">
        <x:v>District</x:v>
      </x:c>
      <x:c r="D174" s="2" t="str">
        <x:v>Yes</x:v>
      </x:c>
      <x:c r="E174" s="2" t="str">
        <x:v>Elementary</x:v>
      </x:c>
      <x:c r="F174" s="2" t="str">
        <x:v>2201 N 28TH ST</x:v>
      </x:c>
      <x:c r="G174" s="2" t="str">
        <x:v>PHILADELPHIA</x:v>
      </x:c>
      <x:c r="H174" s="2" t="str">
        <x:v>19132</x:v>
      </x:c>
      <x:c r="I174" s="2" t="n">
        <x:v>39.99043963</x:v>
      </x:c>
      <x:c r="J174" s="2" t="n">
        <x:v>-75.17699812</x:v>
      </x:c>
      <x:c r="K174" s="2" t="n">
        <x:v>201</x:v>
      </x:c>
      <x:c r="L174" s="15" t="n">
        <x:v>0.909</x:v>
      </x:c>
      <x:c r="M174" s="1" t="n">
        <x:v>16</x:v>
      </x:c>
      <x:c r="N174" s="1" t="str">
        <x:v>2025-2026</x:v>
      </x:c>
      <x:c r="O174" s="1" t="str">
        <x:v>2026-10-09</x:v>
      </x:c>
      <x:c r="P174" s="1" t="str">
        <x:v>Live</x:v>
      </x:c>
      <x:c r="Q174" s="1" t="str">
        <x:v>5188</x:v>
      </x:c>
      <x:c r="R174" s="1" t="str">
        <x:v>126515001</x:v>
      </x:c>
      <x:c r="S174" s="1"/>
      <x:c r="T174" s="1" t="str">
        <x:v>3419</x:v>
      </x:c>
      <x:c r="U174" s="1" t="str"/>
      <x:c r="V174" s="1" t="str">
        <x:v>https://www.ap-schools.org/Lindley-Academy/</x:v>
      </x:c>
      <x:c r="W174" s="1" t="str">
        <x:v>2026-2027</x:v>
      </x:c>
      <x:c r="X174" s="1" t="str">
        <x:v>2025-2026</x:v>
      </x:c>
      <x:c r="Y174" s="1" t="str">
        <x:v>1</x:v>
      </x:c>
      <x:c r="Z174" s="1" t="str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</x:row>
    <x:row r="175" ht="22" customHeight="1">
      <x:c r="A175" s="2" t="str">
        <x:v>4480</x:v>
      </x:c>
      <x:c r="B175" s="2" t="str">
        <x:v>Overbrook Educational Center</x:v>
      </x:c>
      <x:c r="C175" s="2" t="str">
        <x:v>District</x:v>
      </x:c>
      <x:c r="D175" s="2" t="str">
        <x:v>Yes</x:v>
      </x:c>
      <x:c r="E175" s="2" t="str">
        <x:v>Elementary-Middle</x:v>
      </x:c>
      <x:c r="F175" s="2" t="str">
        <x:v>6722 LANSDOWNE AVE</x:v>
      </x:c>
      <x:c r="G175" s="2" t="str">
        <x:v>PHILADELPHIA</x:v>
      </x:c>
      <x:c r="H175" s="2" t="str">
        <x:v>19151</x:v>
      </x:c>
      <x:c r="I175" s="2" t="n">
        <x:v>39.97429952</x:v>
      </x:c>
      <x:c r="J175" s="2" t="n">
        <x:v>-75.25401239</x:v>
      </x:c>
      <x:c r="K175" s="2" t="n">
        <x:v>226</x:v>
      </x:c>
      <x:c r="L175" s="15" t="n">
        <x:v>0.7111</x:v>
      </x:c>
      <x:c r="M175" s="1" t="n">
        <x:v>6</x:v>
      </x:c>
      <x:c r="N175" s="1" t="str">
        <x:v>2025-2026</x:v>
      </x:c>
      <x:c r="O175" s="1" t="str">
        <x:v>2026-10-09</x:v>
      </x:c>
      <x:c r="P175" s="1" t="str">
        <x:v>Live</x:v>
      </x:c>
      <x:c r="Q175" s="1" t="str">
        <x:v>6960</x:v>
      </x:c>
      <x:c r="R175" s="1" t="str">
        <x:v>126515001</x:v>
      </x:c>
      <x:c r="S175" s="1"/>
      <x:c r="T175" s="1" t="str">
        <x:v>3420</x:v>
      </x:c>
      <x:c r="U175" s="1" t="str"/>
      <x:c r="V175" s="1" t="str">
        <x:v>https://masterycharter.org/elementary-schools/grover-cleveland</x:v>
      </x:c>
      <x:c r="W175" s="1" t="str">
        <x:v>2026-2027</x:v>
      </x:c>
      <x:c r="X175" s="1" t="str">
        <x:v>2026-2027</x:v>
      </x:c>
      <x:c r="Y175" s="1" t="str"/>
      <x:c r="Z175" s="1" t="str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</x:row>
    <x:row r="176" ht="22" customHeight="1">
      <x:c r="A176" s="2" t="str">
        <x:v>4520</x:v>
      </x:c>
      <x:c r="B176" s="2" t="str">
        <x:v>Guion S. Bluford School</x:v>
      </x:c>
      <x:c r="C176" s="2" t="str">
        <x:v>District</x:v>
      </x:c>
      <x:c r="D176" s="2" t="str">
        <x:v>Yes</x:v>
      </x:c>
      <x:c r="E176" s="2" t="str">
        <x:v>Elementary-Middle</x:v>
      </x:c>
      <x:c r="F176" s="2" t="str">
        <x:v>5720 MEDIA ST</x:v>
      </x:c>
      <x:c r="G176" s="2" t="str">
        <x:v>PHILADELPHIA</x:v>
      </x:c>
      <x:c r="H176" s="2" t="str">
        <x:v>19131</x:v>
      </x:c>
      <x:c r="I176" s="2" t="n">
        <x:v>39.97381132</x:v>
      </x:c>
      <x:c r="J176" s="2" t="n">
        <x:v>-75.23583173</x:v>
      </x:c>
      <x:c r="K176" s="2" t="n">
        <x:v>490</x:v>
      </x:c>
      <x:c r="L176" s="15" t="n">
        <x:v>0.8989</x:v>
      </x:c>
      <x:c r="M176" s="1" t="n">
        <x:v>12</x:v>
      </x:c>
      <x:c r="N176" s="1" t="str">
        <x:v>2025-2026</x:v>
      </x:c>
      <x:c r="O176" s="1" t="str">
        <x:v>2026-10-09</x:v>
      </x:c>
      <x:c r="P176" s="1" t="str">
        <x:v>Live</x:v>
      </x:c>
      <x:c r="Q176" s="1" t="str">
        <x:v>8515</x:v>
      </x:c>
      <x:c r="R176" s="1" t="str">
        <x:v>126515001</x:v>
      </x:c>
      <x:c r="S176" s="1"/>
      <x:c r="T176" s="1" t="str">
        <x:v>3421</x:v>
      </x:c>
      <x:c r="U176" s="1" t="str"/>
      <x:c r="V176" s="1" t="str">
        <x:v>https://www.universalfamilyofschools.org/universal-creighton/</x:v>
      </x:c>
      <x:c r="W176" s="1" t="str">
        <x:v>2026-2027</x:v>
      </x:c>
      <x:c r="X176" s="1" t="str">
        <x:v>2025-2026</x:v>
      </x:c>
      <x:c r="Y176" s="1" t="str">
        <x:v>1</x:v>
      </x:c>
      <x:c r="Z176" s="1" t="str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</x:row>
    <x:row r="177" ht="22" customHeight="1">
      <x:c r="A177" s="2" t="str">
        <x:v>4530</x:v>
      </x:c>
      <x:c r="B177" s="2" t="str">
        <x:v>Edward Gideon School</x:v>
      </x:c>
      <x:c r="C177" s="2" t="str">
        <x:v>District</x:v>
      </x:c>
      <x:c r="D177" s="2" t="str">
        <x:v>Yes</x:v>
      </x:c>
      <x:c r="E177" s="2" t="str">
        <x:v>Elementary-Middle</x:v>
      </x:c>
      <x:c r="F177" s="2" t="str">
        <x:v>2817 W GLENWOOD AVE</x:v>
      </x:c>
      <x:c r="G177" s="2" t="str">
        <x:v>PHILADELPHIA</x:v>
      </x:c>
      <x:c r="H177" s="2" t="str">
        <x:v>19121</x:v>
      </x:c>
      <x:c r="I177" s="2" t="n">
        <x:v>39.98447594</x:v>
      </x:c>
      <x:c r="J177" s="2" t="n">
        <x:v>-75.18016456</x:v>
      </x:c>
      <x:c r="K177" s="2" t="n">
        <x:v>184</x:v>
      </x:c>
      <x:c r="L177" s="15" t="n">
        <x:v>0.9423</x:v>
      </x:c>
      <x:c r="M177" s="1" t="n">
        <x:v>14</x:v>
      </x:c>
      <x:c r="N177" s="1" t="str">
        <x:v>2025-2026</x:v>
      </x:c>
      <x:c r="O177" s="1" t="str">
        <x:v>2026-10-09</x:v>
      </x:c>
      <x:c r="P177" s="1" t="str">
        <x:v>Live</x:v>
      </x:c>
      <x:c r="Q177" s="1" t="str">
        <x:v>3625</x:v>
      </x:c>
      <x:c r="R177" s="1" t="str">
        <x:v>126515001</x:v>
      </x:c>
      <x:c r="S177" s="1"/>
      <x:c r="T177" s="1" t="str">
        <x:v>3422</x:v>
      </x:c>
      <x:c r="U177" s="1" t="str">
        <x:v>215-537-2520</x:v>
      </x:c>
      <x:c r="V177" s="1" t="str">
        <x:v>https://asphl.stringtheoryschools.org/</x:v>
      </x:c>
      <x:c r="W177" s="1" t="str">
        <x:v>2026-2027</x:v>
      </x:c>
      <x:c r="X177" s="1" t="str">
        <x:v>2025-2026</x:v>
      </x:c>
      <x:c r="Y177" s="1" t="str">
        <x:v>1</x:v>
      </x:c>
      <x:c r="Z177" s="1" t="str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</x:row>
    <x:row r="178" ht="22" customHeight="1">
      <x:c r="A178" s="2" t="str">
        <x:v>4560</x:v>
      </x:c>
      <x:c r="B178" s="2" t="str">
        <x:v>William D. Kelley School</x:v>
      </x:c>
      <x:c r="C178" s="2" t="str">
        <x:v>District</x:v>
      </x:c>
      <x:c r="D178" s="2" t="str">
        <x:v>Yes</x:v>
      </x:c>
      <x:c r="E178" s="2" t="str">
        <x:v>Elementary-Middle</x:v>
      </x:c>
      <x:c r="F178" s="2" t="str">
        <x:v>1601 N 28TH ST</x:v>
      </x:c>
      <x:c r="G178" s="2" t="str">
        <x:v>PHILADELPHIA</x:v>
      </x:c>
      <x:c r="H178" s="2" t="str">
        <x:v>19121</x:v>
      </x:c>
      <x:c r="I178" s="2" t="n">
        <x:v>39.98039173</x:v>
      </x:c>
      <x:c r="J178" s="2" t="n">
        <x:v>-75.18032689</x:v>
      </x:c>
      <x:c r="K178" s="2" t="n">
        <x:v>205</x:v>
      </x:c>
      <x:c r="L178" s="15" t="n">
        <x:v>0.9115</x:v>
      </x:c>
      <x:c r="M178" s="1" t="n">
        <x:v>11</x:v>
      </x:c>
      <x:c r="N178" s="1" t="str">
        <x:v>2025-2026</x:v>
      </x:c>
      <x:c r="O178" s="1" t="str">
        <x:v>2026-10-09</x:v>
      </x:c>
      <x:c r="P178" s="1" t="str">
        <x:v>Live</x:v>
      </x:c>
      <x:c r="Q178" s="1" t="str">
        <x:v>3626</x:v>
      </x:c>
      <x:c r="R178" s="1" t="str">
        <x:v>126515001</x:v>
      </x:c>
      <x:c r="S178" s="1"/>
      <x:c r="T178" s="1" t="str">
        <x:v>3424</x:v>
      </x:c>
      <x:c r="U178" s="1" t="str"/>
      <x:c r="V178" s="1" t="str">
        <x:v>https://www.universalfamilyofschools.org/universal-alcorn/</x:v>
      </x:c>
      <x:c r="W178" s="1" t="str">
        <x:v>2026-2027</x:v>
      </x:c>
      <x:c r="X178" s="1" t="str">
        <x:v>2025-2026</x:v>
      </x:c>
      <x:c r="Y178" s="1" t="str">
        <x:v>1</x:v>
      </x:c>
      <x:c r="Z178" s="1" t="str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</x:row>
    <x:row r="179" ht="22" customHeight="1">
      <x:c r="A179" s="2" t="str">
        <x:v>4570</x:v>
      </x:c>
      <x:c r="B179" s="2" t="str">
        <x:v>General George G. Meade School</x:v>
      </x:c>
      <x:c r="C179" s="2" t="str">
        <x:v>District</x:v>
      </x:c>
      <x:c r="D179" s="2" t="str">
        <x:v>Yes</x:v>
      </x:c>
      <x:c r="E179" s="2" t="str">
        <x:v>Elementary-Middle</x:v>
      </x:c>
      <x:c r="F179" s="2" t="str">
        <x:v>1600 N 18TH ST</x:v>
      </x:c>
      <x:c r="G179" s="2" t="str">
        <x:v>PHILADELPHIA</x:v>
      </x:c>
      <x:c r="H179" s="2" t="str">
        <x:v>19121</x:v>
      </x:c>
      <x:c r="I179" s="2" t="n">
        <x:v>39.978587</x:v>
      </x:c>
      <x:c r="J179" s="2" t="n">
        <x:v>-75.164718</x:v>
      </x:c>
      <x:c r="K179" s="2" t="n">
        <x:v>256</x:v>
      </x:c>
      <x:c r="L179" s="15" t="n">
        <x:v>0.8989</x:v>
      </x:c>
      <x:c r="M179" s="1" t="n">
        <x:v>15</x:v>
      </x:c>
      <x:c r="N179" s="1" t="str">
        <x:v>2025-2026</x:v>
      </x:c>
      <x:c r="O179" s="1" t="str">
        <x:v>2026-10-09</x:v>
      </x:c>
      <x:c r="P179" s="1" t="str">
        <x:v>Live</x:v>
      </x:c>
      <x:c r="Q179" s="1" t="str">
        <x:v>3630</x:v>
      </x:c>
      <x:c r="R179" s="1" t="str">
        <x:v>126515001</x:v>
      </x:c>
      <x:c r="S179" s="1"/>
      <x:c r="T179" s="1" t="str">
        <x:v>3426</x:v>
      </x:c>
      <x:c r="U179" s="1" t="str"/>
      <x:c r="V179" s="1" t="str">
        <x:v>https://masterycharter.org/elementary-schools/pastorius-richardson</x:v>
      </x:c>
      <x:c r="W179" s="1" t="str">
        <x:v>2026-2027</x:v>
      </x:c>
      <x:c r="X179" s="1" t="str">
        <x:v>2026-2027</x:v>
      </x:c>
      <x:c r="Y179" s="1" t="str"/>
      <x:c r="Z179" s="1" t="str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</x:row>
    <x:row r="180" ht="22" customHeight="1">
      <x:c r="A180" s="2" t="str">
        <x:v>5020</x:v>
      </x:c>
      <x:c r="B180" s="2" t="str">
        <x:v>Thomas A. Edison High School</x:v>
      </x:c>
      <x:c r="C180" s="2" t="str">
        <x:v>District</x:v>
      </x:c>
      <x:c r="D180" s="2" t="str">
        <x:v>Yes</x:v>
      </x:c>
      <x:c r="E180" s="2" t="str">
        <x:v>High</x:v>
      </x:c>
      <x:c r="F180" s="2" t="str">
        <x:v>151 W LUZERNE ST</x:v>
      </x:c>
      <x:c r="G180" s="2" t="str">
        <x:v>PHILADELPHIA</x:v>
      </x:c>
      <x:c r="H180" s="2" t="str">
        <x:v>19140</x:v>
      </x:c>
      <x:c r="I180" s="2" t="n">
        <x:v>40.01116485</x:v>
      </x:c>
      <x:c r="J180" s="2" t="n">
        <x:v>-75.12863791</x:v>
      </x:c>
      <x:c r="K180" s="2" t="n">
        <x:v>1022</x:v>
      </x:c>
      <x:c r="L180" s="15" t="n">
        <x:v>0.8418</x:v>
      </x:c>
      <x:c r="M180" s="1" t="n">
        <x:v>11</x:v>
      </x:c>
      <x:c r="N180" s="1" t="str">
        <x:v>2025-2026</x:v>
      </x:c>
      <x:c r="O180" s="1" t="str">
        <x:v>2026-10-09</x:v>
      </x:c>
      <x:c r="P180" s="1" t="str">
        <x:v>Live</x:v>
      </x:c>
      <x:c r="Q180" s="1" t="str">
        <x:v>3849</x:v>
      </x:c>
      <x:c r="R180" s="1" t="str">
        <x:v>126515001</x:v>
      </x:c>
      <x:c r="S180" s="1"/>
      <x:c r="T180" s="1" t="str">
        <x:v>3427</x:v>
      </x:c>
      <x:c r="U180" s="1" t="str"/>
      <x:c r="V180" s="1" t="str">
        <x:v>https://masterycharter.org/elementary-schools/john-wister</x:v>
      </x:c>
      <x:c r="W180" s="1" t="str">
        <x:v>2026-2027</x:v>
      </x:c>
      <x:c r="X180" s="1" t="str">
        <x:v>2025-2026</x:v>
      </x:c>
      <x:c r="Y180" s="1" t="str">
        <x:v>1</x:v>
      </x:c>
      <x:c r="Z180" s="1" t="str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</x:row>
    <x:row r="181" ht="22" customHeight="1">
      <x:c r="A181" s="2" t="str">
        <x:v>5050</x:v>
      </x:c>
      <x:c r="B181" s="2" t="str">
        <x:v>Philadelphia Military Academy</x:v>
      </x:c>
      <x:c r="C181" s="2" t="str">
        <x:v>District</x:v>
      </x:c>
      <x:c r="D181" s="2" t="str">
        <x:v>Yes</x:v>
      </x:c>
      <x:c r="E181" s="2" t="str">
        <x:v>High</x:v>
      </x:c>
      <x:c r="F181" s="2" t="str">
        <x:v>2118 N. 13TH ST.</x:v>
      </x:c>
      <x:c r="G181" s="2" t="str">
        <x:v>PHILADELPHIA</x:v>
      </x:c>
      <x:c r="H181" s="2" t="str">
        <x:v>19122</x:v>
      </x:c>
      <x:c r="I181" s="2" t="n">
        <x:v>39.98470959</x:v>
      </x:c>
      <x:c r="J181" s="2" t="n">
        <x:v>-75.15443401</x:v>
      </x:c>
      <x:c r="K181" s="2" t="n">
        <x:v>264</x:v>
      </x:c>
      <x:c r="L181" s="15" t="n">
        <x:v>0.8972</x:v>
      </x:c>
      <x:c r="M181" s="1" t="n">
        <x:v>14</x:v>
      </x:c>
      <x:c r="N181" s="1" t="str">
        <x:v>2025-2026</x:v>
      </x:c>
      <x:c r="O181" s="1" t="str">
        <x:v>2026-10-09</x:v>
      </x:c>
      <x:c r="P181" s="1" t="str">
        <x:v>Live</x:v>
      </x:c>
      <x:c r="Q181" s="1" t="str">
        <x:v>7850</x:v>
      </x:c>
      <x:c r="R181" s="1" t="str">
        <x:v>126515001</x:v>
      </x:c>
      <x:c r="S181" s="1"/>
      <x:c r="T181" s="1" t="str">
        <x:v>3428</x:v>
      </x:c>
      <x:c r="U181" s="1" t="str"/>
      <x:c r="V181" s="1" t="str">
        <x:v>https://glacharter.org/gla-sw</x:v>
      </x:c>
      <x:c r="W181" s="1" t="str">
        <x:v>2026-2027</x:v>
      </x:c>
      <x:c r="X181" s="1" t="str">
        <x:v>2025-2026</x:v>
      </x:c>
      <x:c r="Y181" s="1" t="str">
        <x:v>1</x:v>
      </x:c>
      <x:c r="Z181" s="1" t="str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</x:row>
    <x:row r="182" ht="22" customHeight="1">
      <x:c r="A182" s="2" t="str">
        <x:v>5060</x:v>
      </x:c>
      <x:c r="B182" s="2" t="str">
        <x:v>Jules E. Mastbaum Area Vocational Technical High School</x:v>
      </x:c>
      <x:c r="C182" s="2" t="str">
        <x:v>District</x:v>
      </x:c>
      <x:c r="D182" s="2" t="str">
        <x:v>Yes</x:v>
      </x:c>
      <x:c r="E182" s="2" t="str">
        <x:v>High</x:v>
      </x:c>
      <x:c r="F182" s="2" t="str">
        <x:v>3116 FRANKFORD AVE</x:v>
      </x:c>
      <x:c r="G182" s="2" t="str">
        <x:v>PHILADELPHIA</x:v>
      </x:c>
      <x:c r="H182" s="2" t="str">
        <x:v>19134</x:v>
      </x:c>
      <x:c r="I182" s="2" t="n">
        <x:v>39.99214686</x:v>
      </x:c>
      <x:c r="J182" s="2" t="n">
        <x:v>-75.11213573</x:v>
      </x:c>
      <x:c r="K182" s="2" t="n">
        <x:v>676</x:v>
      </x:c>
      <x:c r="L182" s="15" t="n">
        <x:v>0.8795</x:v>
      </x:c>
      <x:c r="M182" s="1" t="n">
        <x:v>9</x:v>
      </x:c>
      <x:c r="N182" s="1" t="str">
        <x:v>2025-2026</x:v>
      </x:c>
      <x:c r="O182" s="1" t="str">
        <x:v>2026-10-09</x:v>
      </x:c>
      <x:c r="P182" s="1" t="str">
        <x:v>Live</x:v>
      </x:c>
      <x:c r="Q182" s="1" t="str">
        <x:v>3842</x:v>
      </x:c>
      <x:c r="R182" s="1" t="str">
        <x:v>126515001</x:v>
      </x:c>
      <x:c r="S182" s="1"/>
      <x:c r="T182" s="1" t="str">
        <x:v>3436</x:v>
      </x:c>
      <x:c r="U182" s="1" t="str">
        <x:v>267-417-3070</x:v>
      </x:c>
      <x:c r="V182" s="1" t="str">
        <x:v>https://kippphiladelphia.org/our-schools/kipp-philadelphia-octavius-catto-elementary/</x:v>
      </x:c>
      <x:c r="W182" s="1" t="str">
        <x:v>2026-2027</x:v>
      </x:c>
      <x:c r="X182" s="1" t="str">
        <x:v>2025-2026</x:v>
      </x:c>
      <x:c r="Y182" s="1" t="str"/>
      <x:c r="Z182" s="1" t="str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</x:row>
    <x:row r="183" ht="22" customHeight="1">
      <x:c r="A183" s="2" t="str">
        <x:v>5070</x:v>
      </x:c>
      <x:c r="B183" s="2" t="str">
        <x:v>Parkway Northwest High School</x:v>
      </x:c>
      <x:c r="C183" s="2" t="str">
        <x:v>District</x:v>
      </x:c>
      <x:c r="D183" s="2" t="str">
        <x:v>Yes</x:v>
      </x:c>
      <x:c r="E183" s="2" t="str">
        <x:v>High</x:v>
      </x:c>
      <x:c r="F183" s="2" t="str">
        <x:v>6200 CRITTENDEN ST</x:v>
      </x:c>
      <x:c r="G183" s="2" t="str">
        <x:v>PHILADELPHIA</x:v>
      </x:c>
      <x:c r="H183" s="2" t="str">
        <x:v>19138</x:v>
      </x:c>
      <x:c r="I183" s="2" t="n">
        <x:v>40.05664074</x:v>
      </x:c>
      <x:c r="J183" s="2" t="n">
        <x:v>-75.16457453</x:v>
      </x:c>
      <x:c r="K183" s="2" t="n">
        <x:v>248</x:v>
      </x:c>
      <x:c r="L183" s="15" t="n">
        <x:v>0.7375</x:v>
      </x:c>
      <x:c r="M183" s="1" t="n">
        <x:v>12</x:v>
      </x:c>
      <x:c r="N183" s="1" t="str">
        <x:v>2025-2026</x:v>
      </x:c>
      <x:c r="O183" s="1" t="str">
        <x:v>2026-10-09</x:v>
      </x:c>
      <x:c r="P183" s="1" t="str">
        <x:v>Live</x:v>
      </x:c>
      <x:c r="Q183" s="1" t="str">
        <x:v>6548</x:v>
      </x:c>
      <x:c r="R183" s="1" t="str">
        <x:v>126515001</x:v>
      </x:c>
      <x:c r="S183" s="1"/>
      <x:c r="T183" s="1" t="str">
        <x:v>3437</x:v>
      </x:c>
      <x:c r="U183" s="1" t="str"/>
      <x:c r="V183" s="1" t="str">
        <x:v>https://kippphiladelphia.org/kipp-north-philadelphia-academy</x:v>
      </x:c>
      <x:c r="W183" s="1" t="str">
        <x:v>2026-2027</x:v>
      </x:c>
      <x:c r="X183" s="1" t="str">
        <x:v>2025-2026</x:v>
      </x:c>
      <x:c r="Y183" s="1" t="str">
        <x:v>1</x:v>
      </x:c>
      <x:c r="Z183" s="1" t="str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</x:row>
    <x:row r="184" ht="22" customHeight="1">
      <x:c r="A184" s="2" t="str">
        <x:v>5080</x:v>
      </x:c>
      <x:c r="B184" s="2" t="str">
        <x:v>Parkway Center City Middle College High School</x:v>
      </x:c>
      <x:c r="C184" s="2" t="str">
        <x:v>District</x:v>
      </x:c>
      <x:c r="D184" s="2" t="str">
        <x:v>Yes</x:v>
      </x:c>
      <x:c r="E184" s="2" t="str">
        <x:v>High</x:v>
      </x:c>
      <x:c r="F184" s="2" t="str">
        <x:v>540 N 13TH ST</x:v>
      </x:c>
      <x:c r="G184" s="2" t="str">
        <x:v>PHILADELPHIA</x:v>
      </x:c>
      <x:c r="H184" s="2" t="str">
        <x:v>19123</x:v>
      </x:c>
      <x:c r="I184" s="2" t="n">
        <x:v>39.96300501</x:v>
      </x:c>
      <x:c r="J184" s="2" t="n">
        <x:v>-75.1592865</x:v>
      </x:c>
      <x:c r="K184" s="2" t="n">
        <x:v>449</x:v>
      </x:c>
      <x:c r="L184" s="15" t="n">
        <x:v>0.6808</x:v>
      </x:c>
      <x:c r="M184" s="1" t="n">
        <x:v>10</x:v>
      </x:c>
      <x:c r="N184" s="1" t="str">
        <x:v>2025-2026</x:v>
      </x:c>
      <x:c r="O184" s="1" t="str">
        <x:v>2026-10-09</x:v>
      </x:c>
      <x:c r="P184" s="1" t="str">
        <x:v>Live</x:v>
      </x:c>
      <x:c r="Q184" s="1" t="str">
        <x:v>7782</x:v>
      </x:c>
      <x:c r="R184" s="1" t="str">
        <x:v>126515001</x:v>
      </x:c>
      <x:c r="S184" s="1"/>
      <x:c r="T184" s="1" t="str">
        <x:v>3438</x:v>
      </x:c>
      <x:c r="U184" s="1" t="str"/>
      <x:c r="V184" s="1" t="str">
        <x:v>https://deeprootscs.org</x:v>
      </x:c>
      <x:c r="W184" s="1" t="str">
        <x:v>2026-2027</x:v>
      </x:c>
      <x:c r="X184" s="1" t="str">
        <x:v>2025-2026</x:v>
      </x:c>
      <x:c r="Y184" s="1" t="str">
        <x:v>1</x:v>
      </x:c>
      <x:c r="Z184" s="1" t="str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</x:row>
    <x:row r="185" ht="22" customHeight="1">
      <x:c r="A185" s="2" t="str">
        <x:v>5090</x:v>
      </x:c>
      <x:c r="B185" s="2" t="str">
        <x:v>Parkway West High School</x:v>
      </x:c>
      <x:c r="C185" s="2" t="str">
        <x:v>District</x:v>
      </x:c>
      <x:c r="D185" s="2" t="str">
        <x:v>Yes</x:v>
      </x:c>
      <x:c r="E185" s="2" t="str">
        <x:v>High</x:v>
      </x:c>
      <x:c r="F185" s="2" t="str">
        <x:v>4725 FAIRMOUNT AVE</x:v>
      </x:c>
      <x:c r="G185" s="2" t="str">
        <x:v>PHILADELPHIA</x:v>
      </x:c>
      <x:c r="H185" s="2" t="str">
        <x:v>19139</x:v>
      </x:c>
      <x:c r="I185" s="2" t="n">
        <x:v>39.96425379</x:v>
      </x:c>
      <x:c r="J185" s="2" t="n">
        <x:v>-75.21546704</x:v>
      </x:c>
      <x:c r="K185" s="2" t="n">
        <x:v>140</x:v>
      </x:c>
      <x:c r="L185" s="15" t="n">
        <x:v>0.7642</x:v>
      </x:c>
      <x:c r="M185" s="1" t="n">
        <x:v>14</x:v>
      </x:c>
      <x:c r="N185" s="1" t="str">
        <x:v>2025-2026</x:v>
      </x:c>
      <x:c r="O185" s="1" t="str">
        <x:v>2026-10-09</x:v>
      </x:c>
      <x:c r="P185" s="1" t="str">
        <x:v>Live</x:v>
      </x:c>
      <x:c r="Q185" s="1" t="str">
        <x:v>7808</x:v>
      </x:c>
      <x:c r="R185" s="1" t="str">
        <x:v>126515001</x:v>
      </x:c>
      <x:c r="S185" s="1"/>
      <x:c r="T185" s="1" t="str">
        <x:v>3439</x:v>
      </x:c>
      <x:c r="U185" s="1" t="str"/>
      <x:c r="V185" s="1" t="str">
        <x:v>https://masterycharter.org/elementary-schools/mastery-prep</x:v>
      </x:c>
      <x:c r="W185" s="1" t="str">
        <x:v>2026-2027</x:v>
      </x:c>
      <x:c r="X185" s="1" t="str">
        <x:v>2025-2026</x:v>
      </x:c>
      <x:c r="Y185" s="1" t="str">
        <x:v>1</x:v>
      </x:c>
      <x:c r="Z185" s="1" t="str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</x:row>
    <x:row r="186" ht="22" customHeight="1">
      <x:c r="A186" s="2" t="str">
        <x:v>5150</x:v>
      </x:c>
      <x:c r="B186" s="2" t="str">
        <x:v>William W. Bodine High School</x:v>
      </x:c>
      <x:c r="C186" s="2" t="str">
        <x:v>District</x:v>
      </x:c>
      <x:c r="D186" s="2" t="str">
        <x:v>Yes</x:v>
      </x:c>
      <x:c r="E186" s="2" t="str">
        <x:v>High</x:v>
      </x:c>
      <x:c r="F186" s="2" t="str">
        <x:v>1101 N 4TH ST</x:v>
      </x:c>
      <x:c r="G186" s="2" t="str">
        <x:v>PHILADELPHIA</x:v>
      </x:c>
      <x:c r="H186" s="2" t="str">
        <x:v>19123</x:v>
      </x:c>
      <x:c r="I186" s="2" t="n">
        <x:v>39.96793026</x:v>
      </x:c>
      <x:c r="J186" s="2" t="n">
        <x:v>-75.14343443</x:v>
      </x:c>
      <x:c r="K186" s="2" t="n">
        <x:v>523</x:v>
      </x:c>
      <x:c r="L186" s="15" t="n">
        <x:v>0.7068</x:v>
      </x:c>
      <x:c r="M186" s="1" t="n">
        <x:v>10</x:v>
      </x:c>
      <x:c r="N186" s="1" t="str">
        <x:v>2025-2026</x:v>
      </x:c>
      <x:c r="O186" s="1" t="str">
        <x:v>2026-10-09</x:v>
      </x:c>
      <x:c r="P186" s="1" t="str">
        <x:v>Live</x:v>
      </x:c>
      <x:c r="Q186" s="1" t="str">
        <x:v>7070</x:v>
      </x:c>
      <x:c r="R186" s="1" t="str">
        <x:v>126515001</x:v>
      </x:c>
      <x:c r="S186" s="1"/>
      <x:c r="T186" s="1" t="str">
        <x:v>3440</x:v>
      </x:c>
      <x:c r="U186" s="1" t="str"/>
      <x:c r="V186" s="1" t="str">
        <x:v>https://mast2.org/</x:v>
      </x:c>
      <x:c r="W186" s="1" t="str">
        <x:v>2026-2027</x:v>
      </x:c>
      <x:c r="X186" s="1" t="str">
        <x:v>2025-2026</x:v>
      </x:c>
      <x:c r="Y186" s="1" t="str">
        <x:v>1</x:v>
      </x:c>
      <x:c r="Z186" s="1" t="str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</x:row>
    <x:row r="187" ht="22" customHeight="1">
      <x:c r="A187" s="2" t="str">
        <x:v>5160</x:v>
      </x:c>
      <x:c r="B187" s="2" t="str">
        <x:v>Penn Treaty School</x:v>
      </x:c>
      <x:c r="C187" s="2" t="str">
        <x:v>District</x:v>
      </x:c>
      <x:c r="D187" s="2" t="str">
        <x:v>Yes</x:v>
      </x:c>
      <x:c r="E187" s="2" t="str">
        <x:v>Middle-High</x:v>
      </x:c>
      <x:c r="F187" s="2" t="str">
        <x:v>600 E THOMPSON ST</x:v>
      </x:c>
      <x:c r="G187" s="2" t="str">
        <x:v>PHILADELPHIA</x:v>
      </x:c>
      <x:c r="H187" s="2" t="str">
        <x:v>19125</x:v>
      </x:c>
      <x:c r="I187" s="2" t="n">
        <x:v>39.97272711</x:v>
      </x:c>
      <x:c r="J187" s="2" t="n">
        <x:v>-75.12787008</x:v>
      </x:c>
      <x:c r="K187" s="2" t="n">
        <x:v>345</x:v>
      </x:c>
      <x:c r="L187" s="15" t="n">
        <x:v>0.7915</x:v>
      </x:c>
      <x:c r="M187" s="1" t="n">
        <x:v>4</x:v>
      </x:c>
      <x:c r="N187" s="1" t="str">
        <x:v>2025-2026</x:v>
      </x:c>
      <x:c r="O187" s="1" t="str">
        <x:v>2026-10-09</x:v>
      </x:c>
      <x:c r="P187" s="1" t="str">
        <x:v>Live</x:v>
      </x:c>
      <x:c r="Q187" s="1" t="str">
        <x:v>8293</x:v>
      </x:c>
      <x:c r="R187" s="1" t="str">
        <x:v>126515001</x:v>
      </x:c>
      <x:c r="S187" s="1"/>
      <x:c r="T187" s="1" t="str">
        <x:v>3441</x:v>
      </x:c>
      <x:c r="U187" s="1" t="str"/>
      <x:c r="V187" s="1" t="str">
        <x:v>http://techfreire.org/</x:v>
      </x:c>
      <x:c r="W187" s="1" t="str">
        <x:v>2026-2027</x:v>
      </x:c>
      <x:c r="X187" s="1" t="str">
        <x:v>2025-2026</x:v>
      </x:c>
      <x:c r="Y187" s="1" t="str">
        <x:v>1</x:v>
      </x:c>
      <x:c r="Z187" s="1" t="str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</x:row>
    <x:row r="188" ht="22" customHeight="1">
      <x:c r="A188" s="2" t="str">
        <x:v>5170</x:v>
      </x:c>
      <x:c r="B188" s="2" t="str">
        <x:v>Julia de Burgos School</x:v>
      </x:c>
      <x:c r="C188" s="2" t="str">
        <x:v>District</x:v>
      </x:c>
      <x:c r="D188" s="2" t="str">
        <x:v>Yes</x:v>
      </x:c>
      <x:c r="E188" s="2" t="str">
        <x:v>Elementary-Middle</x:v>
      </x:c>
      <x:c r="F188" s="2" t="str">
        <x:v>401 W LEHIGH AVE</x:v>
      </x:c>
      <x:c r="G188" s="2" t="str">
        <x:v>PHILADELPHIA</x:v>
      </x:c>
      <x:c r="H188" s="2" t="str">
        <x:v>19133</x:v>
      </x:c>
      <x:c r="I188" s="2" t="n">
        <x:v>39.99275164</x:v>
      </x:c>
      <x:c r="J188" s="2" t="n">
        <x:v>-75.13862743</x:v>
      </x:c>
      <x:c r="K188" s="2" t="n">
        <x:v>512</x:v>
      </x:c>
      <x:c r="L188" s="15" t="n">
        <x:v>0.9003</x:v>
      </x:c>
      <x:c r="M188" s="1" t="n">
        <x:v>14</x:v>
      </x:c>
      <x:c r="N188" s="1" t="str">
        <x:v>2025-2026</x:v>
      </x:c>
      <x:c r="O188" s="1" t="str">
        <x:v>2026-10-09</x:v>
      </x:c>
      <x:c r="P188" s="1" t="str">
        <x:v>Live</x:v>
      </x:c>
      <x:c r="Q188" s="1" t="str">
        <x:v>7175</x:v>
      </x:c>
      <x:c r="R188" s="1" t="str">
        <x:v>126515001</x:v>
      </x:c>
      <x:c r="S188" s="1"/>
      <x:c r="T188" s="1" t="str">
        <x:v>3442</x:v>
      </x:c>
      <x:c r="U188" s="1" t="str"/>
      <x:c r="V188" s="1" t="str">
        <x:v>https://icswest.org/</x:v>
      </x:c>
      <x:c r="W188" s="1" t="str">
        <x:v>2026-2027</x:v>
      </x:c>
      <x:c r="X188" s="1" t="str">
        <x:v>2025-2026</x:v>
      </x:c>
      <x:c r="Y188" s="1" t="str">
        <x:v>1</x:v>
      </x:c>
      <x:c r="Z188" s="1" t="str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</x:row>
    <x:row r="189" ht="22" customHeight="1">
      <x:c r="A189" s="2" t="str">
        <x:v>5180</x:v>
      </x:c>
      <x:c r="B189" s="2" t="str">
        <x:v>Vaux High School</x:v>
      </x:c>
      <x:c r="C189" s="2" t="str">
        <x:v>District</x:v>
      </x:c>
      <x:c r="D189" s="2" t="str">
        <x:v>Yes</x:v>
      </x:c>
      <x:c r="E189" s="2" t="str">
        <x:v>High</x:v>
      </x:c>
      <x:c r="F189" s="2" t="str">
        <x:v>2300 W MASTER ST</x:v>
      </x:c>
      <x:c r="G189" s="2" t="str">
        <x:v>PHILADELPHIA</x:v>
      </x:c>
      <x:c r="H189" s="2" t="str">
        <x:v>19121</x:v>
      </x:c>
      <x:c r="I189" s="2" t="n">
        <x:v>39.976325</x:v>
      </x:c>
      <x:c r="J189" s="2" t="n">
        <x:v>-75.174186</x:v>
      </x:c>
      <x:c r="K189" s="2" t="n">
        <x:v>335</x:v>
      </x:c>
      <x:c r="L189" s="15" t="n">
        <x:v>0.8606</x:v>
      </x:c>
      <x:c r="M189" s="1" t="n">
        <x:v>11</x:v>
      </x:c>
      <x:c r="N189" s="1" t="str">
        <x:v>2025-2026</x:v>
      </x:c>
      <x:c r="O189" s="1" t="str">
        <x:v>2026-10-09</x:v>
      </x:c>
      <x:c r="P189" s="1" t="str">
        <x:v>Live</x:v>
      </x:c>
      <x:c r="Q189" s="1" t="str">
        <x:v>8440</x:v>
      </x:c>
      <x:c r="R189" s="1" t="str">
        <x:v>126515001</x:v>
      </x:c>
      <x:c r="S189" s="1"/>
      <x:c r="T189" s="1" t="str">
        <x:v>3443</x:v>
      </x:c>
      <x:c r="U189" s="1" t="str">
        <x:v>267-787-5700</x:v>
      </x:c>
      <x:c r="V189" s="1" t="str">
        <x:v>https://kippphiladelphia.org/our-schools/kipp-west-philadelphia-elementary-academy/</x:v>
      </x:c>
      <x:c r="W189" s="1" t="str">
        <x:v>2026-2027</x:v>
      </x:c>
      <x:c r="X189" s="1" t="str">
        <x:v>2025-2026</x:v>
      </x:c>
      <x:c r="Y189" s="1" t="str">
        <x:v>1</x:v>
      </x:c>
      <x:c r="Z189" s="1" t="str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</x:row>
    <x:row r="190" ht="22" customHeight="1">
      <x:c r="A190" s="2" t="str">
        <x:v>5200</x:v>
      </x:c>
      <x:c r="B190" s="2" t="str">
        <x:v>Alexander Adaire School</x:v>
      </x:c>
      <x:c r="C190" s="2" t="str">
        <x:v>District</x:v>
      </x:c>
      <x:c r="D190" s="2" t="str">
        <x:v>Yes</x:v>
      </x:c>
      <x:c r="E190" s="2" t="str">
        <x:v>Elementary-Middle</x:v>
      </x:c>
      <x:c r="F190" s="2" t="str">
        <x:v>1300 E PALMER ST</x:v>
      </x:c>
      <x:c r="G190" s="2" t="str">
        <x:v>PHILADELPHIA</x:v>
      </x:c>
      <x:c r="H190" s="2" t="str">
        <x:v>19125</x:v>
      </x:c>
      <x:c r="I190" s="2" t="n">
        <x:v>39.97232661</x:v>
      </x:c>
      <x:c r="J190" s="2" t="n">
        <x:v>-75.12930989</x:v>
      </x:c>
      <x:c r="K190" s="2" t="n">
        <x:v>451</x:v>
      </x:c>
      <x:c r="L190" s="15" t="n">
        <x:v>0.3126</x:v>
      </x:c>
      <x:c r="M190" s="1" t="n">
        <x:v>3</x:v>
      </x:c>
      <x:c r="N190" s="1" t="str">
        <x:v>2025-2026</x:v>
      </x:c>
      <x:c r="O190" s="1" t="str">
        <x:v>2026-10-09</x:v>
      </x:c>
      <x:c r="P190" s="1" t="str">
        <x:v>Live</x:v>
      </x:c>
      <x:c r="Q190" s="1" t="str">
        <x:v>7256</x:v>
      </x:c>
      <x:c r="R190" s="1" t="str">
        <x:v>126515001</x:v>
      </x:c>
      <x:c r="S190" s="1"/>
      <x:c r="T190" s="1" t="str">
        <x:v>3445</x:v>
      </x:c>
      <x:c r="U190" s="1" t="str"/>
      <x:c r="V190" s="1" t="str">
        <x:v>https://mast3.org/</x:v>
      </x:c>
      <x:c r="W190" s="1" t="str">
        <x:v>2026-2027</x:v>
      </x:c>
      <x:c r="X190" s="1" t="str">
        <x:v>2025-2026</x:v>
      </x:c>
      <x:c r="Y190" s="1" t="str">
        <x:v>1</x:v>
      </x:c>
      <x:c r="Z190" s="1" t="str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</x:row>
    <x:row r="191" ht="22" customHeight="1">
      <x:c r="A191" s="2" t="str">
        <x:v>5210</x:v>
      </x:c>
      <x:c r="B191" s="2" t="str">
        <x:v>Henry A. Brown School</x:v>
      </x:c>
      <x:c r="C191" s="2" t="str">
        <x:v>District</x:v>
      </x:c>
      <x:c r="D191" s="2" t="str">
        <x:v>Yes</x:v>
      </x:c>
      <x:c r="E191" s="2" t="str">
        <x:v>Elementary-Middle</x:v>
      </x:c>
      <x:c r="F191" s="2" t="str">
        <x:v>1946 E SERGEANT ST</x:v>
      </x:c>
      <x:c r="G191" s="2" t="str">
        <x:v>PHILADELPHIA</x:v>
      </x:c>
      <x:c r="H191" s="2" t="str">
        <x:v>19125</x:v>
      </x:c>
      <x:c r="I191" s="2" t="n">
        <x:v>39.98661748</x:v>
      </x:c>
      <x:c r="J191" s="2" t="n">
        <x:v>-75.12725674</x:v>
      </x:c>
      <x:c r="K191" s="2" t="n">
        <x:v>319</x:v>
      </x:c>
      <x:c r="L191" s="15" t="n">
        <x:v>0.8275</x:v>
      </x:c>
      <x:c r="M191" s="1" t="n">
        <x:v>10</x:v>
      </x:c>
      <x:c r="N191" s="1" t="str">
        <x:v>2025-2026</x:v>
      </x:c>
      <x:c r="O191" s="1" t="str">
        <x:v>2026-10-09</x:v>
      </x:c>
      <x:c r="P191" s="1" t="str">
        <x:v>Live</x:v>
      </x:c>
      <x:c r="Q191" s="1" t="str">
        <x:v>3684</x:v>
      </x:c>
      <x:c r="R191" s="1" t="str">
        <x:v>126515001</x:v>
      </x:c>
      <x:c r="S191" s="1"/>
      <x:c r="T191" s="1" t="str">
        <x:v>3446</x:v>
      </x:c>
      <x:c r="U191" s="1" t="str"/>
      <x:c r="V191" s="1" t="str">
        <x:v>https://philadelphiahebrewpublic.org/</x:v>
      </x:c>
      <x:c r="W191" s="1" t="str">
        <x:v>2026-2027</x:v>
      </x:c>
      <x:c r="X191" s="1" t="str">
        <x:v>2025-2026</x:v>
      </x:c>
      <x:c r="Y191" s="1" t="str">
        <x:v>1</x:v>
      </x:c>
      <x:c r="Z191" s="1" t="str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</x:row>
    <x:row r="192" ht="22" customHeight="1">
      <x:c r="A192" s="2" t="str">
        <x:v>5230</x:v>
      </x:c>
      <x:c r="B192" s="2" t="str">
        <x:v>Russell H. Conwell School</x:v>
      </x:c>
      <x:c r="C192" s="2" t="str">
        <x:v>District</x:v>
      </x:c>
      <x:c r="D192" s="2" t="str">
        <x:v>Yes</x:v>
      </x:c>
      <x:c r="E192" s="2" t="str">
        <x:v>Middle</x:v>
      </x:c>
      <x:c r="F192" s="2" t="str">
        <x:v>1849 E CLEARFIELD ST</x:v>
      </x:c>
      <x:c r="G192" s="2" t="str">
        <x:v>PHILADELPHIA</x:v>
      </x:c>
      <x:c r="H192" s="2" t="str">
        <x:v>19134</x:v>
      </x:c>
      <x:c r="I192" s="2" t="n">
        <x:v>39.99471406</x:v>
      </x:c>
      <x:c r="J192" s="2" t="n">
        <x:v>-75.11527383</x:v>
      </x:c>
      <x:c r="K192" s="2" t="n">
        <x:v>109</x:v>
      </x:c>
      <x:c r="L192" s="15" t="n">
        <x:v>0.8691</x:v>
      </x:c>
      <x:c r="M192" s="1" t="n">
        <x:v>12</x:v>
      </x:c>
      <x:c r="N192" s="1" t="str">
        <x:v>2025-2026</x:v>
      </x:c>
      <x:c r="O192" s="1" t="str">
        <x:v>2026-10-09</x:v>
      </x:c>
      <x:c r="P192" s="1" t="str">
        <x:v>Live</x:v>
      </x:c>
      <x:c r="Q192" s="1" t="str">
        <x:v>6525</x:v>
      </x:c>
      <x:c r="R192" s="1" t="str">
        <x:v>126515001</x:v>
      </x:c>
      <x:c r="S192" s="1"/>
      <x:c r="T192" s="1" t="str">
        <x:v>3510</x:v>
      </x:c>
      <x:c r="U192" s="1" t="str">
        <x:v>267-687-1172</x:v>
      </x:c>
      <x:c r="V192" s="1" t="str">
        <x:v>https://www.elcentrobpp.org/</x:v>
      </x:c>
      <x:c r="W192" s="1" t="str">
        <x:v>2026-2027</x:v>
      </x:c>
      <x:c r="X192" s="1" t="str">
        <x:v>2026-2027</x:v>
      </x:c>
      <x:c r="Y192" s="1" t="str">
        <x:v>0</x:v>
      </x:c>
      <x:c r="Z192" s="1" t="str">
        <x:v>0</x:v>
      </x:c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</x:row>
    <x:row r="193" ht="22" customHeight="1">
      <x:c r="A193" s="2" t="str">
        <x:v>5250</x:v>
      </x:c>
      <x:c r="B193" s="2" t="str">
        <x:v>Paul L. Dunbar School</x:v>
      </x:c>
      <x:c r="C193" s="2" t="str">
        <x:v>District</x:v>
      </x:c>
      <x:c r="D193" s="2" t="str">
        <x:v>Yes</x:v>
      </x:c>
      <x:c r="E193" s="2" t="str">
        <x:v>Elementary-Middle</x:v>
      </x:c>
      <x:c r="F193" s="2" t="str">
        <x:v>1750 N 12TH ST</x:v>
      </x:c>
      <x:c r="G193" s="2" t="str">
        <x:v>PHILADELPHIA</x:v>
      </x:c>
      <x:c r="H193" s="2" t="str">
        <x:v>19122</x:v>
      </x:c>
      <x:c r="I193" s="2" t="n">
        <x:v>39.97948773</x:v>
      </x:c>
      <x:c r="J193" s="2" t="n">
        <x:v>-75.15416974</x:v>
      </x:c>
      <x:c r="K193" s="2" t="n">
        <x:v>223</x:v>
      </x:c>
      <x:c r="L193" s="15" t="n">
        <x:v>0.8973</x:v>
      </x:c>
      <x:c r="M193" s="1" t="n">
        <x:v>17</x:v>
      </x:c>
      <x:c r="N193" s="1" t="str">
        <x:v>2025-2026</x:v>
      </x:c>
      <x:c r="O193" s="1" t="str">
        <x:v>2026-10-09</x:v>
      </x:c>
      <x:c r="P193" s="1" t="str">
        <x:v>Live</x:v>
      </x:c>
      <x:c r="Q193" s="1" t="str">
        <x:v>3687</x:v>
      </x:c>
      <x:c r="R193" s="1" t="str">
        <x:v>126515001</x:v>
      </x:c>
      <x:c r="S193" s="1"/>
      <x:c r="T193" s="1" t="str">
        <x:v>3810</x:v>
      </x:c>
      <x:c r="U193" s="1" t="str">
        <x:v>215-488-1177</x:v>
      </x:c>
      <x:c r="V193" s="1" t="str">
        <x:v>https://www.onebrightraycommunity.org/</x:v>
      </x:c>
      <x:c r="W193" s="1" t="str">
        <x:v>2026-2027</x:v>
      </x:c>
      <x:c r="X193" s="1" t="str">
        <x:v>2026-2027</x:v>
      </x:c>
      <x:c r="Y193" s="1" t="str">
        <x:v>0</x:v>
      </x:c>
      <x:c r="Z193" s="1" t="str">
        <x:v>0</x:v>
      </x:c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</x:row>
    <x:row r="194" ht="22" customHeight="1">
      <x:c r="A194" s="2" t="str">
        <x:v>5260</x:v>
      </x:c>
      <x:c r="B194" s="2" t="str">
        <x:v>Lewis Elkin School</x:v>
      </x:c>
      <x:c r="C194" s="2" t="str">
        <x:v>District</x:v>
      </x:c>
      <x:c r="D194" s="2" t="str">
        <x:v>Yes</x:v>
      </x:c>
      <x:c r="E194" s="2" t="str">
        <x:v>Elementary</x:v>
      </x:c>
      <x:c r="F194" s="2" t="str">
        <x:v>3199 D ST</x:v>
      </x:c>
      <x:c r="G194" s="2" t="str">
        <x:v>PHILADELPHIA</x:v>
      </x:c>
      <x:c r="H194" s="2" t="str">
        <x:v>19134</x:v>
      </x:c>
      <x:c r="I194" s="2" t="n">
        <x:v>39.997018</x:v>
      </x:c>
      <x:c r="J194" s="2" t="n">
        <x:v>-75.121274</x:v>
      </x:c>
      <x:c r="K194" s="2" t="n">
        <x:v>431</x:v>
      </x:c>
      <x:c r="L194" s="15" t="n">
        <x:v>0.9069</x:v>
      </x:c>
      <x:c r="M194" s="1" t="n">
        <x:v>10</x:v>
      </x:c>
      <x:c r="N194" s="1" t="str">
        <x:v>2025-2026</x:v>
      </x:c>
      <x:c r="O194" s="1" t="str">
        <x:v>2026-10-09</x:v>
      </x:c>
      <x:c r="P194" s="1" t="str">
        <x:v>Live</x:v>
      </x:c>
      <x:c r="Q194" s="1" t="str">
        <x:v>3688</x:v>
      </x:c>
      <x:c r="R194" s="1" t="str">
        <x:v>126515001</x:v>
      </x:c>
      <x:c r="S194" s="1"/>
      <x:c r="T194" s="1" t="str">
        <x:v>3820</x:v>
      </x:c>
      <x:c r="U194" s="1" t="str">
        <x:v>267-335-4764</x:v>
      </x:c>
      <x:c r="V194" s="1" t="str">
        <x:v>https://sesischools.com/location/achieve-academy-of-philadelphia-east-campus/</x:v>
      </x:c>
      <x:c r="W194" s="1" t="str">
        <x:v>2026-2027</x:v>
      </x:c>
      <x:c r="X194" s="1" t="str">
        <x:v>2026-2027</x:v>
      </x:c>
      <x:c r="Y194" s="1" t="str">
        <x:v>0</x:v>
      </x:c>
      <x:c r="Z194" s="1" t="str">
        <x:v>0</x:v>
      </x:c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</x:row>
    <x:row r="195" ht="22" customHeight="1">
      <x:c r="A195" s="2" t="str">
        <x:v>5300</x:v>
      </x:c>
      <x:c r="B195" s="2" t="str">
        <x:v>Horatio B. Hackett School</x:v>
      </x:c>
      <x:c r="C195" s="2" t="str">
        <x:v>District</x:v>
      </x:c>
      <x:c r="D195" s="2" t="str">
        <x:v>Yes</x:v>
      </x:c>
      <x:c r="E195" s="2" t="str">
        <x:v>Elementary</x:v>
      </x:c>
      <x:c r="F195" s="2" t="str">
        <x:v>2161 E YORK ST</x:v>
      </x:c>
      <x:c r="G195" s="2" t="str">
        <x:v>PHILADELPHIA</x:v>
      </x:c>
      <x:c r="H195" s="2" t="str">
        <x:v>19125</x:v>
      </x:c>
      <x:c r="I195" s="2" t="n">
        <x:v>39.98096374</x:v>
      </x:c>
      <x:c r="J195" s="2" t="n">
        <x:v>-75.12685511</x:v>
      </x:c>
      <x:c r="K195" s="2" t="n">
        <x:v>372</x:v>
      </x:c>
      <x:c r="L195" s="15" t="n">
        <x:v>0.5768</x:v>
      </x:c>
      <x:c r="M195" s="1" t="n">
        <x:v>5</x:v>
      </x:c>
      <x:c r="N195" s="1" t="str">
        <x:v>2025-2026</x:v>
      </x:c>
      <x:c r="O195" s="1" t="str">
        <x:v>2026-10-09</x:v>
      </x:c>
      <x:c r="P195" s="1" t="str">
        <x:v>Live</x:v>
      </x:c>
      <x:c r="Q195" s="1" t="str">
        <x:v>5120</x:v>
      </x:c>
      <x:c r="R195" s="1" t="str">
        <x:v>126515001</x:v>
      </x:c>
      <x:c r="S195" s="1"/>
      <x:c r="T195" s="1" t="str">
        <x:v>3850</x:v>
      </x:c>
      <x:c r="U195" s="1" t="str">
        <x:v>215-400-3200</x:v>
      </x:c>
      <x:c r="V195" s="1" t="str">
        <x:v>https://www.philasd.org/backontrack/#aded</x:v>
      </x:c>
      <x:c r="W195" s="1" t="str">
        <x:v>2026-2027</x:v>
      </x:c>
      <x:c r="X195" s="1" t="str">
        <x:v>2026-2027</x:v>
      </x:c>
      <x:c r="Y195" s="1" t="str">
        <x:v>0</x:v>
      </x:c>
      <x:c r="Z195" s="1" t="str">
        <x:v>0</x:v>
      </x:c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</x:row>
    <x:row r="196" ht="22" customHeight="1">
      <x:c r="A196" s="2" t="str">
        <x:v>5320</x:v>
      </x:c>
      <x:c r="B196" s="2" t="str">
        <x:v>John F. Hartranft School</x:v>
      </x:c>
      <x:c r="C196" s="2" t="str">
        <x:v>District</x:v>
      </x:c>
      <x:c r="D196" s="2" t="str">
        <x:v>Yes</x:v>
      </x:c>
      <x:c r="E196" s="2" t="str">
        <x:v>Elementary-Middle</x:v>
      </x:c>
      <x:c r="F196" s="2" t="str">
        <x:v>720 W CUMBERLAND ST</x:v>
      </x:c>
      <x:c r="G196" s="2" t="str">
        <x:v>PHILADELPHIA</x:v>
      </x:c>
      <x:c r="H196" s="2" t="str">
        <x:v>19133</x:v>
      </x:c>
      <x:c r="I196" s="2" t="n">
        <x:v>39.98942228</x:v>
      </x:c>
      <x:c r="J196" s="2" t="n">
        <x:v>-75.14477741</x:v>
      </x:c>
      <x:c r="K196" s="2" t="n">
        <x:v>337</x:v>
      </x:c>
      <x:c r="L196" s="15" t="n">
        <x:v>0.8865</x:v>
      </x:c>
      <x:c r="M196" s="1" t="n">
        <x:v>15</x:v>
      </x:c>
      <x:c r="N196" s="1" t="str">
        <x:v>2025-2026</x:v>
      </x:c>
      <x:c r="O196" s="1" t="str">
        <x:v>2026-10-09</x:v>
      </x:c>
      <x:c r="P196" s="1" t="str">
        <x:v>Live</x:v>
      </x:c>
      <x:c r="Q196" s="1" t="str">
        <x:v>5125</x:v>
      </x:c>
      <x:c r="R196" s="1" t="str">
        <x:v>126515001</x:v>
      </x:c>
      <x:c r="S196" s="1"/>
      <x:c r="T196" s="1" t="str">
        <x:v>3880</x:v>
      </x:c>
      <x:c r="U196" s="1" t="str">
        <x:v>215-400-8400</x:v>
      </x:c>
      <x:c r="V196" s="1" t="str">
        <x:v>https://www.philasd.org/backontrack/#aded</x:v>
      </x:c>
      <x:c r="W196" s="1" t="str">
        <x:v>2026-2027</x:v>
      </x:c>
      <x:c r="X196" s="1" t="str">
        <x:v>2026-2027</x:v>
      </x:c>
      <x:c r="Y196" s="1" t="str">
        <x:v>0</x:v>
      </x:c>
      <x:c r="Z196" s="1" t="str">
        <x:v>0</x:v>
      </x:c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</x:row>
    <x:row r="197" ht="22" customHeight="1">
      <x:c r="A197" s="2" t="str">
        <x:v>5330</x:v>
      </x:c>
      <x:c r="B197" s="2" t="str">
        <x:v>William H. Hunter School</x:v>
      </x:c>
      <x:c r="C197" s="2" t="str">
        <x:v>District</x:v>
      </x:c>
      <x:c r="D197" s="2" t="str">
        <x:v>Yes</x:v>
      </x:c>
      <x:c r="E197" s="2" t="str">
        <x:v>Elementary-Middle</x:v>
      </x:c>
      <x:c r="F197" s="2" t="str">
        <x:v>2400 N FRONT ST</x:v>
      </x:c>
      <x:c r="G197" s="2" t="str">
        <x:v>PHILADELPHIA</x:v>
      </x:c>
      <x:c r="H197" s="2" t="str">
        <x:v>19133</x:v>
      </x:c>
      <x:c r="I197" s="2" t="n">
        <x:v>39.98725028</x:v>
      </x:c>
      <x:c r="J197" s="2" t="n">
        <x:v>-75.13176356</x:v>
      </x:c>
      <x:c r="K197" s="2" t="n">
        <x:v>357</x:v>
      </x:c>
      <x:c r="L197" s="15" t="n">
        <x:v>0.9031</x:v>
      </x:c>
      <x:c r="M197" s="1" t="n">
        <x:v>12</x:v>
      </x:c>
      <x:c r="N197" s="1" t="str">
        <x:v>2025-2026</x:v>
      </x:c>
      <x:c r="O197" s="1" t="str">
        <x:v>2026-10-09</x:v>
      </x:c>
      <x:c r="P197" s="1" t="str">
        <x:v>Live</x:v>
      </x:c>
      <x:c r="Q197" s="1" t="str">
        <x:v>3693</x:v>
      </x:c>
      <x:c r="R197" s="1" t="str">
        <x:v>126515001</x:v>
      </x:c>
      <x:c r="S197" s="1"/>
      <x:c r="T197" s="1" t="str">
        <x:v>4020</x:v>
      </x:c>
      <x:c r="U197" s="1" t="str">
        <x:v>215-400-7300</x:v>
      </x:c>
      <x:c r="V197" s="1" t="str">
        <x:v>https://overbrookhs.philasd.org/</x:v>
      </x:c>
      <x:c r="W197" s="1" t="str">
        <x:v>2026-2027</x:v>
      </x:c>
      <x:c r="X197" s="1" t="str">
        <x:v>2026-2027</x:v>
      </x:c>
      <x:c r="Y197" s="1" t="str">
        <x:v>1</x:v>
      </x:c>
      <x:c r="Z197" s="1" t="str">
        <x:v>1</x:v>
      </x:c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</x:row>
    <x:row r="198" ht="22" customHeight="1">
      <x:c r="A198" s="2" t="str">
        <x:v>5340</x:v>
      </x:c>
      <x:c r="B198" s="2" t="str">
        <x:v>James R. Ludlow School</x:v>
      </x:c>
      <x:c r="C198" s="2" t="str">
        <x:v>District</x:v>
      </x:c>
      <x:c r="D198" s="2" t="str">
        <x:v>Yes</x:v>
      </x:c>
      <x:c r="E198" s="2" t="str">
        <x:v>Elementary-Middle</x:v>
      </x:c>
      <x:c r="F198" s="2" t="str">
        <x:v>550 W MASTER ST</x:v>
      </x:c>
      <x:c r="G198" s="2" t="str">
        <x:v>PHILADELPHIA</x:v>
      </x:c>
      <x:c r="H198" s="2" t="str">
        <x:v>19122</x:v>
      </x:c>
      <x:c r="I198" s="2" t="n">
        <x:v>39.972724</x:v>
      </x:c>
      <x:c r="J198" s="2" t="n">
        <x:v>-75.145854</x:v>
      </x:c>
      <x:c r="K198" s="2" t="n">
        <x:v>237</x:v>
      </x:c>
      <x:c r="L198" s="15" t="n">
        <x:v>0.8649</x:v>
      </x:c>
      <x:c r="M198" s="1" t="n">
        <x:v>13</x:v>
      </x:c>
      <x:c r="N198" s="1" t="str">
        <x:v>2025-2026</x:v>
      </x:c>
      <x:c r="O198" s="1" t="str">
        <x:v>2026-10-09</x:v>
      </x:c>
      <x:c r="P198" s="1" t="str">
        <x:v>Live</x:v>
      </x:c>
      <x:c r="Q198" s="1" t="str">
        <x:v>3694</x:v>
      </x:c>
      <x:c r="R198" s="1" t="str">
        <x:v>126515001</x:v>
      </x:c>
      <x:c r="S198" s="1"/>
      <x:c r="T198" s="1" t="str">
        <x:v>4030</x:v>
      </x:c>
      <x:c r="U198" s="1" t="str">
        <x:v>215-400-7380</x:v>
      </x:c>
      <x:c r="V198" s="1" t="str">
        <x:v>https://hses.philasd.org/</x:v>
      </x:c>
      <x:c r="W198" s="1" t="str">
        <x:v>2026-2027</x:v>
      </x:c>
      <x:c r="X198" s="1" t="str">
        <x:v>2026-2027</x:v>
      </x:c>
      <x:c r="Y198" s="1" t="str">
        <x:v>1</x:v>
      </x:c>
      <x:c r="Z198" s="1" t="str">
        <x:v>1</x:v>
      </x:c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</x:row>
    <x:row r="199" ht="22" customHeight="1">
      <x:c r="A199" s="2" t="str">
        <x:v>5350</x:v>
      </x:c>
      <x:c r="B199" s="2" t="str">
        <x:v>William McKinley School</x:v>
      </x:c>
      <x:c r="C199" s="2" t="str">
        <x:v>District</x:v>
      </x:c>
      <x:c r="D199" s="2" t="str">
        <x:v>Yes</x:v>
      </x:c>
      <x:c r="E199" s="2" t="str">
        <x:v>Elementary-Middle</x:v>
      </x:c>
      <x:c r="F199" s="2" t="str">
        <x:v>2101 N ORKNEY ST</x:v>
      </x:c>
      <x:c r="G199" s="2" t="str">
        <x:v>PHILADELPHIA</x:v>
      </x:c>
      <x:c r="H199" s="2" t="str">
        <x:v>19122</x:v>
      </x:c>
      <x:c r="I199" s="2" t="n">
        <x:v>39.9827686</x:v>
      </x:c>
      <x:c r="J199" s="2" t="n">
        <x:v>-75.14165528</x:v>
      </x:c>
      <x:c r="K199" s="2" t="n">
        <x:v>275</x:v>
      </x:c>
      <x:c r="L199" s="15" t="n">
        <x:v>0.8885</x:v>
      </x:c>
      <x:c r="M199" s="1" t="n">
        <x:v>14</x:v>
      </x:c>
      <x:c r="N199" s="1" t="str">
        <x:v>2025-2026</x:v>
      </x:c>
      <x:c r="O199" s="1" t="str">
        <x:v>2026-10-09</x:v>
      </x:c>
      <x:c r="P199" s="1" t="str">
        <x:v>Live</x:v>
      </x:c>
      <x:c r="Q199" s="1" t="str">
        <x:v>5293</x:v>
      </x:c>
      <x:c r="R199" s="1" t="str">
        <x:v>126515001</x:v>
      </x:c>
      <x:c r="S199" s="1"/>
      <x:c r="T199" s="1" t="str">
        <x:v>4060</x:v>
      </x:c>
      <x:c r="U199" s="1" t="str">
        <x:v>215-400-7050</x:v>
      </x:c>
      <x:c r="V199" s="1" t="str">
        <x:v>https://dobbins.philasd.org/</x:v>
      </x:c>
      <x:c r="W199" s="1" t="str">
        <x:v>2026-2027</x:v>
      </x:c>
      <x:c r="X199" s="1" t="str">
        <x:v>2026-2027</x:v>
      </x:c>
      <x:c r="Y199" s="1" t="str">
        <x:v>1</x:v>
      </x:c>
      <x:c r="Z199" s="1" t="str">
        <x:v>1</x:v>
      </x:c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</x:row>
    <x:row r="200" ht="22" customHeight="1">
      <x:c r="A200" s="2" t="str">
        <x:v>5370</x:v>
      </x:c>
      <x:c r="B200" s="2" t="str">
        <x:v>John Moffet School</x:v>
      </x:c>
      <x:c r="C200" s="2" t="str">
        <x:v>District</x:v>
      </x:c>
      <x:c r="D200" s="2" t="str">
        <x:v>Yes</x:v>
      </x:c>
      <x:c r="E200" s="2" t="str">
        <x:v>Elementary</x:v>
      </x:c>
      <x:c r="F200" s="2" t="str">
        <x:v>127 W OXFORD ST</x:v>
      </x:c>
      <x:c r="G200" s="2" t="str">
        <x:v>PHILADELPHIA</x:v>
      </x:c>
      <x:c r="H200" s="2" t="str">
        <x:v>19122</x:v>
      </x:c>
      <x:c r="I200" s="2" t="n">
        <x:v>39.97439362</x:v>
      </x:c>
      <x:c r="J200" s="2" t="n">
        <x:v>-75.13498462</x:v>
      </x:c>
      <x:c r="K200" s="2" t="n">
        <x:v>212</x:v>
      </x:c>
      <x:c r="L200" s="15" t="n">
        <x:v>0.5781</x:v>
      </x:c>
      <x:c r="M200" s="1" t="n">
        <x:v>7</x:v>
      </x:c>
      <x:c r="N200" s="1" t="str">
        <x:v>2025-2026</x:v>
      </x:c>
      <x:c r="O200" s="1" t="str">
        <x:v>2026-10-09</x:v>
      </x:c>
      <x:c r="P200" s="1" t="str">
        <x:v>Live</x:v>
      </x:c>
      <x:c r="Q200" s="1" t="str">
        <x:v>3697</x:v>
      </x:c>
      <x:c r="R200" s="1" t="str">
        <x:v>126515001</x:v>
      </x:c>
      <x:c r="S200" s="1"/>
      <x:c r="T200" s="1" t="str">
        <x:v>4140</x:v>
      </x:c>
      <x:c r="U200" s="1" t="str">
        <x:v>215-400-7500</x:v>
      </x:c>
      <x:c r="V200" s="1" t="str">
        <x:v>https://smhs.philasd.org/</x:v>
      </x:c>
      <x:c r="W200" s="1" t="str">
        <x:v>2026-2027</x:v>
      </x:c>
      <x:c r="X200" s="1" t="str">
        <x:v>2026-2027</x:v>
      </x:c>
      <x:c r="Y200" s="1" t="str">
        <x:v>1</x:v>
      </x:c>
      <x:c r="Z200" s="1" t="str">
        <x:v>1</x:v>
      </x:c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</x:row>
    <x:row r="201" ht="22" customHeight="1">
      <x:c r="A201" s="2" t="str">
        <x:v>5390</x:v>
      </x:c>
      <x:c r="B201" s="2" t="str">
        <x:v>Potter-Thomas School</x:v>
      </x:c>
      <x:c r="C201" s="2" t="str">
        <x:v>District</x:v>
      </x:c>
      <x:c r="D201" s="2" t="str">
        <x:v>Yes</x:v>
      </x:c>
      <x:c r="E201" s="2" t="str">
        <x:v>Elementary-Middle</x:v>
      </x:c>
      <x:c r="F201" s="2" t="str">
        <x:v>3001 N 6TH ST</x:v>
      </x:c>
      <x:c r="G201" s="2" t="str">
        <x:v>PHILADELPHIA</x:v>
      </x:c>
      <x:c r="H201" s="2" t="str">
        <x:v>19133</x:v>
      </x:c>
      <x:c r="I201" s="2" t="n">
        <x:v>39.99690701</x:v>
      </x:c>
      <x:c r="J201" s="2" t="n">
        <x:v>-75.14107646</x:v>
      </x:c>
      <x:c r="K201" s="2" t="n">
        <x:v>341</x:v>
      </x:c>
      <x:c r="L201" s="15" t="n">
        <x:v>0.9026</x:v>
      </x:c>
      <x:c r="M201" s="1" t="n">
        <x:v>13</x:v>
      </x:c>
      <x:c r="N201" s="1" t="str">
        <x:v>2025-2026</x:v>
      </x:c>
      <x:c r="O201" s="1" t="str">
        <x:v>2026-10-09</x:v>
      </x:c>
      <x:c r="P201" s="1" t="str">
        <x:v>Live</x:v>
      </x:c>
      <x:c r="Q201" s="1" t="str">
        <x:v>5121</x:v>
      </x:c>
      <x:c r="R201" s="1" t="str">
        <x:v>126515001</x:v>
      </x:c>
      <x:c r="S201" s="1"/>
      <x:c r="T201" s="1" t="str">
        <x:v>4220</x:v>
      </x:c>
      <x:c r="U201" s="1" t="str">
        <x:v>215-400-7330</x:v>
      </x:c>
      <x:c r="V201" s="1" t="str">
        <x:v>https://blaine.philasd.org/</x:v>
      </x:c>
      <x:c r="W201" s="1" t="str">
        <x:v>2026-2027</x:v>
      </x:c>
      <x:c r="X201" s="1" t="str">
        <x:v>2026-2027</x:v>
      </x:c>
      <x:c r="Y201" s="1" t="str">
        <x:v>1</x:v>
      </x:c>
      <x:c r="Z201" s="1" t="str">
        <x:v>1</x:v>
      </x:c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</x:row>
    <x:row r="202" ht="22" customHeight="1">
      <x:c r="A202" s="2" t="str">
        <x:v>5400</x:v>
      </x:c>
      <x:c r="B202" s="2" t="str">
        <x:v>Richmond School</x:v>
      </x:c>
      <x:c r="C202" s="2" t="str">
        <x:v>District</x:v>
      </x:c>
      <x:c r="D202" s="2" t="str">
        <x:v>Yes</x:v>
      </x:c>
      <x:c r="E202" s="2" t="str">
        <x:v>Elementary</x:v>
      </x:c>
      <x:c r="F202" s="2" t="str">
        <x:v>2944 BELGRADE ST</x:v>
      </x:c>
      <x:c r="G202" s="2" t="str">
        <x:v>PHILADELPHIA</x:v>
      </x:c>
      <x:c r="H202" s="2" t="str">
        <x:v>19134</x:v>
      </x:c>
      <x:c r="I202" s="2" t="n">
        <x:v>39.983496</x:v>
      </x:c>
      <x:c r="J202" s="2" t="n">
        <x:v>-75.110491</x:v>
      </x:c>
      <x:c r="K202" s="2" t="n">
        <x:v>332</x:v>
      </x:c>
      <x:c r="L202" s="15" t="n">
        <x:v>0.8192</x:v>
      </x:c>
      <x:c r="M202" s="1" t="n">
        <x:v>6</x:v>
      </x:c>
      <x:c r="N202" s="1" t="str">
        <x:v>2025-2026</x:v>
      </x:c>
      <x:c r="O202" s="1" t="str">
        <x:v>2026-10-09</x:v>
      </x:c>
      <x:c r="P202" s="1" t="str">
        <x:v>Live</x:v>
      </x:c>
      <x:c r="Q202" s="1" t="str">
        <x:v>3701</x:v>
      </x:c>
      <x:c r="R202" s="1" t="str">
        <x:v>126515001</x:v>
      </x:c>
      <x:c r="S202" s="1"/>
      <x:c r="T202" s="1" t="str">
        <x:v>4240</x:v>
      </x:c>
      <x:c r="U202" s="1" t="str">
        <x:v>215-400-7510</x:v>
      </x:c>
      <x:c r="V202" s="1" t="str">
        <x:v>https://cassidy.philasd.org/</x:v>
      </x:c>
      <x:c r="W202" s="1" t="str">
        <x:v>2026-2027</x:v>
      </x:c>
      <x:c r="X202" s="1" t="str">
        <x:v>2026-2027</x:v>
      </x:c>
      <x:c r="Y202" s="1" t="str">
        <x:v>1</x:v>
      </x:c>
      <x:c r="Z202" s="1" t="str">
        <x:v>1</x:v>
      </x:c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</x:row>
    <x:row r="203" ht="22" customHeight="1">
      <x:c r="A203" s="2" t="str">
        <x:v>5410</x:v>
      </x:c>
      <x:c r="B203" s="2" t="str">
        <x:v>Isaac A. Sheppard School</x:v>
      </x:c>
      <x:c r="C203" s="2" t="str">
        <x:v>District</x:v>
      </x:c>
      <x:c r="D203" s="2" t="str">
        <x:v>Yes</x:v>
      </x:c>
      <x:c r="E203" s="2" t="str">
        <x:v>Elementary</x:v>
      </x:c>
      <x:c r="F203" s="2" t="str">
        <x:v>120 W CAMBRIA ST</x:v>
      </x:c>
      <x:c r="G203" s="2" t="str">
        <x:v>PHILADELPHIA</x:v>
      </x:c>
      <x:c r="H203" s="2" t="str">
        <x:v>19133</x:v>
      </x:c>
      <x:c r="I203" s="2" t="n">
        <x:v>39.993651</x:v>
      </x:c>
      <x:c r="J203" s="2" t="n">
        <x:v>-75.13163</x:v>
      </x:c>
      <x:c r="K203" s="2" t="n">
        <x:v>107</x:v>
      </x:c>
      <x:c r="L203" s="15" t="n">
        <x:v>0.9532</x:v>
      </x:c>
      <x:c r="M203" s="1" t="n">
        <x:v>12</x:v>
      </x:c>
      <x:c r="N203" s="1" t="str">
        <x:v>2025-2026</x:v>
      </x:c>
      <x:c r="O203" s="1" t="str">
        <x:v>2026-10-09</x:v>
      </x:c>
      <x:c r="P203" s="1" t="str">
        <x:v>Live</x:v>
      </x:c>
      <x:c r="Q203" s="1" t="str">
        <x:v>3702</x:v>
      </x:c>
      <x:c r="R203" s="1" t="str">
        <x:v>126515001</x:v>
      </x:c>
      <x:c r="S203" s="1"/>
      <x:c r="T203" s="1" t="str">
        <x:v>4270</x:v>
      </x:c>
      <x:c r="U203" s="1" t="str">
        <x:v>215-400-7340</x:v>
      </x:c>
      <x:c r="V203" s="1" t="str">
        <x:v>https://wdick.philasd.org/</x:v>
      </x:c>
      <x:c r="W203" s="1" t="str">
        <x:v>2026-2027</x:v>
      </x:c>
      <x:c r="X203" s="1" t="str">
        <x:v>2026-2027</x:v>
      </x:c>
      <x:c r="Y203" s="1" t="str">
        <x:v>1</x:v>
      </x:c>
      <x:c r="Z203" s="1" t="str">
        <x:v>1</x:v>
      </x:c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</x:row>
    <x:row r="204" ht="22" customHeight="1">
      <x:c r="A204" s="2" t="str">
        <x:v>5420</x:v>
      </x:c>
      <x:c r="B204" s="2" t="str">
        <x:v>John Welsh School</x:v>
      </x:c>
      <x:c r="C204" s="2" t="str">
        <x:v>District</x:v>
      </x:c>
      <x:c r="D204" s="2" t="str">
        <x:v>Yes</x:v>
      </x:c>
      <x:c r="E204" s="2" t="str">
        <x:v>Elementary-Middle</x:v>
      </x:c>
      <x:c r="F204" s="2" t="str">
        <x:v>2331 N 4TH ST</x:v>
      </x:c>
      <x:c r="G204" s="2" t="str">
        <x:v>PHILADELPHIA</x:v>
      </x:c>
      <x:c r="H204" s="2" t="str">
        <x:v>19133</x:v>
      </x:c>
      <x:c r="I204" s="2" t="n">
        <x:v>39.98653438</x:v>
      </x:c>
      <x:c r="J204" s="2" t="n">
        <x:v>-75.13941869</x:v>
      </x:c>
      <x:c r="K204" s="2" t="n">
        <x:v>185</x:v>
      </x:c>
      <x:c r="L204" s="15" t="n">
        <x:v>0.9027</x:v>
      </x:c>
      <x:c r="M204" s="1" t="n">
        <x:v>13</x:v>
      </x:c>
      <x:c r="N204" s="1" t="str">
        <x:v>2025-2026</x:v>
      </x:c>
      <x:c r="O204" s="1" t="str">
        <x:v>2026-10-09</x:v>
      </x:c>
      <x:c r="P204" s="1" t="str">
        <x:v>Live</x:v>
      </x:c>
      <x:c r="Q204" s="1" t="str">
        <x:v>3703</x:v>
      </x:c>
      <x:c r="R204" s="1" t="str">
        <x:v>126515001</x:v>
      </x:c>
      <x:c r="S204" s="1"/>
      <x:c r="T204" s="1" t="str">
        <x:v>4280</x:v>
      </x:c>
      <x:c r="U204" s="1" t="str">
        <x:v>215-400-7250</x:v>
      </x:c>
      <x:c r="V204" s="1" t="str">
        <x:v>https://gompers.philasd.org/</x:v>
      </x:c>
      <x:c r="W204" s="1" t="str">
        <x:v>2026-2027</x:v>
      </x:c>
      <x:c r="X204" s="1" t="str">
        <x:v>2026-2027</x:v>
      </x:c>
      <x:c r="Y204" s="1" t="str">
        <x:v>1</x:v>
      </x:c>
      <x:c r="Z204" s="1" t="str">
        <x:v>1</x:v>
      </x:c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</x:row>
    <x:row r="205" ht="22" customHeight="1">
      <x:c r="A205" s="2" t="str">
        <x:v>5430</x:v>
      </x:c>
      <x:c r="B205" s="2" t="str">
        <x:v>Alternative Middle Years at James Martin</x:v>
      </x:c>
      <x:c r="C205" s="2" t="str">
        <x:v>District</x:v>
      </x:c>
      <x:c r="D205" s="2" t="str">
        <x:v>Yes</x:v>
      </x:c>
      <x:c r="E205" s="2" t="str">
        <x:v>Middle</x:v>
      </x:c>
      <x:c r="F205" s="2" t="str">
        <x:v>3380 RICHMOND ST</x:v>
      </x:c>
      <x:c r="G205" s="2" t="str">
        <x:v>PHILADELPHIA</x:v>
      </x:c>
      <x:c r="H205" s="2" t="str">
        <x:v>19134</x:v>
      </x:c>
      <x:c r="I205" s="2" t="n">
        <x:v>39.98529996</x:v>
      </x:c>
      <x:c r="J205" s="2" t="n">
        <x:v>-75.09718185</x:v>
      </x:c>
      <x:c r="K205" s="2" t="n">
        <x:v>208</x:v>
      </x:c>
      <x:c r="L205" s="15" t="n">
        <x:v>0.8634</x:v>
      </x:c>
      <x:c r="M205" s="1" t="n">
        <x:v>4</x:v>
      </x:c>
      <x:c r="N205" s="1" t="str">
        <x:v>2025-2026</x:v>
      </x:c>
      <x:c r="O205" s="1" t="str">
        <x:v>2026-10-09</x:v>
      </x:c>
      <x:c r="P205" s="1" t="str">
        <x:v>Live</x:v>
      </x:c>
      <x:c r="Q205" s="1" t="str">
        <x:v>6823</x:v>
      </x:c>
      <x:c r="R205" s="1" t="str">
        <x:v>126515001</x:v>
      </x:c>
      <x:c r="S205" s="1"/>
      <x:c r="T205" s="1" t="str">
        <x:v>4300</x:v>
      </x:c>
      <x:c r="U205" s="1" t="str">
        <x:v>215-400-7290</x:v>
      </x:c>
      <x:c r="V205" s="1" t="str">
        <x:v>https://heston.philasd.org/</x:v>
      </x:c>
      <x:c r="W205" s="1" t="str">
        <x:v>2026-2027</x:v>
      </x:c>
      <x:c r="X205" s="1" t="str">
        <x:v>2026-2027</x:v>
      </x:c>
      <x:c r="Y205" s="1" t="str">
        <x:v>1</x:v>
      </x:c>
      <x:c r="Z205" s="1" t="str">
        <x:v>1</x:v>
      </x:c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</x:row>
    <x:row r="206" ht="22" customHeight="1">
      <x:c r="A206" s="2" t="str">
        <x:v>5440</x:v>
      </x:c>
      <x:c r="B206" s="2" t="str">
        <x:v>Frances E. Willard School</x:v>
      </x:c>
      <x:c r="C206" s="2" t="str">
        <x:v>District</x:v>
      </x:c>
      <x:c r="D206" s="2" t="str">
        <x:v>Yes</x:v>
      </x:c>
      <x:c r="E206" s="2" t="str">
        <x:v>Elementary</x:v>
      </x:c>
      <x:c r="F206" s="2" t="str">
        <x:v>1930 E ELKHART ST</x:v>
      </x:c>
      <x:c r="G206" s="2" t="str">
        <x:v>PHILADELPHIA</x:v>
      </x:c>
      <x:c r="H206" s="2" t="str">
        <x:v>19134</x:v>
      </x:c>
      <x:c r="I206" s="2" t="n">
        <x:v>39.993065</x:v>
      </x:c>
      <x:c r="J206" s="2" t="n">
        <x:v>-75.115907</x:v>
      </x:c>
      <x:c r="K206" s="2" t="n">
        <x:v>352</x:v>
      </x:c>
      <x:c r="L206" s="15" t="n">
        <x:v>0.9342</x:v>
      </x:c>
      <x:c r="M206" s="1" t="n">
        <x:v>12</x:v>
      </x:c>
      <x:c r="N206" s="1" t="str">
        <x:v>2025-2026</x:v>
      </x:c>
      <x:c r="O206" s="1" t="str">
        <x:v>2026-10-09</x:v>
      </x:c>
      <x:c r="P206" s="1" t="str">
        <x:v>Live</x:v>
      </x:c>
      <x:c r="Q206" s="1" t="str">
        <x:v>6544</x:v>
      </x:c>
      <x:c r="R206" s="1" t="str">
        <x:v>126515001</x:v>
      </x:c>
      <x:c r="S206" s="1"/>
      <x:c r="T206" s="1" t="str">
        <x:v>4320</x:v>
      </x:c>
      <x:c r="U206" s="1" t="str">
        <x:v>215-400-7530</x:v>
      </x:c>
      <x:c r="V206" s="1" t="str">
        <x:v>https://lamberton.philasd.org/</x:v>
      </x:c>
      <x:c r="W206" s="1" t="str">
        <x:v>2026-2027</x:v>
      </x:c>
      <x:c r="X206" s="1" t="str">
        <x:v>2026-2027</x:v>
      </x:c>
      <x:c r="Y206" s="1" t="str">
        <x:v>1</x:v>
      </x:c>
      <x:c r="Z206" s="1" t="str">
        <x:v>1</x:v>
      </x:c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</x:row>
    <x:row r="207" ht="22" customHeight="1">
      <x:c r="A207" s="2" t="str">
        <x:v>5470</x:v>
      </x:c>
      <x:c r="B207" s="2" t="str">
        <x:v>William Cramp School</x:v>
      </x:c>
      <x:c r="C207" s="2" t="str">
        <x:v>District</x:v>
      </x:c>
      <x:c r="D207" s="2" t="str">
        <x:v>Yes</x:v>
      </x:c>
      <x:c r="E207" s="2" t="str">
        <x:v>Elementary</x:v>
      </x:c>
      <x:c r="F207" s="2" t="str">
        <x:v>3449 N MASCHER ST</x:v>
      </x:c>
      <x:c r="G207" s="2" t="str">
        <x:v>PHILADELPHIA</x:v>
      </x:c>
      <x:c r="H207" s="2" t="str">
        <x:v>19140</x:v>
      </x:c>
      <x:c r="I207" s="2" t="n">
        <x:v>40.00260657</x:v>
      </x:c>
      <x:c r="J207" s="2" t="n">
        <x:v>-75.13036297</x:v>
      </x:c>
      <x:c r="K207" s="2" t="n">
        <x:v>317</x:v>
      </x:c>
      <x:c r="L207" s="15" t="n">
        <x:v>0.9028</x:v>
      </x:c>
      <x:c r="M207" s="1" t="n">
        <x:v>13</x:v>
      </x:c>
      <x:c r="N207" s="1" t="str">
        <x:v>2025-2026</x:v>
      </x:c>
      <x:c r="O207" s="1" t="str">
        <x:v>2026-10-09</x:v>
      </x:c>
      <x:c r="P207" s="1" t="str">
        <x:v>Live</x:v>
      </x:c>
      <x:c r="Q207" s="1" t="str">
        <x:v>5123</x:v>
      </x:c>
      <x:c r="R207" s="1" t="str">
        <x:v>126515001</x:v>
      </x:c>
      <x:c r="S207" s="1"/>
      <x:c r="T207" s="1" t="str">
        <x:v>4350</x:v>
      </x:c>
      <x:c r="U207" s="1" t="str">
        <x:v>215-400-7060</x:v>
      </x:c>
      <x:c r="V207" s="1" t="str">
        <x:v>https://rhodes.philasd.org/</x:v>
      </x:c>
      <x:c r="W207" s="1" t="str">
        <x:v>2026-2027</x:v>
      </x:c>
      <x:c r="X207" s="1" t="str">
        <x:v>2026-2027</x:v>
      </x:c>
      <x:c r="Y207" s="1" t="str">
        <x:v>1</x:v>
      </x:c>
      <x:c r="Z207" s="1" t="str">
        <x:v>1</x:v>
      </x:c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</x:row>
    <x:row r="208" ht="22" customHeight="1">
      <x:c r="A208" s="2" t="str">
        <x:v>5480</x:v>
      </x:c>
      <x:c r="B208" s="2" t="str">
        <x:v>General Philip Kearny School</x:v>
      </x:c>
      <x:c r="C208" s="2" t="str">
        <x:v>District</x:v>
      </x:c>
      <x:c r="D208" s="2" t="str">
        <x:v>Yes</x:v>
      </x:c>
      <x:c r="E208" s="2" t="str">
        <x:v>Elementary-Middle</x:v>
      </x:c>
      <x:c r="F208" s="2" t="str">
        <x:v>601 FAIRMOUNT AVE</x:v>
      </x:c>
      <x:c r="G208" s="2" t="str">
        <x:v>PHILADELPHIA</x:v>
      </x:c>
      <x:c r="H208" s="2" t="str">
        <x:v>19123</x:v>
      </x:c>
      <x:c r="I208" s="2" t="n">
        <x:v>39.96385753</x:v>
      </x:c>
      <x:c r="J208" s="2" t="n">
        <x:v>-75.14812935</x:v>
      </x:c>
      <x:c r="K208" s="2" t="n">
        <x:v>193</x:v>
      </x:c>
      <x:c r="L208" s="15" t="n">
        <x:v>0.9067</x:v>
      </x:c>
      <x:c r="M208" s="1" t="n">
        <x:v>11</x:v>
      </x:c>
      <x:c r="N208" s="1" t="str">
        <x:v>2025-2026</x:v>
      </x:c>
      <x:c r="O208" s="1" t="str">
        <x:v>2026-10-09</x:v>
      </x:c>
      <x:c r="P208" s="1" t="str">
        <x:v>Live</x:v>
      </x:c>
      <x:c r="Q208" s="1" t="str">
        <x:v>3645</x:v>
      </x:c>
      <x:c r="R208" s="1" t="str">
        <x:v>126515001</x:v>
      </x:c>
      <x:c r="S208" s="1"/>
      <x:c r="T208" s="1" t="str">
        <x:v>4360</x:v>
      </x:c>
      <x:c r="U208" s="1" t="str">
        <x:v>215-400-8340</x:v>
      </x:c>
      <x:c r="V208" s="1" t="str">
        <x:v>https://kenderton.philasd.org/</x:v>
      </x:c>
      <x:c r="W208" s="1" t="str">
        <x:v>2026-2027</x:v>
      </x:c>
      <x:c r="X208" s="1" t="str">
        <x:v>2026-2027</x:v>
      </x:c>
      <x:c r="Y208" s="1" t="str">
        <x:v>1</x:v>
      </x:c>
      <x:c r="Z208" s="1" t="str">
        <x:v>1</x:v>
      </x:c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</x:row>
    <x:row r="209" ht="22" customHeight="1">
      <x:c r="A209" s="2" t="str">
        <x:v>5490</x:v>
      </x:c>
      <x:c r="B209" s="2" t="str">
        <x:v>Cayuga School</x:v>
      </x:c>
      <x:c r="C209" s="2" t="str">
        <x:v>District</x:v>
      </x:c>
      <x:c r="D209" s="2" t="str">
        <x:v>Yes</x:v>
      </x:c>
      <x:c r="E209" s="2" t="str">
        <x:v>Elementary</x:v>
      </x:c>
      <x:c r="F209" s="2" t="str">
        <x:v>4344 N 5TH ST</x:v>
      </x:c>
      <x:c r="G209" s="2" t="str">
        <x:v>PHILADELPHIA</x:v>
      </x:c>
      <x:c r="H209" s="2" t="str">
        <x:v>19140</x:v>
      </x:c>
      <x:c r="I209" s="2" t="n">
        <x:v>40.017826</x:v>
      </x:c>
      <x:c r="J209" s="2" t="n">
        <x:v>-75.135246</x:v>
      </x:c>
      <x:c r="K209" s="2" t="n">
        <x:v>250</x:v>
      </x:c>
      <x:c r="L209" s="15" t="n">
        <x:v>0.84</x:v>
      </x:c>
      <x:c r="M209" s="1" t="n">
        <x:v>12</x:v>
      </x:c>
      <x:c r="N209" s="1" t="str">
        <x:v>2025-2026</x:v>
      </x:c>
      <x:c r="O209" s="1" t="str">
        <x:v>2026-10-09</x:v>
      </x:c>
      <x:c r="P209" s="1" t="str">
        <x:v>Live</x:v>
      </x:c>
      <x:c r="Q209" s="1" t="str">
        <x:v>7404</x:v>
      </x:c>
      <x:c r="R209" s="1" t="str">
        <x:v>126515001</x:v>
      </x:c>
      <x:c r="S209" s="1"/>
      <x:c r="T209" s="1" t="str">
        <x:v>4370</x:v>
      </x:c>
      <x:c r="U209" s="1" t="str">
        <x:v>215-400-7520</x:v>
      </x:c>
      <x:c r="V209" s="1" t="str">
        <x:v>https://overbrook.philasd.org/</x:v>
      </x:c>
      <x:c r="W209" s="1" t="str">
        <x:v>2026-2027</x:v>
      </x:c>
      <x:c r="X209" s="1" t="str">
        <x:v>2026-2027</x:v>
      </x:c>
      <x:c r="Y209" s="1" t="str">
        <x:v>1</x:v>
      </x:c>
      <x:c r="Z209" s="1" t="str">
        <x:v>1</x:v>
      </x:c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</x:row>
    <x:row r="210" ht="22" customHeight="1">
      <x:c r="A210" s="2" t="str">
        <x:v>5500</x:v>
      </x:c>
      <x:c r="B210" s="2" t="str">
        <x:v>Thurgood Marshall School</x:v>
      </x:c>
      <x:c r="C210" s="2" t="str">
        <x:v>District</x:v>
      </x:c>
      <x:c r="D210" s="2" t="str">
        <x:v>Yes</x:v>
      </x:c>
      <x:c r="E210" s="2" t="str">
        <x:v>Elementary-Middle</x:v>
      </x:c>
      <x:c r="F210" s="2" t="str">
        <x:v>5120 N 6TH ST</x:v>
      </x:c>
      <x:c r="G210" s="2" t="str">
        <x:v>PHILADELPHIA</x:v>
      </x:c>
      <x:c r="H210" s="2" t="str">
        <x:v>19120</x:v>
      </x:c>
      <x:c r="I210" s="2" t="n">
        <x:v>40.02938155</x:v>
      </x:c>
      <x:c r="J210" s="2" t="n">
        <x:v>-75.13416332</x:v>
      </x:c>
      <x:c r="K210" s="2" t="n">
        <x:v>551</x:v>
      </x:c>
      <x:c r="L210" s="15" t="n">
        <x:v>0.8588</x:v>
      </x:c>
      <x:c r="M210" s="1" t="n">
        <x:v>12</x:v>
      </x:c>
      <x:c r="N210" s="1" t="str">
        <x:v>2025-2026</x:v>
      </x:c>
      <x:c r="O210" s="1" t="str">
        <x:v>2026-10-09</x:v>
      </x:c>
      <x:c r="P210" s="1" t="str">
        <x:v>Live</x:v>
      </x:c>
      <x:c r="Q210" s="1" t="str">
        <x:v>7521</x:v>
      </x:c>
      <x:c r="R210" s="1" t="str">
        <x:v>126515001</x:v>
      </x:c>
      <x:c r="S210" s="1"/>
      <x:c r="T210" s="1" t="str">
        <x:v>4380</x:v>
      </x:c>
      <x:c r="U210" s="1" t="str">
        <x:v>215-400-7020</x:v>
      </x:c>
      <x:c r="V210" s="1" t="str">
        <x:v>https://tmpeirce.philasd.org/</x:v>
      </x:c>
      <x:c r="W210" s="1" t="str">
        <x:v>2026-2027</x:v>
      </x:c>
      <x:c r="X210" s="1" t="str">
        <x:v>2026-2027</x:v>
      </x:c>
      <x:c r="Y210" s="1" t="str">
        <x:v>1</x:v>
      </x:c>
      <x:c r="Z210" s="1" t="str">
        <x:v>1</x:v>
      </x:c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</x:row>
    <x:row r="211" ht="22" customHeight="1">
      <x:c r="A211" s="2" t="str">
        <x:v>5520</x:v>
      </x:c>
      <x:c r="B211" s="2" t="str">
        <x:v>Kensington High School for Creative and Performing Arts</x:v>
      </x:c>
      <x:c r="C211" s="2" t="str">
        <x:v>District</x:v>
      </x:c>
      <x:c r="D211" s="2" t="str">
        <x:v>Yes</x:v>
      </x:c>
      <x:c r="E211" s="2" t="str">
        <x:v>High</x:v>
      </x:c>
      <x:c r="F211" s="2" t="str">
        <x:v>1901 N FRONT ST</x:v>
      </x:c>
      <x:c r="G211" s="2" t="str">
        <x:v>PHILADELPHIA</x:v>
      </x:c>
      <x:c r="H211" s="2" t="str">
        <x:v>19122</x:v>
      </x:c>
      <x:c r="I211" s="2" t="n">
        <x:v>39.97794956</x:v>
      </x:c>
      <x:c r="J211" s="2" t="n">
        <x:v>-75.1330532</x:v>
      </x:c>
      <x:c r="K211" s="2" t="n">
        <x:v>504</x:v>
      </x:c>
      <x:c r="L211" s="15" t="n">
        <x:v>0.8433</x:v>
      </x:c>
      <x:c r="M211" s="1" t="n">
        <x:v>8</x:v>
      </x:c>
      <x:c r="N211" s="1" t="str">
        <x:v>2025-2026</x:v>
      </x:c>
      <x:c r="O211" s="1" t="str">
        <x:v>2026-10-09</x:v>
      </x:c>
      <x:c r="P211" s="1" t="str">
        <x:v>Live</x:v>
      </x:c>
      <x:c r="Q211" s="1" t="str">
        <x:v>7852</x:v>
      </x:c>
      <x:c r="R211" s="1" t="str">
        <x:v>126515001</x:v>
      </x:c>
      <x:c r="S211" s="1"/>
      <x:c r="T211" s="1" t="str">
        <x:v>4440</x:v>
      </x:c>
      <x:c r="U211" s="1" t="str">
        <x:v>215-400-7040</x:v>
      </x:c>
      <x:c r="V211" s="1" t="str">
        <x:v>https://ethelallen.philasd.org/</x:v>
      </x:c>
      <x:c r="W211" s="1" t="str">
        <x:v>2026-2027</x:v>
      </x:c>
      <x:c r="X211" s="1" t="str">
        <x:v>2026-2027</x:v>
      </x:c>
      <x:c r="Y211" s="1" t="str">
        <x:v>1</x:v>
      </x:c>
      <x:c r="Z211" s="1" t="str">
        <x:v>1</x:v>
      </x:c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</x:row>
    <x:row r="212" ht="22" customHeight="1">
      <x:c r="A212" s="2" t="str">
        <x:v>5530</x:v>
      </x:c>
      <x:c r="B212" s="2" t="str">
        <x:v>Gloria Casarez School</x:v>
      </x:c>
      <x:c r="C212" s="2" t="str">
        <x:v>District</x:v>
      </x:c>
      <x:c r="D212" s="2" t="str">
        <x:v>Yes</x:v>
      </x:c>
      <x:c r="E212" s="2" t="str">
        <x:v>Elementary</x:v>
      </x:c>
      <x:c r="F212" s="2" t="str">
        <x:v>800 E ONTARIO ST</x:v>
      </x:c>
      <x:c r="G212" s="2" t="str">
        <x:v>PHILADELPHIA</x:v>
      </x:c>
      <x:c r="H212" s="2" t="str">
        <x:v>19134</x:v>
      </x:c>
      <x:c r="I212" s="2" t="n">
        <x:v>39.99974725</x:v>
      </x:c>
      <x:c r="J212" s="2" t="n">
        <x:v>-75.11478572</x:v>
      </x:c>
      <x:c r="K212" s="2" t="n">
        <x:v>438</x:v>
      </x:c>
      <x:c r="L212" s="15" t="n">
        <x:v>0.8949</x:v>
      </x:c>
      <x:c r="M212" s="1" t="n">
        <x:v>10</x:v>
      </x:c>
      <x:c r="N212" s="1" t="str">
        <x:v>2025-2026</x:v>
      </x:c>
      <x:c r="O212" s="1" t="str">
        <x:v>2026-10-09</x:v>
      </x:c>
      <x:c r="P212" s="1" t="str">
        <x:v>Live</x:v>
      </x:c>
      <x:c r="Q212" s="1" t="str">
        <x:v>3800</x:v>
      </x:c>
      <x:c r="R212" s="1" t="str">
        <x:v>126515001</x:v>
      </x:c>
      <x:c r="S212" s="1"/>
      <x:c r="T212" s="1" t="str">
        <x:v>4460</x:v>
      </x:c>
      <x:c r="U212" s="1" t="str">
        <x:v>215-400-7350</x:v>
      </x:c>
      <x:c r="V212" s="1" t="str">
        <x:v>https://duckrey.philasd.org/</x:v>
      </x:c>
      <x:c r="W212" s="1" t="str">
        <x:v>2026-2027</x:v>
      </x:c>
      <x:c r="X212" s="1" t="str">
        <x:v>2026-2027</x:v>
      </x:c>
      <x:c r="Y212" s="1" t="str">
        <x:v>1</x:v>
      </x:c>
      <x:c r="Z212" s="1" t="str">
        <x:v>1</x:v>
      </x:c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</x:row>
    <x:row r="213" ht="22" customHeight="1">
      <x:c r="A213" s="2" t="str">
        <x:v>5550</x:v>
      </x:c>
      <x:c r="B213" s="2" t="str">
        <x:v>Kensington Health Sciences Academy</x:v>
      </x:c>
      <x:c r="C213" s="2" t="str">
        <x:v>District</x:v>
      </x:c>
      <x:c r="D213" s="2" t="str">
        <x:v>Yes</x:v>
      </x:c>
      <x:c r="E213" s="2" t="str">
        <x:v>High</x:v>
      </x:c>
      <x:c r="F213" s="2" t="str">
        <x:v>2463 EMERALD ST</x:v>
      </x:c>
      <x:c r="G213" s="2" t="str">
        <x:v>PHILADELPHIA</x:v>
      </x:c>
      <x:c r="H213" s="2" t="str">
        <x:v>19125</x:v>
      </x:c>
      <x:c r="I213" s="2" t="n">
        <x:v>39.985026</x:v>
      </x:c>
      <x:c r="J213" s="2" t="n">
        <x:v>-75.128685</x:v>
      </x:c>
      <x:c r="K213" s="2" t="n">
        <x:v>461</x:v>
      </x:c>
      <x:c r="L213" s="15" t="n">
        <x:v>0.8694</x:v>
      </x:c>
      <x:c r="M213" s="1" t="n">
        <x:v>9</x:v>
      </x:c>
      <x:c r="N213" s="1" t="str">
        <x:v>2025-2026</x:v>
      </x:c>
      <x:c r="O213" s="1" t="str">
        <x:v>2026-10-09</x:v>
      </x:c>
      <x:c r="P213" s="1" t="str">
        <x:v>Live</x:v>
      </x:c>
      <x:c r="Q213" s="1" t="str">
        <x:v>7855</x:v>
      </x:c>
      <x:c r="R213" s="1" t="str">
        <x:v>126515001</x:v>
      </x:c>
      <x:c r="S213" s="1"/>
      <x:c r="T213" s="1" t="str">
        <x:v>4470</x:v>
      </x:c>
      <x:c r="U213" s="1" t="str">
        <x:v>215-400-7030</x:v>
      </x:c>
      <x:c r="V213" s="1" t="str">
        <x:v>https://wright.philasd.org/</x:v>
      </x:c>
      <x:c r="W213" s="1" t="str">
        <x:v>2026-2027</x:v>
      </x:c>
      <x:c r="X213" s="1" t="str">
        <x:v>2026-2027</x:v>
      </x:c>
      <x:c r="Y213" s="1" t="str">
        <x:v>1</x:v>
      </x:c>
      <x:c r="Z213" s="1" t="str">
        <x:v>1</x:v>
      </x:c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</x:row>
    <x:row r="214" ht="22" customHeight="1">
      <x:c r="A214" s="2" t="str">
        <x:v>5560</x:v>
      </x:c>
      <x:c r="B214" s="2" t="str">
        <x:v>Spring Garden School</x:v>
      </x:c>
      <x:c r="C214" s="2" t="str">
        <x:v>District</x:v>
      </x:c>
      <x:c r="D214" s="2" t="str">
        <x:v>Yes</x:v>
      </x:c>
      <x:c r="E214" s="2" t="str">
        <x:v>Elementary-Middle</x:v>
      </x:c>
      <x:c r="F214" s="2" t="str">
        <x:v>1146 MELON ST</x:v>
      </x:c>
      <x:c r="G214" s="2" t="str">
        <x:v>PHILADELPHIA</x:v>
      </x:c>
      <x:c r="H214" s="2" t="str">
        <x:v>19123</x:v>
      </x:c>
      <x:c r="I214" s="2" t="n">
        <x:v>39.96516155</x:v>
      </x:c>
      <x:c r="J214" s="2" t="n">
        <x:v>-75.15614042</x:v>
      </x:c>
      <x:c r="K214" s="2" t="n">
        <x:v>247</x:v>
      </x:c>
      <x:c r="L214" s="15" t="n">
        <x:v>0.8577</x:v>
      </x:c>
      <x:c r="M214" s="1" t="n">
        <x:v>10</x:v>
      </x:c>
      <x:c r="N214" s="1" t="str">
        <x:v>2025-2026</x:v>
      </x:c>
      <x:c r="O214" s="1" t="str">
        <x:v>2026-10-09</x:v>
      </x:c>
      <x:c r="P214" s="1" t="str">
        <x:v>Live</x:v>
      </x:c>
      <x:c r="Q214" s="1" t="str">
        <x:v>3655</x:v>
      </x:c>
      <x:c r="R214" s="1" t="str">
        <x:v>126515001</x:v>
      </x:c>
      <x:c r="S214" s="1"/>
      <x:c r="T214" s="1" t="str">
        <x:v>4480</x:v>
      </x:c>
      <x:c r="U214" s="1" t="str">
        <x:v>215-400-7540</x:v>
      </x:c>
      <x:c r="V214" s="1" t="str">
        <x:v>https://oec.philasd.org/</x:v>
      </x:c>
      <x:c r="W214" s="1" t="str">
        <x:v>2026-2027</x:v>
      </x:c>
      <x:c r="X214" s="1" t="str">
        <x:v>2026-2027</x:v>
      </x:c>
      <x:c r="Y214" s="1" t="str">
        <x:v>1</x:v>
      </x:c>
      <x:c r="Z214" s="1" t="str">
        <x:v>1</x:v>
      </x:c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</x:row>
    <x:row r="215" ht="22" customHeight="1">
      <x:c r="A215" s="2" t="str">
        <x:v>5580</x:v>
      </x:c>
      <x:c r="B215" s="2" t="str">
        <x:v>John B. Stetson Middle School</x:v>
      </x:c>
      <x:c r="C215" s="2" t="str">
        <x:v>District</x:v>
      </x:c>
      <x:c r="D215" s="2" t="str">
        <x:v>Yes</x:v>
      </x:c>
      <x:c r="E215" s="2" t="str">
        <x:v>Middle</x:v>
      </x:c>
      <x:c r="F215" s="2" t="str">
        <x:v>3200 B ST</x:v>
      </x:c>
      <x:c r="G215" s="2" t="str">
        <x:v>PHILADELPHIA</x:v>
      </x:c>
      <x:c r="H215" s="2" t="str">
        <x:v>19134</x:v>
      </x:c>
      <x:c r="I215" s="2" t="n">
        <x:v>39.99806894</x:v>
      </x:c>
      <x:c r="J215" s="2" t="n">
        <x:v>-75.12546663</x:v>
      </x:c>
      <x:c r="K215" s="2" t="n">
        <x:v>511</x:v>
      </x:c>
      <x:c r="L215" s="15" t="n">
        <x:v>0.8874</x:v>
      </x:c>
      <x:c r="M215" s="1" t="n">
        <x:v>12</x:v>
      </x:c>
      <x:c r="N215" s="1" t="str">
        <x:v>2025-2026</x:v>
      </x:c>
      <x:c r="O215" s="1" t="str">
        <x:v>2026-10-09</x:v>
      </x:c>
      <x:c r="P215" s="1" t="str">
        <x:v>Live</x:v>
      </x:c>
      <x:c r="Q215" s="1" t="str">
        <x:v>8507</x:v>
      </x:c>
      <x:c r="R215" s="1" t="str">
        <x:v>126515001</x:v>
      </x:c>
      <x:c r="S215" s="1"/>
      <x:c r="T215" s="1" t="str">
        <x:v>4520</x:v>
      </x:c>
      <x:c r="U215" s="1" t="str">
        <x:v>215-400-9170</x:v>
      </x:c>
      <x:c r="V215" s="1" t="str">
        <x:v>https://bluford.philasd.org/</x:v>
      </x:c>
      <x:c r="W215" s="1" t="str">
        <x:v>2026-2027</x:v>
      </x:c>
      <x:c r="X215" s="1" t="str">
        <x:v>2026-2027</x:v>
      </x:c>
      <x:c r="Y215" s="1" t="str">
        <x:v>1</x:v>
      </x:c>
      <x:c r="Z215" s="1" t="str">
        <x:v>1</x:v>
      </x:c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</x:row>
    <x:row r="216" ht="22" customHeight="1">
      <x:c r="A216" s="2" t="str">
        <x:v>5581</x:v>
      </x:c>
      <x:c r="B216" s="2" t="str">
        <x:v>Stetson Middle School Continuation Academy</x:v>
      </x:c>
      <x:c r="C216" s="2" t="str">
        <x:v>Contracted</x:v>
      </x:c>
      <x:c r="D216" s="2" t="str">
        <x:v>No</x:v>
      </x:c>
      <x:c r="E216" s="2" t="str">
        <x:v>Transition/Overage School</x:v>
      </x:c>
      <x:c r="F216" s="2" t="str">
        <x:v>3200 B ST</x:v>
      </x:c>
      <x:c r="G216" s="2" t="str">
        <x:v>PHILADELPHIA</x:v>
      </x:c>
      <x:c r="H216" s="2" t="str">
        <x:v>19134</x:v>
      </x:c>
      <x:c r="I216" s="2" t="n">
        <x:v>39.99899564</x:v>
      </x:c>
      <x:c r="J216" s="2" t="n">
        <x:v>-75.12538317</x:v>
      </x:c>
      <x:c r="K216" s="2" t="n">
        <x:v>13</x:v>
      </x:c>
      <x:c r="L216" s="15" t="n">
        <x:v>0.8874</x:v>
      </x:c>
      <x:c r="M216" s="1" t="n">
        <x:v>12</x:v>
      </x:c>
      <x:c r="N216" s="1" t="str">
        <x:v>2025-2026</x:v>
      </x:c>
      <x:c r="O216" s="1" t="str">
        <x:v>2026-10-09</x:v>
      </x:c>
      <x:c r="P216" s="1" t="str">
        <x:v>Live</x:v>
      </x:c>
      <x:c r="Q216" s="1" t="str">
        <x:v>8507</x:v>
      </x:c>
      <x:c r="R216" s="1" t="str">
        <x:v>126515001</x:v>
      </x:c>
      <x:c r="S216" s="1"/>
      <x:c r="T216" s="1" t="str">
        <x:v>4530</x:v>
      </x:c>
      <x:c r="U216" s="1" t="str">
        <x:v>215-400-7360</x:v>
      </x:c>
      <x:c r="V216" s="1" t="str">
        <x:v>https://gideon.philasd.org/</x:v>
      </x:c>
      <x:c r="W216" s="1" t="str">
        <x:v>2026-2027</x:v>
      </x:c>
      <x:c r="X216" s="1" t="str">
        <x:v>2026-2027</x:v>
      </x:c>
      <x:c r="Y216" s="1" t="str">
        <x:v>1</x:v>
      </x:c>
      <x:c r="Z216" s="1" t="str">
        <x:v>1</x:v>
      </x:c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</x:row>
    <x:row r="217" ht="22" customHeight="1">
      <x:c r="A217" s="2" t="str">
        <x:v>5590</x:v>
      </x:c>
      <x:c r="B217" s="2" t="str">
        <x:v>John H. Webster School</x:v>
      </x:c>
      <x:c r="C217" s="2" t="str">
        <x:v>District</x:v>
      </x:c>
      <x:c r="D217" s="2" t="str">
        <x:v>Yes</x:v>
      </x:c>
      <x:c r="E217" s="2" t="str">
        <x:v>Elementary</x:v>
      </x:c>
      <x:c r="F217" s="2" t="str">
        <x:v>3400 FRANKFORD AVE</x:v>
      </x:c>
      <x:c r="G217" s="2" t="str">
        <x:v>PHILADELPHIA</x:v>
      </x:c>
      <x:c r="H217" s="2" t="str">
        <x:v>19134</x:v>
      </x:c>
      <x:c r="I217" s="2" t="n">
        <x:v>39.996199</x:v>
      </x:c>
      <x:c r="J217" s="2" t="n">
        <x:v>-75.104516</x:v>
      </x:c>
      <x:c r="K217" s="2" t="n">
        <x:v>413</x:v>
      </x:c>
      <x:c r="L217" s="15" t="n">
        <x:v>0.8997</x:v>
      </x:c>
      <x:c r="M217" s="1" t="n">
        <x:v>7</x:v>
      </x:c>
      <x:c r="N217" s="1" t="str">
        <x:v>2025-2026</x:v>
      </x:c>
      <x:c r="O217" s="1" t="str">
        <x:v>2026-10-09</x:v>
      </x:c>
      <x:c r="P217" s="1" t="str">
        <x:v>Live</x:v>
      </x:c>
      <x:c r="Q217" s="1" t="str">
        <x:v>5124</x:v>
      </x:c>
      <x:c r="R217" s="1" t="str">
        <x:v>126515001</x:v>
      </x:c>
      <x:c r="S217" s="1"/>
      <x:c r="T217" s="1" t="str">
        <x:v>4560</x:v>
      </x:c>
      <x:c r="U217" s="1" t="str">
        <x:v>215-400-7370</x:v>
      </x:c>
      <x:c r="V217" s="1" t="str">
        <x:v>https://kelley.philasd.org/</x:v>
      </x:c>
      <x:c r="W217" s="1" t="str">
        <x:v>2026-2027</x:v>
      </x:c>
      <x:c r="X217" s="1" t="str">
        <x:v>2026-2027</x:v>
      </x:c>
      <x:c r="Y217" s="1" t="str">
        <x:v>1</x:v>
      </x:c>
      <x:c r="Z217" s="1" t="str">
        <x:v>1</x:v>
      </x:c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</x:row>
    <x:row r="218" ht="22" customHeight="1">
      <x:c r="A218" s="2" t="str">
        <x:v>5610</x:v>
      </x:c>
      <x:c r="B218" s="2" t="str">
        <x:v>Building 21</x:v>
      </x:c>
      <x:c r="C218" s="2" t="str">
        <x:v>District</x:v>
      </x:c>
      <x:c r="D218" s="2" t="str">
        <x:v>Yes</x:v>
      </x:c>
      <x:c r="E218" s="2" t="str">
        <x:v>High</x:v>
      </x:c>
      <x:c r="F218" s="2" t="str">
        <x:v>6501 LIMEKILN PIKE</x:v>
      </x:c>
      <x:c r="G218" s="2" t="str">
        <x:v>PHILADELPHIA</x:v>
      </x:c>
      <x:c r="H218" s="2" t="str">
        <x:v>19138</x:v>
      </x:c>
      <x:c r="I218" s="2" t="n">
        <x:v>40.053631</x:v>
      </x:c>
      <x:c r="J218" s="2" t="n">
        <x:v>-75.152481</x:v>
      </x:c>
      <x:c r="K218" s="2" t="n">
        <x:v>344</x:v>
      </x:c>
      <x:c r="L218" s="15" t="n">
        <x:v>0.8459</x:v>
      </x:c>
      <x:c r="M218" s="1" t="n">
        <x:v>13</x:v>
      </x:c>
      <x:c r="N218" s="1" t="str">
        <x:v>2025-2026</x:v>
      </x:c>
      <x:c r="O218" s="1" t="str">
        <x:v>2026-10-09</x:v>
      </x:c>
      <x:c r="P218" s="1" t="str">
        <x:v>Live</x:v>
      </x:c>
      <x:c r="Q218" s="1" t="str">
        <x:v>8332</x:v>
      </x:c>
      <x:c r="R218" s="1" t="str">
        <x:v>126515001</x:v>
      </x:c>
      <x:c r="S218" s="1"/>
      <x:c r="T218" s="1" t="str">
        <x:v>4570</x:v>
      </x:c>
      <x:c r="U218" s="1" t="str">
        <x:v>215-400-7310</x:v>
      </x:c>
      <x:c r="V218" s="1" t="str">
        <x:v>https://meade.philasd.org/</x:v>
      </x:c>
      <x:c r="W218" s="1" t="str">
        <x:v>2026-2027</x:v>
      </x:c>
      <x:c r="X218" s="1" t="str">
        <x:v>2026-2027</x:v>
      </x:c>
      <x:c r="Y218" s="1" t="str">
        <x:v>1</x:v>
      </x:c>
      <x:c r="Z218" s="1" t="str">
        <x:v>1</x:v>
      </x:c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</x:row>
    <x:row r="219" ht="22" customHeight="1">
      <x:c r="A219" s="2" t="str">
        <x:v>5620</x:v>
      </x:c>
      <x:c r="B219" s="2" t="str">
        <x:v>The U School</x:v>
      </x:c>
      <x:c r="C219" s="2" t="str">
        <x:v>District</x:v>
      </x:c>
      <x:c r="D219" s="2" t="str">
        <x:v>Yes</x:v>
      </x:c>
      <x:c r="E219" s="2" t="str">
        <x:v>High</x:v>
      </x:c>
      <x:c r="F219" s="2" t="str">
        <x:v>2000 N 7TH ST</x:v>
      </x:c>
      <x:c r="G219" s="2" t="str">
        <x:v>PHILADELPHIA</x:v>
      </x:c>
      <x:c r="H219" s="2" t="str">
        <x:v>19122</x:v>
      </x:c>
      <x:c r="I219" s="2" t="n">
        <x:v>39.981983</x:v>
      </x:c>
      <x:c r="J219" s="2" t="n">
        <x:v>-75.146256</x:v>
      </x:c>
      <x:c r="K219" s="2" t="n">
        <x:v>164</x:v>
      </x:c>
      <x:c r="L219" s="15" t="n">
        <x:v>0.9135</x:v>
      </x:c>
      <x:c r="M219" s="1" t="n">
        <x:v>16</x:v>
      </x:c>
      <x:c r="N219" s="1" t="str">
        <x:v>2025-2026</x:v>
      </x:c>
      <x:c r="O219" s="1" t="str">
        <x:v>2026-10-09</x:v>
      </x:c>
      <x:c r="P219" s="1" t="str">
        <x:v>Live</x:v>
      </x:c>
      <x:c r="Q219" s="1" t="str">
        <x:v>8329</x:v>
      </x:c>
      <x:c r="R219" s="1" t="str">
        <x:v>126515001</x:v>
      </x:c>
      <x:c r="S219" s="1"/>
      <x:c r="T219" s="1" t="str">
        <x:v>5020</x:v>
      </x:c>
      <x:c r="U219" s="1" t="str">
        <x:v>215-400-3900</x:v>
      </x:c>
      <x:c r="V219" s="1" t="str">
        <x:v>https://edison.philasd.org/</x:v>
      </x:c>
      <x:c r="W219" s="1" t="str">
        <x:v>2026-2027</x:v>
      </x:c>
      <x:c r="X219" s="1" t="str">
        <x:v>2026-2027</x:v>
      </x:c>
      <x:c r="Y219" s="1" t="str">
        <x:v>1</x:v>
      </x:c>
      <x:c r="Z219" s="1" t="str">
        <x:v>1</x:v>
      </x:c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</x:row>
    <x:row r="220" ht="22" customHeight="1">
      <x:c r="A220" s="2" t="str">
        <x:v>5660</x:v>
      </x:c>
      <x:c r="B220" s="2" t="str">
        <x:v>The LINC High School</x:v>
      </x:c>
      <x:c r="C220" s="2" t="str">
        <x:v>District</x:v>
      </x:c>
      <x:c r="D220" s="2" t="str">
        <x:v>Yes</x:v>
      </x:c>
      <x:c r="E220" s="2" t="str">
        <x:v>High</x:v>
      </x:c>
      <x:c r="F220" s="2" t="str">
        <x:v>122 W ERIE AVE</x:v>
      </x:c>
      <x:c r="G220" s="2" t="str">
        <x:v>PHILADELPHIA</x:v>
      </x:c>
      <x:c r="H220" s="2" t="str">
        <x:v>19140</x:v>
      </x:c>
      <x:c r="I220" s="2" t="n">
        <x:v>40.006819</x:v>
      </x:c>
      <x:c r="J220" s="2" t="n">
        <x:v>-75.129736</x:v>
      </x:c>
      <x:c r="K220" s="2" t="n">
        <x:v>229</x:v>
      </x:c>
      <x:c r="L220" s="15" t="n">
        <x:v>0.823</x:v>
      </x:c>
      <x:c r="M220" s="1" t="n">
        <x:v>9</x:v>
      </x:c>
      <x:c r="N220" s="1" t="str">
        <x:v>2025-2026</x:v>
      </x:c>
      <x:c r="O220" s="1" t="str">
        <x:v>2026-10-09</x:v>
      </x:c>
      <x:c r="P220" s="1" t="str">
        <x:v>Live</x:v>
      </x:c>
      <x:c r="Q220" s="1" t="str">
        <x:v>8331</x:v>
      </x:c>
      <x:c r="R220" s="1" t="str">
        <x:v>126515001</x:v>
      </x:c>
      <x:c r="S220" s="1"/>
      <x:c r="T220" s="1" t="str">
        <x:v>5050</x:v>
      </x:c>
      <x:c r="U220" s="1" t="str">
        <x:v>215-400-7420</x:v>
      </x:c>
      <x:c r="V220" s="1" t="str">
        <x:v>https://pma.philasd.org/</x:v>
      </x:c>
      <x:c r="W220" s="1" t="str">
        <x:v>2026-2027</x:v>
      </x:c>
      <x:c r="X220" s="1" t="str">
        <x:v>2026-2027</x:v>
      </x:c>
      <x:c r="Y220" s="1" t="str">
        <x:v>1</x:v>
      </x:c>
      <x:c r="Z220" s="1" t="str">
        <x:v>1</x:v>
      </x:c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</x:row>
    <x:row r="221" ht="22" customHeight="1">
      <x:c r="A221" s="2" t="str">
        <x:v>5680</x:v>
      </x:c>
      <x:c r="B221" s="2" t="str">
        <x:v>Honorable Luis Munoz-Marin School</x:v>
      </x:c>
      <x:c r="C221" s="2" t="str">
        <x:v>District</x:v>
      </x:c>
      <x:c r="D221" s="2" t="str">
        <x:v>Yes</x:v>
      </x:c>
      <x:c r="E221" s="2" t="str">
        <x:v>Elementary-Middle</x:v>
      </x:c>
      <x:c r="F221" s="2" t="str">
        <x:v>3300 N 3RD ST</x:v>
      </x:c>
      <x:c r="G221" s="2" t="str">
        <x:v>PHILADELPHIA</x:v>
      </x:c>
      <x:c r="H221" s="2" t="str">
        <x:v>19140</x:v>
      </x:c>
      <x:c r="I221" s="2" t="n">
        <x:v>40.00098011</x:v>
      </x:c>
      <x:c r="J221" s="2" t="n">
        <x:v>-75.13538958</x:v>
      </x:c>
      <x:c r="K221" s="2" t="n">
        <x:v>482</x:v>
      </x:c>
      <x:c r="L221" s="15" t="n">
        <x:v>0.9211</x:v>
      </x:c>
      <x:c r="M221" s="1" t="n">
        <x:v>14</x:v>
      </x:c>
      <x:c r="N221" s="1" t="str">
        <x:v>2025-2026</x:v>
      </x:c>
      <x:c r="O221" s="1" t="str">
        <x:v>2026-10-09</x:v>
      </x:c>
      <x:c r="P221" s="1" t="str">
        <x:v>Live</x:v>
      </x:c>
      <x:c r="Q221" s="1" t="str">
        <x:v>7522</x:v>
      </x:c>
      <x:c r="R221" s="1" t="str">
        <x:v>126515001</x:v>
      </x:c>
      <x:c r="S221" s="1"/>
      <x:c r="T221" s="1" t="str">
        <x:v>5060</x:v>
      </x:c>
      <x:c r="U221" s="1" t="str">
        <x:v>215-400-7220</x:v>
      </x:c>
      <x:c r="V221" s="1" t="str">
        <x:v>https://mastbaum.philasd.org/</x:v>
      </x:c>
      <x:c r="W221" s="1" t="str">
        <x:v>2026-2027</x:v>
      </x:c>
      <x:c r="X221" s="1" t="str">
        <x:v>2026-2027</x:v>
      </x:c>
      <x:c r="Y221" s="1" t="str">
        <x:v>1</x:v>
      </x:c>
      <x:c r="Z221" s="1" t="str">
        <x:v>1</x:v>
      </x:c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</x:row>
    <x:row r="222" ht="22" customHeight="1">
      <x:c r="A222" s="2" t="str">
        <x:v>5700</x:v>
      </x:c>
      <x:c r="B222" s="2" t="str">
        <x:v>Kensington High School</x:v>
      </x:c>
      <x:c r="C222" s="2" t="str">
        <x:v>District</x:v>
      </x:c>
      <x:c r="D222" s="2" t="str">
        <x:v>Yes</x:v>
      </x:c>
      <x:c r="E222" s="2" t="str">
        <x:v>High</x:v>
      </x:c>
      <x:c r="F222" s="2" t="str">
        <x:v>3001 RYAN AVE</x:v>
      </x:c>
      <x:c r="G222" s="2" t="str">
        <x:v>PHILADELPHIA</x:v>
      </x:c>
      <x:c r="H222" s="2" t="str">
        <x:v>19152</x:v>
      </x:c>
      <x:c r="I222" s="2" t="n">
        <x:v>40.045607</x:v>
      </x:c>
      <x:c r="J222" s="2" t="n">
        <x:v>-75.044206</x:v>
      </x:c>
      <x:c r="K222" s="2" t="n">
        <x:v>447</x:v>
      </x:c>
      <x:c r="L222" s="15" t="n">
        <x:v>0.8519</x:v>
      </x:c>
      <x:c r="M222" s="1" t="n">
        <x:v>2</x:v>
      </x:c>
      <x:c r="N222" s="1" t="str">
        <x:v>2025-2026</x:v>
      </x:c>
      <x:c r="O222" s="1" t="str">
        <x:v>2026-10-09</x:v>
      </x:c>
      <x:c r="P222" s="1" t="str">
        <x:v>Live</x:v>
      </x:c>
      <x:c r="Q222" s="1" t="str">
        <x:v>8388</x:v>
      </x:c>
      <x:c r="R222" s="1" t="str">
        <x:v>126515001</x:v>
      </x:c>
      <x:c r="S222" s="1"/>
      <x:c r="T222" s="1" t="str">
        <x:v>5070</x:v>
      </x:c>
      <x:c r="U222" s="1" t="str">
        <x:v>215-400-3390</x:v>
      </x:c>
      <x:c r="V222" s="1" t="str">
        <x:v>https://parkwaynw.philasd.org/</x:v>
      </x:c>
      <x:c r="W222" s="1" t="str">
        <x:v>2026-2027</x:v>
      </x:c>
      <x:c r="X222" s="1" t="str">
        <x:v>2026-2027</x:v>
      </x:c>
      <x:c r="Y222" s="1" t="str">
        <x:v>1</x:v>
      </x:c>
      <x:c r="Z222" s="1" t="str">
        <x:v>1</x:v>
      </x:c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</x:row>
    <x:row r="223" ht="22" customHeight="1">
      <x:c r="A223" s="2" t="str">
        <x:v>5710</x:v>
      </x:c>
      <x:c r="B223" s="2" t="str">
        <x:v>Memphis Street Middle School</x:v>
      </x:c>
      <x:c r="C223" s="2" t="str">
        <x:v>District</x:v>
      </x:c>
      <x:c r="D223" s="2" t="str">
        <x:v>No</x:v>
      </x:c>
      <x:c r="E223" s="2" t="str">
        <x:v>Middle</x:v>
      </x:c>
      <x:c r="F223" s="2" t="str">
        <x:v>2950 MEMPHIS ST</x:v>
      </x:c>
      <x:c r="G223" s="2" t="str">
        <x:v>PHILADELPHIA</x:v>
      </x:c>
      <x:c r="H223" s="2" t="str">
        <x:v>19134</x:v>
      </x:c>
      <x:c r="I223" s="2" t="n">
        <x:v>39.98588986</x:v>
      </x:c>
      <x:c r="J223" s="2" t="n">
        <x:v>-75.11285949</x:v>
      </x:c>
      <x:c r="K223" s="2"/>
      <x:c r="L223" s="15"/>
      <x:c r="M223" s="1" t="n">
        <x:v>9</x:v>
      </x:c>
      <x:c r="N223" s="1" t="str">
        <x:v>2025-2026</x:v>
      </x:c>
      <x:c r="O223" s="1" t="str">
        <x:v>2026-10-09</x:v>
      </x:c>
      <x:c r="P223" s="1" t="str">
        <x:v>Live</x:v>
      </x:c>
      <x:c r="Q223" s="1" t="str">
        <x:v>8557</x:v>
      </x:c>
      <x:c r="R223" s="1" t="str">
        <x:v>126515001</x:v>
      </x:c>
      <x:c r="S223" s="1"/>
      <x:c r="T223" s="1" t="str">
        <x:v>5080</x:v>
      </x:c>
      <x:c r="U223" s="1" t="str">
        <x:v>215-400-7620</x:v>
      </x:c>
      <x:c r="V223" s="1" t="str">
        <x:v>https://parkwaycc.philasd.org/</x:v>
      </x:c>
      <x:c r="W223" s="1" t="str">
        <x:v>2026-2027</x:v>
      </x:c>
      <x:c r="X223" s="1" t="str">
        <x:v>2026-2027</x:v>
      </x:c>
      <x:c r="Y223" s="1" t="str">
        <x:v>1</x:v>
      </x:c>
      <x:c r="Z223" s="1" t="str">
        <x:v>1</x:v>
      </x:c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</x:row>
    <x:row r="224" ht="22" customHeight="1">
      <x:c r="A224" s="2" t="str">
        <x:v>6010</x:v>
      </x:c>
      <x:c r="B224" s="2" t="str">
        <x:v>Central High School</x:v>
      </x:c>
      <x:c r="C224" s="2" t="str">
        <x:v>District</x:v>
      </x:c>
      <x:c r="D224" s="2" t="str">
        <x:v>Yes</x:v>
      </x:c>
      <x:c r="E224" s="2" t="str">
        <x:v>High</x:v>
      </x:c>
      <x:c r="F224" s="2" t="str">
        <x:v>1700 W OLNEY AVE</x:v>
      </x:c>
      <x:c r="G224" s="2" t="str">
        <x:v>PHILADELPHIA</x:v>
      </x:c>
      <x:c r="H224" s="2" t="str">
        <x:v>19141</x:v>
      </x:c>
      <x:c r="I224" s="2" t="n">
        <x:v>40.0372851</x:v>
      </x:c>
      <x:c r="J224" s="2" t="n">
        <x:v>-75.15074825</x:v>
      </x:c>
      <x:c r="K224" s="2" t="n">
        <x:v>2343</x:v>
      </x:c>
      <x:c r="L224" s="15" t="n">
        <x:v>0.5273</x:v>
      </x:c>
      <x:c r="M224" s="1" t="n">
        <x:v>12</x:v>
      </x:c>
      <x:c r="N224" s="1" t="str">
        <x:v>2025-2026</x:v>
      </x:c>
      <x:c r="O224" s="1" t="str">
        <x:v>2026-10-09</x:v>
      </x:c>
      <x:c r="P224" s="1" t="str">
        <x:v>Live</x:v>
      </x:c>
      <x:c r="Q224" s="1" t="str">
        <x:v>3848</x:v>
      </x:c>
      <x:c r="R224" s="1" t="str">
        <x:v>126515001</x:v>
      </x:c>
      <x:c r="S224" s="1"/>
      <x:c r="T224" s="1" t="str">
        <x:v>5090</x:v>
      </x:c>
      <x:c r="U224" s="1" t="str">
        <x:v>215-400-7710</x:v>
      </x:c>
      <x:c r="V224" s="1" t="str">
        <x:v>https://parkwaywest.philasd.org/</x:v>
      </x:c>
      <x:c r="W224" s="1" t="str">
        <x:v>2026-2027</x:v>
      </x:c>
      <x:c r="X224" s="1" t="str">
        <x:v>2026-2027</x:v>
      </x:c>
      <x:c r="Y224" s="1" t="str">
        <x:v>1</x:v>
      </x:c>
      <x:c r="Z224" s="1" t="str">
        <x:v>1</x:v>
      </x:c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</x:row>
    <x:row r="225" ht="22" customHeight="1">
      <x:c r="A225" s="2" t="str">
        <x:v>6030</x:v>
      </x:c>
      <x:c r="B225" s="2" t="str">
        <x:v>Roxborough High School</x:v>
      </x:c>
      <x:c r="C225" s="2" t="str">
        <x:v>District</x:v>
      </x:c>
      <x:c r="D225" s="2" t="str">
        <x:v>Yes</x:v>
      </x:c>
      <x:c r="E225" s="2" t="str">
        <x:v>High</x:v>
      </x:c>
      <x:c r="F225" s="2" t="str">
        <x:v>6498 RIDGE AVE</x:v>
      </x:c>
      <x:c r="G225" s="2" t="str">
        <x:v>PHILADELPHIA</x:v>
      </x:c>
      <x:c r="H225" s="2" t="str">
        <x:v>19128</x:v>
      </x:c>
      <x:c r="I225" s="2" t="n">
        <x:v>40.03802479</x:v>
      </x:c>
      <x:c r="J225" s="2" t="n">
        <x:v>-75.22283357</x:v>
      </x:c>
      <x:c r="K225" s="2" t="n">
        <x:v>529</x:v>
      </x:c>
      <x:c r="L225" s="15" t="n">
        <x:v>0.7794</x:v>
      </x:c>
      <x:c r="M225" s="1" t="n">
        <x:v>1</x:v>
      </x:c>
      <x:c r="N225" s="1" t="str">
        <x:v>2025-2026</x:v>
      </x:c>
      <x:c r="O225" s="1" t="str">
        <x:v>2026-10-09</x:v>
      </x:c>
      <x:c r="P225" s="1" t="str">
        <x:v>Live</x:v>
      </x:c>
      <x:c r="Q225" s="1" t="str">
        <x:v>3844</x:v>
      </x:c>
      <x:c r="R225" s="1" t="str">
        <x:v>126515001</x:v>
      </x:c>
      <x:c r="S225" s="1"/>
      <x:c r="T225" s="1" t="str">
        <x:v>5150</x:v>
      </x:c>
      <x:c r="U225" s="1" t="str">
        <x:v>215-400-7630</x:v>
      </x:c>
      <x:c r="V225" s="1" t="str">
        <x:v>https://bodine.philasd.org/</x:v>
      </x:c>
      <x:c r="W225" s="1" t="str">
        <x:v>2026-2027</x:v>
      </x:c>
      <x:c r="X225" s="1" t="str">
        <x:v>2026-2027</x:v>
      </x:c>
      <x:c r="Y225" s="1" t="str">
        <x:v>1</x:v>
      </x:c>
      <x:c r="Z225" s="1" t="str">
        <x:v>1</x:v>
      </x:c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</x:row>
    <x:row r="226" ht="22" customHeight="1">
      <x:c r="A226" s="2" t="str">
        <x:v>6040</x:v>
      </x:c>
      <x:c r="B226" s="2" t="str">
        <x:v>Walter B. Saul High School</x:v>
      </x:c>
      <x:c r="C226" s="2" t="str">
        <x:v>District</x:v>
      </x:c>
      <x:c r="D226" s="2" t="str">
        <x:v>Yes</x:v>
      </x:c>
      <x:c r="E226" s="2" t="str">
        <x:v>High</x:v>
      </x:c>
      <x:c r="F226" s="2" t="str">
        <x:v>7100 HENRY AVE</x:v>
      </x:c>
      <x:c r="G226" s="2" t="str">
        <x:v>PHILADELPHIA</x:v>
      </x:c>
      <x:c r="H226" s="2" t="str">
        <x:v>19128</x:v>
      </x:c>
      <x:c r="I226" s="2" t="n">
        <x:v>40.04902036</x:v>
      </x:c>
      <x:c r="J226" s="2" t="n">
        <x:v>-75.21981676</x:v>
      </x:c>
      <x:c r="K226" s="2" t="n">
        <x:v>406</x:v>
      </x:c>
      <x:c r="L226" s="15" t="n">
        <x:v>0.674</x:v>
      </x:c>
      <x:c r="M226" s="1" t="n">
        <x:v>0</x:v>
      </x:c>
      <x:c r="N226" s="1" t="str">
        <x:v>2025-2026</x:v>
      </x:c>
      <x:c r="O226" s="1" t="str">
        <x:v>2026-10-09</x:v>
      </x:c>
      <x:c r="P226" s="1" t="str">
        <x:v>Live</x:v>
      </x:c>
      <x:c r="Q226" s="1" t="str">
        <x:v>3861</x:v>
      </x:c>
      <x:c r="R226" s="1" t="str">
        <x:v>126515001</x:v>
      </x:c>
      <x:c r="S226" s="1"/>
      <x:c r="T226" s="1" t="str">
        <x:v>5160</x:v>
      </x:c>
      <x:c r="U226" s="1" t="str">
        <x:v>215-400-3800</x:v>
      </x:c>
      <x:c r="V226" s="1" t="str">
        <x:v>https://penntreaty.philasd.org/</x:v>
      </x:c>
      <x:c r="W226" s="1" t="str">
        <x:v>2026-2027</x:v>
      </x:c>
      <x:c r="X226" s="1" t="str">
        <x:v>2026-2027</x:v>
      </x:c>
      <x:c r="Y226" s="1" t="str">
        <x:v>1</x:v>
      </x:c>
      <x:c r="Z226" s="1" t="str">
        <x:v>1</x:v>
      </x:c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</x:row>
    <x:row r="227" ht="22" customHeight="1">
      <x:c r="A227" s="2" t="str">
        <x:v>6050</x:v>
      </x:c>
      <x:c r="B227" s="2" t="str">
        <x:v>Philadelphia High School for Girls</x:v>
      </x:c>
      <x:c r="C227" s="2" t="str">
        <x:v>District</x:v>
      </x:c>
      <x:c r="D227" s="2" t="str">
        <x:v>Yes</x:v>
      </x:c>
      <x:c r="E227" s="2" t="str">
        <x:v>High</x:v>
      </x:c>
      <x:c r="F227" s="2" t="str">
        <x:v>1400 W OLNEY AVE</x:v>
      </x:c>
      <x:c r="G227" s="2" t="str">
        <x:v>PHILADELPHIA</x:v>
      </x:c>
      <x:c r="H227" s="2" t="str">
        <x:v>19141</x:v>
      </x:c>
      <x:c r="I227" s="2" t="n">
        <x:v>40.0383142</x:v>
      </x:c>
      <x:c r="J227" s="2" t="n">
        <x:v>-75.1460556</x:v>
      </x:c>
      <x:c r="K227" s="2" t="n">
        <x:v>592</x:v>
      </x:c>
      <x:c r="L227" s="15" t="n">
        <x:v>0.6871</x:v>
      </x:c>
      <x:c r="M227" s="1" t="n">
        <x:v>9</x:v>
      </x:c>
      <x:c r="N227" s="1" t="str">
        <x:v>2025-2026</x:v>
      </x:c>
      <x:c r="O227" s="1" t="str">
        <x:v>2026-10-09</x:v>
      </x:c>
      <x:c r="P227" s="1" t="str">
        <x:v>Live</x:v>
      </x:c>
      <x:c r="Q227" s="1" t="str">
        <x:v>3843</x:v>
      </x:c>
      <x:c r="R227" s="1" t="str">
        <x:v>126515001</x:v>
      </x:c>
      <x:c r="S227" s="1"/>
      <x:c r="T227" s="1" t="str">
        <x:v>5170</x:v>
      </x:c>
      <x:c r="U227" s="1" t="str">
        <x:v>215-400-7080</x:v>
      </x:c>
      <x:c r="V227" s="1" t="str">
        <x:v>https://deburgos.philasd.org/</x:v>
      </x:c>
      <x:c r="W227" s="1" t="str">
        <x:v>2026-2027</x:v>
      </x:c>
      <x:c r="X227" s="1" t="str">
        <x:v>2026-2027</x:v>
      </x:c>
      <x:c r="Y227" s="1" t="str">
        <x:v>1</x:v>
      </x:c>
      <x:c r="Z227" s="1" t="str">
        <x:v>1</x:v>
      </x:c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</x:row>
    <x:row r="228" ht="22" customHeight="1">
      <x:c r="A228" s="2" t="str">
        <x:v>6060</x:v>
      </x:c>
      <x:c r="B228" s="2" t="str">
        <x:v>Martin Luther King High School</x:v>
      </x:c>
      <x:c r="C228" s="2" t="str">
        <x:v>District</x:v>
      </x:c>
      <x:c r="D228" s="2" t="str">
        <x:v>Yes</x:v>
      </x:c>
      <x:c r="E228" s="2" t="str">
        <x:v>High</x:v>
      </x:c>
      <x:c r="F228" s="2" t="str">
        <x:v>6100 STENTON AVE</x:v>
      </x:c>
      <x:c r="G228" s="2" t="str">
        <x:v>PHILADELPHIA</x:v>
      </x:c>
      <x:c r="H228" s="2" t="str">
        <x:v>19138</x:v>
      </x:c>
      <x:c r="I228" s="2" t="n">
        <x:v>40.05756238</x:v>
      </x:c>
      <x:c r="J228" s="2" t="n">
        <x:v>-75.16217184</x:v>
      </x:c>
      <x:c r="K228" s="2" t="n">
        <x:v>604</x:v>
      </x:c>
      <x:c r="L228" s="15" t="n">
        <x:v>0.8066</x:v>
      </x:c>
      <x:c r="M228" s="1" t="n">
        <x:v>9</x:v>
      </x:c>
      <x:c r="N228" s="1" t="str">
        <x:v>2025-2026</x:v>
      </x:c>
      <x:c r="O228" s="1" t="str">
        <x:v>2026-10-09</x:v>
      </x:c>
      <x:c r="P228" s="1" t="str">
        <x:v>Live</x:v>
      </x:c>
      <x:c r="Q228" s="1" t="str">
        <x:v>6675</x:v>
      </x:c>
      <x:c r="R228" s="1" t="str">
        <x:v>126515001</x:v>
      </x:c>
      <x:c r="S228" s="1"/>
      <x:c r="T228" s="1" t="str">
        <x:v>5180</x:v>
      </x:c>
      <x:c r="U228" s="1" t="str"/>
      <x:c r="V228" s="1" t="str">
        <x:v>https://www.vauxbpp.org/</x:v>
      </x:c>
      <x:c r="W228" s="1" t="str">
        <x:v>2026-2027</x:v>
      </x:c>
      <x:c r="X228" s="1" t="str">
        <x:v>2026-2027</x:v>
      </x:c>
      <x:c r="Y228" s="1" t="str">
        <x:v>1</x:v>
      </x:c>
      <x:c r="Z228" s="1" t="str">
        <x:v>1</x:v>
      </x:c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</x:row>
    <x:row r="229" ht="22" customHeight="1">
      <x:c r="A229" s="2" t="str">
        <x:v>6090</x:v>
      </x:c>
      <x:c r="B229" s="2" t="str">
        <x:v>A. Philip Randolph Career and Technical High School</x:v>
      </x:c>
      <x:c r="C229" s="2" t="str">
        <x:v>District</x:v>
      </x:c>
      <x:c r="D229" s="2" t="str">
        <x:v>Yes</x:v>
      </x:c>
      <x:c r="E229" s="2" t="str">
        <x:v>High</x:v>
      </x:c>
      <x:c r="F229" s="2" t="str">
        <x:v>3101 HENRY AVE</x:v>
      </x:c>
      <x:c r="G229" s="2" t="str">
        <x:v>PHILADELPHIA</x:v>
      </x:c>
      <x:c r="H229" s="2" t="str">
        <x:v>19129</x:v>
      </x:c>
      <x:c r="I229" s="2" t="n">
        <x:v>40.008504</x:v>
      </x:c>
      <x:c r="J229" s="2" t="n">
        <x:v>-75.179609</x:v>
      </x:c>
      <x:c r="K229" s="2" t="n">
        <x:v>403</x:v>
      </x:c>
      <x:c r="L229" s="15" t="n">
        <x:v>0.8947</x:v>
      </x:c>
      <x:c r="M229" s="1" t="n">
        <x:v>6</x:v>
      </x:c>
      <x:c r="N229" s="1" t="str">
        <x:v>2025-2026</x:v>
      </x:c>
      <x:c r="O229" s="1" t="str">
        <x:v>2026-10-09</x:v>
      </x:c>
      <x:c r="P229" s="1" t="str">
        <x:v>Live</x:v>
      </x:c>
      <x:c r="Q229" s="1" t="str">
        <x:v>7813</x:v>
      </x:c>
      <x:c r="R229" s="1" t="str">
        <x:v>126515001</x:v>
      </x:c>
      <x:c r="S229" s="1"/>
      <x:c r="T229" s="1" t="str">
        <x:v>5200</x:v>
      </x:c>
      <x:c r="U229" s="1" t="str">
        <x:v>215-400-7480</x:v>
      </x:c>
      <x:c r="V229" s="1" t="str">
        <x:v>https://adaire.philasd.org/</x:v>
      </x:c>
      <x:c r="W229" s="1" t="str">
        <x:v>2026-2027</x:v>
      </x:c>
      <x:c r="X229" s="1" t="str">
        <x:v>2026-2027</x:v>
      </x:c>
      <x:c r="Y229" s="1" t="str">
        <x:v>1</x:v>
      </x:c>
      <x:c r="Z229" s="1" t="str">
        <x:v>1</x:v>
      </x:c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</x:row>
    <x:row r="230" ht="22" customHeight="1">
      <x:c r="A230" s="2" t="str">
        <x:v>6200</x:v>
      </x:c>
      <x:c r="B230" s="2" t="str">
        <x:v>Anna B. Day School</x:v>
      </x:c>
      <x:c r="C230" s="2" t="str">
        <x:v>District</x:v>
      </x:c>
      <x:c r="D230" s="2" t="str">
        <x:v>Yes</x:v>
      </x:c>
      <x:c r="E230" s="2" t="str">
        <x:v>Elementary-Middle</x:v>
      </x:c>
      <x:c r="F230" s="2" t="str">
        <x:v>6324 CRITTENDEN ST</x:v>
      </x:c>
      <x:c r="G230" s="2" t="str">
        <x:v>PHILADELPHIA</x:v>
      </x:c>
      <x:c r="H230" s="2" t="str">
        <x:v>19138</x:v>
      </x:c>
      <x:c r="I230" s="2" t="n">
        <x:v>40.05840682</x:v>
      </x:c>
      <x:c r="J230" s="2" t="n">
        <x:v>-75.16833464</x:v>
      </x:c>
      <x:c r="K230" s="2" t="n">
        <x:v>289</x:v>
      </x:c>
      <x:c r="L230" s="15" t="n">
        <x:v>0.825</x:v>
      </x:c>
      <x:c r="M230" s="1" t="n">
        <x:v>10</x:v>
      </x:c>
      <x:c r="N230" s="1" t="str">
        <x:v>2025-2026</x:v>
      </x:c>
      <x:c r="O230" s="1" t="str">
        <x:v>2026-10-09</x:v>
      </x:c>
      <x:c r="P230" s="1" t="str">
        <x:v>Live</x:v>
      </x:c>
      <x:c r="Q230" s="1" t="str">
        <x:v>3706</x:v>
      </x:c>
      <x:c r="R230" s="1" t="str">
        <x:v>126515001</x:v>
      </x:c>
      <x:c r="S230" s="1"/>
      <x:c r="T230" s="1" t="str">
        <x:v>5210</x:v>
      </x:c>
      <x:c r="U230" s="1" t="str">
        <x:v>215-400-7490</x:v>
      </x:c>
      <x:c r="V230" s="1" t="str">
        <x:v>https://habrown.philasd.org/</x:v>
      </x:c>
      <x:c r="W230" s="1" t="str">
        <x:v>2026-2027</x:v>
      </x:c>
      <x:c r="X230" s="1" t="str">
        <x:v>2026-2027</x:v>
      </x:c>
      <x:c r="Y230" s="1" t="str">
        <x:v>1</x:v>
      </x:c>
      <x:c r="Z230" s="1" t="str">
        <x:v>1</x:v>
      </x:c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</x:row>
    <x:row r="231" ht="22" customHeight="1">
      <x:c r="A231" s="2" t="str">
        <x:v>6210</x:v>
      </x:c>
      <x:c r="B231" s="2" t="str">
        <x:v>Franklin S. Edmonds School</x:v>
      </x:c>
      <x:c r="C231" s="2" t="str">
        <x:v>District</x:v>
      </x:c>
      <x:c r="D231" s="2" t="str">
        <x:v>Yes</x:v>
      </x:c>
      <x:c r="E231" s="2" t="str">
        <x:v>Elementary-Middle</x:v>
      </x:c>
      <x:c r="F231" s="2" t="str">
        <x:v>8025 THOURON AVE</x:v>
      </x:c>
      <x:c r="G231" s="2" t="str">
        <x:v>PHILADELPHIA</x:v>
      </x:c>
      <x:c r="H231" s="2" t="str">
        <x:v>19150</x:v>
      </x:c>
      <x:c r="I231" s="2" t="n">
        <x:v>40.0717255</x:v>
      </x:c>
      <x:c r="J231" s="2" t="n">
        <x:v>-75.1692495</x:v>
      </x:c>
      <x:c r="K231" s="2" t="n">
        <x:v>376</x:v>
      </x:c>
      <x:c r="L231" s="15" t="n">
        <x:v>0.7906</x:v>
      </x:c>
      <x:c r="M231" s="1" t="n">
        <x:v>4</x:v>
      </x:c>
      <x:c r="N231" s="1" t="str">
        <x:v>2025-2026</x:v>
      </x:c>
      <x:c r="O231" s="1" t="str">
        <x:v>2026-10-09</x:v>
      </x:c>
      <x:c r="P231" s="1" t="str">
        <x:v>Live</x:v>
      </x:c>
      <x:c r="Q231" s="1" t="str">
        <x:v>3708</x:v>
      </x:c>
      <x:c r="R231" s="1" t="str">
        <x:v>126515001</x:v>
      </x:c>
      <x:c r="S231" s="1"/>
      <x:c r="T231" s="1" t="str">
        <x:v>5230</x:v>
      </x:c>
      <x:c r="U231" s="1" t="str">
        <x:v>215-400-7210</x:v>
      </x:c>
      <x:c r="V231" s="1" t="str">
        <x:v>https://conwell.philasd.org/</x:v>
      </x:c>
      <x:c r="W231" s="1" t="str">
        <x:v>2026-2027</x:v>
      </x:c>
      <x:c r="X231" s="1" t="str">
        <x:v>2026-2027</x:v>
      </x:c>
      <x:c r="Y231" s="1" t="str">
        <x:v>1</x:v>
      </x:c>
      <x:c r="Z231" s="1" t="str">
        <x:v>1</x:v>
      </x:c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</x:row>
    <x:row r="232" ht="22" customHeight="1">
      <x:c r="A232" s="2" t="str">
        <x:v>6220</x:v>
      </x:c>
      <x:c r="B232" s="2" t="str">
        <x:v>Eleanor C. Emlen School</x:v>
      </x:c>
      <x:c r="C232" s="2" t="str">
        <x:v>District</x:v>
      </x:c>
      <x:c r="D232" s="2" t="str">
        <x:v>Yes</x:v>
      </x:c>
      <x:c r="E232" s="2" t="str">
        <x:v>Elementary</x:v>
      </x:c>
      <x:c r="F232" s="2" t="str">
        <x:v>6501 CHEW AVE</x:v>
      </x:c>
      <x:c r="G232" s="2" t="str">
        <x:v>PHILADELPHIA</x:v>
      </x:c>
      <x:c r="H232" s="2" t="str">
        <x:v>19119</x:v>
      </x:c>
      <x:c r="I232" s="2" t="n">
        <x:v>40.05436289</x:v>
      </x:c>
      <x:c r="J232" s="2" t="n">
        <x:v>-75.17790573</x:v>
      </x:c>
      <x:c r="K232" s="2" t="n">
        <x:v>261</x:v>
      </x:c>
      <x:c r="L232" s="15" t="n">
        <x:v>0.8732</x:v>
      </x:c>
      <x:c r="M232" s="1" t="n">
        <x:v>13</x:v>
      </x:c>
      <x:c r="N232" s="1" t="str">
        <x:v>2025-2026</x:v>
      </x:c>
      <x:c r="O232" s="1" t="str">
        <x:v>2026-10-09</x:v>
      </x:c>
      <x:c r="P232" s="1" t="str">
        <x:v>Live</x:v>
      </x:c>
      <x:c r="Q232" s="1" t="str">
        <x:v>3709</x:v>
      </x:c>
      <x:c r="R232" s="1" t="str">
        <x:v>126515001</x:v>
      </x:c>
      <x:c r="S232" s="1"/>
      <x:c r="T232" s="1" t="str">
        <x:v>5250</x:v>
      </x:c>
      <x:c r="U232" s="1" t="str">
        <x:v>215-400-7410</x:v>
      </x:c>
      <x:c r="V232" s="1" t="str">
        <x:v>https://dunbar.philasd.org/</x:v>
      </x:c>
      <x:c r="W232" s="1" t="str">
        <x:v>2026-2027</x:v>
      </x:c>
      <x:c r="X232" s="1" t="str">
        <x:v>2026-2027</x:v>
      </x:c>
      <x:c r="Y232" s="1" t="str">
        <x:v>1</x:v>
      </x:c>
      <x:c r="Z232" s="1" t="str">
        <x:v>1</x:v>
      </x:c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</x:row>
    <x:row r="233" ht="22" customHeight="1">
      <x:c r="A233" s="2" t="str">
        <x:v>6230</x:v>
      </x:c>
      <x:c r="B233" s="2" t="str">
        <x:v>Fitler Academics Plus School</x:v>
      </x:c>
      <x:c r="C233" s="2" t="str">
        <x:v>District</x:v>
      </x:c>
      <x:c r="D233" s="2" t="str">
        <x:v>Yes</x:v>
      </x:c>
      <x:c r="E233" s="2" t="str">
        <x:v>Elementary-Middle</x:v>
      </x:c>
      <x:c r="F233" s="2" t="str">
        <x:v>140 W SEYMOUR ST</x:v>
      </x:c>
      <x:c r="G233" s="2" t="str">
        <x:v>PHILADELPHIA</x:v>
      </x:c>
      <x:c r="H233" s="2" t="str">
        <x:v>19144</x:v>
      </x:c>
      <x:c r="I233" s="2" t="n">
        <x:v>40.02610052</x:v>
      </x:c>
      <x:c r="J233" s="2" t="n">
        <x:v>-75.16633733</x:v>
      </x:c>
      <x:c r="K233" s="2" t="n">
        <x:v>177</x:v>
      </x:c>
      <x:c r="L233" s="15" t="n">
        <x:v>0.8474</x:v>
      </x:c>
      <x:c r="M233" s="1" t="n">
        <x:v>14</x:v>
      </x:c>
      <x:c r="N233" s="1" t="str">
        <x:v>2025-2026</x:v>
      </x:c>
      <x:c r="O233" s="1" t="str">
        <x:v>2026-10-09</x:v>
      </x:c>
      <x:c r="P233" s="1" t="str">
        <x:v>Live</x:v>
      </x:c>
      <x:c r="Q233" s="1" t="str">
        <x:v>6913</x:v>
      </x:c>
      <x:c r="R233" s="1" t="str">
        <x:v>126515001</x:v>
      </x:c>
      <x:c r="S233" s="1"/>
      <x:c r="T233" s="1" t="str">
        <x:v>5260</x:v>
      </x:c>
      <x:c r="U233" s="1" t="str">
        <x:v>215-400-7140</x:v>
      </x:c>
      <x:c r="V233" s="1" t="str">
        <x:v>https://elkin.philasd.org/</x:v>
      </x:c>
      <x:c r="W233" s="1" t="str">
        <x:v>2026-2027</x:v>
      </x:c>
      <x:c r="X233" s="1" t="str">
        <x:v>2026-2027</x:v>
      </x:c>
      <x:c r="Y233" s="1" t="str">
        <x:v>1</x:v>
      </x:c>
      <x:c r="Z233" s="1" t="str">
        <x:v>1</x:v>
      </x:c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</x:row>
    <x:row r="234" ht="22" customHeight="1">
      <x:c r="A234" s="2" t="str">
        <x:v>6250</x:v>
      </x:c>
      <x:c r="B234" s="2" t="str">
        <x:v>Charles W. Henry School</x:v>
      </x:c>
      <x:c r="C234" s="2" t="str">
        <x:v>District</x:v>
      </x:c>
      <x:c r="D234" s="2" t="str">
        <x:v>Yes</x:v>
      </x:c>
      <x:c r="E234" s="2" t="str">
        <x:v>Elementary-Middle</x:v>
      </x:c>
      <x:c r="F234" s="2" t="str">
        <x:v>601 CARPENTER LN</x:v>
      </x:c>
      <x:c r="G234" s="2" t="str">
        <x:v>PHILADELPHIA</x:v>
      </x:c>
      <x:c r="H234" s="2" t="str">
        <x:v>19119</x:v>
      </x:c>
      <x:c r="I234" s="2" t="n">
        <x:v>40.04625771</x:v>
      </x:c>
      <x:c r="J234" s="2" t="n">
        <x:v>-75.19658776</x:v>
      </x:c>
      <x:c r="K234" s="2" t="n">
        <x:v>550</x:v>
      </x:c>
      <x:c r="L234" s="15" t="n">
        <x:v>0.4127</x:v>
      </x:c>
      <x:c r="M234" s="1" t="n">
        <x:v>3</x:v>
      </x:c>
      <x:c r="N234" s="1" t="str">
        <x:v>2025-2026</x:v>
      </x:c>
      <x:c r="O234" s="1" t="str">
        <x:v>2026-10-09</x:v>
      </x:c>
      <x:c r="P234" s="1" t="str">
        <x:v>Live</x:v>
      </x:c>
      <x:c r="Q234" s="1" t="str">
        <x:v>3712</x:v>
      </x:c>
      <x:c r="R234" s="1" t="str">
        <x:v>126515001</x:v>
      </x:c>
      <x:c r="S234" s="1"/>
      <x:c r="T234" s="1" t="str">
        <x:v>5300</x:v>
      </x:c>
      <x:c r="U234" s="1" t="str">
        <x:v>215-400-7470</x:v>
      </x:c>
      <x:c r="V234" s="1" t="str">
        <x:v>https://hackett.philasd.org/</x:v>
      </x:c>
      <x:c r="W234" s="1" t="str">
        <x:v>2026-2027</x:v>
      </x:c>
      <x:c r="X234" s="1" t="str">
        <x:v>2026-2027</x:v>
      </x:c>
      <x:c r="Y234" s="1" t="str">
        <x:v>1</x:v>
      </x:c>
      <x:c r="Z234" s="1" t="str">
        <x:v>1</x:v>
      </x:c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</x:row>
    <x:row r="235" ht="22" customHeight="1">
      <x:c r="A235" s="2" t="str">
        <x:v>6260</x:v>
      </x:c>
      <x:c r="B235" s="2" t="str">
        <x:v>Henry H. Houston School</x:v>
      </x:c>
      <x:c r="C235" s="2" t="str">
        <x:v>District</x:v>
      </x:c>
      <x:c r="D235" s="2" t="str">
        <x:v>Yes</x:v>
      </x:c>
      <x:c r="E235" s="2" t="str">
        <x:v>Elementary-Middle</x:v>
      </x:c>
      <x:c r="F235" s="2" t="str">
        <x:v>7300 RURAL LN</x:v>
      </x:c>
      <x:c r="G235" s="2" t="str">
        <x:v>PHILADELPHIA</x:v>
      </x:c>
      <x:c r="H235" s="2" t="str">
        <x:v>19119</x:v>
      </x:c>
      <x:c r="I235" s="2" t="n">
        <x:v>40.059003</x:v>
      </x:c>
      <x:c r="J235" s="2" t="n">
        <x:v>-75.195084</x:v>
      </x:c>
      <x:c r="K235" s="2" t="n">
        <x:v>473</x:v>
      </x:c>
      <x:c r="L235" s="15" t="n">
        <x:v>0.5095</x:v>
      </x:c>
      <x:c r="M235" s="1" t="n">
        <x:v>2</x:v>
      </x:c>
      <x:c r="N235" s="1" t="str">
        <x:v>2025-2026</x:v>
      </x:c>
      <x:c r="O235" s="1" t="str">
        <x:v>2026-10-09</x:v>
      </x:c>
      <x:c r="P235" s="1" t="str">
        <x:v>Live</x:v>
      </x:c>
      <x:c r="Q235" s="1" t="str">
        <x:v>3713</x:v>
      </x:c>
      <x:c r="R235" s="1" t="str">
        <x:v>126515001</x:v>
      </x:c>
      <x:c r="S235" s="1"/>
      <x:c r="T235" s="1" t="str">
        <x:v>5320</x:v>
      </x:c>
      <x:c r="U235" s="1" t="str">
        <x:v>215-400-7090</x:v>
      </x:c>
      <x:c r="V235" s="1" t="str">
        <x:v>https://hartranft.philasd.org/</x:v>
      </x:c>
      <x:c r="W235" s="1" t="str">
        <x:v>2026-2027</x:v>
      </x:c>
      <x:c r="X235" s="1" t="str">
        <x:v>2026-2027</x:v>
      </x:c>
      <x:c r="Y235" s="1" t="str">
        <x:v>1</x:v>
      </x:c>
      <x:c r="Z235" s="1" t="str">
        <x:v>1</x:v>
      </x:c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</x:row>
    <x:row r="236" ht="22" customHeight="1">
      <x:c r="A236" s="2" t="str">
        <x:v>6270</x:v>
      </x:c>
      <x:c r="B236" s="2" t="str">
        <x:v>John S. Jenks Academy for the Arts and Sciences</x:v>
      </x:c>
      <x:c r="C236" s="2" t="str">
        <x:v>District</x:v>
      </x:c>
      <x:c r="D236" s="2" t="str">
        <x:v>Yes</x:v>
      </x:c>
      <x:c r="E236" s="2" t="str">
        <x:v>Elementary-Middle</x:v>
      </x:c>
      <x:c r="F236" s="2" t="str">
        <x:v>8301 GERMANTOWN AVE</x:v>
      </x:c>
      <x:c r="G236" s="2" t="str">
        <x:v>PHILADELPHIA</x:v>
      </x:c>
      <x:c r="H236" s="2" t="str">
        <x:v>19118</x:v>
      </x:c>
      <x:c r="I236" s="2" t="n">
        <x:v>40.07440887</x:v>
      </x:c>
      <x:c r="J236" s="2" t="n">
        <x:v>-75.20356162</x:v>
      </x:c>
      <x:c r="K236" s="2" t="n">
        <x:v>380</x:v>
      </x:c>
      <x:c r="L236" s="15" t="n">
        <x:v>0.6078</x:v>
      </x:c>
      <x:c r="M236" s="1" t="n">
        <x:v>0</x:v>
      </x:c>
      <x:c r="N236" s="1" t="str">
        <x:v>2025-2026</x:v>
      </x:c>
      <x:c r="O236" s="1" t="str">
        <x:v>2026-10-09</x:v>
      </x:c>
      <x:c r="P236" s="1" t="str">
        <x:v>Live</x:v>
      </x:c>
      <x:c r="Q236" s="1" t="str">
        <x:v>3714</x:v>
      </x:c>
      <x:c r="R236" s="1" t="str">
        <x:v>126515001</x:v>
      </x:c>
      <x:c r="S236" s="1"/>
      <x:c r="T236" s="1" t="str">
        <x:v>5330</x:v>
      </x:c>
      <x:c r="U236" s="1" t="str">
        <x:v>215-400-7110</x:v>
      </x:c>
      <x:c r="V236" s="1" t="str">
        <x:v>https://hunter.philasd.org/</x:v>
      </x:c>
      <x:c r="W236" s="1" t="str">
        <x:v>2026-2027</x:v>
      </x:c>
      <x:c r="X236" s="1" t="str">
        <x:v>2026-2027</x:v>
      </x:c>
      <x:c r="Y236" s="1" t="str">
        <x:v>1</x:v>
      </x:c>
      <x:c r="Z236" s="1" t="str">
        <x:v>1</x:v>
      </x:c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</x:row>
    <x:row r="237" ht="22" customHeight="1">
      <x:c r="A237" s="2" t="str">
        <x:v>6300</x:v>
      </x:c>
      <x:c r="B237" s="2" t="str">
        <x:v>James Logan School</x:v>
      </x:c>
      <x:c r="C237" s="2" t="str">
        <x:v>District</x:v>
      </x:c>
      <x:c r="D237" s="2" t="str">
        <x:v>Yes</x:v>
      </x:c>
      <x:c r="E237" s="2" t="str">
        <x:v>Elementary</x:v>
      </x:c>
      <x:c r="F237" s="2" t="str">
        <x:v>1700 LINDLEY AVE</x:v>
      </x:c>
      <x:c r="G237" s="2" t="str">
        <x:v>PHILADELPHIA</x:v>
      </x:c>
      <x:c r="H237" s="2" t="str">
        <x:v>19141</x:v>
      </x:c>
      <x:c r="I237" s="2" t="n">
        <x:v>40.03085306</x:v>
      </x:c>
      <x:c r="J237" s="2" t="n">
        <x:v>-75.15205995</x:v>
      </x:c>
      <x:c r="K237" s="2" t="n">
        <x:v>223</x:v>
      </x:c>
      <x:c r="L237" s="15" t="n">
        <x:v>0.9023</x:v>
      </x:c>
      <x:c r="M237" s="1" t="n">
        <x:v>8</x:v>
      </x:c>
      <x:c r="N237" s="1" t="str">
        <x:v>2025-2026</x:v>
      </x:c>
      <x:c r="O237" s="1" t="str">
        <x:v>2026-10-09</x:v>
      </x:c>
      <x:c r="P237" s="1" t="str">
        <x:v>Live</x:v>
      </x:c>
      <x:c r="Q237" s="1" t="str">
        <x:v>3718</x:v>
      </x:c>
      <x:c r="R237" s="1" t="str">
        <x:v>126515001</x:v>
      </x:c>
      <x:c r="S237" s="1"/>
      <x:c r="T237" s="1" t="str">
        <x:v>5340</x:v>
      </x:c>
      <x:c r="U237" s="1" t="str">
        <x:v>215-400-7430</x:v>
      </x:c>
      <x:c r="V237" s="1" t="str">
        <x:v>https://ludlow.philasd.org/</x:v>
      </x:c>
      <x:c r="W237" s="1" t="str">
        <x:v>2026-2027</x:v>
      </x:c>
      <x:c r="X237" s="1" t="str">
        <x:v>2026-2027</x:v>
      </x:c>
      <x:c r="Y237" s="1" t="str">
        <x:v>1</x:v>
      </x:c>
      <x:c r="Z237" s="1" t="str">
        <x:v>1</x:v>
      </x:c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</x:row>
    <x:row r="238" ht="22" customHeight="1">
      <x:c r="A238" s="2" t="str">
        <x:v>6310</x:v>
      </x:c>
      <x:c r="B238" s="2" t="str">
        <x:v>John F. McCloskey School</x:v>
      </x:c>
      <x:c r="C238" s="2" t="str">
        <x:v>District</x:v>
      </x:c>
      <x:c r="D238" s="2" t="str">
        <x:v>Yes</x:v>
      </x:c>
      <x:c r="E238" s="2" t="str">
        <x:v>Elementary-Middle</x:v>
      </x:c>
      <x:c r="F238" s="2" t="str">
        <x:v>8500 PICKERING AVE</x:v>
      </x:c>
      <x:c r="G238" s="2" t="str">
        <x:v>PHILADELPHIA</x:v>
      </x:c>
      <x:c r="H238" s="2" t="str">
        <x:v>19150</x:v>
      </x:c>
      <x:c r="I238" s="2" t="n">
        <x:v>40.08162668</x:v>
      </x:c>
      <x:c r="J238" s="2" t="n">
        <x:v>-75.17533748</x:v>
      </x:c>
      <x:c r="K238" s="2" t="n">
        <x:v>217</x:v>
      </x:c>
      <x:c r="L238" s="15" t="n">
        <x:v>0.7557</x:v>
      </x:c>
      <x:c r="M238" s="1" t="n">
        <x:v>0</x:v>
      </x:c>
      <x:c r="N238" s="1" t="str">
        <x:v>2025-2026</x:v>
      </x:c>
      <x:c r="O238" s="1" t="str">
        <x:v>2026-10-09</x:v>
      </x:c>
      <x:c r="P238" s="1" t="str">
        <x:v>Live</x:v>
      </x:c>
      <x:c r="Q238" s="1" t="str">
        <x:v>3719</x:v>
      </x:c>
      <x:c r="R238" s="1" t="str">
        <x:v>126515001</x:v>
      </x:c>
      <x:c r="S238" s="1"/>
      <x:c r="T238" s="1" t="str">
        <x:v>5350</x:v>
      </x:c>
      <x:c r="U238" s="1" t="str">
        <x:v>215-400-7440</x:v>
      </x:c>
      <x:c r="V238" s="1" t="str">
        <x:v>https://mckinley.philasd.org/</x:v>
      </x:c>
      <x:c r="W238" s="1" t="str">
        <x:v>2026-2027</x:v>
      </x:c>
      <x:c r="X238" s="1" t="str">
        <x:v>2026-2027</x:v>
      </x:c>
      <x:c r="Y238" s="1" t="str">
        <x:v>1</x:v>
      </x:c>
      <x:c r="Z238" s="1" t="str">
        <x:v>1</x:v>
      </x:c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</x:row>
    <x:row r="239" ht="22" customHeight="1">
      <x:c r="A239" s="2" t="str">
        <x:v>6320</x:v>
      </x:c>
      <x:c r="B239" s="2" t="str">
        <x:v>Thomas Mifflin School</x:v>
      </x:c>
      <x:c r="C239" s="2" t="str">
        <x:v>District</x:v>
      </x:c>
      <x:c r="D239" s="2" t="str">
        <x:v>Yes</x:v>
      </x:c>
      <x:c r="E239" s="2" t="str">
        <x:v>Elementary-Middle</x:v>
      </x:c>
      <x:c r="F239" s="2" t="str">
        <x:v>3624 CONRAD ST</x:v>
      </x:c>
      <x:c r="G239" s="2" t="str">
        <x:v>PHILADELPHIA</x:v>
      </x:c>
      <x:c r="H239" s="2" t="str">
        <x:v>19129</x:v>
      </x:c>
      <x:c r="I239" s="2" t="n">
        <x:v>40.01357043</x:v>
      </x:c>
      <x:c r="J239" s="2" t="n">
        <x:v>-75.19128804</x:v>
      </x:c>
      <x:c r="K239" s="2" t="n">
        <x:v>396</x:v>
      </x:c>
      <x:c r="L239" s="15" t="n">
        <x:v>0.6037</x:v>
      </x:c>
      <x:c r="M239" s="1" t="n">
        <x:v>3</x:v>
      </x:c>
      <x:c r="N239" s="1" t="str">
        <x:v>2025-2026</x:v>
      </x:c>
      <x:c r="O239" s="1" t="str">
        <x:v>2026-10-09</x:v>
      </x:c>
      <x:c r="P239" s="1" t="str">
        <x:v>Live</x:v>
      </x:c>
      <x:c r="Q239" s="1" t="str">
        <x:v>3720</x:v>
      </x:c>
      <x:c r="R239" s="1" t="str">
        <x:v>126515001</x:v>
      </x:c>
      <x:c r="S239" s="1"/>
      <x:c r="T239" s="1" t="str">
        <x:v>5370</x:v>
      </x:c>
      <x:c r="U239" s="1" t="str">
        <x:v>215-400-7390</x:v>
      </x:c>
      <x:c r="V239" s="1" t="str">
        <x:v>https://moffet.philasd.org/</x:v>
      </x:c>
      <x:c r="W239" s="1" t="str">
        <x:v>2026-2027</x:v>
      </x:c>
      <x:c r="X239" s="1" t="str">
        <x:v>2026-2027</x:v>
      </x:c>
      <x:c r="Y239" s="1" t="str">
        <x:v>1</x:v>
      </x:c>
      <x:c r="Z239" s="1" t="str">
        <x:v>1</x:v>
      </x:c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</x:row>
    <x:row r="240" ht="22" customHeight="1">
      <x:c r="A240" s="2" t="str">
        <x:v>6340</x:v>
      </x:c>
      <x:c r="B240" s="2" t="str">
        <x:v>Joseph Pennell School</x:v>
      </x:c>
      <x:c r="C240" s="2" t="str">
        <x:v>District</x:v>
      </x:c>
      <x:c r="D240" s="2" t="str">
        <x:v>Yes</x:v>
      </x:c>
      <x:c r="E240" s="2" t="str">
        <x:v>Elementary</x:v>
      </x:c>
      <x:c r="F240" s="2" t="str">
        <x:v>1800 NEDRO AVE</x:v>
      </x:c>
      <x:c r="G240" s="2" t="str">
        <x:v>PHILADELPHIA</x:v>
      </x:c>
      <x:c r="H240" s="2" t="str">
        <x:v>19141</x:v>
      </x:c>
      <x:c r="I240" s="2" t="n">
        <x:v>40.04351806</x:v>
      </x:c>
      <x:c r="J240" s="2" t="n">
        <x:v>-75.15208663</x:v>
      </x:c>
      <x:c r="K240" s="2" t="n">
        <x:v>249</x:v>
      </x:c>
      <x:c r="L240" s="15" t="n">
        <x:v>0.8844</x:v>
      </x:c>
      <x:c r="M240" s="1" t="n">
        <x:v>13</x:v>
      </x:c>
      <x:c r="N240" s="1" t="str">
        <x:v>2025-2026</x:v>
      </x:c>
      <x:c r="O240" s="1" t="str">
        <x:v>2026-10-09</x:v>
      </x:c>
      <x:c r="P240" s="1" t="str">
        <x:v>Live</x:v>
      </x:c>
      <x:c r="Q240" s="1" t="str">
        <x:v>3722</x:v>
      </x:c>
      <x:c r="R240" s="1" t="str">
        <x:v>126515001</x:v>
      </x:c>
      <x:c r="S240" s="1"/>
      <x:c r="T240" s="1" t="str">
        <x:v>5390</x:v>
      </x:c>
      <x:c r="U240" s="1" t="str">
        <x:v>215-400-7120</x:v>
      </x:c>
      <x:c r="V240" s="1" t="str">
        <x:v>https://potterthomas.philasd.org/</x:v>
      </x:c>
      <x:c r="W240" s="1" t="str">
        <x:v>2026-2027</x:v>
      </x:c>
      <x:c r="X240" s="1" t="str">
        <x:v>2026-2027</x:v>
      </x:c>
      <x:c r="Y240" s="1" t="str">
        <x:v>1</x:v>
      </x:c>
      <x:c r="Z240" s="1" t="str">
        <x:v>1</x:v>
      </x:c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</x:row>
    <x:row r="241" ht="22" customHeight="1">
      <x:c r="A241" s="2" t="str">
        <x:v>6350</x:v>
      </x:c>
      <x:c r="B241" s="2" t="str">
        <x:v>Samuel Pennypacker School</x:v>
      </x:c>
      <x:c r="C241" s="2" t="str">
        <x:v>District</x:v>
      </x:c>
      <x:c r="D241" s="2" t="str">
        <x:v>Yes</x:v>
      </x:c>
      <x:c r="E241" s="2" t="str">
        <x:v>Elementary-Middle</x:v>
      </x:c>
      <x:c r="F241" s="2" t="str">
        <x:v>1858 E WASHINGTON LN</x:v>
      </x:c>
      <x:c r="G241" s="2" t="str">
        <x:v>PHILADELPHIA</x:v>
      </x:c>
      <x:c r="H241" s="2" t="str">
        <x:v>19138</x:v>
      </x:c>
      <x:c r="I241" s="2" t="n">
        <x:v>40.06527032</x:v>
      </x:c>
      <x:c r="J241" s="2" t="n">
        <x:v>-75.1597946</x:v>
      </x:c>
      <x:c r="K241" s="2" t="n">
        <x:v>302</x:v>
      </x:c>
      <x:c r="L241" s="15" t="n">
        <x:v>0.8693</x:v>
      </x:c>
      <x:c r="M241" s="1" t="n">
        <x:v>6</x:v>
      </x:c>
      <x:c r="N241" s="1" t="str">
        <x:v>2025-2026</x:v>
      </x:c>
      <x:c r="O241" s="1" t="str">
        <x:v>2026-10-09</x:v>
      </x:c>
      <x:c r="P241" s="1" t="str">
        <x:v>Live</x:v>
      </x:c>
      <x:c r="Q241" s="1" t="str">
        <x:v>6539</x:v>
      </x:c>
      <x:c r="R241" s="1" t="str">
        <x:v>126515001</x:v>
      </x:c>
      <x:c r="S241" s="1"/>
      <x:c r="T241" s="1" t="str">
        <x:v>5400</x:v>
      </x:c>
      <x:c r="U241" s="1" t="str">
        <x:v>215-400-7150</x:v>
      </x:c>
      <x:c r="V241" s="1" t="str">
        <x:v>https://richmond.philasd.org/</x:v>
      </x:c>
      <x:c r="W241" s="1" t="str">
        <x:v>2026-2027</x:v>
      </x:c>
      <x:c r="X241" s="1" t="str">
        <x:v>2026-2027</x:v>
      </x:c>
      <x:c r="Y241" s="1" t="str">
        <x:v>1</x:v>
      </x:c>
      <x:c r="Z241" s="1" t="str">
        <x:v>1</x:v>
      </x:c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</x:row>
    <x:row r="242" ht="22" customHeight="1">
      <x:c r="A242" s="2" t="str">
        <x:v>6360</x:v>
      </x:c>
      <x:c r="B242" s="2" t="str">
        <x:v>Theodore Roosevelt School</x:v>
      </x:c>
      <x:c r="C242" s="2" t="str">
        <x:v>District</x:v>
      </x:c>
      <x:c r="D242" s="2" t="str">
        <x:v>Yes</x:v>
      </x:c>
      <x:c r="E242" s="2" t="str">
        <x:v>Elementary-Middle</x:v>
      </x:c>
      <x:c r="F242" s="2" t="str">
        <x:v>430 E WASHINGTON LN</x:v>
      </x:c>
      <x:c r="G242" s="2" t="str">
        <x:v>PHILADELPHIA</x:v>
      </x:c>
      <x:c r="H242" s="2" t="str">
        <x:v>19144</x:v>
      </x:c>
      <x:c r="I242" s="2" t="n">
        <x:v>40.04856262</x:v>
      </x:c>
      <x:c r="J242" s="2" t="n">
        <x:v>-75.17529079</x:v>
      </x:c>
      <x:c r="K242" s="2" t="n">
        <x:v>407</x:v>
      </x:c>
      <x:c r="L242" s="15" t="n">
        <x:v>0.9158</x:v>
      </x:c>
      <x:c r="M242" s="1" t="n">
        <x:v>18</x:v>
      </x:c>
      <x:c r="N242" s="1" t="str">
        <x:v>2025-2026</x:v>
      </x:c>
      <x:c r="O242" s="1" t="str">
        <x:v>2026-10-09</x:v>
      </x:c>
      <x:c r="P242" s="1" t="str">
        <x:v>Live</x:v>
      </x:c>
      <x:c r="Q242" s="1" t="str">
        <x:v>8296</x:v>
      </x:c>
      <x:c r="R242" s="1" t="str">
        <x:v>126515001</x:v>
      </x:c>
      <x:c r="S242" s="1"/>
      <x:c r="T242" s="1" t="str">
        <x:v>5410</x:v>
      </x:c>
      <x:c r="U242" s="1" t="str">
        <x:v>215-400-7070</x:v>
      </x:c>
      <x:c r="V242" s="1" t="str">
        <x:v>https://sheppard.philasd.org/</x:v>
      </x:c>
      <x:c r="W242" s="1" t="str">
        <x:v>2026-2027</x:v>
      </x:c>
      <x:c r="X242" s="1" t="str">
        <x:v>2026-2027</x:v>
      </x:c>
      <x:c r="Y242" s="1" t="str">
        <x:v>1</x:v>
      </x:c>
      <x:c r="Z242" s="1" t="str">
        <x:v>1</x:v>
      </x:c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</x:row>
    <x:row r="243" ht="22" customHeight="1">
      <x:c r="A243" s="2" t="str">
        <x:v>6380</x:v>
      </x:c>
      <x:c r="B243" s="2" t="str">
        <x:v>Shawmont School</x:v>
      </x:c>
      <x:c r="C243" s="2" t="str">
        <x:v>District</x:v>
      </x:c>
      <x:c r="D243" s="2" t="str">
        <x:v>Yes</x:v>
      </x:c>
      <x:c r="E243" s="2" t="str">
        <x:v>Elementary-Middle</x:v>
      </x:c>
      <x:c r="F243" s="2" t="str">
        <x:v>535 SHAWMONT AVE</x:v>
      </x:c>
      <x:c r="G243" s="2" t="str">
        <x:v>PHILADELPHIA</x:v>
      </x:c>
      <x:c r="H243" s="2" t="str">
        <x:v>19128</x:v>
      </x:c>
      <x:c r="I243" s="2" t="n">
        <x:v>40.051478</x:v>
      </x:c>
      <x:c r="J243" s="2" t="n">
        <x:v>-75.238543</x:v>
      </x:c>
      <x:c r="K243" s="2" t="n">
        <x:v>457</x:v>
      </x:c>
      <x:c r="L243" s="15" t="n">
        <x:v>0.6284</x:v>
      </x:c>
      <x:c r="M243" s="1" t="n">
        <x:v>0</x:v>
      </x:c>
      <x:c r="N243" s="1" t="str">
        <x:v>2025-2026</x:v>
      </x:c>
      <x:c r="O243" s="1" t="str">
        <x:v>2026-10-09</x:v>
      </x:c>
      <x:c r="P243" s="1" t="str">
        <x:v>Live</x:v>
      </x:c>
      <x:c r="Q243" s="1" t="str">
        <x:v>3725</x:v>
      </x:c>
      <x:c r="R243" s="1" t="str">
        <x:v>126515001</x:v>
      </x:c>
      <x:c r="S243" s="1"/>
      <x:c r="T243" s="1" t="str">
        <x:v>5420</x:v>
      </x:c>
      <x:c r="U243" s="1" t="str">
        <x:v>215-400-7130</x:v>
      </x:c>
      <x:c r="V243" s="1" t="str">
        <x:v>https://welsh.philasd.org/</x:v>
      </x:c>
      <x:c r="W243" s="1" t="str">
        <x:v>2026-2027</x:v>
      </x:c>
      <x:c r="X243" s="1" t="str">
        <x:v>2026-2027</x:v>
      </x:c>
      <x:c r="Y243" s="1" t="str">
        <x:v>1</x:v>
      </x:c>
      <x:c r="Z243" s="1" t="str">
        <x:v>1</x:v>
      </x:c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</x:row>
    <x:row r="244" ht="22" customHeight="1">
      <x:c r="A244" s="2" t="str">
        <x:v>6390</x:v>
      </x:c>
      <x:c r="B244" s="2" t="str">
        <x:v>Edward T. Steel School</x:v>
      </x:c>
      <x:c r="C244" s="2" t="str">
        <x:v>District</x:v>
      </x:c>
      <x:c r="D244" s="2" t="str">
        <x:v>Yes</x:v>
      </x:c>
      <x:c r="E244" s="2" t="str">
        <x:v>Elementary-Middle</x:v>
      </x:c>
      <x:c r="F244" s="2" t="str">
        <x:v>4301 WAYNE AVE</x:v>
      </x:c>
      <x:c r="G244" s="2" t="str">
        <x:v>PHILADELPHIA</x:v>
      </x:c>
      <x:c r="H244" s="2" t="str">
        <x:v>19140</x:v>
      </x:c>
      <x:c r="I244" s="2" t="n">
        <x:v>40.01879502</x:v>
      </x:c>
      <x:c r="J244" s="2" t="n">
        <x:v>-75.15689064</x:v>
      </x:c>
      <x:c r="K244" s="2" t="n">
        <x:v>331</x:v>
      </x:c>
      <x:c r="L244" s="15" t="n">
        <x:v>0.9016</x:v>
      </x:c>
      <x:c r="M244" s="1" t="n">
        <x:v>7</x:v>
      </x:c>
      <x:c r="N244" s="1" t="str">
        <x:v>2025-2026</x:v>
      </x:c>
      <x:c r="O244" s="1" t="str">
        <x:v>2026-10-09</x:v>
      </x:c>
      <x:c r="P244" s="1" t="str">
        <x:v>Live</x:v>
      </x:c>
      <x:c r="Q244" s="1" t="str">
        <x:v>3727</x:v>
      </x:c>
      <x:c r="R244" s="1" t="str">
        <x:v>126515001</x:v>
      </x:c>
      <x:c r="S244" s="1"/>
      <x:c r="T244" s="1" t="str">
        <x:v>5430</x:v>
      </x:c>
      <x:c r="U244" s="1" t="str">
        <x:v>215-400-7190</x:v>
      </x:c>
      <x:c r="V244" s="1" t="str">
        <x:v>https://amymartin.philasd.org/</x:v>
      </x:c>
      <x:c r="W244" s="1" t="str">
        <x:v>2026-2027</x:v>
      </x:c>
      <x:c r="X244" s="1" t="str">
        <x:v>2026-2027</x:v>
      </x:c>
      <x:c r="Y244" s="1" t="str">
        <x:v>1</x:v>
      </x:c>
      <x:c r="Z244" s="1" t="str">
        <x:v>1</x:v>
      </x:c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</x:row>
    <x:row r="245" ht="22" customHeight="1">
      <x:c r="A245" s="2" t="str">
        <x:v>6400</x:v>
      </x:c>
      <x:c r="B245" s="2" t="str">
        <x:v>Widener Memorial School</x:v>
      </x:c>
      <x:c r="C245" s="2" t="str">
        <x:v>District</x:v>
      </x:c>
      <x:c r="D245" s="2" t="str">
        <x:v>Yes</x:v>
      </x:c>
      <x:c r="E245" s="2" t="str">
        <x:v>Elementary-Middle-High</x:v>
      </x:c>
      <x:c r="F245" s="2" t="str">
        <x:v>1450 W OLNEY AVE</x:v>
      </x:c>
      <x:c r="G245" s="2" t="str">
        <x:v>PHILADELPHIA</x:v>
      </x:c>
      <x:c r="H245" s="2" t="str">
        <x:v>19141</x:v>
      </x:c>
      <x:c r="I245" s="2" t="n">
        <x:v>40.036706</x:v>
      </x:c>
      <x:c r="J245" s="2" t="n">
        <x:v>-75.146598</x:v>
      </x:c>
      <x:c r="K245" s="2" t="n">
        <x:v>138</x:v>
      </x:c>
      <x:c r="L245" s="15" t="n">
        <x:v>0.7985</x:v>
      </x:c>
      <x:c r="M245" s="1" t="n">
        <x:v>9</x:v>
      </x:c>
      <x:c r="N245" s="1" t="str">
        <x:v>2025-2026</x:v>
      </x:c>
      <x:c r="O245" s="1" t="str">
        <x:v>2026-10-09</x:v>
      </x:c>
      <x:c r="P245" s="1" t="str">
        <x:v>Live</x:v>
      </x:c>
      <x:c r="Q245" s="1" t="str">
        <x:v>3728</x:v>
      </x:c>
      <x:c r="R245" s="1" t="str">
        <x:v>126515001</x:v>
      </x:c>
      <x:c r="S245" s="1"/>
      <x:c r="T245" s="1" t="str">
        <x:v>5440</x:v>
      </x:c>
      <x:c r="U245" s="1" t="str">
        <x:v>215-400-7180</x:v>
      </x:c>
      <x:c r="V245" s="1" t="str">
        <x:v>https://willard.philasd.org/</x:v>
      </x:c>
      <x:c r="W245" s="1" t="str">
        <x:v>2026-2027</x:v>
      </x:c>
      <x:c r="X245" s="1" t="str">
        <x:v>2026-2027</x:v>
      </x:c>
      <x:c r="Y245" s="1" t="str">
        <x:v>1</x:v>
      </x:c>
      <x:c r="Z245" s="1" t="str">
        <x:v>1</x:v>
      </x:c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</x:row>
    <x:row r="246" ht="22" customHeight="1">
      <x:c r="A246" s="2" t="str">
        <x:v>6410</x:v>
      </x:c>
      <x:c r="B246" s="2" t="str">
        <x:v>Cook-Wissahickon School</x:v>
      </x:c>
      <x:c r="C246" s="2" t="str">
        <x:v>District</x:v>
      </x:c>
      <x:c r="D246" s="2" t="str">
        <x:v>Yes</x:v>
      </x:c>
      <x:c r="E246" s="2" t="str">
        <x:v>Elementary-Middle</x:v>
      </x:c>
      <x:c r="F246" s="2" t="str">
        <x:v>201 E SALAIGNAC ST</x:v>
      </x:c>
      <x:c r="G246" s="2" t="str">
        <x:v>PHILADELPHIA</x:v>
      </x:c>
      <x:c r="H246" s="2" t="str">
        <x:v>19128</x:v>
      </x:c>
      <x:c r="I246" s="2" t="n">
        <x:v>40.022472</x:v>
      </x:c>
      <x:c r="J246" s="2" t="n">
        <x:v>-75.206802</x:v>
      </x:c>
      <x:c r="K246" s="2" t="n">
        <x:v>426</x:v>
      </x:c>
      <x:c r="L246" s="15" t="n">
        <x:v>0.474</x:v>
      </x:c>
      <x:c r="M246" s="1" t="n">
        <x:v>1</x:v>
      </x:c>
      <x:c r="N246" s="1" t="str">
        <x:v>2025-2026</x:v>
      </x:c>
      <x:c r="O246" s="1" t="str">
        <x:v>2026-10-09</x:v>
      </x:c>
      <x:c r="P246" s="1" t="str">
        <x:v>Live</x:v>
      </x:c>
      <x:c r="Q246" s="1" t="str">
        <x:v>5122</x:v>
      </x:c>
      <x:c r="R246" s="1" t="str">
        <x:v>126515001</x:v>
      </x:c>
      <x:c r="S246" s="1"/>
      <x:c r="T246" s="1" t="str">
        <x:v>5470</x:v>
      </x:c>
      <x:c r="U246" s="1" t="str">
        <x:v>215-400-3860</x:v>
      </x:c>
      <x:c r="V246" s="1" t="str">
        <x:v>https://cramp.philasd.org/</x:v>
      </x:c>
      <x:c r="W246" s="1" t="str">
        <x:v>2026-2027</x:v>
      </x:c>
      <x:c r="X246" s="1" t="str">
        <x:v>2026-2027</x:v>
      </x:c>
      <x:c r="Y246" s="1" t="str">
        <x:v>1</x:v>
      </x:c>
      <x:c r="Z246" s="1" t="str">
        <x:v>1</x:v>
      </x:c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</x:row>
    <x:row r="247" ht="22" customHeight="1">
      <x:c r="A247" s="2" t="str">
        <x:v>6440</x:v>
      </x:c>
      <x:c r="B247" s="2" t="str">
        <x:v>Anna L. Lingelbach School</x:v>
      </x:c>
      <x:c r="C247" s="2" t="str">
        <x:v>District</x:v>
      </x:c>
      <x:c r="D247" s="2" t="str">
        <x:v>Yes</x:v>
      </x:c>
      <x:c r="E247" s="2" t="str">
        <x:v>Elementary-Middle</x:v>
      </x:c>
      <x:c r="F247" s="2" t="str">
        <x:v>6340 WAYNE AVE</x:v>
      </x:c>
      <x:c r="G247" s="2" t="str">
        <x:v>PHILADELPHIA</x:v>
      </x:c>
      <x:c r="H247" s="2" t="str">
        <x:v>19144</x:v>
      </x:c>
      <x:c r="I247" s="2" t="n">
        <x:v>40.03708413</x:v>
      </x:c>
      <x:c r="J247" s="2" t="n">
        <x:v>-75.18961364</x:v>
      </x:c>
      <x:c r="K247" s="2" t="n">
        <x:v>366</x:v>
      </x:c>
      <x:c r="L247" s="15" t="n">
        <x:v>0.6328</x:v>
      </x:c>
      <x:c r="M247" s="1" t="n">
        <x:v>12</x:v>
      </x:c>
      <x:c r="N247" s="1" t="str">
        <x:v>2025-2026</x:v>
      </x:c>
      <x:c r="O247" s="1" t="str">
        <x:v>2026-10-09</x:v>
      </x:c>
      <x:c r="P247" s="1" t="str">
        <x:v>Live</x:v>
      </x:c>
      <x:c r="Q247" s="1" t="str">
        <x:v>3717</x:v>
      </x:c>
      <x:c r="R247" s="1" t="str">
        <x:v>126515001</x:v>
      </x:c>
      <x:c r="S247" s="1"/>
      <x:c r="T247" s="1" t="str">
        <x:v>5480</x:v>
      </x:c>
      <x:c r="U247" s="1" t="str">
        <x:v>215-400-7590</x:v>
      </x:c>
      <x:c r="V247" s="1" t="str">
        <x:v>https://kearny.philasd.org/</x:v>
      </x:c>
      <x:c r="W247" s="1" t="str">
        <x:v>2026-2027</x:v>
      </x:c>
      <x:c r="X247" s="1" t="str">
        <x:v>2026-2027</x:v>
      </x:c>
      <x:c r="Y247" s="1" t="str">
        <x:v>1</x:v>
      </x:c>
      <x:c r="Z247" s="1" t="str">
        <x:v>1</x:v>
      </x:c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</x:row>
    <x:row r="248" ht="22" customHeight="1">
      <x:c r="A248" s="2" t="str">
        <x:v>6450</x:v>
      </x:c>
      <x:c r="B248" s="2" t="str">
        <x:v>James Dobson School</x:v>
      </x:c>
      <x:c r="C248" s="2" t="str">
        <x:v>District</x:v>
      </x:c>
      <x:c r="D248" s="2" t="str">
        <x:v>Yes</x:v>
      </x:c>
      <x:c r="E248" s="2" t="str">
        <x:v>Elementary-Middle</x:v>
      </x:c>
      <x:c r="F248" s="2" t="str">
        <x:v>4667 UMBRIA ST</x:v>
      </x:c>
      <x:c r="G248" s="2" t="str">
        <x:v>PHILADELPHIA</x:v>
      </x:c>
      <x:c r="H248" s="2" t="str">
        <x:v>19127</x:v>
      </x:c>
      <x:c r="I248" s="2" t="n">
        <x:v>40.03147536</x:v>
      </x:c>
      <x:c r="J248" s="2" t="n">
        <x:v>-75.23067163</x:v>
      </x:c>
      <x:c r="K248" s="2" t="n">
        <x:v>253</x:v>
      </x:c>
      <x:c r="L248" s="15" t="n">
        <x:v>0.4901</x:v>
      </x:c>
      <x:c r="M248" s="1" t="n">
        <x:v>1</x:v>
      </x:c>
      <x:c r="N248" s="1" t="str">
        <x:v>2025-2026</x:v>
      </x:c>
      <x:c r="O248" s="1" t="str">
        <x:v>2026-10-09</x:v>
      </x:c>
      <x:c r="P248" s="1" t="str">
        <x:v>Live</x:v>
      </x:c>
      <x:c r="Q248" s="1" t="str">
        <x:v>3726</x:v>
      </x:c>
      <x:c r="R248" s="1" t="str">
        <x:v>126515001</x:v>
      </x:c>
      <x:c r="S248" s="1"/>
      <x:c r="T248" s="1" t="str">
        <x:v>5490</x:v>
      </x:c>
      <x:c r="U248" s="1" t="str">
        <x:v>215-400-3850</x:v>
      </x:c>
      <x:c r="V248" s="1" t="str">
        <x:v>https://cayuga.philasd.org/</x:v>
      </x:c>
      <x:c r="W248" s="1" t="str">
        <x:v>2026-2027</x:v>
      </x:c>
      <x:c r="X248" s="1" t="str">
        <x:v>2026-2027</x:v>
      </x:c>
      <x:c r="Y248" s="1" t="str">
        <x:v>1</x:v>
      </x:c>
      <x:c r="Z248" s="1" t="str">
        <x:v>1</x:v>
      </x:c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</x:row>
    <x:row r="249" ht="22" customHeight="1">
      <x:c r="A249" s="2" t="str">
        <x:v>6460</x:v>
      </x:c>
      <x:c r="B249" s="2" t="str">
        <x:v>Hill-Freedman World Academy</x:v>
      </x:c>
      <x:c r="C249" s="2" t="str">
        <x:v>District</x:v>
      </x:c>
      <x:c r="D249" s="2" t="str">
        <x:v>Yes</x:v>
      </x:c>
      <x:c r="E249" s="2" t="str">
        <x:v>Middle-High</x:v>
      </x:c>
      <x:c r="F249" s="2" t="str">
        <x:v>1100 E MOUNT PLEASANT AVE</x:v>
      </x:c>
      <x:c r="G249" s="2" t="str">
        <x:v>PHILADELPHIA</x:v>
      </x:c>
      <x:c r="H249" s="2" t="str">
        <x:v>19150</x:v>
      </x:c>
      <x:c r="I249" s="2" t="n">
        <x:v>40.071311</x:v>
      </x:c>
      <x:c r="J249" s="2" t="n">
        <x:v>-75.175303</x:v>
      </x:c>
      <x:c r="K249" s="2" t="n">
        <x:v>650</x:v>
      </x:c>
      <x:c r="L249" s="15" t="n">
        <x:v>0.6781</x:v>
      </x:c>
      <x:c r="M249" s="1" t="n">
        <x:v>3</x:v>
      </x:c>
      <x:c r="N249" s="1" t="str">
        <x:v>2025-2026</x:v>
      </x:c>
      <x:c r="O249" s="1" t="str">
        <x:v>2026-10-09</x:v>
      </x:c>
      <x:c r="P249" s="1" t="str">
        <x:v>Live</x:v>
      </x:c>
      <x:c r="Q249" s="1" t="str">
        <x:v>7229</x:v>
      </x:c>
      <x:c r="R249" s="1" t="str">
        <x:v>126515001</x:v>
      </x:c>
      <x:c r="S249" s="1"/>
      <x:c r="T249" s="1" t="str">
        <x:v>5500</x:v>
      </x:c>
      <x:c r="U249" s="1" t="str">
        <x:v>215-400-3770</x:v>
      </x:c>
      <x:c r="V249" s="1" t="str">
        <x:v>https://thurgoodmarshall.philasd.org/</x:v>
      </x:c>
      <x:c r="W249" s="1" t="str">
        <x:v>2026-2027</x:v>
      </x:c>
      <x:c r="X249" s="1" t="str">
        <x:v>2026-2027</x:v>
      </x:c>
      <x:c r="Y249" s="1" t="str">
        <x:v>1</x:v>
      </x:c>
      <x:c r="Z249" s="1" t="str">
        <x:v>1</x:v>
      </x:c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</x:row>
    <x:row r="250" ht="22" customHeight="1">
      <x:c r="A250" s="2" t="str">
        <x:v>6470</x:v>
      </x:c>
      <x:c r="B250" s="2" t="str">
        <x:v>John B. Kelly School</x:v>
      </x:c>
      <x:c r="C250" s="2" t="str">
        <x:v>District</x:v>
      </x:c>
      <x:c r="D250" s="2" t="str">
        <x:v>Yes</x:v>
      </x:c>
      <x:c r="E250" s="2" t="str">
        <x:v>Elementary</x:v>
      </x:c>
      <x:c r="F250" s="2" t="str">
        <x:v>5116 PULASKI AVE</x:v>
      </x:c>
      <x:c r="G250" s="2" t="str">
        <x:v>PHILADELPHIA</x:v>
      </x:c>
      <x:c r="H250" s="2" t="str">
        <x:v>19144</x:v>
      </x:c>
      <x:c r="I250" s="2" t="n">
        <x:v>40.02479143</x:v>
      </x:c>
      <x:c r="J250" s="2" t="n">
        <x:v>-75.1711868</x:v>
      </x:c>
      <x:c r="K250" s="2" t="n">
        <x:v>346</x:v>
      </x:c>
      <x:c r="L250" s="15" t="n">
        <x:v>0.8699</x:v>
      </x:c>
      <x:c r="M250" s="1" t="n">
        <x:v>11</x:v>
      </x:c>
      <x:c r="N250" s="1" t="str">
        <x:v>2025-2026</x:v>
      </x:c>
      <x:c r="O250" s="1" t="str">
        <x:v>2026-10-09</x:v>
      </x:c>
      <x:c r="P250" s="1" t="str">
        <x:v>Live</x:v>
      </x:c>
      <x:c r="Q250" s="1" t="str">
        <x:v>5294</x:v>
      </x:c>
      <x:c r="R250" s="1" t="str">
        <x:v>126515001</x:v>
      </x:c>
      <x:c r="S250" s="1"/>
      <x:c r="T250" s="1" t="str">
        <x:v>5520</x:v>
      </x:c>
      <x:c r="U250" s="1" t="str">
        <x:v>215-400-7400</x:v>
      </x:c>
      <x:c r="V250" s="1" t="str">
        <x:v>https://kcapa.philasd.org/</x:v>
      </x:c>
      <x:c r="W250" s="1" t="str">
        <x:v>2026-2027</x:v>
      </x:c>
      <x:c r="X250" s="1" t="str">
        <x:v>2026-2027</x:v>
      </x:c>
      <x:c r="Y250" s="1" t="str">
        <x:v>1</x:v>
      </x:c>
      <x:c r="Z250" s="1" t="str">
        <x:v>1</x:v>
      </x:c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</x:row>
    <x:row r="251" ht="22" customHeight="1">
      <x:c r="A251" s="2" t="str">
        <x:v>6480</x:v>
      </x:c>
      <x:c r="B251" s="2" t="str">
        <x:v>Academy for the Middle Years at Northwest</x:v>
      </x:c>
      <x:c r="C251" s="2" t="str">
        <x:v>District</x:v>
      </x:c>
      <x:c r="D251" s="2" t="str">
        <x:v>Yes</x:v>
      </x:c>
      <x:c r="E251" s="2" t="str">
        <x:v>Middle</x:v>
      </x:c>
      <x:c r="F251" s="2" t="str">
        <x:v>6000 RIDGE AVE</x:v>
      </x:c>
      <x:c r="G251" s="2" t="str">
        <x:v>PHILADELPHIA</x:v>
      </x:c>
      <x:c r="H251" s="2" t="str">
        <x:v>19128</x:v>
      </x:c>
      <x:c r="I251" s="2" t="n">
        <x:v>40.03154543</x:v>
      </x:c>
      <x:c r="J251" s="2" t="n">
        <x:v>-75.21317609</x:v>
      </x:c>
      <x:c r="K251" s="2" t="n">
        <x:v>136</x:v>
      </x:c>
      <x:c r="L251" s="15" t="n">
        <x:v>0.772</x:v>
      </x:c>
      <x:c r="M251" s="1" t="n">
        <x:v>1</x:v>
      </x:c>
      <x:c r="N251" s="1" t="str">
        <x:v>2025-2026</x:v>
      </x:c>
      <x:c r="O251" s="1" t="str">
        <x:v>2026-10-09</x:v>
      </x:c>
      <x:c r="P251" s="1" t="str">
        <x:v>Live</x:v>
      </x:c>
      <x:c r="Q251" s="1" t="str">
        <x:v>7024</x:v>
      </x:c>
      <x:c r="R251" s="1" t="str">
        <x:v>126515001</x:v>
      </x:c>
      <x:c r="S251" s="1"/>
      <x:c r="T251" s="1" t="str">
        <x:v>5530</x:v>
      </x:c>
      <x:c r="U251" s="1" t="str">
        <x:v>215-400-7160</x:v>
      </x:c>
      <x:c r="V251" s="1" t="str">
        <x:v>https://casarez.philasd.org/</x:v>
      </x:c>
      <x:c r="W251" s="1" t="str">
        <x:v>2026-2027</x:v>
      </x:c>
      <x:c r="X251" s="1" t="str">
        <x:v>2026-2027</x:v>
      </x:c>
      <x:c r="Y251" s="1" t="str">
        <x:v>1</x:v>
      </x:c>
      <x:c r="Z251" s="1" t="str">
        <x:v>1</x:v>
      </x:c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</x:row>
    <x:row r="252" ht="22" customHeight="1">
      <x:c r="A252" s="2" t="str">
        <x:v>6540</x:v>
      </x:c>
      <x:c r="B252" s="2" t="str">
        <x:v>Lankenau High School</x:v>
      </x:c>
      <x:c r="C252" s="2" t="str">
        <x:v>District</x:v>
      </x:c>
      <x:c r="D252" s="2" t="str">
        <x:v>Yes</x:v>
      </x:c>
      <x:c r="E252" s="2" t="str">
        <x:v>High</x:v>
      </x:c>
      <x:c r="F252" s="2" t="str">
        <x:v>201 SPRING LN</x:v>
      </x:c>
      <x:c r="G252" s="2" t="str">
        <x:v>PHILADELPHIA</x:v>
      </x:c>
      <x:c r="H252" s="2" t="str">
        <x:v>19128</x:v>
      </x:c>
      <x:c r="I252" s="2" t="n">
        <x:v>40.06153271</x:v>
      </x:c>
      <x:c r="J252" s="2" t="n">
        <x:v>-75.25295594</x:v>
      </x:c>
      <x:c r="K252" s="2" t="n">
        <x:v>225</x:v>
      </x:c>
      <x:c r="L252" s="15" t="n">
        <x:v>0.64</x:v>
      </x:c>
      <x:c r="M252" s="1" t="n">
        <x:v>0</x:v>
      </x:c>
      <x:c r="N252" s="1" t="str">
        <x:v>2025-2026</x:v>
      </x:c>
      <x:c r="O252" s="1" t="str">
        <x:v>2026-10-09</x:v>
      </x:c>
      <x:c r="P252" s="1" t="str">
        <x:v>Live</x:v>
      </x:c>
      <x:c r="Q252" s="1" t="str">
        <x:v>7811</x:v>
      </x:c>
      <x:c r="R252" s="1" t="str">
        <x:v>126515001</x:v>
      </x:c>
      <x:c r="S252" s="1"/>
      <x:c r="T252" s="1" t="str">
        <x:v>5550</x:v>
      </x:c>
      <x:c r="U252" s="1" t="str">
        <x:v>215-400-3600</x:v>
      </x:c>
      <x:c r="V252" s="1" t="str">
        <x:v>https://khsa.philasd.org/</x:v>
      </x:c>
      <x:c r="W252" s="1" t="str">
        <x:v>2026-2027</x:v>
      </x:c>
      <x:c r="X252" s="1" t="str">
        <x:v>2026-2027</x:v>
      </x:c>
      <x:c r="Y252" s="1" t="str">
        <x:v>1</x:v>
      </x:c>
      <x:c r="Z252" s="1" t="str">
        <x:v>1</x:v>
      </x:c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</x:row>
    <x:row r="253" ht="22" customHeight="1">
      <x:c r="A253" s="2" t="str">
        <x:v>7010</x:v>
      </x:c>
      <x:c r="B253" s="2" t="str">
        <x:v>Frankford High School</x:v>
      </x:c>
      <x:c r="C253" s="2" t="str">
        <x:v>District</x:v>
      </x:c>
      <x:c r="D253" s="2" t="str">
        <x:v>Yes</x:v>
      </x:c>
      <x:c r="E253" s="2" t="str">
        <x:v>High</x:v>
      </x:c>
      <x:c r="F253" s="2" t="str">
        <x:v>5000 OXFORD AVE</x:v>
      </x:c>
      <x:c r="G253" s="2" t="str">
        <x:v>PHILADELPHIA</x:v>
      </x:c>
      <x:c r="H253" s="2" t="str">
        <x:v>19124</x:v>
      </x:c>
      <x:c r="I253" s="2" t="n">
        <x:v>40.021602</x:v>
      </x:c>
      <x:c r="J253" s="2" t="n">
        <x:v>-75.084823</x:v>
      </x:c>
      <x:c r="K253" s="2" t="n">
        <x:v>908</x:v>
      </x:c>
      <x:c r="L253" s="15" t="n">
        <x:v>0.804</x:v>
      </x:c>
      <x:c r="M253" s="1" t="n">
        <x:v>7</x:v>
      </x:c>
      <x:c r="N253" s="1" t="str">
        <x:v>2025-2026</x:v>
      </x:c>
      <x:c r="O253" s="1" t="str">
        <x:v>2026-10-09</x:v>
      </x:c>
      <x:c r="P253" s="1" t="str">
        <x:v>Live</x:v>
      </x:c>
      <x:c r="Q253" s="1" t="str">
        <x:v>3850</x:v>
      </x:c>
      <x:c r="R253" s="1" t="str">
        <x:v>126515001</x:v>
      </x:c>
      <x:c r="S253" s="1"/>
      <x:c r="T253" s="1" t="str">
        <x:v>5560</x:v>
      </x:c>
      <x:c r="U253" s="1" t="str">
        <x:v>215-400-7610</x:v>
      </x:c>
      <x:c r="V253" s="1" t="str">
        <x:v>https://springgarden.philasd.org/</x:v>
      </x:c>
      <x:c r="W253" s="1" t="str">
        <x:v>2026-2027</x:v>
      </x:c>
      <x:c r="X253" s="1" t="str">
        <x:v>2026-2027</x:v>
      </x:c>
      <x:c r="Y253" s="1" t="str">
        <x:v>1</x:v>
      </x:c>
      <x:c r="Z253" s="1" t="str">
        <x:v>1</x:v>
      </x:c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</x:row>
    <x:row r="254" ht="22" customHeight="1">
      <x:c r="A254" s="2" t="str">
        <x:v>7060</x:v>
      </x:c>
      <x:c r="B254" s="2" t="str">
        <x:v>Olney High School</x:v>
      </x:c>
      <x:c r="C254" s="2" t="str">
        <x:v>District</x:v>
      </x:c>
      <x:c r="D254" s="2" t="str">
        <x:v>Yes</x:v>
      </x:c>
      <x:c r="E254" s="2" t="str">
        <x:v>High</x:v>
      </x:c>
      <x:c r="F254" s="2" t="str">
        <x:v>100 W DUNCANNON AVE</x:v>
      </x:c>
      <x:c r="G254" s="2" t="str">
        <x:v>PHILADELPHIA</x:v>
      </x:c>
      <x:c r="H254" s="2" t="str">
        <x:v>19120</x:v>
      </x:c>
      <x:c r="I254" s="2" t="n">
        <x:v>40.028772</x:v>
      </x:c>
      <x:c r="J254" s="2" t="n">
        <x:v>-75.123808</x:v>
      </x:c>
      <x:c r="K254" s="2" t="n">
        <x:v>1036</x:v>
      </x:c>
      <x:c r="L254" s="15" t="n">
        <x:v>0.7988</x:v>
      </x:c>
      <x:c r="M254" s="1" t="n">
        <x:v>8</x:v>
      </x:c>
      <x:c r="N254" s="1" t="str">
        <x:v>2025-2026</x:v>
      </x:c>
      <x:c r="O254" s="1" t="str">
        <x:v>2026-10-09</x:v>
      </x:c>
      <x:c r="P254" s="1" t="str">
        <x:v>Live</x:v>
      </x:c>
      <x:c r="Q254" s="1" t="str">
        <x:v>8508</x:v>
      </x:c>
      <x:c r="R254" s="1" t="str">
        <x:v>126515001</x:v>
      </x:c>
      <x:c r="S254" s="1"/>
      <x:c r="T254" s="1" t="str">
        <x:v>5580</x:v>
      </x:c>
      <x:c r="U254" s="1" t="str">
        <x:v>215-400-9150</x:v>
      </x:c>
      <x:c r="V254" s="1" t="str">
        <x:v>https://stetson.philasd.org/</x:v>
      </x:c>
      <x:c r="W254" s="1" t="str">
        <x:v>2026-2027</x:v>
      </x:c>
      <x:c r="X254" s="1" t="str">
        <x:v>2026-2027</x:v>
      </x:c>
      <x:c r="Y254" s="1" t="str">
        <x:v>1</x:v>
      </x:c>
      <x:c r="Z254" s="1" t="str">
        <x:v>1</x:v>
      </x:c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</x:row>
    <x:row r="255" ht="22" customHeight="1">
      <x:c r="A255" s="2" t="str">
        <x:v>7061</x:v>
      </x:c>
      <x:c r="B255" s="2" t="str">
        <x:v>Olney High School Continuation Academy</x:v>
      </x:c>
      <x:c r="C255" s="2" t="str">
        <x:v>Contracted</x:v>
      </x:c>
      <x:c r="D255" s="2" t="str">
        <x:v>No</x:v>
      </x:c>
      <x:c r="E255" s="2" t="str">
        <x:v>Transition/Overage School</x:v>
      </x:c>
      <x:c r="F255" s="2" t="str">
        <x:v>100 W DUNCANNON AVE</x:v>
      </x:c>
      <x:c r="G255" s="2" t="str">
        <x:v>PHILADELPHIA</x:v>
      </x:c>
      <x:c r="H255" s="2" t="str">
        <x:v>19120</x:v>
      </x:c>
      <x:c r="I255" s="2" t="n">
        <x:v>40.02911994</x:v>
      </x:c>
      <x:c r="J255" s="2" t="n">
        <x:v>-75.12375171</x:v>
      </x:c>
      <x:c r="K255" s="2" t="n">
        <x:v>17</x:v>
      </x:c>
      <x:c r="L255" s="15" t="n">
        <x:v>0.7988</x:v>
      </x:c>
      <x:c r="M255" s="1" t="n">
        <x:v>8</x:v>
      </x:c>
      <x:c r="N255" s="1" t="str">
        <x:v>2025-2026</x:v>
      </x:c>
      <x:c r="O255" s="1" t="str">
        <x:v>2026-10-09</x:v>
      </x:c>
      <x:c r="P255" s="1" t="str">
        <x:v>Live</x:v>
      </x:c>
      <x:c r="Q255" s="1" t="str">
        <x:v>8508</x:v>
      </x:c>
      <x:c r="R255" s="1" t="str">
        <x:v>126515001</x:v>
      </x:c>
      <x:c r="S255" s="1"/>
      <x:c r="T255" s="1" t="str">
        <x:v>5581</x:v>
      </x:c>
      <x:c r="U255" s="1" t="str"/>
      <x:c r="V255" s="1" t="str">
        <x:v>https://www.philasd.org/backontrack/#contin</x:v>
      </x:c>
      <x:c r="W255" s="1" t="str">
        <x:v>2026-2027</x:v>
      </x:c>
      <x:c r="X255" s="1" t="str">
        <x:v>2026-2027</x:v>
      </x:c>
      <x:c r="Y255" s="1" t="str">
        <x:v>0</x:v>
      </x:c>
      <x:c r="Z255" s="1" t="str">
        <x:v>0</x:v>
      </x:c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</x:row>
    <x:row r="256" ht="22" customHeight="1">
      <x:c r="A256" s="2" t="str">
        <x:v>7069</x:v>
      </x:c>
      <x:c r="B256" s="2" t="str">
        <x:v>Philadelphia Continuation Academy</x:v>
      </x:c>
      <x:c r="C256" s="2" t="str">
        <x:v>Contracted</x:v>
      </x:c>
      <x:c r="D256" s="2" t="str">
        <x:v>No</x:v>
      </x:c>
      <x:c r="E256" s="2" t="str">
        <x:v>Transition/Overage School</x:v>
      </x:c>
      <x:c r="F256" s="2" t="str">
        <x:v>100 E DUNCANNON AVE</x:v>
      </x:c>
      <x:c r="G256" s="2" t="str">
        <x:v>PHILADELPHIA</x:v>
      </x:c>
      <x:c r="H256" s="2" t="str">
        <x:v>19120</x:v>
      </x:c>
      <x:c r="I256" s="2" t="n">
        <x:v>40.028772</x:v>
      </x:c>
      <x:c r="J256" s="2" t="n">
        <x:v>-75.123808</x:v>
      </x:c>
      <x:c r="K256" s="2" t="n">
        <x:v>46</x:v>
      </x:c>
      <x:c r="L256" s="15"/>
      <x:c r="M256" s="1" t="n">
        <x:v>8</x:v>
      </x:c>
      <x:c r="N256" s="1" t="str">
        <x:v>2025-2026</x:v>
      </x:c>
      <x:c r="O256" s="1" t="str">
        <x:v>2026-10-09</x:v>
      </x:c>
      <x:c r="P256" s="1" t="str">
        <x:v>Live</x:v>
      </x:c>
      <x:c r="Q256" s="1" t="str">
        <x:v>N/A</x:v>
      </x:c>
      <x:c r="R256" s="1" t="str">
        <x:v>126515001</x:v>
      </x:c>
      <x:c r="S256" s="1"/>
      <x:c r="T256" s="1" t="str">
        <x:v>5590</x:v>
      </x:c>
      <x:c r="U256" s="1" t="str">
        <x:v>215-400-7170</x:v>
      </x:c>
      <x:c r="V256" s="1" t="str">
        <x:v>https://webster.philasd.org/</x:v>
      </x:c>
      <x:c r="W256" s="1" t="str">
        <x:v>2026-2027</x:v>
      </x:c>
      <x:c r="X256" s="1" t="str">
        <x:v>2026-2027</x:v>
      </x:c>
      <x:c r="Y256" s="1" t="str">
        <x:v>1</x:v>
      </x:c>
      <x:c r="Z256" s="1" t="str">
        <x:v>1</x:v>
      </x:c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</x:row>
    <x:row r="257" ht="22" customHeight="1">
      <x:c r="A257" s="2" t="str">
        <x:v>7100</x:v>
      </x:c>
      <x:c r="B257" s="2" t="str">
        <x:v>Jay Cooke School</x:v>
      </x:c>
      <x:c r="C257" s="2" t="str">
        <x:v>District</x:v>
      </x:c>
      <x:c r="D257" s="2" t="str">
        <x:v>Yes</x:v>
      </x:c>
      <x:c r="E257" s="2" t="str">
        <x:v>Elementary-Middle</x:v>
      </x:c>
      <x:c r="F257" s="2" t="str">
        <x:v>1300 W LOUDON ST</x:v>
      </x:c>
      <x:c r="G257" s="2" t="str">
        <x:v>PHILADELPHIA</x:v>
      </x:c>
      <x:c r="H257" s="2" t="str">
        <x:v>19141</x:v>
      </x:c>
      <x:c r="I257" s="2" t="n">
        <x:v>40.025526</x:v>
      </x:c>
      <x:c r="J257" s="2" t="n">
        <x:v>-75.146074</x:v>
      </x:c>
      <x:c r="K257" s="2" t="n">
        <x:v>386</x:v>
      </x:c>
      <x:c r="L257" s="15" t="n">
        <x:v>0.886</x:v>
      </x:c>
      <x:c r="M257" s="1" t="n">
        <x:v>10</x:v>
      </x:c>
      <x:c r="N257" s="1" t="str">
        <x:v>2025-2026</x:v>
      </x:c>
      <x:c r="O257" s="1" t="str">
        <x:v>2026-10-09</x:v>
      </x:c>
      <x:c r="P257" s="1" t="str">
        <x:v>Live</x:v>
      </x:c>
      <x:c r="Q257" s="1" t="str">
        <x:v>7239</x:v>
      </x:c>
      <x:c r="R257" s="1" t="str">
        <x:v>126515001</x:v>
      </x:c>
      <x:c r="S257" s="1"/>
      <x:c r="T257" s="1" t="str">
        <x:v>5610</x:v>
      </x:c>
      <x:c r="U257" s="1" t="str">
        <x:v>215-400-7450</x:v>
      </x:c>
      <x:c r="V257" s="1" t="str">
        <x:v>https://building21.philasd.org/</x:v>
      </x:c>
      <x:c r="W257" s="1" t="str">
        <x:v>2026-2027</x:v>
      </x:c>
      <x:c r="X257" s="1" t="str">
        <x:v>2026-2027</x:v>
      </x:c>
      <x:c r="Y257" s="1" t="str">
        <x:v>1</x:v>
      </x:c>
      <x:c r="Z257" s="1" t="str">
        <x:v>1</x:v>
      </x:c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</x:row>
    <x:row r="258" ht="22" customHeight="1">
      <x:c r="A258" s="2" t="str">
        <x:v>7110</x:v>
      </x:c>
      <x:c r="B258" s="2" t="str">
        <x:v>Warren G. Harding Middle School</x:v>
      </x:c>
      <x:c r="C258" s="2" t="str">
        <x:v>District</x:v>
      </x:c>
      <x:c r="D258" s="2" t="str">
        <x:v>Yes</x:v>
      </x:c>
      <x:c r="E258" s="2" t="str">
        <x:v>Middle</x:v>
      </x:c>
      <x:c r="F258" s="2" t="str">
        <x:v>2000 WAKELING ST</x:v>
      </x:c>
      <x:c r="G258" s="2" t="str">
        <x:v>PHILADELPHIA</x:v>
      </x:c>
      <x:c r="H258" s="2" t="str">
        <x:v>19124</x:v>
      </x:c>
      <x:c r="I258" s="2" t="n">
        <x:v>40.01291694</x:v>
      </x:c>
      <x:c r="J258" s="2" t="n">
        <x:v>-75.07456081</x:v>
      </x:c>
      <x:c r="K258" s="2" t="n">
        <x:v>522</x:v>
      </x:c>
      <x:c r="L258" s="15" t="n">
        <x:v>0.8771</x:v>
      </x:c>
      <x:c r="M258" s="1" t="n">
        <x:v>9</x:v>
      </x:c>
      <x:c r="N258" s="1" t="str">
        <x:v>2025-2026</x:v>
      </x:c>
      <x:c r="O258" s="1" t="str">
        <x:v>2026-10-09</x:v>
      </x:c>
      <x:c r="P258" s="1" t="str">
        <x:v>Live</x:v>
      </x:c>
      <x:c r="Q258" s="1" t="str">
        <x:v>7242</x:v>
      </x:c>
      <x:c r="R258" s="1" t="str">
        <x:v>126515001</x:v>
      </x:c>
      <x:c r="S258" s="1"/>
      <x:c r="T258" s="1" t="str">
        <x:v>5620</x:v>
      </x:c>
      <x:c r="U258" s="1" t="str">
        <x:v>215-400-7460</x:v>
      </x:c>
      <x:c r="V258" s="1" t="str">
        <x:v>https://uschool.philasd.org/</x:v>
      </x:c>
      <x:c r="W258" s="1" t="str">
        <x:v>2026-2027</x:v>
      </x:c>
      <x:c r="X258" s="1" t="str">
        <x:v>2026-2027</x:v>
      </x:c>
      <x:c r="Y258" s="1" t="str">
        <x:v>1</x:v>
      </x:c>
      <x:c r="Z258" s="1" t="str">
        <x:v>1</x:v>
      </x:c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</x:row>
    <x:row r="259" ht="22" customHeight="1">
      <x:c r="A259" s="2" t="str">
        <x:v>7120</x:v>
      </x:c>
      <x:c r="B259" s="2" t="str">
        <x:v>Samuel Fels High School</x:v>
      </x:c>
      <x:c r="C259" s="2" t="str">
        <x:v>District</x:v>
      </x:c>
      <x:c r="D259" s="2" t="str">
        <x:v>Yes</x:v>
      </x:c>
      <x:c r="E259" s="2" t="str">
        <x:v>High</x:v>
      </x:c>
      <x:c r="F259" s="2" t="str">
        <x:v>5500 LANGDON ST</x:v>
      </x:c>
      <x:c r="G259" s="2" t="str">
        <x:v>PHILADELPHIA</x:v>
      </x:c>
      <x:c r="H259" s="2" t="str">
        <x:v>19124</x:v>
      </x:c>
      <x:c r="I259" s="2" t="n">
        <x:v>40.03564646</x:v>
      </x:c>
      <x:c r="J259" s="2" t="n">
        <x:v>-75.09109404</x:v>
      </x:c>
      <x:c r="K259" s="2" t="n">
        <x:v>1228</x:v>
      </x:c>
      <x:c r="L259" s="15" t="n">
        <x:v>0.7796</x:v>
      </x:c>
      <x:c r="M259" s="1" t="n">
        <x:v>6</x:v>
      </x:c>
      <x:c r="N259" s="1" t="str">
        <x:v>2025-2026</x:v>
      </x:c>
      <x:c r="O259" s="1" t="str">
        <x:v>2026-10-09</x:v>
      </x:c>
      <x:c r="P259" s="1" t="str">
        <x:v>Live</x:v>
      </x:c>
      <x:c r="Q259" s="1" t="str">
        <x:v>3816</x:v>
      </x:c>
      <x:c r="R259" s="1" t="str">
        <x:v>126515001</x:v>
      </x:c>
      <x:c r="S259" s="1"/>
      <x:c r="T259" s="1" t="str">
        <x:v>5660</x:v>
      </x:c>
      <x:c r="U259" s="1" t="str">
        <x:v>215-400-3940</x:v>
      </x:c>
      <x:c r="V259" s="1" t="str">
        <x:v>https://thelinc.philasd.org/</x:v>
      </x:c>
      <x:c r="W259" s="1" t="str">
        <x:v>2026-2027</x:v>
      </x:c>
      <x:c r="X259" s="1" t="str">
        <x:v>2026-2027</x:v>
      </x:c>
      <x:c r="Y259" s="1" t="str">
        <x:v>1</x:v>
      </x:c>
      <x:c r="Z259" s="1" t="str">
        <x:v>1</x:v>
      </x:c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</x:row>
    <x:row r="260" ht="22" customHeight="1">
      <x:c r="A260" s="2" t="str">
        <x:v>7130</x:v>
      </x:c>
      <x:c r="B260" s="2" t="str">
        <x:v>General Louis Wagner School</x:v>
      </x:c>
      <x:c r="C260" s="2" t="str">
        <x:v>District</x:v>
      </x:c>
      <x:c r="D260" s="2" t="str">
        <x:v>Yes</x:v>
      </x:c>
      <x:c r="E260" s="2" t="str">
        <x:v>Middle</x:v>
      </x:c>
      <x:c r="F260" s="2" t="str">
        <x:v>1701 W CHELTEN AVE</x:v>
      </x:c>
      <x:c r="G260" s="2" t="str">
        <x:v>PHILADELPHIA</x:v>
      </x:c>
      <x:c r="H260" s="2" t="str">
        <x:v>19126</x:v>
      </x:c>
      <x:c r="I260" s="2" t="n">
        <x:v>40.05174748</x:v>
      </x:c>
      <x:c r="J260" s="2" t="n">
        <x:v>-75.14767962</x:v>
      </x:c>
      <x:c r="K260" s="2" t="n">
        <x:v>294</x:v>
      </x:c>
      <x:c r="L260" s="15" t="n">
        <x:v>0.8703</x:v>
      </x:c>
      <x:c r="M260" s="1" t="n">
        <x:v>11</x:v>
      </x:c>
      <x:c r="N260" s="1" t="str">
        <x:v>2025-2026</x:v>
      </x:c>
      <x:c r="O260" s="1" t="str">
        <x:v>2026-10-09</x:v>
      </x:c>
      <x:c r="P260" s="1" t="str">
        <x:v>Live</x:v>
      </x:c>
      <x:c r="Q260" s="1" t="str">
        <x:v>3835</x:v>
      </x:c>
      <x:c r="R260" s="1" t="str">
        <x:v>126515001</x:v>
      </x:c>
      <x:c r="S260" s="1"/>
      <x:c r="T260" s="1" t="str">
        <x:v>5680</x:v>
      </x:c>
      <x:c r="U260" s="1" t="str">
        <x:v>215-400-3920</x:v>
      </x:c>
      <x:c r="V260" s="1" t="str">
        <x:v>https://munozmarin.philasd.org/</x:v>
      </x:c>
      <x:c r="W260" s="1" t="str">
        <x:v>2026-2027</x:v>
      </x:c>
      <x:c r="X260" s="1" t="str">
        <x:v>2026-2027</x:v>
      </x:c>
      <x:c r="Y260" s="1" t="str">
        <x:v>1</x:v>
      </x:c>
      <x:c r="Z260" s="1" t="str">
        <x:v>1</x:v>
      </x:c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</x:row>
    <x:row r="261" ht="22" customHeight="1">
      <x:c r="A261" s="2" t="str">
        <x:v>7150</x:v>
      </x:c>
      <x:c r="B261" s="2" t="str">
        <x:v>Juniata Park Academy</x:v>
      </x:c>
      <x:c r="C261" s="2" t="str">
        <x:v>District</x:v>
      </x:c>
      <x:c r="D261" s="2" t="str">
        <x:v>Yes</x:v>
      </x:c>
      <x:c r="E261" s="2" t="str">
        <x:v>Elementary-Middle</x:v>
      </x:c>
      <x:c r="F261" s="2" t="str">
        <x:v>801 E HUNTING PARK AVE</x:v>
      </x:c>
      <x:c r="G261" s="2" t="str">
        <x:v>PHILADELPHIA</x:v>
      </x:c>
      <x:c r="H261" s="2" t="str">
        <x:v>19124</x:v>
      </x:c>
      <x:c r="I261" s="2" t="n">
        <x:v>40.01284122</x:v>
      </x:c>
      <x:c r="J261" s="2" t="n">
        <x:v>-75.11102921</x:v>
      </x:c>
      <x:c r="K261" s="2" t="n">
        <x:v>784</x:v>
      </x:c>
      <x:c r="L261" s="15" t="n">
        <x:v>0.8799</x:v>
      </x:c>
      <x:c r="M261" s="1" t="n">
        <x:v>3</x:v>
      </x:c>
      <x:c r="N261" s="1" t="str">
        <x:v>2025-2026</x:v>
      </x:c>
      <x:c r="O261" s="1" t="str">
        <x:v>2026-10-09</x:v>
      </x:c>
      <x:c r="P261" s="1" t="str">
        <x:v>Live</x:v>
      </x:c>
      <x:c r="Q261" s="1" t="str">
        <x:v>7963</x:v>
      </x:c>
      <x:c r="R261" s="1" t="str">
        <x:v>126515001</x:v>
      </x:c>
      <x:c r="S261" s="1"/>
      <x:c r="T261" s="1" t="str">
        <x:v>5700</x:v>
      </x:c>
      <x:c r="U261" s="1" t="str">
        <x:v>215-400-7700</x:v>
      </x:c>
      <x:c r="V261" s="1" t="str">
        <x:v>https://kensingtonhs.philasd.org/</x:v>
      </x:c>
      <x:c r="W261" s="1" t="str">
        <x:v>2026-2027</x:v>
      </x:c>
      <x:c r="X261" s="1" t="str">
        <x:v>2026-2027</x:v>
      </x:c>
      <x:c r="Y261" s="1" t="str">
        <x:v>1</x:v>
      </x:c>
      <x:c r="Z261" s="1" t="str">
        <x:v>1</x:v>
      </x:c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</x:row>
    <x:row r="262" ht="22" customHeight="1">
      <x:c r="A262" s="2" t="str">
        <x:v>7200</x:v>
      </x:c>
      <x:c r="B262" s="2" t="str">
        <x:v>Clara Barton School</x:v>
      </x:c>
      <x:c r="C262" s="2" t="str">
        <x:v>District</x:v>
      </x:c>
      <x:c r="D262" s="2" t="str">
        <x:v>Yes</x:v>
      </x:c>
      <x:c r="E262" s="2" t="str">
        <x:v>Elementary</x:v>
      </x:c>
      <x:c r="F262" s="2" t="str">
        <x:v>4600 ROSEHILL ST</x:v>
      </x:c>
      <x:c r="G262" s="2" t="str">
        <x:v>PHILADELPHIA</x:v>
      </x:c>
      <x:c r="H262" s="2" t="str">
        <x:v>19120</x:v>
      </x:c>
      <x:c r="I262" s="2" t="n">
        <x:v>40.0193401</x:v>
      </x:c>
      <x:c r="J262" s="2" t="n">
        <x:v>-75.11950188</x:v>
      </x:c>
      <x:c r="K262" s="2" t="n">
        <x:v>423</x:v>
      </x:c>
      <x:c r="L262" s="15" t="n">
        <x:v>0.8297</x:v>
      </x:c>
      <x:c r="M262" s="1" t="n">
        <x:v>7</x:v>
      </x:c>
      <x:c r="N262" s="1" t="str">
        <x:v>2025-2026</x:v>
      </x:c>
      <x:c r="O262" s="1" t="str">
        <x:v>2026-10-09</x:v>
      </x:c>
      <x:c r="P262" s="1" t="str">
        <x:v>Live</x:v>
      </x:c>
      <x:c r="Q262" s="1" t="str">
        <x:v>3732</x:v>
      </x:c>
      <x:c r="R262" s="1" t="str">
        <x:v>126515001</x:v>
      </x:c>
      <x:c r="S262" s="1"/>
      <x:c r="T262" s="1" t="str">
        <x:v>5710</x:v>
      </x:c>
      <x:c r="U262" s="1" t="str">
        <x:v>215-400-9190</x:v>
      </x:c>
      <x:c r="V262" s="1" t="str">
        <x:v>https://memphis.philasd.org/</x:v>
      </x:c>
      <x:c r="W262" s="1" t="str">
        <x:v>2026-2027</x:v>
      </x:c>
      <x:c r="X262" s="1" t="str">
        <x:v>2026-2027</x:v>
      </x:c>
      <x:c r="Y262" s="1" t="str">
        <x:v>0</x:v>
      </x:c>
      <x:c r="Z262" s="1" t="str">
        <x:v>0</x:v>
      </x:c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</x:row>
    <x:row r="263" ht="22" customHeight="1">
      <x:c r="A263" s="2" t="str">
        <x:v>7220</x:v>
      </x:c>
      <x:c r="B263" s="2" t="str">
        <x:v>Laura H. Carnell School</x:v>
      </x:c>
      <x:c r="C263" s="2" t="str">
        <x:v>District</x:v>
      </x:c>
      <x:c r="D263" s="2" t="str">
        <x:v>Yes</x:v>
      </x:c>
      <x:c r="E263" s="2" t="str">
        <x:v>Elementary</x:v>
      </x:c>
      <x:c r="F263" s="2" t="str">
        <x:v>1100 DEVEREAUX AVE</x:v>
      </x:c>
      <x:c r="G263" s="2" t="str">
        <x:v>PHILADELPHIA</x:v>
      </x:c>
      <x:c r="H263" s="2" t="str">
        <x:v>19111</x:v>
      </x:c>
      <x:c r="I263" s="2" t="n">
        <x:v>40.038957</x:v>
      </x:c>
      <x:c r="J263" s="2" t="n">
        <x:v>-75.084142</x:v>
      </x:c>
      <x:c r="K263" s="2" t="n">
        <x:v>652</x:v>
      </x:c>
      <x:c r="L263" s="15" t="n">
        <x:v>0.7636</x:v>
      </x:c>
      <x:c r="M263" s="1" t="n">
        <x:v>4</x:v>
      </x:c>
      <x:c r="N263" s="1" t="str">
        <x:v>2025-2026</x:v>
      </x:c>
      <x:c r="O263" s="1" t="str">
        <x:v>2026-10-09</x:v>
      </x:c>
      <x:c r="P263" s="1" t="str">
        <x:v>Live</x:v>
      </x:c>
      <x:c r="Q263" s="1" t="str">
        <x:v>7230</x:v>
      </x:c>
      <x:c r="R263" s="1" t="str">
        <x:v>126515001</x:v>
      </x:c>
      <x:c r="S263" s="1"/>
      <x:c r="T263" s="1" t="str">
        <x:v>6010</x:v>
      </x:c>
      <x:c r="U263" s="1" t="str">
        <x:v>215-400-3590</x:v>
      </x:c>
      <x:c r="V263" s="1" t="str">
        <x:v>https://centralhs.philasd.org/</x:v>
      </x:c>
      <x:c r="W263" s="1" t="str">
        <x:v>2026-2027</x:v>
      </x:c>
      <x:c r="X263" s="1" t="str">
        <x:v>2026-2027</x:v>
      </x:c>
      <x:c r="Y263" s="1" t="str">
        <x:v>1</x:v>
      </x:c>
      <x:c r="Z263" s="1" t="str">
        <x:v>1</x:v>
      </x:c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</x:row>
    <x:row r="264" ht="22" customHeight="1">
      <x:c r="A264" s="2" t="str">
        <x:v>7260</x:v>
      </x:c>
      <x:c r="B264" s="2" t="str">
        <x:v>Ellwood School</x:v>
      </x:c>
      <x:c r="C264" s="2" t="str">
        <x:v>District</x:v>
      </x:c>
      <x:c r="D264" s="2" t="str">
        <x:v>Yes</x:v>
      </x:c>
      <x:c r="E264" s="2" t="str">
        <x:v>Elementary</x:v>
      </x:c>
      <x:c r="F264" s="2" t="str">
        <x:v>6701 N 13TH ST</x:v>
      </x:c>
      <x:c r="G264" s="2" t="str">
        <x:v>PHILADELPHIA</x:v>
      </x:c>
      <x:c r="H264" s="2" t="str">
        <x:v>19126</x:v>
      </x:c>
      <x:c r="I264" s="2" t="n">
        <x:v>40.05472609</x:v>
      </x:c>
      <x:c r="J264" s="2" t="n">
        <x:v>-75.13894107</x:v>
      </x:c>
      <x:c r="K264" s="2" t="n">
        <x:v>252</x:v>
      </x:c>
      <x:c r="L264" s="15" t="n">
        <x:v>0.8007</x:v>
      </x:c>
      <x:c r="M264" s="1" t="n">
        <x:v>7</x:v>
      </x:c>
      <x:c r="N264" s="1" t="str">
        <x:v>2025-2026</x:v>
      </x:c>
      <x:c r="O264" s="1" t="str">
        <x:v>2026-10-09</x:v>
      </x:c>
      <x:c r="P264" s="1" t="str">
        <x:v>Live</x:v>
      </x:c>
      <x:c r="Q264" s="1" t="str">
        <x:v>3738</x:v>
      </x:c>
      <x:c r="R264" s="1" t="str">
        <x:v>126515001</x:v>
      </x:c>
      <x:c r="S264" s="1"/>
      <x:c r="T264" s="1" t="str">
        <x:v>6030</x:v>
      </x:c>
      <x:c r="U264" s="1" t="str">
        <x:v>215-400-3400</x:v>
      </x:c>
      <x:c r="V264" s="1" t="str">
        <x:v>https://roxboroughhs.philasd.org/</x:v>
      </x:c>
      <x:c r="W264" s="1" t="str">
        <x:v>2026-2027</x:v>
      </x:c>
      <x:c r="X264" s="1" t="str">
        <x:v>2026-2027</x:v>
      </x:c>
      <x:c r="Y264" s="1" t="str">
        <x:v>1</x:v>
      </x:c>
      <x:c r="Z264" s="1" t="str">
        <x:v>1</x:v>
      </x:c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</x:row>
    <x:row r="265" ht="22" customHeight="1">
      <x:c r="A265" s="2" t="str">
        <x:v>7270</x:v>
      </x:c>
      <x:c r="B265" s="2" t="str">
        <x:v>Thomas K. Finletter School</x:v>
      </x:c>
      <x:c r="C265" s="2" t="str">
        <x:v>District</x:v>
      </x:c>
      <x:c r="D265" s="2" t="str">
        <x:v>Yes</x:v>
      </x:c>
      <x:c r="E265" s="2" t="str">
        <x:v>Elementary-Middle</x:v>
      </x:c>
      <x:c r="F265" s="2" t="str">
        <x:v>6101 N FRONT ST</x:v>
      </x:c>
      <x:c r="G265" s="2" t="str">
        <x:v>PHILADELPHIA</x:v>
      </x:c>
      <x:c r="H265" s="2" t="str">
        <x:v>19120</x:v>
      </x:c>
      <x:c r="I265" s="2" t="n">
        <x:v>40.043608</x:v>
      </x:c>
      <x:c r="J265" s="2" t="n">
        <x:v>-75.119176</x:v>
      </x:c>
      <x:c r="K265" s="2" t="n">
        <x:v>577</x:v>
      </x:c>
      <x:c r="L265" s="15" t="n">
        <x:v>0.8281</x:v>
      </x:c>
      <x:c r="M265" s="1" t="n">
        <x:v>5</x:v>
      </x:c>
      <x:c r="N265" s="1" t="str">
        <x:v>2025-2026</x:v>
      </x:c>
      <x:c r="O265" s="1" t="str">
        <x:v>2026-10-09</x:v>
      </x:c>
      <x:c r="P265" s="1" t="str">
        <x:v>Live</x:v>
      </x:c>
      <x:c r="Q265" s="1" t="str">
        <x:v>3739</x:v>
      </x:c>
      <x:c r="R265" s="1" t="str">
        <x:v>126515001</x:v>
      </x:c>
      <x:c r="S265" s="1"/>
      <x:c r="T265" s="1" t="str">
        <x:v>6040</x:v>
      </x:c>
      <x:c r="U265" s="1" t="str">
        <x:v>215-400-3450</x:v>
      </x:c>
      <x:c r="V265" s="1" t="str">
        <x:v>https://saul.philasd.org/</x:v>
      </x:c>
      <x:c r="W265" s="1" t="str">
        <x:v>2026-2027</x:v>
      </x:c>
      <x:c r="X265" s="1" t="str">
        <x:v>2026-2027</x:v>
      </x:c>
      <x:c r="Y265" s="1" t="str">
        <x:v>1</x:v>
      </x:c>
      <x:c r="Z265" s="1" t="str">
        <x:v>1</x:v>
      </x:c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</x:row>
    <x:row r="266" ht="22" customHeight="1">
      <x:c r="A266" s="2" t="str">
        <x:v>7280</x:v>
      </x:c>
      <x:c r="B266" s="2" t="str">
        <x:v>Benjamin Franklin Elementary School</x:v>
      </x:c>
      <x:c r="C266" s="2" t="str">
        <x:v>District</x:v>
      </x:c>
      <x:c r="D266" s="2" t="str">
        <x:v>Yes</x:v>
      </x:c>
      <x:c r="E266" s="2" t="str">
        <x:v>Elementary-Middle</x:v>
      </x:c>
      <x:c r="F266" s="2" t="str">
        <x:v>5737 RISING SUN AVE</x:v>
      </x:c>
      <x:c r="G266" s="2" t="str">
        <x:v>PHILADELPHIA</x:v>
      </x:c>
      <x:c r="H266" s="2" t="str">
        <x:v>19120</x:v>
      </x:c>
      <x:c r="I266" s="2" t="n">
        <x:v>40.04215213</x:v>
      </x:c>
      <x:c r="J266" s="2" t="n">
        <x:v>-75.10498859</x:v>
      </x:c>
      <x:c r="K266" s="2" t="n">
        <x:v>567</x:v>
      </x:c>
      <x:c r="L266" s="15" t="n">
        <x:v>0.8389</x:v>
      </x:c>
      <x:c r="M266" s="1" t="n">
        <x:v>5</x:v>
      </x:c>
      <x:c r="N266" s="1" t="str">
        <x:v>2025-2026</x:v>
      </x:c>
      <x:c r="O266" s="1" t="str">
        <x:v>2026-10-09</x:v>
      </x:c>
      <x:c r="P266" s="1" t="str">
        <x:v>Live</x:v>
      </x:c>
      <x:c r="Q266" s="1" t="str">
        <x:v>7231</x:v>
      </x:c>
      <x:c r="R266" s="1" t="str">
        <x:v>126515001</x:v>
      </x:c>
      <x:c r="S266" s="1"/>
      <x:c r="T266" s="1" t="str">
        <x:v>6050</x:v>
      </x:c>
      <x:c r="U266" s="1" t="str">
        <x:v>215-400-3700</x:v>
      </x:c>
      <x:c r="V266" s="1" t="str">
        <x:v>https://girlshs.philasd.org/</x:v>
      </x:c>
      <x:c r="W266" s="1" t="str">
        <x:v>2026-2027</x:v>
      </x:c>
      <x:c r="X266" s="1" t="str">
        <x:v>2026-2027</x:v>
      </x:c>
      <x:c r="Y266" s="1" t="str">
        <x:v>1</x:v>
      </x:c>
      <x:c r="Z266" s="1" t="str">
        <x:v>1</x:v>
      </x:c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</x:row>
    <x:row r="267" ht="22" customHeight="1">
      <x:c r="A267" s="2" t="str">
        <x:v>7290</x:v>
      </x:c>
      <x:c r="B267" s="2" t="str">
        <x:v>Allen M. Stearne School</x:v>
      </x:c>
      <x:c r="C267" s="2" t="str">
        <x:v>District</x:v>
      </x:c>
      <x:c r="D267" s="2" t="str">
        <x:v>Yes</x:v>
      </x:c>
      <x:c r="E267" s="2" t="str">
        <x:v>Elementary-Middle</x:v>
      </x:c>
      <x:c r="F267" s="2" t="str">
        <x:v>1655 UNITY ST</x:v>
      </x:c>
      <x:c r="G267" s="2" t="str">
        <x:v>PHILADELPHIA</x:v>
      </x:c>
      <x:c r="H267" s="2" t="str">
        <x:v>19124</x:v>
      </x:c>
      <x:c r="I267" s="2" t="n">
        <x:v>40.011752</x:v>
      </x:c>
      <x:c r="J267" s="2" t="n">
        <x:v>-75.085112</x:v>
      </x:c>
      <x:c r="K267" s="2" t="n">
        <x:v>370</x:v>
      </x:c>
      <x:c r="L267" s="15" t="n">
        <x:v>0.8664</x:v>
      </x:c>
      <x:c r="M267" s="1" t="n">
        <x:v>7</x:v>
      </x:c>
      <x:c r="N267" s="1" t="str">
        <x:v>2025-2026</x:v>
      </x:c>
      <x:c r="O267" s="1" t="str">
        <x:v>2026-10-09</x:v>
      </x:c>
      <x:c r="P267" s="1" t="str">
        <x:v>Live</x:v>
      </x:c>
      <x:c r="Q267" s="1" t="str">
        <x:v>4963</x:v>
      </x:c>
      <x:c r="R267" s="1" t="str">
        <x:v>126515001</x:v>
      </x:c>
      <x:c r="S267" s="1"/>
      <x:c r="T267" s="1" t="str">
        <x:v>6060</x:v>
      </x:c>
      <x:c r="U267" s="1" t="str">
        <x:v>215-400-3500</x:v>
      </x:c>
      <x:c r="V267" s="1" t="str">
        <x:v>https://mlkhs.philasd.org/</x:v>
      </x:c>
      <x:c r="W267" s="1" t="str">
        <x:v>2026-2027</x:v>
      </x:c>
      <x:c r="X267" s="1" t="str">
        <x:v>2026-2027</x:v>
      </x:c>
      <x:c r="Y267" s="1" t="str">
        <x:v>1</x:v>
      </x:c>
      <x:c r="Z267" s="1" t="str">
        <x:v>1</x:v>
      </x:c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</x:row>
    <x:row r="268" ht="22" customHeight="1">
      <x:c r="A268" s="2" t="str">
        <x:v>7300</x:v>
      </x:c>
      <x:c r="B268" s="2" t="str">
        <x:v>Francis Hopkinson School</x:v>
      </x:c>
      <x:c r="C268" s="2" t="str">
        <x:v>District</x:v>
      </x:c>
      <x:c r="D268" s="2" t="str">
        <x:v>Yes</x:v>
      </x:c>
      <x:c r="E268" s="2" t="str">
        <x:v>Elementary-Middle</x:v>
      </x:c>
      <x:c r="F268" s="2" t="str">
        <x:v>4001 L ST</x:v>
      </x:c>
      <x:c r="G268" s="2" t="str">
        <x:v>PHILADELPHIA</x:v>
      </x:c>
      <x:c r="H268" s="2" t="str">
        <x:v>19124</x:v>
      </x:c>
      <x:c r="I268" s="2" t="n">
        <x:v>40.00771059</x:v>
      </x:c>
      <x:c r="J268" s="2" t="n">
        <x:v>-75.10274511</x:v>
      </x:c>
      <x:c r="K268" s="2" t="n">
        <x:v>547</x:v>
      </x:c>
      <x:c r="L268" s="15" t="n">
        <x:v>0.8658</x:v>
      </x:c>
      <x:c r="M268" s="1" t="n">
        <x:v>8</x:v>
      </x:c>
      <x:c r="N268" s="1" t="str">
        <x:v>2025-2026</x:v>
      </x:c>
      <x:c r="O268" s="1" t="str">
        <x:v>2026-10-09</x:v>
      </x:c>
      <x:c r="P268" s="1" t="str">
        <x:v>Live</x:v>
      </x:c>
      <x:c r="Q268" s="1" t="str">
        <x:v>3742</x:v>
      </x:c>
      <x:c r="R268" s="1" t="str">
        <x:v>126515001</x:v>
      </x:c>
      <x:c r="S268" s="1"/>
      <x:c r="T268" s="1" t="str">
        <x:v>6090</x:v>
      </x:c>
      <x:c r="U268" s="1" t="str">
        <x:v>215-400-3840</x:v>
      </x:c>
      <x:c r="V268" s="1" t="str">
        <x:v>https://randolph.philasd.org/</x:v>
      </x:c>
      <x:c r="W268" s="1" t="str">
        <x:v>2026-2027</x:v>
      </x:c>
      <x:c r="X268" s="1" t="str">
        <x:v>2026-2027</x:v>
      </x:c>
      <x:c r="Y268" s="1" t="str">
        <x:v>1</x:v>
      </x:c>
      <x:c r="Z268" s="1" t="str">
        <x:v>1</x:v>
      </x:c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</x:row>
    <x:row r="269" ht="22" customHeight="1">
      <x:c r="A269" s="2" t="str">
        <x:v>7310</x:v>
      </x:c>
      <x:c r="B269" s="2" t="str">
        <x:v>Feltonville Intermediate School</x:v>
      </x:c>
      <x:c r="C269" s="2" t="str">
        <x:v>District</x:v>
      </x:c>
      <x:c r="D269" s="2" t="str">
        <x:v>Yes</x:v>
      </x:c>
      <x:c r="E269" s="2" t="str">
        <x:v>Elementary</x:v>
      </x:c>
      <x:c r="F269" s="2" t="str">
        <x:v>238 E WYOMING AVE</x:v>
      </x:c>
      <x:c r="G269" s="2" t="str">
        <x:v>PHILADELPHIA</x:v>
      </x:c>
      <x:c r="H269" s="2" t="str">
        <x:v>19120</x:v>
      </x:c>
      <x:c r="I269" s="2" t="n">
        <x:v>40.02034002</x:v>
      </x:c>
      <x:c r="J269" s="2" t="n">
        <x:v>-75.12102564</x:v>
      </x:c>
      <x:c r="K269" s="2" t="n">
        <x:v>483</x:v>
      </x:c>
      <x:c r="L269" s="15" t="n">
        <x:v>0.85</x:v>
      </x:c>
      <x:c r="M269" s="1" t="n">
        <x:v>7</x:v>
      </x:c>
      <x:c r="N269" s="1" t="str">
        <x:v>2025-2026</x:v>
      </x:c>
      <x:c r="O269" s="1" t="str">
        <x:v>2026-10-09</x:v>
      </x:c>
      <x:c r="P269" s="1" t="str">
        <x:v>Live</x:v>
      </x:c>
      <x:c r="Q269" s="1" t="str">
        <x:v>3751</x:v>
      </x:c>
      <x:c r="R269" s="1" t="str">
        <x:v>126515001</x:v>
      </x:c>
      <x:c r="S269" s="1"/>
      <x:c r="T269" s="1" t="str">
        <x:v>6200</x:v>
      </x:c>
      <x:c r="U269" s="1" t="str">
        <x:v>215-400-3520</x:v>
      </x:c>
      <x:c r="V269" s="1" t="str">
        <x:v>https://abday.philasd.org/</x:v>
      </x:c>
      <x:c r="W269" s="1" t="str">
        <x:v>2026-2027</x:v>
      </x:c>
      <x:c r="X269" s="1" t="str">
        <x:v>2026-2027</x:v>
      </x:c>
      <x:c r="Y269" s="1" t="str">
        <x:v>1</x:v>
      </x:c>
      <x:c r="Z269" s="1" t="str">
        <x:v>1</x:v>
      </x:c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</x:row>
    <x:row r="270" ht="22" customHeight="1">
      <x:c r="A270" s="2" t="str">
        <x:v>7320</x:v>
      </x:c>
      <x:c r="B270" s="2" t="str">
        <x:v>Julia W. Howe School</x:v>
      </x:c>
      <x:c r="C270" s="2" t="str">
        <x:v>District</x:v>
      </x:c>
      <x:c r="D270" s="2" t="str">
        <x:v>Yes</x:v>
      </x:c>
      <x:c r="E270" s="2" t="str">
        <x:v>Elementary</x:v>
      </x:c>
      <x:c r="F270" s="2" t="str">
        <x:v>5800 N 13TH ST</x:v>
      </x:c>
      <x:c r="G270" s="2" t="str">
        <x:v>PHILADELPHIA</x:v>
      </x:c>
      <x:c r="H270" s="2" t="str">
        <x:v>19141</x:v>
      </x:c>
      <x:c r="I270" s="2" t="n">
        <x:v>40.04113187</x:v>
      </x:c>
      <x:c r="J270" s="2" t="n">
        <x:v>-75.14211131</x:v>
      </x:c>
      <x:c r="K270" s="2" t="n">
        <x:v>225</x:v>
      </x:c>
      <x:c r="L270" s="15" t="n">
        <x:v>0.8198</x:v>
      </x:c>
      <x:c r="M270" s="1" t="n">
        <x:v>8</x:v>
      </x:c>
      <x:c r="N270" s="1" t="str">
        <x:v>2025-2026</x:v>
      </x:c>
      <x:c r="O270" s="1" t="str">
        <x:v>2026-10-09</x:v>
      </x:c>
      <x:c r="P270" s="1" t="str">
        <x:v>Live</x:v>
      </x:c>
      <x:c r="Q270" s="1" t="str">
        <x:v>3743</x:v>
      </x:c>
      <x:c r="R270" s="1" t="str">
        <x:v>126515001</x:v>
      </x:c>
      <x:c r="S270" s="1"/>
      <x:c r="T270" s="1" t="str">
        <x:v>6210</x:v>
      </x:c>
      <x:c r="U270" s="1" t="str">
        <x:v>215-400-3370</x:v>
      </x:c>
      <x:c r="V270" s="1" t="str">
        <x:v>https://edmonds.philasd.org/</x:v>
      </x:c>
      <x:c r="W270" s="1" t="str">
        <x:v>2026-2027</x:v>
      </x:c>
      <x:c r="X270" s="1" t="str">
        <x:v>2026-2027</x:v>
      </x:c>
      <x:c r="Y270" s="1" t="str">
        <x:v>1</x:v>
      </x:c>
      <x:c r="Z270" s="1" t="str">
        <x:v>1</x:v>
      </x:c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</x:row>
    <x:row r="271" ht="22" customHeight="1">
      <x:c r="A271" s="2" t="str">
        <x:v>7330</x:v>
      </x:c>
      <x:c r="B271" s="2" t="str">
        <x:v>Henry W. Lawton School</x:v>
      </x:c>
      <x:c r="C271" s="2" t="str">
        <x:v>District</x:v>
      </x:c>
      <x:c r="D271" s="2" t="str">
        <x:v>Yes</x:v>
      </x:c>
      <x:c r="E271" s="2" t="str">
        <x:v>Elementary</x:v>
      </x:c>
      <x:c r="F271" s="2" t="str">
        <x:v>6101 JACKSON ST</x:v>
      </x:c>
      <x:c r="G271" s="2" t="str">
        <x:v>PHILADELPHIA</x:v>
      </x:c>
      <x:c r="H271" s="2" t="str">
        <x:v>19135</x:v>
      </x:c>
      <x:c r="I271" s="2" t="n">
        <x:v>40.020648</x:v>
      </x:c>
      <x:c r="J271" s="2" t="n">
        <x:v>-75.058976</x:v>
      </x:c>
      <x:c r="K271" s="2" t="n">
        <x:v>513</x:v>
      </x:c>
      <x:c r="L271" s="15" t="n">
        <x:v>0.8275</x:v>
      </x:c>
      <x:c r="M271" s="1" t="n">
        <x:v>3</x:v>
      </x:c>
      <x:c r="N271" s="1" t="str">
        <x:v>2025-2026</x:v>
      </x:c>
      <x:c r="O271" s="1" t="str">
        <x:v>2026-10-09</x:v>
      </x:c>
      <x:c r="P271" s="1" t="str">
        <x:v>Live</x:v>
      </x:c>
      <x:c r="Q271" s="1" t="str">
        <x:v>3744</x:v>
      </x:c>
      <x:c r="R271" s="1" t="str">
        <x:v>126515001</x:v>
      </x:c>
      <x:c r="S271" s="1"/>
      <x:c r="T271" s="1" t="str">
        <x:v>6220</x:v>
      </x:c>
      <x:c r="U271" s="1" t="str">
        <x:v>215-400-3470</x:v>
      </x:c>
      <x:c r="V271" s="1" t="str">
        <x:v>https://emlen.philasd.org/</x:v>
      </x:c>
      <x:c r="W271" s="1" t="str">
        <x:v>2026-2027</x:v>
      </x:c>
      <x:c r="X271" s="1" t="str">
        <x:v>2026-2027</x:v>
      </x:c>
      <x:c r="Y271" s="1" t="str">
        <x:v>1</x:v>
      </x:c>
      <x:c r="Z271" s="1" t="str">
        <x:v>1</x:v>
      </x:c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</x:row>
    <x:row r="272" ht="22" customHeight="1">
      <x:c r="A272" s="2" t="str">
        <x:v>7350</x:v>
      </x:c>
      <x:c r="B272" s="2" t="str">
        <x:v>James R. Lowell School</x:v>
      </x:c>
      <x:c r="C272" s="2" t="str">
        <x:v>District</x:v>
      </x:c>
      <x:c r="D272" s="2" t="str">
        <x:v>Yes</x:v>
      </x:c>
      <x:c r="E272" s="2" t="str">
        <x:v>Elementary</x:v>
      </x:c>
      <x:c r="F272" s="2" t="str">
        <x:v>450 W NEDRO AVE</x:v>
      </x:c>
      <x:c r="G272" s="2" t="str">
        <x:v>PHILADELPHIA</x:v>
      </x:c>
      <x:c r="H272" s="2" t="str">
        <x:v>19120</x:v>
      </x:c>
      <x:c r="I272" s="2" t="n">
        <x:v>40.04086578</x:v>
      </x:c>
      <x:c r="J272" s="2" t="n">
        <x:v>-75.12871963</x:v>
      </x:c>
      <x:c r="K272" s="2" t="n">
        <x:v>430</x:v>
      </x:c>
      <x:c r="L272" s="15" t="n">
        <x:v>0.8768</x:v>
      </x:c>
      <x:c r="M272" s="1" t="n">
        <x:v>4</x:v>
      </x:c>
      <x:c r="N272" s="1" t="str">
        <x:v>2025-2026</x:v>
      </x:c>
      <x:c r="O272" s="1" t="str">
        <x:v>2026-10-09</x:v>
      </x:c>
      <x:c r="P272" s="1" t="str">
        <x:v>Live</x:v>
      </x:c>
      <x:c r="Q272" s="1" t="str">
        <x:v>7232</x:v>
      </x:c>
      <x:c r="R272" s="1" t="str">
        <x:v>126515001</x:v>
      </x:c>
      <x:c r="S272" s="1"/>
      <x:c r="T272" s="1" t="str">
        <x:v>6230</x:v>
      </x:c>
      <x:c r="U272" s="1" t="str">
        <x:v>215-400-3610</x:v>
      </x:c>
      <x:c r="V272" s="1" t="str">
        <x:v>https://fitler.philasd.org/</x:v>
      </x:c>
      <x:c r="W272" s="1" t="str">
        <x:v>2026-2027</x:v>
      </x:c>
      <x:c r="X272" s="1" t="str">
        <x:v>2026-2027</x:v>
      </x:c>
      <x:c r="Y272" s="1" t="str">
        <x:v>1</x:v>
      </x:c>
      <x:c r="Z272" s="1" t="str">
        <x:v>1</x:v>
      </x:c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</x:row>
    <x:row r="273" ht="22" customHeight="1">
      <x:c r="A273" s="2" t="str">
        <x:v>7360</x:v>
      </x:c>
      <x:c r="B273" s="2" t="str">
        <x:v>John Marshall School</x:v>
      </x:c>
      <x:c r="C273" s="2" t="str">
        <x:v>District</x:v>
      </x:c>
      <x:c r="D273" s="2" t="str">
        <x:v>Yes</x:v>
      </x:c>
      <x:c r="E273" s="2" t="str">
        <x:v>Elementary</x:v>
      </x:c>
      <x:c r="F273" s="2" t="str">
        <x:v>4500 GRISCOM ST</x:v>
      </x:c>
      <x:c r="G273" s="2" t="str">
        <x:v>PHILADELPHIA</x:v>
      </x:c>
      <x:c r="H273" s="2" t="str">
        <x:v>19124</x:v>
      </x:c>
      <x:c r="I273" s="2" t="n">
        <x:v>40.014546</x:v>
      </x:c>
      <x:c r="J273" s="2" t="n">
        <x:v>-75.087158</x:v>
      </x:c>
      <x:c r="K273" s="2" t="n">
        <x:v>243</x:v>
      </x:c>
      <x:c r="L273" s="15" t="n">
        <x:v>0.8641</x:v>
      </x:c>
      <x:c r="M273" s="1" t="n">
        <x:v>7</x:v>
      </x:c>
      <x:c r="N273" s="1" t="str">
        <x:v>2025-2026</x:v>
      </x:c>
      <x:c r="O273" s="1" t="str">
        <x:v>2026-10-09</x:v>
      </x:c>
      <x:c r="P273" s="1" t="str">
        <x:v>Live</x:v>
      </x:c>
      <x:c r="Q273" s="1" t="str">
        <x:v>3797</x:v>
      </x:c>
      <x:c r="R273" s="1" t="str">
        <x:v>126515001</x:v>
      </x:c>
      <x:c r="S273" s="1"/>
      <x:c r="T273" s="1" t="str">
        <x:v>6250</x:v>
      </x:c>
      <x:c r="U273" s="1" t="str">
        <x:v>215-400-3480</x:v>
      </x:c>
      <x:c r="V273" s="1" t="str">
        <x:v>https://henry.philasd.org/</x:v>
      </x:c>
      <x:c r="W273" s="1" t="str">
        <x:v>2026-2027</x:v>
      </x:c>
      <x:c r="X273" s="1" t="str">
        <x:v>2026-2027</x:v>
      </x:c>
      <x:c r="Y273" s="1" t="str">
        <x:v>1</x:v>
      </x:c>
      <x:c r="Z273" s="1" t="str">
        <x:v>1</x:v>
      </x:c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</x:row>
    <x:row r="274" ht="22" customHeight="1">
      <x:c r="A274" s="2" t="str">
        <x:v>7370</x:v>
      </x:c>
      <x:c r="B274" s="2" t="str">
        <x:v>Grover Washington, Jr. Middle School</x:v>
      </x:c>
      <x:c r="C274" s="2" t="str">
        <x:v>District</x:v>
      </x:c>
      <x:c r="D274" s="2" t="str">
        <x:v>Yes</x:v>
      </x:c>
      <x:c r="E274" s="2" t="str">
        <x:v>Middle</x:v>
      </x:c>
      <x:c r="F274" s="2" t="str">
        <x:v>201 E OLNEY AVE</x:v>
      </x:c>
      <x:c r="G274" s="2" t="str">
        <x:v>PHILADELPHIA</x:v>
      </x:c>
      <x:c r="H274" s="2" t="str">
        <x:v>19120</x:v>
      </x:c>
      <x:c r="I274" s="2" t="n">
        <x:v>40.035479</x:v>
      </x:c>
      <x:c r="J274" s="2" t="n">
        <x:v>-75.117969</x:v>
      </x:c>
      <x:c r="K274" s="2" t="n">
        <x:v>332</x:v>
      </x:c>
      <x:c r="L274" s="15" t="n">
        <x:v>0.8676</x:v>
      </x:c>
      <x:c r="M274" s="1" t="n">
        <x:v>6</x:v>
      </x:c>
      <x:c r="N274" s="1" t="str">
        <x:v>2025-2026</x:v>
      </x:c>
      <x:c r="O274" s="1" t="str">
        <x:v>2026-10-09</x:v>
      </x:c>
      <x:c r="P274" s="1" t="str">
        <x:v>Live</x:v>
      </x:c>
      <x:c r="Q274" s="1" t="str">
        <x:v>7663</x:v>
      </x:c>
      <x:c r="R274" s="1" t="str">
        <x:v>126515001</x:v>
      </x:c>
      <x:c r="S274" s="1"/>
      <x:c r="T274" s="1" t="str">
        <x:v>6260</x:v>
      </x:c>
      <x:c r="U274" s="1" t="str">
        <x:v>215-400-3490</x:v>
      </x:c>
      <x:c r="V274" s="1" t="str">
        <x:v>https://houston.philasd.org/</x:v>
      </x:c>
      <x:c r="W274" s="1" t="str">
        <x:v>2026-2027</x:v>
      </x:c>
      <x:c r="X274" s="1" t="str">
        <x:v>2026-2027</x:v>
      </x:c>
      <x:c r="Y274" s="1" t="str">
        <x:v>1</x:v>
      </x:c>
      <x:c r="Z274" s="1" t="str">
        <x:v>1</x:v>
      </x:c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</x:row>
    <x:row r="275" ht="22" customHeight="1">
      <x:c r="A275" s="2" t="str">
        <x:v>7380</x:v>
      </x:c>
      <x:c r="B275" s="2" t="str">
        <x:v>Alexander K. McClure School</x:v>
      </x:c>
      <x:c r="C275" s="2" t="str">
        <x:v>District</x:v>
      </x:c>
      <x:c r="D275" s="2" t="str">
        <x:v>Yes</x:v>
      </x:c>
      <x:c r="E275" s="2" t="str">
        <x:v>Elementary</x:v>
      </x:c>
      <x:c r="F275" s="2" t="str">
        <x:v>600 W HUNTING PARK AVE</x:v>
      </x:c>
      <x:c r="G275" s="2" t="str">
        <x:v>PHILADELPHIA</x:v>
      </x:c>
      <x:c r="H275" s="2" t="str">
        <x:v>19140</x:v>
      </x:c>
      <x:c r="I275" s="2" t="n">
        <x:v>40.015178</x:v>
      </x:c>
      <x:c r="J275" s="2" t="n">
        <x:v>-75.137574</x:v>
      </x:c>
      <x:c r="K275" s="2" t="n">
        <x:v>353</x:v>
      </x:c>
      <x:c r="L275" s="15" t="n">
        <x:v>0.8821</x:v>
      </x:c>
      <x:c r="M275" s="1" t="n">
        <x:v>12</x:v>
      </x:c>
      <x:c r="N275" s="1" t="str">
        <x:v>2025-2026</x:v>
      </x:c>
      <x:c r="O275" s="1" t="str">
        <x:v>2026-10-09</x:v>
      </x:c>
      <x:c r="P275" s="1" t="str">
        <x:v>Live</x:v>
      </x:c>
      <x:c r="Q275" s="1" t="str">
        <x:v>6534</x:v>
      </x:c>
      <x:c r="R275" s="1" t="str">
        <x:v>126515001</x:v>
      </x:c>
      <x:c r="S275" s="1"/>
      <x:c r="T275" s="1" t="str">
        <x:v>6270</x:v>
      </x:c>
      <x:c r="U275" s="1" t="str">
        <x:v>215-400-3360</x:v>
      </x:c>
      <x:c r="V275" s="1" t="str">
        <x:v>https://jsjenks.philasd.org/</x:v>
      </x:c>
      <x:c r="W275" s="1" t="str">
        <x:v>2026-2027</x:v>
      </x:c>
      <x:c r="X275" s="1" t="str">
        <x:v>2026-2027</x:v>
      </x:c>
      <x:c r="Y275" s="1" t="str">
        <x:v>1</x:v>
      </x:c>
      <x:c r="Z275" s="1" t="str">
        <x:v>1</x:v>
      </x:c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</x:row>
    <x:row r="276" ht="22" customHeight="1">
      <x:c r="A276" s="2" t="str">
        <x:v>7390</x:v>
      </x:c>
      <x:c r="B276" s="2" t="str">
        <x:v>Andrew J. Morrison School</x:v>
      </x:c>
      <x:c r="C276" s="2" t="str">
        <x:v>District</x:v>
      </x:c>
      <x:c r="D276" s="2" t="str">
        <x:v>Yes</x:v>
      </x:c>
      <x:c r="E276" s="2" t="str">
        <x:v>Elementary-Middle</x:v>
      </x:c>
      <x:c r="F276" s="2" t="str">
        <x:v>5100 N 3RD ST</x:v>
      </x:c>
      <x:c r="G276" s="2" t="str">
        <x:v>PHILADELPHIA</x:v>
      </x:c>
      <x:c r="H276" s="2" t="str">
        <x:v>19120</x:v>
      </x:c>
      <x:c r="I276" s="2" t="n">
        <x:v>40.02843729</x:v>
      </x:c>
      <x:c r="J276" s="2" t="n">
        <x:v>-75.12941126</x:v>
      </x:c>
      <x:c r="K276" s="2" t="n">
        <x:v>484</x:v>
      </x:c>
      <x:c r="L276" s="15" t="n">
        <x:v>0.8357</x:v>
      </x:c>
      <x:c r="M276" s="1" t="n">
        <x:v>9</x:v>
      </x:c>
      <x:c r="N276" s="1" t="str">
        <x:v>2025-2026</x:v>
      </x:c>
      <x:c r="O276" s="1" t="str">
        <x:v>2026-10-09</x:v>
      </x:c>
      <x:c r="P276" s="1" t="str">
        <x:v>Live</x:v>
      </x:c>
      <x:c r="Q276" s="1" t="str">
        <x:v>3749</x:v>
      </x:c>
      <x:c r="R276" s="1" t="str">
        <x:v>126515001</x:v>
      </x:c>
      <x:c r="S276" s="1"/>
      <x:c r="T276" s="1" t="str">
        <x:v>6300</x:v>
      </x:c>
      <x:c r="U276" s="1" t="str">
        <x:v>215-400-3670</x:v>
      </x:c>
      <x:c r="V276" s="1" t="str">
        <x:v>https://logan.philasd.org/</x:v>
      </x:c>
      <x:c r="W276" s="1" t="str">
        <x:v>2026-2027</x:v>
      </x:c>
      <x:c r="X276" s="1" t="str">
        <x:v>2026-2027</x:v>
      </x:c>
      <x:c r="Y276" s="1" t="str">
        <x:v>1</x:v>
      </x:c>
      <x:c r="Z276" s="1" t="str">
        <x:v>1</x:v>
      </x:c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</x:row>
    <x:row r="277" ht="22" customHeight="1">
      <x:c r="A277" s="2" t="str">
        <x:v>7400</x:v>
      </x:c>
      <x:c r="B277" s="2" t="str">
        <x:v>Olney Elementary School</x:v>
      </x:c>
      <x:c r="C277" s="2" t="str">
        <x:v>District</x:v>
      </x:c>
      <x:c r="D277" s="2" t="str">
        <x:v>Yes</x:v>
      </x:c>
      <x:c r="E277" s="2" t="str">
        <x:v>Elementary-Middle</x:v>
      </x:c>
      <x:c r="F277" s="2" t="str">
        <x:v>5301 N WATER ST</x:v>
      </x:c>
      <x:c r="G277" s="2" t="str">
        <x:v>PHILADELPHIA</x:v>
      </x:c>
      <x:c r="H277" s="2" t="str">
        <x:v>19120</x:v>
      </x:c>
      <x:c r="I277" s="2" t="n">
        <x:v>40.03058672</x:v>
      </x:c>
      <x:c r="J277" s="2" t="n">
        <x:v>-75.12134354</x:v>
      </x:c>
      <x:c r="K277" s="2" t="n">
        <x:v>666</x:v>
      </x:c>
      <x:c r="L277" s="15" t="n">
        <x:v>0.8247</x:v>
      </x:c>
      <x:c r="M277" s="1" t="n">
        <x:v>8</x:v>
      </x:c>
      <x:c r="N277" s="1" t="str">
        <x:v>2025-2026</x:v>
      </x:c>
      <x:c r="O277" s="1" t="str">
        <x:v>2026-10-09</x:v>
      </x:c>
      <x:c r="P277" s="1" t="str">
        <x:v>Live</x:v>
      </x:c>
      <x:c r="Q277" s="1" t="str">
        <x:v>3750</x:v>
      </x:c>
      <x:c r="R277" s="1" t="str">
        <x:v>126515001</x:v>
      </x:c>
      <x:c r="S277" s="1"/>
      <x:c r="T277" s="1" t="str">
        <x:v>6310</x:v>
      </x:c>
      <x:c r="U277" s="1" t="str">
        <x:v>215-400-3380</x:v>
      </x:c>
      <x:c r="V277" s="1" t="str">
        <x:v>https://mccloskey.philasd.org/</x:v>
      </x:c>
      <x:c r="W277" s="1" t="str">
        <x:v>2026-2027</x:v>
      </x:c>
      <x:c r="X277" s="1" t="str">
        <x:v>2026-2027</x:v>
      </x:c>
      <x:c r="Y277" s="1" t="str">
        <x:v>1</x:v>
      </x:c>
      <x:c r="Z277" s="1" t="str">
        <x:v>1</x:v>
      </x:c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</x:row>
    <x:row r="278" ht="22" customHeight="1">
      <x:c r="A278" s="2" t="str">
        <x:v>7430</x:v>
      </x:c>
      <x:c r="B278" s="2" t="str">
        <x:v>James J. Sullivan School</x:v>
      </x:c>
      <x:c r="C278" s="2" t="str">
        <x:v>District</x:v>
      </x:c>
      <x:c r="D278" s="2" t="str">
        <x:v>Yes</x:v>
      </x:c>
      <x:c r="E278" s="2" t="str">
        <x:v>Elementary</x:v>
      </x:c>
      <x:c r="F278" s="2" t="str">
        <x:v>5300 DITMAN ST</x:v>
      </x:c>
      <x:c r="G278" s="2" t="str">
        <x:v>PHILADELPHIA</x:v>
      </x:c>
      <x:c r="H278" s="2" t="str">
        <x:v>19124</x:v>
      </x:c>
      <x:c r="I278" s="2" t="n">
        <x:v>40.01529786</x:v>
      </x:c>
      <x:c r="J278" s="2" t="n">
        <x:v>-75.06706036</x:v>
      </x:c>
      <x:c r="K278" s="2" t="n">
        <x:v>378</x:v>
      </x:c>
      <x:c r="L278" s="15" t="n">
        <x:v>0.864</x:v>
      </x:c>
      <x:c r="M278" s="1" t="n">
        <x:v>8</x:v>
      </x:c>
      <x:c r="N278" s="1" t="str">
        <x:v>2025-2026</x:v>
      </x:c>
      <x:c r="O278" s="1" t="str">
        <x:v>2026-10-09</x:v>
      </x:c>
      <x:c r="P278" s="1" t="str">
        <x:v>Live</x:v>
      </x:c>
      <x:c r="Q278" s="1" t="str">
        <x:v>3753</x:v>
      </x:c>
      <x:c r="R278" s="1" t="str">
        <x:v>126515001</x:v>
      </x:c>
      <x:c r="S278" s="1"/>
      <x:c r="T278" s="1" t="str">
        <x:v>6320</x:v>
      </x:c>
      <x:c r="U278" s="1" t="str">
        <x:v>215-400-3830</x:v>
      </x:c>
      <x:c r="V278" s="1" t="str">
        <x:v>https://mifflin.philasd.org/</x:v>
      </x:c>
      <x:c r="W278" s="1" t="str">
        <x:v>2026-2027</x:v>
      </x:c>
      <x:c r="X278" s="1" t="str">
        <x:v>2026-2027</x:v>
      </x:c>
      <x:c r="Y278" s="1" t="str">
        <x:v>1</x:v>
      </x:c>
      <x:c r="Z278" s="1" t="str">
        <x:v>1</x:v>
      </x:c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</x:row>
    <x:row r="279" ht="22" customHeight="1">
      <x:c r="A279" s="2" t="str">
        <x:v>7440</x:v>
      </x:c>
      <x:c r="B279" s="2" t="str">
        <x:v>Bayard Taylor School</x:v>
      </x:c>
      <x:c r="C279" s="2" t="str">
        <x:v>District</x:v>
      </x:c>
      <x:c r="D279" s="2" t="str">
        <x:v>Yes</x:v>
      </x:c>
      <x:c r="E279" s="2" t="str">
        <x:v>Elementary</x:v>
      </x:c>
      <x:c r="F279" s="2" t="str">
        <x:v>3698 N RANDOLPH ST</x:v>
      </x:c>
      <x:c r="G279" s="2" t="str">
        <x:v>PHILADELPHIA</x:v>
      </x:c>
      <x:c r="H279" s="2" t="str">
        <x:v>19140</x:v>
      </x:c>
      <x:c r="I279" s="2" t="n">
        <x:v>40.00753033</x:v>
      </x:c>
      <x:c r="J279" s="2" t="n">
        <x:v>-75.13793972</x:v>
      </x:c>
      <x:c r="K279" s="2" t="n">
        <x:v>359</x:v>
      </x:c>
      <x:c r="L279" s="15" t="n">
        <x:v>0.8635</x:v>
      </x:c>
      <x:c r="M279" s="1" t="n">
        <x:v>12</x:v>
      </x:c>
      <x:c r="N279" s="1" t="str">
        <x:v>2025-2026</x:v>
      </x:c>
      <x:c r="O279" s="1" t="str">
        <x:v>2026-10-09</x:v>
      </x:c>
      <x:c r="P279" s="1" t="str">
        <x:v>Live</x:v>
      </x:c>
      <x:c r="Q279" s="1" t="str">
        <x:v>3755</x:v>
      </x:c>
      <x:c r="R279" s="1" t="str">
        <x:v>126515001</x:v>
      </x:c>
      <x:c r="S279" s="1"/>
      <x:c r="T279" s="1" t="str">
        <x:v>6340</x:v>
      </x:c>
      <x:c r="U279" s="1" t="str">
        <x:v>215-400-3680</x:v>
      </x:c>
      <x:c r="V279" s="1" t="str">
        <x:v>https://pennell.philasd.org/</x:v>
      </x:c>
      <x:c r="W279" s="1" t="str">
        <x:v>2026-2027</x:v>
      </x:c>
      <x:c r="X279" s="1" t="str">
        <x:v>2026-2027</x:v>
      </x:c>
      <x:c r="Y279" s="1" t="str">
        <x:v>1</x:v>
      </x:c>
      <x:c r="Z279" s="1" t="str">
        <x:v>1</x:v>
      </x:c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</x:row>
    <x:row r="280" ht="22" customHeight="1">
      <x:c r="A280" s="2" t="str">
        <x:v>7460</x:v>
      </x:c>
      <x:c r="B280" s="2" t="str">
        <x:v>William H. Ziegler School</x:v>
      </x:c>
      <x:c r="C280" s="2" t="str">
        <x:v>District</x:v>
      </x:c>
      <x:c r="D280" s="2" t="str">
        <x:v>Yes</x:v>
      </x:c>
      <x:c r="E280" s="2" t="str">
        <x:v>Elementary-Middle</x:v>
      </x:c>
      <x:c r="F280" s="2" t="str">
        <x:v>5935 SAUL ST</x:v>
      </x:c>
      <x:c r="G280" s="2" t="str">
        <x:v>PHILADELPHIA</x:v>
      </x:c>
      <x:c r="H280" s="2" t="str">
        <x:v>19149</x:v>
      </x:c>
      <x:c r="I280" s="2" t="n">
        <x:v>40.03003725</x:v>
      </x:c>
      <x:c r="J280" s="2" t="n">
        <x:v>-75.07570448</x:v>
      </x:c>
      <x:c r="K280" s="2" t="n">
        <x:v>507</x:v>
      </x:c>
      <x:c r="L280" s="15" t="n">
        <x:v>0.8134</x:v>
      </x:c>
      <x:c r="M280" s="1" t="n">
        <x:v>5</x:v>
      </x:c>
      <x:c r="N280" s="1" t="str">
        <x:v>2025-2026</x:v>
      </x:c>
      <x:c r="O280" s="1" t="str">
        <x:v>2026-10-09</x:v>
      </x:c>
      <x:c r="P280" s="1" t="str">
        <x:v>Live</x:v>
      </x:c>
      <x:c r="Q280" s="1" t="str">
        <x:v>7233</x:v>
      </x:c>
      <x:c r="R280" s="1" t="str">
        <x:v>126515001</x:v>
      </x:c>
      <x:c r="S280" s="1"/>
      <x:c r="T280" s="1" t="str">
        <x:v>6350</x:v>
      </x:c>
      <x:c r="U280" s="1" t="str">
        <x:v>215-400-3510</x:v>
      </x:c>
      <x:c r="V280" s="1" t="str">
        <x:v>https://pennypacker.philasd.org/</x:v>
      </x:c>
      <x:c r="W280" s="1" t="str">
        <x:v>2026-2027</x:v>
      </x:c>
      <x:c r="X280" s="1" t="str">
        <x:v>2026-2027</x:v>
      </x:c>
      <x:c r="Y280" s="1" t="str">
        <x:v>1</x:v>
      </x:c>
      <x:c r="Z280" s="1" t="str">
        <x:v>1</x:v>
      </x:c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</x:row>
    <x:row r="281" ht="22" customHeight="1">
      <x:c r="A281" s="2" t="str">
        <x:v>7470</x:v>
      </x:c>
      <x:c r="B281" s="2" t="str">
        <x:v>Bridesburg School</x:v>
      </x:c>
      <x:c r="C281" s="2" t="str">
        <x:v>District</x:v>
      </x:c>
      <x:c r="D281" s="2" t="str">
        <x:v>Yes</x:v>
      </x:c>
      <x:c r="E281" s="2" t="str">
        <x:v>Elementary-Middle</x:v>
      </x:c>
      <x:c r="F281" s="2" t="str">
        <x:v>2824 JENKS ST</x:v>
      </x:c>
      <x:c r="G281" s="2" t="str">
        <x:v>PHILADELPHIA</x:v>
      </x:c>
      <x:c r="H281" s="2" t="str">
        <x:v>19137</x:v>
      </x:c>
      <x:c r="I281" s="2" t="n">
        <x:v>40.00030082</x:v>
      </x:c>
      <x:c r="J281" s="2" t="n">
        <x:v>-75.06660471</x:v>
      </x:c>
      <x:c r="K281" s="2" t="n">
        <x:v>522</x:v>
      </x:c>
      <x:c r="L281" s="15" t="n">
        <x:v>0.6934</x:v>
      </x:c>
      <x:c r="M281" s="1" t="n">
        <x:v>1</x:v>
      </x:c>
      <x:c r="N281" s="1" t="str">
        <x:v>2025-2026</x:v>
      </x:c>
      <x:c r="O281" s="1" t="str">
        <x:v>2026-10-09</x:v>
      </x:c>
      <x:c r="P281" s="1" t="str">
        <x:v>Live</x:v>
      </x:c>
      <x:c r="Q281" s="1" t="str">
        <x:v>3745</x:v>
      </x:c>
      <x:c r="R281" s="1" t="str">
        <x:v>126515001</x:v>
      </x:c>
      <x:c r="S281" s="1"/>
      <x:c r="T281" s="1" t="str">
        <x:v>6360</x:v>
      </x:c>
      <x:c r="U281" s="1" t="str">
        <x:v>215-400-3640</x:v>
      </x:c>
      <x:c r="V281" s="1" t="str">
        <x:v>https://roosevelt.philasd.org/</x:v>
      </x:c>
      <x:c r="W281" s="1" t="str">
        <x:v>2026-2027</x:v>
      </x:c>
      <x:c r="X281" s="1" t="str">
        <x:v>2026-2027</x:v>
      </x:c>
      <x:c r="Y281" s="1" t="str">
        <x:v>1</x:v>
      </x:c>
      <x:c r="Z281" s="1" t="str">
        <x:v>1</x:v>
      </x:c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</x:row>
    <x:row r="282" ht="22" customHeight="1">
      <x:c r="A282" s="2" t="str">
        <x:v>7490</x:v>
      </x:c>
      <x:c r="B282" s="2" t="str">
        <x:v>Prince Hall School</x:v>
      </x:c>
      <x:c r="C282" s="2" t="str">
        <x:v>District</x:v>
      </x:c>
      <x:c r="D282" s="2" t="str">
        <x:v>Yes</x:v>
      </x:c>
      <x:c r="E282" s="2" t="str">
        <x:v>Elementary</x:v>
      </x:c>
      <x:c r="F282" s="2" t="str">
        <x:v>6101 N GRATZ ST</x:v>
      </x:c>
      <x:c r="G282" s="2" t="str">
        <x:v>PHILADELPHIA</x:v>
      </x:c>
      <x:c r="H282" s="2" t="str">
        <x:v>19141</x:v>
      </x:c>
      <x:c r="I282" s="2" t="n">
        <x:v>40.04770742</x:v>
      </x:c>
      <x:c r="J282" s="2" t="n">
        <x:v>-75.14956052</x:v>
      </x:c>
      <x:c r="K282" s="2" t="n">
        <x:v>317</x:v>
      </x:c>
      <x:c r="L282" s="15" t="n">
        <x:v>0.9169</x:v>
      </x:c>
      <x:c r="M282" s="1" t="n">
        <x:v>12</x:v>
      </x:c>
      <x:c r="N282" s="1" t="str">
        <x:v>2025-2026</x:v>
      </x:c>
      <x:c r="O282" s="1" t="str">
        <x:v>2026-10-09</x:v>
      </x:c>
      <x:c r="P282" s="1" t="str">
        <x:v>Live</x:v>
      </x:c>
      <x:c r="Q282" s="1" t="str">
        <x:v>6765</x:v>
      </x:c>
      <x:c r="R282" s="1" t="str">
        <x:v>126515001</x:v>
      </x:c>
      <x:c r="S282" s="1"/>
      <x:c r="T282" s="1" t="str">
        <x:v>6380</x:v>
      </x:c>
      <x:c r="U282" s="1" t="str">
        <x:v>215-400-3440</x:v>
      </x:c>
      <x:c r="V282" s="1" t="str">
        <x:v>https://shawmont.philasd.org/</x:v>
      </x:c>
      <x:c r="W282" s="1" t="str">
        <x:v>2026-2027</x:v>
      </x:c>
      <x:c r="X282" s="1" t="str">
        <x:v>2026-2027</x:v>
      </x:c>
      <x:c r="Y282" s="1" t="str">
        <x:v>1</x:v>
      </x:c>
      <x:c r="Z282" s="1" t="str">
        <x:v>1</x:v>
      </x:c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</x:row>
    <x:row r="283" ht="22" customHeight="1">
      <x:c r="A283" s="2" t="str">
        <x:v>7500</x:v>
      </x:c>
      <x:c r="B283" s="2" t="str">
        <x:v>Feltonville School of Arts and Sciences</x:v>
      </x:c>
      <x:c r="C283" s="2" t="str">
        <x:v>District</x:v>
      </x:c>
      <x:c r="D283" s="2" t="str">
        <x:v>Yes</x:v>
      </x:c>
      <x:c r="E283" s="2" t="str">
        <x:v>Middle</x:v>
      </x:c>
      <x:c r="F283" s="2" t="str">
        <x:v>210 E COURTLAND ST</x:v>
      </x:c>
      <x:c r="G283" s="2" t="str">
        <x:v>PHILADELPHIA</x:v>
      </x:c>
      <x:c r="H283" s="2" t="str">
        <x:v>19120</x:v>
      </x:c>
      <x:c r="I283" s="2" t="n">
        <x:v>40.019437</x:v>
      </x:c>
      <x:c r="J283" s="2" t="n">
        <x:v>-75.121675</x:v>
      </x:c>
      <x:c r="K283" s="2" t="n">
        <x:v>505</x:v>
      </x:c>
      <x:c r="L283" s="15" t="n">
        <x:v>0.8429</x:v>
      </x:c>
      <x:c r="M283" s="1" t="n">
        <x:v>7</x:v>
      </x:c>
      <x:c r="N283" s="1" t="str">
        <x:v>2025-2026</x:v>
      </x:c>
      <x:c r="O283" s="1" t="str">
        <x:v>2026-10-09</x:v>
      </x:c>
      <x:c r="P283" s="1" t="str">
        <x:v>Live</x:v>
      </x:c>
      <x:c r="Q283" s="1" t="str">
        <x:v>7368</x:v>
      </x:c>
      <x:c r="R283" s="1" t="str">
        <x:v>126515001</x:v>
      </x:c>
      <x:c r="S283" s="1"/>
      <x:c r="T283" s="1" t="str">
        <x:v>6390</x:v>
      </x:c>
      <x:c r="U283" s="1" t="str">
        <x:v>215-400-3910</x:v>
      </x:c>
      <x:c r="V283" s="1" t="str">
        <x:v>https://steel.philasd.org/</x:v>
      </x:c>
      <x:c r="W283" s="1" t="str">
        <x:v>2026-2027</x:v>
      </x:c>
      <x:c r="X283" s="1" t="str">
        <x:v>2026-2027</x:v>
      </x:c>
      <x:c r="Y283" s="1" t="str">
        <x:v>1</x:v>
      </x:c>
      <x:c r="Z283" s="1" t="str">
        <x:v>1</x:v>
      </x:c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</x:row>
    <x:row r="284" ht="22" customHeight="1">
      <x:c r="A284" s="2" t="str">
        <x:v>7510</x:v>
      </x:c>
      <x:c r="B284" s="2" t="str">
        <x:v>Mary M. Bethune School</x:v>
      </x:c>
      <x:c r="C284" s="2" t="str">
        <x:v>District</x:v>
      </x:c>
      <x:c r="D284" s="2" t="str">
        <x:v>Yes</x:v>
      </x:c>
      <x:c r="E284" s="2" t="str">
        <x:v>Elementary-Middle</x:v>
      </x:c>
      <x:c r="F284" s="2" t="str">
        <x:v>3301 OLD YORK RD</x:v>
      </x:c>
      <x:c r="G284" s="2" t="str">
        <x:v>PHILADELPHIA</x:v>
      </x:c>
      <x:c r="H284" s="2" t="str">
        <x:v>19140</x:v>
      </x:c>
      <x:c r="I284" s="2" t="n">
        <x:v>40.00269526</x:v>
      </x:c>
      <x:c r="J284" s="2" t="n">
        <x:v>-75.14872828</x:v>
      </x:c>
      <x:c r="K284" s="2" t="n">
        <x:v>353</x:v>
      </x:c>
      <x:c r="L284" s="15" t="n">
        <x:v>0.9214</x:v>
      </x:c>
      <x:c r="M284" s="1" t="n">
        <x:v>10</x:v>
      </x:c>
      <x:c r="N284" s="1" t="str">
        <x:v>2025-2026</x:v>
      </x:c>
      <x:c r="O284" s="1" t="str">
        <x:v>2026-10-09</x:v>
      </x:c>
      <x:c r="P284" s="1" t="str">
        <x:v>Live</x:v>
      </x:c>
      <x:c r="Q284" s="1" t="str">
        <x:v>5183</x:v>
      </x:c>
      <x:c r="R284" s="1" t="str">
        <x:v>126515001</x:v>
      </x:c>
      <x:c r="S284" s="1"/>
      <x:c r="T284" s="1" t="str">
        <x:v>6400</x:v>
      </x:c>
      <x:c r="U284" s="1" t="str">
        <x:v>215-400-3710</x:v>
      </x:c>
      <x:c r="V284" s="1" t="str">
        <x:v>https://widener.philasd.org/</x:v>
      </x:c>
      <x:c r="W284" s="1" t="str">
        <x:v>2026-2027</x:v>
      </x:c>
      <x:c r="X284" s="1" t="str">
        <x:v>2026-2027</x:v>
      </x:c>
      <x:c r="Y284" s="1" t="str">
        <x:v>1</x:v>
      </x:c>
      <x:c r="Z284" s="1" t="str">
        <x:v>1</x:v>
      </x:c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</x:row>
    <x:row r="285" ht="22" customHeight="1">
      <x:c r="A285" s="2" t="str">
        <x:v>7530</x:v>
      </x:c>
      <x:c r="B285" s="2" t="str">
        <x:v>William Rowen School</x:v>
      </x:c>
      <x:c r="C285" s="2" t="str">
        <x:v>District</x:v>
      </x:c>
      <x:c r="D285" s="2" t="str">
        <x:v>Yes</x:v>
      </x:c>
      <x:c r="E285" s="2" t="str">
        <x:v>Elementary</x:v>
      </x:c>
      <x:c r="F285" s="2" t="str">
        <x:v>6841 N 19TH ST</x:v>
      </x:c>
      <x:c r="G285" s="2" t="str">
        <x:v>PHILADELPHIA</x:v>
      </x:c>
      <x:c r="H285" s="2" t="str">
        <x:v>19126</x:v>
      </x:c>
      <x:c r="I285" s="2" t="n">
        <x:v>40.05930676</x:v>
      </x:c>
      <x:c r="J285" s="2" t="n">
        <x:v>-75.1486472</x:v>
      </x:c>
      <x:c r="K285" s="2" t="n">
        <x:v>272</x:v>
      </x:c>
      <x:c r="L285" s="15" t="n">
        <x:v>0.8357</x:v>
      </x:c>
      <x:c r="M285" s="1" t="n">
        <x:v>9</x:v>
      </x:c>
      <x:c r="N285" s="1" t="str">
        <x:v>2025-2026</x:v>
      </x:c>
      <x:c r="O285" s="1" t="str">
        <x:v>2026-10-09</x:v>
      </x:c>
      <x:c r="P285" s="1" t="str">
        <x:v>Live</x:v>
      </x:c>
      <x:c r="Q285" s="1" t="str">
        <x:v>3724</x:v>
      </x:c>
      <x:c r="R285" s="1" t="str">
        <x:v>126515001</x:v>
      </x:c>
      <x:c r="S285" s="1"/>
      <x:c r="T285" s="1" t="str">
        <x:v>6410</x:v>
      </x:c>
      <x:c r="U285" s="1" t="str">
        <x:v>215-400-3430</x:v>
      </x:c>
      <x:c r="V285" s="1" t="str">
        <x:v>https://cookwissahickon.philasd.org/</x:v>
      </x:c>
      <x:c r="W285" s="1" t="str">
        <x:v>2026-2027</x:v>
      </x:c>
      <x:c r="X285" s="1" t="str">
        <x:v>2026-2027</x:v>
      </x:c>
      <x:c r="Y285" s="1" t="str">
        <x:v>1</x:v>
      </x:c>
      <x:c r="Z285" s="1" t="str">
        <x:v>1</x:v>
      </x:c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</x:row>
    <x:row r="286" ht="22" customHeight="1">
      <x:c r="A286" s="2" t="str">
        <x:v>7730</x:v>
      </x:c>
      <x:c r="B286" s="2" t="str">
        <x:v>Roberto Clemente Middle School</x:v>
      </x:c>
      <x:c r="C286" s="2" t="str">
        <x:v>District</x:v>
      </x:c>
      <x:c r="D286" s="2" t="str">
        <x:v>Yes</x:v>
      </x:c>
      <x:c r="E286" s="2" t="str">
        <x:v>Middle</x:v>
      </x:c>
      <x:c r="F286" s="2" t="str">
        <x:v>122 W ERIE AVE</x:v>
      </x:c>
      <x:c r="G286" s="2" t="str">
        <x:v>PHILADELPHIA</x:v>
      </x:c>
      <x:c r="H286" s="2" t="str">
        <x:v>19140</x:v>
      </x:c>
      <x:c r="I286" s="2" t="n">
        <x:v>40.006819</x:v>
      </x:c>
      <x:c r="J286" s="2" t="n">
        <x:v>-75.129736</x:v>
      </x:c>
      <x:c r="K286" s="2" t="n">
        <x:v>279</x:v>
      </x:c>
      <x:c r="L286" s="15" t="n">
        <x:v>0.8776</x:v>
      </x:c>
      <x:c r="M286" s="1" t="n">
        <x:v>9</x:v>
      </x:c>
      <x:c r="N286" s="1" t="str">
        <x:v>2025-2026</x:v>
      </x:c>
      <x:c r="O286" s="1" t="str">
        <x:v>2026-10-09</x:v>
      </x:c>
      <x:c r="P286" s="1" t="str">
        <x:v>Live</x:v>
      </x:c>
      <x:c r="Q286" s="1" t="str">
        <x:v>6767</x:v>
      </x:c>
      <x:c r="R286" s="1" t="str">
        <x:v>126515001</x:v>
      </x:c>
      <x:c r="S286" s="1"/>
      <x:c r="T286" s="1" t="str">
        <x:v>6440</x:v>
      </x:c>
      <x:c r="U286" s="1" t="str">
        <x:v>215-400-3630</x:v>
      </x:c>
      <x:c r="V286" s="1" t="str">
        <x:v>https://lingelbach.philasd.org/</x:v>
      </x:c>
      <x:c r="W286" s="1" t="str">
        <x:v>2026-2027</x:v>
      </x:c>
      <x:c r="X286" s="1" t="str">
        <x:v>2026-2027</x:v>
      </x:c>
      <x:c r="Y286" s="1" t="str">
        <x:v>1</x:v>
      </x:c>
      <x:c r="Z286" s="1" t="str">
        <x:v>1</x:v>
      </x:c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</x:row>
    <x:row r="287" ht="22" customHeight="1">
      <x:c r="A287" s="2" t="str">
        <x:v>8010</x:v>
      </x:c>
      <x:c r="B287" s="2" t="str">
        <x:v>Abraham Lincoln High School</x:v>
      </x:c>
      <x:c r="C287" s="2" t="str">
        <x:v>District</x:v>
      </x:c>
      <x:c r="D287" s="2" t="str">
        <x:v>Yes</x:v>
      </x:c>
      <x:c r="E287" s="2" t="str">
        <x:v>High</x:v>
      </x:c>
      <x:c r="F287" s="2" t="str">
        <x:v>3201 RYAN AVE</x:v>
      </x:c>
      <x:c r="G287" s="2" t="str">
        <x:v>PHILADELPHIA</x:v>
      </x:c>
      <x:c r="H287" s="2" t="str">
        <x:v>19136</x:v>
      </x:c>
      <x:c r="I287" s="2" t="n">
        <x:v>40.04310838</x:v>
      </x:c>
      <x:c r="J287" s="2" t="n">
        <x:v>-75.04479221</x:v>
      </x:c>
      <x:c r="K287" s="2" t="n">
        <x:v>2332</x:v>
      </x:c>
      <x:c r="L287" s="15" t="n">
        <x:v>0.7382</x:v>
      </x:c>
      <x:c r="M287" s="1" t="n">
        <x:v>2</x:v>
      </x:c>
      <x:c r="N287" s="1" t="str">
        <x:v>2025-2026</x:v>
      </x:c>
      <x:c r="O287" s="1" t="str">
        <x:v>2026-10-09</x:v>
      </x:c>
      <x:c r="P287" s="1" t="str">
        <x:v>Live</x:v>
      </x:c>
      <x:c r="Q287" s="1" t="str">
        <x:v>3845</x:v>
      </x:c>
      <x:c r="R287" s="1" t="str">
        <x:v>126515001</x:v>
      </x:c>
      <x:c r="S287" s="1"/>
      <x:c r="T287" s="1" t="str">
        <x:v>6450</x:v>
      </x:c>
      <x:c r="U287" s="1" t="str">
        <x:v>215-400-3570</x:v>
      </x:c>
      <x:c r="V287" s="1" t="str">
        <x:v>https://dobson.philasd.org/</x:v>
      </x:c>
      <x:c r="W287" s="1" t="str">
        <x:v>2026-2027</x:v>
      </x:c>
      <x:c r="X287" s="1" t="str">
        <x:v>2026-2027</x:v>
      </x:c>
      <x:c r="Y287" s="1" t="str">
        <x:v>1</x:v>
      </x:c>
      <x:c r="Z287" s="1" t="str">
        <x:v>1</x:v>
      </x:c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</x:row>
    <x:row r="288" ht="22" customHeight="1">
      <x:c r="A288" s="2" t="str">
        <x:v>8020</x:v>
      </x:c>
      <x:c r="B288" s="2" t="str">
        <x:v>Northeast High School</x:v>
      </x:c>
      <x:c r="C288" s="2" t="str">
        <x:v>District</x:v>
      </x:c>
      <x:c r="D288" s="2" t="str">
        <x:v>Yes</x:v>
      </x:c>
      <x:c r="E288" s="2" t="str">
        <x:v>High</x:v>
      </x:c>
      <x:c r="F288" s="2" t="str">
        <x:v>1601 COTTMAN AVE</x:v>
      </x:c>
      <x:c r="G288" s="2" t="str">
        <x:v>PHILADELPHIA</x:v>
      </x:c>
      <x:c r="H288" s="2" t="str">
        <x:v>19111</x:v>
      </x:c>
      <x:c r="I288" s="2" t="n">
        <x:v>40.05564409</x:v>
      </x:c>
      <x:c r="J288" s="2" t="n">
        <x:v>-75.07118355</x:v>
      </x:c>
      <x:c r="K288" s="2" t="n">
        <x:v>3541</x:v>
      </x:c>
      <x:c r="L288" s="15" t="n">
        <x:v>0.7192</x:v>
      </x:c>
      <x:c r="M288" s="1" t="n">
        <x:v>0</x:v>
      </x:c>
      <x:c r="N288" s="1" t="str">
        <x:v>2025-2026</x:v>
      </x:c>
      <x:c r="O288" s="1" t="str">
        <x:v>2026-10-09</x:v>
      </x:c>
      <x:c r="P288" s="1" t="str">
        <x:v>Live</x:v>
      </x:c>
      <x:c r="Q288" s="1" t="str">
        <x:v>3855</x:v>
      </x:c>
      <x:c r="R288" s="1" t="str">
        <x:v>126515001</x:v>
      </x:c>
      <x:c r="S288" s="1"/>
      <x:c r="T288" s="1" t="str">
        <x:v>6460</x:v>
      </x:c>
      <x:c r="U288" s="1" t="str">
        <x:v>215-400-3530</x:v>
      </x:c>
      <x:c r="V288" s="1" t="str">
        <x:v>https://hfwa.philasd.org/</x:v>
      </x:c>
      <x:c r="W288" s="1" t="str">
        <x:v>2026-2027</x:v>
      </x:c>
      <x:c r="X288" s="1" t="str">
        <x:v>2026-2027</x:v>
      </x:c>
      <x:c r="Y288" s="1" t="str">
        <x:v>1</x:v>
      </x:c>
      <x:c r="Z288" s="1" t="str">
        <x:v>1</x:v>
      </x:c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</x:row>
    <x:row r="289" ht="22" customHeight="1">
      <x:c r="A289" s="2" t="str">
        <x:v>8030</x:v>
      </x:c>
      <x:c r="B289" s="2" t="str">
        <x:v>George Washington High School</x:v>
      </x:c>
      <x:c r="C289" s="2" t="str">
        <x:v>District</x:v>
      </x:c>
      <x:c r="D289" s="2" t="str">
        <x:v>Yes</x:v>
      </x:c>
      <x:c r="E289" s="2" t="str">
        <x:v>High</x:v>
      </x:c>
      <x:c r="F289" s="2" t="str">
        <x:v>10175 BUSTLETON AVE</x:v>
      </x:c>
      <x:c r="G289" s="2" t="str">
        <x:v>PHILADELPHIA</x:v>
      </x:c>
      <x:c r="H289" s="2" t="str">
        <x:v>19116</x:v>
      </x:c>
      <x:c r="I289" s="2" t="n">
        <x:v>40.10598577</x:v>
      </x:c>
      <x:c r="J289" s="2" t="n">
        <x:v>-75.02723013</x:v>
      </x:c>
      <x:c r="K289" s="2" t="n">
        <x:v>1795</x:v>
      </x:c>
      <x:c r="L289" s="15" t="n">
        <x:v>0.6978</x:v>
      </x:c>
      <x:c r="M289" s="1" t="n">
        <x:v>3</x:v>
      </x:c>
      <x:c r="N289" s="1" t="str">
        <x:v>2025-2026</x:v>
      </x:c>
      <x:c r="O289" s="1" t="str">
        <x:v>2026-10-09</x:v>
      </x:c>
      <x:c r="P289" s="1" t="str">
        <x:v>Live</x:v>
      </x:c>
      <x:c r="Q289" s="1" t="str">
        <x:v>6527</x:v>
      </x:c>
      <x:c r="R289" s="1" t="str">
        <x:v>126515001</x:v>
      </x:c>
      <x:c r="S289" s="1"/>
      <x:c r="T289" s="1" t="str">
        <x:v>6470</x:v>
      </x:c>
      <x:c r="U289" s="1" t="str">
        <x:v>215-400-3580</x:v>
      </x:c>
      <x:c r="V289" s="1" t="str">
        <x:v>https://kelly.philasd.org/</x:v>
      </x:c>
      <x:c r="W289" s="1" t="str">
        <x:v>2026-2027</x:v>
      </x:c>
      <x:c r="X289" s="1" t="str">
        <x:v>2026-2027</x:v>
      </x:c>
      <x:c r="Y289" s="1" t="str">
        <x:v>1</x:v>
      </x:c>
      <x:c r="Z289" s="1" t="str">
        <x:v>1</x:v>
      </x:c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</x:row>
    <x:row r="290" ht="22" customHeight="1">
      <x:c r="A290" s="2" t="str">
        <x:v>8040</x:v>
      </x:c>
      <x:c r="B290" s="2" t="str">
        <x:v>Arts Academy at Benjamin Rush</x:v>
      </x:c>
      <x:c r="C290" s="2" t="str">
        <x:v>District</x:v>
      </x:c>
      <x:c r="D290" s="2" t="str">
        <x:v>Yes</x:v>
      </x:c>
      <x:c r="E290" s="2" t="str">
        <x:v>High</x:v>
      </x:c>
      <x:c r="F290" s="2" t="str">
        <x:v>11081 KNIGHTS RD</x:v>
      </x:c>
      <x:c r="G290" s="2" t="str">
        <x:v>PHILADELPHIA</x:v>
      </x:c>
      <x:c r="H290" s="2" t="str">
        <x:v>19154</x:v>
      </x:c>
      <x:c r="I290" s="2" t="n">
        <x:v>40.08253275</x:v>
      </x:c>
      <x:c r="J290" s="2" t="n">
        <x:v>-74.9752061</x:v>
      </x:c>
      <x:c r="K290" s="2" t="n">
        <x:v>602</x:v>
      </x:c>
      <x:c r="L290" s="15" t="n">
        <x:v>0.5581</x:v>
      </x:c>
      <x:c r="M290" s="1" t="n">
        <x:v>0</x:v>
      </x:c>
      <x:c r="N290" s="1" t="str">
        <x:v>2025-2026</x:v>
      </x:c>
      <x:c r="O290" s="1" t="str">
        <x:v>2026-10-09</x:v>
      </x:c>
      <x:c r="P290" s="1" t="str">
        <x:v>Live</x:v>
      </x:c>
      <x:c r="Q290" s="1" t="str">
        <x:v>8039</x:v>
      </x:c>
      <x:c r="R290" s="1" t="str">
        <x:v>126515001</x:v>
      </x:c>
      <x:c r="S290" s="1"/>
      <x:c r="T290" s="1" t="str">
        <x:v>6480</x:v>
      </x:c>
      <x:c r="U290" s="1" t="str">
        <x:v>215-400-3460</x:v>
      </x:c>
      <x:c r="V290" s="1" t="str">
        <x:v>https://amynw.philasd.org/</x:v>
      </x:c>
      <x:c r="W290" s="1" t="str">
        <x:v>2026-2027</x:v>
      </x:c>
      <x:c r="X290" s="1" t="str">
        <x:v>2026-2027</x:v>
      </x:c>
      <x:c r="Y290" s="1" t="str">
        <x:v>1</x:v>
      </x:c>
      <x:c r="Z290" s="1" t="str">
        <x:v>1</x:v>
      </x:c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</x:row>
    <x:row r="291" ht="22" customHeight="1">
      <x:c r="A291" s="2" t="str">
        <x:v>8070</x:v>
      </x:c>
      <x:c r="B291" s="2" t="str">
        <x:v>OIC Career and Academic Development Institute</x:v>
      </x:c>
      <x:c r="C291" s="2" t="str">
        <x:v>Contracted</x:v>
      </x:c>
      <x:c r="D291" s="2" t="str">
        <x:v>No</x:v>
      </x:c>
      <x:c r="E291" s="2" t="str">
        <x:v>Transition/Overage School</x:v>
      </x:c>
      <x:c r="F291" s="2" t="str">
        <x:v>444 N 3RD ST</x:v>
      </x:c>
      <x:c r="G291" s="2" t="str">
        <x:v>PHILADELPHIA</x:v>
      </x:c>
      <x:c r="H291" s="2" t="str">
        <x:v>19123</x:v>
      </x:c>
      <x:c r="I291" s="2" t="n">
        <x:v>39.958322</x:v>
      </x:c>
      <x:c r="J291" s="2" t="n">
        <x:v>-75.144801</x:v>
      </x:c>
      <x:c r="K291" s="2" t="n">
        <x:v>163</x:v>
      </x:c>
      <x:c r="L291" s="15"/>
      <x:c r="M291" s="1" t="n">
        <x:v>8</x:v>
      </x:c>
      <x:c r="N291" s="1" t="str">
        <x:v>2025-2026</x:v>
      </x:c>
      <x:c r="O291" s="1" t="str">
        <x:v>2026-10-09</x:v>
      </x:c>
      <x:c r="P291" s="1" t="str">
        <x:v>Live</x:v>
      </x:c>
      <x:c r="Q291" s="1" t="str">
        <x:v>9999</x:v>
      </x:c>
      <x:c r="R291" s="1" t="str">
        <x:v>126515001</x:v>
      </x:c>
      <x:c r="S291" s="1"/>
      <x:c r="T291" s="1" t="str">
        <x:v>6540</x:v>
      </x:c>
      <x:c r="U291" s="1" t="str">
        <x:v>215-400-3420</x:v>
      </x:c>
      <x:c r="V291" s="1" t="str">
        <x:v>https://lankenau.philasd.org/</x:v>
      </x:c>
      <x:c r="W291" s="1" t="str">
        <x:v>2026-2027</x:v>
      </x:c>
      <x:c r="X291" s="1" t="str">
        <x:v>2026-2027</x:v>
      </x:c>
      <x:c r="Y291" s="1" t="str">
        <x:v>1</x:v>
      </x:c>
      <x:c r="Z291" s="1" t="str">
        <x:v>1</x:v>
      </x:c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</x:row>
    <x:row r="292" ht="22" customHeight="1">
      <x:c r="A292" s="2" t="str">
        <x:v>8080</x:v>
      </x:c>
      <x:c r="B292" s="2" t="str">
        <x:v>Excel Academy North</x:v>
      </x:c>
      <x:c r="C292" s="2" t="str">
        <x:v>Contracted</x:v>
      </x:c>
      <x:c r="D292" s="2" t="str">
        <x:v>No</x:v>
      </x:c>
      <x:c r="E292" s="2" t="str">
        <x:v>Transition/Overage School</x:v>
      </x:c>
      <x:c r="F292" s="2" t="str">
        <x:v>1435 N 26TH ST</x:v>
      </x:c>
      <x:c r="G292" s="2" t="str">
        <x:v>PHILADELPHIA</x:v>
      </x:c>
      <x:c r="H292" s="2" t="str">
        <x:v>19121</x:v>
      </x:c>
      <x:c r="I292" s="2" t="n">
        <x:v>39.978134</x:v>
      </x:c>
      <x:c r="J292" s="2" t="n">
        <x:v>-75.177658</x:v>
      </x:c>
      <x:c r="K292" s="2" t="n">
        <x:v>189</x:v>
      </x:c>
      <x:c r="L292" s="15"/>
      <x:c r="M292" s="1" t="n">
        <x:v>12</x:v>
      </x:c>
      <x:c r="N292" s="1" t="str">
        <x:v>2025-2026</x:v>
      </x:c>
      <x:c r="O292" s="1" t="str">
        <x:v>2026-10-09</x:v>
      </x:c>
      <x:c r="P292" s="1" t="str">
        <x:v>Live</x:v>
      </x:c>
      <x:c r="Q292" s="1" t="str">
        <x:v>9999</x:v>
      </x:c>
      <x:c r="R292" s="1" t="str">
        <x:v>126515001</x:v>
      </x:c>
      <x:c r="S292" s="1"/>
      <x:c r="T292" s="1" t="str">
        <x:v>7010</x:v>
      </x:c>
      <x:c r="U292" s="1" t="str">
        <x:v>215-400-7200</x:v>
      </x:c>
      <x:c r="V292" s="1" t="str">
        <x:v>https://frankfordhs.philasd.org/</x:v>
      </x:c>
      <x:c r="W292" s="1" t="str">
        <x:v>2026-2027</x:v>
      </x:c>
      <x:c r="X292" s="1" t="str">
        <x:v>2026-2027</x:v>
      </x:c>
      <x:c r="Y292" s="1" t="str">
        <x:v>1</x:v>
      </x:c>
      <x:c r="Z292" s="1" t="str">
        <x:v>1</x:v>
      </x:c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</x:row>
    <x:row r="293" ht="22" customHeight="1">
      <x:c r="A293" s="2" t="str">
        <x:v>8090</x:v>
      </x:c>
      <x:c r="B293" s="2" t="str">
        <x:v>Swenson Arts and Technology High School</x:v>
      </x:c>
      <x:c r="C293" s="2" t="str">
        <x:v>District</x:v>
      </x:c>
      <x:c r="D293" s="2" t="str">
        <x:v>Yes</x:v>
      </x:c>
      <x:c r="E293" s="2" t="str">
        <x:v>High</x:v>
      </x:c>
      <x:c r="F293" s="2" t="str">
        <x:v>2750 RED LION RD</x:v>
      </x:c>
      <x:c r="G293" s="2" t="str">
        <x:v>PHILADELPHIA</x:v>
      </x:c>
      <x:c r="H293" s="2" t="str">
        <x:v>19114</x:v>
      </x:c>
      <x:c r="I293" s="2" t="n">
        <x:v>40.0921093</x:v>
      </x:c>
      <x:c r="J293" s="2" t="n">
        <x:v>-75.01398863</x:v>
      </x:c>
      <x:c r="K293" s="2" t="n">
        <x:v>780</x:v>
      </x:c>
      <x:c r="L293" s="15" t="n">
        <x:v>0.7313</x:v>
      </x:c>
      <x:c r="M293" s="1" t="n">
        <x:v>2</x:v>
      </x:c>
      <x:c r="N293" s="1" t="str">
        <x:v>2025-2026</x:v>
      </x:c>
      <x:c r="O293" s="1" t="str">
        <x:v>2026-10-09</x:v>
      </x:c>
      <x:c r="P293" s="1" t="str">
        <x:v>Live</x:v>
      </x:c>
      <x:c r="Q293" s="1" t="str">
        <x:v>7072</x:v>
      </x:c>
      <x:c r="R293" s="1" t="str">
        <x:v>126515001</x:v>
      </x:c>
      <x:c r="S293" s="1"/>
      <x:c r="T293" s="1" t="str">
        <x:v>7060</x:v>
      </x:c>
      <x:c r="U293" s="1" t="str">
        <x:v>215-400-9140</x:v>
      </x:c>
      <x:c r="V293" s="1" t="str">
        <x:v>https://olneyhs.philasd.org/</x:v>
      </x:c>
      <x:c r="W293" s="1" t="str">
        <x:v>2026-2027</x:v>
      </x:c>
      <x:c r="X293" s="1" t="str">
        <x:v>2026-2027</x:v>
      </x:c>
      <x:c r="Y293" s="1" t="str">
        <x:v>1</x:v>
      </x:c>
      <x:c r="Z293" s="1" t="str">
        <x:v>1</x:v>
      </x:c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</x:row>
    <x:row r="294" ht="22" customHeight="1">
      <x:c r="A294" s="2" t="str">
        <x:v>8100</x:v>
      </x:c>
      <x:c r="B294" s="2" t="str">
        <x:v>Gateway to College - Community College of Philadelphia</x:v>
      </x:c>
      <x:c r="C294" s="2" t="str">
        <x:v>Contracted</x:v>
      </x:c>
      <x:c r="D294" s="2" t="str">
        <x:v>No</x:v>
      </x:c>
      <x:c r="E294" s="2" t="str">
        <x:v>Transition/Overage School</x:v>
      </x:c>
      <x:c r="F294" s="2" t="str">
        <x:v>1700 SPRING GARDEN ST</x:v>
      </x:c>
      <x:c r="G294" s="2" t="str">
        <x:v>PHILADELPHIA</x:v>
      </x:c>
      <x:c r="H294" s="2" t="str">
        <x:v>19130</x:v>
      </x:c>
      <x:c r="I294" s="2" t="n">
        <x:v>39.9629017</x:v>
      </x:c>
      <x:c r="J294" s="2" t="n">
        <x:v>-75.16627046</x:v>
      </x:c>
      <x:c r="K294" s="2" t="n">
        <x:v>66</x:v>
      </x:c>
      <x:c r="L294" s="15"/>
      <x:c r="M294" s="1" t="n">
        <x:v>8</x:v>
      </x:c>
      <x:c r="N294" s="1" t="str">
        <x:v>2025-2026</x:v>
      </x:c>
      <x:c r="O294" s="1" t="str">
        <x:v>2026-10-09</x:v>
      </x:c>
      <x:c r="P294" s="1" t="str">
        <x:v>Live</x:v>
      </x:c>
      <x:c r="Q294" s="1" t="str">
        <x:v>9999</x:v>
      </x:c>
      <x:c r="R294" s="1" t="str">
        <x:v>126515001</x:v>
      </x:c>
      <x:c r="S294" s="1"/>
      <x:c r="T294" s="1" t="str">
        <x:v>7061</x:v>
      </x:c>
      <x:c r="U294" s="1" t="str"/>
      <x:c r="V294" s="1" t="str">
        <x:v>https://www.philasd.org/backontrack/#contin</x:v>
      </x:c>
      <x:c r="W294" s="1" t="str">
        <x:v>2026-2027</x:v>
      </x:c>
      <x:c r="X294" s="1" t="str">
        <x:v>2026-2027</x:v>
      </x:c>
      <x:c r="Y294" s="1" t="str">
        <x:v>0</x:v>
      </x:c>
      <x:c r="Z294" s="1" t="str">
        <x:v>0</x:v>
      </x:c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</x:row>
    <x:row r="295" ht="22" customHeight="1">
      <x:c r="A295" s="2" t="str">
        <x:v>8120</x:v>
      </x:c>
      <x:c r="B295" s="2" t="str">
        <x:v>Castor Gardens Middle School</x:v>
      </x:c>
      <x:c r="C295" s="2" t="str">
        <x:v>District</x:v>
      </x:c>
      <x:c r="D295" s="2" t="str">
        <x:v>Yes</x:v>
      </x:c>
      <x:c r="E295" s="2" t="str">
        <x:v>Middle</x:v>
      </x:c>
      <x:c r="F295" s="2" t="str">
        <x:v>1800 COTTMAN AVE</x:v>
      </x:c>
      <x:c r="G295" s="2" t="str">
        <x:v>PHILADELPHIA</x:v>
      </x:c>
      <x:c r="H295" s="2" t="str">
        <x:v>19111</x:v>
      </x:c>
      <x:c r="I295" s="2" t="n">
        <x:v>40.052367</x:v>
      </x:c>
      <x:c r="J295" s="2" t="n">
        <x:v>-75.069086</x:v>
      </x:c>
      <x:c r="K295" s="2" t="n">
        <x:v>1340</x:v>
      </x:c>
      <x:c r="L295" s="15" t="n">
        <x:v>0.7573</x:v>
      </x:c>
      <x:c r="M295" s="1" t="n">
        <x:v>1</x:v>
      </x:c>
      <x:c r="N295" s="1" t="str">
        <x:v>2025-2026</x:v>
      </x:c>
      <x:c r="O295" s="1" t="str">
        <x:v>2026-10-09</x:v>
      </x:c>
      <x:c r="P295" s="1" t="str">
        <x:v>Live</x:v>
      </x:c>
      <x:c r="Q295" s="1" t="str">
        <x:v>7253</x:v>
      </x:c>
      <x:c r="R295" s="1" t="str">
        <x:v>126515001</x:v>
      </x:c>
      <x:c r="S295" s="1"/>
      <x:c r="T295" s="1" t="str">
        <x:v>7069</x:v>
      </x:c>
      <x:c r="U295" s="1" t="str"/>
      <x:c r="V295" s="1" t="str">
        <x:v>https://sesischools.com/location/philadelphia-continuation-academy/</x:v>
      </x:c>
      <x:c r="W295" s="1" t="str">
        <x:v>2026-2027</x:v>
      </x:c>
      <x:c r="X295" s="1" t="str">
        <x:v>2026-2027</x:v>
      </x:c>
      <x:c r="Y295" s="1" t="str">
        <x:v>0</x:v>
      </x:c>
      <x:c r="Z295" s="1" t="str">
        <x:v>0</x:v>
      </x:c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</x:row>
    <x:row r="296" ht="22" customHeight="1">
      <x:c r="A296" s="2" t="str">
        <x:v>8130</x:v>
      </x:c>
      <x:c r="B296" s="2" t="str">
        <x:v>Northeast Community Propel Academy</x:v>
      </x:c>
      <x:c r="C296" s="2" t="str">
        <x:v>District</x:v>
      </x:c>
      <x:c r="D296" s="2" t="str">
        <x:v>Yes</x:v>
      </x:c>
      <x:c r="E296" s="2" t="str">
        <x:v>Elementary-Middle</x:v>
      </x:c>
      <x:c r="F296" s="2" t="str">
        <x:v>7500 ROWLAND AVE</x:v>
      </x:c>
      <x:c r="G296" s="2" t="str">
        <x:v>PHILADELPHIA</x:v>
      </x:c>
      <x:c r="H296" s="2" t="str">
        <x:v>19136</x:v>
      </x:c>
      <x:c r="I296" s="2" t="n">
        <x:v>40.04577529</x:v>
      </x:c>
      <x:c r="J296" s="2" t="n">
        <x:v>-75.04413273</x:v>
      </x:c>
      <x:c r="K296" s="2" t="n">
        <x:v>1715</x:v>
      </x:c>
      <x:c r="L296" s="15" t="n">
        <x:v>0.7507</x:v>
      </x:c>
      <x:c r="M296" s="1" t="n">
        <x:v>2</x:v>
      </x:c>
      <x:c r="N296" s="1" t="str">
        <x:v>2025-2026</x:v>
      </x:c>
      <x:c r="O296" s="1" t="str">
        <x:v>2026-10-09</x:v>
      </x:c>
      <x:c r="P296" s="1" t="str">
        <x:v>Live</x:v>
      </x:c>
      <x:c r="Q296" s="1" t="str">
        <x:v>8493</x:v>
      </x:c>
      <x:c r="R296" s="1" t="str">
        <x:v>126515001</x:v>
      </x:c>
      <x:c r="S296" s="1"/>
      <x:c r="T296" s="1" t="str">
        <x:v>7100</x:v>
      </x:c>
      <x:c r="U296" s="1" t="str">
        <x:v>215-400-8330</x:v>
      </x:c>
      <x:c r="V296" s="1" t="str">
        <x:v>https://cooke.philasd.org/</x:v>
      </x:c>
      <x:c r="W296" s="1" t="str">
        <x:v>2026-2027</x:v>
      </x:c>
      <x:c r="X296" s="1" t="str">
        <x:v>2026-2027</x:v>
      </x:c>
      <x:c r="Y296" s="1" t="str">
        <x:v>1</x:v>
      </x:c>
      <x:c r="Z296" s="1" t="str">
        <x:v>1</x:v>
      </x:c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</x:row>
    <x:row r="297" ht="22" customHeight="1">
      <x:c r="A297" s="2" t="str">
        <x:v>8160</x:v>
      </x:c>
      <x:c r="B297" s="2" t="str">
        <x:v>Charles C.A. Baldi Middle School</x:v>
      </x:c>
      <x:c r="C297" s="2" t="str">
        <x:v>District</x:v>
      </x:c>
      <x:c r="D297" s="2" t="str">
        <x:v>Yes</x:v>
      </x:c>
      <x:c r="E297" s="2" t="str">
        <x:v>Middle</x:v>
      </x:c>
      <x:c r="F297" s="2" t="str">
        <x:v>8801 VERREE RD</x:v>
      </x:c>
      <x:c r="G297" s="2" t="str">
        <x:v>PHILADELPHIA</x:v>
      </x:c>
      <x:c r="H297" s="2" t="str">
        <x:v>19115</x:v>
      </x:c>
      <x:c r="I297" s="2" t="n">
        <x:v>40.09331609</x:v>
      </x:c>
      <x:c r="J297" s="2" t="n">
        <x:v>-75.05217234</x:v>
      </x:c>
      <x:c r="K297" s="2" t="n">
        <x:v>1424</x:v>
      </x:c>
      <x:c r="L297" s="15" t="n">
        <x:v>0.6683</x:v>
      </x:c>
      <x:c r="M297" s="1" t="n">
        <x:v>0</x:v>
      </x:c>
      <x:c r="N297" s="1" t="str">
        <x:v>2025-2026</x:v>
      </x:c>
      <x:c r="O297" s="1" t="str">
        <x:v>2026-10-09</x:v>
      </x:c>
      <x:c r="P297" s="1" t="str">
        <x:v>Live</x:v>
      </x:c>
      <x:c r="Q297" s="1" t="str">
        <x:v>6824</x:v>
      </x:c>
      <x:c r="R297" s="1" t="str">
        <x:v>126515001</x:v>
      </x:c>
      <x:c r="S297" s="1"/>
      <x:c r="T297" s="1" t="str">
        <x:v>7110</x:v>
      </x:c>
      <x:c r="U297" s="1" t="str">
        <x:v>215-400-3990</x:v>
      </x:c>
      <x:c r="V297" s="1" t="str">
        <x:v>https://harding.philasd.org/</x:v>
      </x:c>
      <x:c r="W297" s="1" t="str">
        <x:v>2026-2027</x:v>
      </x:c>
      <x:c r="X297" s="1" t="str">
        <x:v>2026-2027</x:v>
      </x:c>
      <x:c r="Y297" s="1" t="str">
        <x:v>1</x:v>
      </x:c>
      <x:c r="Z297" s="1" t="str">
        <x:v>1</x:v>
      </x:c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</x:row>
    <x:row r="298" ht="22" customHeight="1">
      <x:c r="A298" s="2" t="str">
        <x:v>8190</x:v>
      </x:c>
      <x:c r="B298" s="2" t="str">
        <x:v>One Bright Ray - Fairhill</x:v>
      </x:c>
      <x:c r="C298" s="2" t="str">
        <x:v>Contracted</x:v>
      </x:c>
      <x:c r="D298" s="2" t="str">
        <x:v>No</x:v>
      </x:c>
      <x:c r="E298" s="2" t="str">
        <x:v>Transition/Overage School</x:v>
      </x:c>
      <x:c r="F298" s="2" t="str">
        <x:v>2820 N 4TH ST</x:v>
      </x:c>
      <x:c r="G298" s="2" t="str">
        <x:v>PHILADELPHIA</x:v>
      </x:c>
      <x:c r="H298" s="2" t="str">
        <x:v>19133</x:v>
      </x:c>
      <x:c r="I298" s="2" t="n">
        <x:v>39.99376434</x:v>
      </x:c>
      <x:c r="J298" s="2" t="n">
        <x:v>-75.13801882</x:v>
      </x:c>
      <x:c r="K298" s="2" t="n">
        <x:v>200</x:v>
      </x:c>
      <x:c r="L298" s="15"/>
      <x:c r="M298" s="1" t="n">
        <x:v>13</x:v>
      </x:c>
      <x:c r="N298" s="1" t="str">
        <x:v>2025-2026</x:v>
      </x:c>
      <x:c r="O298" s="1" t="str">
        <x:v>2026-10-09</x:v>
      </x:c>
      <x:c r="P298" s="1" t="str">
        <x:v>Live</x:v>
      </x:c>
      <x:c r="Q298" s="1" t="str">
        <x:v>9999</x:v>
      </x:c>
      <x:c r="R298" s="1" t="str">
        <x:v>126515001</x:v>
      </x:c>
      <x:c r="S298" s="1"/>
      <x:c r="T298" s="1" t="str">
        <x:v>7120</x:v>
      </x:c>
      <x:c r="U298" s="1" t="str">
        <x:v>215-400-7100</x:v>
      </x:c>
      <x:c r="V298" s="1" t="str">
        <x:v>https://fels.philasd.org/</x:v>
      </x:c>
      <x:c r="W298" s="1" t="str">
        <x:v>2026-2027</x:v>
      </x:c>
      <x:c r="X298" s="1" t="str">
        <x:v>2026-2027</x:v>
      </x:c>
      <x:c r="Y298" s="1" t="str">
        <x:v>1</x:v>
      </x:c>
      <x:c r="Z298" s="1" t="str">
        <x:v>1</x:v>
      </x:c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</x:row>
    <x:row r="299" ht="22" customHeight="1">
      <x:c r="A299" s="2" t="str">
        <x:v>8200</x:v>
      </x:c>
      <x:c r="B299" s="2" t="str">
        <x:v>Ethan Allen School</x:v>
      </x:c>
      <x:c r="C299" s="2" t="str">
        <x:v>District</x:v>
      </x:c>
      <x:c r="D299" s="2" t="str">
        <x:v>Yes</x:v>
      </x:c>
      <x:c r="E299" s="2" t="str">
        <x:v>Elementary-Middle</x:v>
      </x:c>
      <x:c r="F299" s="2" t="str">
        <x:v>6329 BATTERSBY ST</x:v>
      </x:c>
      <x:c r="G299" s="2" t="str">
        <x:v>PHILADELPHIA</x:v>
      </x:c>
      <x:c r="H299" s="2" t="str">
        <x:v>19149</x:v>
      </x:c>
      <x:c r="I299" s="2" t="n">
        <x:v>40.0294252</x:v>
      </x:c>
      <x:c r="J299" s="2" t="n">
        <x:v>-75.06268841</x:v>
      </x:c>
      <x:c r="K299" s="2" t="n">
        <x:v>1018</x:v>
      </x:c>
      <x:c r="L299" s="15" t="n">
        <x:v>0.7507</x:v>
      </x:c>
      <x:c r="M299" s="1" t="n">
        <x:v>4</x:v>
      </x:c>
      <x:c r="N299" s="1" t="str">
        <x:v>2025-2026</x:v>
      </x:c>
      <x:c r="O299" s="1" t="str">
        <x:v>2026-10-09</x:v>
      </x:c>
      <x:c r="P299" s="1" t="str">
        <x:v>Live</x:v>
      </x:c>
      <x:c r="Q299" s="1" t="str">
        <x:v>3758</x:v>
      </x:c>
      <x:c r="R299" s="1" t="str">
        <x:v>126515001</x:v>
      </x:c>
      <x:c r="S299" s="1"/>
      <x:c r="T299" s="1" t="str">
        <x:v>7130</x:v>
      </x:c>
      <x:c r="U299" s="1" t="str">
        <x:v>215-400-3560</x:v>
      </x:c>
      <x:c r="V299" s="1" t="str">
        <x:v>https://wagner.philasd.org/</x:v>
      </x:c>
      <x:c r="W299" s="1" t="str">
        <x:v>2026-2027</x:v>
      </x:c>
      <x:c r="X299" s="1" t="str">
        <x:v>2026-2027</x:v>
      </x:c>
      <x:c r="Y299" s="1" t="str">
        <x:v>1</x:v>
      </x:c>
      <x:c r="Z299" s="1" t="str">
        <x:v>1</x:v>
      </x:c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</x:row>
    <x:row r="300" ht="22" customHeight="1">
      <x:c r="A300" s="2" t="str">
        <x:v>8210</x:v>
      </x:c>
      <x:c r="B300" s="2" t="str">
        <x:v>Joseph H. Brown School</x:v>
      </x:c>
      <x:c r="C300" s="2" t="str">
        <x:v>District</x:v>
      </x:c>
      <x:c r="D300" s="2" t="str">
        <x:v>Yes</x:v>
      </x:c>
      <x:c r="E300" s="2" t="str">
        <x:v>Elementary-Middle</x:v>
      </x:c>
      <x:c r="F300" s="2" t="str">
        <x:v>3600 STANWOOD ST</x:v>
      </x:c>
      <x:c r="G300" s="2" t="str">
        <x:v>PHILADELPHIA</x:v>
      </x:c>
      <x:c r="H300" s="2" t="str">
        <x:v>19136</x:v>
      </x:c>
      <x:c r="I300" s="2" t="n">
        <x:v>40.04392183</x:v>
      </x:c>
      <x:c r="J300" s="2" t="n">
        <x:v>-75.02460195</x:v>
      </x:c>
      <x:c r="K300" s="2" t="n">
        <x:v>427</x:v>
      </x:c>
      <x:c r="L300" s="15" t="n">
        <x:v>0.8056</x:v>
      </x:c>
      <x:c r="M300" s="1" t="n">
        <x:v>1</x:v>
      </x:c>
      <x:c r="N300" s="1" t="str">
        <x:v>2025-2026</x:v>
      </x:c>
      <x:c r="O300" s="1" t="str">
        <x:v>2026-10-09</x:v>
      </x:c>
      <x:c r="P300" s="1" t="str">
        <x:v>Live</x:v>
      </x:c>
      <x:c r="Q300" s="1" t="str">
        <x:v>6529</x:v>
      </x:c>
      <x:c r="R300" s="1" t="str">
        <x:v>126515001</x:v>
      </x:c>
      <x:c r="S300" s="1"/>
      <x:c r="T300" s="1" t="str">
        <x:v>7150</x:v>
      </x:c>
      <x:c r="U300" s="1" t="str">
        <x:v>215-400-7010</x:v>
      </x:c>
      <x:c r="V300" s="1" t="str">
        <x:v>https://juniatapark.philasd.org/</x:v>
      </x:c>
      <x:c r="W300" s="1" t="str">
        <x:v>2026-2027</x:v>
      </x:c>
      <x:c r="X300" s="1" t="str">
        <x:v>2026-2027</x:v>
      </x:c>
      <x:c r="Y300" s="1" t="str">
        <x:v>1</x:v>
      </x:c>
      <x:c r="Z300" s="1" t="str">
        <x:v>1</x:v>
      </x:c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</x:row>
    <x:row r="301" ht="22" customHeight="1">
      <x:c r="A301" s="2" t="str">
        <x:v>8230</x:v>
      </x:c>
      <x:c r="B301" s="2" t="str">
        <x:v>Kennedy C. Crossan School</x:v>
      </x:c>
      <x:c r="C301" s="2" t="str">
        <x:v>District</x:v>
      </x:c>
      <x:c r="D301" s="2" t="str">
        <x:v>Yes</x:v>
      </x:c>
      <x:c r="E301" s="2" t="str">
        <x:v>Elementary</x:v>
      </x:c>
      <x:c r="F301" s="2" t="str">
        <x:v>7350 BINGHAM ST</x:v>
      </x:c>
      <x:c r="G301" s="2" t="str">
        <x:v>PHILADELPHIA</x:v>
      </x:c>
      <x:c r="H301" s="2" t="str">
        <x:v>19111</x:v>
      </x:c>
      <x:c r="I301" s="2" t="n">
        <x:v>40.06144841</x:v>
      </x:c>
      <x:c r="J301" s="2" t="n">
        <x:v>-75.08155085</x:v>
      </x:c>
      <x:c r="K301" s="2" t="n">
        <x:v>318</x:v>
      </x:c>
      <x:c r="L301" s="15" t="n">
        <x:v>0.7358</x:v>
      </x:c>
      <x:c r="M301" s="1" t="n">
        <x:v>2</x:v>
      </x:c>
      <x:c r="N301" s="1" t="str">
        <x:v>2025-2026</x:v>
      </x:c>
      <x:c r="O301" s="1" t="str">
        <x:v>2026-10-09</x:v>
      </x:c>
      <x:c r="P301" s="1" t="str">
        <x:v>Live</x:v>
      </x:c>
      <x:c r="Q301" s="1" t="str">
        <x:v>3762</x:v>
      </x:c>
      <x:c r="R301" s="1" t="str">
        <x:v>126515001</x:v>
      </x:c>
      <x:c r="S301" s="1"/>
      <x:c r="T301" s="1" t="str">
        <x:v>7200</x:v>
      </x:c>
      <x:c r="U301" s="1" t="str">
        <x:v>215-400-3720</x:v>
      </x:c>
      <x:c r="V301" s="1" t="str">
        <x:v>https://barton.philasd.org/</x:v>
      </x:c>
      <x:c r="W301" s="1" t="str">
        <x:v>2026-2027</x:v>
      </x:c>
      <x:c r="X301" s="1" t="str">
        <x:v>2026-2027</x:v>
      </x:c>
      <x:c r="Y301" s="1" t="str">
        <x:v>1</x:v>
      </x:c>
      <x:c r="Z301" s="1" t="str">
        <x:v>1</x:v>
      </x:c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</x:row>
    <x:row r="302" ht="22" customHeight="1">
      <x:c r="A302" s="2" t="str">
        <x:v>8240</x:v>
      </x:c>
      <x:c r="B302" s="2" t="str">
        <x:v>Hamilton Disston School</x:v>
      </x:c>
      <x:c r="C302" s="2" t="str">
        <x:v>District</x:v>
      </x:c>
      <x:c r="D302" s="2" t="str">
        <x:v>Yes</x:v>
      </x:c>
      <x:c r="E302" s="2" t="str">
        <x:v>Elementary-Middle</x:v>
      </x:c>
      <x:c r="F302" s="2" t="str">
        <x:v>6801 COTTAGE ST</x:v>
      </x:c>
      <x:c r="G302" s="2" t="str">
        <x:v>PHILADELPHIA</x:v>
      </x:c>
      <x:c r="H302" s="2" t="str">
        <x:v>19135</x:v>
      </x:c>
      <x:c r="I302" s="2" t="n">
        <x:v>40.02836911</x:v>
      </x:c>
      <x:c r="J302" s="2" t="n">
        <x:v>-75.04658904</x:v>
      </x:c>
      <x:c r="K302" s="2" t="n">
        <x:v>686</x:v>
      </x:c>
      <x:c r="L302" s="15" t="n">
        <x:v>0.8148</x:v>
      </x:c>
      <x:c r="M302" s="1" t="n">
        <x:v>6</x:v>
      </x:c>
      <x:c r="N302" s="1" t="str">
        <x:v>2025-2026</x:v>
      </x:c>
      <x:c r="O302" s="1" t="str">
        <x:v>2026-10-09</x:v>
      </x:c>
      <x:c r="P302" s="1" t="str">
        <x:v>Live</x:v>
      </x:c>
      <x:c r="Q302" s="1" t="str">
        <x:v>3763</x:v>
      </x:c>
      <x:c r="R302" s="1" t="str">
        <x:v>126515001</x:v>
      </x:c>
      <x:c r="S302" s="1"/>
      <x:c r="T302" s="1" t="str">
        <x:v>7220</x:v>
      </x:c>
      <x:c r="U302" s="1" t="str">
        <x:v>215-400-3150</x:v>
      </x:c>
      <x:c r="V302" s="1" t="str">
        <x:v>https://carnell.philasd.org/</x:v>
      </x:c>
      <x:c r="W302" s="1" t="str">
        <x:v>2026-2027</x:v>
      </x:c>
      <x:c r="X302" s="1" t="str">
        <x:v>2026-2027</x:v>
      </x:c>
      <x:c r="Y302" s="1" t="str">
        <x:v>1</x:v>
      </x:c>
      <x:c r="Z302" s="1" t="str">
        <x:v>1</x:v>
      </x:c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</x:row>
    <x:row r="303" ht="22" customHeight="1">
      <x:c r="A303" s="2" t="str">
        <x:v>8250</x:v>
      </x:c>
      <x:c r="B303" s="2" t="str">
        <x:v>Edwin Forrest School</x:v>
      </x:c>
      <x:c r="C303" s="2" t="str">
        <x:v>District</x:v>
      </x:c>
      <x:c r="D303" s="2" t="str">
        <x:v>Yes</x:v>
      </x:c>
      <x:c r="E303" s="2" t="str">
        <x:v>Elementary</x:v>
      </x:c>
      <x:c r="F303" s="2" t="str">
        <x:v>7300 COTTAGE ST</x:v>
      </x:c>
      <x:c r="G303" s="2" t="str">
        <x:v>PHILADELPHIA</x:v>
      </x:c>
      <x:c r="H303" s="2" t="str">
        <x:v>19136</x:v>
      </x:c>
      <x:c r="I303" s="2" t="n">
        <x:v>40.03444</x:v>
      </x:c>
      <x:c r="J303" s="2" t="n">
        <x:v>-75.035891</x:v>
      </x:c>
      <x:c r="K303" s="2" t="n">
        <x:v>798</x:v>
      </x:c>
      <x:c r="L303" s="15" t="n">
        <x:v>0.776</x:v>
      </x:c>
      <x:c r="M303" s="1" t="n">
        <x:v>3</x:v>
      </x:c>
      <x:c r="N303" s="1" t="str">
        <x:v>2025-2026</x:v>
      </x:c>
      <x:c r="O303" s="1" t="str">
        <x:v>2026-10-09</x:v>
      </x:c>
      <x:c r="P303" s="1" t="str">
        <x:v>Live</x:v>
      </x:c>
      <x:c r="Q303" s="1" t="str">
        <x:v>3764</x:v>
      </x:c>
      <x:c r="R303" s="1" t="str">
        <x:v>126515001</x:v>
      </x:c>
      <x:c r="S303" s="1"/>
      <x:c r="T303" s="1" t="str">
        <x:v>7260</x:v>
      </x:c>
      <x:c r="U303" s="1" t="str">
        <x:v>215-400-3540</x:v>
      </x:c>
      <x:c r="V303" s="1" t="str">
        <x:v>https://ellwood.philasd.org/</x:v>
      </x:c>
      <x:c r="W303" s="1" t="str">
        <x:v>2026-2027</x:v>
      </x:c>
      <x:c r="X303" s="1" t="str">
        <x:v>2026-2027</x:v>
      </x:c>
      <x:c r="Y303" s="1" t="str">
        <x:v>1</x:v>
      </x:c>
      <x:c r="Z303" s="1" t="str">
        <x:v>1</x:v>
      </x:c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</x:row>
    <x:row r="304" ht="22" customHeight="1">
      <x:c r="A304" s="2" t="str">
        <x:v>8260</x:v>
      </x:c>
      <x:c r="B304" s="2" t="str">
        <x:v>Fox Chase School</x:v>
      </x:c>
      <x:c r="C304" s="2" t="str">
        <x:v>District</x:v>
      </x:c>
      <x:c r="D304" s="2" t="str">
        <x:v>Yes</x:v>
      </x:c>
      <x:c r="E304" s="2" t="str">
        <x:v>Elementary</x:v>
      </x:c>
      <x:c r="F304" s="2" t="str">
        <x:v>500 RHAWN ST</x:v>
      </x:c>
      <x:c r="G304" s="2" t="str">
        <x:v>PHILADELPHIA</x:v>
      </x:c>
      <x:c r="H304" s="2" t="str">
        <x:v>19111</x:v>
      </x:c>
      <x:c r="I304" s="2" t="n">
        <x:v>40.076307</x:v>
      </x:c>
      <x:c r="J304" s="2" t="n">
        <x:v>-75.082129</x:v>
      </x:c>
      <x:c r="K304" s="2" t="n">
        <x:v>500</x:v>
      </x:c>
      <x:c r="L304" s="15" t="n">
        <x:v>0.6847</x:v>
      </x:c>
      <x:c r="M304" s="1" t="n">
        <x:v>2</x:v>
      </x:c>
      <x:c r="N304" s="1" t="str">
        <x:v>2025-2026</x:v>
      </x:c>
      <x:c r="O304" s="1" t="str">
        <x:v>2026-10-09</x:v>
      </x:c>
      <x:c r="P304" s="1" t="str">
        <x:v>Live</x:v>
      </x:c>
      <x:c r="Q304" s="1" t="str">
        <x:v>3765</x:v>
      </x:c>
      <x:c r="R304" s="1" t="str">
        <x:v>126515001</x:v>
      </x:c>
      <x:c r="S304" s="1"/>
      <x:c r="T304" s="1" t="str">
        <x:v>7270</x:v>
      </x:c>
      <x:c r="U304" s="1" t="str">
        <x:v>215-400-3750</x:v>
      </x:c>
      <x:c r="V304" s="1" t="str">
        <x:v>https://finletter.philasd.org/</x:v>
      </x:c>
      <x:c r="W304" s="1" t="str">
        <x:v>2026-2027</x:v>
      </x:c>
      <x:c r="X304" s="1" t="str">
        <x:v>2026-2027</x:v>
      </x:c>
      <x:c r="Y304" s="1" t="str">
        <x:v>1</x:v>
      </x:c>
      <x:c r="Z304" s="1" t="str">
        <x:v>1</x:v>
      </x:c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</x:row>
    <x:row r="305" ht="22" customHeight="1">
      <x:c r="A305" s="2" t="str">
        <x:v>8270</x:v>
      </x:c>
      <x:c r="B305" s="2" t="str">
        <x:v>Thomas Holme School</x:v>
      </x:c>
      <x:c r="C305" s="2" t="str">
        <x:v>District</x:v>
      </x:c>
      <x:c r="D305" s="2" t="str">
        <x:v>Yes</x:v>
      </x:c>
      <x:c r="E305" s="2" t="str">
        <x:v>Elementary-Middle</x:v>
      </x:c>
      <x:c r="F305" s="2" t="str">
        <x:v>9125 ACADEMY RD</x:v>
      </x:c>
      <x:c r="G305" s="2" t="str">
        <x:v>PHILADELPHIA</x:v>
      </x:c>
      <x:c r="H305" s="2" t="str">
        <x:v>19114</x:v>
      </x:c>
      <x:c r="I305" s="2" t="n">
        <x:v>40.054988</x:v>
      </x:c>
      <x:c r="J305" s="2" t="n">
        <x:v>-75.008965</x:v>
      </x:c>
      <x:c r="K305" s="2" t="n">
        <x:v>801</x:v>
      </x:c>
      <x:c r="L305" s="15" t="n">
        <x:v>0.7798</x:v>
      </x:c>
      <x:c r="M305" s="1" t="n">
        <x:v>1</x:v>
      </x:c>
      <x:c r="N305" s="1" t="str">
        <x:v>2025-2026</x:v>
      </x:c>
      <x:c r="O305" s="1" t="str">
        <x:v>2026-10-09</x:v>
      </x:c>
      <x:c r="P305" s="1" t="str">
        <x:v>Live</x:v>
      </x:c>
      <x:c r="Q305" s="1" t="str">
        <x:v>3766</x:v>
      </x:c>
      <x:c r="R305" s="1" t="str">
        <x:v>126515001</x:v>
      </x:c>
      <x:c r="S305" s="1"/>
      <x:c r="T305" s="1" t="str">
        <x:v>7280</x:v>
      </x:c>
      <x:c r="U305" s="1" t="str">
        <x:v>215-400-3760</x:v>
      </x:c>
      <x:c r="V305" s="1" t="str">
        <x:v>https://franklin.philasd.org/</x:v>
      </x:c>
      <x:c r="W305" s="1" t="str">
        <x:v>2026-2027</x:v>
      </x:c>
      <x:c r="X305" s="1" t="str">
        <x:v>2026-2027</x:v>
      </x:c>
      <x:c r="Y305" s="1" t="str">
        <x:v>1</x:v>
      </x:c>
      <x:c r="Z305" s="1" t="str">
        <x:v>1</x:v>
      </x:c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</x:row>
    <x:row r="306" ht="22" customHeight="1">
      <x:c r="A306" s="2" t="str">
        <x:v>8300</x:v>
      </x:c>
      <x:c r="B306" s="2" t="str">
        <x:v>Mayfair School</x:v>
      </x:c>
      <x:c r="C306" s="2" t="str">
        <x:v>District</x:v>
      </x:c>
      <x:c r="D306" s="2" t="str">
        <x:v>Yes</x:v>
      </x:c>
      <x:c r="E306" s="2" t="str">
        <x:v>Elementary-Middle</x:v>
      </x:c>
      <x:c r="F306" s="2" t="str">
        <x:v>3001 PRINCETON AVE</x:v>
      </x:c>
      <x:c r="G306" s="2" t="str">
        <x:v>PHILADELPHIA</x:v>
      </x:c>
      <x:c r="H306" s="2" t="str">
        <x:v>19149</x:v>
      </x:c>
      <x:c r="I306" s="2" t="n">
        <x:v>40.03945436</x:v>
      </x:c>
      <x:c r="J306" s="2" t="n">
        <x:v>-75.05339332</x:v>
      </x:c>
      <x:c r="K306" s="2" t="n">
        <x:v>1746</x:v>
      </x:c>
      <x:c r="L306" s="15" t="n">
        <x:v>0.7385</x:v>
      </x:c>
      <x:c r="M306" s="1" t="n">
        <x:v>2</x:v>
      </x:c>
      <x:c r="N306" s="1" t="str">
        <x:v>2025-2026</x:v>
      </x:c>
      <x:c r="O306" s="1" t="str">
        <x:v>2026-10-09</x:v>
      </x:c>
      <x:c r="P306" s="1" t="str">
        <x:v>Live</x:v>
      </x:c>
      <x:c r="Q306" s="1" t="str">
        <x:v>3769</x:v>
      </x:c>
      <x:c r="R306" s="1" t="str">
        <x:v>126515001</x:v>
      </x:c>
      <x:c r="S306" s="1"/>
      <x:c r="T306" s="1" t="str">
        <x:v>7290</x:v>
      </x:c>
      <x:c r="U306" s="1" t="str">
        <x:v>215-400-3980</x:v>
      </x:c>
      <x:c r="V306" s="1" t="str">
        <x:v>https://stearne.philasd.org/</x:v>
      </x:c>
      <x:c r="W306" s="1" t="str">
        <x:v>2026-2027</x:v>
      </x:c>
      <x:c r="X306" s="1" t="str">
        <x:v>2026-2027</x:v>
      </x:c>
      <x:c r="Y306" s="1" t="str">
        <x:v>1</x:v>
      </x:c>
      <x:c r="Z306" s="1" t="str">
        <x:v>1</x:v>
      </x:c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</x:row>
    <x:row r="307" ht="22" customHeight="1">
      <x:c r="A307" s="2" t="str">
        <x:v>8310</x:v>
      </x:c>
      <x:c r="B307" s="2" t="str">
        <x:v>J. Hampton Moore School</x:v>
      </x:c>
      <x:c r="C307" s="2" t="str">
        <x:v>District</x:v>
      </x:c>
      <x:c r="D307" s="2" t="str">
        <x:v>Yes</x:v>
      </x:c>
      <x:c r="E307" s="2" t="str">
        <x:v>Elementary</x:v>
      </x:c>
      <x:c r="F307" s="2" t="str">
        <x:v>6900 SUMMERDALE AVE</x:v>
      </x:c>
      <x:c r="G307" s="2" t="str">
        <x:v>PHILADELPHIA</x:v>
      </x:c>
      <x:c r="H307" s="2" t="str">
        <x:v>19111</x:v>
      </x:c>
      <x:c r="I307" s="2" t="n">
        <x:v>40.049135</x:v>
      </x:c>
      <x:c r="J307" s="2" t="n">
        <x:v>-75.076912</x:v>
      </x:c>
      <x:c r="K307" s="2" t="n">
        <x:v>1162</x:v>
      </x:c>
      <x:c r="L307" s="15" t="n">
        <x:v>0.7795</x:v>
      </x:c>
      <x:c r="M307" s="1" t="n">
        <x:v>2</x:v>
      </x:c>
      <x:c r="N307" s="1" t="str">
        <x:v>2025-2026</x:v>
      </x:c>
      <x:c r="O307" s="1" t="str">
        <x:v>2026-10-09</x:v>
      </x:c>
      <x:c r="P307" s="1" t="str">
        <x:v>Live</x:v>
      </x:c>
      <x:c r="Q307" s="1" t="str">
        <x:v>3770</x:v>
      </x:c>
      <x:c r="R307" s="1" t="str">
        <x:v>126515001</x:v>
      </x:c>
      <x:c r="S307" s="1"/>
      <x:c r="T307" s="1" t="str">
        <x:v>7300</x:v>
      </x:c>
      <x:c r="U307" s="1" t="str">
        <x:v>215-400-3970</x:v>
      </x:c>
      <x:c r="V307" s="1" t="str">
        <x:v>https://hopkinson.philasd.org/</x:v>
      </x:c>
      <x:c r="W307" s="1" t="str">
        <x:v>2026-2027</x:v>
      </x:c>
      <x:c r="X307" s="1" t="str">
        <x:v>2026-2027</x:v>
      </x:c>
      <x:c r="Y307" s="1" t="str">
        <x:v>1</x:v>
      </x:c>
      <x:c r="Z307" s="1" t="str">
        <x:v>1</x:v>
      </x:c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</x:row>
    <x:row r="308" ht="22" customHeight="1">
      <x:c r="A308" s="2" t="str">
        <x:v>8340</x:v>
      </x:c>
      <x:c r="B308" s="2" t="str">
        <x:v>Solomon Solis-Cohen School</x:v>
      </x:c>
      <x:c r="C308" s="2" t="str">
        <x:v>District</x:v>
      </x:c>
      <x:c r="D308" s="2" t="str">
        <x:v>Yes</x:v>
      </x:c>
      <x:c r="E308" s="2" t="str">
        <x:v>Elementary</x:v>
      </x:c>
      <x:c r="F308" s="2" t="str">
        <x:v>7001 HORROCKS ST</x:v>
      </x:c>
      <x:c r="G308" s="2" t="str">
        <x:v>PHILADELPHIA</x:v>
      </x:c>
      <x:c r="H308" s="2" t="str">
        <x:v>19149</x:v>
      </x:c>
      <x:c r="I308" s="2" t="n">
        <x:v>40.044644</x:v>
      </x:c>
      <x:c r="J308" s="2" t="n">
        <x:v>-75.064725</x:v>
      </x:c>
      <x:c r="K308" s="2" t="n">
        <x:v>1354</x:v>
      </x:c>
      <x:c r="L308" s="15" t="n">
        <x:v>0.7902</x:v>
      </x:c>
      <x:c r="M308" s="1" t="n">
        <x:v>3</x:v>
      </x:c>
      <x:c r="N308" s="1" t="str">
        <x:v>2025-2026</x:v>
      </x:c>
      <x:c r="O308" s="1" t="str">
        <x:v>2026-10-09</x:v>
      </x:c>
      <x:c r="P308" s="1" t="str">
        <x:v>Live</x:v>
      </x:c>
      <x:c r="Q308" s="1" t="str">
        <x:v>3773</x:v>
      </x:c>
      <x:c r="R308" s="1" t="str">
        <x:v>126515001</x:v>
      </x:c>
      <x:c r="S308" s="1"/>
      <x:c r="T308" s="1" t="str">
        <x:v>7310</x:v>
      </x:c>
      <x:c r="U308" s="1" t="str">
        <x:v>215-400-3730</x:v>
      </x:c>
      <x:c r="V308" s="1" t="str">
        <x:v>https://fint.philasd.org/</x:v>
      </x:c>
      <x:c r="W308" s="1" t="str">
        <x:v>2026-2027</x:v>
      </x:c>
      <x:c r="X308" s="1" t="str">
        <x:v>2026-2027</x:v>
      </x:c>
      <x:c r="Y308" s="1" t="str">
        <x:v>1</x:v>
      </x:c>
      <x:c r="Z308" s="1" t="str">
        <x:v>1</x:v>
      </x:c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</x:row>
    <x:row r="309" ht="22" customHeight="1">
      <x:c r="A309" s="2" t="str">
        <x:v>8350</x:v>
      </x:c>
      <x:c r="B309" s="2" t="str">
        <x:v>Gilbert Spruance School</x:v>
      </x:c>
      <x:c r="C309" s="2" t="str">
        <x:v>District</x:v>
      </x:c>
      <x:c r="D309" s="2" t="str">
        <x:v>Yes</x:v>
      </x:c>
      <x:c r="E309" s="2" t="str">
        <x:v>Elementary-Middle</x:v>
      </x:c>
      <x:c r="F309" s="2" t="str">
        <x:v>6401 HORROCKS ST</x:v>
      </x:c>
      <x:c r="G309" s="2" t="str">
        <x:v>PHILADELPHIA</x:v>
      </x:c>
      <x:c r="H309" s="2" t="str">
        <x:v>19149</x:v>
      </x:c>
      <x:c r="I309" s="2" t="n">
        <x:v>40.03756142</x:v>
      </x:c>
      <x:c r="J309" s="2" t="n">
        <x:v>-75.07232936</x:v>
      </x:c>
      <x:c r="K309" s="2" t="n">
        <x:v>1259</x:v>
      </x:c>
      <x:c r="L309" s="15" t="n">
        <x:v>0.7877</x:v>
      </x:c>
      <x:c r="M309" s="1" t="n">
        <x:v>4</x:v>
      </x:c>
      <x:c r="N309" s="1" t="str">
        <x:v>2025-2026</x:v>
      </x:c>
      <x:c r="O309" s="1" t="str">
        <x:v>2026-10-09</x:v>
      </x:c>
      <x:c r="P309" s="1" t="str">
        <x:v>Live</x:v>
      </x:c>
      <x:c r="Q309" s="1" t="str">
        <x:v>7234</x:v>
      </x:c>
      <x:c r="R309" s="1" t="str">
        <x:v>126515001</x:v>
      </x:c>
      <x:c r="S309" s="1"/>
      <x:c r="T309" s="1" t="str">
        <x:v>7320</x:v>
      </x:c>
      <x:c r="U309" s="1" t="str">
        <x:v>215-400-3650</x:v>
      </x:c>
      <x:c r="V309" s="1" t="str">
        <x:v>https://howe.philasd.org/</x:v>
      </x:c>
      <x:c r="W309" s="1" t="str">
        <x:v>2026-2027</x:v>
      </x:c>
      <x:c r="X309" s="1" t="str">
        <x:v>2026-2027</x:v>
      </x:c>
      <x:c r="Y309" s="1" t="str">
        <x:v>1</x:v>
      </x:c>
      <x:c r="Z309" s="1" t="str">
        <x:v>1</x:v>
      </x:c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</x:row>
    <x:row r="310" ht="22" customHeight="1">
      <x:c r="A310" s="2" t="str">
        <x:v>8360</x:v>
      </x:c>
      <x:c r="B310" s="2" t="str">
        <x:v>Rhawnhurst School</x:v>
      </x:c>
      <x:c r="C310" s="2" t="str">
        <x:v>District</x:v>
      </x:c>
      <x:c r="D310" s="2" t="str">
        <x:v>Yes</x:v>
      </x:c>
      <x:c r="E310" s="2" t="str">
        <x:v>Elementary</x:v>
      </x:c>
      <x:c r="F310" s="2" t="str">
        <x:v>7809 CASTOR AVE</x:v>
      </x:c>
      <x:c r="G310" s="2" t="str">
        <x:v>PHILADELPHIA</x:v>
      </x:c>
      <x:c r="H310" s="2" t="str">
        <x:v>19152</x:v>
      </x:c>
      <x:c r="I310" s="2" t="n">
        <x:v>40.05869601</x:v>
      </x:c>
      <x:c r="J310" s="2" t="n">
        <x:v>-75.05898166</x:v>
      </x:c>
      <x:c r="K310" s="2" t="n">
        <x:v>584</x:v>
      </x:c>
      <x:c r="L310" s="15" t="n">
        <x:v>0.7637</x:v>
      </x:c>
      <x:c r="M310" s="1" t="n">
        <x:v>0</x:v>
      </x:c>
      <x:c r="N310" s="1" t="str">
        <x:v>2025-2026</x:v>
      </x:c>
      <x:c r="O310" s="1" t="str">
        <x:v>2026-10-09</x:v>
      </x:c>
      <x:c r="P310" s="1" t="str">
        <x:v>Live</x:v>
      </x:c>
      <x:c r="Q310" s="1" t="str">
        <x:v>3771</x:v>
      </x:c>
      <x:c r="R310" s="1" t="str">
        <x:v>126515001</x:v>
      </x:c>
      <x:c r="S310" s="1"/>
      <x:c r="T310" s="1" t="str">
        <x:v>7330</x:v>
      </x:c>
      <x:c r="U310" s="1" t="str">
        <x:v>215-400-3340</x:v>
      </x:c>
      <x:c r="V310" s="1" t="str">
        <x:v>https://lawton.philasd.org/</x:v>
      </x:c>
      <x:c r="W310" s="1" t="str">
        <x:v>2026-2027</x:v>
      </x:c>
      <x:c r="X310" s="1" t="str">
        <x:v>2026-2027</x:v>
      </x:c>
      <x:c r="Y310" s="1" t="str">
        <x:v>1</x:v>
      </x:c>
      <x:c r="Z310" s="1" t="str">
        <x:v>1</x:v>
      </x:c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</x:row>
    <x:row r="311" ht="22" customHeight="1">
      <x:c r="A311" s="2" t="str">
        <x:v>8370</x:v>
      </x:c>
      <x:c r="B311" s="2" t="str">
        <x:v>Watson Comly School</x:v>
      </x:c>
      <x:c r="C311" s="2" t="str">
        <x:v>District</x:v>
      </x:c>
      <x:c r="D311" s="2" t="str">
        <x:v>Yes</x:v>
      </x:c>
      <x:c r="E311" s="2" t="str">
        <x:v>Elementary</x:v>
      </x:c>
      <x:c r="F311" s="2" t="str">
        <x:v>1001 BYBERRY RD</x:v>
      </x:c>
      <x:c r="G311" s="2" t="str">
        <x:v>PHILADELPHIA</x:v>
      </x:c>
      <x:c r="H311" s="2" t="str">
        <x:v>19116</x:v>
      </x:c>
      <x:c r="I311" s="2" t="n">
        <x:v>40.12096486</x:v>
      </x:c>
      <x:c r="J311" s="2" t="n">
        <x:v>-75.0091088</x:v>
      </x:c>
      <x:c r="K311" s="2" t="n">
        <x:v>660</x:v>
      </x:c>
      <x:c r="L311" s="15" t="n">
        <x:v>0.6656</x:v>
      </x:c>
      <x:c r="M311" s="1" t="n">
        <x:v>1</x:v>
      </x:c>
      <x:c r="N311" s="1" t="str">
        <x:v>2025-2026</x:v>
      </x:c>
      <x:c r="O311" s="1" t="str">
        <x:v>2026-10-09</x:v>
      </x:c>
      <x:c r="P311" s="1" t="str">
        <x:v>Live</x:v>
      </x:c>
      <x:c r="Q311" s="1" t="str">
        <x:v>3760</x:v>
      </x:c>
      <x:c r="R311" s="1" t="str">
        <x:v>126515001</x:v>
      </x:c>
      <x:c r="S311" s="1"/>
      <x:c r="T311" s="1" t="str">
        <x:v>7350</x:v>
      </x:c>
      <x:c r="U311" s="1" t="str">
        <x:v>215-400-3740</x:v>
      </x:c>
      <x:c r="V311" s="1" t="str">
        <x:v>https://lowell.philasd.org/</x:v>
      </x:c>
      <x:c r="W311" s="1" t="str">
        <x:v>2026-2027</x:v>
      </x:c>
      <x:c r="X311" s="1" t="str">
        <x:v>2026-2027</x:v>
      </x:c>
      <x:c r="Y311" s="1" t="str">
        <x:v>1</x:v>
      </x:c>
      <x:c r="Z311" s="1" t="str">
        <x:v>1</x:v>
      </x:c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</x:row>
    <x:row r="312" ht="22" customHeight="1">
      <x:c r="A312" s="2" t="str">
        <x:v>8380</x:v>
      </x:c>
      <x:c r="B312" s="2" t="str">
        <x:v>Louis H. Farrell School</x:v>
      </x:c>
      <x:c r="C312" s="2" t="str">
        <x:v>District</x:v>
      </x:c>
      <x:c r="D312" s="2" t="str">
        <x:v>Yes</x:v>
      </x:c>
      <x:c r="E312" s="2" t="str">
        <x:v>Elementary-Middle</x:v>
      </x:c>
      <x:c r="F312" s="2" t="str">
        <x:v>8300 CASTOR AVE</x:v>
      </x:c>
      <x:c r="G312" s="2" t="str">
        <x:v>PHILADELPHIA</x:v>
      </x:c>
      <x:c r="H312" s="2" t="str">
        <x:v>19152</x:v>
      </x:c>
      <x:c r="I312" s="2" t="n">
        <x:v>40.06657162</x:v>
      </x:c>
      <x:c r="J312" s="2" t="n">
        <x:v>-75.05241476</x:v>
      </x:c>
      <x:c r="K312" s="2" t="n">
        <x:v>1255</x:v>
      </x:c>
      <x:c r="L312" s="15" t="n">
        <x:v>0.7148</x:v>
      </x:c>
      <x:c r="M312" s="1" t="n">
        <x:v>0</x:v>
      </x:c>
      <x:c r="N312" s="1" t="str">
        <x:v>2025-2026</x:v>
      </x:c>
      <x:c r="O312" s="1" t="str">
        <x:v>2026-10-09</x:v>
      </x:c>
      <x:c r="P312" s="1" t="str">
        <x:v>Live</x:v>
      </x:c>
      <x:c r="Q312" s="1" t="str">
        <x:v>7235</x:v>
      </x:c>
      <x:c r="R312" s="1" t="str">
        <x:v>126515001</x:v>
      </x:c>
      <x:c r="S312" s="1"/>
      <x:c r="T312" s="1" t="str">
        <x:v>7360</x:v>
      </x:c>
      <x:c r="U312" s="1" t="str">
        <x:v>215-400-3950</x:v>
      </x:c>
      <x:c r="V312" s="1" t="str">
        <x:v>https://johnmarshall.philasd.org/</x:v>
      </x:c>
      <x:c r="W312" s="1" t="str">
        <x:v>2026-2027</x:v>
      </x:c>
      <x:c r="X312" s="1" t="str">
        <x:v>2026-2027</x:v>
      </x:c>
      <x:c r="Y312" s="1" t="str">
        <x:v>1</x:v>
      </x:c>
      <x:c r="Z312" s="1" t="str">
        <x:v>1</x:v>
      </x:c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</x:row>
    <x:row r="313" ht="22" customHeight="1">
      <x:c r="A313" s="2" t="str">
        <x:v>8390</x:v>
      </x:c>
      <x:c r="B313" s="2" t="str">
        <x:v>Aloysius L. Fitzpatrick School</x:v>
      </x:c>
      <x:c r="C313" s="2" t="str">
        <x:v>District</x:v>
      </x:c>
      <x:c r="D313" s="2" t="str">
        <x:v>Yes</x:v>
      </x:c>
      <x:c r="E313" s="2" t="str">
        <x:v>Elementary-Middle</x:v>
      </x:c>
      <x:c r="F313" s="2" t="str">
        <x:v>11061 KNIGHTS RD</x:v>
      </x:c>
      <x:c r="G313" s="2" t="str">
        <x:v>PHILADELPHIA</x:v>
      </x:c>
      <x:c r="H313" s="2" t="str">
        <x:v>19154</x:v>
      </x:c>
      <x:c r="I313" s="2" t="n">
        <x:v>40.080306</x:v>
      </x:c>
      <x:c r="J313" s="2" t="n">
        <x:v>-74.976529</x:v>
      </x:c>
      <x:c r="K313" s="2" t="n">
        <x:v>868</x:v>
      </x:c>
      <x:c r="L313" s="15" t="n">
        <x:v>0.7176</x:v>
      </x:c>
      <x:c r="M313" s="1" t="n">
        <x:v>0</x:v>
      </x:c>
      <x:c r="N313" s="1" t="str">
        <x:v>2025-2026</x:v>
      </x:c>
      <x:c r="O313" s="1" t="str">
        <x:v>2026-10-09</x:v>
      </x:c>
      <x:c r="P313" s="1" t="str">
        <x:v>Live</x:v>
      </x:c>
      <x:c r="Q313" s="1" t="str">
        <x:v>3781</x:v>
      </x:c>
      <x:c r="R313" s="1" t="str">
        <x:v>126515001</x:v>
      </x:c>
      <x:c r="S313" s="1"/>
      <x:c r="T313" s="1" t="str">
        <x:v>7370</x:v>
      </x:c>
      <x:c r="U313" s="1" t="str">
        <x:v>215-400-3820</x:v>
      </x:c>
      <x:c r="V313" s="1" t="str">
        <x:v>https://gwjr.philasd.org/</x:v>
      </x:c>
      <x:c r="W313" s="1" t="str">
        <x:v>2026-2027</x:v>
      </x:c>
      <x:c r="X313" s="1" t="str">
        <x:v>2026-2027</x:v>
      </x:c>
      <x:c r="Y313" s="1" t="str">
        <x:v>1</x:v>
      </x:c>
      <x:c r="Z313" s="1" t="str">
        <x:v>1</x:v>
      </x:c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</x:row>
    <x:row r="314" ht="22" customHeight="1">
      <x:c r="A314" s="2" t="str">
        <x:v>8400</x:v>
      </x:c>
      <x:c r="B314" s="2" t="str">
        <x:v>Anne Frank School</x:v>
      </x:c>
      <x:c r="C314" s="2" t="str">
        <x:v>District</x:v>
      </x:c>
      <x:c r="D314" s="2" t="str">
        <x:v>Yes</x:v>
      </x:c>
      <x:c r="E314" s="2" t="str">
        <x:v>Elementary</x:v>
      </x:c>
      <x:c r="F314" s="2" t="str">
        <x:v>2000 BOWLER ST</x:v>
      </x:c>
      <x:c r="G314" s="2" t="str">
        <x:v>PHILADELPHIA</x:v>
      </x:c>
      <x:c r="H314" s="2" t="str">
        <x:v>19115</x:v>
      </x:c>
      <x:c r="I314" s="2" t="n">
        <x:v>40.088288</x:v>
      </x:c>
      <x:c r="J314" s="2" t="n">
        <x:v>-75.028222</x:v>
      </x:c>
      <x:c r="K314" s="2" t="n">
        <x:v>1687</x:v>
      </x:c>
      <x:c r="L314" s="15" t="n">
        <x:v>0.6848</x:v>
      </x:c>
      <x:c r="M314" s="1" t="n">
        <x:v>2</x:v>
      </x:c>
      <x:c r="N314" s="1" t="str">
        <x:v>2025-2026</x:v>
      </x:c>
      <x:c r="O314" s="1" t="str">
        <x:v>2026-10-09</x:v>
      </x:c>
      <x:c r="P314" s="1" t="str">
        <x:v>Live</x:v>
      </x:c>
      <x:c r="Q314" s="1" t="str">
        <x:v>3803</x:v>
      </x:c>
      <x:c r="R314" s="1" t="str">
        <x:v>126515001</x:v>
      </x:c>
      <x:c r="S314" s="1"/>
      <x:c r="T314" s="1" t="str">
        <x:v>7380</x:v>
      </x:c>
      <x:c r="U314" s="1" t="str">
        <x:v>215-400-3870</x:v>
      </x:c>
      <x:c r="V314" s="1" t="str">
        <x:v>https://mcclure.philasd.org/</x:v>
      </x:c>
      <x:c r="W314" s="1" t="str">
        <x:v>2026-2027</x:v>
      </x:c>
      <x:c r="X314" s="1" t="str">
        <x:v>2026-2027</x:v>
      </x:c>
      <x:c r="Y314" s="1" t="str">
        <x:v>1</x:v>
      </x:c>
      <x:c r="Z314" s="1" t="str">
        <x:v>1</x:v>
      </x:c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</x:row>
    <x:row r="315" ht="22" customHeight="1">
      <x:c r="A315" s="2" t="str">
        <x:v>8410</x:v>
      </x:c>
      <x:c r="B315" s="2" t="str">
        <x:v>Robert B. Pollock School</x:v>
      </x:c>
      <x:c r="C315" s="2" t="str">
        <x:v>District</x:v>
      </x:c>
      <x:c r="D315" s="2" t="str">
        <x:v>Yes</x:v>
      </x:c>
      <x:c r="E315" s="2" t="str">
        <x:v>Elementary-Middle</x:v>
      </x:c>
      <x:c r="F315" s="2" t="str">
        <x:v>2875 WELSH RD</x:v>
      </x:c>
      <x:c r="G315" s="2" t="str">
        <x:v>PHILADELPHIA</x:v>
      </x:c>
      <x:c r="H315" s="2" t="str">
        <x:v>19152</x:v>
      </x:c>
      <x:c r="I315" s="2" t="n">
        <x:v>40.060116</x:v>
      </x:c>
      <x:c r="J315" s="2" t="n">
        <x:v>-75.02713</x:v>
      </x:c>
      <x:c r="K315" s="2" t="n">
        <x:v>900</x:v>
      </x:c>
      <x:c r="L315" s="15" t="n">
        <x:v>0.7341</x:v>
      </x:c>
      <x:c r="M315" s="1" t="n">
        <x:v>2</x:v>
      </x:c>
      <x:c r="N315" s="1" t="str">
        <x:v>2025-2026</x:v>
      </x:c>
      <x:c r="O315" s="1" t="str">
        <x:v>2026-10-09</x:v>
      </x:c>
      <x:c r="P315" s="1" t="str">
        <x:v>Live</x:v>
      </x:c>
      <x:c r="Q315" s="1" t="str">
        <x:v>3801</x:v>
      </x:c>
      <x:c r="R315" s="1" t="str">
        <x:v>126515001</x:v>
      </x:c>
      <x:c r="S315" s="1"/>
      <x:c r="T315" s="1" t="str">
        <x:v>7390</x:v>
      </x:c>
      <x:c r="U315" s="1" t="str">
        <x:v>215-400-3780</x:v>
      </x:c>
      <x:c r="V315" s="1" t="str">
        <x:v>https://morrison.philasd.org/</x:v>
      </x:c>
      <x:c r="W315" s="1" t="str">
        <x:v>2026-2027</x:v>
      </x:c>
      <x:c r="X315" s="1" t="str">
        <x:v>2026-2027</x:v>
      </x:c>
      <x:c r="Y315" s="1" t="str">
        <x:v>1</x:v>
      </x:c>
      <x:c r="Z315" s="1" t="str">
        <x:v>1</x:v>
      </x:c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</x:row>
    <x:row r="316" ht="22" customHeight="1">
      <x:c r="A316" s="2" t="str">
        <x:v>8420</x:v>
      </x:c>
      <x:c r="B316" s="2" t="str">
        <x:v>Stephen Decatur School</x:v>
      </x:c>
      <x:c r="C316" s="2" t="str">
        <x:v>District</x:v>
      </x:c>
      <x:c r="D316" s="2" t="str">
        <x:v>Yes</x:v>
      </x:c>
      <x:c r="E316" s="2" t="str">
        <x:v>Elementary-Middle</x:v>
      </x:c>
      <x:c r="F316" s="2" t="str">
        <x:v>3500 ACADEMY RD</x:v>
      </x:c>
      <x:c r="G316" s="2" t="str">
        <x:v>PHILADELPHIA</x:v>
      </x:c>
      <x:c r="H316" s="2" t="str">
        <x:v>19154</x:v>
      </x:c>
      <x:c r="I316" s="2" t="n">
        <x:v>40.095818</x:v>
      </x:c>
      <x:c r="J316" s="2" t="n">
        <x:v>-74.970535</x:v>
      </x:c>
      <x:c r="K316" s="2" t="n">
        <x:v>1041</x:v>
      </x:c>
      <x:c r="L316" s="15" t="n">
        <x:v>0.6692</x:v>
      </x:c>
      <x:c r="M316" s="1" t="n">
        <x:v>1</x:v>
      </x:c>
      <x:c r="N316" s="1" t="str">
        <x:v>2025-2026</x:v>
      </x:c>
      <x:c r="O316" s="1" t="str">
        <x:v>2026-10-09</x:v>
      </x:c>
      <x:c r="P316" s="1" t="str">
        <x:v>Live</x:v>
      </x:c>
      <x:c r="Q316" s="1" t="str">
        <x:v>4727</x:v>
      </x:c>
      <x:c r="R316" s="1" t="str">
        <x:v>126515001</x:v>
      </x:c>
      <x:c r="S316" s="1"/>
      <x:c r="T316" s="1" t="str">
        <x:v>7400</x:v>
      </x:c>
      <x:c r="U316" s="1" t="str">
        <x:v>215-400-3790</x:v>
      </x:c>
      <x:c r="V316" s="1" t="str">
        <x:v>https://olney.philasd.org/</x:v>
      </x:c>
      <x:c r="W316" s="1" t="str">
        <x:v>2026-2027</x:v>
      </x:c>
      <x:c r="X316" s="1" t="str">
        <x:v>2026-2027</x:v>
      </x:c>
      <x:c r="Y316" s="1" t="str">
        <x:v>1</x:v>
      </x:c>
      <x:c r="Z316" s="1" t="str">
        <x:v>1</x:v>
      </x:c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</x:row>
    <x:row r="317" ht="22" customHeight="1">
      <x:c r="A317" s="2" t="str">
        <x:v>8430</x:v>
      </x:c>
      <x:c r="B317" s="2" t="str">
        <x:v>Joseph Greenberg School</x:v>
      </x:c>
      <x:c r="C317" s="2" t="str">
        <x:v>District</x:v>
      </x:c>
      <x:c r="D317" s="2" t="str">
        <x:v>Yes</x:v>
      </x:c>
      <x:c r="E317" s="2" t="str">
        <x:v>Elementary-Middle</x:v>
      </x:c>
      <x:c r="F317" s="2" t="str">
        <x:v>600 SHARON LN</x:v>
      </x:c>
      <x:c r="G317" s="2" t="str">
        <x:v>PHILADELPHIA</x:v>
      </x:c>
      <x:c r="H317" s="2" t="str">
        <x:v>19115</x:v>
      </x:c>
      <x:c r="I317" s="2" t="n">
        <x:v>40.09608652</x:v>
      </x:c>
      <x:c r="J317" s="2" t="n">
        <x:v>-75.05771102</x:v>
      </x:c>
      <x:c r="K317" s="2" t="n">
        <x:v>1048</x:v>
      </x:c>
      <x:c r="L317" s="15" t="n">
        <x:v>0.5234</x:v>
      </x:c>
      <x:c r="M317" s="1" t="n">
        <x:v>0</x:v>
      </x:c>
      <x:c r="N317" s="1" t="str">
        <x:v>2025-2026</x:v>
      </x:c>
      <x:c r="O317" s="1" t="str">
        <x:v>2026-10-09</x:v>
      </x:c>
      <x:c r="P317" s="1" t="str">
        <x:v>Live</x:v>
      </x:c>
      <x:c r="Q317" s="1" t="str">
        <x:v>4726</x:v>
      </x:c>
      <x:c r="R317" s="1" t="str">
        <x:v>126515001</x:v>
      </x:c>
      <x:c r="S317" s="1"/>
      <x:c r="T317" s="1" t="str">
        <x:v>7430</x:v>
      </x:c>
      <x:c r="U317" s="1" t="str">
        <x:v>215-400-3960</x:v>
      </x:c>
      <x:c r="V317" s="1" t="str">
        <x:v>https://sullivan.philasd.org/</x:v>
      </x:c>
      <x:c r="W317" s="1" t="str">
        <x:v>2026-2027</x:v>
      </x:c>
      <x:c r="X317" s="1" t="str">
        <x:v>2026-2027</x:v>
      </x:c>
      <x:c r="Y317" s="1" t="str">
        <x:v>1</x:v>
      </x:c>
      <x:c r="Z317" s="1" t="str">
        <x:v>1</x:v>
      </x:c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</x:row>
    <x:row r="318" ht="22" customHeight="1">
      <x:c r="A318" s="2" t="str">
        <x:v>8440</x:v>
      </x:c>
      <x:c r="B318" s="2" t="str">
        <x:v>William H. Loesche School</x:v>
      </x:c>
      <x:c r="C318" s="2" t="str">
        <x:v>District</x:v>
      </x:c>
      <x:c r="D318" s="2" t="str">
        <x:v>Yes</x:v>
      </x:c>
      <x:c r="E318" s="2" t="str">
        <x:v>Elementary</x:v>
      </x:c>
      <x:c r="F318" s="2" t="str">
        <x:v>595 TOMLINSON RD</x:v>
      </x:c>
      <x:c r="G318" s="2" t="str">
        <x:v>PHILADELPHIA</x:v>
      </x:c>
      <x:c r="H318" s="2" t="str">
        <x:v>19116</x:v>
      </x:c>
      <x:c r="I318" s="2" t="n">
        <x:v>40.11358364</x:v>
      </x:c>
      <x:c r="J318" s="2" t="n">
        <x:v>-75.02386784</x:v>
      </x:c>
      <x:c r="K318" s="2" t="n">
        <x:v>1276</x:v>
      </x:c>
      <x:c r="L318" s="15" t="n">
        <x:v>0.7346</x:v>
      </x:c>
      <x:c r="M318" s="1" t="n">
        <x:v>4</x:v>
      </x:c>
      <x:c r="N318" s="1" t="str">
        <x:v>2025-2026</x:v>
      </x:c>
      <x:c r="O318" s="1" t="str">
        <x:v>2026-10-09</x:v>
      </x:c>
      <x:c r="P318" s="1" t="str">
        <x:v>Live</x:v>
      </x:c>
      <x:c r="Q318" s="1" t="str">
        <x:v>4961</x:v>
      </x:c>
      <x:c r="R318" s="1" t="str">
        <x:v>126515001</x:v>
      </x:c>
      <x:c r="S318" s="1"/>
      <x:c r="T318" s="1" t="str">
        <x:v>7440</x:v>
      </x:c>
      <x:c r="U318" s="1" t="str">
        <x:v>215-400-3880</x:v>
      </x:c>
      <x:c r="V318" s="1" t="str">
        <x:v>https://taylor.philasd.org/</x:v>
      </x:c>
      <x:c r="W318" s="1" t="str">
        <x:v>2026-2027</x:v>
      </x:c>
      <x:c r="X318" s="1" t="str">
        <x:v>2026-2027</x:v>
      </x:c>
      <x:c r="Y318" s="1" t="str">
        <x:v>1</x:v>
      </x:c>
      <x:c r="Z318" s="1" t="str">
        <x:v>1</x:v>
      </x:c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</x:row>
    <x:row r="319" ht="22" customHeight="1">
      <x:c r="A319" s="2" t="str">
        <x:v>8450</x:v>
      </x:c>
      <x:c r="B319" s="2" t="str">
        <x:v>YESPhilly</x:v>
      </x:c>
      <x:c r="C319" s="2" t="str">
        <x:v>Contracted</x:v>
      </x:c>
      <x:c r="D319" s="2" t="str">
        <x:v>No</x:v>
      </x:c>
      <x:c r="E319" s="2" t="str">
        <x:v>Transition/Overage School</x:v>
      </x:c>
      <x:c r="F319" s="2" t="str">
        <x:v>2709 N BROAD ST</x:v>
      </x:c>
      <x:c r="G319" s="2" t="str">
        <x:v>PHILADELPHIA</x:v>
      </x:c>
      <x:c r="H319" s="2" t="str">
        <x:v>19132</x:v>
      </x:c>
      <x:c r="I319" s="2" t="n">
        <x:v>39.9944643</x:v>
      </x:c>
      <x:c r="J319" s="2" t="n">
        <x:v>-75.1541276</x:v>
      </x:c>
      <x:c r="K319" s="2" t="n">
        <x:v>127</x:v>
      </x:c>
      <x:c r="L319" s="15"/>
      <x:c r="M319" s="1" t="n">
        <x:v>15</x:v>
      </x:c>
      <x:c r="N319" s="1" t="str">
        <x:v>2025-2026</x:v>
      </x:c>
      <x:c r="O319" s="1" t="str">
        <x:v>2026-10-09</x:v>
      </x:c>
      <x:c r="P319" s="1" t="str">
        <x:v>Live</x:v>
      </x:c>
      <x:c r="Q319" s="1" t="str">
        <x:v>9999</x:v>
      </x:c>
      <x:c r="R319" s="1" t="str">
        <x:v>126515001</x:v>
      </x:c>
      <x:c r="S319" s="1"/>
      <x:c r="T319" s="1" t="str">
        <x:v>7460</x:v>
      </x:c>
      <x:c r="U319" s="1" t="str">
        <x:v>215-400-3260</x:v>
      </x:c>
      <x:c r="V319" s="1" t="str">
        <x:v>https://ziegler.philasd.org/</x:v>
      </x:c>
      <x:c r="W319" s="1" t="str">
        <x:v>2026-2027</x:v>
      </x:c>
      <x:c r="X319" s="1" t="str">
        <x:v>2026-2027</x:v>
      </x:c>
      <x:c r="Y319" s="1" t="str">
        <x:v>1</x:v>
      </x:c>
      <x:c r="Z319" s="1" t="str">
        <x:v>1</x:v>
      </x:c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</x:row>
    <x:row r="320" ht="22" customHeight="1">
      <x:c r="A320" s="2" t="str">
        <x:v>8460</x:v>
      </x:c>
      <x:c r="B320" s="2" t="str">
        <x:v>Philadelphia Learning Academy West</x:v>
      </x:c>
      <x:c r="C320" s="2" t="str">
        <x:v>District</x:v>
      </x:c>
      <x:c r="D320" s="2" t="str">
        <x:v>Yes</x:v>
      </x:c>
      <x:c r="E320" s="2" t="str">
        <x:v>Transition/Overage School</x:v>
      </x:c>
      <x:c r="F320" s="2" t="str">
        <x:v>4300 WESTMINSTER AVE</x:v>
      </x:c>
      <x:c r="G320" s="2" t="str">
        <x:v>PHILADELPHIA</x:v>
      </x:c>
      <x:c r="H320" s="2" t="str">
        <x:v>19104</x:v>
      </x:c>
      <x:c r="I320" s="2" t="n">
        <x:v>39.96971371</x:v>
      </x:c>
      <x:c r="J320" s="2" t="n">
        <x:v>-75.21013521</x:v>
      </x:c>
      <x:c r="K320" s="2" t="n">
        <x:v>60</x:v>
      </x:c>
      <x:c r="L320" s="15" t="n">
        <x:v>0.8983</x:v>
      </x:c>
      <x:c r="M320" s="1" t="n">
        <x:v>11</x:v>
      </x:c>
      <x:c r="N320" s="1" t="str">
        <x:v>2025-2026</x:v>
      </x:c>
      <x:c r="O320" s="1" t="str">
        <x:v>2026-10-09</x:v>
      </x:c>
      <x:c r="P320" s="1" t="str">
        <x:v>Live</x:v>
      </x:c>
      <x:c r="Q320" s="1" t="str">
        <x:v>8386</x:v>
      </x:c>
      <x:c r="R320" s="1" t="str">
        <x:v>126515001</x:v>
      </x:c>
      <x:c r="S320" s="1"/>
      <x:c r="T320" s="1" t="str">
        <x:v>7470</x:v>
      </x:c>
      <x:c r="U320" s="1" t="str">
        <x:v>215-400-7240</x:v>
      </x:c>
      <x:c r="V320" s="1" t="str">
        <x:v>https://bridesburg.philasd.org/</x:v>
      </x:c>
      <x:c r="W320" s="1" t="str">
        <x:v>2026-2027</x:v>
      </x:c>
      <x:c r="X320" s="1" t="str">
        <x:v>2026-2027</x:v>
      </x:c>
      <x:c r="Y320" s="1" t="str">
        <x:v>1</x:v>
      </x:c>
      <x:c r="Z320" s="1" t="str">
        <x:v>1</x:v>
      </x:c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</x:row>
    <x:row r="321" ht="22" customHeight="1">
      <x:c r="A321" s="2" t="str">
        <x:v>8470</x:v>
      </x:c>
      <x:c r="B321" s="2" t="str">
        <x:v>Philadelphia Learning Academy North</x:v>
      </x:c>
      <x:c r="C321" s="2" t="str">
        <x:v>District</x:v>
      </x:c>
      <x:c r="D321" s="2" t="str">
        <x:v>Yes</x:v>
      </x:c>
      <x:c r="E321" s="2" t="str">
        <x:v>Transition/Overage School</x:v>
      </x:c>
      <x:c r="F321" s="2" t="str">
        <x:v>4224 N FRONT ST</x:v>
      </x:c>
      <x:c r="G321" s="2" t="str">
        <x:v>PHILADELPHIA</x:v>
      </x:c>
      <x:c r="H321" s="2" t="str">
        <x:v>19140</x:v>
      </x:c>
      <x:c r="I321" s="2" t="n">
        <x:v>40.01425525</x:v>
      </x:c>
      <x:c r="J321" s="2" t="n">
        <x:v>-75.12599679</x:v>
      </x:c>
      <x:c r="K321" s="2" t="n">
        <x:v>67</x:v>
      </x:c>
      <x:c r="L321" s="15" t="n">
        <x:v>0.9016</x:v>
      </x:c>
      <x:c r="M321" s="1" t="n">
        <x:v>10</x:v>
      </x:c>
      <x:c r="N321" s="1" t="str">
        <x:v>2025-2026</x:v>
      </x:c>
      <x:c r="O321" s="1" t="str">
        <x:v>2026-10-09</x:v>
      </x:c>
      <x:c r="P321" s="1" t="str">
        <x:v>Live</x:v>
      </x:c>
      <x:c r="Q321" s="1" t="str">
        <x:v>8385</x:v>
      </x:c>
      <x:c r="R321" s="1" t="str">
        <x:v>126515001</x:v>
      </x:c>
      <x:c r="S321" s="1"/>
      <x:c r="T321" s="1" t="str">
        <x:v>7490</x:v>
      </x:c>
      <x:c r="U321" s="1" t="str">
        <x:v>215-400-3690</x:v>
      </x:c>
      <x:c r="V321" s="1" t="str">
        <x:v>https://princehall.philasd.org/</x:v>
      </x:c>
      <x:c r="W321" s="1" t="str">
        <x:v>2026-2027</x:v>
      </x:c>
      <x:c r="X321" s="1" t="str">
        <x:v>2026-2027</x:v>
      </x:c>
      <x:c r="Y321" s="1" t="str">
        <x:v>1</x:v>
      </x:c>
      <x:c r="Z321" s="1" t="str">
        <x:v>1</x:v>
      </x:c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</x:row>
    <x:row r="322" ht="22" customHeight="1">
      <x:c r="A322" s="2" t="str">
        <x:v>8540</x:v>
      </x:c>
      <x:c r="B322" s="2" t="str">
        <x:v>Pennypack House School</x:v>
      </x:c>
      <x:c r="C322" s="2" t="str">
        <x:v>District</x:v>
      </x:c>
      <x:c r="D322" s="2" t="str">
        <x:v>Yes</x:v>
      </x:c>
      <x:c r="E322" s="2" t="str">
        <x:v>Transition/Overage School</x:v>
      </x:c>
      <x:c r="F322" s="2" t="str">
        <x:v>7901 STATE RD</x:v>
      </x:c>
      <x:c r="G322" s="2" t="str">
        <x:v>PHILADELPHIA</x:v>
      </x:c>
      <x:c r="H322" s="2" t="str">
        <x:v>19136</x:v>
      </x:c>
      <x:c r="I322" s="2" t="n">
        <x:v>40.032021</x:v>
      </x:c>
      <x:c r="J322" s="2" t="n">
        <x:v>-75.019689</x:v>
      </x:c>
      <x:c r="K322" s="2" t="n">
        <x:v>75</x:v>
      </x:c>
      <x:c r="L322" s="15"/>
      <x:c r="M322" s="1" t="n">
        <x:v>2</x:v>
      </x:c>
      <x:c r="N322" s="1" t="str">
        <x:v>2025-2026</x:v>
      </x:c>
      <x:c r="O322" s="1" t="str">
        <x:v>2026-10-09</x:v>
      </x:c>
      <x:c r="P322" s="1" t="str">
        <x:v>Live</x:v>
      </x:c>
      <x:c r="Q322" s="1" t="str">
        <x:v>9999</x:v>
      </x:c>
      <x:c r="R322" s="1" t="str">
        <x:v>126515001</x:v>
      </x:c>
      <x:c r="S322" s="1"/>
      <x:c r="T322" s="1" t="str">
        <x:v>7500</x:v>
      </x:c>
      <x:c r="U322" s="1" t="str">
        <x:v>215-400-3810</x:v>
      </x:c>
      <x:c r="V322" s="1" t="str">
        <x:v>https://fas.philasd.org/</x:v>
      </x:c>
      <x:c r="W322" s="1" t="str">
        <x:v>2026-2027</x:v>
      </x:c>
      <x:c r="X322" s="1" t="str">
        <x:v>2026-2027</x:v>
      </x:c>
      <x:c r="Y322" s="1" t="str">
        <x:v>1</x:v>
      </x:c>
      <x:c r="Z322" s="1" t="str">
        <x:v>1</x:v>
      </x:c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</x:row>
    <x:row r="323" ht="22" customHeight="1">
      <x:c r="A323" s="2" t="str">
        <x:v>8560</x:v>
      </x:c>
      <x:c r="B323" s="2" t="str">
        <x:v>The Workshop High School</x:v>
      </x:c>
      <x:c r="C323" s="2" t="str">
        <x:v>District</x:v>
      </x:c>
      <x:c r="D323" s="2" t="str">
        <x:v>Yes</x:v>
      </x:c>
      <x:c r="E323" s="2" t="str">
        <x:v>High</x:v>
      </x:c>
      <x:c r="F323" s="2" t="str">
        <x:v>221 S HANSON ST</x:v>
      </x:c>
      <x:c r="G323" s="2" t="str">
        <x:v>PHILADELPHIA</x:v>
      </x:c>
      <x:c r="H323" s="2" t="str">
        <x:v>19139</x:v>
      </x:c>
      <x:c r="I323" s="2" t="n">
        <x:v>39.95530589</x:v>
      </x:c>
      <x:c r="J323" s="2" t="n">
        <x:v>-75.21855329</x:v>
      </x:c>
      <x:c r="K323" s="2" t="n">
        <x:v>233</x:v>
      </x:c>
      <x:c r="L323" s="15" t="n">
        <x:v>0.8441</x:v>
      </x:c>
      <x:c r="M323" s="1" t="n">
        <x:v>11</x:v>
      </x:c>
      <x:c r="N323" s="1" t="str">
        <x:v>2025-2026</x:v>
      </x:c>
      <x:c r="O323" s="1" t="str">
        <x:v>2026-10-09</x:v>
      </x:c>
      <x:c r="P323" s="1" t="str">
        <x:v>Live</x:v>
      </x:c>
      <x:c r="Q323" s="1" t="str">
        <x:v>8328</x:v>
      </x:c>
      <x:c r="R323" s="1" t="str">
        <x:v>126515001</x:v>
      </x:c>
      <x:c r="S323" s="1"/>
      <x:c r="T323" s="1" t="str">
        <x:v>7510</x:v>
      </x:c>
      <x:c r="U323" s="1" t="str">
        <x:v>215-400-3890</x:v>
      </x:c>
      <x:c r="V323" s="1" t="str">
        <x:v>https://bethune.philasd.org/</x:v>
      </x:c>
      <x:c r="W323" s="1" t="str">
        <x:v>2026-2027</x:v>
      </x:c>
      <x:c r="X323" s="1" t="str">
        <x:v>2026-2027</x:v>
      </x:c>
      <x:c r="Y323" s="1" t="str">
        <x:v>1</x:v>
      </x:c>
      <x:c r="Z323" s="1" t="str">
        <x:v>1</x:v>
      </x:c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</x:row>
    <x:row r="324" ht="22" customHeight="1">
      <x:c r="A324" s="2" t="str">
        <x:v>8690</x:v>
      </x:c>
      <x:c r="B324" s="2" t="str">
        <x:v>Crossroads Accelerated Academy</x:v>
      </x:c>
      <x:c r="C324" s="2" t="str">
        <x:v>District</x:v>
      </x:c>
      <x:c r="D324" s="2" t="str">
        <x:v>No</x:v>
      </x:c>
      <x:c r="E324" s="2" t="str">
        <x:v>Transition/Overage School</x:v>
      </x:c>
      <x:c r="F324" s="2" t="str">
        <x:v>4300 WESTMINSTER AVE</x:v>
      </x:c>
      <x:c r="G324" s="2" t="str">
        <x:v>PHILADELPHIA</x:v>
      </x:c>
      <x:c r="H324" s="2" t="str">
        <x:v>19104</x:v>
      </x:c>
      <x:c r="I324" s="2" t="n">
        <x:v>39.96971371</x:v>
      </x:c>
      <x:c r="J324" s="2" t="n">
        <x:v>-75.21013521</x:v>
      </x:c>
      <x:c r="K324" s="2" t="n">
        <x:v>55</x:v>
      </x:c>
      <x:c r="L324" s="15"/>
      <x:c r="M324" s="1" t="n">
        <x:v>11</x:v>
      </x:c>
      <x:c r="N324" s="1" t="str">
        <x:v>2025-2026</x:v>
      </x:c>
      <x:c r="O324" s="1" t="str">
        <x:v>2026-10-09</x:v>
      </x:c>
      <x:c r="P324" s="1" t="str">
        <x:v>Live</x:v>
      </x:c>
      <x:c r="Q324" s="1" t="str">
        <x:v>9999</x:v>
      </x:c>
      <x:c r="R324" s="1" t="str">
        <x:v>126515001</x:v>
      </x:c>
      <x:c r="S324" s="1"/>
      <x:c r="T324" s="1" t="str">
        <x:v>7530</x:v>
      </x:c>
      <x:c r="U324" s="1" t="str">
        <x:v>215-400-3550</x:v>
      </x:c>
      <x:c r="V324" s="1" t="str">
        <x:v>https://rowen.philasd.org/</x:v>
      </x:c>
      <x:c r="W324" s="1" t="str">
        <x:v>2026-2027</x:v>
      </x:c>
      <x:c r="X324" s="1" t="str">
        <x:v>2026-2027</x:v>
      </x:c>
      <x:c r="Y324" s="1" t="str">
        <x:v>1</x:v>
      </x:c>
      <x:c r="Z324" s="1" t="str">
        <x:v>1</x:v>
      </x:c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</x:row>
    <x:row r="325" ht="22" customHeight="1">
      <x:c r="A325" s="2" t="str">
        <x:v>8770</x:v>
      </x:c>
      <x:c r="B325" s="2" t="str">
        <x:v>Hancock, John Demonstration School</x:v>
      </x:c>
      <x:c r="C325" s="2" t="str">
        <x:v>District</x:v>
      </x:c>
      <x:c r="D325" s="2" t="str">
        <x:v>Yes</x:v>
      </x:c>
      <x:c r="E325" s="2" t="str">
        <x:v>Elementary-Middle</x:v>
      </x:c>
      <x:c r="F325" s="2" t="str">
        <x:v>3700 MORRELL AVE</x:v>
      </x:c>
      <x:c r="G325" s="2" t="str">
        <x:v>PHILADELPHIA</x:v>
      </x:c>
      <x:c r="H325" s="2" t="str">
        <x:v>19114</x:v>
      </x:c>
      <x:c r="I325" s="2" t="n">
        <x:v>40.06774728</x:v>
      </x:c>
      <x:c r="J325" s="2" t="n">
        <x:v>-74.98842793</x:v>
      </x:c>
      <x:c r="K325" s="2" t="n">
        <x:v>869</x:v>
      </x:c>
      <x:c r="L325" s="15" t="n">
        <x:v>0.6716</x:v>
      </x:c>
      <x:c r="M325" s="1" t="n">
        <x:v>0</x:v>
      </x:c>
      <x:c r="N325" s="1" t="str">
        <x:v>2025-2026</x:v>
      </x:c>
      <x:c r="O325" s="1" t="str">
        <x:v>2026-10-09</x:v>
      </x:c>
      <x:c r="P325" s="1" t="str">
        <x:v>Live</x:v>
      </x:c>
      <x:c r="Q325" s="1" t="str">
        <x:v>5041</x:v>
      </x:c>
      <x:c r="R325" s="1" t="str">
        <x:v>126515001</x:v>
      </x:c>
      <x:c r="S325" s="1"/>
      <x:c r="T325" s="1" t="str">
        <x:v>7730</x:v>
      </x:c>
      <x:c r="U325" s="1" t="str">
        <x:v>215-400-3930</x:v>
      </x:c>
      <x:c r="V325" s="1" t="str">
        <x:v>https://clemente.philasd.org/</x:v>
      </x:c>
      <x:c r="W325" s="1" t="str">
        <x:v>2026-2027</x:v>
      </x:c>
      <x:c r="X325" s="1" t="str">
        <x:v>2026-2027</x:v>
      </x:c>
      <x:c r="Y325" s="1" t="str">
        <x:v>1</x:v>
      </x:c>
      <x:c r="Z325" s="1" t="str">
        <x:v>1</x:v>
      </x:c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</x:row>
    <x:row r="326" ht="22" customHeight="1">
      <x:c r="A326" s="2" t="str">
        <x:v>8780</x:v>
      </x:c>
      <x:c r="B326" s="2" t="str">
        <x:v>Philadelphia Virtual Academy</x:v>
      </x:c>
      <x:c r="C326" s="2" t="str">
        <x:v>District</x:v>
      </x:c>
      <x:c r="D326" s="2" t="str">
        <x:v>Yes</x:v>
      </x:c>
      <x:c r="E326" s="2" t="str">
        <x:v>Elementary-Middle-High</x:v>
      </x:c>
      <x:c r="F326" s="2" t="str">
        <x:v>440 N BROAD ST</x:v>
      </x:c>
      <x:c r="G326" s="2" t="str">
        <x:v>PHILADELPHIA</x:v>
      </x:c>
      <x:c r="H326" s="2" t="str">
        <x:v>19130</x:v>
      </x:c>
      <x:c r="I326" s="2" t="n">
        <x:v>39.96102159</x:v>
      </x:c>
      <x:c r="J326" s="2" t="n">
        <x:v>-75.16264405</x:v>
      </x:c>
      <x:c r="K326" s="2" t="n">
        <x:v>1174</x:v>
      </x:c>
      <x:c r="L326" s="15" t="n">
        <x:v>0</x:v>
      </x:c>
      <x:c r="M326" s="1" t="n">
        <x:v>10</x:v>
      </x:c>
      <x:c r="N326" s="1" t="str">
        <x:v>2025-2026</x:v>
      </x:c>
      <x:c r="O326" s="1" t="str">
        <x:v>2026-10-09</x:v>
      </x:c>
      <x:c r="P326" s="1" t="str">
        <x:v>Live</x:v>
      </x:c>
      <x:c r="Q326" s="1" t="str">
        <x:v>8298</x:v>
      </x:c>
      <x:c r="R326" s="1" t="str">
        <x:v>126515001</x:v>
      </x:c>
      <x:c r="S326" s="1"/>
      <x:c r="T326" s="1" t="str">
        <x:v>8010</x:v>
      </x:c>
      <x:c r="U326" s="1" t="str">
        <x:v>215-400-3300</x:v>
      </x:c>
      <x:c r="V326" s="1" t="str">
        <x:v>https://lincoln.philasd.org/</x:v>
      </x:c>
      <x:c r="W326" s="1" t="str">
        <x:v>2026-2027</x:v>
      </x:c>
      <x:c r="X326" s="1" t="str">
        <x:v>2026-2027</x:v>
      </x:c>
      <x:c r="Y326" s="1" t="str">
        <x:v>1</x:v>
      </x:c>
      <x:c r="Z326" s="1" t="str">
        <x:v>1</x:v>
      </x:c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</x:row>
    <x:row r="327" ht="22" customHeight="1">
      <x:c r="A327" s="2" t="str">
        <x:v>8860</x:v>
      </x:c>
      <x:c r="B327" s="2" t="str">
        <x:v>One Bright Ray - Mansion</x:v>
      </x:c>
      <x:c r="C327" s="2" t="str">
        <x:v>Contracted</x:v>
      </x:c>
      <x:c r="D327" s="2" t="str">
        <x:v>No</x:v>
      </x:c>
      <x:c r="E327" s="2" t="str">
        <x:v>Transition/Overage School</x:v>
      </x:c>
      <x:c r="F327" s="2" t="str">
        <x:v>3133 RIDGE AVE</x:v>
      </x:c>
      <x:c r="G327" s="2" t="str">
        <x:v>PHILADELPHIA</x:v>
      </x:c>
      <x:c r="H327" s="2" t="str">
        <x:v>19121</x:v>
      </x:c>
      <x:c r="I327" s="2" t="n">
        <x:v>39.99074371</x:v>
      </x:c>
      <x:c r="J327" s="2" t="n">
        <x:v>-75.18402464</x:v>
      </x:c>
      <x:c r="K327" s="2" t="n">
        <x:v>105</x:v>
      </x:c>
      <x:c r="L327" s="15"/>
      <x:c r="M327" s="1" t="n">
        <x:v>12</x:v>
      </x:c>
      <x:c r="N327" s="1" t="str">
        <x:v>2025-2026</x:v>
      </x:c>
      <x:c r="O327" s="1" t="str">
        <x:v>2026-10-09</x:v>
      </x:c>
      <x:c r="P327" s="1" t="str">
        <x:v>Live</x:v>
      </x:c>
      <x:c r="Q327" s="1" t="str">
        <x:v>9999</x:v>
      </x:c>
      <x:c r="R327" s="1" t="str">
        <x:v>126515001</x:v>
      </x:c>
      <x:c r="S327" s="1"/>
      <x:c r="T327" s="1" t="str">
        <x:v>8020</x:v>
      </x:c>
      <x:c r="U327" s="1" t="str">
        <x:v>215-400-3200</x:v>
      </x:c>
      <x:c r="V327" s="1" t="str">
        <x:v>https://nehs.philasd.org/</x:v>
      </x:c>
      <x:c r="W327" s="1" t="str">
        <x:v>2026-2027</x:v>
      </x:c>
      <x:c r="X327" s="1" t="str">
        <x:v>2026-2027</x:v>
      </x:c>
      <x:c r="Y327" s="1" t="str">
        <x:v>1</x:v>
      </x:c>
      <x:c r="Z327" s="1" t="str">
        <x:v>1</x:v>
      </x:c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</x:row>
    <x:row r="328" ht="22" customHeight="1">
      <x:c r="A328" s="2" t="str">
        <x:v>8890</x:v>
      </x:c>
      <x:c r="B328" s="2" t="str">
        <x:v>One Bright Ray - Simpson</x:v>
      </x:c>
      <x:c r="C328" s="2" t="str">
        <x:v>Contracted</x:v>
      </x:c>
      <x:c r="D328" s="2" t="str">
        <x:v>No</x:v>
      </x:c>
      <x:c r="E328" s="2" t="str">
        <x:v>Transition/Overage School</x:v>
      </x:c>
      <x:c r="F328" s="2" t="str">
        <x:v>1142 E ERIE AVE</x:v>
      </x:c>
      <x:c r="G328" s="2" t="str">
        <x:v>PHILADELPHIA</x:v>
      </x:c>
      <x:c r="H328" s="2" t="str">
        <x:v>19124</x:v>
      </x:c>
      <x:c r="I328" s="2" t="n">
        <x:v>40.00528</x:v>
      </x:c>
      <x:c r="J328" s="2" t="n">
        <x:v>-75.10560096</x:v>
      </x:c>
      <x:c r="K328" s="2" t="n">
        <x:v>226</x:v>
      </x:c>
      <x:c r="L328" s="15"/>
      <x:c r="M328" s="1" t="n">
        <x:v>7</x:v>
      </x:c>
      <x:c r="N328" s="1" t="str">
        <x:v>2025-2026</x:v>
      </x:c>
      <x:c r="O328" s="1" t="str">
        <x:v>2026-10-09</x:v>
      </x:c>
      <x:c r="P328" s="1" t="str">
        <x:v>Live</x:v>
      </x:c>
      <x:c r="Q328" s="1" t="str">
        <x:v>9999</x:v>
      </x:c>
      <x:c r="R328" s="1" t="str">
        <x:v>126515001</x:v>
      </x:c>
      <x:c r="S328" s="1"/>
      <x:c r="T328" s="1" t="str">
        <x:v>8030</x:v>
      </x:c>
      <x:c r="U328" s="1" t="str">
        <x:v>215-400-3100</x:v>
      </x:c>
      <x:c r="V328" s="1" t="str">
        <x:v>https://gwhs.philasd.org/</x:v>
      </x:c>
      <x:c r="W328" s="1" t="str">
        <x:v>2026-2027</x:v>
      </x:c>
      <x:c r="X328" s="1" t="str">
        <x:v>2026-2027</x:v>
      </x:c>
      <x:c r="Y328" s="1" t="str">
        <x:v>1</x:v>
      </x:c>
      <x:c r="Z328" s="1" t="str">
        <x:v>1</x:v>
      </x:c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</x:row>
    <x:row r="329" ht="22" customHeight="1">
      <x:c r="A329" s="2" t="str">
        <x:v>8891</x:v>
      </x:c>
      <x:c r="B329" s="2" t="str">
        <x:v>One Bright Ray - Simpson Evening</x:v>
      </x:c>
      <x:c r="C329" s="2" t="str">
        <x:v>Contracted</x:v>
      </x:c>
      <x:c r="D329" s="2" t="str">
        <x:v>No</x:v>
      </x:c>
      <x:c r="E329" s="2" t="str">
        <x:v>Transition/Overage School</x:v>
      </x:c>
      <x:c r="F329" s="2" t="str">
        <x:v>1142 E ERIE AVE</x:v>
      </x:c>
      <x:c r="G329" s="2" t="str">
        <x:v>PHILADELPHIA</x:v>
      </x:c>
      <x:c r="H329" s="2" t="str">
        <x:v>19124</x:v>
      </x:c>
      <x:c r="I329" s="2" t="n">
        <x:v>40.00526093</x:v>
      </x:c>
      <x:c r="J329" s="2" t="n">
        <x:v>-75.10560837</x:v>
      </x:c>
      <x:c r="K329" s="2" t="n">
        <x:v>131</x:v>
      </x:c>
      <x:c r="L329" s="15"/>
      <x:c r="M329" s="1" t="n">
        <x:v>7</x:v>
      </x:c>
      <x:c r="N329" s="1" t="str">
        <x:v>2025-2026</x:v>
      </x:c>
      <x:c r="O329" s="1" t="str">
        <x:v>2026-10-09</x:v>
      </x:c>
      <x:c r="P329" s="1" t="str">
        <x:v>Live</x:v>
      </x:c>
      <x:c r="Q329" s="1" t="str">
        <x:v>9999</x:v>
      </x:c>
      <x:c r="R329" s="1" t="str">
        <x:v>126515001</x:v>
      </x:c>
      <x:c r="S329" s="1"/>
      <x:c r="T329" s="1" t="str">
        <x:v>8040</x:v>
      </x:c>
      <x:c r="U329" s="1" t="str">
        <x:v>215-400-3030</x:v>
      </x:c>
      <x:c r="V329" s="1" t="str">
        <x:v>https://rush.philasd.org/</x:v>
      </x:c>
      <x:c r="W329" s="1" t="str">
        <x:v>2026-2027</x:v>
      </x:c>
      <x:c r="X329" s="1" t="str">
        <x:v>2026-2027</x:v>
      </x:c>
      <x:c r="Y329" s="1" t="str">
        <x:v>1</x:v>
      </x:c>
      <x:c r="Z329" s="1" t="str">
        <x:v>1</x:v>
      </x:c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</x:row>
    <x:row r="330" ht="22" customHeight="1">
      <x:c r="A330" s="2" t="str">
        <x:v>8900</x:v>
      </x:c>
      <x:c r="B330" s="2" t="str">
        <x:v>Re-Engagement Center</x:v>
      </x:c>
      <x:c r="C330" s="2" t="str">
        <x:v>District</x:v>
      </x:c>
      <x:c r="D330" s="2" t="str">
        <x:v>No</x:v>
      </x:c>
      <x:c r="E330" s="2" t="str">
        <x:v>Transition/Overage School</x:v>
      </x:c>
      <x:c r="F330" s="2" t="str">
        <x:v>440 N BROAD ST</x:v>
      </x:c>
      <x:c r="G330" s="2" t="str">
        <x:v>PHILADELPHIA</x:v>
      </x:c>
      <x:c r="H330" s="2" t="str">
        <x:v>19130</x:v>
      </x:c>
      <x:c r="I330" s="2" t="n">
        <x:v>39.96102159</x:v>
      </x:c>
      <x:c r="J330" s="2" t="n">
        <x:v>-75.16264405</x:v>
      </x:c>
      <x:c r="K330" s="2" t="n">
        <x:v>1</x:v>
      </x:c>
      <x:c r="L330" s="15"/>
      <x:c r="M330" s="1" t="n">
        <x:v>10</x:v>
      </x:c>
      <x:c r="N330" s="1" t="str">
        <x:v>2025-2026</x:v>
      </x:c>
      <x:c r="O330" s="1" t="str">
        <x:v>2026-10-09</x:v>
      </x:c>
      <x:c r="P330" s="1" t="str">
        <x:v>Live</x:v>
      </x:c>
      <x:c r="Q330" s="1" t="str">
        <x:v>9999</x:v>
      </x:c>
      <x:c r="R330" s="1" t="str">
        <x:v>126515001</x:v>
      </x:c>
      <x:c r="S330" s="1"/>
      <x:c r="T330" s="1" t="str">
        <x:v>8070</x:v>
      </x:c>
      <x:c r="U330" s="1" t="str">
        <x:v>215-567-2410</x:v>
      </x:c>
      <x:c r="V330" s="1" t="str">
        <x:v>https://oic-cadi.org/</x:v>
      </x:c>
      <x:c r="W330" s="1" t="str">
        <x:v>2026-2027</x:v>
      </x:c>
      <x:c r="X330" s="1" t="str">
        <x:v>2026-2027</x:v>
      </x:c>
      <x:c r="Y330" s="1" t="str">
        <x:v>0</x:v>
      </x:c>
      <x:c r="Z330" s="1" t="str">
        <x:v>0</x:v>
      </x:c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</x:row>
    <x:row r="331" ht="22" customHeight="1">
      <x:c r="A331" s="2"/>
      <x:c r="B331" s="2"/>
      <x:c r="C331" s="2"/>
      <x:c r="D331" s="2"/>
      <x:c r="E331" s="2"/>
      <x:c r="F331" s="2"/>
      <x:c r="G331" s="2"/>
      <x:c r="H331" s="2"/>
      <x:c r="I331" s="2"/>
      <x:c r="J331" s="2"/>
      <x:c r="K331" s="2"/>
      <x:c r="L331" s="15"/>
      <x:c r="M331" s="1"/>
      <x:c r="N331" s="1"/>
      <x:c r="O331" s="1"/>
      <x:c r="P331" s="1"/>
      <x:c r="Q331" s="1"/>
      <x:c r="R331" s="1"/>
      <x:c r="S331" s="1"/>
      <x:c r="T331" s="1" t="str">
        <x:v>8080</x:v>
      </x:c>
      <x:c r="U331" s="1" t="str">
        <x:v>215-684-5080</x:v>
      </x:c>
      <x:c r="V331" s="1" t="str">
        <x:v>https://sesischools.com/location/excel-academy-north/</x:v>
      </x:c>
      <x:c r="W331" s="1" t="str">
        <x:v>2026-2027</x:v>
      </x:c>
      <x:c r="X331" s="1" t="str">
        <x:v>2026-2027</x:v>
      </x:c>
      <x:c r="Y331" s="1" t="str">
        <x:v>0</x:v>
      </x:c>
      <x:c r="Z331" s="1" t="str">
        <x:v>0</x:v>
      </x:c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</x:row>
    <x:row r="332" ht="22" customHeight="1">
      <x:c r="A332" s="2"/>
      <x:c r="B332" s="2"/>
      <x:c r="C332" s="2"/>
      <x:c r="D332" s="2"/>
      <x:c r="E332" s="2"/>
      <x:c r="F332" s="2"/>
      <x:c r="G332" s="2"/>
      <x:c r="H332" s="2"/>
      <x:c r="I332" s="2"/>
      <x:c r="J332" s="2"/>
      <x:c r="K332" s="2"/>
      <x:c r="L332" s="15"/>
      <x:c r="M332" s="1"/>
      <x:c r="N332" s="1"/>
      <x:c r="O332" s="1"/>
      <x:c r="P332" s="1"/>
      <x:c r="Q332" s="1"/>
      <x:c r="R332" s="1"/>
      <x:c r="S332" s="1"/>
      <x:c r="T332" s="1" t="str">
        <x:v>8090</x:v>
      </x:c>
      <x:c r="U332" s="1" t="str">
        <x:v>215-400-3140</x:v>
      </x:c>
      <x:c r="V332" s="1" t="str">
        <x:v>https://swenson.philasd.org/</x:v>
      </x:c>
      <x:c r="W332" s="1" t="str">
        <x:v>2026-2027</x:v>
      </x:c>
      <x:c r="X332" s="1" t="str">
        <x:v>2026-2027</x:v>
      </x:c>
      <x:c r="Y332" s="1" t="str">
        <x:v>1</x:v>
      </x:c>
      <x:c r="Z332" s="1" t="str">
        <x:v>1</x:v>
      </x:c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</x:row>
    <x:row r="333" ht="22" customHeight="1">
      <x:c r="A333" s="2"/>
      <x:c r="B333" s="2"/>
      <x:c r="C333" s="2"/>
      <x:c r="D333" s="2"/>
      <x:c r="E333" s="2"/>
      <x:c r="F333" s="2"/>
      <x:c r="G333" s="2"/>
      <x:c r="H333" s="2"/>
      <x:c r="I333" s="2"/>
      <x:c r="J333" s="2"/>
      <x:c r="K333" s="2"/>
      <x:c r="L333" s="15"/>
      <x:c r="M333" s="1"/>
      <x:c r="N333" s="1"/>
      <x:c r="O333" s="1"/>
      <x:c r="P333" s="1"/>
      <x:c r="Q333" s="1"/>
      <x:c r="R333" s="1"/>
      <x:c r="S333" s="1"/>
      <x:c r="T333" s="1" t="str">
        <x:v>8100</x:v>
      </x:c>
      <x:c r="U333" s="1" t="str">
        <x:v>215-751-8540</x:v>
      </x:c>
      <x:c r="V333" s="1" t="str">
        <x:v>https://www.ccp.edu/degrees-programs/all-academic-offerings/middle-and-high-school-student-programs/gateway-college</x:v>
      </x:c>
      <x:c r="W333" s="1" t="str">
        <x:v>2026-2027</x:v>
      </x:c>
      <x:c r="X333" s="1" t="str">
        <x:v>2026-2027</x:v>
      </x:c>
      <x:c r="Y333" s="1" t="str">
        <x:v>0</x:v>
      </x:c>
      <x:c r="Z333" s="1" t="str">
        <x:v>0</x:v>
      </x:c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</x:row>
    <x:row r="334" ht="22" customHeight="1">
      <x:c r="A334" s="2"/>
      <x:c r="B334" s="2"/>
      <x:c r="C334" s="2"/>
      <x:c r="D334" s="2"/>
      <x:c r="E334" s="2"/>
      <x:c r="F334" s="2"/>
      <x:c r="G334" s="2"/>
      <x:c r="H334" s="2"/>
      <x:c r="I334" s="2"/>
      <x:c r="J334" s="2"/>
      <x:c r="K334" s="2"/>
      <x:c r="L334" s="15"/>
      <x:c r="M334" s="1"/>
      <x:c r="N334" s="1"/>
      <x:c r="O334" s="1"/>
      <x:c r="P334" s="1"/>
      <x:c r="Q334" s="1"/>
      <x:c r="R334" s="1"/>
      <x:c r="S334" s="1"/>
      <x:c r="T334" s="1" t="str">
        <x:v>8120</x:v>
      </x:c>
      <x:c r="U334" s="1" t="str">
        <x:v>215-400-3190</x:v>
      </x:c>
      <x:c r="V334" s="1" t="str">
        <x:v>https://castorgardens.philasd.org</x:v>
      </x:c>
      <x:c r="W334" s="1" t="str">
        <x:v>2026-2027</x:v>
      </x:c>
      <x:c r="X334" s="1" t="str">
        <x:v>2026-2027</x:v>
      </x:c>
      <x:c r="Y334" s="1" t="str">
        <x:v>1</x:v>
      </x:c>
      <x:c r="Z334" s="1" t="str">
        <x:v>1</x:v>
      </x:c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</x:row>
    <x:row r="335" ht="22" customHeight="1">
      <x:c r="A335" s="2"/>
      <x:c r="B335" s="2"/>
      <x:c r="C335" s="2"/>
      <x:c r="D335" s="2"/>
      <x:c r="E335" s="2"/>
      <x:c r="F335" s="2"/>
      <x:c r="G335" s="2"/>
      <x:c r="H335" s="2"/>
      <x:c r="I335" s="2"/>
      <x:c r="J335" s="2"/>
      <x:c r="K335" s="2"/>
      <x:c r="L335" s="15"/>
      <x:c r="M335" s="1"/>
      <x:c r="N335" s="1"/>
      <x:c r="O335" s="1"/>
      <x:c r="P335" s="1"/>
      <x:c r="Q335" s="1"/>
      <x:c r="R335" s="1"/>
      <x:c r="S335" s="1"/>
      <x:c r="T335" s="1" t="str">
        <x:v>8130</x:v>
      </x:c>
      <x:c r="U335" s="1" t="str">
        <x:v>215-400-8350</x:v>
      </x:c>
      <x:c r="V335" s="1" t="str">
        <x:v>https://ncpa.philasd.org/</x:v>
      </x:c>
      <x:c r="W335" s="1" t="str">
        <x:v>2026-2027</x:v>
      </x:c>
      <x:c r="X335" s="1" t="str">
        <x:v>2026-2027</x:v>
      </x:c>
      <x:c r="Y335" s="1" t="str">
        <x:v>1</x:v>
      </x:c>
      <x:c r="Z335" s="1" t="str">
        <x:v>1</x:v>
      </x:c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</x:row>
    <x:row r="336" ht="22" customHeight="1">
      <x:c r="A336" s="2"/>
      <x:c r="B336" s="2"/>
      <x:c r="C336" s="2"/>
      <x:c r="D336" s="2"/>
      <x:c r="E336" s="2"/>
      <x:c r="F336" s="2"/>
      <x:c r="G336" s="2"/>
      <x:c r="H336" s="2"/>
      <x:c r="I336" s="2"/>
      <x:c r="J336" s="2"/>
      <x:c r="K336" s="2"/>
      <x:c r="L336" s="15"/>
      <x:c r="M336" s="1"/>
      <x:c r="N336" s="1"/>
      <x:c r="O336" s="1"/>
      <x:c r="P336" s="1"/>
      <x:c r="Q336" s="1"/>
      <x:c r="R336" s="1"/>
      <x:c r="S336" s="1"/>
      <x:c r="T336" s="1" t="str">
        <x:v>8160</x:v>
      </x:c>
      <x:c r="U336" s="1" t="str">
        <x:v>215-400-3090</x:v>
      </x:c>
      <x:c r="V336" s="1" t="str">
        <x:v>https://baldi.philasd.org/</x:v>
      </x:c>
      <x:c r="W336" s="1" t="str">
        <x:v>2026-2027</x:v>
      </x:c>
      <x:c r="X336" s="1" t="str">
        <x:v>2026-2027</x:v>
      </x:c>
      <x:c r="Y336" s="1" t="str">
        <x:v>1</x:v>
      </x:c>
      <x:c r="Z336" s="1" t="str">
        <x:v>1</x:v>
      </x:c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</x:row>
    <x:row r="337" ht="22" customHeight="1">
      <x:c r="A337" s="2"/>
      <x:c r="B337" s="2"/>
      <x:c r="C337" s="2"/>
      <x:c r="D337" s="2"/>
      <x:c r="E337" s="2"/>
      <x:c r="F337" s="2"/>
      <x:c r="G337" s="2"/>
      <x:c r="H337" s="2"/>
      <x:c r="I337" s="2"/>
      <x:c r="J337" s="2"/>
      <x:c r="K337" s="2"/>
      <x:c r="L337" s="15"/>
      <x:c r="M337" s="1"/>
      <x:c r="N337" s="1"/>
      <x:c r="O337" s="1"/>
      <x:c r="P337" s="1"/>
      <x:c r="Q337" s="1"/>
      <x:c r="R337" s="1"/>
      <x:c r="S337" s="1"/>
      <x:c r="T337" s="1" t="str">
        <x:v>8190</x:v>
      </x:c>
      <x:c r="U337" s="1" t="str">
        <x:v>215-423-1776</x:v>
      </x:c>
      <x:c r="V337" s="1" t="str">
        <x:v>https://www.onebrightraycommunity.org/</x:v>
      </x:c>
      <x:c r="W337" s="1" t="str">
        <x:v>2026-2027</x:v>
      </x:c>
      <x:c r="X337" s="1" t="str">
        <x:v>2026-2027</x:v>
      </x:c>
      <x:c r="Y337" s="1" t="str">
        <x:v>0</x:v>
      </x:c>
      <x:c r="Z337" s="1" t="str">
        <x:v>0</x:v>
      </x:c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</x:row>
    <x:row r="338" ht="22" customHeight="1">
      <x:c r="A338" s="2"/>
      <x:c r="B338" s="2"/>
      <x:c r="C338" s="2"/>
      <x:c r="D338" s="2"/>
      <x:c r="E338" s="2"/>
      <x:c r="F338" s="2"/>
      <x:c r="G338" s="2"/>
      <x:c r="H338" s="2"/>
      <x:c r="I338" s="2"/>
      <x:c r="J338" s="2"/>
      <x:c r="K338" s="2"/>
      <x:c r="L338" s="15"/>
      <x:c r="M338" s="1"/>
      <x:c r="N338" s="1"/>
      <x:c r="O338" s="1"/>
      <x:c r="P338" s="1"/>
      <x:c r="Q338" s="1"/>
      <x:c r="R338" s="1"/>
      <x:c r="S338" s="1"/>
      <x:c r="T338" s="1" t="str">
        <x:v>8200</x:v>
      </x:c>
      <x:c r="U338" s="1" t="str">
        <x:v>215-400-3270</x:v>
      </x:c>
      <x:c r="V338" s="1" t="str">
        <x:v>https://ethanallen.philasd.org/</x:v>
      </x:c>
      <x:c r="W338" s="1" t="str">
        <x:v>2026-2027</x:v>
      </x:c>
      <x:c r="X338" s="1" t="str">
        <x:v>2026-2027</x:v>
      </x:c>
      <x:c r="Y338" s="1" t="str">
        <x:v>1</x:v>
      </x:c>
      <x:c r="Z338" s="1" t="str">
        <x:v>1</x:v>
      </x:c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</x:row>
    <x:row r="339" ht="22" customHeight="1">
      <x:c r="A339" s="2"/>
      <x:c r="B339" s="2"/>
      <x:c r="C339" s="2"/>
      <x:c r="D339" s="2"/>
      <x:c r="E339" s="2"/>
      <x:c r="F339" s="2"/>
      <x:c r="G339" s="2"/>
      <x:c r="H339" s="2"/>
      <x:c r="I339" s="2"/>
      <x:c r="J339" s="2"/>
      <x:c r="K339" s="2"/>
      <x:c r="L339" s="15"/>
      <x:c r="M339" s="1"/>
      <x:c r="N339" s="1"/>
      <x:c r="O339" s="1"/>
      <x:c r="P339" s="1"/>
      <x:c r="Q339" s="1"/>
      <x:c r="R339" s="1"/>
      <x:c r="S339" s="1"/>
      <x:c r="T339" s="1" t="str">
        <x:v>8210</x:v>
      </x:c>
      <x:c r="U339" s="1" t="str">
        <x:v>215-400-3320</x:v>
      </x:c>
      <x:c r="V339" s="1" t="str">
        <x:v>https://jhbrown.philasd.org/</x:v>
      </x:c>
      <x:c r="W339" s="1" t="str">
        <x:v>2026-2027</x:v>
      </x:c>
      <x:c r="X339" s="1" t="str">
        <x:v>2026-2027</x:v>
      </x:c>
      <x:c r="Y339" s="1" t="str">
        <x:v>1</x:v>
      </x:c>
      <x:c r="Z339" s="1" t="str">
        <x:v>1</x:v>
      </x:c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</x:row>
    <x:row r="340" ht="22" customHeight="1">
      <x:c r="A340" s="2"/>
      <x:c r="B340" s="2"/>
      <x:c r="C340" s="2"/>
      <x:c r="D340" s="2"/>
      <x:c r="E340" s="2"/>
      <x:c r="F340" s="2"/>
      <x:c r="G340" s="2"/>
      <x:c r="H340" s="2"/>
      <x:c r="I340" s="2"/>
      <x:c r="J340" s="2"/>
      <x:c r="K340" s="2"/>
      <x:c r="L340" s="15"/>
      <x:c r="M340" s="1"/>
      <x:c r="N340" s="1"/>
      <x:c r="O340" s="1"/>
      <x:c r="P340" s="1"/>
      <x:c r="Q340" s="1"/>
      <x:c r="R340" s="1"/>
      <x:c r="S340" s="1"/>
      <x:c r="T340" s="1" t="str">
        <x:v>8230</x:v>
      </x:c>
      <x:c r="U340" s="1" t="str">
        <x:v>215-400-3160</x:v>
      </x:c>
      <x:c r="V340" s="1" t="str">
        <x:v>https://crossan.philasd.org/</x:v>
      </x:c>
      <x:c r="W340" s="1" t="str">
        <x:v>2026-2027</x:v>
      </x:c>
      <x:c r="X340" s="1" t="str">
        <x:v>2026-2027</x:v>
      </x:c>
      <x:c r="Y340" s="1" t="str">
        <x:v>1</x:v>
      </x:c>
      <x:c r="Z340" s="1" t="str">
        <x:v>1</x:v>
      </x:c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</x:row>
    <x:row r="341" ht="22" customHeight="1">
      <x:c r="A341" s="2"/>
      <x:c r="B341" s="2"/>
      <x:c r="C341" s="2"/>
      <x:c r="D341" s="2"/>
      <x:c r="E341" s="2"/>
      <x:c r="F341" s="2"/>
      <x:c r="G341" s="2"/>
      <x:c r="H341" s="2"/>
      <x:c r="I341" s="2"/>
      <x:c r="J341" s="2"/>
      <x:c r="K341" s="2"/>
      <x:c r="L341" s="15"/>
      <x:c r="M341" s="1"/>
      <x:c r="N341" s="1"/>
      <x:c r="O341" s="1"/>
      <x:c r="P341" s="1"/>
      <x:c r="Q341" s="1"/>
      <x:c r="R341" s="1"/>
      <x:c r="S341" s="1"/>
      <x:c r="T341" s="1" t="str">
        <x:v>8240</x:v>
      </x:c>
      <x:c r="U341" s="1" t="str">
        <x:v>215-400-3350</x:v>
      </x:c>
      <x:c r="V341" s="1" t="str">
        <x:v>https://disston.philasd.org/</x:v>
      </x:c>
      <x:c r="W341" s="1" t="str">
        <x:v>2026-2027</x:v>
      </x:c>
      <x:c r="X341" s="1" t="str">
        <x:v>2026-2027</x:v>
      </x:c>
      <x:c r="Y341" s="1" t="str">
        <x:v>1</x:v>
      </x:c>
      <x:c r="Z341" s="1" t="str">
        <x:v>1</x:v>
      </x:c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</x:row>
    <x:row r="342" ht="22" customHeight="1">
      <x:c r="A342" s="2"/>
      <x:c r="B342" s="2"/>
      <x:c r="C342" s="2"/>
      <x:c r="D342" s="2"/>
      <x:c r="E342" s="2"/>
      <x:c r="F342" s="2"/>
      <x:c r="G342" s="2"/>
      <x:c r="H342" s="2"/>
      <x:c r="I342" s="2"/>
      <x:c r="J342" s="2"/>
      <x:c r="K342" s="2"/>
      <x:c r="L342" s="15"/>
      <x:c r="M342" s="1"/>
      <x:c r="N342" s="1"/>
      <x:c r="O342" s="1"/>
      <x:c r="P342" s="1"/>
      <x:c r="Q342" s="1"/>
      <x:c r="R342" s="1"/>
      <x:c r="S342" s="1"/>
      <x:c r="T342" s="1" t="str">
        <x:v>8250</x:v>
      </x:c>
      <x:c r="U342" s="1" t="str">
        <x:v>215-400-3330</x:v>
      </x:c>
      <x:c r="V342" s="1" t="str">
        <x:v>https://forrest.philasd.org/</x:v>
      </x:c>
      <x:c r="W342" s="1" t="str">
        <x:v>2026-2027</x:v>
      </x:c>
      <x:c r="X342" s="1" t="str">
        <x:v>2026-2027</x:v>
      </x:c>
      <x:c r="Y342" s="1" t="str">
        <x:v>1</x:v>
      </x:c>
      <x:c r="Z342" s="1" t="str">
        <x:v>1</x:v>
      </x:c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</x:row>
    <x:row r="343" ht="22" customHeight="1">
      <x:c r="A343" s="2"/>
      <x:c r="B343" s="2"/>
      <x:c r="C343" s="2"/>
      <x:c r="D343" s="2"/>
      <x:c r="E343" s="2"/>
      <x:c r="F343" s="2"/>
      <x:c r="G343" s="2"/>
      <x:c r="H343" s="2"/>
      <x:c r="I343" s="2"/>
      <x:c r="J343" s="2"/>
      <x:c r="K343" s="2"/>
      <x:c r="L343" s="15"/>
      <x:c r="M343" s="1"/>
      <x:c r="N343" s="1"/>
      <x:c r="O343" s="1"/>
      <x:c r="P343" s="1"/>
      <x:c r="Q343" s="1"/>
      <x:c r="R343" s="1"/>
      <x:c r="S343" s="1"/>
      <x:c r="T343" s="1" t="str">
        <x:v>8260</x:v>
      </x:c>
      <x:c r="U343" s="1" t="str">
        <x:v>215-400-3170</x:v>
      </x:c>
      <x:c r="V343" s="1" t="str">
        <x:v>https://foxchase.philasd.org/</x:v>
      </x:c>
      <x:c r="W343" s="1" t="str">
        <x:v>2026-2027</x:v>
      </x:c>
      <x:c r="X343" s="1" t="str">
        <x:v>2026-2027</x:v>
      </x:c>
      <x:c r="Y343" s="1" t="str">
        <x:v>1</x:v>
      </x:c>
      <x:c r="Z343" s="1" t="str">
        <x:v>1</x:v>
      </x:c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</x:row>
    <x:row r="344" ht="22" customHeight="1">
      <x:c r="A344" s="2"/>
      <x:c r="B344" s="2"/>
      <x:c r="C344" s="2"/>
      <x:c r="D344" s="2"/>
      <x:c r="E344" s="2"/>
      <x:c r="F344" s="2"/>
      <x:c r="G344" s="2"/>
      <x:c r="H344" s="2"/>
      <x:c r="I344" s="2"/>
      <x:c r="J344" s="2"/>
      <x:c r="K344" s="2"/>
      <x:c r="L344" s="15"/>
      <x:c r="M344" s="1"/>
      <x:c r="N344" s="1"/>
      <x:c r="O344" s="1"/>
      <x:c r="P344" s="1"/>
      <x:c r="Q344" s="1"/>
      <x:c r="R344" s="1"/>
      <x:c r="S344" s="1"/>
      <x:c r="T344" s="1" t="str">
        <x:v>8270</x:v>
      </x:c>
      <x:c r="U344" s="1" t="str">
        <x:v>215-400-3130</x:v>
      </x:c>
      <x:c r="V344" s="1" t="str">
        <x:v>https://holme.philasd.org/</x:v>
      </x:c>
      <x:c r="W344" s="1" t="str">
        <x:v>2026-2027</x:v>
      </x:c>
      <x:c r="X344" s="1" t="str">
        <x:v>2026-2027</x:v>
      </x:c>
      <x:c r="Y344" s="1" t="str">
        <x:v>1</x:v>
      </x:c>
      <x:c r="Z344" s="1" t="str">
        <x:v>1</x:v>
      </x:c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</x:row>
    <x:row r="345" ht="22" customHeight="1">
      <x:c r="A345" s="2"/>
      <x:c r="B345" s="2"/>
      <x:c r="C345" s="2"/>
      <x:c r="D345" s="2"/>
      <x:c r="E345" s="2"/>
      <x:c r="F345" s="2"/>
      <x:c r="G345" s="2"/>
      <x:c r="H345" s="2"/>
      <x:c r="I345" s="2"/>
      <x:c r="J345" s="2"/>
      <x:c r="K345" s="2"/>
      <x:c r="L345" s="15"/>
      <x:c r="M345" s="1"/>
      <x:c r="N345" s="1"/>
      <x:c r="O345" s="1"/>
      <x:c r="P345" s="1"/>
      <x:c r="Q345" s="1"/>
      <x:c r="R345" s="1"/>
      <x:c r="S345" s="1"/>
      <x:c r="T345" s="1" t="str">
        <x:v>8300</x:v>
      </x:c>
      <x:c r="U345" s="1" t="str">
        <x:v>215-400-3280</x:v>
      </x:c>
      <x:c r="V345" s="1" t="str">
        <x:v>https://mayfair.philasd.org/</x:v>
      </x:c>
      <x:c r="W345" s="1" t="str">
        <x:v>2026-2027</x:v>
      </x:c>
      <x:c r="X345" s="1" t="str">
        <x:v>2026-2027</x:v>
      </x:c>
      <x:c r="Y345" s="1" t="str">
        <x:v>1</x:v>
      </x:c>
      <x:c r="Z345" s="1" t="str">
        <x:v>1</x:v>
      </x:c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</x:row>
    <x:row r="346" ht="22" customHeight="1">
      <x:c r="A346" s="2"/>
      <x:c r="B346" s="2"/>
      <x:c r="C346" s="2"/>
      <x:c r="D346" s="2"/>
      <x:c r="E346" s="2"/>
      <x:c r="F346" s="2"/>
      <x:c r="G346" s="2"/>
      <x:c r="H346" s="2"/>
      <x:c r="I346" s="2"/>
      <x:c r="J346" s="2"/>
      <x:c r="K346" s="2"/>
      <x:c r="L346" s="15"/>
      <x:c r="M346" s="1"/>
      <x:c r="N346" s="1"/>
      <x:c r="O346" s="1"/>
      <x:c r="P346" s="1"/>
      <x:c r="Q346" s="1"/>
      <x:c r="R346" s="1"/>
      <x:c r="S346" s="1"/>
      <x:c r="T346" s="1" t="str">
        <x:v>8310</x:v>
      </x:c>
      <x:c r="U346" s="1" t="str">
        <x:v>215-400-3180</x:v>
      </x:c>
      <x:c r="V346" s="1" t="str">
        <x:v>https://moore.philasd.org/</x:v>
      </x:c>
      <x:c r="W346" s="1" t="str">
        <x:v>2026-2027</x:v>
      </x:c>
      <x:c r="X346" s="1" t="str">
        <x:v>2026-2027</x:v>
      </x:c>
      <x:c r="Y346" s="1" t="str">
        <x:v>1</x:v>
      </x:c>
      <x:c r="Z346" s="1" t="str">
        <x:v>1</x:v>
      </x:c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</x:row>
    <x:row r="347" ht="22" customHeight="1">
      <x:c r="A347" s="2"/>
      <x:c r="B347" s="2"/>
      <x:c r="C347" s="2"/>
      <x:c r="D347" s="2"/>
      <x:c r="E347" s="2"/>
      <x:c r="F347" s="2"/>
      <x:c r="G347" s="2"/>
      <x:c r="H347" s="2"/>
      <x:c r="I347" s="2"/>
      <x:c r="J347" s="2"/>
      <x:c r="K347" s="2"/>
      <x:c r="L347" s="15"/>
      <x:c r="M347" s="1"/>
      <x:c r="N347" s="1"/>
      <x:c r="O347" s="1"/>
      <x:c r="P347" s="1"/>
      <x:c r="Q347" s="1"/>
      <x:c r="R347" s="1"/>
      <x:c r="S347" s="1"/>
      <x:c r="T347" s="1" t="str">
        <x:v>8340</x:v>
      </x:c>
      <x:c r="U347" s="1" t="str">
        <x:v>215-400-3250</x:v>
      </x:c>
      <x:c r="V347" s="1" t="str">
        <x:v>https://soliscohen.philasd.org/</x:v>
      </x:c>
      <x:c r="W347" s="1" t="str">
        <x:v>2026-2027</x:v>
      </x:c>
      <x:c r="X347" s="1" t="str">
        <x:v>2026-2027</x:v>
      </x:c>
      <x:c r="Y347" s="1" t="str">
        <x:v>1</x:v>
      </x:c>
      <x:c r="Z347" s="1" t="str">
        <x:v>1</x:v>
      </x:c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</x:row>
    <x:row r="348" ht="22" customHeight="1">
      <x:c r="A348" s="2"/>
      <x:c r="B348" s="2"/>
      <x:c r="C348" s="2"/>
      <x:c r="D348" s="2"/>
      <x:c r="E348" s="2"/>
      <x:c r="F348" s="2"/>
      <x:c r="G348" s="2"/>
      <x:c r="H348" s="2"/>
      <x:c r="I348" s="2"/>
      <x:c r="J348" s="2"/>
      <x:c r="K348" s="2"/>
      <x:c r="L348" s="15"/>
      <x:c r="M348" s="1"/>
      <x:c r="N348" s="1"/>
      <x:c r="O348" s="1"/>
      <x:c r="P348" s="1"/>
      <x:c r="Q348" s="1"/>
      <x:c r="R348" s="1"/>
      <x:c r="S348" s="1"/>
      <x:c r="T348" s="1" t="str">
        <x:v>8350</x:v>
      </x:c>
      <x:c r="U348" s="1" t="str">
        <x:v>215-400-3290</x:v>
      </x:c>
      <x:c r="V348" s="1" t="str">
        <x:v>https://spruance.philasd.org/</x:v>
      </x:c>
      <x:c r="W348" s="1" t="str">
        <x:v>2026-2027</x:v>
      </x:c>
      <x:c r="X348" s="1" t="str">
        <x:v>2026-2027</x:v>
      </x:c>
      <x:c r="Y348" s="1" t="str">
        <x:v>1</x:v>
      </x:c>
      <x:c r="Z348" s="1" t="str">
        <x:v>1</x:v>
      </x:c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</x:row>
    <x:row r="349" ht="22" customHeight="1">
      <x:c r="A349" s="2"/>
      <x:c r="B349" s="2"/>
      <x:c r="C349" s="2"/>
      <x:c r="D349" s="2"/>
      <x:c r="E349" s="2"/>
      <x:c r="F349" s="2"/>
      <x:c r="G349" s="2"/>
      <x:c r="H349" s="2"/>
      <x:c r="I349" s="2"/>
      <x:c r="J349" s="2"/>
      <x:c r="K349" s="2"/>
      <x:c r="L349" s="15"/>
      <x:c r="M349" s="1"/>
      <x:c r="N349" s="1"/>
      <x:c r="O349" s="1"/>
      <x:c r="P349" s="1"/>
      <x:c r="Q349" s="1"/>
      <x:c r="R349" s="1"/>
      <x:c r="S349" s="1"/>
      <x:c r="T349" s="1" t="str">
        <x:v>8360</x:v>
      </x:c>
      <x:c r="U349" s="1" t="str">
        <x:v>215-400-3220</x:v>
      </x:c>
      <x:c r="V349" s="1" t="str">
        <x:v>https://rhawnhurst.philasd.org/</x:v>
      </x:c>
      <x:c r="W349" s="1" t="str">
        <x:v>2026-2027</x:v>
      </x:c>
      <x:c r="X349" s="1" t="str">
        <x:v>2026-2027</x:v>
      </x:c>
      <x:c r="Y349" s="1" t="str">
        <x:v>1</x:v>
      </x:c>
      <x:c r="Z349" s="1" t="str">
        <x:v>1</x:v>
      </x:c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</x:row>
    <x:row r="350" ht="22" customHeight="1">
      <x:c r="A350" s="2"/>
      <x:c r="B350" s="2"/>
      <x:c r="C350" s="2"/>
      <x:c r="D350" s="2"/>
      <x:c r="E350" s="2"/>
      <x:c r="F350" s="2"/>
      <x:c r="G350" s="2"/>
      <x:c r="H350" s="2"/>
      <x:c r="I350" s="2"/>
      <x:c r="J350" s="2"/>
      <x:c r="K350" s="2"/>
      <x:c r="L350" s="15"/>
      <x:c r="M350" s="1"/>
      <x:c r="N350" s="1"/>
      <x:c r="O350" s="1"/>
      <x:c r="P350" s="1"/>
      <x:c r="Q350" s="1"/>
      <x:c r="R350" s="1"/>
      <x:c r="S350" s="1"/>
      <x:c r="T350" s="1" t="str">
        <x:v>8370</x:v>
      </x:c>
      <x:c r="U350" s="1" t="str">
        <x:v>215-400-3010</x:v>
      </x:c>
      <x:c r="V350" s="1" t="str">
        <x:v>https://comly.philasd.org/</x:v>
      </x:c>
      <x:c r="W350" s="1" t="str">
        <x:v>2026-2027</x:v>
      </x:c>
      <x:c r="X350" s="1" t="str">
        <x:v>2026-2027</x:v>
      </x:c>
      <x:c r="Y350" s="1" t="str">
        <x:v>1</x:v>
      </x:c>
      <x:c r="Z350" s="1" t="str">
        <x:v>1</x:v>
      </x:c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</x:row>
    <x:row r="351" ht="22" customHeight="1">
      <x:c r="A351" s="2"/>
      <x:c r="B351" s="2"/>
      <x:c r="C351" s="2"/>
      <x:c r="D351" s="2"/>
      <x:c r="E351" s="2"/>
      <x:c r="F351" s="2"/>
      <x:c r="G351" s="2"/>
      <x:c r="H351" s="2"/>
      <x:c r="I351" s="2"/>
      <x:c r="J351" s="2"/>
      <x:c r="K351" s="2"/>
      <x:c r="L351" s="15"/>
      <x:c r="M351" s="1"/>
      <x:c r="N351" s="1"/>
      <x:c r="O351" s="1"/>
      <x:c r="P351" s="1"/>
      <x:c r="Q351" s="1"/>
      <x:c r="R351" s="1"/>
      <x:c r="S351" s="1"/>
      <x:c r="T351" s="1" t="str">
        <x:v>8380</x:v>
      </x:c>
      <x:c r="U351" s="1" t="str">
        <x:v>215-400-3230</x:v>
      </x:c>
      <x:c r="V351" s="1" t="str">
        <x:v>https://farrell.philasd.org/</x:v>
      </x:c>
      <x:c r="W351" s="1" t="str">
        <x:v>2026-2027</x:v>
      </x:c>
      <x:c r="X351" s="1" t="str">
        <x:v>2026-2027</x:v>
      </x:c>
      <x:c r="Y351" s="1" t="str">
        <x:v>1</x:v>
      </x:c>
      <x:c r="Z351" s="1" t="str">
        <x:v>1</x:v>
      </x:c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</x:row>
    <x:row r="352" ht="22" customHeight="1">
      <x:c r="A352" s="2"/>
      <x:c r="B352" s="2"/>
      <x:c r="C352" s="2"/>
      <x:c r="D352" s="2"/>
      <x:c r="E352" s="2"/>
      <x:c r="F352" s="2"/>
      <x:c r="G352" s="2"/>
      <x:c r="H352" s="2"/>
      <x:c r="I352" s="2"/>
      <x:c r="J352" s="2"/>
      <x:c r="K352" s="2"/>
      <x:c r="L352" s="15"/>
      <x:c r="M352" s="1"/>
      <x:c r="N352" s="1"/>
      <x:c r="O352" s="1"/>
      <x:c r="P352" s="1"/>
      <x:c r="Q352" s="1"/>
      <x:c r="R352" s="1"/>
      <x:c r="S352" s="1"/>
      <x:c r="T352" s="1" t="str">
        <x:v>8390</x:v>
      </x:c>
      <x:c r="U352" s="1" t="str">
        <x:v>215-400-3060</x:v>
      </x:c>
      <x:c r="V352" s="1" t="str">
        <x:v>https://fitzpatrick.philasd.org/</x:v>
      </x:c>
      <x:c r="W352" s="1" t="str">
        <x:v>2026-2027</x:v>
      </x:c>
      <x:c r="X352" s="1" t="str">
        <x:v>2026-2027</x:v>
      </x:c>
      <x:c r="Y352" s="1" t="str">
        <x:v>1</x:v>
      </x:c>
      <x:c r="Z352" s="1" t="str">
        <x:v>1</x:v>
      </x:c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</x:row>
    <x:row r="353" ht="22" customHeight="1">
      <x:c r="A353" s="2"/>
      <x:c r="B353" s="2"/>
      <x:c r="C353" s="2"/>
      <x:c r="D353" s="2"/>
      <x:c r="E353" s="2"/>
      <x:c r="F353" s="2"/>
      <x:c r="G353" s="2"/>
      <x:c r="H353" s="2"/>
      <x:c r="I353" s="2"/>
      <x:c r="J353" s="2"/>
      <x:c r="K353" s="2"/>
      <x:c r="L353" s="15"/>
      <x:c r="M353" s="1"/>
      <x:c r="N353" s="1"/>
      <x:c r="O353" s="1"/>
      <x:c r="P353" s="1"/>
      <x:c r="Q353" s="1"/>
      <x:c r="R353" s="1"/>
      <x:c r="S353" s="1"/>
      <x:c r="T353" s="1" t="str">
        <x:v>8400</x:v>
      </x:c>
      <x:c r="U353" s="1" t="str">
        <x:v>215-400-3070</x:v>
      </x:c>
      <x:c r="V353" s="1" t="str">
        <x:v>https://annefrank.philasd.org/</x:v>
      </x:c>
      <x:c r="W353" s="1" t="str">
        <x:v>2026-2027</x:v>
      </x:c>
      <x:c r="X353" s="1" t="str">
        <x:v>2026-2027</x:v>
      </x:c>
      <x:c r="Y353" s="1" t="str">
        <x:v>1</x:v>
      </x:c>
      <x:c r="Z353" s="1" t="str">
        <x:v>1</x:v>
      </x:c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</x:row>
    <x:row r="354" ht="22" customHeight="1">
      <x:c r="A354" s="2"/>
      <x:c r="B354" s="2"/>
      <x:c r="C354" s="2"/>
      <x:c r="D354" s="2"/>
      <x:c r="E354" s="2"/>
      <x:c r="F354" s="2"/>
      <x:c r="G354" s="2"/>
      <x:c r="H354" s="2"/>
      <x:c r="I354" s="2"/>
      <x:c r="J354" s="2"/>
      <x:c r="K354" s="2"/>
      <x:c r="L354" s="15"/>
      <x:c r="M354" s="1"/>
      <x:c r="N354" s="1"/>
      <x:c r="O354" s="1"/>
      <x:c r="P354" s="1"/>
      <x:c r="Q354" s="1"/>
      <x:c r="R354" s="1"/>
      <x:c r="S354" s="1"/>
      <x:c r="T354" s="1" t="str">
        <x:v>8410</x:v>
      </x:c>
      <x:c r="U354" s="1" t="str">
        <x:v>215-400-3210</x:v>
      </x:c>
      <x:c r="V354" s="1" t="str">
        <x:v>https://pollock.philasd.org/</x:v>
      </x:c>
      <x:c r="W354" s="1" t="str">
        <x:v>2026-2027</x:v>
      </x:c>
      <x:c r="X354" s="1" t="str">
        <x:v>2026-2027</x:v>
      </x:c>
      <x:c r="Y354" s="1" t="str">
        <x:v>1</x:v>
      </x:c>
      <x:c r="Z354" s="1" t="str">
        <x:v>1</x:v>
      </x:c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</x:row>
    <x:row r="355" ht="22" customHeight="1">
      <x:c r="A355" s="2"/>
      <x:c r="B355" s="2"/>
      <x:c r="C355" s="2"/>
      <x:c r="D355" s="2"/>
      <x:c r="E355" s="2"/>
      <x:c r="F355" s="2"/>
      <x:c r="G355" s="2"/>
      <x:c r="H355" s="2"/>
      <x:c r="I355" s="2"/>
      <x:c r="J355" s="2"/>
      <x:c r="K355" s="2"/>
      <x:c r="L355" s="15"/>
      <x:c r="M355" s="1"/>
      <x:c r="N355" s="1"/>
      <x:c r="O355" s="1"/>
      <x:c r="P355" s="1"/>
      <x:c r="Q355" s="1"/>
      <x:c r="R355" s="1"/>
      <x:c r="S355" s="1"/>
      <x:c r="T355" s="1" t="str">
        <x:v>8420</x:v>
      </x:c>
      <x:c r="U355" s="1" t="str">
        <x:v>215-400-3050</x:v>
      </x:c>
      <x:c r="V355" s="1" t="str">
        <x:v>https://decatur.philasd.org/</x:v>
      </x:c>
      <x:c r="W355" s="1" t="str">
        <x:v>2026-2027</x:v>
      </x:c>
      <x:c r="X355" s="1" t="str">
        <x:v>2026-2027</x:v>
      </x:c>
      <x:c r="Y355" s="1" t="str">
        <x:v>1</x:v>
      </x:c>
      <x:c r="Z355" s="1" t="str">
        <x:v>1</x:v>
      </x:c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</x:row>
    <x:row r="356" ht="22" customHeight="1">
      <x:c r="A356" s="2"/>
      <x:c r="B356" s="2"/>
      <x:c r="C356" s="2"/>
      <x:c r="D356" s="2"/>
      <x:c r="E356" s="2"/>
      <x:c r="F356" s="2"/>
      <x:c r="G356" s="2"/>
      <x:c r="H356" s="2"/>
      <x:c r="I356" s="2"/>
      <x:c r="J356" s="2"/>
      <x:c r="K356" s="2"/>
      <x:c r="L356" s="15"/>
      <x:c r="M356" s="1"/>
      <x:c r="N356" s="1"/>
      <x:c r="O356" s="1"/>
      <x:c r="P356" s="1"/>
      <x:c r="Q356" s="1"/>
      <x:c r="R356" s="1"/>
      <x:c r="S356" s="1"/>
      <x:c r="T356" s="1" t="str">
        <x:v>8430</x:v>
      </x:c>
      <x:c r="U356" s="1" t="str">
        <x:v>215-400-3080</x:v>
      </x:c>
      <x:c r="V356" s="1" t="str">
        <x:v>https://greenberg.philasd.org/</x:v>
      </x:c>
      <x:c r="W356" s="1" t="str">
        <x:v>2026-2027</x:v>
      </x:c>
      <x:c r="X356" s="1" t="str">
        <x:v>2026-2027</x:v>
      </x:c>
      <x:c r="Y356" s="1" t="str">
        <x:v>1</x:v>
      </x:c>
      <x:c r="Z356" s="1" t="str">
        <x:v>1</x:v>
      </x:c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</x:row>
    <x:row r="357" ht="22" customHeight="1">
      <x:c r="A357" s="2"/>
      <x:c r="B357" s="2"/>
      <x:c r="C357" s="2"/>
      <x:c r="D357" s="2"/>
      <x:c r="E357" s="2"/>
      <x:c r="F357" s="2"/>
      <x:c r="G357" s="2"/>
      <x:c r="H357" s="2"/>
      <x:c r="I357" s="2"/>
      <x:c r="J357" s="2"/>
      <x:c r="K357" s="2"/>
      <x:c r="L357" s="15"/>
      <x:c r="M357" s="1"/>
      <x:c r="N357" s="1"/>
      <x:c r="O357" s="1"/>
      <x:c r="P357" s="1"/>
      <x:c r="Q357" s="1"/>
      <x:c r="R357" s="1"/>
      <x:c r="S357" s="1"/>
      <x:c r="T357" s="1" t="str">
        <x:v>8440</x:v>
      </x:c>
      <x:c r="U357" s="1" t="str">
        <x:v>215-400-3020</x:v>
      </x:c>
      <x:c r="V357" s="1" t="str">
        <x:v>https://loesche.philasd.org/</x:v>
      </x:c>
      <x:c r="W357" s="1" t="str">
        <x:v>2026-2027</x:v>
      </x:c>
      <x:c r="X357" s="1" t="str">
        <x:v>2026-2027</x:v>
      </x:c>
      <x:c r="Y357" s="1" t="str">
        <x:v>1</x:v>
      </x:c>
      <x:c r="Z357" s="1" t="str">
        <x:v>1</x:v>
      </x:c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</x:row>
    <x:row r="358" ht="22" customHeight="1">
      <x:c r="A358" s="2"/>
      <x:c r="B358" s="2"/>
      <x:c r="C358" s="2"/>
      <x:c r="D358" s="2"/>
      <x:c r="E358" s="2"/>
      <x:c r="F358" s="2"/>
      <x:c r="G358" s="2"/>
      <x:c r="H358" s="2"/>
      <x:c r="I358" s="2"/>
      <x:c r="J358" s="2"/>
      <x:c r="K358" s="2"/>
      <x:c r="L358" s="15"/>
      <x:c r="M358" s="1"/>
      <x:c r="N358" s="1"/>
      <x:c r="O358" s="1"/>
      <x:c r="P358" s="1"/>
      <x:c r="Q358" s="1"/>
      <x:c r="R358" s="1"/>
      <x:c r="S358" s="1"/>
      <x:c r="T358" s="1" t="str">
        <x:v>8450</x:v>
      </x:c>
      <x:c r="U358" s="1" t="str">
        <x:v>215-769-0340</x:v>
      </x:c>
      <x:c r="V358" s="1" t="str">
        <x:v>https://yesphilly.org/</x:v>
      </x:c>
      <x:c r="W358" s="1" t="str">
        <x:v>2026-2027</x:v>
      </x:c>
      <x:c r="X358" s="1" t="str">
        <x:v>2026-2027</x:v>
      </x:c>
      <x:c r="Y358" s="1" t="str">
        <x:v>0</x:v>
      </x:c>
      <x:c r="Z358" s="1" t="str">
        <x:v>0</x:v>
      </x:c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</x:row>
    <x:row r="359" ht="22" customHeight="1">
      <x:c r="A359" s="2"/>
      <x:c r="B359" s="2"/>
      <x:c r="C359" s="2"/>
      <x:c r="D359" s="2"/>
      <x:c r="E359" s="2"/>
      <x:c r="F359" s="2"/>
      <x:c r="G359" s="2"/>
      <x:c r="H359" s="2"/>
      <x:c r="I359" s="2"/>
      <x:c r="J359" s="2"/>
      <x:c r="K359" s="2"/>
      <x:c r="L359" s="15"/>
      <x:c r="M359" s="1"/>
      <x:c r="N359" s="1"/>
      <x:c r="O359" s="1"/>
      <x:c r="P359" s="1"/>
      <x:c r="Q359" s="1"/>
      <x:c r="R359" s="1"/>
      <x:c r="S359" s="1"/>
      <x:c r="T359" s="1" t="str">
        <x:v>8460</x:v>
      </x:c>
      <x:c r="U359" s="1" t="str">
        <x:v>215-400-9080</x:v>
      </x:c>
      <x:c r="V359" s="1" t="str">
        <x:v>https://plawest.philasd.org/</x:v>
      </x:c>
      <x:c r="W359" s="1" t="str">
        <x:v>2026-2027</x:v>
      </x:c>
      <x:c r="X359" s="1" t="str">
        <x:v>2026-2027</x:v>
      </x:c>
      <x:c r="Y359" s="1" t="str">
        <x:v>1</x:v>
      </x:c>
      <x:c r="Z359" s="1" t="str">
        <x:v>1</x:v>
      </x:c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</x:row>
    <x:row r="360" ht="22" customHeight="1">
      <x:c r="A360" s="2"/>
      <x:c r="B360" s="2"/>
      <x:c r="C360" s="2"/>
      <x:c r="D360" s="2"/>
      <x:c r="E360" s="2"/>
      <x:c r="F360" s="2"/>
      <x:c r="G360" s="2"/>
      <x:c r="H360" s="2"/>
      <x:c r="I360" s="2"/>
      <x:c r="J360" s="2"/>
      <x:c r="K360" s="2"/>
      <x:c r="L360" s="15"/>
      <x:c r="M360" s="1"/>
      <x:c r="N360" s="1"/>
      <x:c r="O360" s="1"/>
      <x:c r="P360" s="1"/>
      <x:c r="Q360" s="1"/>
      <x:c r="R360" s="1"/>
      <x:c r="S360" s="1"/>
      <x:c r="T360" s="1" t="str">
        <x:v>8470</x:v>
      </x:c>
      <x:c r="U360" s="1" t="str">
        <x:v>215-400-9050</x:v>
      </x:c>
      <x:c r="V360" s="1" t="str">
        <x:v>https://planorth.philasd.org/</x:v>
      </x:c>
      <x:c r="W360" s="1" t="str">
        <x:v>2026-2027</x:v>
      </x:c>
      <x:c r="X360" s="1" t="str">
        <x:v>2026-2027</x:v>
      </x:c>
      <x:c r="Y360" s="1" t="str">
        <x:v>1</x:v>
      </x:c>
      <x:c r="Z360" s="1" t="str">
        <x:v>1</x:v>
      </x:c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</x:row>
    <x:row r="361" ht="22" customHeight="1">
      <x:c r="A361" s="2"/>
      <x:c r="B361" s="2"/>
      <x:c r="C361" s="2"/>
      <x:c r="D361" s="2"/>
      <x:c r="E361" s="2"/>
      <x:c r="F361" s="2"/>
      <x:c r="G361" s="2"/>
      <x:c r="H361" s="2"/>
      <x:c r="I361" s="2"/>
      <x:c r="J361" s="2"/>
      <x:c r="K361" s="2"/>
      <x:c r="L361" s="15"/>
      <x:c r="M361" s="1"/>
      <x:c r="N361" s="1"/>
      <x:c r="O361" s="1"/>
      <x:c r="P361" s="1"/>
      <x:c r="Q361" s="1"/>
      <x:c r="R361" s="1"/>
      <x:c r="S361" s="1"/>
      <x:c r="T361" s="1" t="str">
        <x:v>8540</x:v>
      </x:c>
      <x:c r="U361" s="1" t="str">
        <x:v>215-685-7752</x:v>
      </x:c>
      <x:c r="V361" s="1" t="str">
        <x:v>https://pennypackhouse.philasd.org/</x:v>
      </x:c>
      <x:c r="W361" s="1" t="str">
        <x:v>2026-2027</x:v>
      </x:c>
      <x:c r="X361" s="1" t="str">
        <x:v>2026-2027</x:v>
      </x:c>
      <x:c r="Y361" s="1" t="str">
        <x:v>1</x:v>
      </x:c>
      <x:c r="Z361" s="1" t="str">
        <x:v>1</x:v>
      </x:c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</x:row>
    <x:row r="362" ht="22" customHeight="1">
      <x:c r="A362" s="2"/>
      <x:c r="B362" s="2"/>
      <x:c r="C362" s="2"/>
      <x:c r="D362" s="2"/>
      <x:c r="E362" s="2"/>
      <x:c r="F362" s="2"/>
      <x:c r="G362" s="2"/>
      <x:c r="H362" s="2"/>
      <x:c r="I362" s="2"/>
      <x:c r="J362" s="2"/>
      <x:c r="K362" s="2"/>
      <x:c r="L362" s="15"/>
      <x:c r="M362" s="1"/>
      <x:c r="N362" s="1"/>
      <x:c r="O362" s="1"/>
      <x:c r="P362" s="1"/>
      <x:c r="Q362" s="1"/>
      <x:c r="R362" s="1"/>
      <x:c r="S362" s="1"/>
      <x:c r="T362" s="1" t="str">
        <x:v>8560</x:v>
      </x:c>
      <x:c r="U362" s="1" t="str">
        <x:v>215-400-7730</x:v>
      </x:c>
      <x:c r="V362" s="1" t="str">
        <x:v>https://workshopschool.philasd.org/</x:v>
      </x:c>
      <x:c r="W362" s="1" t="str">
        <x:v>2026-2027</x:v>
      </x:c>
      <x:c r="X362" s="1" t="str">
        <x:v>2026-2027</x:v>
      </x:c>
      <x:c r="Y362" s="1" t="str">
        <x:v>1</x:v>
      </x:c>
      <x:c r="Z362" s="1" t="str">
        <x:v>1</x:v>
      </x:c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</x:row>
    <x:row r="363" ht="22" customHeight="1">
      <x:c r="A363" s="2"/>
      <x:c r="B363" s="2"/>
      <x:c r="C363" s="2"/>
      <x:c r="D363" s="2"/>
      <x:c r="E363" s="2"/>
      <x:c r="F363" s="2"/>
      <x:c r="G363" s="2"/>
      <x:c r="H363" s="2"/>
      <x:c r="I363" s="2"/>
      <x:c r="J363" s="2"/>
      <x:c r="K363" s="2"/>
      <x:c r="L363" s="15"/>
      <x:c r="M363" s="1"/>
      <x:c r="N363" s="1"/>
      <x:c r="O363" s="1"/>
      <x:c r="P363" s="1"/>
      <x:c r="Q363" s="1"/>
      <x:c r="R363" s="1"/>
      <x:c r="S363" s="1"/>
      <x:c r="T363" s="1" t="str">
        <x:v>8690</x:v>
      </x:c>
      <x:c r="U363" s="1" t="str">
        <x:v>215-400-9070</x:v>
      </x:c>
      <x:c r="V363" s="1" t="str">
        <x:v>https://crossroads-accelerated.philasd.org/</x:v>
      </x:c>
      <x:c r="W363" s="1" t="str">
        <x:v>2026-2027</x:v>
      </x:c>
      <x:c r="X363" s="1" t="str">
        <x:v>2026-2027</x:v>
      </x:c>
      <x:c r="Y363" s="1" t="str">
        <x:v>0</x:v>
      </x:c>
      <x:c r="Z363" s="1" t="str">
        <x:v>0</x:v>
      </x:c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</x:row>
    <x:row r="364" ht="22" customHeight="1">
      <x:c r="A364" s="2"/>
      <x:c r="B364" s="2"/>
      <x:c r="C364" s="2"/>
      <x:c r="D364" s="2"/>
      <x:c r="E364" s="2"/>
      <x:c r="F364" s="2"/>
      <x:c r="G364" s="2"/>
      <x:c r="H364" s="2"/>
      <x:c r="I364" s="2"/>
      <x:c r="J364" s="2"/>
      <x:c r="K364" s="2"/>
      <x:c r="L364" s="15"/>
      <x:c r="M364" s="1"/>
      <x:c r="N364" s="1"/>
      <x:c r="O364" s="1"/>
      <x:c r="P364" s="1"/>
      <x:c r="Q364" s="1"/>
      <x:c r="R364" s="1"/>
      <x:c r="S364" s="1"/>
      <x:c r="T364" s="1" t="str">
        <x:v>8770</x:v>
      </x:c>
      <x:c r="U364" s="1" t="str">
        <x:v>215-400-3120</x:v>
      </x:c>
      <x:c r="V364" s="1" t="str">
        <x:v>https://hancock.philasd.org/</x:v>
      </x:c>
      <x:c r="W364" s="1" t="str">
        <x:v>2026-2027</x:v>
      </x:c>
      <x:c r="X364" s="1" t="str">
        <x:v>2026-2027</x:v>
      </x:c>
      <x:c r="Y364" s="1" t="str">
        <x:v>1</x:v>
      </x:c>
      <x:c r="Z364" s="1" t="str">
        <x:v>1</x:v>
      </x:c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</x:row>
    <x:row r="365" ht="22" customHeight="1">
      <x:c r="A365" s="2"/>
      <x:c r="B365" s="2"/>
      <x:c r="C365" s="2"/>
      <x:c r="D365" s="2"/>
      <x:c r="E365" s="2"/>
      <x:c r="F365" s="2"/>
      <x:c r="G365" s="2"/>
      <x:c r="H365" s="2"/>
      <x:c r="I365" s="2"/>
      <x:c r="J365" s="2"/>
      <x:c r="K365" s="2"/>
      <x:c r="L365" s="15"/>
      <x:c r="M365" s="1"/>
      <x:c r="N365" s="1"/>
      <x:c r="O365" s="1"/>
      <x:c r="P365" s="1"/>
      <x:c r="Q365" s="1"/>
      <x:c r="R365" s="1"/>
      <x:c r="S365" s="1"/>
      <x:c r="T365" s="1" t="str">
        <x:v>8780</x:v>
      </x:c>
      <x:c r="U365" s="1" t="str">
        <x:v>215-400-3110</x:v>
      </x:c>
      <x:c r="V365" s="1" t="str">
        <x:v>https://pva.philasd.org/</x:v>
      </x:c>
      <x:c r="W365" s="1" t="str">
        <x:v>2026-2027</x:v>
      </x:c>
      <x:c r="X365" s="1" t="str">
        <x:v>2026-2027</x:v>
      </x:c>
      <x:c r="Y365" s="1" t="str">
        <x:v>1</x:v>
      </x:c>
      <x:c r="Z365" s="1" t="str">
        <x:v>1</x:v>
      </x:c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</x:row>
    <x:row r="366" ht="22" customHeight="1">
      <x:c r="A366" s="2"/>
      <x:c r="B366" s="2"/>
      <x:c r="C366" s="2"/>
      <x:c r="D366" s="2"/>
      <x:c r="E366" s="2"/>
      <x:c r="F366" s="2"/>
      <x:c r="G366" s="2"/>
      <x:c r="H366" s="2"/>
      <x:c r="I366" s="2"/>
      <x:c r="J366" s="2"/>
      <x:c r="K366" s="2"/>
      <x:c r="L366" s="15"/>
      <x:c r="M366" s="1"/>
      <x:c r="N366" s="1"/>
      <x:c r="O366" s="1"/>
      <x:c r="P366" s="1"/>
      <x:c r="Q366" s="1"/>
      <x:c r="R366" s="1"/>
      <x:c r="S366" s="1"/>
      <x:c r="T366" s="1" t="str">
        <x:v>8860</x:v>
      </x:c>
      <x:c r="U366" s="1" t="str"/>
      <x:c r="V366" s="1" t="str">
        <x:v>https://www.onebrightraycommunity.org/</x:v>
      </x:c>
      <x:c r="W366" s="1" t="str">
        <x:v>2026-2027</x:v>
      </x:c>
      <x:c r="X366" s="1" t="str">
        <x:v>2026-2027</x:v>
      </x:c>
      <x:c r="Y366" s="1" t="str">
        <x:v>0</x:v>
      </x:c>
      <x:c r="Z366" s="1" t="str">
        <x:v>0</x:v>
      </x:c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</x:row>
    <x:row r="367" ht="22" customHeight="1">
      <x:c r="A367" s="2"/>
      <x:c r="B367" s="2"/>
      <x:c r="C367" s="2"/>
      <x:c r="D367" s="2"/>
      <x:c r="E367" s="2"/>
      <x:c r="F367" s="2"/>
      <x:c r="G367" s="2"/>
      <x:c r="H367" s="2"/>
      <x:c r="I367" s="2"/>
      <x:c r="J367" s="2"/>
      <x:c r="K367" s="2"/>
      <x:c r="L367" s="15"/>
      <x:c r="M367" s="1"/>
      <x:c r="N367" s="1"/>
      <x:c r="O367" s="1"/>
      <x:c r="P367" s="1"/>
      <x:c r="Q367" s="1"/>
      <x:c r="R367" s="1"/>
      <x:c r="S367" s="1"/>
      <x:c r="T367" s="1" t="str">
        <x:v>8890</x:v>
      </x:c>
      <x:c r="U367" s="1" t="str">
        <x:v>215-744-6000</x:v>
      </x:c>
      <x:c r="V367" s="1" t="str">
        <x:v>https://www.onebrightraycommunity.org/</x:v>
      </x:c>
      <x:c r="W367" s="1" t="str">
        <x:v>2026-2027</x:v>
      </x:c>
      <x:c r="X367" s="1" t="str">
        <x:v>2026-2027</x:v>
      </x:c>
      <x:c r="Y367" s="1" t="str">
        <x:v>0</x:v>
      </x:c>
      <x:c r="Z367" s="1" t="str">
        <x:v>0</x:v>
      </x:c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</x:row>
    <x:row r="368" ht="22" customHeight="1">
      <x:c r="A368" s="2"/>
      <x:c r="B368" s="2"/>
      <x:c r="C368" s="2"/>
      <x:c r="D368" s="2"/>
      <x:c r="E368" s="2"/>
      <x:c r="F368" s="2"/>
      <x:c r="G368" s="2"/>
      <x:c r="H368" s="2"/>
      <x:c r="I368" s="2"/>
      <x:c r="J368" s="2"/>
      <x:c r="K368" s="2"/>
      <x:c r="L368" s="15"/>
      <x:c r="M368" s="1"/>
      <x:c r="N368" s="1"/>
      <x:c r="O368" s="1"/>
      <x:c r="P368" s="1"/>
      <x:c r="Q368" s="1"/>
      <x:c r="R368" s="1"/>
      <x:c r="S368" s="1"/>
      <x:c r="T368" s="1" t="str">
        <x:v>8891</x:v>
      </x:c>
      <x:c r="U368" s="1" t="str">
        <x:v>215-744-6000</x:v>
      </x:c>
      <x:c r="V368" s="1" t="str">
        <x:v>https://www.onebrightraycommunity.org/</x:v>
      </x:c>
      <x:c r="W368" s="1" t="str">
        <x:v>2026-2027</x:v>
      </x:c>
      <x:c r="X368" s="1" t="str">
        <x:v>2026-2027</x:v>
      </x:c>
      <x:c r="Y368" s="1" t="str">
        <x:v>0</x:v>
      </x:c>
      <x:c r="Z368" s="1" t="str">
        <x:v>0</x:v>
      </x:c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</x:row>
    <x:row r="369" ht="22" customHeight="1">
      <x:c r="A369" s="2"/>
      <x:c r="B369" s="2"/>
      <x:c r="C369" s="2"/>
      <x:c r="D369" s="2"/>
      <x:c r="E369" s="2"/>
      <x:c r="F369" s="2"/>
      <x:c r="G369" s="2"/>
      <x:c r="H369" s="2"/>
      <x:c r="I369" s="2"/>
      <x:c r="J369" s="2"/>
      <x:c r="K369" s="2"/>
      <x:c r="L369" s="15"/>
      <x:c r="M369" s="1"/>
      <x:c r="N369" s="1"/>
      <x:c r="O369" s="1"/>
      <x:c r="P369" s="1"/>
      <x:c r="Q369" s="1"/>
      <x:c r="R369" s="1"/>
      <x:c r="S369" s="1"/>
      <x:c r="T369" s="1" t="str">
        <x:v>8900</x:v>
      </x:c>
      <x:c r="U369" s="1" t="str">
        <x:v>215-400-6700</x:v>
      </x:c>
      <x:c r="V369" s="1" t="str">
        <x:v>https://www.philasd.org/backontrack/#reengagecenter</x:v>
      </x:c>
      <x:c r="W369" s="1" t="str">
        <x:v>2026-2027</x:v>
      </x:c>
      <x:c r="X369" s="1" t="str">
        <x:v>2026-2027</x:v>
      </x:c>
      <x:c r="Y369" s="1" t="str">
        <x:v>0</x:v>
      </x:c>
      <x:c r="Z369" s="1" t="str">
        <x:v>0</x:v>
      </x:c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</x:row>
    <x:row r="370" ht="22" customHeight="1">
      <x:c r="A370" s="2"/>
      <x:c r="B370" s="2"/>
      <x:c r="C370" s="2"/>
      <x:c r="D370" s="2"/>
      <x:c r="E370" s="2"/>
      <x:c r="F370" s="2"/>
      <x:c r="G370" s="2"/>
      <x:c r="H370" s="2"/>
      <x:c r="I370" s="2"/>
      <x:c r="J370" s="2"/>
      <x:c r="K370" s="2"/>
      <x:c r="L370" s="15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</x:row>
    <x:row r="371" ht="22" customHeight="1">
      <x:c r="A371" s="2"/>
      <x:c r="B371" s="2"/>
      <x:c r="C371" s="2"/>
      <x:c r="D371" s="2"/>
      <x:c r="E371" s="2"/>
      <x:c r="F371" s="2"/>
      <x:c r="G371" s="2"/>
      <x:c r="H371" s="2"/>
      <x:c r="I371" s="2"/>
      <x:c r="J371" s="2"/>
      <x:c r="K371" s="2"/>
      <x:c r="L371" s="15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</x:row>
    <x:row r="372" ht="22" customHeight="1">
      <x:c r="A372" s="2"/>
      <x:c r="B372" s="2"/>
      <x:c r="C372" s="2"/>
      <x:c r="D372" s="2"/>
      <x:c r="E372" s="2"/>
      <x:c r="F372" s="2"/>
      <x:c r="G372" s="2"/>
      <x:c r="H372" s="2"/>
      <x:c r="I372" s="2"/>
      <x:c r="J372" s="2"/>
      <x:c r="K372" s="2"/>
      <x:c r="L372" s="15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</x:row>
    <x:row r="373" ht="22" customHeight="1">
      <x:c r="A373" s="2"/>
      <x:c r="B373" s="2"/>
      <x:c r="C373" s="2"/>
      <x:c r="D373" s="2"/>
      <x:c r="E373" s="2"/>
      <x:c r="F373" s="2"/>
      <x:c r="G373" s="2"/>
      <x:c r="H373" s="2"/>
      <x:c r="I373" s="2"/>
      <x:c r="J373" s="2"/>
      <x:c r="K373" s="2"/>
      <x:c r="L373" s="15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</x:row>
    <x:row r="374" ht="22" customHeight="1">
      <x:c r="A374" s="2"/>
      <x:c r="B374" s="2"/>
      <x:c r="C374" s="2"/>
      <x:c r="D374" s="2"/>
      <x:c r="E374" s="2"/>
      <x:c r="F374" s="2"/>
      <x:c r="G374" s="2"/>
      <x:c r="H374" s="2"/>
      <x:c r="I374" s="2"/>
      <x:c r="J374" s="2"/>
      <x:c r="K374" s="2"/>
      <x:c r="L374" s="15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</x:row>
    <x:row r="375" ht="22" customHeight="1">
      <x:c r="A375" s="2"/>
      <x:c r="B375" s="2"/>
      <x:c r="C375" s="2"/>
      <x:c r="D375" s="2"/>
      <x:c r="E375" s="2"/>
      <x:c r="F375" s="2"/>
      <x:c r="G375" s="2"/>
      <x:c r="H375" s="2"/>
      <x:c r="I375" s="2"/>
      <x:c r="J375" s="2"/>
      <x:c r="K375" s="2"/>
      <x:c r="L375" s="15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</x:row>
    <x:row r="376" ht="22" customHeight="1">
      <x:c r="A376" s="2"/>
      <x:c r="B376" s="2"/>
      <x:c r="C376" s="2"/>
      <x:c r="D376" s="2"/>
      <x:c r="E376" s="2"/>
      <x:c r="F376" s="2"/>
      <x:c r="G376" s="2"/>
      <x:c r="H376" s="2"/>
      <x:c r="I376" s="2"/>
      <x:c r="J376" s="2"/>
      <x:c r="K376" s="2"/>
      <x:c r="L376" s="15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</x:row>
    <x:row r="377" ht="22" customHeight="1">
      <x:c r="A377" s="2"/>
      <x:c r="B377" s="2"/>
      <x:c r="C377" s="2"/>
      <x:c r="D377" s="2"/>
      <x:c r="E377" s="2"/>
      <x:c r="F377" s="2"/>
      <x:c r="G377" s="2"/>
      <x:c r="H377" s="2"/>
      <x:c r="I377" s="2"/>
      <x:c r="J377" s="2"/>
      <x:c r="K377" s="2"/>
      <x:c r="L377" s="15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</x:row>
    <x:row r="378" ht="22" customHeight="1">
      <x:c r="A378" s="2"/>
      <x:c r="B378" s="2"/>
      <x:c r="C378" s="2"/>
      <x:c r="D378" s="2"/>
      <x:c r="E378" s="2"/>
      <x:c r="F378" s="2"/>
      <x:c r="G378" s="2"/>
      <x:c r="H378" s="2"/>
      <x:c r="I378" s="2"/>
      <x:c r="J378" s="2"/>
      <x:c r="K378" s="2"/>
      <x:c r="L378" s="15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</x:row>
    <x:row r="379" ht="22" customHeight="1">
      <x:c r="A379" s="2"/>
      <x:c r="B379" s="2"/>
      <x:c r="C379" s="2"/>
      <x:c r="D379" s="2"/>
      <x:c r="E379" s="2"/>
      <x:c r="F379" s="2"/>
      <x:c r="G379" s="2"/>
      <x:c r="H379" s="2"/>
      <x:c r="I379" s="2"/>
      <x:c r="J379" s="2"/>
      <x:c r="K379" s="2"/>
      <x:c r="L379" s="15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</x:row>
    <x:row r="380" ht="22" customHeight="1">
      <x:c r="A380" s="2"/>
      <x:c r="B380" s="2"/>
      <x:c r="C380" s="2"/>
      <x:c r="D380" s="2"/>
      <x:c r="E380" s="2"/>
      <x:c r="F380" s="2"/>
      <x:c r="G380" s="2"/>
      <x:c r="H380" s="2"/>
      <x:c r="I380" s="2"/>
      <x:c r="J380" s="2"/>
      <x:c r="K380" s="2"/>
      <x:c r="L380" s="15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</x:row>
    <x:row r="381" ht="22" customHeight="1">
      <x:c r="A381" s="2"/>
      <x:c r="B381" s="2"/>
      <x:c r="C381" s="2"/>
      <x:c r="D381" s="2"/>
      <x:c r="E381" s="2"/>
      <x:c r="F381" s="2"/>
      <x:c r="G381" s="2"/>
      <x:c r="H381" s="2"/>
      <x:c r="I381" s="2"/>
      <x:c r="J381" s="2"/>
      <x:c r="K381" s="2"/>
      <x:c r="L381" s="15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</x:row>
    <x:row r="382" ht="22" customHeight="1">
      <x:c r="A382" s="2"/>
      <x:c r="B382" s="2"/>
      <x:c r="C382" s="2"/>
      <x:c r="D382" s="2"/>
      <x:c r="E382" s="2"/>
      <x:c r="F382" s="2"/>
      <x:c r="G382" s="2"/>
      <x:c r="H382" s="2"/>
      <x:c r="I382" s="2"/>
      <x:c r="J382" s="2"/>
      <x:c r="K382" s="2"/>
      <x:c r="L382" s="15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</x:row>
    <x:row r="383" ht="22" customHeight="1">
      <x:c r="A383" s="2"/>
      <x:c r="B383" s="2"/>
      <x:c r="C383" s="2"/>
      <x:c r="D383" s="2"/>
      <x:c r="E383" s="2"/>
      <x:c r="F383" s="2"/>
      <x:c r="G383" s="2"/>
      <x:c r="H383" s="2"/>
      <x:c r="I383" s="2"/>
      <x:c r="J383" s="2"/>
      <x:c r="K383" s="2"/>
      <x:c r="L383" s="15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</x:row>
    <x:row r="384" ht="22" customHeight="1">
      <x:c r="A384" s="2"/>
      <x:c r="B384" s="2"/>
      <x:c r="C384" s="2"/>
      <x:c r="D384" s="2"/>
      <x:c r="E384" s="2"/>
      <x:c r="F384" s="2"/>
      <x:c r="G384" s="2"/>
      <x:c r="H384" s="2"/>
      <x:c r="I384" s="2"/>
      <x:c r="J384" s="2"/>
      <x:c r="K384" s="2"/>
      <x:c r="L384" s="15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</x:row>
    <x:row r="385" ht="22" customHeight="1">
      <x:c r="A385" s="2"/>
      <x:c r="B385" s="2"/>
      <x:c r="C385" s="2"/>
      <x:c r="D385" s="2"/>
      <x:c r="E385" s="2"/>
      <x:c r="F385" s="2"/>
      <x:c r="G385" s="2"/>
      <x:c r="H385" s="2"/>
      <x:c r="I385" s="2"/>
      <x:c r="J385" s="2"/>
      <x:c r="K385" s="2"/>
      <x:c r="L385" s="15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</x:row>
    <x:row r="386" ht="22" customHeight="1">
      <x:c r="A386" s="2"/>
      <x:c r="B386" s="2"/>
      <x:c r="C386" s="2"/>
      <x:c r="D386" s="2"/>
      <x:c r="E386" s="2"/>
      <x:c r="F386" s="2"/>
      <x:c r="G386" s="2"/>
      <x:c r="H386" s="2"/>
      <x:c r="I386" s="2"/>
      <x:c r="J386" s="2"/>
      <x:c r="K386" s="2"/>
      <x:c r="L386" s="15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</x:row>
    <x:row r="387" ht="22" customHeight="1">
      <x:c r="A387" s="2"/>
      <x:c r="B387" s="2"/>
      <x:c r="C387" s="2"/>
      <x:c r="D387" s="2"/>
      <x:c r="E387" s="2"/>
      <x:c r="F387" s="2"/>
      <x:c r="G387" s="2"/>
      <x:c r="H387" s="2"/>
      <x:c r="I387" s="2"/>
      <x:c r="J387" s="2"/>
      <x:c r="K387" s="2"/>
      <x:c r="L387" s="15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</x:row>
    <x:row r="388" ht="22" customHeight="1">
      <x:c r="A388" s="2"/>
      <x:c r="B388" s="2"/>
      <x:c r="C388" s="2"/>
      <x:c r="D388" s="2"/>
      <x:c r="E388" s="2"/>
      <x:c r="F388" s="2"/>
      <x:c r="G388" s="2"/>
      <x:c r="H388" s="2"/>
      <x:c r="I388" s="2"/>
      <x:c r="J388" s="2"/>
      <x:c r="K388" s="2"/>
      <x:c r="L388" s="15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</x:row>
    <x:row r="389" ht="22" customHeight="1">
      <x:c r="A389" s="2"/>
      <x:c r="B389" s="2"/>
      <x:c r="C389" s="2"/>
      <x:c r="D389" s="2"/>
      <x:c r="E389" s="2"/>
      <x:c r="F389" s="2"/>
      <x:c r="G389" s="2"/>
      <x:c r="H389" s="2"/>
      <x:c r="I389" s="2"/>
      <x:c r="J389" s="2"/>
      <x:c r="K389" s="2"/>
      <x:c r="L389" s="15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</x:row>
    <x:row r="390" ht="22" customHeight="1">
      <x:c r="A390" s="2"/>
      <x:c r="B390" s="2"/>
      <x:c r="C390" s="2"/>
      <x:c r="D390" s="2"/>
      <x:c r="E390" s="2"/>
      <x:c r="F390" s="2"/>
      <x:c r="G390" s="2"/>
      <x:c r="H390" s="2"/>
      <x:c r="I390" s="2"/>
      <x:c r="J390" s="2"/>
      <x:c r="K390" s="2"/>
      <x:c r="L390" s="15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</x:row>
    <x:row r="391" ht="22" customHeight="1">
      <x:c r="A391" s="2"/>
      <x:c r="B391" s="2"/>
      <x:c r="C391" s="2"/>
      <x:c r="D391" s="2"/>
      <x:c r="E391" s="2"/>
      <x:c r="F391" s="2"/>
      <x:c r="G391" s="2"/>
      <x:c r="H391" s="2"/>
      <x:c r="I391" s="2"/>
      <x:c r="J391" s="2"/>
      <x:c r="K391" s="2"/>
      <x:c r="L391" s="15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</x:row>
    <x:row r="392" ht="22" customHeight="1">
      <x:c r="A392" s="2"/>
      <x:c r="B392" s="2"/>
      <x:c r="C392" s="2"/>
      <x:c r="D392" s="2"/>
      <x:c r="E392" s="2"/>
      <x:c r="F392" s="2"/>
      <x:c r="G392" s="2"/>
      <x:c r="H392" s="2"/>
      <x:c r="I392" s="2"/>
      <x:c r="J392" s="2"/>
      <x:c r="K392" s="2"/>
      <x:c r="L392" s="15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</x:row>
    <x:row r="393" ht="22" customHeight="1">
      <x:c r="A393" s="2"/>
      <x:c r="B393" s="2"/>
      <x:c r="C393" s="2"/>
      <x:c r="D393" s="2"/>
      <x:c r="E393" s="2"/>
      <x:c r="F393" s="2"/>
      <x:c r="G393" s="2"/>
      <x:c r="H393" s="2"/>
      <x:c r="I393" s="2"/>
      <x:c r="J393" s="2"/>
      <x:c r="K393" s="2"/>
      <x:c r="L393" s="15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</x:row>
    <x:row r="394" ht="22" customHeight="1">
      <x:c r="A394" s="2"/>
      <x:c r="B394" s="2"/>
      <x:c r="C394" s="2"/>
      <x:c r="D394" s="2"/>
      <x:c r="E394" s="2"/>
      <x:c r="F394" s="2"/>
      <x:c r="G394" s="2"/>
      <x:c r="H394" s="2"/>
      <x:c r="I394" s="2"/>
      <x:c r="J394" s="2"/>
      <x:c r="K394" s="2"/>
      <x:c r="L394" s="15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</x:row>
    <x:row r="395" ht="22" customHeight="1">
      <x:c r="A395" s="2"/>
      <x:c r="B395" s="2"/>
      <x:c r="C395" s="2"/>
      <x:c r="D395" s="2"/>
      <x:c r="E395" s="2"/>
      <x:c r="F395" s="2"/>
      <x:c r="G395" s="2"/>
      <x:c r="H395" s="2"/>
      <x:c r="I395" s="2"/>
      <x:c r="J395" s="2"/>
      <x:c r="K395" s="2"/>
      <x:c r="L395" s="15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</x:row>
    <x:row r="396" ht="22" customHeight="1">
      <x:c r="A396" s="2"/>
      <x:c r="B396" s="2"/>
      <x:c r="C396" s="2"/>
      <x:c r="D396" s="2"/>
      <x:c r="E396" s="2"/>
      <x:c r="F396" s="2"/>
      <x:c r="G396" s="2"/>
      <x:c r="H396" s="2"/>
      <x:c r="I396" s="2"/>
      <x:c r="J396" s="2"/>
      <x:c r="K396" s="2"/>
      <x:c r="L396" s="15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</x:row>
    <x:row r="397" ht="22" customHeight="1">
      <x:c r="A397" s="2"/>
      <x:c r="B397" s="2"/>
      <x:c r="C397" s="2"/>
      <x:c r="D397" s="2"/>
      <x:c r="E397" s="2"/>
      <x:c r="F397" s="2"/>
      <x:c r="G397" s="2"/>
      <x:c r="H397" s="2"/>
      <x:c r="I397" s="2"/>
      <x:c r="J397" s="2"/>
      <x:c r="K397" s="2"/>
      <x:c r="L397" s="15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</x:row>
    <x:row r="398" ht="22" customHeight="1">
      <x:c r="A398" s="2"/>
      <x:c r="B398" s="2"/>
      <x:c r="C398" s="2"/>
      <x:c r="D398" s="2"/>
      <x:c r="E398" s="2"/>
      <x:c r="F398" s="2"/>
      <x:c r="G398" s="2"/>
      <x:c r="H398" s="2"/>
      <x:c r="I398" s="2"/>
      <x:c r="J398" s="2"/>
      <x:c r="K398" s="2"/>
      <x:c r="L398" s="15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</x:row>
    <x:row r="399" ht="22" customHeight="1">
      <x:c r="A399" s="2"/>
      <x:c r="B399" s="2"/>
      <x:c r="C399" s="2"/>
      <x:c r="D399" s="2"/>
      <x:c r="E399" s="2"/>
      <x:c r="F399" s="2"/>
      <x:c r="G399" s="2"/>
      <x:c r="H399" s="2"/>
      <x:c r="I399" s="2"/>
      <x:c r="J399" s="2"/>
      <x:c r="K399" s="2"/>
      <x:c r="L399" s="15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</x:row>
    <x:row r="400" ht="22" customHeight="1">
      <x:c r="A400" s="2"/>
      <x:c r="B400" s="2"/>
      <x:c r="C400" s="2"/>
      <x:c r="D400" s="2"/>
      <x:c r="E400" s="2"/>
      <x:c r="F400" s="2"/>
      <x:c r="G400" s="2"/>
      <x:c r="H400" s="2"/>
      <x:c r="I400" s="2"/>
      <x:c r="J400" s="2"/>
      <x:c r="K400" s="2"/>
      <x:c r="L400" s="15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</x:row>
    <x:row r="401" ht="22" customHeight="1">
      <x:c r="A401" s="2"/>
      <x:c r="B401" s="2"/>
      <x:c r="C401" s="2"/>
      <x:c r="D401" s="2"/>
      <x:c r="E401" s="2"/>
      <x:c r="F401" s="2"/>
      <x:c r="G401" s="2"/>
      <x:c r="H401" s="2"/>
      <x:c r="I401" s="2"/>
      <x:c r="J401" s="2"/>
      <x:c r="K401" s="2"/>
      <x:c r="L401" s="15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</x:row>
    <x:row r="402" ht="22" customHeight="1">
      <x:c r="A402" s="2"/>
      <x:c r="B402" s="2"/>
      <x:c r="C402" s="2"/>
      <x:c r="D402" s="2"/>
      <x:c r="E402" s="2"/>
      <x:c r="F402" s="2"/>
      <x:c r="G402" s="2"/>
      <x:c r="H402" s="2"/>
      <x:c r="I402" s="2"/>
      <x:c r="J402" s="2"/>
      <x:c r="K402" s="2"/>
      <x:c r="L402" s="15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</x:row>
    <x:row r="403" ht="22" customHeight="1">
      <x:c r="A403" s="2"/>
      <x:c r="B403" s="2"/>
      <x:c r="C403" s="2"/>
      <x:c r="D403" s="2"/>
      <x:c r="E403" s="2"/>
      <x:c r="F403" s="2"/>
      <x:c r="G403" s="2"/>
      <x:c r="H403" s="2"/>
      <x:c r="I403" s="2"/>
      <x:c r="J403" s="2"/>
      <x:c r="K403" s="2"/>
      <x:c r="L403" s="15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</x:row>
    <x:row r="404" ht="22" customHeight="1">
      <x:c r="A404" s="2"/>
      <x:c r="B404" s="2"/>
      <x:c r="C404" s="2"/>
      <x:c r="D404" s="2"/>
      <x:c r="E404" s="2"/>
      <x:c r="F404" s="2"/>
      <x:c r="G404" s="2"/>
      <x:c r="H404" s="2"/>
      <x:c r="I404" s="2"/>
      <x:c r="J404" s="2"/>
      <x:c r="K404" s="2"/>
      <x:c r="L404" s="15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</x:row>
    <x:row r="405" ht="22" customHeight="1">
      <x:c r="A405" s="2"/>
      <x:c r="B405" s="2"/>
      <x:c r="C405" s="2"/>
      <x:c r="D405" s="2"/>
      <x:c r="E405" s="2"/>
      <x:c r="F405" s="2"/>
      <x:c r="G405" s="2"/>
      <x:c r="H405" s="2"/>
      <x:c r="I405" s="2"/>
      <x:c r="J405" s="2"/>
      <x:c r="K405" s="2"/>
      <x:c r="L405" s="15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</x:row>
    <x:row r="406" ht="22" customHeight="1">
      <x:c r="A406" s="2"/>
      <x:c r="B406" s="2"/>
      <x:c r="C406" s="2"/>
      <x:c r="D406" s="2"/>
      <x:c r="E406" s="2"/>
      <x:c r="F406" s="2"/>
      <x:c r="G406" s="2"/>
      <x:c r="H406" s="2"/>
      <x:c r="I406" s="2"/>
      <x:c r="J406" s="2"/>
      <x:c r="K406" s="2"/>
      <x:c r="L406" s="15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</x:row>
    <x:row r="407" ht="22" customHeight="1">
      <x:c r="A407" s="2"/>
      <x:c r="B407" s="2"/>
      <x:c r="C407" s="2"/>
      <x:c r="D407" s="2"/>
      <x:c r="E407" s="2"/>
      <x:c r="F407" s="2"/>
      <x:c r="G407" s="2"/>
      <x:c r="H407" s="2"/>
      <x:c r="I407" s="2"/>
      <x:c r="J407" s="2"/>
      <x:c r="K407" s="2"/>
      <x:c r="L407" s="15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</x:row>
    <x:row r="408" ht="22" customHeight="1">
      <x:c r="A408" s="2"/>
      <x:c r="B408" s="2"/>
      <x:c r="C408" s="2"/>
      <x:c r="D408" s="2"/>
      <x:c r="E408" s="2"/>
      <x:c r="F408" s="2"/>
      <x:c r="G408" s="2"/>
      <x:c r="H408" s="2"/>
      <x:c r="I408" s="2"/>
      <x:c r="J408" s="2"/>
      <x:c r="K408" s="2"/>
      <x:c r="L408" s="15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</x:row>
    <x:row r="409" ht="22" customHeight="1">
      <x:c r="A409" s="2"/>
      <x:c r="B409" s="2"/>
      <x:c r="C409" s="2"/>
      <x:c r="D409" s="2"/>
      <x:c r="E409" s="2"/>
      <x:c r="F409" s="2"/>
      <x:c r="G409" s="2"/>
      <x:c r="H409" s="2"/>
      <x:c r="I409" s="2"/>
      <x:c r="J409" s="2"/>
      <x:c r="K409" s="2"/>
      <x:c r="L409" s="15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</x:row>
    <x:row r="410" ht="22" customHeight="1">
      <x:c r="A410" s="2"/>
      <x:c r="B410" s="2"/>
      <x:c r="C410" s="2"/>
      <x:c r="D410" s="2"/>
      <x:c r="E410" s="2"/>
      <x:c r="F410" s="2"/>
      <x:c r="G410" s="2"/>
      <x:c r="H410" s="2"/>
      <x:c r="I410" s="2"/>
      <x:c r="J410" s="2"/>
      <x:c r="K410" s="2"/>
      <x:c r="L410" s="15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</x:row>
    <x:row r="411" ht="22" customHeight="1">
      <x:c r="A411" s="2"/>
      <x:c r="B411" s="2"/>
      <x:c r="C411" s="2"/>
      <x:c r="D411" s="2"/>
      <x:c r="E411" s="2"/>
      <x:c r="F411" s="2"/>
      <x:c r="G411" s="2"/>
      <x:c r="H411" s="2"/>
      <x:c r="I411" s="2"/>
      <x:c r="J411" s="2"/>
      <x:c r="K411" s="2"/>
      <x:c r="L411" s="15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</x:row>
    <x:row r="412" ht="22" customHeight="1">
      <x:c r="A412" s="2"/>
      <x:c r="B412" s="2"/>
      <x:c r="C412" s="2"/>
      <x:c r="D412" s="2"/>
      <x:c r="E412" s="2"/>
      <x:c r="F412" s="2"/>
      <x:c r="G412" s="2"/>
      <x:c r="H412" s="2"/>
      <x:c r="I412" s="2"/>
      <x:c r="J412" s="2"/>
      <x:c r="K412" s="2"/>
      <x:c r="L412" s="15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</x:row>
    <x:row r="413" ht="22" customHeight="1">
      <x:c r="A413" s="2"/>
      <x:c r="B413" s="2"/>
      <x:c r="C413" s="2"/>
      <x:c r="D413" s="2"/>
      <x:c r="E413" s="2"/>
      <x:c r="F413" s="2"/>
      <x:c r="G413" s="2"/>
      <x:c r="H413" s="2"/>
      <x:c r="I413" s="2"/>
      <x:c r="J413" s="2"/>
      <x:c r="K413" s="2"/>
      <x:c r="L413" s="15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</x:row>
    <x:row r="414" ht="22" customHeight="1">
      <x:c r="A414" s="2"/>
      <x:c r="B414" s="2"/>
      <x:c r="C414" s="2"/>
      <x:c r="D414" s="2"/>
      <x:c r="E414" s="2"/>
      <x:c r="F414" s="2"/>
      <x:c r="G414" s="2"/>
      <x:c r="H414" s="2"/>
      <x:c r="I414" s="2"/>
      <x:c r="J414" s="2"/>
      <x:c r="K414" s="2"/>
      <x:c r="L414" s="15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</x:row>
    <x:row r="415" ht="22" customHeight="1">
      <x:c r="A415" s="2"/>
      <x:c r="B415" s="2"/>
      <x:c r="C415" s="2"/>
      <x:c r="D415" s="2"/>
      <x:c r="E415" s="2"/>
      <x:c r="F415" s="2"/>
      <x:c r="G415" s="2"/>
      <x:c r="H415" s="2"/>
      <x:c r="I415" s="2"/>
      <x:c r="J415" s="2"/>
      <x:c r="K415" s="2"/>
      <x:c r="L415" s="15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</x:row>
    <x:row r="416" ht="22" customHeight="1">
      <x:c r="A416" s="2"/>
      <x:c r="B416" s="2"/>
      <x:c r="C416" s="2"/>
      <x:c r="D416" s="2"/>
      <x:c r="E416" s="2"/>
      <x:c r="F416" s="2"/>
      <x:c r="G416" s="2"/>
      <x:c r="H416" s="2"/>
      <x:c r="I416" s="2"/>
      <x:c r="J416" s="2"/>
      <x:c r="K416" s="2"/>
      <x:c r="L416" s="15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</x:row>
    <x:row r="417" ht="22" customHeight="1">
      <x:c r="A417" s="2"/>
      <x:c r="B417" s="2"/>
      <x:c r="C417" s="2"/>
      <x:c r="D417" s="2"/>
      <x:c r="E417" s="2"/>
      <x:c r="F417" s="2"/>
      <x:c r="G417" s="2"/>
      <x:c r="H417" s="2"/>
      <x:c r="I417" s="2"/>
      <x:c r="J417" s="2"/>
      <x:c r="K417" s="2"/>
      <x:c r="L417" s="15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</x:row>
    <x:row r="418" ht="22" customHeight="1">
      <x:c r="A418" s="2"/>
      <x:c r="B418" s="2"/>
      <x:c r="C418" s="2"/>
      <x:c r="D418" s="2"/>
      <x:c r="E418" s="2"/>
      <x:c r="F418" s="2"/>
      <x:c r="G418" s="2"/>
      <x:c r="H418" s="2"/>
      <x:c r="I418" s="2"/>
      <x:c r="J418" s="2"/>
      <x:c r="K418" s="2"/>
      <x:c r="L418" s="15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</x:row>
    <x:row r="419" ht="22" customHeight="1">
      <x:c r="A419" s="2"/>
      <x:c r="B419" s="2"/>
      <x:c r="C419" s="2"/>
      <x:c r="D419" s="2"/>
      <x:c r="E419" s="2"/>
      <x:c r="F419" s="2"/>
      <x:c r="G419" s="2"/>
      <x:c r="H419" s="2"/>
      <x:c r="I419" s="2"/>
      <x:c r="J419" s="2"/>
      <x:c r="K419" s="2"/>
      <x:c r="L419" s="15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</x:row>
    <x:row r="420" ht="22" customHeight="1">
      <x:c r="A420" s="2"/>
      <x:c r="B420" s="2"/>
      <x:c r="C420" s="2"/>
      <x:c r="D420" s="2"/>
      <x:c r="E420" s="2"/>
      <x:c r="F420" s="2"/>
      <x:c r="G420" s="2"/>
      <x:c r="H420" s="2"/>
      <x:c r="I420" s="2"/>
      <x:c r="J420" s="2"/>
      <x:c r="K420" s="2"/>
      <x:c r="L420" s="15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</x:row>
    <x:row r="421" ht="22" customHeight="1">
      <x:c r="A421" s="2"/>
      <x:c r="B421" s="2"/>
      <x:c r="C421" s="2"/>
      <x:c r="D421" s="2"/>
      <x:c r="E421" s="2"/>
      <x:c r="F421" s="2"/>
      <x:c r="G421" s="2"/>
      <x:c r="H421" s="2"/>
      <x:c r="I421" s="2"/>
      <x:c r="J421" s="2"/>
      <x:c r="K421" s="2"/>
      <x:c r="L421" s="15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</x:row>
    <x:row r="422" ht="22" customHeight="1">
      <x:c r="A422" s="2"/>
      <x:c r="B422" s="2"/>
      <x:c r="C422" s="2"/>
      <x:c r="D422" s="2"/>
      <x:c r="E422" s="2"/>
      <x:c r="F422" s="2"/>
      <x:c r="G422" s="2"/>
      <x:c r="H422" s="2"/>
      <x:c r="I422" s="2"/>
      <x:c r="J422" s="2"/>
      <x:c r="K422" s="2"/>
      <x:c r="L422" s="15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</x:row>
    <x:row r="423" ht="22" customHeight="1">
      <x:c r="A423" s="2"/>
      <x:c r="B423" s="2"/>
      <x:c r="C423" s="2"/>
      <x:c r="D423" s="2"/>
      <x:c r="E423" s="2"/>
      <x:c r="F423" s="2"/>
      <x:c r="G423" s="2"/>
      <x:c r="H423" s="2"/>
      <x:c r="I423" s="2"/>
      <x:c r="J423" s="2"/>
      <x:c r="K423" s="2"/>
      <x:c r="L423" s="15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</x:row>
    <x:row r="424" ht="22" customHeight="1">
      <x:c r="A424" s="2"/>
      <x:c r="B424" s="2"/>
      <x:c r="C424" s="2"/>
      <x:c r="D424" s="2"/>
      <x:c r="E424" s="2"/>
      <x:c r="F424" s="2"/>
      <x:c r="G424" s="2"/>
      <x:c r="H424" s="2"/>
      <x:c r="I424" s="2"/>
      <x:c r="J424" s="2"/>
      <x:c r="K424" s="2"/>
      <x:c r="L424" s="15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</x:row>
    <x:row r="425" ht="22" customHeight="1">
      <x:c r="A425" s="2"/>
      <x:c r="B425" s="2"/>
      <x:c r="C425" s="2"/>
      <x:c r="D425" s="2"/>
      <x:c r="E425" s="2"/>
      <x:c r="F425" s="2"/>
      <x:c r="G425" s="2"/>
      <x:c r="H425" s="2"/>
      <x:c r="I425" s="2"/>
      <x:c r="J425" s="2"/>
      <x:c r="K425" s="2"/>
      <x:c r="L425" s="15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</x:row>
    <x:row r="426" ht="22" customHeight="1">
      <x:c r="A426" s="2"/>
      <x:c r="B426" s="2"/>
      <x:c r="C426" s="2"/>
      <x:c r="D426" s="2"/>
      <x:c r="E426" s="2"/>
      <x:c r="F426" s="2"/>
      <x:c r="G426" s="2"/>
      <x:c r="H426" s="2"/>
      <x:c r="I426" s="2"/>
      <x:c r="J426" s="2"/>
      <x:c r="K426" s="2"/>
      <x:c r="L426" s="15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</x:row>
    <x:row r="427" ht="22" customHeight="1">
      <x:c r="A427" s="2"/>
      <x:c r="B427" s="2"/>
      <x:c r="C427" s="2"/>
      <x:c r="D427" s="2"/>
      <x:c r="E427" s="2"/>
      <x:c r="F427" s="2"/>
      <x:c r="G427" s="2"/>
      <x:c r="H427" s="2"/>
      <x:c r="I427" s="2"/>
      <x:c r="J427" s="2"/>
      <x:c r="K427" s="2"/>
      <x:c r="L427" s="15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</x:row>
    <x:row r="428" ht="22" customHeight="1">
      <x:c r="A428" s="2"/>
      <x:c r="B428" s="2"/>
      <x:c r="C428" s="2"/>
      <x:c r="D428" s="2"/>
      <x:c r="E428" s="2"/>
      <x:c r="F428" s="2"/>
      <x:c r="G428" s="2"/>
      <x:c r="H428" s="2"/>
      <x:c r="I428" s="2"/>
      <x:c r="J428" s="2"/>
      <x:c r="K428" s="2"/>
      <x:c r="L428" s="15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</x:row>
    <x:row r="429" ht="22" customHeight="1">
      <x:c r="A429" s="2"/>
      <x:c r="B429" s="2"/>
      <x:c r="C429" s="2"/>
      <x:c r="D429" s="2"/>
      <x:c r="E429" s="2"/>
      <x:c r="F429" s="2"/>
      <x:c r="G429" s="2"/>
      <x:c r="H429" s="2"/>
      <x:c r="I429" s="2"/>
      <x:c r="J429" s="2"/>
      <x:c r="K429" s="2"/>
      <x:c r="L429" s="15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</x:row>
    <x:row r="430" ht="22" customHeight="1">
      <x:c r="A430" s="2"/>
      <x:c r="B430" s="2"/>
      <x:c r="C430" s="2"/>
      <x:c r="D430" s="2"/>
      <x:c r="E430" s="2"/>
      <x:c r="F430" s="2"/>
      <x:c r="G430" s="2"/>
      <x:c r="H430" s="2"/>
      <x:c r="I430" s="2"/>
      <x:c r="J430" s="2"/>
      <x:c r="K430" s="2"/>
      <x:c r="L430" s="15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</x:row>
    <x:row r="431" ht="22" customHeight="1">
      <x:c r="A431" s="2"/>
      <x:c r="B431" s="2"/>
      <x:c r="C431" s="2"/>
      <x:c r="D431" s="2"/>
      <x:c r="E431" s="2"/>
      <x:c r="F431" s="2"/>
      <x:c r="G431" s="2"/>
      <x:c r="H431" s="2"/>
      <x:c r="I431" s="2"/>
      <x:c r="J431" s="2"/>
      <x:c r="K431" s="2"/>
      <x:c r="L431" s="15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</x:row>
    <x:row r="432" ht="22" customHeight="1">
      <x:c r="A432" s="2"/>
      <x:c r="B432" s="2"/>
      <x:c r="C432" s="2"/>
      <x:c r="D432" s="2"/>
      <x:c r="E432" s="2"/>
      <x:c r="F432" s="2"/>
      <x:c r="G432" s="2"/>
      <x:c r="H432" s="2"/>
      <x:c r="I432" s="2"/>
      <x:c r="J432" s="2"/>
      <x:c r="K432" s="2"/>
      <x:c r="L432" s="15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</x:row>
    <x:row r="433" ht="22" customHeight="1">
      <x:c r="A433" s="2"/>
      <x:c r="B433" s="2"/>
      <x:c r="C433" s="2"/>
      <x:c r="D433" s="2"/>
      <x:c r="E433" s="2"/>
      <x:c r="F433" s="2"/>
      <x:c r="G433" s="2"/>
      <x:c r="H433" s="2"/>
      <x:c r="I433" s="2"/>
      <x:c r="J433" s="2"/>
      <x:c r="K433" s="2"/>
      <x:c r="L433" s="15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</x:row>
    <x:row r="434" ht="22" customHeight="1">
      <x:c r="A434" s="2"/>
      <x:c r="B434" s="2"/>
      <x:c r="C434" s="2"/>
      <x:c r="D434" s="2"/>
      <x:c r="E434" s="2"/>
      <x:c r="F434" s="2"/>
      <x:c r="G434" s="2"/>
      <x:c r="H434" s="2"/>
      <x:c r="I434" s="2"/>
      <x:c r="J434" s="2"/>
      <x:c r="K434" s="2"/>
      <x:c r="L434" s="15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</x:row>
    <x:row r="435" ht="22" customHeight="1">
      <x:c r="A435" s="2"/>
      <x:c r="B435" s="2"/>
      <x:c r="C435" s="2"/>
      <x:c r="D435" s="2"/>
      <x:c r="E435" s="2"/>
      <x:c r="F435" s="2"/>
      <x:c r="G435" s="2"/>
      <x:c r="H435" s="2"/>
      <x:c r="I435" s="2"/>
      <x:c r="J435" s="2"/>
      <x:c r="K435" s="2"/>
      <x:c r="L435" s="15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</x:row>
    <x:row r="436" ht="22" customHeight="1">
      <x:c r="A436" s="2"/>
      <x:c r="B436" s="2"/>
      <x:c r="C436" s="2"/>
      <x:c r="D436" s="2"/>
      <x:c r="E436" s="2"/>
      <x:c r="F436" s="2"/>
      <x:c r="G436" s="2"/>
      <x:c r="H436" s="2"/>
      <x:c r="I436" s="2"/>
      <x:c r="J436" s="2"/>
      <x:c r="K436" s="2"/>
      <x:c r="L436" s="15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</x:row>
    <x:row r="437" ht="22" customHeight="1">
      <x:c r="A437" s="2"/>
      <x:c r="B437" s="2"/>
      <x:c r="C437" s="2"/>
      <x:c r="D437" s="2"/>
      <x:c r="E437" s="2"/>
      <x:c r="F437" s="2"/>
      <x:c r="G437" s="2"/>
      <x:c r="H437" s="2"/>
      <x:c r="I437" s="2"/>
      <x:c r="J437" s="2"/>
      <x:c r="K437" s="2"/>
      <x:c r="L437" s="15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</x:row>
    <x:row r="438" ht="22" customHeight="1">
      <x:c r="A438" s="2"/>
      <x:c r="B438" s="2"/>
      <x:c r="C438" s="2"/>
      <x:c r="D438" s="2"/>
      <x:c r="E438" s="2"/>
      <x:c r="F438" s="2"/>
      <x:c r="G438" s="2"/>
      <x:c r="H438" s="2"/>
      <x:c r="I438" s="2"/>
      <x:c r="J438" s="2"/>
      <x:c r="K438" s="2"/>
      <x:c r="L438" s="15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</x:row>
    <x:row r="439" ht="22" customHeight="1">
      <x:c r="A439" s="2"/>
      <x:c r="B439" s="2"/>
      <x:c r="C439" s="2"/>
      <x:c r="D439" s="2"/>
      <x:c r="E439" s="2"/>
      <x:c r="F439" s="2"/>
      <x:c r="G439" s="2"/>
      <x:c r="H439" s="2"/>
      <x:c r="I439" s="2"/>
      <x:c r="J439" s="2"/>
      <x:c r="K439" s="2"/>
      <x:c r="L439" s="15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</x:row>
    <x:row r="440" ht="22" customHeight="1">
      <x:c r="A440" s="2"/>
      <x:c r="B440" s="2"/>
      <x:c r="C440" s="2"/>
      <x:c r="D440" s="2"/>
      <x:c r="E440" s="2"/>
      <x:c r="F440" s="2"/>
      <x:c r="G440" s="2"/>
      <x:c r="H440" s="2"/>
      <x:c r="I440" s="2"/>
      <x:c r="J440" s="2"/>
      <x:c r="K440" s="2"/>
      <x:c r="L440" s="15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</x:row>
    <x:row r="441" ht="22" customHeight="1">
      <x:c r="A441" s="2"/>
      <x:c r="B441" s="2"/>
      <x:c r="C441" s="2"/>
      <x:c r="D441" s="2"/>
      <x:c r="E441" s="2"/>
      <x:c r="F441" s="2"/>
      <x:c r="G441" s="2"/>
      <x:c r="H441" s="2"/>
      <x:c r="I441" s="2"/>
      <x:c r="J441" s="2"/>
      <x:c r="K441" s="2"/>
      <x:c r="L441" s="15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</x:row>
    <x:row r="442" ht="22" customHeight="1">
      <x:c r="A442" s="2"/>
      <x:c r="B442" s="2"/>
      <x:c r="C442" s="2"/>
      <x:c r="D442" s="2"/>
      <x:c r="E442" s="2"/>
      <x:c r="F442" s="2"/>
      <x:c r="G442" s="2"/>
      <x:c r="H442" s="2"/>
      <x:c r="I442" s="2"/>
      <x:c r="J442" s="2"/>
      <x:c r="K442" s="2"/>
      <x:c r="L442" s="15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</x:row>
    <x:row r="443" ht="22" customHeight="1">
      <x:c r="A443" s="2"/>
      <x:c r="B443" s="2"/>
      <x:c r="C443" s="2"/>
      <x:c r="D443" s="2"/>
      <x:c r="E443" s="2"/>
      <x:c r="F443" s="2"/>
      <x:c r="G443" s="2"/>
      <x:c r="H443" s="2"/>
      <x:c r="I443" s="2"/>
      <x:c r="J443" s="2"/>
      <x:c r="K443" s="2"/>
      <x:c r="L443" s="15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</x:row>
    <x:row r="444" ht="22" customHeight="1">
      <x:c r="A444" s="2"/>
      <x:c r="B444" s="2"/>
      <x:c r="C444" s="2"/>
      <x:c r="D444" s="2"/>
      <x:c r="E444" s="2"/>
      <x:c r="F444" s="2"/>
      <x:c r="G444" s="2"/>
      <x:c r="H444" s="2"/>
      <x:c r="I444" s="2"/>
      <x:c r="J444" s="2"/>
      <x:c r="K444" s="2"/>
      <x:c r="L444" s="15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</x:row>
    <x:row r="445" ht="22" customHeight="1">
      <x:c r="A445" s="2"/>
      <x:c r="B445" s="2"/>
      <x:c r="C445" s="2"/>
      <x:c r="D445" s="2"/>
      <x:c r="E445" s="2"/>
      <x:c r="F445" s="2"/>
      <x:c r="G445" s="2"/>
      <x:c r="H445" s="2"/>
      <x:c r="I445" s="2"/>
      <x:c r="J445" s="2"/>
      <x:c r="K445" s="2"/>
      <x:c r="L445" s="15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</x:row>
    <x:row r="446" ht="22" customHeight="1">
      <x:c r="A446" s="2"/>
      <x:c r="B446" s="2"/>
      <x:c r="C446" s="2"/>
      <x:c r="D446" s="2"/>
      <x:c r="E446" s="2"/>
      <x:c r="F446" s="2"/>
      <x:c r="G446" s="2"/>
      <x:c r="H446" s="2"/>
      <x:c r="I446" s="2"/>
      <x:c r="J446" s="2"/>
      <x:c r="K446" s="2"/>
      <x:c r="L446" s="15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</x:row>
    <x:row r="447" ht="22" customHeight="1">
      <x:c r="A447" s="2"/>
      <x:c r="B447" s="2"/>
      <x:c r="C447" s="2"/>
      <x:c r="D447" s="2"/>
      <x:c r="E447" s="2"/>
      <x:c r="F447" s="2"/>
      <x:c r="G447" s="2"/>
      <x:c r="H447" s="2"/>
      <x:c r="I447" s="2"/>
      <x:c r="J447" s="2"/>
      <x:c r="K447" s="2"/>
      <x:c r="L447" s="15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</x:row>
    <x:row r="448" ht="22" customHeight="1">
      <x:c r="A448" s="2"/>
      <x:c r="B448" s="2"/>
      <x:c r="C448" s="2"/>
      <x:c r="D448" s="2"/>
      <x:c r="E448" s="2"/>
      <x:c r="F448" s="2"/>
      <x:c r="G448" s="2"/>
      <x:c r="H448" s="2"/>
      <x:c r="I448" s="2"/>
      <x:c r="J448" s="2"/>
      <x:c r="K448" s="2"/>
      <x:c r="L448" s="15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</x:row>
    <x:row r="449" ht="22" customHeight="1">
      <x:c r="A449" s="2"/>
      <x:c r="B449" s="2"/>
      <x:c r="C449" s="2"/>
      <x:c r="D449" s="2"/>
      <x:c r="E449" s="2"/>
      <x:c r="F449" s="2"/>
      <x:c r="G449" s="2"/>
      <x:c r="H449" s="2"/>
      <x:c r="I449" s="2"/>
      <x:c r="J449" s="2"/>
      <x:c r="K449" s="2"/>
      <x:c r="L449" s="15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</x:row>
    <x:row r="450" ht="22" customHeight="1">
      <x:c r="A450" s="2"/>
      <x:c r="B450" s="2"/>
      <x:c r="C450" s="2"/>
      <x:c r="D450" s="2"/>
      <x:c r="E450" s="2"/>
      <x:c r="F450" s="2"/>
      <x:c r="G450" s="2"/>
      <x:c r="H450" s="2"/>
      <x:c r="I450" s="2"/>
      <x:c r="J450" s="2"/>
      <x:c r="K450" s="2"/>
      <x:c r="L450" s="15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</x:row>
    <x:row r="451" ht="22" customHeight="1">
      <x:c r="A451" s="2"/>
      <x:c r="B451" s="2"/>
      <x:c r="C451" s="2"/>
      <x:c r="D451" s="2"/>
      <x:c r="E451" s="2"/>
      <x:c r="F451" s="2"/>
      <x:c r="G451" s="2"/>
      <x:c r="H451" s="2"/>
      <x:c r="I451" s="2"/>
      <x:c r="J451" s="2"/>
      <x:c r="K451" s="2"/>
      <x:c r="L451" s="15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</x:row>
    <x:row r="452" ht="22" customHeight="1">
      <x:c r="A452" s="2"/>
      <x:c r="B452" s="2"/>
      <x:c r="C452" s="2"/>
      <x:c r="D452" s="2"/>
      <x:c r="E452" s="2"/>
      <x:c r="F452" s="2"/>
      <x:c r="G452" s="2"/>
      <x:c r="H452" s="2"/>
      <x:c r="I452" s="2"/>
      <x:c r="J452" s="2"/>
      <x:c r="K452" s="2"/>
      <x:c r="L452" s="15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</x:row>
    <x:row r="453" ht="22" customHeight="1">
      <x:c r="A453" s="2"/>
      <x:c r="B453" s="2"/>
      <x:c r="C453" s="2"/>
      <x:c r="D453" s="2"/>
      <x:c r="E453" s="2"/>
      <x:c r="F453" s="2"/>
      <x:c r="G453" s="2"/>
      <x:c r="H453" s="2"/>
      <x:c r="I453" s="2"/>
      <x:c r="J453" s="2"/>
      <x:c r="K453" s="2"/>
      <x:c r="L453" s="15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</x:row>
    <x:row r="454" ht="22" customHeight="1">
      <x:c r="A454" s="2"/>
      <x:c r="B454" s="2"/>
      <x:c r="C454" s="2"/>
      <x:c r="D454" s="2"/>
      <x:c r="E454" s="2"/>
      <x:c r="F454" s="2"/>
      <x:c r="G454" s="2"/>
      <x:c r="H454" s="2"/>
      <x:c r="I454" s="2"/>
      <x:c r="J454" s="2"/>
      <x:c r="K454" s="2"/>
      <x:c r="L454" s="15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</x:row>
    <x:row r="455" ht="22" customHeight="1">
      <x:c r="A455" s="2"/>
      <x:c r="B455" s="2"/>
      <x:c r="C455" s="2"/>
      <x:c r="D455" s="2"/>
      <x:c r="E455" s="2"/>
      <x:c r="F455" s="2"/>
      <x:c r="G455" s="2"/>
      <x:c r="H455" s="2"/>
      <x:c r="I455" s="2"/>
      <x:c r="J455" s="2"/>
      <x:c r="K455" s="2"/>
      <x:c r="L455" s="15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</x:row>
    <x:row r="456" ht="22" customHeight="1">
      <x:c r="A456" s="2"/>
      <x:c r="B456" s="2"/>
      <x:c r="C456" s="2"/>
      <x:c r="D456" s="2"/>
      <x:c r="E456" s="2"/>
      <x:c r="F456" s="2"/>
      <x:c r="G456" s="2"/>
      <x:c r="H456" s="2"/>
      <x:c r="I456" s="2"/>
      <x:c r="J456" s="2"/>
      <x:c r="K456" s="2"/>
      <x:c r="L456" s="15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</x:row>
    <x:row r="457" ht="22" customHeight="1">
      <x:c r="A457" s="2"/>
      <x:c r="B457" s="2"/>
      <x:c r="C457" s="2"/>
      <x:c r="D457" s="2"/>
      <x:c r="E457" s="2"/>
      <x:c r="F457" s="2"/>
      <x:c r="G457" s="2"/>
      <x:c r="H457" s="2"/>
      <x:c r="I457" s="2"/>
      <x:c r="J457" s="2"/>
      <x:c r="K457" s="2"/>
      <x:c r="L457" s="15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</x:row>
    <x:row r="458" ht="22" customHeight="1">
      <x:c r="A458" s="2"/>
      <x:c r="B458" s="2"/>
      <x:c r="C458" s="2"/>
      <x:c r="D458" s="2"/>
      <x:c r="E458" s="2"/>
      <x:c r="F458" s="2"/>
      <x:c r="G458" s="2"/>
      <x:c r="H458" s="2"/>
      <x:c r="I458" s="2"/>
      <x:c r="J458" s="2"/>
      <x:c r="K458" s="2"/>
      <x:c r="L458" s="15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</x:row>
    <x:row r="459" ht="22" customHeight="1">
      <x:c r="A459" s="2"/>
      <x:c r="B459" s="2"/>
      <x:c r="C459" s="2"/>
      <x:c r="D459" s="2"/>
      <x:c r="E459" s="2"/>
      <x:c r="F459" s="2"/>
      <x:c r="G459" s="2"/>
      <x:c r="H459" s="2"/>
      <x:c r="I459" s="2"/>
      <x:c r="J459" s="2"/>
      <x:c r="K459" s="2"/>
      <x:c r="L459" s="15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</x:row>
    <x:row r="460" ht="22" customHeight="1">
      <x:c r="A460" s="2"/>
      <x:c r="B460" s="2"/>
      <x:c r="C460" s="2"/>
      <x:c r="D460" s="2"/>
      <x:c r="E460" s="2"/>
      <x:c r="F460" s="2"/>
      <x:c r="G460" s="2"/>
      <x:c r="H460" s="2"/>
      <x:c r="I460" s="2"/>
      <x:c r="J460" s="2"/>
      <x:c r="K460" s="2"/>
      <x:c r="L460" s="15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</x:row>
    <x:row r="461" ht="22" customHeight="1">
      <x:c r="A461" s="2"/>
      <x:c r="B461" s="2"/>
      <x:c r="C461" s="2"/>
      <x:c r="D461" s="2"/>
      <x:c r="E461" s="2"/>
      <x:c r="F461" s="2"/>
      <x:c r="G461" s="2"/>
      <x:c r="H461" s="2"/>
      <x:c r="I461" s="2"/>
      <x:c r="J461" s="2"/>
      <x:c r="K461" s="2"/>
      <x:c r="L461" s="15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</x:row>
    <x:row r="462" ht="22" customHeight="1">
      <x:c r="A462" s="2"/>
      <x:c r="B462" s="2"/>
      <x:c r="C462" s="2"/>
      <x:c r="D462" s="2"/>
      <x:c r="E462" s="2"/>
      <x:c r="F462" s="2"/>
      <x:c r="G462" s="2"/>
      <x:c r="H462" s="2"/>
      <x:c r="I462" s="2"/>
      <x:c r="J462" s="2"/>
      <x:c r="K462" s="2"/>
      <x:c r="L462" s="15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</x:row>
    <x:row r="463" ht="22" customHeight="1">
      <x:c r="A463" s="2"/>
      <x:c r="B463" s="2"/>
      <x:c r="C463" s="2"/>
      <x:c r="D463" s="2"/>
      <x:c r="E463" s="2"/>
      <x:c r="F463" s="2"/>
      <x:c r="G463" s="2"/>
      <x:c r="H463" s="2"/>
      <x:c r="I463" s="2"/>
      <x:c r="J463" s="2"/>
      <x:c r="K463" s="2"/>
      <x:c r="L463" s="15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</x:row>
    <x:row r="464" ht="22" customHeight="1">
      <x:c r="A464" s="2"/>
      <x:c r="B464" s="2"/>
      <x:c r="C464" s="2"/>
      <x:c r="D464" s="2"/>
      <x:c r="E464" s="2"/>
      <x:c r="F464" s="2"/>
      <x:c r="G464" s="2"/>
      <x:c r="H464" s="2"/>
      <x:c r="I464" s="2"/>
      <x:c r="J464" s="2"/>
      <x:c r="K464" s="2"/>
      <x:c r="L464" s="15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</x:row>
    <x:row r="465" ht="22" customHeight="1">
      <x:c r="A465" s="2"/>
      <x:c r="B465" s="2"/>
      <x:c r="C465" s="2"/>
      <x:c r="D465" s="2"/>
      <x:c r="E465" s="2"/>
      <x:c r="F465" s="2"/>
      <x:c r="G465" s="2"/>
      <x:c r="H465" s="2"/>
      <x:c r="I465" s="2"/>
      <x:c r="J465" s="2"/>
      <x:c r="K465" s="2"/>
      <x:c r="L465" s="15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</x:row>
    <x:row r="466" ht="22" customHeight="1">
      <x:c r="A466" s="2"/>
      <x:c r="B466" s="2"/>
      <x:c r="C466" s="2"/>
      <x:c r="D466" s="2"/>
      <x:c r="E466" s="2"/>
      <x:c r="F466" s="2"/>
      <x:c r="G466" s="2"/>
      <x:c r="H466" s="2"/>
      <x:c r="I466" s="2"/>
      <x:c r="J466" s="2"/>
      <x:c r="K466" s="2"/>
      <x:c r="L466" s="15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</x:row>
    <x:row r="467" ht="22" customHeight="1">
      <x:c r="A467" s="2"/>
      <x:c r="B467" s="2"/>
      <x:c r="C467" s="2"/>
      <x:c r="D467" s="2"/>
      <x:c r="E467" s="2"/>
      <x:c r="F467" s="2"/>
      <x:c r="G467" s="2"/>
      <x:c r="H467" s="2"/>
      <x:c r="I467" s="2"/>
      <x:c r="J467" s="2"/>
      <x:c r="K467" s="2"/>
      <x:c r="L467" s="15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</x:row>
    <x:row r="468" ht="22" customHeight="1">
      <x:c r="A468" s="2"/>
      <x:c r="B468" s="2"/>
      <x:c r="C468" s="2"/>
      <x:c r="D468" s="2"/>
      <x:c r="E468" s="2"/>
      <x:c r="F468" s="2"/>
      <x:c r="G468" s="2"/>
      <x:c r="H468" s="2"/>
      <x:c r="I468" s="2"/>
      <x:c r="J468" s="2"/>
      <x:c r="K468" s="2"/>
      <x:c r="L468" s="15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</x:row>
    <x:row r="469" ht="22" customHeight="1">
      <x:c r="A469" s="2"/>
      <x:c r="B469" s="2"/>
      <x:c r="C469" s="2"/>
      <x:c r="D469" s="2"/>
      <x:c r="E469" s="2"/>
      <x:c r="F469" s="2"/>
      <x:c r="G469" s="2"/>
      <x:c r="H469" s="2"/>
      <x:c r="I469" s="2"/>
      <x:c r="J469" s="2"/>
      <x:c r="K469" s="2"/>
      <x:c r="L469" s="15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</x:row>
    <x:row r="470" ht="22" customHeight="1">
      <x:c r="A470" s="2"/>
      <x:c r="B470" s="2"/>
      <x:c r="C470" s="2"/>
      <x:c r="D470" s="2"/>
      <x:c r="E470" s="2"/>
      <x:c r="F470" s="2"/>
      <x:c r="G470" s="2"/>
      <x:c r="H470" s="2"/>
      <x:c r="I470" s="2"/>
      <x:c r="J470" s="2"/>
      <x:c r="K470" s="2"/>
      <x:c r="L470" s="15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</x:row>
    <x:row r="471" ht="22" customHeight="1">
      <x:c r="A471" s="2"/>
      <x:c r="B471" s="2"/>
      <x:c r="C471" s="2"/>
      <x:c r="D471" s="2"/>
      <x:c r="E471" s="2"/>
      <x:c r="F471" s="2"/>
      <x:c r="G471" s="2"/>
      <x:c r="H471" s="2"/>
      <x:c r="I471" s="2"/>
      <x:c r="J471" s="2"/>
      <x:c r="K471" s="2"/>
      <x:c r="L471" s="15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</x:row>
    <x:row r="472" ht="22" customHeight="1">
      <x:c r="A472" s="2"/>
      <x:c r="B472" s="2"/>
      <x:c r="C472" s="2"/>
      <x:c r="D472" s="2"/>
      <x:c r="E472" s="2"/>
      <x:c r="F472" s="2"/>
      <x:c r="G472" s="2"/>
      <x:c r="H472" s="2"/>
      <x:c r="I472" s="2"/>
      <x:c r="J472" s="2"/>
      <x:c r="K472" s="2"/>
      <x:c r="L472" s="15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</x:row>
    <x:row r="473" ht="22" customHeight="1">
      <x:c r="A473" s="2"/>
      <x:c r="B473" s="2"/>
      <x:c r="C473" s="2"/>
      <x:c r="D473" s="2"/>
      <x:c r="E473" s="2"/>
      <x:c r="F473" s="2"/>
      <x:c r="G473" s="2"/>
      <x:c r="H473" s="2"/>
      <x:c r="I473" s="2"/>
      <x:c r="J473" s="2"/>
      <x:c r="K473" s="2"/>
      <x:c r="L473" s="15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</x:row>
    <x:row r="474" ht="22" customHeight="1">
      <x:c r="A474" s="2"/>
      <x:c r="B474" s="2"/>
      <x:c r="C474" s="2"/>
      <x:c r="D474" s="2"/>
      <x:c r="E474" s="2"/>
      <x:c r="F474" s="2"/>
      <x:c r="G474" s="2"/>
      <x:c r="H474" s="2"/>
      <x:c r="I474" s="2"/>
      <x:c r="J474" s="2"/>
      <x:c r="K474" s="2"/>
      <x:c r="L474" s="15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</x:row>
    <x:row r="475" ht="22" customHeight="1">
      <x:c r="A475" s="2"/>
      <x:c r="B475" s="2"/>
      <x:c r="C475" s="2"/>
      <x:c r="D475" s="2"/>
      <x:c r="E475" s="2"/>
      <x:c r="F475" s="2"/>
      <x:c r="G475" s="2"/>
      <x:c r="H475" s="2"/>
      <x:c r="I475" s="2"/>
      <x:c r="J475" s="2"/>
      <x:c r="K475" s="2"/>
      <x:c r="L475" s="15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</x:row>
    <x:row r="476" ht="22" customHeight="1">
      <x:c r="A476" s="2"/>
      <x:c r="B476" s="2"/>
      <x:c r="C476" s="2"/>
      <x:c r="D476" s="2"/>
      <x:c r="E476" s="2"/>
      <x:c r="F476" s="2"/>
      <x:c r="G476" s="2"/>
      <x:c r="H476" s="2"/>
      <x:c r="I476" s="2"/>
      <x:c r="J476" s="2"/>
      <x:c r="K476" s="2"/>
      <x:c r="L476" s="15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</x:row>
    <x:row r="477" ht="22" customHeight="1">
      <x:c r="A477" s="2"/>
      <x:c r="B477" s="2"/>
      <x:c r="C477" s="2"/>
      <x:c r="D477" s="2"/>
      <x:c r="E477" s="2"/>
      <x:c r="F477" s="2"/>
      <x:c r="G477" s="2"/>
      <x:c r="H477" s="2"/>
      <x:c r="I477" s="2"/>
      <x:c r="J477" s="2"/>
      <x:c r="K477" s="2"/>
      <x:c r="L477" s="15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</x:row>
    <x:row r="478" ht="22" customHeight="1">
      <x:c r="A478" s="2"/>
      <x:c r="B478" s="2"/>
      <x:c r="C478" s="2"/>
      <x:c r="D478" s="2"/>
      <x:c r="E478" s="2"/>
      <x:c r="F478" s="2"/>
      <x:c r="G478" s="2"/>
      <x:c r="H478" s="2"/>
      <x:c r="I478" s="2"/>
      <x:c r="J478" s="2"/>
      <x:c r="K478" s="2"/>
      <x:c r="L478" s="15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</x:row>
    <x:row r="479" ht="22" customHeight="1">
      <x:c r="A479" s="2"/>
      <x:c r="B479" s="2"/>
      <x:c r="C479" s="2"/>
      <x:c r="D479" s="2"/>
      <x:c r="E479" s="2"/>
      <x:c r="F479" s="2"/>
      <x:c r="G479" s="2"/>
      <x:c r="H479" s="2"/>
      <x:c r="I479" s="2"/>
      <x:c r="J479" s="2"/>
      <x:c r="K479" s="2"/>
      <x:c r="L479" s="15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</x:row>
    <x:row r="480" ht="22" customHeight="1">
      <x:c r="A480" s="2"/>
      <x:c r="B480" s="2"/>
      <x:c r="C480" s="2"/>
      <x:c r="D480" s="2"/>
      <x:c r="E480" s="2"/>
      <x:c r="F480" s="2"/>
      <x:c r="G480" s="2"/>
      <x:c r="H480" s="2"/>
      <x:c r="I480" s="2"/>
      <x:c r="J480" s="2"/>
      <x:c r="K480" s="2"/>
      <x:c r="L480" s="15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</x:row>
    <x:row r="481" ht="22" customHeight="1">
      <x:c r="A481" s="2"/>
      <x:c r="B481" s="2"/>
      <x:c r="C481" s="2"/>
      <x:c r="D481" s="2"/>
      <x:c r="E481" s="2"/>
      <x:c r="F481" s="2"/>
      <x:c r="G481" s="2"/>
      <x:c r="H481" s="2"/>
      <x:c r="I481" s="2"/>
      <x:c r="J481" s="2"/>
      <x:c r="K481" s="2"/>
      <x:c r="L481" s="15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</x:row>
    <x:row r="482" ht="22" customHeight="1">
      <x:c r="A482" s="2"/>
      <x:c r="B482" s="2"/>
      <x:c r="C482" s="2"/>
      <x:c r="D482" s="2"/>
      <x:c r="E482" s="2"/>
      <x:c r="F482" s="2"/>
      <x:c r="G482" s="2"/>
      <x:c r="H482" s="2"/>
      <x:c r="I482" s="2"/>
      <x:c r="J482" s="2"/>
      <x:c r="K482" s="2"/>
      <x:c r="L482" s="15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</x:row>
    <x:row r="483" ht="22" customHeight="1">
      <x:c r="A483" s="2"/>
      <x:c r="B483" s="2"/>
      <x:c r="C483" s="2"/>
      <x:c r="D483" s="2"/>
      <x:c r="E483" s="2"/>
      <x:c r="F483" s="2"/>
      <x:c r="G483" s="2"/>
      <x:c r="H483" s="2"/>
      <x:c r="I483" s="2"/>
      <x:c r="J483" s="2"/>
      <x:c r="K483" s="2"/>
      <x:c r="L483" s="15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</x:row>
    <x:row r="484" ht="22" customHeight="1">
      <x:c r="A484" s="2"/>
      <x:c r="B484" s="2"/>
      <x:c r="C484" s="2"/>
      <x:c r="D484" s="2"/>
      <x:c r="E484" s="2"/>
      <x:c r="F484" s="2"/>
      <x:c r="G484" s="2"/>
      <x:c r="H484" s="2"/>
      <x:c r="I484" s="2"/>
      <x:c r="J484" s="2"/>
      <x:c r="K484" s="2"/>
      <x:c r="L484" s="15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</x:row>
    <x:row r="485" ht="22" customHeight="1">
      <x:c r="A485" s="2"/>
      <x:c r="B485" s="2"/>
      <x:c r="C485" s="2"/>
      <x:c r="D485" s="2"/>
      <x:c r="E485" s="2"/>
      <x:c r="F485" s="2"/>
      <x:c r="G485" s="2"/>
      <x:c r="H485" s="2"/>
      <x:c r="I485" s="2"/>
      <x:c r="J485" s="2"/>
      <x:c r="K485" s="2"/>
      <x:c r="L485" s="15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</x:row>
    <x:row r="486" ht="22" customHeight="1">
      <x:c r="A486" s="2"/>
      <x:c r="B486" s="2"/>
      <x:c r="C486" s="2"/>
      <x:c r="D486" s="2"/>
      <x:c r="E486" s="2"/>
      <x:c r="F486" s="2"/>
      <x:c r="G486" s="2"/>
      <x:c r="H486" s="2"/>
      <x:c r="I486" s="2"/>
      <x:c r="J486" s="2"/>
      <x:c r="K486" s="2"/>
      <x:c r="L486" s="15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</x:row>
    <x:row r="487" ht="22" customHeight="1">
      <x:c r="A487" s="2"/>
      <x:c r="B487" s="2"/>
      <x:c r="C487" s="2"/>
      <x:c r="D487" s="2"/>
      <x:c r="E487" s="2"/>
      <x:c r="F487" s="2"/>
      <x:c r="G487" s="2"/>
      <x:c r="H487" s="2"/>
      <x:c r="I487" s="2"/>
      <x:c r="J487" s="2"/>
      <x:c r="K487" s="2"/>
      <x:c r="L487" s="15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</x:row>
    <x:row r="488" ht="22" customHeight="1">
      <x:c r="A488" s="2"/>
      <x:c r="B488" s="2"/>
      <x:c r="C488" s="2"/>
      <x:c r="D488" s="2"/>
      <x:c r="E488" s="2"/>
      <x:c r="F488" s="2"/>
      <x:c r="G488" s="2"/>
      <x:c r="H488" s="2"/>
      <x:c r="I488" s="2"/>
      <x:c r="J488" s="2"/>
      <x:c r="K488" s="2"/>
      <x:c r="L488" s="15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</x:row>
    <x:row r="489" ht="22" customHeight="1">
      <x:c r="A489" s="2"/>
      <x:c r="B489" s="2"/>
      <x:c r="C489" s="2"/>
      <x:c r="D489" s="2"/>
      <x:c r="E489" s="2"/>
      <x:c r="F489" s="2"/>
      <x:c r="G489" s="2"/>
      <x:c r="H489" s="2"/>
      <x:c r="I489" s="2"/>
      <x:c r="J489" s="2"/>
      <x:c r="K489" s="2"/>
      <x:c r="L489" s="15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</x:row>
    <x:row r="490" ht="22" customHeight="1">
      <x:c r="A490" s="2"/>
      <x:c r="B490" s="2"/>
      <x:c r="C490" s="2"/>
      <x:c r="D490" s="2"/>
      <x:c r="E490" s="2"/>
      <x:c r="F490" s="2"/>
      <x:c r="G490" s="2"/>
      <x:c r="H490" s="2"/>
      <x:c r="I490" s="2"/>
      <x:c r="J490" s="2"/>
      <x:c r="K490" s="2"/>
      <x:c r="L490" s="15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</x:row>
    <x:row r="491" ht="22" customHeight="1">
      <x:c r="A491" s="2"/>
      <x:c r="B491" s="2"/>
      <x:c r="C491" s="2"/>
      <x:c r="D491" s="2"/>
      <x:c r="E491" s="2"/>
      <x:c r="F491" s="2"/>
      <x:c r="G491" s="2"/>
      <x:c r="H491" s="2"/>
      <x:c r="I491" s="2"/>
      <x:c r="J491" s="2"/>
      <x:c r="K491" s="2"/>
      <x:c r="L491" s="15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</x:row>
    <x:row r="492" ht="22" customHeight="1">
      <x:c r="A492" s="2"/>
      <x:c r="B492" s="2"/>
      <x:c r="C492" s="2"/>
      <x:c r="D492" s="2"/>
      <x:c r="E492" s="2"/>
      <x:c r="F492" s="2"/>
      <x:c r="G492" s="2"/>
      <x:c r="H492" s="2"/>
      <x:c r="I492" s="2"/>
      <x:c r="J492" s="2"/>
      <x:c r="K492" s="2"/>
      <x:c r="L492" s="15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</x:row>
    <x:row r="493" ht="22" customHeight="1">
      <x:c r="A493" s="2"/>
      <x:c r="B493" s="2"/>
      <x:c r="C493" s="2"/>
      <x:c r="D493" s="2"/>
      <x:c r="E493" s="2"/>
      <x:c r="F493" s="2"/>
      <x:c r="G493" s="2"/>
      <x:c r="H493" s="2"/>
      <x:c r="I493" s="2"/>
      <x:c r="J493" s="2"/>
      <x:c r="K493" s="2"/>
      <x:c r="L493" s="15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</x:row>
    <x:row r="494" ht="22" customHeight="1">
      <x:c r="A494" s="2"/>
      <x:c r="B494" s="2"/>
      <x:c r="C494" s="2"/>
      <x:c r="D494" s="2"/>
      <x:c r="E494" s="2"/>
      <x:c r="F494" s="2"/>
      <x:c r="G494" s="2"/>
      <x:c r="H494" s="2"/>
      <x:c r="I494" s="2"/>
      <x:c r="J494" s="2"/>
      <x:c r="K494" s="2"/>
      <x:c r="L494" s="15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</x:row>
    <x:row r="495" ht="22" customHeight="1">
      <x:c r="A495" s="2"/>
      <x:c r="B495" s="2"/>
      <x:c r="C495" s="2"/>
      <x:c r="D495" s="2"/>
      <x:c r="E495" s="2"/>
      <x:c r="F495" s="2"/>
      <x:c r="G495" s="2"/>
      <x:c r="H495" s="2"/>
      <x:c r="I495" s="2"/>
      <x:c r="J495" s="2"/>
      <x:c r="K495" s="2"/>
      <x:c r="L495" s="15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</x:row>
    <x:row r="496" ht="22" customHeight="1">
      <x:c r="A496" s="2"/>
      <x:c r="B496" s="2"/>
      <x:c r="C496" s="2"/>
      <x:c r="D496" s="2"/>
      <x:c r="E496" s="2"/>
      <x:c r="F496" s="2"/>
      <x:c r="G496" s="2"/>
      <x:c r="H496" s="2"/>
      <x:c r="I496" s="2"/>
      <x:c r="J496" s="2"/>
      <x:c r="K496" s="2"/>
      <x:c r="L496" s="15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</x:row>
    <x:row r="497" ht="22" customHeight="1">
      <x:c r="A497" s="2"/>
      <x:c r="B497" s="2"/>
      <x:c r="C497" s="2"/>
      <x:c r="D497" s="2"/>
      <x:c r="E497" s="2"/>
      <x:c r="F497" s="2"/>
      <x:c r="G497" s="2"/>
      <x:c r="H497" s="2"/>
      <x:c r="I497" s="2"/>
      <x:c r="J497" s="2"/>
      <x:c r="K497" s="2"/>
      <x:c r="L497" s="15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</x:row>
    <x:row r="498" ht="22" customHeight="1">
      <x:c r="A498" s="2"/>
      <x:c r="B498" s="2"/>
      <x:c r="C498" s="2"/>
      <x:c r="D498" s="2"/>
      <x:c r="E498" s="2"/>
      <x:c r="F498" s="2"/>
      <x:c r="G498" s="2"/>
      <x:c r="H498" s="2"/>
      <x:c r="I498" s="2"/>
      <x:c r="J498" s="2"/>
      <x:c r="K498" s="2"/>
      <x:c r="L498" s="15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</x:row>
    <x:row r="499" ht="22" customHeight="1">
      <x:c r="A499" s="2"/>
      <x:c r="B499" s="2"/>
      <x:c r="C499" s="2"/>
      <x:c r="D499" s="2"/>
      <x:c r="E499" s="2"/>
      <x:c r="F499" s="2"/>
      <x:c r="G499" s="2"/>
      <x:c r="H499" s="2"/>
      <x:c r="I499" s="2"/>
      <x:c r="J499" s="2"/>
      <x:c r="K499" s="2"/>
      <x:c r="L499" s="15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</x:row>
    <x:row r="500" ht="22" customHeight="1">
      <x:c r="A500" s="2"/>
      <x:c r="B500" s="2"/>
      <x:c r="C500" s="2"/>
      <x:c r="D500" s="2"/>
      <x:c r="E500" s="2"/>
      <x:c r="F500" s="2"/>
      <x:c r="G500" s="2"/>
      <x:c r="H500" s="2"/>
      <x:c r="I500" s="2"/>
      <x:c r="J500" s="2"/>
      <x:c r="K500" s="2"/>
      <x:c r="L500" s="15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</x:row>
    <x:row r="501" ht="22" customHeight="1">
      <x:c r="A501" s="2"/>
      <x:c r="B501" s="2"/>
      <x:c r="C501" s="2"/>
      <x:c r="D501" s="2"/>
      <x:c r="E501" s="2"/>
      <x:c r="F501" s="2"/>
      <x:c r="G501" s="2"/>
      <x:c r="H501" s="2"/>
      <x:c r="I501" s="2"/>
      <x:c r="J501" s="2"/>
      <x:c r="K501" s="2"/>
      <x:c r="L501" s="15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</x:row>
    <x:row r="502" ht="22" customHeight="1">
      <x:c r="A502" s="2"/>
      <x:c r="B502" s="2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</x:row>
    <x:row r="503" ht="22" customHeight="1">
      <x:c r="A503" s="2"/>
      <x:c r="B503" s="2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</x:row>
    <x:row r="504" ht="22" customHeight="1">
      <x:c r="A504" s="2"/>
      <x:c r="B504" s="2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</x:row>
    <x:row r="505" ht="22" customHeight="1">
      <x:c r="A505" s="2"/>
      <x:c r="B505" s="2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</x:row>
    <x:row r="506" ht="22" customHeight="1">
      <x:c r="A506" s="2"/>
      <x:c r="B506" s="2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</x:row>
    <x:row r="507" ht="22" customHeight="1">
      <x:c r="A507" s="2"/>
      <x:c r="B507" s="2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</x:row>
    <x:row r="508" ht="22" customHeight="1">
      <x:c r="A508" s="2"/>
      <x:c r="B508" s="2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</x:row>
    <x:row r="509" ht="22" customHeight="1">
      <x:c r="A509" s="2"/>
      <x:c r="B509" s="2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</x:row>
    <x:row r="510" ht="34" customHeight="1">
      <x:c r="A510" s="12" t="str">
        <x:v>Site ID</x:v>
      </x:c>
      <x:c r="B510" s="12" t="str">
        <x:v>Site name</x:v>
      </x:c>
      <x:c r="C510" s="12" t="str">
        <x:v>Address</x:v>
      </x:c>
      <x:c r="D510" s="12" t="str">
        <x:v>Type</x:v>
      </x:c>
      <x:c r="E510" s="12" t="str">
        <x:v>Status</x:v>
      </x:c>
      <x:c r="F510" s="12" t="str">
        <x:v>Latitude</x:v>
      </x:c>
      <x:c r="G510" s="12" t="str">
        <x:v>Longitude</x:v>
      </x:c>
      <x:c r="H510" s="12" t="str">
        <x:v>Candidate</x:v>
      </x:c>
      <x:c r="I510" s="12" t="str">
        <x:v>Temporary closure</x:v>
      </x:c>
      <x:c r="J510" s="12" t="str">
        <x:v>Seasonal closure</x:v>
      </x:c>
      <x:c r="K510" s="12" t="str">
        <x:v>ZIP restrictions</x:v>
      </x:c>
      <x:c r="L510" s="12" t="str">
        <x:v>Website</x:v>
      </x:c>
      <x:c r="M510" s="1" t="str">
        <x:v>Profile miles</x:v>
      </x:c>
      <x:c r="N510" s="1" t="str">
        <x:v>Profile order</x:v>
      </x:c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</x:row>
    <x:row r="511" ht="22" customHeight="1">
      <x:c r="A511" s="2" t="str">
        <x:v>1</x:v>
      </x:c>
      <x:c r="B511" s="2" t="str">
        <x:v>Mighty Writers West</x:v>
      </x:c>
      <x:c r="C511" s="2" t="str">
        <x:v>3520 Fairmount Ave.</x:v>
      </x:c>
      <x:c r="D511" s="2" t="str">
        <x:v>Food Site</x:v>
      </x:c>
      <x:c r="E511" s="2" t="str">
        <x:v>Permanently Closed</x:v>
      </x:c>
      <x:c r="F511" s="2" t="n">
        <x:v>39.966094647943855</x:v>
      </x:c>
      <x:c r="G511" s="2" t="n">
        <x:v>-75.19379279271537</x:v>
      </x:c>
      <x:c r="H511" s="2" t="str">
        <x:v>No</x:v>
      </x:c>
      <x:c r="I511" s="2" t="str"/>
      <x:c r="J511" s="2" t="str">
        <x:v>yes</x:v>
      </x:c>
      <x:c r="K511" s="2" t="str"/>
      <x:c r="L511" s="2" t="str">
        <x:v>https://www.sharefoodprogram.org/</x:v>
      </x:c>
      <x:c r="M511" s="1" t="n">
        <x:f>IF(OR(NOT(ISNUMBER('School Profile'!$K$4)),NOT(ISNUMBER('School Profile'!$K$5)),NOT(ISNUMBER(F511)),NOT(ISNUMBER(G511))),"",3958.7613*2*ASIN(MIN(1,SQRT(SIN(RADIANS(F511-'School Profile'!$K$4)/2)^2+COS(RADIANS('School Profile'!$K$4))*COS(RADIANS(F511))*SIN(RADIANS(G511-'School Profile'!$K$5)/2)^2))))</x:f>
        <x:v>9.705432614525343</x:v>
      </x:c>
      <x:c r="N511" s="1" t="str">
        <x:f>IF(AND(H511="Yes",ISNUMBER(M511),M511&lt;=1),COUNTIFS($H$511:$H$1010,"Yes",$M$511:$M$1010,"&lt;"&amp;M511)+COUNTIFS($H$511:H511,"Yes",$M$511:M511,M511),"")</x:f>
      </x:c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</x:row>
    <x:row r="512" ht="22" customHeight="1">
      <x:c r="A512" s="2" t="str">
        <x:v>2</x:v>
      </x:c>
      <x:c r="B512" s="2" t="str">
        <x:v>Hickman Temple Daycare</x:v>
      </x:c>
      <x:c r="C512" s="2" t="str">
        <x:v>1220 S. 58th St</x:v>
      </x:c>
      <x:c r="D512" s="2" t="str">
        <x:v>Food Site</x:v>
      </x:c>
      <x:c r="E512" s="2" t="str">
        <x:v>Active</x:v>
      </x:c>
      <x:c r="F512" s="2" t="n">
        <x:v>39.94323031370224</x:v>
      </x:c>
      <x:c r="G512" s="2" t="n">
        <x:v>-75.23722045183912</x:v>
      </x:c>
      <x:c r="H512" s="2" t="str">
        <x:v>Yes</x:v>
      </x:c>
      <x:c r="I512" s="2" t="str"/>
      <x:c r="J512" s="2" t="str"/>
      <x:c r="K512" s="2" t="str"/>
      <x:c r="L512" s="2" t="str">
        <x:v>https://www.sharefoodprogram.org/</x:v>
      </x:c>
      <x:c r="M512" s="1" t="n">
        <x:f>IF(OR(NOT(ISNUMBER('School Profile'!$K$4)),NOT(ISNUMBER('School Profile'!$K$5)),NOT(ISNUMBER(F512)),NOT(ISNUMBER(G512))),"",3958.7613*2*ASIN(MIN(1,SQRT(SIN(RADIANS(F512-'School Profile'!$K$4)/2)^2+COS(RADIANS('School Profile'!$K$4))*COS(RADIANS(F512))*SIN(RADIANS(G512-'School Profile'!$K$5)/2)^2))))</x:f>
        <x:v>12.452973531338458</x:v>
      </x:c>
      <x:c r="N512" s="1" t="str">
        <x:f>IF(AND(H512="Yes",ISNUMBER(M512),M512&lt;=1),COUNTIFS($H$511:$H$1010,"Yes",$M$511:$M$1010,"&lt;"&amp;M512)+COUNTIFS($H$511:H512,"Yes",$M$511:M512,M512),"")</x:f>
      </x:c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</x:row>
    <x:row r="513" ht="22" customHeight="1">
      <x:c r="A513" s="2" t="str">
        <x:v>3</x:v>
      </x:c>
      <x:c r="B513" s="2" t="str">
        <x:v>Temple University Hospital, Episcopal Campus</x:v>
      </x:c>
      <x:c r="C513" s="2" t="str">
        <x:v>100 E. Lehigh Ave.</x:v>
      </x:c>
      <x:c r="D513" s="2" t="str">
        <x:v>Food Site</x:v>
      </x:c>
      <x:c r="E513" s="2" t="str">
        <x:v>Active</x:v>
      </x:c>
      <x:c r="F513" s="2" t="n">
        <x:v>39.99001439029777</x:v>
      </x:c>
      <x:c r="G513" s="2" t="n">
        <x:v>-75.1292128296849</x:v>
      </x:c>
      <x:c r="H513" s="2" t="str">
        <x:v>Yes</x:v>
      </x:c>
      <x:c r="I513" s="2" t="str"/>
      <x:c r="J513" s="2" t="str"/>
      <x:c r="K513" s="2" t="str">
        <x:v>19111, 19120, 19121, 19122, 19124, 19125, 19132, 19133, 19134, 19135, 19140, 19149</x:v>
      </x:c>
      <x:c r="L513" s="2" t="str">
        <x:v>https://www.sharefoodprogram.org/</x:v>
      </x:c>
      <x:c r="M513" s="1" t="n">
        <x:f>IF(OR(NOT(ISNUMBER('School Profile'!$K$4)),NOT(ISNUMBER('School Profile'!$K$5)),NOT(ISNUMBER(F513)),NOT(ISNUMBER(G513))),"",3958.7613*2*ASIN(MIN(1,SQRT(SIN(RADIANS(F513-'School Profile'!$K$4)/2)^2+COS(RADIANS('School Profile'!$K$4))*COS(RADIANS(F513))*SIN(RADIANS(G513-'School Profile'!$K$5)/2)^2))))</x:f>
        <x:v>6.2744473644410625</x:v>
      </x:c>
      <x:c r="N513" s="1" t="str">
        <x:f>IF(AND(H513="Yes",ISNUMBER(M513),M513&lt;=1),COUNTIFS($H$511:$H$1010,"Yes",$M$511:$M$1010,"&lt;"&amp;M513)+COUNTIFS($H$511:H513,"Yes",$M$511:M513,M513),"")</x:f>
      </x:c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</x:row>
    <x:row r="514" ht="22" customHeight="1">
      <x:c r="A514" s="2" t="str">
        <x:v>4</x:v>
      </x:c>
      <x:c r="B514" s="2" t="str">
        <x:v>Saint Paul's Baptist Church</x:v>
      </x:c>
      <x:c r="C514" s="2" t="str">
        <x:v>1000 Wallace St</x:v>
      </x:c>
      <x:c r="D514" s="2" t="str">
        <x:v>Food Site</x:v>
      </x:c>
      <x:c r="E514" s="2" t="str">
        <x:v>Active</x:v>
      </x:c>
      <x:c r="F514" s="2" t="n">
        <x:v>39.96394177770853</x:v>
      </x:c>
      <x:c r="G514" s="2" t="n">
        <x:v>-75.15410416434925</x:v>
      </x:c>
      <x:c r="H514" s="2" t="str">
        <x:v>Yes</x:v>
      </x:c>
      <x:c r="I514" s="2" t="str"/>
      <x:c r="J514" s="2" t="str"/>
      <x:c r="K514" s="2" t="str"/>
      <x:c r="L514" s="2" t="str">
        <x:v>https://www.philabundance.org/</x:v>
      </x:c>
      <x:c r="M514" s="1" t="n">
        <x:f>IF(OR(NOT(ISNUMBER('School Profile'!$K$4)),NOT(ISNUMBER('School Profile'!$K$5)),NOT(ISNUMBER(F514)),NOT(ISNUMBER(G514))),"",3958.7613*2*ASIN(MIN(1,SQRT(SIN(RADIANS(F514-'School Profile'!$K$4)/2)^2+COS(RADIANS('School Profile'!$K$4))*COS(RADIANS(F514))*SIN(RADIANS(G514-'School Profile'!$K$5)/2)^2))))</x:f>
        <x:v>8.502499225567087</x:v>
      </x:c>
      <x:c r="N514" s="1" t="str">
        <x:f>IF(AND(H514="Yes",ISNUMBER(M514),M514&lt;=1),COUNTIFS($H$511:$H$1010,"Yes",$M$511:$M$1010,"&lt;"&amp;M514)+COUNTIFS($H$511:H514,"Yes",$M$511:M514,M514),"")</x:f>
      </x:c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</x:row>
    <x:row r="515" ht="22" customHeight="1">
      <x:c r="A515" s="2" t="str">
        <x:v>5</x:v>
      </x:c>
      <x:c r="B515" s="2" t="str">
        <x:v>Lutheran Settlement House (Lehigh Ave.)</x:v>
      </x:c>
      <x:c r="C515" s="2" t="str">
        <x:v>1007 W Lehigh Ave</x:v>
      </x:c>
      <x:c r="D515" s="2" t="str">
        <x:v>General Meal Site</x:v>
      </x:c>
      <x:c r="E515" s="2" t="str">
        <x:v>Active</x:v>
      </x:c>
      <x:c r="F515" s="2" t="n">
        <x:v>39.993167396127944</x:v>
      </x:c>
      <x:c r="G515" s="2" t="n">
        <x:v>-75.14802929556231</x:v>
      </x:c>
      <x:c r="H515" s="2" t="str">
        <x:v>No</x:v>
      </x:c>
      <x:c r="I515" s="2" t="str"/>
      <x:c r="J515" s="2" t="str"/>
      <x:c r="K515" s="2" t="str"/>
      <x:c r="L515" s="2" t="str">
        <x:v>https://www.phila.gov/departments/office-of-homeless-services/</x:v>
      </x:c>
      <x:c r="M515" s="1" t="n">
        <x:f>IF(OR(NOT(ISNUMBER('School Profile'!$K$4)),NOT(ISNUMBER('School Profile'!$K$5)),NOT(ISNUMBER(F515)),NOT(ISNUMBER(G515))),"",3958.7613*2*ASIN(MIN(1,SQRT(SIN(RADIANS(F515-'School Profile'!$K$4)/2)^2+COS(RADIANS('School Profile'!$K$4))*COS(RADIANS(F515))*SIN(RADIANS(G515-'School Profile'!$K$5)/2)^2))))</x:f>
        <x:v>6.689840410026495</x:v>
      </x:c>
      <x:c r="N515" s="1" t="str">
        <x:f>IF(AND(H515="Yes",ISNUMBER(M515),M515&lt;=1),COUNTIFS($H$511:$H$1010,"Yes",$M$511:$M$1010,"&lt;"&amp;M515)+COUNTIFS($H$511:H515,"Yes",$M$511:M515,M515),"")</x:f>
      </x:c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</x:row>
    <x:row r="516" ht="22" customHeight="1">
      <x:c r="A516" s="2" t="str">
        <x:v>6</x:v>
      </x:c>
      <x:c r="B516" s="2" t="str">
        <x:v>Kleinlife Northeast &amp;  Kleinlife Russian Satellite</x:v>
      </x:c>
      <x:c r="C516" s="2" t="str">
        <x:v>10100 Jamison Ave </x:v>
      </x:c>
      <x:c r="D516" s="2" t="str">
        <x:v>Food Site</x:v>
      </x:c>
      <x:c r="E516" s="2" t="str">
        <x:v>Active</x:v>
      </x:c>
      <x:c r="F516" s="2" t="n">
        <x:v>40.101114419784295</x:v>
      </x:c>
      <x:c r="G516" s="2" t="n">
        <x:v>-75.02059951036553</x:v>
      </x:c>
      <x:c r="H516" s="2" t="str">
        <x:v>Yes</x:v>
      </x:c>
      <x:c r="I516" s="2" t="str"/>
      <x:c r="J516" s="2" t="str"/>
      <x:c r="K516" s="2" t="str"/>
      <x:c r="L516" s="2" t="str">
        <x:v>https://kleinlife.org/</x:v>
      </x:c>
      <x:c r="M516" s="1" t="n">
        <x:f>IF(OR(NOT(ISNUMBER('School Profile'!$K$4)),NOT(ISNUMBER('School Profile'!$K$5)),NOT(ISNUMBER(F516)),NOT(ISNUMBER(G516))),"",3958.7613*2*ASIN(MIN(1,SQRT(SIN(RADIANS(F516-'School Profile'!$K$4)/2)^2+COS(RADIANS('School Profile'!$K$4))*COS(RADIANS(F516))*SIN(RADIANS(G516-'School Profile'!$K$5)/2)^2))))</x:f>
        <x:v>3.370949396670834</x:v>
      </x:c>
      <x:c r="N516" s="1" t="str">
        <x:f>IF(AND(H516="Yes",ISNUMBER(M516),M516&lt;=1),COUNTIFS($H$511:$H$1010,"Yes",$M$511:$M$1010,"&lt;"&amp;M516)+COUNTIFS($H$511:H516,"Yes",$M$511:M516,M516),"")</x:f>
      </x:c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</x:row>
    <x:row r="517" ht="22" customHeight="1">
      <x:c r="A517" s="2" t="str">
        <x:v>7</x:v>
      </x:c>
      <x:c r="B517" s="2" t="str">
        <x:v>Kleinlife Northeast &amp;  Kleinlife Russian Satellite</x:v>
      </x:c>
      <x:c r="C517" s="2" t="str">
        <x:v>10100 Jamison Ave.</x:v>
      </x:c>
      <x:c r="D517" s="2" t="str">
        <x:v>Senior Meal Site</x:v>
      </x:c>
      <x:c r="E517" s="2" t="str">
        <x:v>Active</x:v>
      </x:c>
      <x:c r="F517" s="2" t="n">
        <x:v>40.10179543987575</x:v>
      </x:c>
      <x:c r="G517" s="2" t="n">
        <x:v>-75.02081947004937</x:v>
      </x:c>
      <x:c r="H517" s="2" t="str">
        <x:v>No</x:v>
      </x:c>
      <x:c r="I517" s="2" t="str"/>
      <x:c r="J517" s="2" t="str"/>
      <x:c r="K517" s="2" t="str"/>
      <x:c r="L517" s="2" t="str">
        <x:v>https://www.pcacares.org/</x:v>
      </x:c>
      <x:c r="M517" s="1" t="n">
        <x:f>IF(OR(NOT(ISNUMBER('School Profile'!$K$4)),NOT(ISNUMBER('School Profile'!$K$5)),NOT(ISNUMBER(F517)),NOT(ISNUMBER(G517))),"",3958.7613*2*ASIN(MIN(1,SQRT(SIN(RADIANS(F517-'School Profile'!$K$4)/2)^2+COS(RADIANS('School Profile'!$K$4))*COS(RADIANS(F517))*SIN(RADIANS(G517-'School Profile'!$K$5)/2)^2))))</x:f>
        <x:v>3.3959747206416795</x:v>
      </x:c>
      <x:c r="N517" s="1" t="str">
        <x:f>IF(AND(H517="Yes",ISNUMBER(M517),M517&lt;=1),COUNTIFS($H$511:$H$1010,"Yes",$M$511:$M$1010,"&lt;"&amp;M517)+COUNTIFS($H$511:H517,"Yes",$M$511:M517,M517),"")</x:f>
      </x:c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</x:row>
    <x:row r="518" ht="22" customHeight="1">
      <x:c r="A518" s="2" t="str">
        <x:v>8</x:v>
      </x:c>
      <x:c r="B518" s="2" t="str">
        <x:v>Waters Memorial Community Center</x:v>
      </x:c>
      <x:c r="C518" s="2" t="str">
        <x:v>1016-1018 South St</x:v>
      </x:c>
      <x:c r="D518" s="2" t="str">
        <x:v>Food Site</x:v>
      </x:c>
      <x:c r="E518" s="2" t="str">
        <x:v>Active</x:v>
      </x:c>
      <x:c r="F518" s="2" t="n">
        <x:v>39.94279901996449</x:v>
      </x:c>
      <x:c r="G518" s="2" t="n">
        <x:v>-75.15968054001875</x:v>
      </x:c>
      <x:c r="H518" s="2" t="str">
        <x:v>Yes</x:v>
      </x:c>
      <x:c r="I518" s="2" t="str"/>
      <x:c r="J518" s="2" t="str"/>
      <x:c r="K518" s="2" t="str"/>
      <x:c r="L518" s="2" t="str">
        <x:v>https://www.philabundance.org/</x:v>
      </x:c>
      <x:c r="M518" s="1" t="n">
        <x:f>IF(OR(NOT(ISNUMBER('School Profile'!$K$4)),NOT(ISNUMBER('School Profile'!$K$5)),NOT(ISNUMBER(F518)),NOT(ISNUMBER(G518))),"",3958.7613*2*ASIN(MIN(1,SQRT(SIN(RADIANS(F518-'School Profile'!$K$4)/2)^2+COS(RADIANS('School Profile'!$K$4))*COS(RADIANS(F518))*SIN(RADIANS(G518-'School Profile'!$K$5)/2)^2))))</x:f>
        <x:v>9.901785104074829</x:v>
      </x:c>
      <x:c r="N518" s="1" t="str">
        <x:f>IF(AND(H518="Yes",ISNUMBER(M518),M518&lt;=1),COUNTIFS($H$511:$H$1010,"Yes",$M$511:$M$1010,"&lt;"&amp;M518)+COUNTIFS($H$511:H518,"Yes",$M$511:M518,M518),"")</x:f>
      </x:c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</x:row>
    <x:row r="519" ht="22" customHeight="1">
      <x:c r="A519" s="2" t="str">
        <x:v>9</x:v>
      </x:c>
      <x:c r="B519" s="2" t="str">
        <x:v>West Philadelphia Senior Community Center</x:v>
      </x:c>
      <x:c r="C519" s="2" t="str">
        <x:v>1016-26 N. 41st St.</x:v>
      </x:c>
      <x:c r="D519" s="2" t="str">
        <x:v>Senior Meal Site</x:v>
      </x:c>
      <x:c r="E519" s="2" t="str">
        <x:v>Active</x:v>
      </x:c>
      <x:c r="F519" s="2" t="n">
        <x:v>39.972244700022976</x:v>
      </x:c>
      <x:c r="G519" s="2" t="n">
        <x:v>-75.20658712001467</x:v>
      </x:c>
      <x:c r="H519" s="2" t="str">
        <x:v>No</x:v>
      </x:c>
      <x:c r="I519" s="2" t="str"/>
      <x:c r="J519" s="2" t="str"/>
      <x:c r="K519" s="2" t="str"/>
      <x:c r="L519" s="2" t="str">
        <x:v>https://www.pcacares.org/</x:v>
      </x:c>
      <x:c r="M519" s="1" t="n">
        <x:f>IF(OR(NOT(ISNUMBER('School Profile'!$K$4)),NOT(ISNUMBER('School Profile'!$K$5)),NOT(ISNUMBER(F519)),NOT(ISNUMBER(G519))),"",3958.7613*2*ASIN(MIN(1,SQRT(SIN(RADIANS(F519-'School Profile'!$K$4)/2)^2+COS(RADIANS('School Profile'!$K$4))*COS(RADIANS(F519))*SIN(RADIANS(G519-'School Profile'!$K$5)/2)^2))))</x:f>
        <x:v>9.903085576573021</x:v>
      </x:c>
      <x:c r="N519" s="1" t="str">
        <x:f>IF(AND(H519="Yes",ISNUMBER(M519),M519&lt;=1),COUNTIFS($H$511:$H$1010,"Yes",$M$511:$M$1010,"&lt;"&amp;M519)+COUNTIFS($H$511:H519,"Yes",$M$511:M519,M519),"")</x:f>
      </x:c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</x:row>
    <x:row r="520" ht="22" customHeight="1">
      <x:c r="A520" s="2" t="str">
        <x:v>10</x:v>
      </x:c>
      <x:c r="B520" s="2" t="str">
        <x:v>George Washington High School Pantry</x:v>
      </x:c>
      <x:c r="C520" s="2" t="str">
        <x:v>10175 Bustleton Ave</x:v>
      </x:c>
      <x:c r="D520" s="2" t="str">
        <x:v>Food Site</x:v>
      </x:c>
      <x:c r="E520" s="2" t="str">
        <x:v>Active</x:v>
      </x:c>
      <x:c r="F520" s="2" t="n">
        <x:v>40.1059155198522</x:v>
      </x:c>
      <x:c r="G520" s="2" t="n">
        <x:v>-75.02601768013707</x:v>
      </x:c>
      <x:c r="H520" s="2" t="str">
        <x:v>Yes</x:v>
      </x:c>
      <x:c r="I520" s="2" t="str"/>
      <x:c r="J520" s="2" t="str"/>
      <x:c r="K520" s="2" t="str"/>
      <x:c r="L520" s="2" t="str">
        <x:v>https://www.philabundance.org/</x:v>
      </x:c>
      <x:c r="M520" s="1" t="n">
        <x:f>IF(OR(NOT(ISNUMBER('School Profile'!$K$4)),NOT(ISNUMBER('School Profile'!$K$5)),NOT(ISNUMBER(F520)),NOT(ISNUMBER(G520))),"",3958.7613*2*ASIN(MIN(1,SQRT(SIN(RADIANS(F520-'School Profile'!$K$4)/2)^2+COS(RADIANS('School Profile'!$K$4))*COS(RADIANS(F520))*SIN(RADIANS(G520-'School Profile'!$K$5)/2)^2))))</x:f>
        <x:v>3.42808275622689</x:v>
      </x:c>
      <x:c r="N520" s="1" t="str">
        <x:f>IF(AND(H520="Yes",ISNUMBER(M520),M520&lt;=1),COUNTIFS($H$511:$H$1010,"Yes",$M$511:$M$1010,"&lt;"&amp;M520)+COUNTIFS($H$511:H520,"Yes",$M$511:M520,M520),"")</x:f>
      </x:c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</x:row>
    <x:row r="521" ht="22" customHeight="1">
      <x:c r="A521" s="2" t="str">
        <x:v>11</x:v>
      </x:c>
      <x:c r="B521" s="2" t="str">
        <x:v>Mighty Writers El Futuro</x:v>
      </x:c>
      <x:c r="C521" s="2" t="str">
        <x:v>1025 S. 9th St.</x:v>
      </x:c>
      <x:c r="D521" s="2" t="str">
        <x:v>Food Site</x:v>
      </x:c>
      <x:c r="E521" s="2" t="str">
        <x:v>Active</x:v>
      </x:c>
      <x:c r="F521" s="2" t="n">
        <x:v>39.93690360029627</x:v>
      </x:c>
      <x:c r="G521" s="2" t="n">
        <x:v>-75.15826229961111</x:v>
      </x:c>
      <x:c r="H521" s="2" t="str">
        <x:v>Yes</x:v>
      </x:c>
      <x:c r="I521" s="2" t="str"/>
      <x:c r="J521" s="2" t="str"/>
      <x:c r="K521" s="2" t="str"/>
      <x:c r="L521" s="2" t="str">
        <x:v>https://www.philabundance.org/</x:v>
      </x:c>
      <x:c r="M521" s="1" t="n">
        <x:f>IF(OR(NOT(ISNUMBER('School Profile'!$K$4)),NOT(ISNUMBER('School Profile'!$K$5)),NOT(ISNUMBER(F521)),NOT(ISNUMBER(G521))),"",3958.7613*2*ASIN(MIN(1,SQRT(SIN(RADIANS(F521-'School Profile'!$K$4)/2)^2+COS(RADIANS('School Profile'!$K$4))*COS(RADIANS(F521))*SIN(RADIANS(G521-'School Profile'!$K$5)/2)^2))))</x:f>
        <x:v>10.220406498404053</x:v>
      </x:c>
      <x:c r="N521" s="1" t="str">
        <x:f>IF(AND(H521="Yes",ISNUMBER(M521),M521&lt;=1),COUNTIFS($H$511:$H$1010,"Yes",$M$511:$M$1010,"&lt;"&amp;M521)+COUNTIFS($H$511:H521,"Yes",$M$511:M521,M521),"")</x:f>
      </x:c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</x:row>
    <x:row r="522" ht="22" customHeight="1">
      <x:c r="A522" s="2" t="str">
        <x:v>12</x:v>
      </x:c>
      <x:c r="B522" s="2" t="str">
        <x:v>Faith Chapel Church FCDC</x:v>
      </x:c>
      <x:c r="C522" s="2" t="str">
        <x:v>108 E. Price St.</x:v>
      </x:c>
      <x:c r="D522" s="2" t="str">
        <x:v>Food Site</x:v>
      </x:c>
      <x:c r="E522" s="2" t="str">
        <x:v>Active</x:v>
      </x:c>
      <x:c r="F522" s="2" t="n">
        <x:v>40.03779948031173</x:v>
      </x:c>
      <x:c r="G522" s="2" t="n">
        <x:v>-75.17387337982372</x:v>
      </x:c>
      <x:c r="H522" s="2" t="str">
        <x:v>Yes</x:v>
      </x:c>
      <x:c r="I522" s="2" t="str"/>
      <x:c r="J522" s="2" t="str"/>
      <x:c r="K522" s="2" t="str"/>
      <x:c r="L522" s="2" t="str">
        <x:v>https://www.philabundance.org/</x:v>
      </x:c>
      <x:c r="M522" s="1" t="n">
        <x:f>IF(OR(NOT(ISNUMBER('School Profile'!$K$4)),NOT(ISNUMBER('School Profile'!$K$5)),NOT(ISNUMBER(F522)),NOT(ISNUMBER(G522))),"",3958.7613*2*ASIN(MIN(1,SQRT(SIN(RADIANS(F522-'School Profile'!$K$4)/2)^2+COS(RADIANS('School Profile'!$K$4))*COS(RADIANS(F522))*SIN(RADIANS(G522-'School Profile'!$K$5)/2)^2))))</x:f>
        <x:v>6.0486428894305995</x:v>
      </x:c>
      <x:c r="N522" s="1" t="str">
        <x:f>IF(AND(H522="Yes",ISNUMBER(M522),M522&lt;=1),COUNTIFS($H$511:$H$1010,"Yes",$M$511:$M$1010,"&lt;"&amp;M522)+COUNTIFS($H$511:H522,"Yes",$M$511:M522,M522),"")</x:f>
      </x:c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</x:row>
    <x:row r="523" ht="22" customHeight="1">
      <x:c r="A523" s="2" t="str">
        <x:v>13</x:v>
      </x:c>
      <x:c r="B523" s="2" t="str">
        <x:v>Refuge Evangelical Baptist Church</x:v>
      </x:c>
      <x:c r="C523" s="2" t="str">
        <x:v>1100 Oak Ln</x:v>
      </x:c>
      <x:c r="D523" s="2" t="str">
        <x:v>Food Site</x:v>
      </x:c>
      <x:c r="E523" s="2" t="str">
        <x:v>Active</x:v>
      </x:c>
      <x:c r="F523" s="2" t="n">
        <x:v>40.054874902719355</x:v>
      </x:c>
      <x:c r="G523" s="2" t="n">
        <x:v>-75.13632639618038</x:v>
      </x:c>
      <x:c r="H523" s="2" t="str">
        <x:v>Yes</x:v>
      </x:c>
      <x:c r="I523" s="2" t="str"/>
      <x:c r="J523" s="2" t="str"/>
      <x:c r="K523" s="2" t="str"/>
      <x:c r="L523" s="2" t="str">
        <x:v>https://www.philabundance.org/</x:v>
      </x:c>
      <x:c r="M523" s="1" t="n">
        <x:f>IF(OR(NOT(ISNUMBER('School Profile'!$K$4)),NOT(ISNUMBER('School Profile'!$K$5)),NOT(ISNUMBER(F523)),NOT(ISNUMBER(G523))),"",3958.7613*2*ASIN(MIN(1,SQRT(SIN(RADIANS(F523-'School Profile'!$K$4)/2)^2+COS(RADIANS('School Profile'!$K$4))*COS(RADIANS(F523))*SIN(RADIANS(G523-'School Profile'!$K$5)/2)^2))))</x:f>
        <x:v>3.8106225749205116</x:v>
      </x:c>
      <x:c r="N523" s="1" t="str">
        <x:f>IF(AND(H523="Yes",ISNUMBER(M523),M523&lt;=1),COUNTIFS($H$511:$H$1010,"Yes",$M$511:$M$1010,"&lt;"&amp;M523)+COUNTIFS($H$511:H523,"Yes",$M$511:M523,M523),"")</x:f>
      </x:c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</x:row>
    <x:row r="524" ht="22" customHeight="1">
      <x:c r="A524" s="2" t="str">
        <x:v>14</x:v>
      </x:c>
      <x:c r="B524" s="2" t="str">
        <x:v>5th District Food Access at 10th and Poplar</x:v>
      </x:c>
      <x:c r="C524" s="2" t="str">
        <x:v>1100 Poplar St.</x:v>
      </x:c>
      <x:c r="D524" s="2" t="str">
        <x:v>Food Site</x:v>
      </x:c>
      <x:c r="E524" s="2" t="str">
        <x:v>Active</x:v>
      </x:c>
      <x:c r="F524" s="2" t="n">
        <x:v>39.968513039993354</x:v>
      </x:c>
      <x:c r="G524" s="2" t="n">
        <x:v>-75.15297372978561</x:v>
      </x:c>
      <x:c r="H524" s="2" t="str">
        <x:v>Yes</x:v>
      </x:c>
      <x:c r="I524" s="2" t="str"/>
      <x:c r="J524" s="2" t="str"/>
      <x:c r="K524" s="2" t="str"/>
      <x:c r="L524" s="2" t="str">
        <x:v>https://www.philabundance.org/</x:v>
      </x:c>
      <x:c r="M524" s="1" t="n">
        <x:f>IF(OR(NOT(ISNUMBER('School Profile'!$K$4)),NOT(ISNUMBER('School Profile'!$K$5)),NOT(ISNUMBER(F524)),NOT(ISNUMBER(G524))),"",3958.7613*2*ASIN(MIN(1,SQRT(SIN(RADIANS(F524-'School Profile'!$K$4)/2)^2+COS(RADIANS('School Profile'!$K$4))*COS(RADIANS(F524))*SIN(RADIANS(G524-'School Profile'!$K$5)/2)^2))))</x:f>
        <x:v>8.206423887341181</x:v>
      </x:c>
      <x:c r="N524" s="1" t="str">
        <x:f>IF(AND(H524="Yes",ISNUMBER(M524),M524&lt;=1),COUNTIFS($H$511:$H$1010,"Yes",$M$511:$M$1010,"&lt;"&amp;M524)+COUNTIFS($H$511:H524,"Yes",$M$511:M524,M524),"")</x:f>
      </x:c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</x:row>
    <x:row r="525" ht="22" customHeight="1">
      <x:c r="A525" s="2" t="str">
        <x:v>15</x:v>
      </x:c>
      <x:c r="B525" s="2" t="str">
        <x:v>South Philly Community Fridge at Porco's Philly Pantry</x:v>
      </x:c>
      <x:c r="C525" s="2" t="str">
        <x:v>1100 S 22nd St</x:v>
      </x:c>
      <x:c r="D525" s="2" t="str">
        <x:v>Food Site</x:v>
      </x:c>
      <x:c r="E525" s="2" t="str">
        <x:v>Active</x:v>
      </x:c>
      <x:c r="F525" s="2" t="n">
        <x:v>39.93889856573175</x:v>
      </x:c>
      <x:c r="G525" s="2" t="n">
        <x:v>-75.1800328492492</x:v>
      </x:c>
      <x:c r="H525" s="2" t="str">
        <x:v>Yes</x:v>
      </x:c>
      <x:c r="I525" s="2" t="str"/>
      <x:c r="J525" s="2" t="str"/>
      <x:c r="K525" s="2" t="str"/>
      <x:c r="L525" s="2" t="str">
        <x:v>https://southphillyfridge.com/</x:v>
      </x:c>
      <x:c r="M525" s="1" t="n">
        <x:f>IF(OR(NOT(ISNUMBER('School Profile'!$K$4)),NOT(ISNUMBER('School Profile'!$K$5)),NOT(ISNUMBER(F525)),NOT(ISNUMBER(G525))),"",3958.7613*2*ASIN(MIN(1,SQRT(SIN(RADIANS(F525-'School Profile'!$K$4)/2)^2+COS(RADIANS('School Profile'!$K$4))*COS(RADIANS(F525))*SIN(RADIANS(G525-'School Profile'!$K$5)/2)^2))))</x:f>
        <x:v>10.704328349336814</x:v>
      </x:c>
      <x:c r="N525" s="1" t="str">
        <x:f>IF(AND(H525="Yes",ISNUMBER(M525),M525&lt;=1),COUNTIFS($H$511:$H$1010,"Yes",$M$511:$M$1010,"&lt;"&amp;M525)+COUNTIFS($H$511:H525,"Yes",$M$511:M525,M525),"")</x:f>
      </x:c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</x:row>
    <x:row r="526" ht="22" customHeight="1">
      <x:c r="A526" s="2" t="str">
        <x:v>16</x:v>
      </x:c>
      <x:c r="B526" s="2" t="str">
        <x:v>APM</x:v>
      </x:c>
      <x:c r="C526" s="2" t="str">
        <x:v>1116 E Luzerne St</x:v>
      </x:c>
      <x:c r="D526" s="2" t="str">
        <x:v>Food Site</x:v>
      </x:c>
      <x:c r="E526" s="2" t="str">
        <x:v>Active</x:v>
      </x:c>
      <x:c r="F526" s="2" t="n">
        <x:v>40.008068320300005</x:v>
      </x:c>
      <x:c r="G526" s="2" t="n">
        <x:v>-75.10593973005484</x:v>
      </x:c>
      <x:c r="H526" s="2" t="str">
        <x:v>Yes</x:v>
      </x:c>
      <x:c r="I526" s="2" t="str"/>
      <x:c r="J526" s="2" t="str"/>
      <x:c r="K526" s="2" t="str"/>
      <x:c r="L526" s="2" t="str">
        <x:v>https://apmphila.org/</x:v>
      </x:c>
      <x:c r="M526" s="1" t="n">
        <x:f>IF(OR(NOT(ISNUMBER('School Profile'!$K$4)),NOT(ISNUMBER('School Profile'!$K$5)),NOT(ISNUMBER(F526)),NOT(ISNUMBER(G526))),"",3958.7613*2*ASIN(MIN(1,SQRT(SIN(RADIANS(F526-'School Profile'!$K$4)/2)^2+COS(RADIANS('School Profile'!$K$4))*COS(RADIANS(F526))*SIN(RADIANS(G526-'School Profile'!$K$5)/2)^2))))</x:f>
        <x:v>4.57803553533806</x:v>
      </x:c>
      <x:c r="N526" s="1" t="str">
        <x:f>IF(AND(H526="Yes",ISNUMBER(M526),M526&lt;=1),COUNTIFS($H$511:$H$1010,"Yes",$M$511:$M$1010,"&lt;"&amp;M526)+COUNTIFS($H$511:H526,"Yes",$M$511:M526,M526),"")</x:f>
      </x:c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</x:row>
    <x:row r="527" ht="22" customHeight="1">
      <x:c r="A527" s="2" t="str">
        <x:v>17</x:v>
      </x:c>
      <x:c r="B527" s="2" t="str">
        <x:v>South Philly Community Fridge at the People's Kitchen</x:v>
      </x:c>
      <x:c r="C527" s="2" t="str">
        <x:v>1149 S. 9th St</x:v>
      </x:c>
      <x:c r="D527" s="2" t="str">
        <x:v>Food Site</x:v>
      </x:c>
      <x:c r="E527" s="2" t="str">
        <x:v>Active</x:v>
      </x:c>
      <x:c r="F527" s="2" t="n">
        <x:v>39.935013520194424</x:v>
      </x:c>
      <x:c r="G527" s="2" t="n">
        <x:v>-75.1586758004246</x:v>
      </x:c>
      <x:c r="H527" s="2" t="str">
        <x:v>Yes</x:v>
      </x:c>
      <x:c r="I527" s="2" t="str"/>
      <x:c r="J527" s="2" t="str"/>
      <x:c r="K527" s="2" t="str"/>
      <x:c r="L527" s="2" t="str">
        <x:v>https://southphillyfridge.com/</x:v>
      </x:c>
      <x:c r="M527" s="1" t="n">
        <x:f>IF(OR(NOT(ISNUMBER('School Profile'!$K$4)),NOT(ISNUMBER('School Profile'!$K$5)),NOT(ISNUMBER(F527)),NOT(ISNUMBER(G527))),"",3958.7613*2*ASIN(MIN(1,SQRT(SIN(RADIANS(F527-'School Profile'!$K$4)/2)^2+COS(RADIANS('School Profile'!$K$4))*COS(RADIANS(F527))*SIN(RADIANS(G527-'School Profile'!$K$5)/2)^2))))</x:f>
        <x:v>10.345703118872652</x:v>
      </x:c>
      <x:c r="N527" s="1" t="str">
        <x:f>IF(AND(H527="Yes",ISNUMBER(M527),M527&lt;=1),COUNTIFS($H$511:$H$1010,"Yes",$M$511:$M$1010,"&lt;"&amp;M527)+COUNTIFS($H$511:H527,"Yes",$M$511:M527,M527),"")</x:f>
      </x:c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</x:row>
    <x:row r="528" ht="22" customHeight="1">
      <x:c r="A528" s="2" t="str">
        <x:v>18</x:v>
      </x:c>
      <x:c r="B528" s="2" t="str">
        <x:v>Now Faith Worship Center</x:v>
      </x:c>
      <x:c r="C528" s="2" t="str">
        <x:v>1159 Chelten Ave</x:v>
      </x:c>
      <x:c r="D528" s="2" t="str">
        <x:v>Food Site</x:v>
      </x:c>
      <x:c r="E528" s="2" t="str">
        <x:v>Active</x:v>
      </x:c>
      <x:c r="F528" s="2" t="n">
        <x:v>40.0505461250974</x:v>
      </x:c>
      <x:c r="G528" s="2" t="n">
        <x:v>-75.15971886843698</x:v>
      </x:c>
      <x:c r="H528" s="2" t="str">
        <x:v>Yes</x:v>
      </x:c>
      <x:c r="I528" s="2" t="str"/>
      <x:c r="J528" s="2" t="str"/>
      <x:c r="K528" s="2" t="str"/>
      <x:c r="L528" s="2" t="str">
        <x:v>www.nowfaithworshipcenter.com</x:v>
      </x:c>
      <x:c r="M528" s="1" t="n">
        <x:f>IF(OR(NOT(ISNUMBER('School Profile'!$K$4)),NOT(ISNUMBER('School Profile'!$K$5)),NOT(ISNUMBER(F528)),NOT(ISNUMBER(G528))),"",3958.7613*2*ASIN(MIN(1,SQRT(SIN(RADIANS(F528-'School Profile'!$K$4)/2)^2+COS(RADIANS('School Profile'!$K$4))*COS(RADIANS(F528))*SIN(RADIANS(G528-'School Profile'!$K$5)/2)^2))))</x:f>
        <x:v>5.083283661982305</x:v>
      </x:c>
      <x:c r="N528" s="1" t="str">
        <x:f>IF(AND(H528="Yes",ISNUMBER(M528),M528&lt;=1),COUNTIFS($H$511:$H$1010,"Yes",$M$511:$M$1010,"&lt;"&amp;M528)+COUNTIFS($H$511:H528,"Yes",$M$511:M528,M528),"")</x:f>
      </x:c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</x:row>
    <x:row r="529" ht="22" customHeight="1">
      <x:c r="A529" s="2" t="str">
        <x:v>19</x:v>
      </x:c>
      <x:c r="B529" s="2" t="str">
        <x:v>South Philadelphia WIC Office</x:v>
      </x:c>
      <x:c r="C529" s="2" t="str">
        <x:v>1165 S. Broad St.</x:v>
      </x:c>
      <x:c r="D529" s="2" t="str">
        <x:v>Public Benefits</x:v>
      </x:c>
      <x:c r="E529" s="2" t="str">
        <x:v>Active</x:v>
      </x:c>
      <x:c r="F529" s="2" t="n">
        <x:v>39.935914389893334</x:v>
      </x:c>
      <x:c r="G529" s="2" t="n">
        <x:v>-75.16666408974989</x:v>
      </x:c>
      <x:c r="H529" s="2" t="str">
        <x:v>No</x:v>
      </x:c>
      <x:c r="I529" s="2" t="str"/>
      <x:c r="J529" s="2" t="str"/>
      <x:c r="K529" s="2" t="str"/>
      <x:c r="L529" s="2" t="str">
        <x:v>https://www.facebook.com/PhiladelphiaWICProgram/</x:v>
      </x:c>
      <x:c r="M529" s="1" t="n">
        <x:f>IF(OR(NOT(ISNUMBER('School Profile'!$K$4)),NOT(ISNUMBER('School Profile'!$K$5)),NOT(ISNUMBER(F529)),NOT(ISNUMBER(G529))),"",3958.7613*2*ASIN(MIN(1,SQRT(SIN(RADIANS(F529-'School Profile'!$K$4)/2)^2+COS(RADIANS('School Profile'!$K$4))*COS(RADIANS(F529))*SIN(RADIANS(G529-'School Profile'!$K$5)/2)^2))))</x:f>
        <x:v>10.499070542379352</x:v>
      </x:c>
      <x:c r="N529" s="1" t="str">
        <x:f>IF(AND(H529="Yes",ISNUMBER(M529),M529&lt;=1),COUNTIFS($H$511:$H$1010,"Yes",$M$511:$M$1010,"&lt;"&amp;M529)+COUNTIFS($H$511:H529,"Yes",$M$511:M529,M529),"")</x:f>
      </x:c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</x:row>
    <x:row r="530" ht="22" customHeight="1">
      <x:c r="A530" s="2" t="str">
        <x:v>20</x:v>
      </x:c>
      <x:c r="B530" s="2" t="str">
        <x:v>Neighborhood Community Action Center 1</x:v>
      </x:c>
      <x:c r="C530" s="2" t="str">
        <x:v>1200 Carpenter St.</x:v>
      </x:c>
      <x:c r="D530" s="2" t="str">
        <x:v>Public Benefits</x:v>
      </x:c>
      <x:c r="E530" s="2" t="str">
        <x:v>Active</x:v>
      </x:c>
      <x:c r="F530" s="2" t="n">
        <x:v>39.93840289984441</x:v>
      </x:c>
      <x:c r="G530" s="2" t="n">
        <x:v>-75.16306570013145</x:v>
      </x:c>
      <x:c r="H530" s="2" t="str">
        <x:v>No</x:v>
      </x:c>
      <x:c r="I530" s="2" t="str"/>
      <x:c r="J530" s="2" t="str"/>
      <x:c r="K530" s="2" t="str"/>
      <x:c r="L530" s="2" t="str">
        <x:v>https://www.phila.gov/programs/neighborhood-community-action-centers/</x:v>
      </x:c>
      <x:c r="M530" s="1" t="n">
        <x:f>IF(OR(NOT(ISNUMBER('School Profile'!$K$4)),NOT(ISNUMBER('School Profile'!$K$5)),NOT(ISNUMBER(F530)),NOT(ISNUMBER(G530))),"",3958.7613*2*ASIN(MIN(1,SQRT(SIN(RADIANS(F530-'School Profile'!$K$4)/2)^2+COS(RADIANS('School Profile'!$K$4))*COS(RADIANS(F530))*SIN(RADIANS(G530-'School Profile'!$K$5)/2)^2))))</x:f>
        <x:v>10.254499897595856</x:v>
      </x:c>
      <x:c r="N530" s="1" t="str">
        <x:f>IF(AND(H530="Yes",ISNUMBER(M530),M530&lt;=1),COUNTIFS($H$511:$H$1010,"Yes",$M$511:$M$1010,"&lt;"&amp;M530)+COUNTIFS($H$511:H530,"Yes",$M$511:M530,M530),"")</x:f>
      </x:c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</x:row>
    <x:row r="531" ht="22" customHeight="1">
      <x:c r="A531" s="2" t="str">
        <x:v>21</x:v>
      </x:c>
      <x:c r="B531" s="2" t="str">
        <x:v>St. John's Hospice</x:v>
      </x:c>
      <x:c r="C531" s="2" t="str">
        <x:v>1221 Race St</x:v>
      </x:c>
      <x:c r="D531" s="2" t="str">
        <x:v>General Meal Site</x:v>
      </x:c>
      <x:c r="E531" s="2" t="str">
        <x:v>Active</x:v>
      </x:c>
      <x:c r="F531" s="2" t="n">
        <x:v>39.9559929999049</x:v>
      </x:c>
      <x:c r="G531" s="2" t="n">
        <x:v>-75.1599856402286</x:v>
      </x:c>
      <x:c r="H531" s="2" t="str">
        <x:v>No</x:v>
      </x:c>
      <x:c r="I531" s="2" t="str"/>
      <x:c r="J531" s="2" t="str"/>
      <x:c r="K531" s="2" t="str"/>
      <x:c r="L531" s="2" t="str">
        <x:v>https://www.phila.gov/departments/office-of-homeless-services/</x:v>
      </x:c>
      <x:c r="M531" s="1" t="n">
        <x:f>IF(OR(NOT(ISNUMBER('School Profile'!$K$4)),NOT(ISNUMBER('School Profile'!$K$5)),NOT(ISNUMBER(F531)),NOT(ISNUMBER(G531))),"",3958.7613*2*ASIN(MIN(1,SQRT(SIN(RADIANS(F531-'School Profile'!$K$4)/2)^2+COS(RADIANS('School Profile'!$K$4))*COS(RADIANS(F531))*SIN(RADIANS(G531-'School Profile'!$K$5)/2)^2))))</x:f>
        <x:v>9.132681337982914</x:v>
      </x:c>
      <x:c r="N531" s="1" t="str">
        <x:f>IF(AND(H531="Yes",ISNUMBER(M531),M531&lt;=1),COUNTIFS($H$511:$H$1010,"Yes",$M$511:$M$1010,"&lt;"&amp;M531)+COUNTIFS($H$511:H531,"Yes",$M$511:M531,M531),"")</x:f>
      </x:c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</x:row>
    <x:row r="532" ht="22" customHeight="1">
      <x:c r="A532" s="2" t="str">
        <x:v>22</x:v>
      </x:c>
      <x:c r="B532" s="2" t="str">
        <x:v>Holy Redeemer Food Cupboard</x:v>
      </x:c>
      <x:c r="C532" s="2" t="str">
        <x:v>12265 Townsend Rd.</x:v>
      </x:c>
      <x:c r="D532" s="2" t="str">
        <x:v>Food Site</x:v>
      </x:c>
      <x:c r="E532" s="2" t="str">
        <x:v>Active</x:v>
      </x:c>
      <x:c r="F532" s="2" t="n">
        <x:v>40.10174835479331</x:v>
      </x:c>
      <x:c r="G532" s="2" t="n">
        <x:v>-74.98621090714143</x:v>
      </x:c>
      <x:c r="H532" s="2" t="str">
        <x:v>Yes</x:v>
      </x:c>
      <x:c r="I532" s="2" t="str"/>
      <x:c r="J532" s="2" t="str"/>
      <x:c r="K532" s="2" t="str"/>
      <x:c r="L532" s="2" t="str">
        <x:v>https://www.philabundance.org/</x:v>
      </x:c>
      <x:c r="M532" s="1" t="n">
        <x:f>IF(OR(NOT(ISNUMBER('School Profile'!$K$4)),NOT(ISNUMBER('School Profile'!$K$5)),NOT(ISNUMBER(F532)),NOT(ISNUMBER(G532))),"",3958.7613*2*ASIN(MIN(1,SQRT(SIN(RADIANS(F532-'School Profile'!$K$4)/2)^2+COS(RADIANS('School Profile'!$K$4))*COS(RADIANS(F532))*SIN(RADIANS(G532-'School Profile'!$K$5)/2)^2))))</x:f>
        <x:v>4.857994950373151</x:v>
      </x:c>
      <x:c r="N532" s="1" t="str">
        <x:f>IF(AND(H532="Yes",ISNUMBER(M532),M532&lt;=1),COUNTIFS($H$511:$H$1010,"Yes",$M$511:$M$1010,"&lt;"&amp;M532)+COUNTIFS($H$511:H532,"Yes",$M$511:M532,M532),"")</x:f>
      </x:c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</x:row>
    <x:row r="533" ht="22" customHeight="1">
      <x:c r="A533" s="2" t="str">
        <x:v>23</x:v>
      </x:c>
      <x:c r="B533" s="2" t="str">
        <x:v>Greater Mt. Sinai Baptist Church </x:v>
      </x:c>
      <x:c r="C533" s="2" t="str">
        <x:v>1228 S 21st St</x:v>
      </x:c>
      <x:c r="D533" s="2" t="str">
        <x:v>Food Site</x:v>
      </x:c>
      <x:c r="E533" s="2" t="str">
        <x:v>Active</x:v>
      </x:c>
      <x:c r="F533" s="2" t="n">
        <x:v>40.038368710089664</x:v>
      </x:c>
      <x:c r="G533" s="2" t="n">
        <x:v>-75.17409665968084</x:v>
      </x:c>
      <x:c r="H533" s="2" t="str">
        <x:v>Yes</x:v>
      </x:c>
      <x:c r="I533" s="2" t="str"/>
      <x:c r="J533" s="2" t="str"/>
      <x:c r="K533" s="2" t="str"/>
      <x:c r="L533" s="2" t="str"/>
      <x:c r="M533" s="1" t="n">
        <x:f>IF(OR(NOT(ISNUMBER('School Profile'!$K$4)),NOT(ISNUMBER('School Profile'!$K$5)),NOT(ISNUMBER(F533)),NOT(ISNUMBER(G533))),"",3958.7613*2*ASIN(MIN(1,SQRT(SIN(RADIANS(F533-'School Profile'!$K$4)/2)^2+COS(RADIANS('School Profile'!$K$4))*COS(RADIANS(F533))*SIN(RADIANS(G533-'School Profile'!$K$5)/2)^2))))</x:f>
        <x:v>6.046851605527467</x:v>
      </x:c>
      <x:c r="N533" s="1" t="str">
        <x:f>IF(AND(H533="Yes",ISNUMBER(M533),M533&lt;=1),COUNTIFS($H$511:$H$1010,"Yes",$M$511:$M$1010,"&lt;"&amp;M533)+COUNTIFS($H$511:H533,"Yes",$M$511:M533,M533),"")</x:f>
      </x:c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</x:row>
    <x:row r="534" ht="22" customHeight="1">
      <x:c r="A534" s="2" t="str">
        <x:v>24</x:v>
      </x:c>
      <x:c r="B534" s="2" t="str">
        <x:v>Face to Face Germantown</x:v>
      </x:c>
      <x:c r="C534" s="2" t="str">
        <x:v>123 E Price St</x:v>
      </x:c>
      <x:c r="D534" s="2" t="str">
        <x:v>Food Site</x:v>
      </x:c>
      <x:c r="E534" s="2" t="str">
        <x:v>Active</x:v>
      </x:c>
      <x:c r="F534" s="2" t="n">
        <x:v>40.038368710089664</x:v>
      </x:c>
      <x:c r="G534" s="2" t="n">
        <x:v>-75.17409665968084</x:v>
      </x:c>
      <x:c r="H534" s="2" t="str">
        <x:v>Yes</x:v>
      </x:c>
      <x:c r="I534" s="2" t="str"/>
      <x:c r="J534" s="2" t="str"/>
      <x:c r="K534" s="2" t="str"/>
      <x:c r="L534" s="2" t="str">
        <x:v>https://facetofacegermantown.org</x:v>
      </x:c>
      <x:c r="M534" s="1" t="n">
        <x:f>IF(OR(NOT(ISNUMBER('School Profile'!$K$4)),NOT(ISNUMBER('School Profile'!$K$5)),NOT(ISNUMBER(F534)),NOT(ISNUMBER(G534))),"",3958.7613*2*ASIN(MIN(1,SQRT(SIN(RADIANS(F534-'School Profile'!$K$4)/2)^2+COS(RADIANS('School Profile'!$K$4))*COS(RADIANS(F534))*SIN(RADIANS(G534-'School Profile'!$K$5)/2)^2))))</x:f>
        <x:v>6.046851605527467</x:v>
      </x:c>
      <x:c r="N534" s="1" t="str">
        <x:f>IF(AND(H534="Yes",ISNUMBER(M534),M534&lt;=1),COUNTIFS($H$511:$H$1010,"Yes",$M$511:$M$1010,"&lt;"&amp;M534)+COUNTIFS($H$511:H534,"Yes",$M$511:M534,M534),"")</x:f>
      </x:c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</x:row>
    <x:row r="535" ht="22" customHeight="1">
      <x:c r="A535" s="2" t="str">
        <x:v>25</x:v>
      </x:c>
      <x:c r="B535" s="2" t="str">
        <x:v>Face to Face Germantown</x:v>
      </x:c>
      <x:c r="C535" s="2" t="str">
        <x:v>123 E. Price St</x:v>
      </x:c>
      <x:c r="D535" s="2" t="str">
        <x:v>General Meal Site</x:v>
      </x:c>
      <x:c r="E535" s="2" t="str">
        <x:v>Active</x:v>
      </x:c>
      <x:c r="F535" s="2" t="n">
        <x:v>40.038368710089664</x:v>
      </x:c>
      <x:c r="G535" s="2" t="n">
        <x:v>-75.17409665968084</x:v>
      </x:c>
      <x:c r="H535" s="2" t="str">
        <x:v>No</x:v>
      </x:c>
      <x:c r="I535" s="2" t="str"/>
      <x:c r="J535" s="2" t="str"/>
      <x:c r="K535" s="2" t="str"/>
      <x:c r="L535" s="2" t="str">
        <x:v>https://facetofacegermantown.org</x:v>
      </x:c>
      <x:c r="M535" s="1" t="n">
        <x:f>IF(OR(NOT(ISNUMBER('School Profile'!$K$4)),NOT(ISNUMBER('School Profile'!$K$5)),NOT(ISNUMBER(F535)),NOT(ISNUMBER(G535))),"",3958.7613*2*ASIN(MIN(1,SQRT(SIN(RADIANS(F535-'School Profile'!$K$4)/2)^2+COS(RADIANS('School Profile'!$K$4))*COS(RADIANS(F535))*SIN(RADIANS(G535-'School Profile'!$K$5)/2)^2))))</x:f>
        <x:v>6.046851605527467</x:v>
      </x:c>
      <x:c r="N535" s="1" t="str">
        <x:f>IF(AND(H535="Yes",ISNUMBER(M535),M535&lt;=1),COUNTIFS($H$511:$H$1010,"Yes",$M$511:$M$1010,"&lt;"&amp;M535)+COUNTIFS($H$511:H535,"Yes",$M$511:M535,M535),"")</x:f>
      </x:c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</x:row>
    <x:row r="536" ht="22" customHeight="1">
      <x:c r="A536" s="2" t="str">
        <x:v>26</x:v>
      </x:c>
      <x:c r="B536" s="2" t="str">
        <x:v>Small Things Market at Emmanuel (inside of Resurrection Church)</x:v>
      </x:c>
      <x:c r="C536" s="2" t="str">
        <x:v>123 S 17th St</x:v>
      </x:c>
      <x:c r="D536" s="2" t="str">
        <x:v>Food Site</x:v>
      </x:c>
      <x:c r="E536" s="2" t="str">
        <x:v>Active</x:v>
      </x:c>
      <x:c r="F536" s="2" t="n">
        <x:v>39.950582561714725</x:v>
      </x:c>
      <x:c r="G536" s="2" t="n">
        <x:v>-75.16889080223514</x:v>
      </x:c>
      <x:c r="H536" s="2" t="str">
        <x:v>Yes</x:v>
      </x:c>
      <x:c r="I536" s="2" t="str"/>
      <x:c r="J536" s="2" t="str"/>
      <x:c r="K536" s="2" t="str"/>
      <x:c r="L536" s="2" t="str">
        <x:v>https://www.smallthingsphilly.org/</x:v>
      </x:c>
      <x:c r="M536" s="1" t="n">
        <x:f>IF(OR(NOT(ISNUMBER('School Profile'!$K$4)),NOT(ISNUMBER('School Profile'!$K$5)),NOT(ISNUMBER(F536)),NOT(ISNUMBER(G536))),"",3958.7613*2*ASIN(MIN(1,SQRT(SIN(RADIANS(F536-'School Profile'!$K$4)/2)^2+COS(RADIANS('School Profile'!$K$4))*COS(RADIANS(F536))*SIN(RADIANS(G536-'School Profile'!$K$5)/2)^2))))</x:f>
        <x:v>9.704890081700679</x:v>
      </x:c>
      <x:c r="N536" s="1" t="str">
        <x:f>IF(AND(H536="Yes",ISNUMBER(M536),M536&lt;=1),COUNTIFS($H$511:$H$1010,"Yes",$M$511:$M$1010,"&lt;"&amp;M536)+COUNTIFS($H$511:H536,"Yes",$M$511:M536,M536),"")</x:f>
      </x:c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</x:row>
    <x:row r="537" ht="22" customHeight="1">
      <x:c r="A537" s="2" t="str">
        <x:v>27</x:v>
      </x:c>
      <x:c r="B537" s="2" t="str">
        <x:v>Philadelphia FIGHT</x:v>
      </x:c>
      <x:c r="C537" s="2" t="str">
        <x:v>1233 Locust St.</x:v>
      </x:c>
      <x:c r="D537" s="2" t="str">
        <x:v>Public Benefits</x:v>
      </x:c>
      <x:c r="E537" s="2" t="str">
        <x:v>Active</x:v>
      </x:c>
      <x:c r="F537" s="2" t="n">
        <x:v>39.948153639933494</x:v>
      </x:c>
      <x:c r="G537" s="2" t="n">
        <x:v>-75.16194111988851</x:v>
      </x:c>
      <x:c r="H537" s="2" t="str">
        <x:v>No</x:v>
      </x:c>
      <x:c r="I537" s="2" t="str"/>
      <x:c r="J537" s="2" t="str"/>
      <x:c r="K537" s="2" t="str"/>
      <x:c r="L537" s="2" t="str">
        <x:v>https://fight.org/</x:v>
      </x:c>
      <x:c r="M537" s="1" t="n">
        <x:f>IF(OR(NOT(ISNUMBER('School Profile'!$K$4)),NOT(ISNUMBER('School Profile'!$K$5)),NOT(ISNUMBER(F537)),NOT(ISNUMBER(G537))),"",3958.7613*2*ASIN(MIN(1,SQRT(SIN(RADIANS(F537-'School Profile'!$K$4)/2)^2+COS(RADIANS('School Profile'!$K$4))*COS(RADIANS(F537))*SIN(RADIANS(G537-'School Profile'!$K$5)/2)^2))))</x:f>
        <x:v>9.645693534693429</x:v>
      </x:c>
      <x:c r="N537" s="1" t="str">
        <x:f>IF(AND(H537="Yes",ISNUMBER(M537),M537&lt;=1),COUNTIFS($H$511:$H$1010,"Yes",$M$511:$M$1010,"&lt;"&amp;M537)+COUNTIFS($H$511:H537,"Yes",$M$511:M537,M537),"")</x:f>
      </x:c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</x:row>
    <x:row r="538" ht="22" customHeight="1">
      <x:c r="A538" s="2" t="str">
        <x:v>28</x:v>
      </x:c>
      <x:c r="B538" s="2" t="str">
        <x:v>Parkwood WIC Office</x:v>
      </x:c>
      <x:c r="C538" s="2" t="str">
        <x:v>12347 Academy Rd.</x:v>
      </x:c>
      <x:c r="D538" s="2" t="str">
        <x:v>Public Benefits</x:v>
      </x:c>
      <x:c r="E538" s="2" t="str">
        <x:v>Active</x:v>
      </x:c>
      <x:c r="F538" s="2" t="n">
        <x:v>40.0964506121744</x:v>
      </x:c>
      <x:c r="G538" s="2" t="n">
        <x:v>-74.9755128910841</x:v>
      </x:c>
      <x:c r="H538" s="2" t="str">
        <x:v>No</x:v>
      </x:c>
      <x:c r="I538" s="2" t="str"/>
      <x:c r="J538" s="2" t="str"/>
      <x:c r="K538" s="2" t="str"/>
      <x:c r="L538" s="2" t="str">
        <x:v>https://www.facebook.com/PhiladelphiaWICProgram/</x:v>
      </x:c>
      <x:c r="M538" s="1" t="n">
        <x:f>IF(OR(NOT(ISNUMBER('School Profile'!$K$4)),NOT(ISNUMBER('School Profile'!$K$5)),NOT(ISNUMBER(F538)),NOT(ISNUMBER(G538))),"",3958.7613*2*ASIN(MIN(1,SQRT(SIN(RADIANS(F538-'School Profile'!$K$4)/2)^2+COS(RADIANS('School Profile'!$K$4))*COS(RADIANS(F538))*SIN(RADIANS(G538-'School Profile'!$K$5)/2)^2))))</x:f>
        <x:v>5.201906202463793</x:v>
      </x:c>
      <x:c r="N538" s="1" t="str">
        <x:f>IF(AND(H538="Yes",ISNUMBER(M538),M538&lt;=1),COUNTIFS($H$511:$H$1010,"Yes",$M$511:$M$1010,"&lt;"&amp;M538)+COUNTIFS($H$511:H538,"Yes",$M$511:M538,M538),"")</x:f>
      </x:c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</x:row>
    <x:row r="539" ht="22" customHeight="1">
      <x:c r="A539" s="2" t="str">
        <x:v>29</x:v>
      </x:c>
      <x:c r="B539" s="2" t="str">
        <x:v>Juniata Park Older Adult Center</x:v>
      </x:c>
      <x:c r="C539" s="2" t="str">
        <x:v>1251 E. Sedgley Avenue</x:v>
      </x:c>
      <x:c r="D539" s="2" t="str">
        <x:v>Senior Meal Site</x:v>
      </x:c>
      <x:c r="E539" s="2" t="str">
        <x:v>Active</x:v>
      </x:c>
      <x:c r="F539" s="2" t="n">
        <x:v>40.0036572001824</x:v>
      </x:c>
      <x:c r="G539" s="2" t="n">
        <x:v>-75.10444332992928</x:v>
      </x:c>
      <x:c r="H539" s="2" t="str">
        <x:v>No</x:v>
      </x:c>
      <x:c r="I539" s="2" t="str"/>
      <x:c r="J539" s="2" t="str"/>
      <x:c r="K539" s="2" t="str"/>
      <x:c r="L539" s="2" t="str">
        <x:v>https://www.phila.gov/programs/programs-for-older-adults/</x:v>
      </x:c>
      <x:c r="M539" s="1" t="n">
        <x:f>IF(OR(NOT(ISNUMBER('School Profile'!$K$4)),NOT(ISNUMBER('School Profile'!$K$5)),NOT(ISNUMBER(F539)),NOT(ISNUMBER(G539))),"",3958.7613*2*ASIN(MIN(1,SQRT(SIN(RADIANS(F539-'School Profile'!$K$4)/2)^2+COS(RADIANS('School Profile'!$K$4))*COS(RADIANS(F539))*SIN(RADIANS(G539-'School Profile'!$K$5)/2)^2))))</x:f>
        <x:v>4.816487644639494</x:v>
      </x:c>
      <x:c r="N539" s="1" t="str">
        <x:f>IF(AND(H539="Yes",ISNUMBER(M539),M539&lt;=1),COUNTIFS($H$511:$H$1010,"Yes",$M$511:$M$1010,"&lt;"&amp;M539)+COUNTIFS($H$511:H539,"Yes",$M$511:M539,M539),"")</x:f>
      </x:c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</x:row>
    <x:row r="540" ht="22" customHeight="1">
      <x:c r="A540" s="2" t="str">
        <x:v>30</x:v>
      </x:c>
      <x:c r="B540" s="2" t="str">
        <x:v>Small Things Philly Market - House of Hope</x:v>
      </x:c>
      <x:c r="C540" s="2" t="str">
        <x:v>1300 W. Hunting Park Ave</x:v>
      </x:c>
      <x:c r="D540" s="2" t="str">
        <x:v>Food Site</x:v>
      </x:c>
      <x:c r="E540" s="2" t="str">
        <x:v>Active</x:v>
      </x:c>
      <x:c r="F540" s="2" t="n">
        <x:v>40.01656925018266</x:v>
      </x:c>
      <x:c r="G540" s="2" t="n">
        <x:v>-75.14726629979764</x:v>
      </x:c>
      <x:c r="H540" s="2" t="str">
        <x:v>Yes</x:v>
      </x:c>
      <x:c r="I540" s="2" t="str"/>
      <x:c r="J540" s="2" t="str"/>
      <x:c r="K540" s="2" t="str"/>
      <x:c r="L540" s="2" t="str">
        <x:v>https://www.smallthingsphilly.org/</x:v>
      </x:c>
      <x:c r="M540" s="1" t="n">
        <x:f>IF(OR(NOT(ISNUMBER('School Profile'!$K$4)),NOT(ISNUMBER('School Profile'!$K$5)),NOT(ISNUMBER(F540)),NOT(ISNUMBER(G540))),"",3958.7613*2*ASIN(MIN(1,SQRT(SIN(RADIANS(F540-'School Profile'!$K$4)/2)^2+COS(RADIANS('School Profile'!$K$4))*COS(RADIANS(F540))*SIN(RADIANS(G540-'School Profile'!$K$5)/2)^2))))</x:f>
        <x:v>5.527350513030388</x:v>
      </x:c>
      <x:c r="N540" s="1" t="str">
        <x:f>IF(AND(H540="Yes",ISNUMBER(M540),M540&lt;=1),COUNTIFS($H$511:$H$1010,"Yes",$M$511:$M$1010,"&lt;"&amp;M540)+COUNTIFS($H$511:H540,"Yes",$M$511:M540,M540),"")</x:f>
      </x:c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</x:row>
    <x:row r="541" ht="22" customHeight="1">
      <x:c r="A541" s="2" t="str">
        <x:v>31</x:v>
      </x:c>
      <x:c r="B541" s="2" t="str">
        <x:v>Dreuding Center</x:v>
      </x:c>
      <x:c r="C541" s="2" t="str">
        <x:v>1321 N. Lawrence St. Door Number 10</x:v>
      </x:c>
      <x:c r="D541" s="2" t="str">
        <x:v>Food Site</x:v>
      </x:c>
      <x:c r="E541" s="2" t="str">
        <x:v>Active</x:v>
      </x:c>
      <x:c r="F541" s="2" t="n">
        <x:v>39.972025779917075</x:v>
      </x:c>
      <x:c r="G541" s="2" t="n">
        <x:v>-75.14347186993643</x:v>
      </x:c>
      <x:c r="H541" s="2" t="str">
        <x:v>Yes</x:v>
      </x:c>
      <x:c r="I541" s="2" t="str"/>
      <x:c r="J541" s="2" t="str"/>
      <x:c r="K541" s="2" t="str"/>
      <x:c r="L541" s="2" t="str">
        <x:v>https://nutritionaldevelopmentservices.org/</x:v>
      </x:c>
      <x:c r="M541" s="1" t="n">
        <x:f>IF(OR(NOT(ISNUMBER('School Profile'!$K$4)),NOT(ISNUMBER('School Profile'!$K$5)),NOT(ISNUMBER(F541)),NOT(ISNUMBER(G541))),"",3958.7613*2*ASIN(MIN(1,SQRT(SIN(RADIANS(F541-'School Profile'!$K$4)/2)^2+COS(RADIANS('School Profile'!$K$4))*COS(RADIANS(F541))*SIN(RADIANS(G541-'School Profile'!$K$5)/2)^2))))</x:f>
        <x:v>7.728493624054054</x:v>
      </x:c>
      <x:c r="N541" s="1" t="str">
        <x:f>IF(AND(H541="Yes",ISNUMBER(M541),M541&lt;=1),COUNTIFS($H$511:$H$1010,"Yes",$M$511:$M$1010,"&lt;"&amp;M541)+COUNTIFS($H$511:H541,"Yes",$M$511:M541,M541),"")</x:f>
      </x:c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</x:row>
    <x:row r="542" ht="22" customHeight="1">
      <x:c r="A542" s="2" t="str">
        <x:v>32</x:v>
      </x:c>
      <x:c r="B542" s="2" t="str">
        <x:v>Bible Way Baptist Church</x:v>
      </x:c>
      <x:c r="C542" s="2" t="str">
        <x:v>1323 N 52nd St.</x:v>
      </x:c>
      <x:c r="D542" s="2" t="str">
        <x:v>General Meal Site</x:v>
      </x:c>
      <x:c r="E542" s="2" t="str">
        <x:v>Active</x:v>
      </x:c>
      <x:c r="F542" s="2" t="n">
        <x:v>39.97674169981708</x:v>
      </x:c>
      <x:c r="G542" s="2" t="n">
        <x:v>-75.18229669988492</x:v>
      </x:c>
      <x:c r="H542" s="2" t="str">
        <x:v>No</x:v>
      </x:c>
      <x:c r="I542" s="2" t="str"/>
      <x:c r="J542" s="2" t="str"/>
      <x:c r="K542" s="2" t="str"/>
      <x:c r="L542" s="2" t="str">
        <x:v>https://www.philabundance.org/</x:v>
      </x:c>
      <x:c r="M542" s="1" t="n">
        <x:f>IF(OR(NOT(ISNUMBER('School Profile'!$K$4)),NOT(ISNUMBER('School Profile'!$K$5)),NOT(ISNUMBER(F542)),NOT(ISNUMBER(G542))),"",3958.7613*2*ASIN(MIN(1,SQRT(SIN(RADIANS(F542-'School Profile'!$K$4)/2)^2+COS(RADIANS('School Profile'!$K$4))*COS(RADIANS(F542))*SIN(RADIANS(G542-'School Profile'!$K$5)/2)^2))))</x:f>
        <x:v>8.753901210950682</x:v>
      </x:c>
      <x:c r="N542" s="1" t="str">
        <x:f>IF(AND(H542="Yes",ISNUMBER(M542),M542&lt;=1),COUNTIFS($H$511:$H$1010,"Yes",$M$511:$M$1010,"&lt;"&amp;M542)+COUNTIFS($H$511:H542,"Yes",$M$511:M542,M542),"")</x:f>
      </x:c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</x:row>
    <x:row r="543" ht="22" customHeight="1">
      <x:c r="A543" s="2" t="str">
        <x:v>33</x:v>
      </x:c>
      <x:c r="B543" s="2" t="str">
        <x:v>Temple - Wyoming WIC Office</x:v>
      </x:c>
      <x:c r="C543" s="2" t="str">
        <x:v>1331 E Wyoming Ave.</x:v>
      </x:c>
      <x:c r="D543" s="2" t="str">
        <x:v>Public Benefits</x:v>
      </x:c>
      <x:c r="E543" s="2" t="str">
        <x:v>Active</x:v>
      </x:c>
      <x:c r="F543" s="2" t="n">
        <x:v>40.018333991704296</x:v>
      </x:c>
      <x:c r="G543" s="2" t="n">
        <x:v>-75.09831254820241</x:v>
      </x:c>
      <x:c r="H543" s="2" t="str">
        <x:v>No</x:v>
      </x:c>
      <x:c r="I543" s="2" t="str"/>
      <x:c r="J543" s="2" t="str"/>
      <x:c r="K543" s="2" t="str"/>
      <x:c r="L543" s="2" t="str">
        <x:v>https://www.facebook.com/PhiladelphiaWICProgram/</x:v>
      </x:c>
      <x:c r="M543" s="1" t="n">
        <x:f>IF(OR(NOT(ISNUMBER('School Profile'!$K$4)),NOT(ISNUMBER('School Profile'!$K$5)),NOT(ISNUMBER(F543)),NOT(ISNUMBER(G543))),"",3958.7613*2*ASIN(MIN(1,SQRT(SIN(RADIANS(F543-'School Profile'!$K$4)/2)^2+COS(RADIANS('School Profile'!$K$4))*COS(RADIANS(F543))*SIN(RADIANS(G543-'School Profile'!$K$5)/2)^2))))</x:f>
        <x:v>3.762649699023919</x:v>
      </x:c>
      <x:c r="N543" s="1" t="str">
        <x:f>IF(AND(H543="Yes",ISNUMBER(M543),M543&lt;=1),COUNTIFS($H$511:$H$1010,"Yes",$M$511:$M$1010,"&lt;"&amp;M543)+COUNTIFS($H$511:H543,"Yes",$M$511:M543,M543),"")</x:f>
      </x:c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</x:row>
    <x:row r="544" ht="22" customHeight="1">
      <x:c r="A544" s="2" t="str">
        <x:v>34</x:v>
      </x:c>
      <x:c r="B544" s="2" t="str">
        <x:v>Neighborhood Community Action Center 9</x:v>
      </x:c>
      <x:c r="C544" s="2" t="str">
        <x:v>1333 Wagner Ave.</x:v>
      </x:c>
      <x:c r="D544" s="2" t="str">
        <x:v>Public Benefits</x:v>
      </x:c>
      <x:c r="E544" s="2" t="str">
        <x:v>Active</x:v>
      </x:c>
      <x:c r="F544" s="2" t="n">
        <x:v>40.03175610026658</x:v>
      </x:c>
      <x:c r="G544" s="2" t="n">
        <x:v>-75.14537150043684</x:v>
      </x:c>
      <x:c r="H544" s="2" t="str">
        <x:v>No</x:v>
      </x:c>
      <x:c r="I544" s="2" t="str"/>
      <x:c r="J544" s="2" t="str"/>
      <x:c r="K544" s="2" t="str"/>
      <x:c r="L544" s="2" t="str">
        <x:v>https://www.phila.gov/programs/neighborhood-community-action-centers/</x:v>
      </x:c>
      <x:c r="M544" s="1" t="n">
        <x:f>IF(OR(NOT(ISNUMBER('School Profile'!$K$4)),NOT(ISNUMBER('School Profile'!$K$5)),NOT(ISNUMBER(F544)),NOT(ISNUMBER(G544))),"",3958.7613*2*ASIN(MIN(1,SQRT(SIN(RADIANS(F544-'School Profile'!$K$4)/2)^2+COS(RADIANS('School Profile'!$K$4))*COS(RADIANS(F544))*SIN(RADIANS(G544-'School Profile'!$K$5)/2)^2))))</x:f>
        <x:v>4.848430163276043</x:v>
      </x:c>
      <x:c r="N544" s="1" t="str">
        <x:f>IF(AND(H544="Yes",ISNUMBER(M544),M544&lt;=1),COUNTIFS($H$511:$H$1010,"Yes",$M$511:$M$1010,"&lt;"&amp;M544)+COUNTIFS($H$511:H544,"Yes",$M$511:M544,M544),"")</x:f>
      </x:c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</x:row>
    <x:row r="545" ht="22" customHeight="1">
      <x:c r="A545" s="2" t="str">
        <x:v>35</x:v>
      </x:c>
      <x:c r="B545" s="2" t="str">
        <x:v>Salvation Army Temple</x:v>
      </x:c>
      <x:c r="C545" s="2" t="str">
        <x:v>1340 Brown St</x:v>
      </x:c>
      <x:c r="D545" s="2" t="str">
        <x:v>Food Site</x:v>
      </x:c>
      <x:c r="E545" s="2" t="str">
        <x:v>Active</x:v>
      </x:c>
      <x:c r="F545" s="2" t="n">
        <x:v>39.96785986997084</x:v>
      </x:c>
      <x:c r="G545" s="2" t="n">
        <x:v>-75.15940460990281</x:v>
      </x:c>
      <x:c r="H545" s="2" t="str">
        <x:v>Yes</x:v>
      </x:c>
      <x:c r="I545" s="2" t="str"/>
      <x:c r="J545" s="2" t="str"/>
      <x:c r="K545" s="2" t="str"/>
      <x:c r="L545" s="2" t="str">
        <x:v>https://www.philabundance.org/</x:v>
      </x:c>
      <x:c r="M545" s="1" t="n">
        <x:f>IF(OR(NOT(ISNUMBER('School Profile'!$K$4)),NOT(ISNUMBER('School Profile'!$K$5)),NOT(ISNUMBER(F545)),NOT(ISNUMBER(G545))),"",3958.7613*2*ASIN(MIN(1,SQRT(SIN(RADIANS(F545-'School Profile'!$K$4)/2)^2+COS(RADIANS('School Profile'!$K$4))*COS(RADIANS(F545))*SIN(RADIANS(G545-'School Profile'!$K$5)/2)^2))))</x:f>
        <x:v>8.438568068949134</x:v>
      </x:c>
      <x:c r="N545" s="1" t="str">
        <x:f>IF(AND(H545="Yes",ISNUMBER(M545),M545&lt;=1),COUNTIFS($H$511:$H$1010,"Yes",$M$511:$M$1010,"&lt;"&amp;M545)+COUNTIFS($H$511:H545,"Yes",$M$511:M545,M545),"")</x:f>
      </x:c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</x:row>
    <x:row r="546" ht="22" customHeight="1">
      <x:c r="A546" s="2" t="str">
        <x:v>36</x:v>
      </x:c>
      <x:c r="B546" s="2" t="str">
        <x:v>Lutheran Settlement House</x:v>
      </x:c>
      <x:c r="C546" s="2" t="str">
        <x:v>1340 Frankford Ave.</x:v>
      </x:c>
      <x:c r="D546" s="2" t="str">
        <x:v>Senior Meal Site</x:v>
      </x:c>
      <x:c r="E546" s="2" t="str">
        <x:v>Active</x:v>
      </x:c>
      <x:c r="F546" s="2" t="n">
        <x:v>39.971414340062566</x:v>
      </x:c>
      <x:c r="G546" s="2" t="n">
        <x:v>-75.13466968001428</x:v>
      </x:c>
      <x:c r="H546" s="2" t="str">
        <x:v>No</x:v>
      </x:c>
      <x:c r="I546" s="2" t="str"/>
      <x:c r="J546" s="2" t="str"/>
      <x:c r="K546" s="2" t="str"/>
      <x:c r="L546" s="2" t="str">
        <x:v>https://www.pcacares.org/</x:v>
      </x:c>
      <x:c r="M546" s="1" t="n">
        <x:f>IF(OR(NOT(ISNUMBER('School Profile'!$K$4)),NOT(ISNUMBER('School Profile'!$K$5)),NOT(ISNUMBER(F546)),NOT(ISNUMBER(G546))),"",3958.7613*2*ASIN(MIN(1,SQRT(SIN(RADIANS(F546-'School Profile'!$K$4)/2)^2+COS(RADIANS('School Profile'!$K$4))*COS(RADIANS(F546))*SIN(RADIANS(G546-'School Profile'!$K$5)/2)^2))))</x:f>
        <x:v>7.528785606492559</x:v>
      </x:c>
      <x:c r="N546" s="1" t="str">
        <x:f>IF(AND(H546="Yes",ISNUMBER(M546),M546&lt;=1),COUNTIFS($H$511:$H$1010,"Yes",$M$511:$M$1010,"&lt;"&amp;M546)+COUNTIFS($H$511:H546,"Yes",$M$511:M546,M546),"")</x:f>
      </x:c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</x:row>
    <x:row r="547" ht="22" customHeight="1">
      <x:c r="A547" s="2" t="str">
        <x:v>37</x:v>
      </x:c>
      <x:c r="B547" s="2" t="str">
        <x:v>The H.O.P.E. Food Pantry</x:v>
      </x:c>
      <x:c r="C547" s="2" t="str">
        <x:v>140 E Mt. Airy Ave</x:v>
      </x:c>
      <x:c r="D547" s="2" t="str">
        <x:v>Food Site</x:v>
      </x:c>
      <x:c r="E547" s="2" t="str">
        <x:v>Active</x:v>
      </x:c>
      <x:c r="F547" s="2" t="n">
        <x:v>40.061530386121255</x:v>
      </x:c>
      <x:c r="G547" s="2" t="n">
        <x:v>-75.18951793036548</x:v>
      </x:c>
      <x:c r="H547" s="2" t="str">
        <x:v>Yes</x:v>
      </x:c>
      <x:c r="I547" s="2" t="str"/>
      <x:c r="J547" s="2" t="str"/>
      <x:c r="K547" s="2" t="str"/>
      <x:c r="L547" s="2" t="str"/>
      <x:c r="M547" s="1" t="n">
        <x:f>IF(OR(NOT(ISNUMBER('School Profile'!$K$4)),NOT(ISNUMBER('School Profile'!$K$5)),NOT(ISNUMBER(F547)),NOT(ISNUMBER(G547))),"",3958.7613*2*ASIN(MIN(1,SQRT(SIN(RADIANS(F547-'School Profile'!$K$4)/2)^2+COS(RADIANS('School Profile'!$K$4))*COS(RADIANS(F547))*SIN(RADIANS(G547-'School Profile'!$K$5)/2)^2))))</x:f>
        <x:v>6.542657590801081</x:v>
      </x:c>
      <x:c r="N547" s="1" t="str">
        <x:f>IF(AND(H547="Yes",ISNUMBER(M547),M547&lt;=1),COUNTIFS($H$511:$H$1010,"Yes",$M$511:$M$1010,"&lt;"&amp;M547)+COUNTIFS($H$511:H547,"Yes",$M$511:M547,M547),"")</x:f>
      </x:c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</x:row>
    <x:row r="548" ht="22" customHeight="1">
      <x:c r="A548" s="2" t="str">
        <x:v>38</x:v>
      </x:c>
      <x:c r="B548" s="2" t="str">
        <x:v>The Everywhere Project (Love Park)</x:v>
      </x:c>
      <x:c r="C548" s="2" t="str">
        <x:v>N 15th St. and John F. Kennedy Blvd</x:v>
      </x:c>
      <x:c r="D548" s="2" t="str">
        <x:v>General Meal Site</x:v>
      </x:c>
      <x:c r="E548" s="2" t="str">
        <x:v>Active</x:v>
      </x:c>
      <x:c r="F548" s="2" t="n">
        <x:v>39.9536090393055</x:v>
      </x:c>
      <x:c r="G548" s="2" t="n">
        <x:v>-75.16505887489733</x:v>
      </x:c>
      <x:c r="H548" s="2" t="str">
        <x:v>No</x:v>
      </x:c>
      <x:c r="I548" s="2" t="str"/>
      <x:c r="J548" s="2" t="str"/>
      <x:c r="K548" s="2" t="str"/>
      <x:c r="L548" s="2" t="str">
        <x:v>https://www.phila.gov/departments/office-of-homeless-services/</x:v>
      </x:c>
      <x:c r="M548" s="1" t="n">
        <x:f>IF(OR(NOT(ISNUMBER('School Profile'!$K$4)),NOT(ISNUMBER('School Profile'!$K$5)),NOT(ISNUMBER(F548)),NOT(ISNUMBER(G548))),"",3958.7613*2*ASIN(MIN(1,SQRT(SIN(RADIANS(F548-'School Profile'!$K$4)/2)^2+COS(RADIANS('School Profile'!$K$4))*COS(RADIANS(F548))*SIN(RADIANS(G548-'School Profile'!$K$5)/2)^2))))</x:f>
        <x:v>9.418079848514658</x:v>
      </x:c>
      <x:c r="N548" s="1" t="str">
        <x:f>IF(AND(H548="Yes",ISNUMBER(M548),M548&lt;=1),COUNTIFS($H$511:$H$1010,"Yes",$M$511:$M$1010,"&lt;"&amp;M548)+COUNTIFS($H$511:H548,"Yes",$M$511:M548,M548),"")</x:f>
      </x:c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</x:row>
    <x:row r="549" ht="22" customHeight="1">
      <x:c r="A549" s="2" t="str">
        <x:v>39</x:v>
      </x:c>
      <x:c r="B549" s="2" t="str">
        <x:v>New Bethany Baptist Church</x:v>
      </x:c>
      <x:c r="C549" s="2" t="str">
        <x:v>1415 S 23rd St</x:v>
      </x:c>
      <x:c r="D549" s="2" t="str">
        <x:v>Food Site</x:v>
      </x:c>
      <x:c r="E549" s="2" t="str">
        <x:v>Active</x:v>
      </x:c>
      <x:c r="F549" s="2" t="n">
        <x:v>39.934304100138874</x:v>
      </x:c>
      <x:c r="G549" s="2" t="n">
        <x:v>-75.18250169992432</x:v>
      </x:c>
      <x:c r="H549" s="2" t="str">
        <x:v>Yes</x:v>
      </x:c>
      <x:c r="I549" s="2" t="str"/>
      <x:c r="J549" s="2" t="str"/>
      <x:c r="K549" s="2" t="str"/>
      <x:c r="L549" s="2" t="str">
        <x:v>https://www.sharefoodprogram.org/</x:v>
      </x:c>
      <x:c r="M549" s="1" t="n">
        <x:f>IF(OR(NOT(ISNUMBER('School Profile'!$K$4)),NOT(ISNUMBER('School Profile'!$K$5)),NOT(ISNUMBER(F549)),NOT(ISNUMBER(G549))),"",3958.7613*2*ASIN(MIN(1,SQRT(SIN(RADIANS(F549-'School Profile'!$K$4)/2)^2+COS(RADIANS('School Profile'!$K$4))*COS(RADIANS(F549))*SIN(RADIANS(G549-'School Profile'!$K$5)/2)^2))))</x:f>
        <x:v>11.04051762612063</x:v>
      </x:c>
      <x:c r="N549" s="1" t="str">
        <x:f>IF(AND(H549="Yes",ISNUMBER(M549),M549&lt;=1),COUNTIFS($H$511:$H$1010,"Yes",$M$511:$M$1010,"&lt;"&amp;M549)+COUNTIFS($H$511:H549,"Yes",$M$511:M549,M549),"")</x:f>
      </x:c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</x:row>
    <x:row r="550" ht="22" customHeight="1">
      <x:c r="A550" s="2" t="str">
        <x:v>40</x:v>
      </x:c>
      <x:c r="B550" s="2" t="str">
        <x:v>Mount Hebron Baptist Church</x:v>
      </x:c>
      <x:c r="C550" s="2" t="str">
        <x:v>1417-15 Wharton St</x:v>
      </x:c>
      <x:c r="D550" s="2" t="str">
        <x:v>Food Site</x:v>
      </x:c>
      <x:c r="E550" s="2" t="str">
        <x:v>Active</x:v>
      </x:c>
      <x:c r="F550" s="2" t="n">
        <x:v>39.93441270971441</x:v>
      </x:c>
      <x:c r="G550" s="2" t="n">
        <x:v>-75.16860443998381</x:v>
      </x:c>
      <x:c r="H550" s="2" t="str">
        <x:v>Yes</x:v>
      </x:c>
      <x:c r="I550" s="2" t="str"/>
      <x:c r="J550" s="2" t="str"/>
      <x:c r="K550" s="2" t="str"/>
      <x:c r="L550" s="2" t="str">
        <x:v>https://www.sharefoodprogram.org/</x:v>
      </x:c>
      <x:c r="M550" s="1" t="n">
        <x:f>IF(OR(NOT(ISNUMBER('School Profile'!$K$4)),NOT(ISNUMBER('School Profile'!$K$5)),NOT(ISNUMBER(F550)),NOT(ISNUMBER(G550))),"",3958.7613*2*ASIN(MIN(1,SQRT(SIN(RADIANS(F550-'School Profile'!$K$4)/2)^2+COS(RADIANS('School Profile'!$K$4))*COS(RADIANS(F550))*SIN(RADIANS(G550-'School Profile'!$K$5)/2)^2))))</x:f>
        <x:v>10.640684176995165</x:v>
      </x:c>
      <x:c r="N550" s="1" t="str">
        <x:f>IF(AND(H550="Yes",ISNUMBER(M550),M550&lt;=1),COUNTIFS($H$511:$H$1010,"Yes",$M$511:$M$1010,"&lt;"&amp;M550)+COUNTIFS($H$511:H550,"Yes",$M$511:M550,M550),"")</x:f>
      </x:c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</x:row>
    <x:row r="551" ht="22" customHeight="1">
      <x:c r="A551" s="1" t="str">
        <x:v>41</x:v>
      </x:c>
      <x:c r="B551" s="1" t="str">
        <x:v>Gather the People House of Prayer</x:v>
      </x:c>
      <x:c r="C551" s="1" t="str">
        <x:v>1429 W Clearfield St</x:v>
      </x:c>
      <x:c r="D551" s="1" t="str">
        <x:v>Food Site</x:v>
      </x:c>
      <x:c r="E551" s="1" t="str">
        <x:v>Active</x:v>
      </x:c>
      <x:c r="F551" s="1" t="n">
        <x:v>40.00026453030056</x:v>
      </x:c>
      <x:c r="G551" s="1" t="n">
        <x:v>-75.15419266008284</x:v>
      </x:c>
      <x:c r="H551" s="1" t="str">
        <x:v>Yes</x:v>
      </x:c>
      <x:c r="I551" s="1" t="str"/>
      <x:c r="J551" s="1" t="str"/>
      <x:c r="K551" s="1" t="str"/>
      <x:c r="L551" s="1" t="str">
        <x:v>https://www.sharefoodprogram.org/</x:v>
      </x:c>
      <x:c r="M551" s="1" t="n">
        <x:f>IF(OR(NOT(ISNUMBER('School Profile'!$K$4)),NOT(ISNUMBER('School Profile'!$K$5)),NOT(ISNUMBER(F551)),NOT(ISNUMBER(G551))),"",3958.7613*2*ASIN(MIN(1,SQRT(SIN(RADIANS(F551-'School Profile'!$K$4)/2)^2+COS(RADIANS('School Profile'!$K$4))*COS(RADIANS(F551))*SIN(RADIANS(G551-'School Profile'!$K$5)/2)^2))))</x:f>
        <x:v>6.552624586613763</x:v>
      </x:c>
      <x:c r="N551" s="1" t="str">
        <x:f>IF(AND(H551="Yes",ISNUMBER(M551),M551&lt;=1),COUNTIFS($H$511:$H$1010,"Yes",$M$511:$M$1010,"&lt;"&amp;M551)+COUNTIFS($H$511:H551,"Yes",$M$511:M551,M551),"")</x:f>
      </x:c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</x:row>
    <x:row r="552" ht="22" customHeight="1">
      <x:c r="A552" s="1" t="str">
        <x:v>42</x:v>
      </x:c>
      <x:c r="B552" s="1" t="str">
        <x:v>South Philly Older Adult Center</x:v>
      </x:c>
      <x:c r="C552" s="1" t="str">
        <x:v>1430 E. Passyunk Avenue</x:v>
      </x:c>
      <x:c r="D552" s="1" t="str">
        <x:v>Senior Meal Site</x:v>
      </x:c>
      <x:c r="E552" s="1" t="str">
        <x:v>Active</x:v>
      </x:c>
      <x:c r="F552" s="1" t="n">
        <x:v>39.93150617989968</x:v>
      </x:c>
      <x:c r="G552" s="1" t="n">
        <x:v>-75.16245609978638</x:v>
      </x:c>
      <x:c r="H552" s="1" t="str">
        <x:v>No</x:v>
      </x:c>
      <x:c r="I552" s="1" t="str"/>
      <x:c r="J552" s="1" t="str"/>
      <x:c r="K552" s="1" t="str"/>
      <x:c r="L552" s="1" t="str">
        <x:v>https://www.phila.gov/programs/programs-for-older-adults/</x:v>
      </x:c>
      <x:c r="M552" s="1" t="n">
        <x:f>IF(OR(NOT(ISNUMBER('School Profile'!$K$4)),NOT(ISNUMBER('School Profile'!$K$5)),NOT(ISNUMBER(F552)),NOT(ISNUMBER(G552))),"",3958.7613*2*ASIN(MIN(1,SQRT(SIN(RADIANS(F552-'School Profile'!$K$4)/2)^2+COS(RADIANS('School Profile'!$K$4))*COS(RADIANS(F552))*SIN(RADIANS(G552-'School Profile'!$K$5)/2)^2))))</x:f>
        <x:v>10.654176937037962</x:v>
      </x:c>
      <x:c r="N552" s="1" t="str">
        <x:f>IF(AND(H552="Yes",ISNUMBER(M552),M552&lt;=1),COUNTIFS($H$511:$H$1010,"Yes",$M$511:$M$1010,"&lt;"&amp;M552)+COUNTIFS($H$511:H552,"Yes",$M$511:M552,M552),"")</x:f>
      </x:c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</x:row>
    <x:row r="553" ht="22" customHeight="1">
      <x:c r="A553" s="1" t="str">
        <x:v>43</x:v>
      </x:c>
      <x:c r="B553" s="1" t="str">
        <x:v>Church of the Redeemer Baptist</x:v>
      </x:c>
      <x:c r="C553" s="1" t="str">
        <x:v>1440 S 24th St.</x:v>
      </x:c>
      <x:c r="D553" s="1" t="str">
        <x:v>Food Site</x:v>
      </x:c>
      <x:c r="E553" s="1" t="str">
        <x:v>Active</x:v>
      </x:c>
      <x:c r="F553" s="1" t="n">
        <x:v>39.93416632676699</x:v>
      </x:c>
      <x:c r="G553" s="1" t="n">
        <x:v>-75.18443907942958</x:v>
      </x:c>
      <x:c r="H553" s="1" t="str">
        <x:v>Yes</x:v>
      </x:c>
      <x:c r="I553" s="1" t="str"/>
      <x:c r="J553" s="1" t="str"/>
      <x:c r="K553" s="1" t="str">
        <x:v>19145, 19146, 19147</x:v>
      </x:c>
      <x:c r="L553" s="1" t="str">
        <x:v>https://www.philabundance.org/</x:v>
      </x:c>
      <x:c r="M553" s="1" t="n">
        <x:f>IF(OR(NOT(ISNUMBER('School Profile'!$K$4)),NOT(ISNUMBER('School Profile'!$K$5)),NOT(ISNUMBER(F553)),NOT(ISNUMBER(G553))),"",3958.7613*2*ASIN(MIN(1,SQRT(SIN(RADIANS(F553-'School Profile'!$K$4)/2)^2+COS(RADIANS('School Profile'!$K$4))*COS(RADIANS(F553))*SIN(RADIANS(G553-'School Profile'!$K$5)/2)^2))))</x:f>
        <x:v>11.105981690826189</x:v>
      </x:c>
      <x:c r="N553" s="1" t="str">
        <x:f>IF(AND(H553="Yes",ISNUMBER(M553),M553&lt;=1),COUNTIFS($H$511:$H$1010,"Yes",$M$511:$M$1010,"&lt;"&amp;M553)+COUNTIFS($H$511:H553,"Yes",$M$511:M553,M553),"")</x:f>
      </x:c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</x:row>
    <x:row r="554" ht="22" customHeight="1">
      <x:c r="A554" s="1" t="str">
        <x:v>44</x:v>
      </x:c>
      <x:c r="B554" s="1" t="str">
        <x:v>North Philadelphia SDA Church</x:v>
      </x:c>
      <x:c r="C554" s="1" t="str">
        <x:v>1510 W Oxford St</x:v>
      </x:c>
      <x:c r="D554" s="1" t="str">
        <x:v>Food Site</x:v>
      </x:c>
      <x:c r="E554" s="1" t="str">
        <x:v>Active</x:v>
      </x:c>
      <x:c r="F554" s="1" t="n">
        <x:v>39.977513589818244</x:v>
      </x:c>
      <x:c r="G554" s="1" t="n">
        <x:v>-75.16113703967433</x:v>
      </x:c>
      <x:c r="H554" s="1" t="str">
        <x:v>Yes</x:v>
      </x:c>
      <x:c r="I554" s="1" t="str"/>
      <x:c r="J554" s="1" t="str"/>
      <x:c r="K554" s="1" t="str"/>
      <x:c r="L554" s="1" t="str">
        <x:v>https://www.sharefoodprogram.org/</x:v>
      </x:c>
      <x:c r="M554" s="1" t="n">
        <x:f>IF(OR(NOT(ISNUMBER('School Profile'!$K$4)),NOT(ISNUMBER('School Profile'!$K$5)),NOT(ISNUMBER(F554)),NOT(ISNUMBER(G554))),"",3958.7613*2*ASIN(MIN(1,SQRT(SIN(RADIANS(F554-'School Profile'!$K$4)/2)^2+COS(RADIANS('School Profile'!$K$4))*COS(RADIANS(F554))*SIN(RADIANS(G554-'School Profile'!$K$5)/2)^2))))</x:f>
        <x:v>7.965055562134154</x:v>
      </x:c>
      <x:c r="N554" s="1" t="str">
        <x:f>IF(AND(H554="Yes",ISNUMBER(M554),M554&lt;=1),COUNTIFS($H$511:$H$1010,"Yes",$M$511:$M$1010,"&lt;"&amp;M554)+COUNTIFS($H$511:H554,"Yes",$M$511:M554,M554),"")</x:f>
      </x:c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</x:row>
    <x:row r="555" ht="22" customHeight="1">
      <x:c r="A555" s="1" t="str">
        <x:v>45</x:v>
      </x:c>
      <x:c r="B555" s="1" t="str">
        <x:v>MAP Holistic CDC (Mankind Against Poverty)</x:v>
      </x:c>
      <x:c r="C555" s="1" t="str">
        <x:v>1510 W Stiles St</x:v>
      </x:c>
      <x:c r="D555" s="1" t="str">
        <x:v>Food Site</x:v>
      </x:c>
      <x:c r="E555" s="1" t="str">
        <x:v>Active</x:v>
      </x:c>
      <x:c r="F555" s="1" t="n">
        <x:v>39.97255440015253</x:v>
      </x:c>
      <x:c r="G555" s="1" t="n">
        <x:v>-75.16149933022841</x:v>
      </x:c>
      <x:c r="H555" s="1" t="str">
        <x:v>Yes</x:v>
      </x:c>
      <x:c r="I555" s="1" t="str"/>
      <x:c r="J555" s="1" t="str"/>
      <x:c r="K555" s="1" t="str"/>
      <x:c r="L555" s="1" t="str">
        <x:v>https://www.sharefoodprogram.org/</x:v>
      </x:c>
      <x:c r="M555" s="1" t="n">
        <x:f>IF(OR(NOT(ISNUMBER('School Profile'!$K$4)),NOT(ISNUMBER('School Profile'!$K$5)),NOT(ISNUMBER(F555)),NOT(ISNUMBER(G555))),"",3958.7613*2*ASIN(MIN(1,SQRT(SIN(RADIANS(F555-'School Profile'!$K$4)/2)^2+COS(RADIANS('School Profile'!$K$4))*COS(RADIANS(F555))*SIN(RADIANS(G555-'School Profile'!$K$5)/2)^2))))</x:f>
        <x:v>8.245266292841862</x:v>
      </x:c>
      <x:c r="N555" s="1" t="str">
        <x:f>IF(AND(H555="Yes",ISNUMBER(M555),M555&lt;=1),COUNTIFS($H$511:$H$1010,"Yes",$M$511:$M$1010,"&lt;"&amp;M555)+COUNTIFS($H$511:H555,"Yes",$M$511:M555,M555),"")</x:f>
      </x:c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</x:row>
    <x:row r="556" ht="22" customHeight="1">
      <x:c r="A556" s="1" t="str">
        <x:v>46</x:v>
      </x:c>
      <x:c r="B556" s="1" t="str">
        <x:v>Grace Tabernacle Christian Church</x:v>
      </x:c>
      <x:c r="C556" s="1" t="str">
        <x:v>1519 S 52nd St (Parking Lot)</x:v>
      </x:c>
      <x:c r="D556" s="1" t="str">
        <x:v>Food Site</x:v>
      </x:c>
      <x:c r="E556" s="1" t="str">
        <x:v>Active</x:v>
      </x:c>
      <x:c r="F556" s="1" t="n">
        <x:v>39.938868629939805</x:v>
      </x:c>
      <x:c r="G556" s="1" t="n">
        <x:v>-75.21664266996395</x:v>
      </x:c>
      <x:c r="H556" s="1" t="str">
        <x:v>Yes</x:v>
      </x:c>
      <x:c r="I556" s="1" t="str"/>
      <x:c r="J556" s="1" t="str"/>
      <x:c r="K556" s="1" t="str"/>
      <x:c r="L556" s="1" t="str">
        <x:v>https://www.philabundance.org/</x:v>
      </x:c>
      <x:c r="M556" s="1" t="n">
        <x:f>IF(OR(NOT(ISNUMBER('School Profile'!$K$4)),NOT(ISNUMBER('School Profile'!$K$5)),NOT(ISNUMBER(F556)),NOT(ISNUMBER(G556))),"",3958.7613*2*ASIN(MIN(1,SQRT(SIN(RADIANS(F556-'School Profile'!$K$4)/2)^2+COS(RADIANS('School Profile'!$K$4))*COS(RADIANS(F556))*SIN(RADIANS(G556-'School Profile'!$K$5)/2)^2))))</x:f>
        <x:v>11.906530726818477</x:v>
      </x:c>
      <x:c r="N556" s="1" t="str">
        <x:f>IF(AND(H556="Yes",ISNUMBER(M556),M556&lt;=1),COUNTIFS($H$511:$H$1010,"Yes",$M$511:$M$1010,"&lt;"&amp;M556)+COUNTIFS($H$511:H556,"Yes",$M$511:M556,M556),"")</x:f>
      </x:c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</x:row>
    <x:row r="557" ht="22" customHeight="1">
      <x:c r="A557" s="1" t="str">
        <x:v>47</x:v>
      </x:c>
      <x:c r="B557" s="1" t="str">
        <x:v>Page Academy CDC</x:v>
      </x:c>
      <x:c r="C557" s="1" t="str">
        <x:v>1524 W Champlost Ave</x:v>
      </x:c>
      <x:c r="D557" s="1" t="str">
        <x:v>Food Site</x:v>
      </x:c>
      <x:c r="E557" s="1" t="str">
        <x:v>Active</x:v>
      </x:c>
      <x:c r="F557" s="1" t="n">
        <x:v>40.04463868119214</x:v>
      </x:c>
      <x:c r="G557" s="1" t="n">
        <x:v>-75.1456472796358</x:v>
      </x:c>
      <x:c r="H557" s="1" t="str">
        <x:v>Yes</x:v>
      </x:c>
      <x:c r="I557" s="1" t="str"/>
      <x:c r="J557" s="1" t="str"/>
      <x:c r="K557" s="1" t="str"/>
      <x:c r="L557" s="1" t="str">
        <x:v>https://www.philabundance.org/</x:v>
      </x:c>
      <x:c r="M557" s="1" t="n">
        <x:f>IF(OR(NOT(ISNUMBER('School Profile'!$K$4)),NOT(ISNUMBER('School Profile'!$K$5)),NOT(ISNUMBER(F557)),NOT(ISNUMBER(G557))),"",3958.7613*2*ASIN(MIN(1,SQRT(SIN(RADIANS(F557-'School Profile'!$K$4)/2)^2+COS(RADIANS('School Profile'!$K$4))*COS(RADIANS(F557))*SIN(RADIANS(G557-'School Profile'!$K$5)/2)^2))))</x:f>
        <x:v>4.483670379907461</x:v>
      </x:c>
      <x:c r="N557" s="1" t="str">
        <x:f>IF(AND(H557="Yes",ISNUMBER(M557),M557&lt;=1),COUNTIFS($H$511:$H$1010,"Yes",$M$511:$M$1010,"&lt;"&amp;M557)+COUNTIFS($H$511:H557,"Yes",$M$511:M557,M557),"")</x:f>
      </x:c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</x:row>
    <x:row r="558" ht="22" customHeight="1">
      <x:c r="A558" s="1" t="str">
        <x:v>48</x:v>
      </x:c>
      <x:c r="B558" s="1" t="str">
        <x:v>Padre Pio Prayer Center Food Distribution (St. Joachim)</x:v>
      </x:c>
      <x:c r="C558" s="1" t="str">
        <x:v>1527 Church St</x:v>
      </x:c>
      <x:c r="D558" s="1" t="str">
        <x:v>Food Site</x:v>
      </x:c>
      <x:c r="E558" s="1" t="str">
        <x:v>Active</x:v>
      </x:c>
      <x:c r="F558" s="1" t="n">
        <x:v>40.011881099909395</x:v>
      </x:c>
      <x:c r="G558" s="1" t="n">
        <x:v>-75.08971092962533</x:v>
      </x:c>
      <x:c r="H558" s="1" t="str">
        <x:v>Yes</x:v>
      </x:c>
      <x:c r="I558" s="1" t="str"/>
      <x:c r="J558" s="1" t="str"/>
      <x:c r="K558" s="1" t="str"/>
      <x:c r="L558" s="1" t="str">
        <x:v>https://nutritionaldevelopmentservices.org/</x:v>
      </x:c>
      <x:c r="M558" s="1" t="n">
        <x:f>IF(OR(NOT(ISNUMBER('School Profile'!$K$4)),NOT(ISNUMBER('School Profile'!$K$5)),NOT(ISNUMBER(F558)),NOT(ISNUMBER(G558))),"",3958.7613*2*ASIN(MIN(1,SQRT(SIN(RADIANS(F558-'School Profile'!$K$4)/2)^2+COS(RADIANS('School Profile'!$K$4))*COS(RADIANS(F558))*SIN(RADIANS(G558-'School Profile'!$K$5)/2)^2))))</x:f>
        <x:v>3.9995001745955334</x:v>
      </x:c>
      <x:c r="N558" s="1" t="str">
        <x:f>IF(AND(H558="Yes",ISNUMBER(M558),M558&lt;=1),COUNTIFS($H$511:$H$1010,"Yes",$M$511:$M$1010,"&lt;"&amp;M558)+COUNTIFS($H$511:H558,"Yes",$M$511:M558,M558),"")</x:f>
      </x:c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</x:row>
    <x:row r="559" ht="22" customHeight="1">
      <x:c r="A559" s="1" t="str">
        <x:v>49</x:v>
      </x:c>
      <x:c r="B559" s="1" t="str">
        <x:v>The Word in Action International Ministries</x:v>
      </x:c>
      <x:c r="C559" s="1" t="str">
        <x:v>1539 W. Courtland Street (enter on 16th St)</x:v>
      </x:c>
      <x:c r="D559" s="1" t="str">
        <x:v>Food Site</x:v>
      </x:c>
      <x:c r="E559" s="1" t="str">
        <x:v>Active</x:v>
      </x:c>
      <x:c r="F559" s="1" t="n">
        <x:v>40.02370487976746</x:v>
      </x:c>
      <x:c r="G559" s="1" t="n">
        <x:v>-75.15116167963552</x:v>
      </x:c>
      <x:c r="H559" s="1" t="str">
        <x:v>Yes</x:v>
      </x:c>
      <x:c r="I559" s="1" t="str"/>
      <x:c r="J559" s="1" t="str"/>
      <x:c r="K559" s="1" t="str">
        <x:v>19140</x:v>
      </x:c>
      <x:c r="L559" s="1" t="str">
        <x:v>https://www.philabundance.org/</x:v>
      </x:c>
      <x:c r="M559" s="1" t="n">
        <x:f>IF(OR(NOT(ISNUMBER('School Profile'!$K$4)),NOT(ISNUMBER('School Profile'!$K$5)),NOT(ISNUMBER(F559)),NOT(ISNUMBER(G559))),"",3958.7613*2*ASIN(MIN(1,SQRT(SIN(RADIANS(F559-'School Profile'!$K$4)/2)^2+COS(RADIANS('School Profile'!$K$4))*COS(RADIANS(F559))*SIN(RADIANS(G559-'School Profile'!$K$5)/2)^2))))</x:f>
        <x:v>5.402017352863407</x:v>
      </x:c>
      <x:c r="N559" s="1" t="str">
        <x:f>IF(AND(H559="Yes",ISNUMBER(M559),M559&lt;=1),COUNTIFS($H$511:$H$1010,"Yes",$M$511:$M$1010,"&lt;"&amp;M559)+COUNTIFS($H$511:H559,"Yes",$M$511:M559,M559),"")</x:f>
      </x:c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</x:row>
    <x:row r="560" ht="22" customHeight="1">
      <x:c r="A560" s="1" t="str">
        <x:v>50</x:v>
      </x:c>
      <x:c r="B560" s="1" t="str">
        <x:v>Zion AME Church</x:v>
      </x:c>
      <x:c r="C560" s="1" t="str">
        <x:v>1600 S 21st St (Corner of 21st &amp; Tasker Streets)</x:v>
      </x:c>
      <x:c r="D560" s="1" t="str">
        <x:v>Food Site</x:v>
      </x:c>
      <x:c r="E560" s="1" t="str">
        <x:v>Active</x:v>
      </x:c>
      <x:c r="F560" s="1" t="n">
        <x:v>39.93196403119877</x:v>
      </x:c>
      <x:c r="G560" s="1" t="n">
        <x:v>-75.17981588634514</x:v>
      </x:c>
      <x:c r="H560" s="1" t="str">
        <x:v>Yes</x:v>
      </x:c>
      <x:c r="I560" s="1" t="str"/>
      <x:c r="J560" s="1" t="str"/>
      <x:c r="K560" s="1" t="str"/>
      <x:c r="L560" s="1" t="str"/>
      <x:c r="M560" s="1" t="n">
        <x:f>IF(OR(NOT(ISNUMBER('School Profile'!$K$4)),NOT(ISNUMBER('School Profile'!$K$5)),NOT(ISNUMBER(F560)),NOT(ISNUMBER(G560))),"",3958.7613*2*ASIN(MIN(1,SQRT(SIN(RADIANS(F560-'School Profile'!$K$4)/2)^2+COS(RADIANS('School Profile'!$K$4))*COS(RADIANS(F560))*SIN(RADIANS(G560-'School Profile'!$K$5)/2)^2))))</x:f>
        <x:v>11.097228889602464</x:v>
      </x:c>
      <x:c r="N560" s="1" t="str">
        <x:f>IF(AND(H560="Yes",ISNUMBER(M560),M560&lt;=1),COUNTIFS($H$511:$H$1010,"Yes",$M$511:$M$1010,"&lt;"&amp;M560)+COUNTIFS($H$511:H560,"Yes",$M$511:M560,M560),"")</x:f>
      </x:c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</x:row>
    <x:row r="561" ht="22" customHeight="1">
      <x:c r="A561" s="1" t="str">
        <x:v>51</x:v>
      </x:c>
      <x:c r="B561" s="1" t="str">
        <x:v>10th St. Market (North 10)</x:v>
      </x:c>
      <x:c r="C561" s="1" t="str">
        <x:v>3890 N. 10th St., 2nd Fl</x:v>
      </x:c>
      <x:c r="D561" s="1" t="str">
        <x:v>Food Site</x:v>
      </x:c>
      <x:c r="E561" s="1" t="str">
        <x:v>Active</x:v>
      </x:c>
      <x:c r="F561" s="1" t="n">
        <x:v>40.01165849029575</x:v>
      </x:c>
      <x:c r="G561" s="1" t="n">
        <x:v>-75.14429119995087</x:v>
      </x:c>
      <x:c r="H561" s="1" t="str">
        <x:v>Yes</x:v>
      </x:c>
      <x:c r="I561" s="1" t="str"/>
      <x:c r="J561" s="1" t="str"/>
      <x:c r="K561" s="1" t="str"/>
      <x:c r="L561" s="1" t="str">
        <x:v>https://www.philabundance.org/</x:v>
      </x:c>
      <x:c r="M561" s="1" t="n">
        <x:f>IF(OR(NOT(ISNUMBER('School Profile'!$K$4)),NOT(ISNUMBER('School Profile'!$K$5)),NOT(ISNUMBER(F561)),NOT(ISNUMBER(G561))),"",3958.7613*2*ASIN(MIN(1,SQRT(SIN(RADIANS(F561-'School Profile'!$K$4)/2)^2+COS(RADIANS('School Profile'!$K$4))*COS(RADIANS(F561))*SIN(RADIANS(G561-'School Profile'!$K$5)/2)^2))))</x:f>
        <x:v>5.629975095599508</x:v>
      </x:c>
      <x:c r="N561" s="1" t="str">
        <x:f>IF(AND(H561="Yes",ISNUMBER(M561),M561&lt;=1),COUNTIFS($H$511:$H$1010,"Yes",$M$511:$M$1010,"&lt;"&amp;M561)+COUNTIFS($H$511:H561,"Yes",$M$511:M561,M561),"")</x:f>
      </x:c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</x:row>
    <x:row r="562" ht="22" customHeight="1">
      <x:c r="A562" s="1" t="str">
        <x:v>52</x:v>
      </x:c>
      <x:c r="B562" s="1" t="str">
        <x:v>Bright Hope Baptist Church</x:v>
      </x:c>
      <x:c r="C562" s="1" t="str">
        <x:v>1601 N 12th St.</x:v>
      </x:c>
      <x:c r="D562" s="1" t="str">
        <x:v>Food Site</x:v>
      </x:c>
      <x:c r="E562" s="1" t="str">
        <x:v>Permanently Closed</x:v>
      </x:c>
      <x:c r="F562" s="1" t="n">
        <x:v>39.97757121030671</x:v>
      </x:c>
      <x:c r="G562" s="1" t="n">
        <x:v>-75.15386701989404</x:v>
      </x:c>
      <x:c r="H562" s="1" t="str">
        <x:v>No</x:v>
      </x:c>
      <x:c r="I562" s="1" t="str"/>
      <x:c r="J562" s="1" t="str">
        <x:v>yes</x:v>
      </x:c>
      <x:c r="K562" s="1" t="str"/>
      <x:c r="L562" s="1" t="str">
        <x:v>https://www.philabundance.org/</x:v>
      </x:c>
      <x:c r="M562" s="1" t="n">
        <x:f>IF(OR(NOT(ISNUMBER('School Profile'!$K$4)),NOT(ISNUMBER('School Profile'!$K$5)),NOT(ISNUMBER(F562)),NOT(ISNUMBER(G562))),"",3958.7613*2*ASIN(MIN(1,SQRT(SIN(RADIANS(F562-'School Profile'!$K$4)/2)^2+COS(RADIANS('School Profile'!$K$4))*COS(RADIANS(F562))*SIN(RADIANS(G562-'School Profile'!$K$5)/2)^2))))</x:f>
        <x:v>7.724478049381538</x:v>
      </x:c>
      <x:c r="N562" s="1" t="str">
        <x:f>IF(AND(H562="Yes",ISNUMBER(M562),M562&lt;=1),COUNTIFS($H$511:$H$1010,"Yes",$M$511:$M$1010,"&lt;"&amp;M562)+COUNTIFS($H$511:H562,"Yes",$M$511:M562,M562),"")</x:f>
      </x:c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</x:row>
    <x:row r="563" ht="22" customHeight="1">
      <x:c r="A563" s="1" t="str">
        <x:v>53</x:v>
      </x:c>
      <x:c r="B563" s="1" t="str">
        <x:v>Helping Hands Nonprofit Organization</x:v>
      </x:c>
      <x:c r="C563" s="1" t="str">
        <x:v>1604 Margaret St</x:v>
      </x:c>
      <x:c r="D563" s="1" t="str">
        <x:v>Food Site</x:v>
      </x:c>
      <x:c r="E563" s="1" t="str">
        <x:v>Active</x:v>
      </x:c>
      <x:c r="F563" s="1" t="n">
        <x:v>40.016630173750556</x:v>
      </x:c>
      <x:c r="G563" s="1" t="n">
        <x:v>-75.08352698829488</x:v>
      </x:c>
      <x:c r="H563" s="1" t="str">
        <x:v>Yes</x:v>
      </x:c>
      <x:c r="I563" s="1" t="str"/>
      <x:c r="J563" s="1" t="str"/>
      <x:c r="K563" s="1" t="str"/>
      <x:c r="L563" s="1" t="str">
        <x:v>https://www.sharefoodprogram.org/</x:v>
      </x:c>
      <x:c r="M563" s="1" t="n">
        <x:f>IF(OR(NOT(ISNUMBER('School Profile'!$K$4)),NOT(ISNUMBER('School Profile'!$K$5)),NOT(ISNUMBER(F563)),NOT(ISNUMBER(G563))),"",3958.7613*2*ASIN(MIN(1,SQRT(SIN(RADIANS(F563-'School Profile'!$K$4)/2)^2+COS(RADIANS('School Profile'!$K$4))*COS(RADIANS(F563))*SIN(RADIANS(G563-'School Profile'!$K$5)/2)^2))))</x:f>
        <x:v>3.5912877652930733</x:v>
      </x:c>
      <x:c r="N563" s="1" t="str">
        <x:f>IF(AND(H563="Yes",ISNUMBER(M563),M563&lt;=1),COUNTIFS($H$511:$H$1010,"Yes",$M$511:$M$1010,"&lt;"&amp;M563)+COUNTIFS($H$511:H563,"Yes",$M$511:M563,M563),"")</x:f>
      </x:c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</x:row>
    <x:row r="564" ht="22" customHeight="1">
      <x:c r="A564" s="1" t="str">
        <x:v>54</x:v>
      </x:c>
      <x:c r="B564" s="1" t="str">
        <x:v>BenePhilly Center at Office of Community Empowerment and Opportunity</x:v>
      </x:c>
      <x:c r="C564" s="1" t="str">
        <x:v>1617 JFK Blvd. Suite 1800</x:v>
      </x:c>
      <x:c r="D564" s="1" t="str">
        <x:v>Public Benefits</x:v>
      </x:c>
      <x:c r="E564" s="1" t="str">
        <x:v>Active</x:v>
      </x:c>
      <x:c r="F564" s="1" t="n">
        <x:v>39.95423000006892</x:v>
      </x:c>
      <x:c r="G564" s="1" t="n">
        <x:v>-75.1671800003024</x:v>
      </x:c>
      <x:c r="H564" s="1" t="str">
        <x:v>No</x:v>
      </x:c>
      <x:c r="I564" s="1" t="str"/>
      <x:c r="J564" s="1" t="str"/>
      <x:c r="K564" s="1" t="str"/>
      <x:c r="L564" s="1" t="str">
        <x:v>https://www.phila.gov/departments/office-of-community-empowerment-and-opportunity/</x:v>
      </x:c>
      <x:c r="M564" s="1" t="n">
        <x:f>IF(OR(NOT(ISNUMBER('School Profile'!$K$4)),NOT(ISNUMBER('School Profile'!$K$5)),NOT(ISNUMBER(F564)),NOT(ISNUMBER(G564))),"",3958.7613*2*ASIN(MIN(1,SQRT(SIN(RADIANS(F564-'School Profile'!$K$4)/2)^2+COS(RADIANS('School Profile'!$K$4))*COS(RADIANS(F564))*SIN(RADIANS(G564-'School Profile'!$K$5)/2)^2))))</x:f>
        <x:v>9.445642833770286</x:v>
      </x:c>
      <x:c r="N564" s="1" t="str">
        <x:f>IF(AND(H564="Yes",ISNUMBER(M564),M564&lt;=1),COUNTIFS($H$511:$H$1010,"Yes",$M$511:$M$1010,"&lt;"&amp;M564)+COUNTIFS($H$511:H564,"Yes",$M$511:M564,M564),"")</x:f>
      </x:c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</x:row>
    <x:row r="565" ht="22" customHeight="1">
      <x:c r="A565" s="1" t="str">
        <x:v>55</x:v>
      </x:c>
      <x:c r="B565" s="1" t="str">
        <x:v>Saint Mark's Food Cupboard</x:v>
      </x:c>
      <x:c r="C565" s="1" t="str">
        <x:v>1625 Locust St.</x:v>
      </x:c>
      <x:c r="D565" s="1" t="str">
        <x:v>Food Site</x:v>
      </x:c>
      <x:c r="E565" s="1" t="str">
        <x:v>Active</x:v>
      </x:c>
      <x:c r="F565" s="1" t="n">
        <x:v>39.94874234423392</x:v>
      </x:c>
      <x:c r="G565" s="1" t="n">
        <x:v>-75.16817892420339</x:v>
      </x:c>
      <x:c r="H565" s="1" t="str">
        <x:v>Yes</x:v>
      </x:c>
      <x:c r="I565" s="1" t="str"/>
      <x:c r="J565" s="1" t="str"/>
      <x:c r="K565" s="1" t="str"/>
      <x:c r="L565" s="1" t="str">
        <x:v>https://www.philabundance.org/</x:v>
      </x:c>
      <x:c r="M565" s="1" t="n">
        <x:f>IF(OR(NOT(ISNUMBER('School Profile'!$K$4)),NOT(ISNUMBER('School Profile'!$K$5)),NOT(ISNUMBER(F565)),NOT(ISNUMBER(G565))),"",3958.7613*2*ASIN(MIN(1,SQRT(SIN(RADIANS(F565-'School Profile'!$K$4)/2)^2+COS(RADIANS('School Profile'!$K$4))*COS(RADIANS(F565))*SIN(RADIANS(G565-'School Profile'!$K$5)/2)^2))))</x:f>
        <x:v>9.789566036048909</x:v>
      </x:c>
      <x:c r="N565" s="1" t="str">
        <x:f>IF(AND(H565="Yes",ISNUMBER(M565),M565&lt;=1),COUNTIFS($H$511:$H$1010,"Yes",$M$511:$M$1010,"&lt;"&amp;M565)+COUNTIFS($H$511:H565,"Yes",$M$511:M565,M565),"")</x:f>
      </x:c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</x:row>
    <x:row r="566" ht="22" customHeight="1">
      <x:c r="A566" s="1" t="str">
        <x:v>56</x:v>
      </x:c>
      <x:c r="B566" s="1" t="str">
        <x:v>Epiphany Fellowship Church Community Fridge</x:v>
      </x:c>
      <x:c r="C566" s="1" t="str">
        <x:v>1632 W Diamond St</x:v>
      </x:c>
      <x:c r="D566" s="1" t="str">
        <x:v>Food Site</x:v>
      </x:c>
      <x:c r="E566" s="1" t="str">
        <x:v>Active</x:v>
      </x:c>
      <x:c r="F566" s="1" t="n">
        <x:v>39.985072879687216</x:v>
      </x:c>
      <x:c r="G566" s="1" t="n">
        <x:v>-75.16136391009765</x:v>
      </x:c>
      <x:c r="H566" s="1" t="str">
        <x:v>Yes</x:v>
      </x:c>
      <x:c r="I566" s="1" t="str"/>
      <x:c r="J566" s="1" t="str"/>
      <x:c r="K566" s="1" t="str"/>
      <x:c r="L566" s="1" t="str">
        <x:v>https://www.sharefoodprogram.org/</x:v>
      </x:c>
      <x:c r="M566" s="1" t="n">
        <x:f>IF(OR(NOT(ISNUMBER('School Profile'!$K$4)),NOT(ISNUMBER('School Profile'!$K$5)),NOT(ISNUMBER(F566)),NOT(ISNUMBER(G566))),"",3958.7613*2*ASIN(MIN(1,SQRT(SIN(RADIANS(F566-'School Profile'!$K$4)/2)^2+COS(RADIANS('School Profile'!$K$4))*COS(RADIANS(F566))*SIN(RADIANS(G566-'School Profile'!$K$5)/2)^2))))</x:f>
        <x:v>7.575344551859526</x:v>
      </x:c>
      <x:c r="N566" s="1" t="str">
        <x:f>IF(AND(H566="Yes",ISNUMBER(M566),M566&lt;=1),COUNTIFS($H$511:$H$1010,"Yes",$M$511:$M$1010,"&lt;"&amp;M566)+COUNTIFS($H$511:H566,"Yes",$M$511:M566,M566),"")</x:f>
      </x:c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</x:row>
    <x:row r="567" ht="22" customHeight="1">
      <x:c r="A567" s="1" t="str">
        <x:v>57</x:v>
      </x:c>
      <x:c r="B567" s="1" t="str">
        <x:v>Campbell AME Church</x:v>
      </x:c>
      <x:c r="C567" s="1" t="str">
        <x:v>1657 Kinsey St</x:v>
      </x:c>
      <x:c r="D567" s="1" t="str">
        <x:v>Food Site</x:v>
      </x:c>
      <x:c r="E567" s="1" t="str">
        <x:v>Active</x:v>
      </x:c>
      <x:c r="F567" s="1" t="n">
        <x:v>40.01312923281769</x:v>
      </x:c>
      <x:c r="G567" s="1" t="n">
        <x:v>-75.08481345124022</x:v>
      </x:c>
      <x:c r="H567" s="1" t="str">
        <x:v>Yes</x:v>
      </x:c>
      <x:c r="I567" s="1" t="str"/>
      <x:c r="J567" s="1" t="str"/>
      <x:c r="K567" s="1" t="str"/>
      <x:c r="L567" s="1" t="str">
        <x:v>https://www.philabundance.org/</x:v>
      </x:c>
      <x:c r="M567" s="1" t="n">
        <x:f>IF(OR(NOT(ISNUMBER('School Profile'!$K$4)),NOT(ISNUMBER('School Profile'!$K$5)),NOT(ISNUMBER(F567)),NOT(ISNUMBER(G567))),"",3958.7613*2*ASIN(MIN(1,SQRT(SIN(RADIANS(F567-'School Profile'!$K$4)/2)^2+COS(RADIANS('School Profile'!$K$4))*COS(RADIANS(F567))*SIN(RADIANS(G567-'School Profile'!$K$5)/2)^2))))</x:f>
        <x:v>3.84255647301164</x:v>
      </x:c>
      <x:c r="N567" s="1" t="str">
        <x:f>IF(AND(H567="Yes",ISNUMBER(M567),M567&lt;=1),COUNTIFS($H$511:$H$1010,"Yes",$M$511:$M$1010,"&lt;"&amp;M567)+COUNTIFS($H$511:H567,"Yes",$M$511:M567,M567),"")</x:f>
      </x:c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</x:row>
    <x:row r="568" ht="22" customHeight="1">
      <x:c r="A568" s="1" t="str">
        <x:v>58</x:v>
      </x:c>
      <x:c r="B568" s="1" t="str">
        <x:v>Bethel Worship Center</x:v>
      </x:c>
      <x:c r="C568" s="1" t="str">
        <x:v>169 W. Wyoming Ave.</x:v>
      </x:c>
      <x:c r="D568" s="1" t="str">
        <x:v>General Meal Site</x:v>
      </x:c>
      <x:c r="E568" s="1" t="str">
        <x:v>Active</x:v>
      </x:c>
      <x:c r="F568" s="1" t="n">
        <x:v>40.02204029015242</x:v>
      </x:c>
      <x:c r="G568" s="1" t="n">
        <x:v>-75.12701983007396</x:v>
      </x:c>
      <x:c r="H568" s="1" t="str">
        <x:v>No</x:v>
      </x:c>
      <x:c r="I568" s="1" t="str"/>
      <x:c r="J568" s="1" t="str"/>
      <x:c r="K568" s="1" t="str"/>
      <x:c r="L568" s="1" t="str">
        <x:v>https://www.bethelcommunityimpact.org</x:v>
      </x:c>
      <x:c r="M568" s="1" t="n">
        <x:f>IF(OR(NOT(ISNUMBER('School Profile'!$K$4)),NOT(ISNUMBER('School Profile'!$K$5)),NOT(ISNUMBER(F568)),NOT(ISNUMBER(G568))),"",3958.7613*2*ASIN(MIN(1,SQRT(SIN(RADIANS(F568-'School Profile'!$K$4)/2)^2+COS(RADIANS('School Profile'!$K$4))*COS(RADIANS(F568))*SIN(RADIANS(G568-'School Profile'!$K$5)/2)^2))))</x:f>
        <x:v>4.472718812891167</x:v>
      </x:c>
      <x:c r="N568" s="1" t="str">
        <x:f>IF(AND(H568="Yes",ISNUMBER(M568),M568&lt;=1),COUNTIFS($H$511:$H$1010,"Yes",$M$511:$M$1010,"&lt;"&amp;M568)+COUNTIFS($H$511:H568,"Yes",$M$511:M568,M568),"")</x:f>
      </x:c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</x:row>
    <x:row r="569" ht="22" customHeight="1">
      <x:c r="A569" s="1" t="str">
        <x:v>59</x:v>
      </x:c>
      <x:c r="B569" s="1" t="str">
        <x:v>Bethel Worship Center</x:v>
      </x:c>
      <x:c r="C569" s="1" t="str">
        <x:v>169 W. Wyoming Ave.</x:v>
      </x:c>
      <x:c r="D569" s="1" t="str">
        <x:v>Food Site</x:v>
      </x:c>
      <x:c r="E569" s="1" t="str">
        <x:v>Active</x:v>
      </x:c>
      <x:c r="F569" s="1" t="n">
        <x:v>40.02204029015242</x:v>
      </x:c>
      <x:c r="G569" s="1" t="n">
        <x:v>-75.12701983007396</x:v>
      </x:c>
      <x:c r="H569" s="1" t="str">
        <x:v>Yes</x:v>
      </x:c>
      <x:c r="I569" s="1" t="str"/>
      <x:c r="J569" s="1" t="str"/>
      <x:c r="K569" s="1" t="str"/>
      <x:c r="L569" s="1" t="str">
        <x:v>https://www.bethelcommunityimpact.org</x:v>
      </x:c>
      <x:c r="M569" s="1" t="n">
        <x:f>IF(OR(NOT(ISNUMBER('School Profile'!$K$4)),NOT(ISNUMBER('School Profile'!$K$5)),NOT(ISNUMBER(F569)),NOT(ISNUMBER(G569))),"",3958.7613*2*ASIN(MIN(1,SQRT(SIN(RADIANS(F569-'School Profile'!$K$4)/2)^2+COS(RADIANS('School Profile'!$K$4))*COS(RADIANS(F569))*SIN(RADIANS(G569-'School Profile'!$K$5)/2)^2))))</x:f>
        <x:v>4.472718812891167</x:v>
      </x:c>
      <x:c r="N569" s="1" t="str">
        <x:f>IF(AND(H569="Yes",ISNUMBER(M569),M569&lt;=1),COUNTIFS($H$511:$H$1010,"Yes",$M$511:$M$1010,"&lt;"&amp;M569)+COUNTIFS($H$511:H569,"Yes",$M$511:M569,M569),"")</x:f>
      </x:c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</x:row>
    <x:row r="570" ht="22" customHeight="1">
      <x:c r="A570" s="1" t="str">
        <x:v>60</x:v>
      </x:c>
      <x:c r="B570" s="1" t="str">
        <x:v>Together We Can Change at Love Park</x:v>
      </x:c>
      <x:c r="C570" s="1" t="str">
        <x:v>16th St. and JFK Blvd.</x:v>
      </x:c>
      <x:c r="D570" s="1" t="str">
        <x:v>General Meal Site</x:v>
      </x:c>
      <x:c r="E570" s="1" t="str">
        <x:v>Active</x:v>
      </x:c>
      <x:c r="F570" s="1" t="n">
        <x:v>39.95379905732016</x:v>
      </x:c>
      <x:c r="G570" s="1" t="n">
        <x:v>-75.16661187427569</x:v>
      </x:c>
      <x:c r="H570" s="1" t="str">
        <x:v>No</x:v>
      </x:c>
      <x:c r="I570" s="1" t="str"/>
      <x:c r="J570" s="1" t="str"/>
      <x:c r="K570" s="1" t="str"/>
      <x:c r="L570" s="1" t="str">
        <x:v>https://www.phila.gov/departments/office-of-homeless-services/</x:v>
      </x:c>
      <x:c r="M570" s="1" t="n">
        <x:f>IF(OR(NOT(ISNUMBER('School Profile'!$K$4)),NOT(ISNUMBER('School Profile'!$K$5)),NOT(ISNUMBER(F570)),NOT(ISNUMBER(G570))),"",3958.7613*2*ASIN(MIN(1,SQRT(SIN(RADIANS(F570-'School Profile'!$K$4)/2)^2+COS(RADIANS('School Profile'!$K$4))*COS(RADIANS(F570))*SIN(RADIANS(G570-'School Profile'!$K$5)/2)^2))))</x:f>
        <x:v>9.453225069166052</x:v>
      </x:c>
      <x:c r="N570" s="1" t="str">
        <x:f>IF(AND(H570="Yes",ISNUMBER(M570),M570&lt;=1),COUNTIFS($H$511:$H$1010,"Yes",$M$511:$M$1010,"&lt;"&amp;M570)+COUNTIFS($H$511:H570,"Yes",$M$511:M570,M570),"")</x:f>
      </x:c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</x:row>
    <x:row r="571" ht="22" customHeight="1">
      <x:c r="A571" s="1" t="str">
        <x:v>61</x:v>
      </x:c>
      <x:c r="B571" s="1" t="str">
        <x:v>Bethany Indonesian Church</x:v>
      </x:c>
      <x:c r="C571" s="1" t="str">
        <x:v>1709 South Broad St</x:v>
      </x:c>
      <x:c r="D571" s="1" t="str">
        <x:v>Food Site</x:v>
      </x:c>
      <x:c r="E571" s="1" t="str">
        <x:v>Active</x:v>
      </x:c>
      <x:c r="F571" s="1" t="n">
        <x:v>39.92894125967712</x:v>
      </x:c>
      <x:c r="G571" s="1" t="n">
        <x:v>-75.16836781026325</x:v>
      </x:c>
      <x:c r="H571" s="1" t="str">
        <x:v>Yes</x:v>
      </x:c>
      <x:c r="I571" s="1" t="str"/>
      <x:c r="J571" s="1" t="str"/>
      <x:c r="K571" s="1" t="str"/>
      <x:c r="L571" s="1" t="str">
        <x:v>https://www.philabundance.org/</x:v>
      </x:c>
      <x:c r="M571" s="1" t="n">
        <x:f>IF(OR(NOT(ISNUMBER('School Profile'!$K$4)),NOT(ISNUMBER('School Profile'!$K$5)),NOT(ISNUMBER(F571)),NOT(ISNUMBER(G571))),"",3958.7613*2*ASIN(MIN(1,SQRT(SIN(RADIANS(F571-'School Profile'!$K$4)/2)^2+COS(RADIANS('School Profile'!$K$4))*COS(RADIANS(F571))*SIN(RADIANS(G571-'School Profile'!$K$5)/2)^2))))</x:f>
        <x:v>10.961372545540577</x:v>
      </x:c>
      <x:c r="N571" s="1" t="str">
        <x:f>IF(AND(H571="Yes",ISNUMBER(M571),M571&lt;=1),COUNTIFS($H$511:$H$1010,"Yes",$M$511:$M$1010,"&lt;"&amp;M571)+COUNTIFS($H$511:H571,"Yes",$M$511:M571,M571),"")</x:f>
      </x:c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</x:row>
    <x:row r="572" ht="22" customHeight="1">
      <x:c r="A572" s="1" t="str">
        <x:v>62</x:v>
      </x:c>
      <x:c r="B572" s="1" t="str">
        <x:v>Parkside Association of Philadelphia</x:v>
      </x:c>
      <x:c r="C572" s="1" t="str">
        <x:v>1719 N 52nd St, Suite G</x:v>
      </x:c>
      <x:c r="D572" s="1" t="str">
        <x:v>Food Site</x:v>
      </x:c>
      <x:c r="E572" s="1" t="str">
        <x:v>Active</x:v>
      </x:c>
      <x:c r="F572" s="1" t="n">
        <x:v>39.98152800016836</x:v>
      </x:c>
      <x:c r="G572" s="1" t="n">
        <x:v>-75.22407000002185</x:v>
      </x:c>
      <x:c r="H572" s="1" t="str">
        <x:v>Yes</x:v>
      </x:c>
      <x:c r="I572" s="1" t="str"/>
      <x:c r="J572" s="1" t="str"/>
      <x:c r="K572" s="1" t="str"/>
      <x:c r="L572" s="1" t="str">
        <x:v>https://www.sharefoodprogram.org/</x:v>
      </x:c>
      <x:c r="M572" s="1" t="n">
        <x:f>IF(OR(NOT(ISNUMBER('School Profile'!$K$4)),NOT(ISNUMBER('School Profile'!$K$5)),NOT(ISNUMBER(F572)),NOT(ISNUMBER(G572))),"",3958.7613*2*ASIN(MIN(1,SQRT(SIN(RADIANS(F572-'School Profile'!$K$4)/2)^2+COS(RADIANS('School Profile'!$K$4))*COS(RADIANS(F572))*SIN(RADIANS(G572-'School Profile'!$K$5)/2)^2))))</x:f>
        <x:v>10.232739984735112</x:v>
      </x:c>
      <x:c r="N572" s="1" t="str">
        <x:f>IF(AND(H572="Yes",ISNUMBER(M572),M572&lt;=1),COUNTIFS($H$511:$H$1010,"Yes",$M$511:$M$1010,"&lt;"&amp;M572)+COUNTIFS($H$511:H572,"Yes",$M$511:M572,M572),"")</x:f>
      </x:c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</x:row>
    <x:row r="573" ht="22" customHeight="1">
      <x:c r="A573" s="1" t="str">
        <x:v>63</x:v>
      </x:c>
      <x:c r="B573" s="1" t="str">
        <x:v>Woodland WIC Office</x:v>
      </x:c>
      <x:c r="C573" s="1" t="str">
        <x:v>1741 S. 54th St.</x:v>
      </x:c>
      <x:c r="D573" s="1" t="str">
        <x:v>Public Benefits</x:v>
      </x:c>
      <x:c r="E573" s="1" t="str">
        <x:v>Active</x:v>
      </x:c>
      <x:c r="F573" s="1" t="n">
        <x:v>39.937081540066856</x:v>
      </x:c>
      <x:c r="G573" s="1" t="n">
        <x:v>-75.21908050989715</x:v>
      </x:c>
      <x:c r="H573" s="1" t="str">
        <x:v>No</x:v>
      </x:c>
      <x:c r="I573" s="1" t="str"/>
      <x:c r="J573" s="1" t="str"/>
      <x:c r="K573" s="1" t="str"/>
      <x:c r="L573" s="1" t="str">
        <x:v>https://www.facebook.com/PhiladelphiaWICProgram/</x:v>
      </x:c>
      <x:c r="M573" s="1" t="n">
        <x:f>IF(OR(NOT(ISNUMBER('School Profile'!$K$4)),NOT(ISNUMBER('School Profile'!$K$5)),NOT(ISNUMBER(F573)),NOT(ISNUMBER(G573))),"",3958.7613*2*ASIN(MIN(1,SQRT(SIN(RADIANS(F573-'School Profile'!$K$4)/2)^2+COS(RADIANS('School Profile'!$K$4))*COS(RADIANS(F573))*SIN(RADIANS(G573-'School Profile'!$K$5)/2)^2))))</x:f>
        <x:v>12.084714938862499</x:v>
      </x:c>
      <x:c r="N573" s="1" t="str">
        <x:f>IF(AND(H573="Yes",ISNUMBER(M573),M573&lt;=1),COUNTIFS($H$511:$H$1010,"Yes",$M$511:$M$1010,"&lt;"&amp;M573)+COUNTIFS($H$511:H573,"Yes",$M$511:M573,M573),"")</x:f>
      </x:c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</x:row>
    <x:row r="574" ht="22" customHeight="1">
      <x:c r="A574" s="1" t="str">
        <x:v>64</x:v>
      </x:c>
      <x:c r="B574" s="1" t="str">
        <x:v>North Light Community Center</x:v>
      </x:c>
      <x:c r="C574" s="1" t="str">
        <x:v>175 Green Ln</x:v>
      </x:c>
      <x:c r="D574" s="1" t="str">
        <x:v>Food Site</x:v>
      </x:c>
      <x:c r="E574" s="1" t="str">
        <x:v>Active</x:v>
      </x:c>
      <x:c r="F574" s="1" t="n">
        <x:v>40.02866718570925</x:v>
      </x:c>
      <x:c r="G574" s="1" t="n">
        <x:v>-75.2245595647837</x:v>
      </x:c>
      <x:c r="H574" s="1" t="str">
        <x:v>Yes</x:v>
      </x:c>
      <x:c r="I574" s="1" t="str"/>
      <x:c r="J574" s="1" t="str"/>
      <x:c r="K574" s="1" t="str"/>
      <x:c r="L574" s="1" t="str">
        <x:v>https://www.philabundance.org/</x:v>
      </x:c>
      <x:c r="M574" s="1" t="n">
        <x:f>IF(OR(NOT(ISNUMBER('School Profile'!$K$4)),NOT(ISNUMBER('School Profile'!$K$5)),NOT(ISNUMBER(F574)),NOT(ISNUMBER(G574))),"",3958.7613*2*ASIN(MIN(1,SQRT(SIN(RADIANS(F574-'School Profile'!$K$4)/2)^2+COS(RADIANS('School Profile'!$K$4))*COS(RADIANS(F574))*SIN(RADIANS(G574-'School Profile'!$K$5)/2)^2))))</x:f>
        <x:v>8.792303368346914</x:v>
      </x:c>
      <x:c r="N574" s="1" t="str">
        <x:f>IF(AND(H574="Yes",ISNUMBER(M574),M574&lt;=1),COUNTIFS($H$511:$H$1010,"Yes",$M$511:$M$1010,"&lt;"&amp;M574)+COUNTIFS($H$511:H574,"Yes",$M$511:M574,M574),"")</x:f>
      </x:c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</x:row>
    <x:row r="575" ht="22" customHeight="1">
      <x:c r="A575" s="1" t="str">
        <x:v>65</x:v>
      </x:c>
      <x:c r="B575" s="1" t="str">
        <x:v>Association of Former Gang Members</x:v>
      </x:c>
      <x:c r="C575" s="1" t="str">
        <x:v>1801 W Diamond St</x:v>
      </x:c>
      <x:c r="D575" s="1" t="str">
        <x:v>Food Site</x:v>
      </x:c>
      <x:c r="E575" s="1" t="str">
        <x:v>Active</x:v>
      </x:c>
      <x:c r="F575" s="1" t="n">
        <x:v>39.985613349170606</x:v>
      </x:c>
      <x:c r="G575" s="1" t="n">
        <x:v>-75.16300562439851</x:v>
      </x:c>
      <x:c r="H575" s="1" t="str">
        <x:v>Yes</x:v>
      </x:c>
      <x:c r="I575" s="1" t="str"/>
      <x:c r="J575" s="1" t="str"/>
      <x:c r="K575" s="1" t="str"/>
      <x:c r="L575" s="1" t="str">
        <x:v>https://www.sharefoodprogram.org/
</x:v>
      </x:c>
      <x:c r="M575" s="1" t="n">
        <x:f>IF(OR(NOT(ISNUMBER('School Profile'!$K$4)),NOT(ISNUMBER('School Profile'!$K$5)),NOT(ISNUMBER(F575)),NOT(ISNUMBER(G575))),"",3958.7613*2*ASIN(MIN(1,SQRT(SIN(RADIANS(F575-'School Profile'!$K$4)/2)^2+COS(RADIANS('School Profile'!$K$4))*COS(RADIANS(F575))*SIN(RADIANS(G575-'School Profile'!$K$5)/2)^2))))</x:f>
        <x:v>7.605872342622665</x:v>
      </x:c>
      <x:c r="N575" s="1" t="str">
        <x:f>IF(AND(H575="Yes",ISNUMBER(M575),M575&lt;=1),COUNTIFS($H$511:$H$1010,"Yes",$M$511:$M$1010,"&lt;"&amp;M575)+COUNTIFS($H$511:H575,"Yes",$M$511:M575,M575),"")</x:f>
      </x:c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</x:row>
    <x:row r="576" ht="22" customHeight="1">
      <x:c r="A576" s="1" t="str">
        <x:v>66</x:v>
      </x:c>
      <x:c r="B576" s="1" t="str">
        <x:v>The Everywhere Project (E. Clearfield St.)</x:v>
      </x:c>
      <x:c r="C576" s="1" t="str">
        <x:v>1810 E. Clearfield St.</x:v>
      </x:c>
      <x:c r="D576" s="1" t="str">
        <x:v>General Meal Site</x:v>
      </x:c>
      <x:c r="E576" s="1" t="str">
        <x:v>Active</x:v>
      </x:c>
      <x:c r="F576" s="1" t="n">
        <x:v>39.9944732709582</x:v>
      </x:c>
      <x:c r="G576" s="1" t="n">
        <x:v>-75.11527378460896</x:v>
      </x:c>
      <x:c r="H576" s="1" t="str">
        <x:v>No</x:v>
      </x:c>
      <x:c r="I576" s="1" t="str"/>
      <x:c r="J576" s="1" t="str"/>
      <x:c r="K576" s="1" t="str"/>
      <x:c r="L576" s="1" t="str">
        <x:v>https://www.phila.gov/departments/office-of-homeless-services/</x:v>
      </x:c>
      <x:c r="M576" s="1" t="n">
        <x:f>IF(OR(NOT(ISNUMBER('School Profile'!$K$4)),NOT(ISNUMBER('School Profile'!$K$5)),NOT(ISNUMBER(F576)),NOT(ISNUMBER(G576))),"",3958.7613*2*ASIN(MIN(1,SQRT(SIN(RADIANS(F576-'School Profile'!$K$4)/2)^2+COS(RADIANS('School Profile'!$K$4))*COS(RADIANS(F576))*SIN(RADIANS(G576-'School Profile'!$K$5)/2)^2))))</x:f>
        <x:v>5.63934799521125</x:v>
      </x:c>
      <x:c r="N576" s="1" t="str">
        <x:f>IF(AND(H576="Yes",ISNUMBER(M576),M576&lt;=1),COUNTIFS($H$511:$H$1010,"Yes",$M$511:$M$1010,"&lt;"&amp;M576)+COUNTIFS($H$511:H576,"Yes",$M$511:M576,M576),"")</x:f>
      </x:c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</x:row>
    <x:row r="577" ht="22" customHeight="1">
      <x:c r="A577" s="1" t="str">
        <x:v>67</x:v>
      </x:c>
      <x:c r="B577" s="1" t="str">
        <x:v>South Philly Community Fridge at LUHV Fridge</x:v>
      </x:c>
      <x:c r="C577" s="1" t="str">
        <x:v>1840 Ellsworth St.</x:v>
      </x:c>
      <x:c r="D577" s="1" t="str">
        <x:v>Food Site</x:v>
      </x:c>
      <x:c r="E577" s="1" t="str">
        <x:v>Active</x:v>
      </x:c>
      <x:c r="F577" s="1" t="n">
        <x:v>39.93768740202708</x:v>
      </x:c>
      <x:c r="G577" s="1" t="n">
        <x:v>-75.1740568903649</x:v>
      </x:c>
      <x:c r="H577" s="1" t="str">
        <x:v>Yes</x:v>
      </x:c>
      <x:c r="I577" s="1" t="str"/>
      <x:c r="J577" s="1" t="str"/>
      <x:c r="K577" s="1" t="str"/>
      <x:c r="L577" s="1" t="str">
        <x:v>https://southphillyfridge.com/</x:v>
      </x:c>
      <x:c r="M577" s="1" t="n">
        <x:f>IF(OR(NOT(ISNUMBER('School Profile'!$K$4)),NOT(ISNUMBER('School Profile'!$K$5)),NOT(ISNUMBER(F577)),NOT(ISNUMBER(G577))),"",3958.7613*2*ASIN(MIN(1,SQRT(SIN(RADIANS(F577-'School Profile'!$K$4)/2)^2+COS(RADIANS('School Profile'!$K$4))*COS(RADIANS(F577))*SIN(RADIANS(G577-'School Profile'!$K$5)/2)^2))))</x:f>
        <x:v>10.599597177692921</x:v>
      </x:c>
      <x:c r="N577" s="1" t="str">
        <x:f>IF(AND(H577="Yes",ISNUMBER(M577),M577&lt;=1),COUNTIFS($H$511:$H$1010,"Yes",$M$511:$M$1010,"&lt;"&amp;M577)+COUNTIFS($H$511:H577,"Yes",$M$511:M577,M577),"")</x:f>
      </x:c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</x:row>
    <x:row r="578" ht="22" customHeight="1">
      <x:c r="A578" s="1" t="str">
        <x:v>68</x:v>
      </x:c>
      <x:c r="B578" s="1" t="str">
        <x:v>Project HOME</x:v>
      </x:c>
      <x:c r="C578" s="1" t="str">
        <x:v>1845 N 23rd St.</x:v>
      </x:c>
      <x:c r="D578" s="1" t="str">
        <x:v>Food Site</x:v>
      </x:c>
      <x:c r="E578" s="1" t="str">
        <x:v>Active</x:v>
      </x:c>
      <x:c r="F578" s="1" t="n">
        <x:v>39.98312442991372</x:v>
      </x:c>
      <x:c r="G578" s="1" t="n">
        <x:v>-75.17173497981575</x:v>
      </x:c>
      <x:c r="H578" s="1" t="str">
        <x:v>Yes</x:v>
      </x:c>
      <x:c r="I578" s="1" t="str"/>
      <x:c r="J578" s="1" t="str"/>
      <x:c r="K578" s="1" t="str"/>
      <x:c r="L578" s="1" t="str">
        <x:v>https://www.philabundance.org/</x:v>
      </x:c>
      <x:c r="M578" s="1" t="n">
        <x:f>IF(OR(NOT(ISNUMBER('School Profile'!$K$4)),NOT(ISNUMBER('School Profile'!$K$5)),NOT(ISNUMBER(F578)),NOT(ISNUMBER(G578))),"",3958.7613*2*ASIN(MIN(1,SQRT(SIN(RADIANS(F578-'School Profile'!$K$4)/2)^2+COS(RADIANS('School Profile'!$K$4))*COS(RADIANS(F578))*SIN(RADIANS(G578-'School Profile'!$K$5)/2)^2))))</x:f>
        <x:v>8.047687432507718</x:v>
      </x:c>
      <x:c r="N578" s="1" t="str">
        <x:f>IF(AND(H578="Yes",ISNUMBER(M578),M578&lt;=1),COUNTIFS($H$511:$H$1010,"Yes",$M$511:$M$1010,"&lt;"&amp;M578)+COUNTIFS($H$511:H578,"Yes",$M$511:M578,M578),"")</x:f>
      </x:c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</x:row>
    <x:row r="579" ht="22" customHeight="1">
      <x:c r="A579" s="1" t="str">
        <x:v>69</x:v>
      </x:c>
      <x:c r="B579" s="1" t="str">
        <x:v>Germantown Community Fridge</x:v>
      </x:c>
      <x:c r="C579" s="1" t="str">
        <x:v>19 E. High St.</x:v>
      </x:c>
      <x:c r="D579" s="1" t="str">
        <x:v>Food Site</x:v>
      </x:c>
      <x:c r="E579" s="1" t="str">
        <x:v>Active</x:v>
      </x:c>
      <x:c r="F579" s="1" t="n">
        <x:v>40.03978078006128</x:v>
      </x:c>
      <x:c r="G579" s="1" t="n">
        <x:v>-75.17729185036546</x:v>
      </x:c>
      <x:c r="H579" s="1" t="str">
        <x:v>Yes</x:v>
      </x:c>
      <x:c r="I579" s="1" t="str"/>
      <x:c r="J579" s="1" t="str"/>
      <x:c r="K579" s="1" t="str"/>
      <x:c r="L579" s="1" t="str">
        <x:v>https://www.germantowncommunityfridge.com/</x:v>
      </x:c>
      <x:c r="M579" s="1" t="n">
        <x:f>IF(OR(NOT(ISNUMBER('School Profile'!$K$4)),NOT(ISNUMBER('School Profile'!$K$5)),NOT(ISNUMBER(F579)),NOT(ISNUMBER(G579))),"",3958.7613*2*ASIN(MIN(1,SQRT(SIN(RADIANS(F579-'School Profile'!$K$4)/2)^2+COS(RADIANS('School Profile'!$K$4))*COS(RADIANS(F579))*SIN(RADIANS(G579-'School Profile'!$K$5)/2)^2))))</x:f>
        <x:v>6.176598938123772</x:v>
      </x:c>
      <x:c r="N579" s="1" t="str">
        <x:f>IF(AND(H579="Yes",ISNUMBER(M579),M579&lt;=1),COUNTIFS($H$511:$H$1010,"Yes",$M$511:$M$1010,"&lt;"&amp;M579)+COUNTIFS($H$511:H579,"Yes",$M$511:M579,M579),"")</x:f>
      </x:c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</x:row>
    <x:row r="580" ht="22" customHeight="1">
      <x:c r="A580" s="1" t="str">
        <x:v>70</x:v>
      </x:c>
      <x:c r="B580" s="1" t="str">
        <x:v>First United Methodist Church of Germantown</x:v>
      </x:c>
      <x:c r="C580" s="1" t="str">
        <x:v>19 E. High Street</x:v>
      </x:c>
      <x:c r="D580" s="1" t="str">
        <x:v>General Meal Site</x:v>
      </x:c>
      <x:c r="E580" s="1" t="str">
        <x:v>Active</x:v>
      </x:c>
      <x:c r="F580" s="1" t="n">
        <x:v>40.039717472107995</x:v>
      </x:c>
      <x:c r="G580" s="1" t="n">
        <x:v>-75.17753670506079</x:v>
      </x:c>
      <x:c r="H580" s="1" t="str">
        <x:v>No</x:v>
      </x:c>
      <x:c r="I580" s="1" t="str"/>
      <x:c r="J580" s="1" t="str"/>
      <x:c r="K580" s="1" t="str"/>
      <x:c r="L580" s="1" t="str">
        <x:v>https://www.germantowncommunityfridge.com/</x:v>
      </x:c>
      <x:c r="M580" s="1" t="n">
        <x:f>IF(OR(NOT(ISNUMBER('School Profile'!$K$4)),NOT(ISNUMBER('School Profile'!$K$5)),NOT(ISNUMBER(F580)),NOT(ISNUMBER(G580))),"",3958.7613*2*ASIN(MIN(1,SQRT(SIN(RADIANS(F580-'School Profile'!$K$4)/2)^2+COS(RADIANS('School Profile'!$K$4))*COS(RADIANS(F580))*SIN(RADIANS(G580-'School Profile'!$K$5)/2)^2))))</x:f>
        <x:v>6.190267790792474</x:v>
      </x:c>
      <x:c r="N580" s="1" t="str">
        <x:f>IF(AND(H580="Yes",ISNUMBER(M580),M580&lt;=1),COUNTIFS($H$511:$H$1010,"Yes",$M$511:$M$1010,"&lt;"&amp;M580)+COUNTIFS($H$511:H580,"Yes",$M$511:M580,M580),"")</x:f>
      </x:c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</x:row>
    <x:row r="581" ht="22" customHeight="1">
      <x:c r="A581" s="1" t="str">
        <x:v>71</x:v>
      </x:c>
      <x:c r="B581" s="1" t="str">
        <x:v>Philadelphia Episcopal Cathedral</x:v>
      </x:c>
      <x:c r="C581" s="1" t="str">
        <x:v>19 S 38th St</x:v>
      </x:c>
      <x:c r="D581" s="1" t="str">
        <x:v>Food Site</x:v>
      </x:c>
      <x:c r="E581" s="1" t="str">
        <x:v>Active</x:v>
      </x:c>
      <x:c r="F581" s="1" t="n">
        <x:v>39.95572133300696</x:v>
      </x:c>
      <x:c r="G581" s="1" t="n">
        <x:v>-75.1981367462904</x:v>
      </x:c>
      <x:c r="H581" s="1" t="str">
        <x:v>Yes</x:v>
      </x:c>
      <x:c r="I581" s="1" t="str"/>
      <x:c r="J581" s="1" t="str"/>
      <x:c r="K581" s="1" t="str"/>
      <x:c r="L581" s="1" t="str">
        <x:v>https://www.philabundance.org/</x:v>
      </x:c>
      <x:c r="M581" s="1" t="n">
        <x:f>IF(OR(NOT(ISNUMBER('School Profile'!$K$4)),NOT(ISNUMBER('School Profile'!$K$5)),NOT(ISNUMBER(F581)),NOT(ISNUMBER(G581))),"",3958.7613*2*ASIN(MIN(1,SQRT(SIN(RADIANS(F581-'School Profile'!$K$4)/2)^2+COS(RADIANS('School Profile'!$K$4))*COS(RADIANS(F581))*SIN(RADIANS(G581-'School Profile'!$K$5)/2)^2))))</x:f>
        <x:v>10.385415731549378</x:v>
      </x:c>
      <x:c r="N581" s="1" t="str">
        <x:f>IF(AND(H581="Yes",ISNUMBER(M581),M581&lt;=1),COUNTIFS($H$511:$H$1010,"Yes",$M$511:$M$1010,"&lt;"&amp;M581)+COUNTIFS($H$511:H581,"Yes",$M$511:M581,M581),"")</x:f>
      </x:c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</x:row>
    <x:row r="582" ht="22" customHeight="1">
      <x:c r="A582" s="1" t="str">
        <x:v>72</x:v>
      </x:c>
      <x:c r="B582" s="1" t="str">
        <x:v>Bethel Presbyterian Church</x:v>
      </x:c>
      <x:c r="C582" s="1" t="str">
        <x:v>1900 W York St</x:v>
      </x:c>
      <x:c r="D582" s="1" t="str">
        <x:v>General Meal Site</x:v>
      </x:c>
      <x:c r="E582" s="1" t="str">
        <x:v>Active</x:v>
      </x:c>
      <x:c r="F582" s="1" t="n">
        <x:v>39.990325870227196</x:v>
      </x:c>
      <x:c r="G582" s="1" t="n">
        <x:v>-75.16384903016089</x:v>
      </x:c>
      <x:c r="H582" s="1" t="str">
        <x:v>No</x:v>
      </x:c>
      <x:c r="I582" s="1" t="str"/>
      <x:c r="J582" s="1" t="str"/>
      <x:c r="K582" s="1" t="str"/>
      <x:c r="L582" s="1" t="str">
        <x:v>https://www.phila.gov/departments/office-of-homeless-services/</x:v>
      </x:c>
      <x:c r="M582" s="1" t="n">
        <x:f>IF(OR(NOT(ISNUMBER('School Profile'!$K$4)),NOT(ISNUMBER('School Profile'!$K$5)),NOT(ISNUMBER(F582)),NOT(ISNUMBER(G582))),"",3958.7613*2*ASIN(MIN(1,SQRT(SIN(RADIANS(F582-'School Profile'!$K$4)/2)^2+COS(RADIANS('School Profile'!$K$4))*COS(RADIANS(F582))*SIN(RADIANS(G582-'School Profile'!$K$5)/2)^2))))</x:f>
        <x:v>7.399915484304666</x:v>
      </x:c>
      <x:c r="N582" s="1" t="str">
        <x:f>IF(AND(H582="Yes",ISNUMBER(M582),M582&lt;=1),COUNTIFS($H$511:$H$1010,"Yes",$M$511:$M$1010,"&lt;"&amp;M582)+COUNTIFS($H$511:H582,"Yes",$M$511:M582,M582),"")</x:f>
      </x:c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</x:row>
    <x:row r="583" ht="22" customHeight="1">
      <x:c r="A583" s="1" t="str">
        <x:v>73</x:v>
      </x:c>
      <x:c r="B583" s="1" t="str">
        <x:v>Bethel Presbyterian Church</x:v>
      </x:c>
      <x:c r="C583" s="1" t="str">
        <x:v>1900 W York St.</x:v>
      </x:c>
      <x:c r="D583" s="1" t="str">
        <x:v>Food Site</x:v>
      </x:c>
      <x:c r="E583" s="1" t="str">
        <x:v>Active</x:v>
      </x:c>
      <x:c r="F583" s="1" t="n">
        <x:v>39.99034717972491</x:v>
      </x:c>
      <x:c r="G583" s="1" t="n">
        <x:v>-75.1636152193537</x:v>
      </x:c>
      <x:c r="H583" s="1" t="str">
        <x:v>Yes</x:v>
      </x:c>
      <x:c r="I583" s="1" t="str"/>
      <x:c r="J583" s="1" t="str"/>
      <x:c r="K583" s="1" t="str"/>
      <x:c r="L583" s="1" t="str">
        <x:v>https://www.philabundance.org/</x:v>
      </x:c>
      <x:c r="M583" s="1" t="n">
        <x:f>IF(OR(NOT(ISNUMBER('School Profile'!$K$4)),NOT(ISNUMBER('School Profile'!$K$5)),NOT(ISNUMBER(F583)),NOT(ISNUMBER(G583))),"",3958.7613*2*ASIN(MIN(1,SQRT(SIN(RADIANS(F583-'School Profile'!$K$4)/2)^2+COS(RADIANS('School Profile'!$K$4))*COS(RADIANS(F583))*SIN(RADIANS(G583-'School Profile'!$K$5)/2)^2))))</x:f>
        <x:v>7.390211795318097</x:v>
      </x:c>
      <x:c r="N583" s="1" t="str">
        <x:f>IF(AND(H583="Yes",ISNUMBER(M583),M583&lt;=1),COUNTIFS($H$511:$H$1010,"Yes",$M$511:$M$1010,"&lt;"&amp;M583)+COUNTIFS($H$511:H583,"Yes",$M$511:M583,M583),"")</x:f>
      </x:c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</x:row>
    <x:row r="584" ht="22" customHeight="1">
      <x:c r="A584" s="1" t="str">
        <x:v>74</x:v>
      </x:c>
      <x:c r="B584" s="1" t="str">
        <x:v>Philadelphia Senior Center - Allegheny Branch</x:v>
      </x:c>
      <x:c r="C584" s="1" t="str">
        <x:v>1900 W. Allegheny Ave.</x:v>
      </x:c>
      <x:c r="D584" s="1" t="str">
        <x:v>Senior Meal Site</x:v>
      </x:c>
      <x:c r="E584" s="1" t="str">
        <x:v>Active</x:v>
      </x:c>
      <x:c r="F584" s="1" t="n">
        <x:v>40.00215162010893</x:v>
      </x:c>
      <x:c r="G584" s="1" t="n">
        <x:v>-75.16075115037775</x:v>
      </x:c>
      <x:c r="H584" s="1" t="str">
        <x:v>No</x:v>
      </x:c>
      <x:c r="I584" s="1" t="str"/>
      <x:c r="J584" s="1" t="str"/>
      <x:c r="K584" s="1" t="str"/>
      <x:c r="L584" s="1" t="str">
        <x:v>https://www.pcacares.org/</x:v>
      </x:c>
      <x:c r="M584" s="1" t="n">
        <x:f>IF(OR(NOT(ISNUMBER('School Profile'!$K$4)),NOT(ISNUMBER('School Profile'!$K$5)),NOT(ISNUMBER(F584)),NOT(ISNUMBER(G584))),"",3958.7613*2*ASIN(MIN(1,SQRT(SIN(RADIANS(F584-'School Profile'!$K$4)/2)^2+COS(RADIANS('School Profile'!$K$4))*COS(RADIANS(F584))*SIN(RADIANS(G584-'School Profile'!$K$5)/2)^2))))</x:f>
        <x:v>6.7165610429184</x:v>
      </x:c>
      <x:c r="N584" s="1" t="str">
        <x:f>IF(AND(H584="Yes",ISNUMBER(M584),M584&lt;=1),COUNTIFS($H$511:$H$1010,"Yes",$M$511:$M$1010,"&lt;"&amp;M584)+COUNTIFS($H$511:H584,"Yes",$M$511:M584,M584),"")</x:f>
      </x:c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</x:row>
    <x:row r="585" ht="22" customHeight="1">
      <x:c r="A585" s="1" t="str">
        <x:v>75</x:v>
      </x:c>
      <x:c r="B585" s="1" t="str">
        <x:v>South Philly Community Fridge at BOK Building</x:v>
      </x:c>
      <x:c r="C585" s="1" t="str">
        <x:v>1901 S. 9th St.</x:v>
      </x:c>
      <x:c r="D585" s="1" t="str">
        <x:v>Food Site</x:v>
      </x:c>
      <x:c r="E585" s="1" t="str">
        <x:v>Active</x:v>
      </x:c>
      <x:c r="F585" s="1" t="n">
        <x:v>39.92528784985312</x:v>
      </x:c>
      <x:c r="G585" s="1" t="n">
        <x:v>-75.16001603023464</x:v>
      </x:c>
      <x:c r="H585" s="1" t="str">
        <x:v>Yes</x:v>
      </x:c>
      <x:c r="I585" s="1" t="str"/>
      <x:c r="J585" s="1" t="str"/>
      <x:c r="K585" s="1" t="str"/>
      <x:c r="L585" s="1" t="str">
        <x:v>https://southphillyfridge.com/</x:v>
      </x:c>
      <x:c r="M585" s="1" t="n">
        <x:f>IF(OR(NOT(ISNUMBER('School Profile'!$K$4)),NOT(ISNUMBER('School Profile'!$K$5)),NOT(ISNUMBER(F585)),NOT(ISNUMBER(G585))),"",3958.7613*2*ASIN(MIN(1,SQRT(SIN(RADIANS(F585-'School Profile'!$K$4)/2)^2+COS(RADIANS('School Profile'!$K$4))*COS(RADIANS(F585))*SIN(RADIANS(G585-'School Profile'!$K$5)/2)^2))))</x:f>
        <x:v>10.974112942276422</x:v>
      </x:c>
      <x:c r="N585" s="1" t="str">
        <x:f>IF(AND(H585="Yes",ISNUMBER(M585),M585&lt;=1),COUNTIFS($H$511:$H$1010,"Yes",$M$511:$M$1010,"&lt;"&amp;M585)+COUNTIFS($H$511:H585,"Yes",$M$511:M585,M585),"")</x:f>
      </x:c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</x:row>
    <x:row r="586" ht="22" customHeight="1">
      <x:c r="A586" s="1" t="str">
        <x:v>76</x:v>
      </x:c>
      <x:c r="B586" s="1" t="str">
        <x:v>South Philly Community Fridge at Good Shepherd Penn Partners</x:v>
      </x:c>
      <x:c r="C586" s="1" t="str">
        <x:v>1901 South St.</x:v>
      </x:c>
      <x:c r="D586" s="1" t="str">
        <x:v>Food Site</x:v>
      </x:c>
      <x:c r="E586" s="1" t="str">
        <x:v>Active</x:v>
      </x:c>
      <x:c r="F586" s="1" t="n">
        <x:v>39.94470244773193</x:v>
      </x:c>
      <x:c r="G586" s="1" t="n">
        <x:v>-75.17354201736656</x:v>
      </x:c>
      <x:c r="H586" s="1" t="str">
        <x:v>Yes</x:v>
      </x:c>
      <x:c r="I586" s="1" t="str"/>
      <x:c r="J586" s="1" t="str"/>
      <x:c r="K586" s="1" t="str"/>
      <x:c r="L586" s="1" t="str">
        <x:v>https://southphillyfridge.com/</x:v>
      </x:c>
      <x:c r="M586" s="1" t="n">
        <x:f>IF(OR(NOT(ISNUMBER('School Profile'!$K$4)),NOT(ISNUMBER('School Profile'!$K$5)),NOT(ISNUMBER(F586)),NOT(ISNUMBER(G586))),"",3958.7613*2*ASIN(MIN(1,SQRT(SIN(RADIANS(F586-'School Profile'!$K$4)/2)^2+COS(RADIANS('School Profile'!$K$4))*COS(RADIANS(F586))*SIN(RADIANS(G586-'School Profile'!$K$5)/2)^2))))</x:f>
        <x:v>10.179464359321669</x:v>
      </x:c>
      <x:c r="N586" s="1" t="str">
        <x:f>IF(AND(H586="Yes",ISNUMBER(M586),M586&lt;=1),COUNTIFS($H$511:$H$1010,"Yes",$M$511:$M$1010,"&lt;"&amp;M586)+COUNTIFS($H$511:H586,"Yes",$M$511:M586,M586),"")</x:f>
      </x:c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</x:row>
    <x:row r="587" ht="22" customHeight="1">
      <x:c r="A587" s="1" t="str">
        <x:v>77</x:v>
      </x:c>
      <x:c r="B587" s="1" t="str">
        <x:v>Frances E Willard Elementary School</x:v>
      </x:c>
      <x:c r="C587" s="1" t="str">
        <x:v>1930 Elkhart St</x:v>
      </x:c>
      <x:c r="D587" s="1" t="str">
        <x:v>Food Site</x:v>
      </x:c>
      <x:c r="E587" s="1" t="str">
        <x:v>Active</x:v>
      </x:c>
      <x:c r="F587" s="1" t="n">
        <x:v>39.99267212630168</x:v>
      </x:c>
      <x:c r="G587" s="1" t="n">
        <x:v>-75.11524484358544</x:v>
      </x:c>
      <x:c r="H587" s="1" t="str">
        <x:v>Yes</x:v>
      </x:c>
      <x:c r="I587" s="1" t="str"/>
      <x:c r="J587" s="1" t="str"/>
      <x:c r="K587" s="1" t="str"/>
      <x:c r="L587" s="1" t="str">
        <x:v>https://www.philabundance.org/</x:v>
      </x:c>
      <x:c r="M587" s="1" t="n">
        <x:f>IF(OR(NOT(ISNUMBER('School Profile'!$K$4)),NOT(ISNUMBER('School Profile'!$K$5)),NOT(ISNUMBER(F587)),NOT(ISNUMBER(G587))),"",3958.7613*2*ASIN(MIN(1,SQRT(SIN(RADIANS(F587-'School Profile'!$K$4)/2)^2+COS(RADIANS('School Profile'!$K$4))*COS(RADIANS(F587))*SIN(RADIANS(G587-'School Profile'!$K$5)/2)^2))))</x:f>
        <x:v>5.749300462863329</x:v>
      </x:c>
      <x:c r="N587" s="1" t="str">
        <x:f>IF(AND(H587="Yes",ISNUMBER(M587),M587&lt;=1),COUNTIFS($H$511:$H$1010,"Yes",$M$511:$M$1010,"&lt;"&amp;M587)+COUNTIFS($H$511:H587,"Yes",$M$511:M587,M587),"")</x:f>
      </x:c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</x:row>
    <x:row r="588" ht="22" customHeight="1">
      <x:c r="A588" s="1" t="str">
        <x:v>78</x:v>
      </x:c>
      <x:c r="B588" s="1" t="str">
        <x:v>St. Benedict Food Bank</x:v>
      </x:c>
      <x:c r="C588" s="1" t="str">
        <x:v>1940 E Chelten Ave</x:v>
      </x:c>
      <x:c r="D588" s="1" t="str">
        <x:v>Food Site</x:v>
      </x:c>
      <x:c r="E588" s="1" t="str">
        <x:v>Active</x:v>
      </x:c>
      <x:c r="F588" s="1" t="n">
        <x:v>40.051564899798194</x:v>
      </x:c>
      <x:c r="G588" s="1" t="n">
        <x:v>-75.15165703044612</x:v>
      </x:c>
      <x:c r="H588" s="1" t="str">
        <x:v>Yes</x:v>
      </x:c>
      <x:c r="I588" s="1" t="str"/>
      <x:c r="J588" s="1" t="str"/>
      <x:c r="K588" s="1" t="str"/>
      <x:c r="L588" s="1" t="str">
        <x:v>https://www.sharefoodprogram.org/</x:v>
      </x:c>
      <x:c r="M588" s="1" t="n">
        <x:f>IF(OR(NOT(ISNUMBER('School Profile'!$K$4)),NOT(ISNUMBER('School Profile'!$K$5)),NOT(ISNUMBER(F588)),NOT(ISNUMBER(G588))),"",3958.7613*2*ASIN(MIN(1,SQRT(SIN(RADIANS(F588-'School Profile'!$K$4)/2)^2+COS(RADIANS('School Profile'!$K$4))*COS(RADIANS(F588))*SIN(RADIANS(G588-'School Profile'!$K$5)/2)^2))))</x:f>
        <x:v>4.651985714884805</x:v>
      </x:c>
      <x:c r="N588" s="1" t="str">
        <x:f>IF(AND(H588="Yes",ISNUMBER(M588),M588&lt;=1),COUNTIFS($H$511:$H$1010,"Yes",$M$511:$M$1010,"&lt;"&amp;M588)+COUNTIFS($H$511:H588,"Yes",$M$511:M588,M588),"")</x:f>
      </x:c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</x:row>
    <x:row r="589" ht="22" customHeight="1">
      <x:c r="A589" s="1" t="str">
        <x:v>79</x:v>
      </x:c>
      <x:c r="B589" s="1" t="str">
        <x:v>Provision of Grace World Mission Church</x:v>
      </x:c>
      <x:c r="C589" s="1" t="str">
        <x:v>1950 W Rockland St</x:v>
      </x:c>
      <x:c r="D589" s="1" t="str">
        <x:v>Food Site</x:v>
      </x:c>
      <x:c r="E589" s="1" t="str">
        <x:v>Active</x:v>
      </x:c>
      <x:c r="F589" s="1" t="n">
        <x:v>40.028709247674215</x:v>
      </x:c>
      <x:c r="G589" s="1" t="n">
        <x:v>-75.15604312039785</x:v>
      </x:c>
      <x:c r="H589" s="1" t="str">
        <x:v>Yes</x:v>
      </x:c>
      <x:c r="I589" s="1" t="str"/>
      <x:c r="J589" s="1" t="str"/>
      <x:c r="K589" s="1" t="str"/>
      <x:c r="L589" s="1" t="str">
        <x:v>https://www.philabundance.org/</x:v>
      </x:c>
      <x:c r="M589" s="1" t="n">
        <x:f>IF(OR(NOT(ISNUMBER('School Profile'!$K$4)),NOT(ISNUMBER('School Profile'!$K$5)),NOT(ISNUMBER(F589)),NOT(ISNUMBER(G589))),"",3958.7613*2*ASIN(MIN(1,SQRT(SIN(RADIANS(F589-'School Profile'!$K$4)/2)^2+COS(RADIANS('School Profile'!$K$4))*COS(RADIANS(F589))*SIN(RADIANS(G589-'School Profile'!$K$5)/2)^2))))</x:f>
        <x:v>5.443506039780288</x:v>
      </x:c>
      <x:c r="N589" s="1" t="str">
        <x:f>IF(AND(H589="Yes",ISNUMBER(M589),M589&lt;=1),COUNTIFS($H$511:$H$1010,"Yes",$M$511:$M$1010,"&lt;"&amp;M589)+COUNTIFS($H$511:H589,"Yes",$M$511:M589,M589),"")</x:f>
      </x:c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</x:row>
    <x:row r="590" ht="22" customHeight="1">
      <x:c r="A590" s="1" t="str">
        <x:v>80</x:v>
      </x:c>
      <x:c r="B590" s="1" t="str">
        <x:v>BenePhilly Center at Impact Services</x:v>
      </x:c>
      <x:c r="C590" s="1" t="str">
        <x:v>1952 E. Allegheny Ave.</x:v>
      </x:c>
      <x:c r="D590" s="1" t="str">
        <x:v>Public Benefits</x:v>
      </x:c>
      <x:c r="E590" s="1" t="str">
        <x:v>Active</x:v>
      </x:c>
      <x:c r="F590" s="1" t="n">
        <x:v>39.99425745017765</x:v>
      </x:c>
      <x:c r="G590" s="1" t="n">
        <x:v>-75.11225924961953</x:v>
      </x:c>
      <x:c r="H590" s="1" t="str">
        <x:v>No</x:v>
      </x:c>
      <x:c r="I590" s="1" t="str"/>
      <x:c r="J590" s="1" t="str"/>
      <x:c r="K590" s="1" t="str"/>
      <x:c r="L590" s="1" t="str">
        <x:v>https://www.impactservices.org/</x:v>
      </x:c>
      <x:c r="M590" s="1" t="n">
        <x:f>IF(OR(NOT(ISNUMBER('School Profile'!$K$4)),NOT(ISNUMBER('School Profile'!$K$5)),NOT(ISNUMBER(F590)),NOT(ISNUMBER(G590))),"",3958.7613*2*ASIN(MIN(1,SQRT(SIN(RADIANS(F590-'School Profile'!$K$4)/2)^2+COS(RADIANS('School Profile'!$K$4))*COS(RADIANS(F590))*SIN(RADIANS(G590-'School Profile'!$K$5)/2)^2))))</x:f>
        <x:v>5.580795500167412</x:v>
      </x:c>
      <x:c r="N590" s="1" t="str">
        <x:f>IF(AND(H590="Yes",ISNUMBER(M590),M590&lt;=1),COUNTIFS($H$511:$H$1010,"Yes",$M$511:$M$1010,"&lt;"&amp;M590)+COUNTIFS($H$511:H590,"Yes",$M$511:M590,M590),"")</x:f>
      </x:c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</x:row>
    <x:row r="591" ht="22" customHeight="1">
      <x:c r="A591" s="1" t="str">
        <x:v>81</x:v>
      </x:c>
      <x:c r="B591" s="1" t="str">
        <x:v>Champlost Homes Tenant Council</x:v>
      </x:c>
      <x:c r="C591" s="1" t="str">
        <x:v>1953 W Nedro Ave.</x:v>
      </x:c>
      <x:c r="D591" s="1" t="str">
        <x:v>Food Site</x:v>
      </x:c>
      <x:c r="E591" s="1" t="str">
        <x:v>Active</x:v>
      </x:c>
      <x:c r="F591" s="1" t="n">
        <x:v>40.043699789056646</x:v>
      </x:c>
      <x:c r="G591" s="1" t="n">
        <x:v>-75.15343698109618</x:v>
      </x:c>
      <x:c r="H591" s="1" t="str">
        <x:v>Yes</x:v>
      </x:c>
      <x:c r="I591" s="1" t="str"/>
      <x:c r="J591" s="1" t="str"/>
      <x:c r="K591" s="1" t="str"/>
      <x:c r="L591" s="1" t="str">
        <x:v>https://www.philabundance.org/</x:v>
      </x:c>
      <x:c r="M591" s="1" t="n">
        <x:f>IF(OR(NOT(ISNUMBER('School Profile'!$K$4)),NOT(ISNUMBER('School Profile'!$K$5)),NOT(ISNUMBER(F591)),NOT(ISNUMBER(G591))),"",3958.7613*2*ASIN(MIN(1,SQRT(SIN(RADIANS(F591-'School Profile'!$K$4)/2)^2+COS(RADIANS('School Profile'!$K$4))*COS(RADIANS(F591))*SIN(RADIANS(G591-'School Profile'!$K$5)/2)^2))))</x:f>
        <x:v>4.893647176454236</x:v>
      </x:c>
      <x:c r="N591" s="1" t="str">
        <x:f>IF(AND(H591="Yes",ISNUMBER(M591),M591&lt;=1),COUNTIFS($H$511:$H$1010,"Yes",$M$511:$M$1010,"&lt;"&amp;M591)+COUNTIFS($H$511:H591,"Yes",$M$511:M591,M591),"")</x:f>
      </x:c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</x:row>
    <x:row r="592" ht="22" customHeight="1">
      <x:c r="A592" s="1" t="str">
        <x:v>82</x:v>
      </x:c>
      <x:c r="B592" s="1" t="str">
        <x:v>First Haitian Church of God of Prophecy</x:v>
      </x:c>
      <x:c r="C592" s="1" t="str">
        <x:v>199 E. Tabor Rd</x:v>
      </x:c>
      <x:c r="D592" s="1" t="str">
        <x:v>Food Site</x:v>
      </x:c>
      <x:c r="E592" s="1" t="str">
        <x:v>Active</x:v>
      </x:c>
      <x:c r="F592" s="1" t="n">
        <x:v>40.031300400835384</x:v>
      </x:c>
      <x:c r="G592" s="1" t="n">
        <x:v>-75.12032180805924</x:v>
      </x:c>
      <x:c r="H592" s="1" t="str">
        <x:v>Yes</x:v>
      </x:c>
      <x:c r="I592" s="1" t="str"/>
      <x:c r="J592" s="1" t="str"/>
      <x:c r="K592" s="1" t="str"/>
      <x:c r="L592" s="1" t="str">
        <x:v>https://www.sharefoodprogram.org/</x:v>
      </x:c>
      <x:c r="M592" s="1" t="n">
        <x:f>IF(OR(NOT(ISNUMBER('School Profile'!$K$4)),NOT(ISNUMBER('School Profile'!$K$5)),NOT(ISNUMBER(F592)),NOT(ISNUMBER(G592))),"",3958.7613*2*ASIN(MIN(1,SQRT(SIN(RADIANS(F592-'School Profile'!$K$4)/2)^2+COS(RADIANS('School Profile'!$K$4))*COS(RADIANS(F592))*SIN(RADIANS(G592-'School Profile'!$K$5)/2)^2))))</x:f>
        <x:v>3.7802468508863707</x:v>
      </x:c>
      <x:c r="N592" s="1" t="str">
        <x:f>IF(AND(H592="Yes",ISNUMBER(M592),M592&lt;=1),COUNTIFS($H$511:$H$1010,"Yes",$M$511:$M$1010,"&lt;"&amp;M592)+COUNTIFS($H$511:H592,"Yes",$M$511:M592,M592),"")</x:f>
      </x:c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</x:row>
    <x:row r="593" ht="22" customHeight="1">
      <x:c r="A593" s="1" t="str">
        <x:v>83</x:v>
      </x:c>
      <x:c r="B593" s="1" t="str">
        <x:v>Germantown Community Fridge</x:v>
      </x:c>
      <x:c r="C593" s="1" t="str">
        <x:v>20 W. Armat St.</x:v>
      </x:c>
      <x:c r="D593" s="1" t="str">
        <x:v>Food Site</x:v>
      </x:c>
      <x:c r="E593" s="1" t="str">
        <x:v>Active</x:v>
      </x:c>
      <x:c r="F593" s="1" t="n">
        <x:v>40.034648379668894</x:v>
      </x:c>
      <x:c r="G593" s="1" t="n">
        <x:v>-75.17406988000391</x:v>
      </x:c>
      <x:c r="H593" s="1" t="str">
        <x:v>Yes</x:v>
      </x:c>
      <x:c r="I593" s="1" t="str"/>
      <x:c r="J593" s="1" t="str"/>
      <x:c r="K593" s="1" t="str"/>
      <x:c r="L593" s="1" t="str">
        <x:v>https://www.germantowncommunityfridge.com/</x:v>
      </x:c>
      <x:c r="M593" s="1" t="n">
        <x:f>IF(OR(NOT(ISNUMBER('School Profile'!$K$4)),NOT(ISNUMBER('School Profile'!$K$5)),NOT(ISNUMBER(F593)),NOT(ISNUMBER(G593))),"",3958.7613*2*ASIN(MIN(1,SQRT(SIN(RADIANS(F593-'School Profile'!$K$4)/2)^2+COS(RADIANS('School Profile'!$K$4))*COS(RADIANS(F593))*SIN(RADIANS(G593-'School Profile'!$K$5)/2)^2))))</x:f>
        <x:v>6.134124596876057</x:v>
      </x:c>
      <x:c r="N593" s="1" t="str">
        <x:f>IF(AND(H593="Yes",ISNUMBER(M593),M593&lt;=1),COUNTIFS($H$511:$H$1010,"Yes",$M$511:$M$1010,"&lt;"&amp;M593)+COUNTIFS($H$511:H593,"Yes",$M$511:M593,M593),"")</x:f>
      </x:c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</x:row>
    <x:row r="594" ht="22" customHeight="1">
      <x:c r="A594" s="1" t="str">
        <x:v>84</x:v>
      </x:c>
      <x:c r="B594" s="1" t="str">
        <x:v>Mi Salud Wellness Center</x:v>
      </x:c>
      <x:c r="C594" s="1" t="str">
        <x:v>200 E. Wyoming Ave.</x:v>
      </x:c>
      <x:c r="D594" s="1" t="str">
        <x:v>Food Site</x:v>
      </x:c>
      <x:c r="E594" s="1" t="str">
        <x:v>Active</x:v>
      </x:c>
      <x:c r="F594" s="1" t="n">
        <x:v>40.02100414000597</x:v>
      </x:c>
      <x:c r="G594" s="1" t="n">
        <x:v>-75.12222131010057</x:v>
      </x:c>
      <x:c r="H594" s="1" t="str">
        <x:v>Yes</x:v>
      </x:c>
      <x:c r="I594" s="1" t="str"/>
      <x:c r="J594" s="1" t="str"/>
      <x:c r="K594" s="1" t="str"/>
      <x:c r="L594" s="1" t="str">
        <x:v>https://www.philabundance.org/</x:v>
      </x:c>
      <x:c r="M594" s="1" t="n">
        <x:f>IF(OR(NOT(ISNUMBER('School Profile'!$K$4)),NOT(ISNUMBER('School Profile'!$K$5)),NOT(ISNUMBER(F594)),NOT(ISNUMBER(G594))),"",3958.7613*2*ASIN(MIN(1,SQRT(SIN(RADIANS(F594-'School Profile'!$K$4)/2)^2+COS(RADIANS('School Profile'!$K$4))*COS(RADIANS(F594))*SIN(RADIANS(G594-'School Profile'!$K$5)/2)^2))))</x:f>
        <x:v>4.345027229712571</x:v>
      </x:c>
      <x:c r="N594" s="1" t="str">
        <x:f>IF(AND(H594="Yes",ISNUMBER(M594),M594&lt;=1),COUNTIFS($H$511:$H$1010,"Yes",$M$511:$M$1010,"&lt;"&amp;M594)+COUNTIFS($H$511:H594,"Yes",$M$511:M594,M594),"")</x:f>
      </x:c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</x:row>
    <x:row r="595" ht="22" customHeight="1">
      <x:c r="A595" s="1" t="str">
        <x:v>85</x:v>
      </x:c>
      <x:c r="B595" s="1" t="str">
        <x:v>Norris Homes/North Central Community Center</x:v>
      </x:c>
      <x:c r="C595" s="1" t="str">
        <x:v>2000 N 11th St</x:v>
      </x:c>
      <x:c r="D595" s="1" t="str">
        <x:v>Food Site</x:v>
      </x:c>
      <x:c r="E595" s="1" t="str">
        <x:v>Active</x:v>
      </x:c>
      <x:c r="F595" s="1" t="n">
        <x:v>39.98293998000713</x:v>
      </x:c>
      <x:c r="G595" s="1" t="n">
        <x:v>-75.15170413001479</x:v>
      </x:c>
      <x:c r="H595" s="1" t="str">
        <x:v>Yes</x:v>
      </x:c>
      <x:c r="I595" s="1" t="str"/>
      <x:c r="J595" s="1" t="str"/>
      <x:c r="K595" s="1" t="str"/>
      <x:c r="L595" s="1" t="str">
        <x:v>https://www.sharefoodprogram.org/</x:v>
      </x:c>
      <x:c r="M595" s="1" t="n">
        <x:f>IF(OR(NOT(ISNUMBER('School Profile'!$K$4)),NOT(ISNUMBER('School Profile'!$K$5)),NOT(ISNUMBER(F595)),NOT(ISNUMBER(G595))),"",3958.7613*2*ASIN(MIN(1,SQRT(SIN(RADIANS(F595-'School Profile'!$K$4)/2)^2+COS(RADIANS('School Profile'!$K$4))*COS(RADIANS(F595))*SIN(RADIANS(G595-'School Profile'!$K$5)/2)^2))))</x:f>
        <x:v>7.360455176167674</x:v>
      </x:c>
      <x:c r="N595" s="1" t="str">
        <x:f>IF(AND(H595="Yes",ISNUMBER(M595),M595&lt;=1),COUNTIFS($H$511:$H$1010,"Yes",$M$511:$M$1010,"&lt;"&amp;M595)+COUNTIFS($H$511:H595,"Yes",$M$511:M595,M595),"")</x:f>
      </x:c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</x:row>
    <x:row r="596" ht="22" customHeight="1">
      <x:c r="A596" s="1" t="str">
        <x:v>86</x:v>
      </x:c>
      <x:c r="B596" s="1" t="str">
        <x:v>The U School</x:v>
      </x:c>
      <x:c r="C596" s="1" t="str">
        <x:v>2000 N 7th St.</x:v>
      </x:c>
      <x:c r="D596" s="1" t="str">
        <x:v>Food Site</x:v>
      </x:c>
      <x:c r="E596" s="1" t="str">
        <x:v>Active</x:v>
      </x:c>
      <x:c r="F596" s="1" t="n">
        <x:v>39.9822549509239</x:v>
      </x:c>
      <x:c r="G596" s="1" t="n">
        <x:v>-75.14601175579097</x:v>
      </x:c>
      <x:c r="H596" s="1" t="str">
        <x:v>Yes</x:v>
      </x:c>
      <x:c r="I596" s="1" t="str"/>
      <x:c r="J596" s="1" t="str"/>
      <x:c r="K596" s="1" t="str"/>
      <x:c r="L596" s="1" t="str">
        <x:v>https://www.philabundance.org/</x:v>
      </x:c>
      <x:c r="M596" s="1" t="n">
        <x:f>IF(OR(NOT(ISNUMBER('School Profile'!$K$4)),NOT(ISNUMBER('School Profile'!$K$5)),NOT(ISNUMBER(F596)),NOT(ISNUMBER(G596))),"",3958.7613*2*ASIN(MIN(1,SQRT(SIN(RADIANS(F596-'School Profile'!$K$4)/2)^2+COS(RADIANS('School Profile'!$K$4))*COS(RADIANS(F596))*SIN(RADIANS(G596-'School Profile'!$K$5)/2)^2))))</x:f>
        <x:v>7.2170799680484725</x:v>
      </x:c>
      <x:c r="N596" s="1" t="str">
        <x:f>IF(AND(H596="Yes",ISNUMBER(M596),M596&lt;=1),COUNTIFS($H$511:$H$1010,"Yes",$M$511:$M$1010,"&lt;"&amp;M596)+COUNTIFS($H$511:H596,"Yes",$M$511:M596,M596),"")</x:f>
      </x:c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</x:row>
    <x:row r="597" ht="22" customHeight="1">
      <x:c r="A597" s="1" t="str">
        <x:v>87</x:v>
      </x:c>
      <x:c r="B597" s="1" t="str">
        <x:v>Mitzvah Food Program Northeast</x:v>
      </x:c>
      <x:c r="C597" s="1" t="str">
        <x:v>10100 Jamison Ave.</x:v>
      </x:c>
      <x:c r="D597" s="1" t="str">
        <x:v>Food Site</x:v>
      </x:c>
      <x:c r="E597" s="1" t="str">
        <x:v>Active</x:v>
      </x:c>
      <x:c r="F597" s="1" t="n">
        <x:v>40.10039098968751</x:v>
      </x:c>
      <x:c r="G597" s="1" t="n">
        <x:v>-75.02136877008269</x:v>
      </x:c>
      <x:c r="H597" s="1" t="str">
        <x:v>Yes</x:v>
      </x:c>
      <x:c r="I597" s="1" t="str"/>
      <x:c r="J597" s="1" t="str"/>
      <x:c r="K597" s="1" t="str"/>
      <x:c r="L597" s="1" t="str">
        <x:v>https://www.sharefoodprogram.org/</x:v>
      </x:c>
      <x:c r="M597" s="1" t="n">
        <x:f>IF(OR(NOT(ISNUMBER('School Profile'!$K$4)),NOT(ISNUMBER('School Profile'!$K$5)),NOT(ISNUMBER(F597)),NOT(ISNUMBER(G597))),"",3958.7613*2*ASIN(MIN(1,SQRT(SIN(RADIANS(F597-'School Profile'!$K$4)/2)^2+COS(RADIANS('School Profile'!$K$4))*COS(RADIANS(F597))*SIN(RADIANS(G597-'School Profile'!$K$5)/2)^2))))</x:f>
        <x:v>3.3069109916698247</x:v>
      </x:c>
      <x:c r="N597" s="1" t="str">
        <x:f>IF(AND(H597="Yes",ISNUMBER(M597),M597&lt;=1),COUNTIFS($H$511:$H$1010,"Yes",$M$511:$M$1010,"&lt;"&amp;M597)+COUNTIFS($H$511:H597,"Yes",$M$511:M597,M597),"")</x:f>
      </x:c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</x:row>
    <x:row r="598" ht="22" customHeight="1">
      <x:c r="A598" s="1" t="str">
        <x:v>88</x:v>
      </x:c>
      <x:c r="B598" s="1" t="str">
        <x:v>New Jerusalem Laura</x:v>
      </x:c>
      <x:c r="C598" s="1" t="str">
        <x:v>2011 W Norris St</x:v>
      </x:c>
      <x:c r="D598" s="1" t="str">
        <x:v>Food Site</x:v>
      </x:c>
      <x:c r="E598" s="1" t="str">
        <x:v>Active</x:v>
      </x:c>
      <x:c r="F598" s="1" t="n">
        <x:v>39.98461159609404</x:v>
      </x:c>
      <x:c r="G598" s="1" t="n">
        <x:v>-75.16718010091371</x:v>
      </x:c>
      <x:c r="H598" s="1" t="str">
        <x:v>Yes</x:v>
      </x:c>
      <x:c r="I598" s="1" t="str"/>
      <x:c r="J598" s="1" t="str"/>
      <x:c r="K598" s="1" t="str"/>
      <x:c r="L598" s="1" t="str">
        <x:v>https://www.philabundance.org/</x:v>
      </x:c>
      <x:c r="M598" s="1" t="n">
        <x:f>IF(OR(NOT(ISNUMBER('School Profile'!$K$4)),NOT(ISNUMBER('School Profile'!$K$5)),NOT(ISNUMBER(F598)),NOT(ISNUMBER(G598))),"",3958.7613*2*ASIN(MIN(1,SQRT(SIN(RADIANS(F598-'School Profile'!$K$4)/2)^2+COS(RADIANS('School Profile'!$K$4))*COS(RADIANS(F598))*SIN(RADIANS(G598-'School Profile'!$K$5)/2)^2))))</x:f>
        <x:v>7.806901849911615</x:v>
      </x:c>
      <x:c r="N598" s="1" t="str">
        <x:f>IF(AND(H598="Yes",ISNUMBER(M598),M598&lt;=1),COUNTIFS($H$511:$H$1010,"Yes",$M$511:$M$1010,"&lt;"&amp;M598)+COUNTIFS($H$511:H598,"Yes",$M$511:M598,M598),"")</x:f>
      </x:c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</x:row>
    <x:row r="599" ht="22" customHeight="1">
      <x:c r="A599" s="1" t="str">
        <x:v>89</x:v>
      </x:c>
      <x:c r="B599" s="1" t="str">
        <x:v>Mission of St. Joan of Arc Food Cupboard</x:v>
      </x:c>
      <x:c r="C599" s="1" t="str">
        <x:v>2025 E Atlantic St</x:v>
      </x:c>
      <x:c r="D599" s="1" t="str">
        <x:v>Food Site</x:v>
      </x:c>
      <x:c r="E599" s="1" t="str">
        <x:v>Active</x:v>
      </x:c>
      <x:c r="F599" s="1" t="n">
        <x:v>39.99783008996099</x:v>
      </x:c>
      <x:c r="G599" s="1" t="n">
        <x:v>-75.10230810007594</x:v>
      </x:c>
      <x:c r="H599" s="1" t="str">
        <x:v>Yes</x:v>
      </x:c>
      <x:c r="I599" s="1" t="str"/>
      <x:c r="J599" s="1" t="str"/>
      <x:c r="K599" s="1" t="str"/>
      <x:c r="L599" s="1" t="str">
        <x:v>https://nutritionaldevelopmentservices.org/</x:v>
      </x:c>
      <x:c r="M599" s="1" t="n">
        <x:f>IF(OR(NOT(ISNUMBER('School Profile'!$K$4)),NOT(ISNUMBER('School Profile'!$K$5)),NOT(ISNUMBER(F599)),NOT(ISNUMBER(G599))),"",3958.7613*2*ASIN(MIN(1,SQRT(SIN(RADIANS(F599-'School Profile'!$K$4)/2)^2+COS(RADIANS('School Profile'!$K$4))*COS(RADIANS(F599))*SIN(RADIANS(G599-'School Profile'!$K$5)/2)^2))))</x:f>
        <x:v>5.140958840118266</x:v>
      </x:c>
      <x:c r="N599" s="1" t="str">
        <x:f>IF(AND(H599="Yes",ISNUMBER(M599),M599&lt;=1),COUNTIFS($H$511:$H$1010,"Yes",$M$511:$M$1010,"&lt;"&amp;M599)+COUNTIFS($H$511:H599,"Yes",$M$511:M599,M599),"")</x:f>
      </x:c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</x:row>
    <x:row r="600" ht="22" customHeight="1">
      <x:c r="A600" s="1" t="str">
        <x:v>90</x:v>
      </x:c>
      <x:c r="B600" s="1" t="str">
        <x:v>Family Support Circle</x:v>
      </x:c>
      <x:c r="C600" s="1" t="str">
        <x:v>2059 E Chelten Ave</x:v>
      </x:c>
      <x:c r="D600" s="1" t="str">
        <x:v>Food Site</x:v>
      </x:c>
      <x:c r="E600" s="1" t="str">
        <x:v>Active</x:v>
      </x:c>
      <x:c r="F600" s="1" t="n">
        <x:v>40.05188535982606</x:v>
      </x:c>
      <x:c r="G600" s="1" t="n">
        <x:v>-75.15405897998878</x:v>
      </x:c>
      <x:c r="H600" s="1" t="str">
        <x:v>Yes</x:v>
      </x:c>
      <x:c r="I600" s="1" t="str"/>
      <x:c r="J600" s="1" t="str"/>
      <x:c r="K600" s="1" t="str"/>
      <x:c r="L600" s="1" t="str">
        <x:v>https://www.sharefoodprogram.org/</x:v>
      </x:c>
      <x:c r="M600" s="1" t="n">
        <x:f>IF(OR(NOT(ISNUMBER('School Profile'!$K$4)),NOT(ISNUMBER('School Profile'!$K$5)),NOT(ISNUMBER(F600)),NOT(ISNUMBER(G600))),"",3958.7613*2*ASIN(MIN(1,SQRT(SIN(RADIANS(F600-'School Profile'!$K$4)/2)^2+COS(RADIANS('School Profile'!$K$4))*COS(RADIANS(F600))*SIN(RADIANS(G600-'School Profile'!$K$5)/2)^2))))</x:f>
        <x:v>4.770925468334785</x:v>
      </x:c>
      <x:c r="N600" s="1" t="str">
        <x:f>IF(AND(H600="Yes",ISNUMBER(M600),M600&lt;=1),COUNTIFS($H$511:$H$1010,"Yes",$M$511:$M$1010,"&lt;"&amp;M600)+COUNTIFS($H$511:H600,"Yes",$M$511:M600,M600),"")</x:f>
      </x:c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</x:row>
    <x:row r="601" ht="22" customHeight="1">
      <x:c r="A601" s="1" t="str">
        <x:v>91</x:v>
      </x:c>
      <x:c r="B601" s="1" t="str">
        <x:v>Philadelphia Housing Authority Cassie L. Holly Apts. Satelite</x:v>
      </x:c>
      <x:c r="C601" s="1" t="str">
        <x:v>2100 Dickinson St.</x:v>
      </x:c>
      <x:c r="D601" s="1" t="str">
        <x:v>Senior Meal Site</x:v>
      </x:c>
      <x:c r="E601" s="1" t="str">
        <x:v>Active</x:v>
      </x:c>
      <x:c r="F601" s="1" t="n">
        <x:v>39.93292193994941</x:v>
      </x:c>
      <x:c r="G601" s="1" t="n">
        <x:v>-75.18020370971455</x:v>
      </x:c>
      <x:c r="H601" s="1" t="str">
        <x:v>No</x:v>
      </x:c>
      <x:c r="I601" s="1" t="str"/>
      <x:c r="J601" s="1" t="str"/>
      <x:c r="K601" s="1" t="str"/>
      <x:c r="L601" s="1" t="str">
        <x:v>https://www.pcacares.org/</x:v>
      </x:c>
      <x:c r="M601" s="1" t="n">
        <x:f>IF(OR(NOT(ISNUMBER('School Profile'!$K$4)),NOT(ISNUMBER('School Profile'!$K$5)),NOT(ISNUMBER(F601)),NOT(ISNUMBER(G601))),"",3958.7613*2*ASIN(MIN(1,SQRT(SIN(RADIANS(F601-'School Profile'!$K$4)/2)^2+COS(RADIANS('School Profile'!$K$4))*COS(RADIANS(F601))*SIN(RADIANS(G601-'School Profile'!$K$5)/2)^2))))</x:f>
        <x:v>11.052897667468498</x:v>
      </x:c>
      <x:c r="N601" s="1" t="str">
        <x:f>IF(AND(H601="Yes",ISNUMBER(M601),M601&lt;=1),COUNTIFS($H$511:$H$1010,"Yes",$M$511:$M$1010,"&lt;"&amp;M601)+COUNTIFS($H$511:H601,"Yes",$M$511:M601,M601),"")</x:f>
      </x:c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</x:row>
    <x:row r="602" ht="22" customHeight="1">
      <x:c r="A602" s="1" t="str">
        <x:v>92</x:v>
      </x:c>
      <x:c r="B602" s="1" t="str">
        <x:v>King Older Adult Center</x:v>
      </x:c>
      <x:c r="C602" s="1" t="str">
        <x:v>2100 W. Cecil B. Moore Ave.</x:v>
      </x:c>
      <x:c r="D602" s="1" t="str">
        <x:v>Senior Meal Site</x:v>
      </x:c>
      <x:c r="E602" s="1" t="str">
        <x:v>Active</x:v>
      </x:c>
      <x:c r="F602" s="1" t="n">
        <x:v>39.979984549945065</x:v>
      </x:c>
      <x:c r="G602" s="1" t="n">
        <x:v>-75.1696036998547</x:v>
      </x:c>
      <x:c r="H602" s="1" t="str">
        <x:v>No</x:v>
      </x:c>
      <x:c r="I602" s="1" t="str"/>
      <x:c r="J602" s="1" t="str"/>
      <x:c r="K602" s="1" t="str"/>
      <x:c r="L602" s="1" t="str">
        <x:v>https://www.phila.gov/programs/programs-for-older-adults/</x:v>
      </x:c>
      <x:c r="M602" s="1" t="n">
        <x:f>IF(OR(NOT(ISNUMBER('School Profile'!$K$4)),NOT(ISNUMBER('School Profile'!$K$5)),NOT(ISNUMBER(F602)),NOT(ISNUMBER(G602))),"",3958.7613*2*ASIN(MIN(1,SQRT(SIN(RADIANS(F602-'School Profile'!$K$4)/2)^2+COS(RADIANS('School Profile'!$K$4))*COS(RADIANS(F602))*SIN(RADIANS(G602-'School Profile'!$K$5)/2)^2))))</x:f>
        <x:v>8.128611336957404</x:v>
      </x:c>
      <x:c r="N602" s="1" t="str">
        <x:f>IF(AND(H602="Yes",ISNUMBER(M602),M602&lt;=1),COUNTIFS($H$511:$H$1010,"Yes",$M$511:$M$1010,"&lt;"&amp;M602)+COUNTIFS($H$511:H602,"Yes",$M$511:M602,M602),"")</x:f>
      </x:c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</x:row>
    <x:row r="603" ht="22" customHeight="1">
      <x:c r="A603" s="1" t="str">
        <x:v>93</x:v>
      </x:c>
      <x:c r="B603" s="1" t="str">
        <x:v>Neighborhood Community Action Center 5</x:v>
      </x:c>
      <x:c r="C603" s="1" t="str">
        <x:v>2101 Cecil B. Moore Ave</x:v>
      </x:c>
      <x:c r="D603" s="1" t="str">
        <x:v>Public Benefits</x:v>
      </x:c>
      <x:c r="E603" s="1" t="str">
        <x:v>Active</x:v>
      </x:c>
      <x:c r="F603" s="1" t="n">
        <x:v>39.980214038246224</x:v>
      </x:c>
      <x:c r="G603" s="1" t="n">
        <x:v>-75.16935926916423</x:v>
      </x:c>
      <x:c r="H603" s="1" t="str">
        <x:v>No</x:v>
      </x:c>
      <x:c r="I603" s="1" t="str"/>
      <x:c r="J603" s="1" t="str"/>
      <x:c r="K603" s="1" t="str"/>
      <x:c r="L603" s="1" t="str">
        <x:v>https://www.phila.gov/programs/neighborhood-community-action-centers/</x:v>
      </x:c>
      <x:c r="M603" s="1" t="n">
        <x:f>IF(OR(NOT(ISNUMBER('School Profile'!$K$4)),NOT(ISNUMBER('School Profile'!$K$5)),NOT(ISNUMBER(F603)),NOT(ISNUMBER(G603))),"",3958.7613*2*ASIN(MIN(1,SQRT(SIN(RADIANS(F603-'School Profile'!$K$4)/2)^2+COS(RADIANS('School Profile'!$K$4))*COS(RADIANS(F603))*SIN(RADIANS(G603-'School Profile'!$K$5)/2)^2))))</x:f>
        <x:v>8.10817573831947</x:v>
      </x:c>
      <x:c r="N603" s="1" t="str">
        <x:f>IF(AND(H603="Yes",ISNUMBER(M603),M603&lt;=1),COUNTIFS($H$511:$H$1010,"Yes",$M$511:$M$1010,"&lt;"&amp;M603)+COUNTIFS($H$511:H603,"Yes",$M$511:M603,M603),"")</x:f>
      </x:c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</x:row>
    <x:row r="604" ht="22" customHeight="1">
      <x:c r="A604" s="1" t="str">
        <x:v>94</x:v>
      </x:c>
      <x:c r="B604" s="1" t="str">
        <x:v>CHCS Norris Square Center</x:v>
      </x:c>
      <x:c r="C604" s="1" t="str">
        <x:v>2121 N. Howard St</x:v>
      </x:c>
      <x:c r="D604" s="1" t="str">
        <x:v>Senior Meal Site</x:v>
      </x:c>
      <x:c r="E604" s="1" t="str">
        <x:v>Active</x:v>
      </x:c>
      <x:c r="F604" s="1" t="n">
        <x:v>39.98257945010882</x:v>
      </x:c>
      <x:c r="G604" s="1" t="n">
        <x:v>-75.13343031034938</x:v>
      </x:c>
      <x:c r="H604" s="1" t="str">
        <x:v>No</x:v>
      </x:c>
      <x:c r="I604" s="1" t="str"/>
      <x:c r="J604" s="1" t="str"/>
      <x:c r="K604" s="1" t="str"/>
      <x:c r="L604" s="1" t="str">
        <x:v>https://www.pcacares.org/</x:v>
      </x:c>
      <x:c r="M604" s="1" t="n">
        <x:f>IF(OR(NOT(ISNUMBER('School Profile'!$K$4)),NOT(ISNUMBER('School Profile'!$K$5)),NOT(ISNUMBER(F604)),NOT(ISNUMBER(G604))),"",3958.7613*2*ASIN(MIN(1,SQRT(SIN(RADIANS(F604-'School Profile'!$K$4)/2)^2+COS(RADIANS('School Profile'!$K$4))*COS(RADIANS(F604))*SIN(RADIANS(G604-'School Profile'!$K$5)/2)^2))))</x:f>
        <x:v>6.828647441479389</x:v>
      </x:c>
      <x:c r="N604" s="1" t="str">
        <x:f>IF(AND(H604="Yes",ISNUMBER(M604),M604&lt;=1),COUNTIFS($H$511:$H$1010,"Yes",$M$511:$M$1010,"&lt;"&amp;M604)+COUNTIFS($H$511:H604,"Yes",$M$511:M604,M604),"")</x:f>
      </x:c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</x:row>
    <x:row r="605" ht="22" customHeight="1">
      <x:c r="A605" s="1" t="str">
        <x:v>95</x:v>
      </x:c>
      <x:c r="B605" s="1" t="str">
        <x:v>St. Edmonds Senior Community Center Catholic Housing and Community Services</x:v>
      </x:c>
      <x:c r="C605" s="1" t="str">
        <x:v>2130 S 21st St.</x:v>
      </x:c>
      <x:c r="D605" s="1" t="str">
        <x:v>Senior Meal Site</x:v>
      </x:c>
      <x:c r="E605" s="1" t="str">
        <x:v>Active</x:v>
      </x:c>
      <x:c r="F605" s="1" t="n">
        <x:v>39.924705030254444</x:v>
      </x:c>
      <x:c r="G605" s="1" t="n">
        <x:v>-75.18140473029996</x:v>
      </x:c>
      <x:c r="H605" s="1" t="str">
        <x:v>No</x:v>
      </x:c>
      <x:c r="I605" s="1" t="str"/>
      <x:c r="J605" s="1" t="str"/>
      <x:c r="K605" s="1" t="str"/>
      <x:c r="L605" s="1" t="str">
        <x:v>https://www.pcacares.org/</x:v>
      </x:c>
      <x:c r="M605" s="1" t="n">
        <x:f>IF(OR(NOT(ISNUMBER('School Profile'!$K$4)),NOT(ISNUMBER('School Profile'!$K$5)),NOT(ISNUMBER(F605)),NOT(ISNUMBER(G605))),"",3958.7613*2*ASIN(MIN(1,SQRT(SIN(RADIANS(F605-'School Profile'!$K$4)/2)^2+COS(RADIANS('School Profile'!$K$4))*COS(RADIANS(F605))*SIN(RADIANS(G605-'School Profile'!$K$5)/2)^2))))</x:f>
        <x:v>11.56600653479787</x:v>
      </x:c>
      <x:c r="N605" s="1" t="str">
        <x:f>IF(AND(H605="Yes",ISNUMBER(M605),M605&lt;=1),COUNTIFS($H$511:$H$1010,"Yes",$M$511:$M$1010,"&lt;"&amp;M605)+COUNTIFS($H$511:H605,"Yes",$M$511:M605,M605),"")</x:f>
      </x:c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</x:row>
    <x:row r="606" ht="22" customHeight="1">
      <x:c r="A606" s="1" t="str">
        <x:v>96</x:v>
      </x:c>
      <x:c r="B606" s="1" t="str">
        <x:v>Saint Edmond Senior Community Center</x:v>
      </x:c>
      <x:c r="C606" s="1" t="str">
        <x:v>2130 S 21st St.</x:v>
      </x:c>
      <x:c r="D606" s="1" t="str">
        <x:v>Food Site</x:v>
      </x:c>
      <x:c r="E606" s="1" t="str">
        <x:v>Active</x:v>
      </x:c>
      <x:c r="F606" s="1" t="n">
        <x:v>39.925461751867765</x:v>
      </x:c>
      <x:c r="G606" s="1" t="n">
        <x:v>-75.18132743655796</x:v>
      </x:c>
      <x:c r="H606" s="1" t="str">
        <x:v>Yes</x:v>
      </x:c>
      <x:c r="I606" s="1" t="str"/>
      <x:c r="J606" s="1" t="str"/>
      <x:c r="K606" s="1" t="str"/>
      <x:c r="L606" s="1" t="str">
        <x:v>https://www.philabundance.org/</x:v>
      </x:c>
      <x:c r="M606" s="1" t="n">
        <x:f>IF(OR(NOT(ISNUMBER('School Profile'!$K$4)),NOT(ISNUMBER('School Profile'!$K$5)),NOT(ISNUMBER(F606)),NOT(ISNUMBER(G606))),"",3958.7613*2*ASIN(MIN(1,SQRT(SIN(RADIANS(F606-'School Profile'!$K$4)/2)^2+COS(RADIANS('School Profile'!$K$4))*COS(RADIANS(F606))*SIN(RADIANS(G606-'School Profile'!$K$5)/2)^2))))</x:f>
        <x:v>11.519457834429723</x:v>
      </x:c>
      <x:c r="N606" s="1" t="str">
        <x:f>IF(AND(H606="Yes",ISNUMBER(M606),M606&lt;=1),COUNTIFS($H$511:$H$1010,"Yes",$M$511:$M$1010,"&lt;"&amp;M606)+COUNTIFS($H$511:H606,"Yes",$M$511:M606,M606),"")</x:f>
      </x:c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</x:row>
    <x:row r="607" ht="22" customHeight="1">
      <x:c r="A607" s="1" t="str">
        <x:v>97</x:v>
      </x:c>
      <x:c r="B607" s="1" t="str">
        <x:v>Veterans Multi-Service Center</x:v>
      </x:c>
      <x:c r="C607" s="1" t="str">
        <x:v>213-217 N. 4th St.</x:v>
      </x:c>
      <x:c r="D607" s="1" t="str">
        <x:v>General Meal Site</x:v>
      </x:c>
      <x:c r="E607" s="1" t="str">
        <x:v>Active</x:v>
      </x:c>
      <x:c r="F607" s="1" t="n">
        <x:v>39.95460775489771</x:v>
      </x:c>
      <x:c r="G607" s="1" t="n">
        <x:v>-75.1462496763906</x:v>
      </x:c>
      <x:c r="H607" s="1" t="str">
        <x:v>No</x:v>
      </x:c>
      <x:c r="I607" s="1" t="str"/>
      <x:c r="J607" s="1" t="str"/>
      <x:c r="K607" s="1" t="str"/>
      <x:c r="L607" s="1" t="str">
        <x:v>https://www.phila.gov/departments/office-of-homeless-services/</x:v>
      </x:c>
      <x:c r="M607" s="1" t="n">
        <x:f>IF(OR(NOT(ISNUMBER('School Profile'!$K$4)),NOT(ISNUMBER('School Profile'!$K$5)),NOT(ISNUMBER(F607)),NOT(ISNUMBER(G607))),"",3958.7613*2*ASIN(MIN(1,SQRT(SIN(RADIANS(F607-'School Profile'!$K$4)/2)^2+COS(RADIANS('School Profile'!$K$4))*COS(RADIANS(F607))*SIN(RADIANS(G607-'School Profile'!$K$5)/2)^2))))</x:f>
        <x:v>8.841821996227274</x:v>
      </x:c>
      <x:c r="N607" s="1" t="str">
        <x:f>IF(AND(H607="Yes",ISNUMBER(M607),M607&lt;=1),COUNTIFS($H$511:$H$1010,"Yes",$M$511:$M$1010,"&lt;"&amp;M607)+COUNTIFS($H$511:H607,"Yes",$M$511:M607,M607),"")</x:f>
      </x:c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</x:row>
    <x:row r="608" ht="22" customHeight="1">
      <x:c r="A608" s="1" t="str">
        <x:v>98</x:v>
      </x:c>
      <x:c r="B608" s="1" t="str">
        <x:v>Saint Michael's Lutheran Church</x:v>
      </x:c>
      <x:c r="C608" s="1" t="str">
        <x:v>2139 E Cumberland St</x:v>
      </x:c>
      <x:c r="D608" s="1" t="str">
        <x:v>Food Site</x:v>
      </x:c>
      <x:c r="E608" s="1" t="str">
        <x:v>Active</x:v>
      </x:c>
      <x:c r="F608" s="1" t="n">
        <x:v>39.982358255147005</x:v>
      </x:c>
      <x:c r="G608" s="1" t="n">
        <x:v>-75.12497590857936</x:v>
      </x:c>
      <x:c r="H608" s="1" t="str">
        <x:v>Yes</x:v>
      </x:c>
      <x:c r="I608" s="1" t="str"/>
      <x:c r="J608" s="1" t="str"/>
      <x:c r="K608" s="1" t="str"/>
      <x:c r="L608" s="1" t="str">
        <x:v>https://www.philabundance.org/</x:v>
      </x:c>
      <x:c r="M608" s="1" t="n">
        <x:f>IF(OR(NOT(ISNUMBER('School Profile'!$K$4)),NOT(ISNUMBER('School Profile'!$K$5)),NOT(ISNUMBER(F608)),NOT(ISNUMBER(G608))),"",3958.7613*2*ASIN(MIN(1,SQRT(SIN(RADIANS(F608-'School Profile'!$K$4)/2)^2+COS(RADIANS('School Profile'!$K$4))*COS(RADIANS(F608))*SIN(RADIANS(G608-'School Profile'!$K$5)/2)^2))))</x:f>
        <x:v>6.6193783150938925</x:v>
      </x:c>
      <x:c r="N608" s="1" t="str">
        <x:f>IF(AND(H608="Yes",ISNUMBER(M608),M608&lt;=1),COUNTIFS($H$511:$H$1010,"Yes",$M$511:$M$1010,"&lt;"&amp;M608)+COUNTIFS($H$511:H608,"Yes",$M$511:M608,M608),"")</x:f>
      </x:c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</x:row>
    <x:row r="609" ht="22" customHeight="1">
      <x:c r="A609" s="1" t="str">
        <x:v>99</x:v>
      </x:c>
      <x:c r="B609" s="1" t="str">
        <x:v>Dobbins Technical High School</x:v>
      </x:c>
      <x:c r="C609" s="1" t="str">
        <x:v>2150 W Lehigh Ave.</x:v>
      </x:c>
      <x:c r="D609" s="1" t="str">
        <x:v>Food Site</x:v>
      </x:c>
      <x:c r="E609" s="1" t="str">
        <x:v>Active</x:v>
      </x:c>
      <x:c r="F609" s="1" t="n">
        <x:v>39.995181649897155</x:v>
      </x:c>
      <x:c r="G609" s="1" t="n">
        <x:v>-75.16671553985948</x:v>
      </x:c>
      <x:c r="H609" s="1" t="str">
        <x:v>Yes</x:v>
      </x:c>
      <x:c r="I609" s="1" t="str"/>
      <x:c r="J609" s="1" t="str"/>
      <x:c r="K609" s="1" t="str"/>
      <x:c r="L609" s="1" t="str">
        <x:v>https://www.philabundance.org/</x:v>
      </x:c>
      <x:c r="M609" s="1" t="n">
        <x:f>IF(OR(NOT(ISNUMBER('School Profile'!$K$4)),NOT(ISNUMBER('School Profile'!$K$5)),NOT(ISNUMBER(F609)),NOT(ISNUMBER(G609))),"",3958.7613*2*ASIN(MIN(1,SQRT(SIN(RADIANS(F609-'School Profile'!$K$4)/2)^2+COS(RADIANS('School Profile'!$K$4))*COS(RADIANS(F609))*SIN(RADIANS(G609-'School Profile'!$K$5)/2)^2))))</x:f>
        <x:v>7.274291058652975</x:v>
      </x:c>
      <x:c r="N609" s="1" t="str">
        <x:f>IF(AND(H609="Yes",ISNUMBER(M609),M609&lt;=1),COUNTIFS($H$511:$H$1010,"Yes",$M$511:$M$1010,"&lt;"&amp;M609)+COUNTIFS($H$511:H609,"Yes",$M$511:M609,M609),"")</x:f>
      </x:c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</x:row>
    <x:row r="610" ht="22" customHeight="1">
      <x:c r="A610" s="1" t="str">
        <x:v>100</x:v>
      </x:c>
      <x:c r="B610" s="1" t="str">
        <x:v>Lehigh WIC Office</x:v>
      </x:c>
      <x:c r="C610" s="1" t="str">
        <x:v>217-33 W. Lehigh Ave.</x:v>
      </x:c>
      <x:c r="D610" s="1" t="str">
        <x:v>Public Benefits</x:v>
      </x:c>
      <x:c r="E610" s="1" t="str">
        <x:v>Active</x:v>
      </x:c>
      <x:c r="F610" s="1" t="n">
        <x:v>39.992403430329894</x:v>
      </x:c>
      <x:c r="G610" s="1" t="n">
        <x:v>-75.1355188197231</x:v>
      </x:c>
      <x:c r="H610" s="1" t="str">
        <x:v>No</x:v>
      </x:c>
      <x:c r="I610" s="1" t="str"/>
      <x:c r="J610" s="1" t="str"/>
      <x:c r="K610" s="1" t="str"/>
      <x:c r="L610" s="1" t="str">
        <x:v>https://www.facebook.com/PhiladelphiaWICProgram/</x:v>
      </x:c>
      <x:c r="M610" s="1" t="n">
        <x:f>IF(OR(NOT(ISNUMBER('School Profile'!$K$4)),NOT(ISNUMBER('School Profile'!$K$5)),NOT(ISNUMBER(F610)),NOT(ISNUMBER(G610))),"",3958.7613*2*ASIN(MIN(1,SQRT(SIN(RADIANS(F610-'School Profile'!$K$4)/2)^2+COS(RADIANS('School Profile'!$K$4))*COS(RADIANS(F610))*SIN(RADIANS(G610-'School Profile'!$K$5)/2)^2))))</x:f>
        <x:v>6.3234847566124675</x:v>
      </x:c>
      <x:c r="N610" s="1" t="str">
        <x:f>IF(AND(H610="Yes",ISNUMBER(M610),M610&lt;=1),COUNTIFS($H$511:$H$1010,"Yes",$M$511:$M$1010,"&lt;"&amp;M610)+COUNTIFS($H$511:H610,"Yes",$M$511:M610,M610),"")</x:f>
      </x:c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</x:row>
    <x:row r="611" ht="22" customHeight="1">
      <x:c r="A611" s="1" t="str">
        <x:v>101</x:v>
      </x:c>
      <x:c r="B611" s="1" t="str">
        <x:v>On Lok House Satellite</x:v>
      </x:c>
      <x:c r="C611" s="1" t="str">
        <x:v>219 N. 10th St.</x:v>
      </x:c>
      <x:c r="D611" s="1" t="str">
        <x:v>Senior Meal Site</x:v>
      </x:c>
      <x:c r="E611" s="1" t="str">
        <x:v>Active</x:v>
      </x:c>
      <x:c r="F611" s="1" t="n">
        <x:v>39.95584773973695</x:v>
      </x:c>
      <x:c r="G611" s="1" t="n">
        <x:v>-75.15564685016983</x:v>
      </x:c>
      <x:c r="H611" s="1" t="str">
        <x:v>No</x:v>
      </x:c>
      <x:c r="I611" s="1" t="str"/>
      <x:c r="J611" s="1" t="str"/>
      <x:c r="K611" s="1" t="str"/>
      <x:c r="L611" s="1" t="str">
        <x:v>https://www.pcacares.org/</x:v>
      </x:c>
      <x:c r="M611" s="1" t="n">
        <x:f>IF(OR(NOT(ISNUMBER('School Profile'!$K$4)),NOT(ISNUMBER('School Profile'!$K$5)),NOT(ISNUMBER(F611)),NOT(ISNUMBER(G611))),"",3958.7613*2*ASIN(MIN(1,SQRT(SIN(RADIANS(F611-'School Profile'!$K$4)/2)^2+COS(RADIANS('School Profile'!$K$4))*COS(RADIANS(F611))*SIN(RADIANS(G611-'School Profile'!$K$5)/2)^2))))</x:f>
        <x:v>9.018208091064732</x:v>
      </x:c>
      <x:c r="N611" s="1" t="str">
        <x:f>IF(AND(H611="Yes",ISNUMBER(M611),M611&lt;=1),COUNTIFS($H$511:$H$1010,"Yes",$M$511:$M$1010,"&lt;"&amp;M611)+COUNTIFS($H$511:H611,"Yes",$M$511:M611,M611),"")</x:f>
      </x:c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</x:row>
    <x:row r="612" ht="22" customHeight="1">
      <x:c r="A612" s="1" t="str">
        <x:v>102</x:v>
      </x:c>
      <x:c r="B612" s="1" t="str">
        <x:v>Bryn Mawr Avenue New Testament Church of God</x:v>
      </x:c>
      <x:c r="C612" s="1" t="str">
        <x:v>2227 Bryn Mawr Ave</x:v>
      </x:c>
      <x:c r="D612" s="1" t="str">
        <x:v>Food Site</x:v>
      </x:c>
      <x:c r="E612" s="1" t="str">
        <x:v>Active</x:v>
      </x:c>
      <x:c r="F612" s="1" t="n">
        <x:v>39.99146538632551</x:v>
      </x:c>
      <x:c r="G612" s="1" t="n">
        <x:v>-75.22649262698572</x:v>
      </x:c>
      <x:c r="H612" s="1" t="str">
        <x:v>Yes</x:v>
      </x:c>
      <x:c r="I612" s="1" t="str"/>
      <x:c r="J612" s="1" t="str"/>
      <x:c r="K612" s="1" t="str"/>
      <x:c r="L612" s="1" t="str">
        <x:v>https://www.philabundance.org/</x:v>
      </x:c>
      <x:c r="M612" s="1" t="n">
        <x:f>IF(OR(NOT(ISNUMBER('School Profile'!$K$4)),NOT(ISNUMBER('School Profile'!$K$5)),NOT(ISNUMBER(F612)),NOT(ISNUMBER(G612))),"",3958.7613*2*ASIN(MIN(1,SQRT(SIN(RADIANS(F612-'School Profile'!$K$4)/2)^2+COS(RADIANS('School Profile'!$K$4))*COS(RADIANS(F612))*SIN(RADIANS(G612-'School Profile'!$K$5)/2)^2))))</x:f>
        <x:v>9.961726596631424</x:v>
      </x:c>
      <x:c r="N612" s="1" t="str">
        <x:f>IF(AND(H612="Yes",ISNUMBER(M612),M612&lt;=1),COUNTIFS($H$511:$H$1010,"Yes",$M$511:$M$1010,"&lt;"&amp;M612)+COUNTIFS($H$511:H612,"Yes",$M$511:M612,M612),"")</x:f>
      </x:c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</x:row>
    <x:row r="613" ht="22" customHeight="1">
      <x:c r="A613" s="1" t="str">
        <x:v>103</x:v>
      </x:c>
      <x:c r="B613" s="1" t="str">
        <x:v>Mighty Writers North</x:v>
      </x:c>
      <x:c r="C613" s="1" t="str">
        <x:v>2300 Master St.</x:v>
      </x:c>
      <x:c r="D613" s="1" t="str">
        <x:v>Food Site</x:v>
      </x:c>
      <x:c r="E613" s="1" t="str">
        <x:v>Active</x:v>
      </x:c>
      <x:c r="F613" s="1" t="n">
        <x:v>39.97628199971856</x:v>
      </x:c>
      <x:c r="G613" s="1" t="n">
        <x:v>-75.17426000034897</x:v>
      </x:c>
      <x:c r="H613" s="1" t="str">
        <x:v>Yes</x:v>
      </x:c>
      <x:c r="I613" s="1" t="str"/>
      <x:c r="J613" s="1" t="str"/>
      <x:c r="K613" s="1" t="str"/>
      <x:c r="L613" s="1" t="str">
        <x:v>https://www.philabundance.org/</x:v>
      </x:c>
      <x:c r="M613" s="1" t="n">
        <x:f>IF(OR(NOT(ISNUMBER('School Profile'!$K$4)),NOT(ISNUMBER('School Profile'!$K$5)),NOT(ISNUMBER(F613)),NOT(ISNUMBER(G613))),"",3958.7613*2*ASIN(MIN(1,SQRT(SIN(RADIANS(F613-'School Profile'!$K$4)/2)^2+COS(RADIANS('School Profile'!$K$4))*COS(RADIANS(F613))*SIN(RADIANS(G613-'School Profile'!$K$5)/2)^2))))</x:f>
        <x:v>8.483762467231157</x:v>
      </x:c>
      <x:c r="N613" s="1" t="str">
        <x:f>IF(AND(H613="Yes",ISNUMBER(M613),M613&lt;=1),COUNTIFS($H$511:$H$1010,"Yes",$M$511:$M$1010,"&lt;"&amp;M613)+COUNTIFS($H$511:H613,"Yes",$M$511:M613,M613),"")</x:f>
      </x:c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</x:row>
    <x:row r="614" ht="22" customHeight="1">
      <x:c r="A614" s="1" t="str">
        <x:v>104</x:v>
      </x:c>
      <x:c r="B614" s="1" t="str">
        <x:v>Urban Creators</x:v>
      </x:c>
      <x:c r="C614" s="1" t="str">
        <x:v>2315 N. 11th St.</x:v>
      </x:c>
      <x:c r="D614" s="1" t="str">
        <x:v>Food Site</x:v>
      </x:c>
      <x:c r="E614" s="1" t="str">
        <x:v>Active</x:v>
      </x:c>
      <x:c r="F614" s="1" t="n">
        <x:v>39.98762179986868</x:v>
      </x:c>
      <x:c r="G614" s="1" t="n">
        <x:v>-75.15030220031777</x:v>
      </x:c>
      <x:c r="H614" s="1" t="str">
        <x:v>Yes</x:v>
      </x:c>
      <x:c r="I614" s="1" t="str"/>
      <x:c r="J614" s="1" t="str"/>
      <x:c r="K614" s="1" t="str"/>
      <x:c r="L614" s="1" t="str">
        <x:v>https://www.philabundance.org/</x:v>
      </x:c>
      <x:c r="M614" s="1" t="n">
        <x:f>IF(OR(NOT(ISNUMBER('School Profile'!$K$4)),NOT(ISNUMBER('School Profile'!$K$5)),NOT(ISNUMBER(F614)),NOT(ISNUMBER(G614))),"",3958.7613*2*ASIN(MIN(1,SQRT(SIN(RADIANS(F614-'School Profile'!$K$4)/2)^2+COS(RADIANS('School Profile'!$K$4))*COS(RADIANS(F614))*SIN(RADIANS(G614-'School Profile'!$K$5)/2)^2))))</x:f>
        <x:v>7.061283685507314</x:v>
      </x:c>
      <x:c r="N614" s="1" t="str">
        <x:f>IF(AND(H614="Yes",ISNUMBER(M614),M614&lt;=1),COUNTIFS($H$511:$H$1010,"Yes",$M$511:$M$1010,"&lt;"&amp;M614)+COUNTIFS($H$511:H614,"Yes",$M$511:M614,M614),"")</x:f>
      </x:c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</x:row>
    <x:row r="615" ht="22" customHeight="1">
      <x:c r="A615" s="1" t="str">
        <x:v>105</x:v>
      </x:c>
      <x:c r="B615" s="1" t="str">
        <x:v>Eddie's House - The Cornerstone</x:v>
      </x:c>
      <x:c r="C615" s="1" t="str">
        <x:v>2321 N Broad St</x:v>
      </x:c>
      <x:c r="D615" s="1" t="str">
        <x:v>Food Site</x:v>
      </x:c>
      <x:c r="E615" s="1" t="str">
        <x:v>Active</x:v>
      </x:c>
      <x:c r="F615" s="1" t="n">
        <x:v>39.98816092426949</x:v>
      </x:c>
      <x:c r="G615" s="1" t="n">
        <x:v>-75.15573529020787</x:v>
      </x:c>
      <x:c r="H615" s="1" t="str">
        <x:v>Yes</x:v>
      </x:c>
      <x:c r="I615" s="1" t="str"/>
      <x:c r="J615" s="1" t="str"/>
      <x:c r="K615" s="1" t="str"/>
      <x:c r="L615" s="1" t="str">
        <x:v>https://www.philabundance.org/</x:v>
      </x:c>
      <x:c r="M615" s="1" t="n">
        <x:f>IF(OR(NOT(ISNUMBER('School Profile'!$K$4)),NOT(ISNUMBER('School Profile'!$K$5)),NOT(ISNUMBER(F615)),NOT(ISNUMBER(G615))),"",3958.7613*2*ASIN(MIN(1,SQRT(SIN(RADIANS(F615-'School Profile'!$K$4)/2)^2+COS(RADIANS('School Profile'!$K$4))*COS(RADIANS(F615))*SIN(RADIANS(G615-'School Profile'!$K$5)/2)^2))))</x:f>
        <x:v>7.218204264610304</x:v>
      </x:c>
      <x:c r="N615" s="1" t="str">
        <x:f>IF(AND(H615="Yes",ISNUMBER(M615),M615&lt;=1),COUNTIFS($H$511:$H$1010,"Yes",$M$511:$M$1010,"&lt;"&amp;M615)+COUNTIFS($H$511:H615,"Yes",$M$511:M615,M615),"")</x:f>
      </x:c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</x:row>
    <x:row r="616" ht="22" customHeight="1">
      <x:c r="A616" s="1" t="str">
        <x:v>106</x:v>
      </x:c>
      <x:c r="B616" s="1" t="str">
        <x:v>Aramingo WIC Office</x:v>
      </x:c>
      <x:c r="C616" s="1" t="str">
        <x:v>2401 E. Tioga St., #A-4</x:v>
      </x:c>
      <x:c r="D616" s="1" t="str">
        <x:v>Public Benefits</x:v>
      </x:c>
      <x:c r="E616" s="1" t="str">
        <x:v>Active</x:v>
      </x:c>
      <x:c r="F616" s="1" t="n">
        <x:v>39.99146028030665</x:v>
      </x:c>
      <x:c r="G616" s="1" t="n">
        <x:v>-75.09815012022264</x:v>
      </x:c>
      <x:c r="H616" s="1" t="str">
        <x:v>No</x:v>
      </x:c>
      <x:c r="I616" s="1" t="str"/>
      <x:c r="J616" s="1" t="str"/>
      <x:c r="K616" s="1" t="str"/>
      <x:c r="L616" s="1" t="str">
        <x:v>https://www.facebook.com/PhiladelphiaWICProgram/</x:v>
      </x:c>
      <x:c r="M616" s="1" t="n">
        <x:f>IF(OR(NOT(ISNUMBER('School Profile'!$K$4)),NOT(ISNUMBER('School Profile'!$K$5)),NOT(ISNUMBER(F616)),NOT(ISNUMBER(G616))),"",3958.7613*2*ASIN(MIN(1,SQRT(SIN(RADIANS(F616-'School Profile'!$K$4)/2)^2+COS(RADIANS('School Profile'!$K$4))*COS(RADIANS(F616))*SIN(RADIANS(G616-'School Profile'!$K$5)/2)^2))))</x:f>
        <x:v>5.479373343649377</x:v>
      </x:c>
      <x:c r="N616" s="1" t="str">
        <x:f>IF(AND(H616="Yes",ISNUMBER(M616),M616&lt;=1),COUNTIFS($H$511:$H$1010,"Yes",$M$511:$M$1010,"&lt;"&amp;M616)+COUNTIFS($H$511:H616,"Yes",$M$511:M616,M616),"")</x:f>
      </x:c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</x:row>
    <x:row r="617" ht="22" customHeight="1">
      <x:c r="A617" s="1" t="str">
        <x:v>107</x:v>
      </x:c>
      <x:c r="B617" s="1" t="str">
        <x:v>Marconi Older Adult Program</x:v>
      </x:c>
      <x:c r="C617" s="1" t="str">
        <x:v>2433 S. 15th St.</x:v>
      </x:c>
      <x:c r="D617" s="1" t="str">
        <x:v>Senior Meal Site</x:v>
      </x:c>
      <x:c r="E617" s="1" t="str">
        <x:v>Active</x:v>
      </x:c>
      <x:c r="F617" s="1" t="n">
        <x:v>39.919823470133124</x:v>
      </x:c>
      <x:c r="G617" s="1" t="n">
        <x:v>-75.17222184963175</x:v>
      </x:c>
      <x:c r="H617" s="1" t="str">
        <x:v>No</x:v>
      </x:c>
      <x:c r="I617" s="1" t="str"/>
      <x:c r="J617" s="1" t="str"/>
      <x:c r="K617" s="1" t="str"/>
      <x:c r="L617" s="1" t="str">
        <x:v>https://www.pcacares.org/</x:v>
      </x:c>
      <x:c r="M617" s="1" t="n">
        <x:f>IF(OR(NOT(ISNUMBER('School Profile'!$K$4)),NOT(ISNUMBER('School Profile'!$K$5)),NOT(ISNUMBER(F617)),NOT(ISNUMBER(G617))),"",3958.7613*2*ASIN(MIN(1,SQRT(SIN(RADIANS(F617-'School Profile'!$K$4)/2)^2+COS(RADIANS('School Profile'!$K$4))*COS(RADIANS(F617))*SIN(RADIANS(G617-'School Profile'!$K$5)/2)^2))))</x:f>
        <x:v>11.610784971356335</x:v>
      </x:c>
      <x:c r="N617" s="1" t="str">
        <x:f>IF(AND(H617="Yes",ISNUMBER(M617),M617&lt;=1),COUNTIFS($H$511:$H$1010,"Yes",$M$511:$M$1010,"&lt;"&amp;M617)+COUNTIFS($H$511:H617,"Yes",$M$511:M617,M617),"")</x:f>
      </x:c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</x:row>
    <x:row r="618" ht="22" customHeight="1">
      <x:c r="A618" s="1" t="str">
        <x:v>108</x:v>
      </x:c>
      <x:c r="B618" s="1" t="str">
        <x:v>Cast Your Cares</x:v>
      </x:c>
      <x:c r="C618" s="1" t="str">
        <x:v>2436-2438 Kensington Ave</x:v>
      </x:c>
      <x:c r="D618" s="1" t="str">
        <x:v>Food Site</x:v>
      </x:c>
      <x:c r="E618" s="1" t="str">
        <x:v>Active</x:v>
      </x:c>
      <x:c r="F618" s="1" t="n">
        <x:v>39.98694310173421</x:v>
      </x:c>
      <x:c r="G618" s="1" t="n">
        <x:v>-75.13082706002966</x:v>
      </x:c>
      <x:c r="H618" s="1" t="str">
        <x:v>Yes</x:v>
      </x:c>
      <x:c r="I618" s="1" t="str"/>
      <x:c r="J618" s="1" t="str"/>
      <x:c r="K618" s="1" t="str"/>
      <x:c r="L618" s="1" t="str">
        <x:v>https://www.philabundance.org/</x:v>
      </x:c>
      <x:c r="M618" s="1" t="n">
        <x:f>IF(OR(NOT(ISNUMBER('School Profile'!$K$4)),NOT(ISNUMBER('School Profile'!$K$5)),NOT(ISNUMBER(F618)),NOT(ISNUMBER(G618))),"",3958.7613*2*ASIN(MIN(1,SQRT(SIN(RADIANS(F618-'School Profile'!$K$4)/2)^2+COS(RADIANS('School Profile'!$K$4))*COS(RADIANS(F618))*SIN(RADIANS(G618-'School Profile'!$K$5)/2)^2))))</x:f>
        <x:v>6.499679852728995</x:v>
      </x:c>
      <x:c r="N618" s="1" t="str">
        <x:f>IF(AND(H618="Yes",ISNUMBER(M618),M618&lt;=1),COUNTIFS($H$511:$H$1010,"Yes",$M$511:$M$1010,"&lt;"&amp;M618)+COUNTIFS($H$511:H618,"Yes",$M$511:M618,M618),"")</x:f>
      </x:c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</x:row>
    <x:row r="619" ht="22" customHeight="1">
      <x:c r="A619" s="1" t="str">
        <x:v>109</x:v>
      </x:c>
      <x:c r="B619" s="1" t="str">
        <x:v>St. Francis Inn</x:v>
      </x:c>
      <x:c r="C619" s="1" t="str">
        <x:v>2441 Kensington Ave</x:v>
      </x:c>
      <x:c r="D619" s="1" t="str">
        <x:v>General Meal Site</x:v>
      </x:c>
      <x:c r="E619" s="1" t="str">
        <x:v>Active</x:v>
      </x:c>
      <x:c r="F619" s="1" t="n">
        <x:v>39.986876180139674</x:v>
      </x:c>
      <x:c r="G619" s="1" t="n">
        <x:v>-75.13057983018874</x:v>
      </x:c>
      <x:c r="H619" s="1" t="str">
        <x:v>No</x:v>
      </x:c>
      <x:c r="I619" s="1" t="str"/>
      <x:c r="J619" s="1" t="str"/>
      <x:c r="K619" s="1" t="str"/>
      <x:c r="L619" s="1" t="str">
        <x:v>https://www.phila.gov/departments/office-of-homeless-services/</x:v>
      </x:c>
      <x:c r="M619" s="1" t="n">
        <x:f>IF(OR(NOT(ISNUMBER('School Profile'!$K$4)),NOT(ISNUMBER('School Profile'!$K$5)),NOT(ISNUMBER(F619)),NOT(ISNUMBER(G619))),"",3958.7613*2*ASIN(MIN(1,SQRT(SIN(RADIANS(F619-'School Profile'!$K$4)/2)^2+COS(RADIANS('School Profile'!$K$4))*COS(RADIANS(F619))*SIN(RADIANS(G619-'School Profile'!$K$5)/2)^2))))</x:f>
        <x:v>6.496717909355491</x:v>
      </x:c>
      <x:c r="N619" s="1" t="str">
        <x:f>IF(AND(H619="Yes",ISNUMBER(M619),M619&lt;=1),COUNTIFS($H$511:$H$1010,"Yes",$M$511:$M$1010,"&lt;"&amp;M619)+COUNTIFS($H$511:H619,"Yes",$M$511:M619,M619),"")</x:f>
      </x:c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</x:row>
    <x:row r="620" ht="22" customHeight="1">
      <x:c r="A620" s="1" t="str">
        <x:v>110</x:v>
      </x:c>
      <x:c r="B620" s="1" t="str">
        <x:v>Women Walking in Victory</x:v>
      </x:c>
      <x:c r="C620" s="1" t="str">
        <x:v>2441 N 29th St</x:v>
      </x:c>
      <x:c r="D620" s="1" t="str">
        <x:v>Food Site</x:v>
      </x:c>
      <x:c r="E620" s="1" t="str">
        <x:v>Active</x:v>
      </x:c>
      <x:c r="F620" s="1" t="n">
        <x:v>39.99338217013527</x:v>
      </x:c>
      <x:c r="G620" s="1" t="n">
        <x:v>-75.17919461957948</x:v>
      </x:c>
      <x:c r="H620" s="1" t="str">
        <x:v>Yes</x:v>
      </x:c>
      <x:c r="I620" s="1" t="str"/>
      <x:c r="J620" s="1" t="str"/>
      <x:c r="K620" s="1" t="str"/>
      <x:c r="L620" s="1" t="str">
        <x:v>https://www.sharefoodprogram.org/</x:v>
      </x:c>
      <x:c r="M620" s="1" t="n">
        <x:f>IF(OR(NOT(ISNUMBER('School Profile'!$K$4)),NOT(ISNUMBER('School Profile'!$K$5)),NOT(ISNUMBER(F620)),NOT(ISNUMBER(G620))),"",3958.7613*2*ASIN(MIN(1,SQRT(SIN(RADIANS(F620-'School Profile'!$K$4)/2)^2+COS(RADIANS('School Profile'!$K$4))*COS(RADIANS(F620))*SIN(RADIANS(G620-'School Profile'!$K$5)/2)^2))))</x:f>
        <x:v>7.850824249689958</x:v>
      </x:c>
      <x:c r="N620" s="1" t="str">
        <x:f>IF(AND(H620="Yes",ISNUMBER(M620),M620&lt;=1),COUNTIFS($H$511:$H$1010,"Yes",$M$511:$M$1010,"&lt;"&amp;M620)+COUNTIFS($H$511:H620,"Yes",$M$511:M620,M620),"")</x:f>
      </x:c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</x:row>
    <x:row r="621" ht="22" customHeight="1">
      <x:c r="A621" s="1" t="str">
        <x:v>111</x:v>
      </x:c>
      <x:c r="B621" s="1" t="str">
        <x:v>Whitman Council, Inc</x:v>
      </x:c>
      <x:c r="C621" s="1" t="str">
        <x:v>2455 S. 3rd Street</x:v>
      </x:c>
      <x:c r="D621" s="1" t="str">
        <x:v>Food Site</x:v>
      </x:c>
      <x:c r="E621" s="1" t="str">
        <x:v>Active</x:v>
      </x:c>
      <x:c r="F621" s="1" t="n">
        <x:v>39.91735611714447</x:v>
      </x:c>
      <x:c r="G621" s="1" t="n">
        <x:v>-75.15244617077882</x:v>
      </x:c>
      <x:c r="H621" s="1" t="str">
        <x:v>Yes</x:v>
      </x:c>
      <x:c r="I621" s="1" t="str"/>
      <x:c r="J621" s="1" t="str"/>
      <x:c r="K621" s="1" t="str"/>
      <x:c r="L621" s="1" t="str">
        <x:v>https://www.sharefoodprogram.org/</x:v>
      </x:c>
      <x:c r="M621" s="1" t="n">
        <x:f>IF(OR(NOT(ISNUMBER('School Profile'!$K$4)),NOT(ISNUMBER('School Profile'!$K$5)),NOT(ISNUMBER(F621)),NOT(ISNUMBER(G621))),"",3958.7613*2*ASIN(MIN(1,SQRT(SIN(RADIANS(F621-'School Profile'!$K$4)/2)^2+COS(RADIANS('School Profile'!$K$4))*COS(RADIANS(F621))*SIN(RADIANS(G621-'School Profile'!$K$5)/2)^2))))</x:f>
        <x:v>11.29715954290744</x:v>
      </x:c>
      <x:c r="N621" s="1" t="str">
        <x:f>IF(AND(H621="Yes",ISNUMBER(M621),M621&lt;=1),COUNTIFS($H$511:$H$1010,"Yes",$M$511:$M$1010,"&lt;"&amp;M621)+COUNTIFS($H$511:H621,"Yes",$M$511:M621,M621),"")</x:f>
      </x:c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</x:row>
    <x:row r="622" ht="22" customHeight="1">
      <x:c r="A622" s="1" t="str">
        <x:v>112</x:v>
      </x:c>
      <x:c r="B622" s="1" t="str">
        <x:v>Philadelphia Housing Authority Wilson Park</x:v>
      </x:c>
      <x:c r="C622" s="1" t="str">
        <x:v>2500 Jackson St.</x:v>
      </x:c>
      <x:c r="D622" s="1" t="str">
        <x:v>Senior Meal Site</x:v>
      </x:c>
      <x:c r="E622" s="1" t="str">
        <x:v>Active</x:v>
      </x:c>
      <x:c r="F622" s="1" t="n">
        <x:v>39.9256829297587</x:v>
      </x:c>
      <x:c r="G622" s="1" t="n">
        <x:v>-75.18957458980542</x:v>
      </x:c>
      <x:c r="H622" s="1" t="str">
        <x:v>No</x:v>
      </x:c>
      <x:c r="I622" s="1" t="str"/>
      <x:c r="J622" s="1" t="str"/>
      <x:c r="K622" s="1" t="str"/>
      <x:c r="L622" s="1" t="str">
        <x:v>https://www.pcacares.org/</x:v>
      </x:c>
      <x:c r="M622" s="1" t="n">
        <x:f>IF(OR(NOT(ISNUMBER('School Profile'!$K$4)),NOT(ISNUMBER('School Profile'!$K$5)),NOT(ISNUMBER(F622)),NOT(ISNUMBER(G622))),"",3958.7613*2*ASIN(MIN(1,SQRT(SIN(RADIANS(F622-'School Profile'!$K$4)/2)^2+COS(RADIANS('School Profile'!$K$4))*COS(RADIANS(F622))*SIN(RADIANS(G622-'School Profile'!$K$5)/2)^2))))</x:f>
        <x:v>11.74395096321227</x:v>
      </x:c>
      <x:c r="N622" s="1" t="str">
        <x:f>IF(AND(H622="Yes",ISNUMBER(M622),M622&lt;=1),COUNTIFS($H$511:$H$1010,"Yes",$M$511:$M$1010,"&lt;"&amp;M622)+COUNTIFS($H$511:H622,"Yes",$M$511:M622,M622),"")</x:f>
      </x:c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</x:row>
    <x:row r="623" ht="22" customHeight="1">
      <x:c r="A623" s="1" t="str">
        <x:v>113</x:v>
      </x:c>
      <x:c r="B623" s="1" t="str">
        <x:v>First Church Worship Center</x:v>
      </x:c>
      <x:c r="C623" s="1" t="str">
        <x:v>2509 N 30th St</x:v>
      </x:c>
      <x:c r="D623" s="1" t="str">
        <x:v>Food Site</x:v>
      </x:c>
      <x:c r="E623" s="1" t="str">
        <x:v>Active</x:v>
      </x:c>
      <x:c r="F623" s="1" t="n">
        <x:v>39.99432995828404</x:v>
      </x:c>
      <x:c r="G623" s="1" t="n">
        <x:v>-75.18075407425145</x:v>
      </x:c>
      <x:c r="H623" s="1" t="str">
        <x:v>Yes</x:v>
      </x:c>
      <x:c r="I623" s="1" t="str"/>
      <x:c r="J623" s="1" t="str"/>
      <x:c r="K623" s="1" t="str"/>
      <x:c r="L623" s="1" t="str">
        <x:v>https://www.philabundance.org/</x:v>
      </x:c>
      <x:c r="M623" s="1" t="n">
        <x:f>IF(OR(NOT(ISNUMBER('School Profile'!$K$4)),NOT(ISNUMBER('School Profile'!$K$5)),NOT(ISNUMBER(F623)),NOT(ISNUMBER(G623))),"",3958.7613*2*ASIN(MIN(1,SQRT(SIN(RADIANS(F623-'School Profile'!$K$4)/2)^2+COS(RADIANS('School Profile'!$K$4))*COS(RADIANS(F623))*SIN(RADIANS(G623-'School Profile'!$K$5)/2)^2))))</x:f>
        <x:v>7.872074996726142</x:v>
      </x:c>
      <x:c r="N623" s="1" t="str">
        <x:f>IF(AND(H623="Yes",ISNUMBER(M623),M623&lt;=1),COUNTIFS($H$511:$H$1010,"Yes",$M$511:$M$1010,"&lt;"&amp;M623)+COUNTIFS($H$511:H623,"Yes",$M$511:M623,M623),"")</x:f>
      </x:c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</x:row>
    <x:row r="624" ht="22" customHeight="1">
      <x:c r="A624" s="1" t="str">
        <x:v>114</x:v>
      </x:c>
      <x:c r="B624" s="1" t="str">
        <x:v>Ian-Yae's In Touch</x:v>
      </x:c>
      <x:c r="C624" s="1" t="str">
        <x:v>2524 N. 27th St.</x:v>
      </x:c>
      <x:c r="D624" s="1" t="str">
        <x:v>General Meal Site</x:v>
      </x:c>
      <x:c r="E624" s="1" t="str">
        <x:v>Active</x:v>
      </x:c>
      <x:c r="F624" s="1" t="n">
        <x:v>39.99452297586714</x:v>
      </x:c>
      <x:c r="G624" s="1" t="n">
        <x:v>-75.17607880403337</x:v>
      </x:c>
      <x:c r="H624" s="1" t="str">
        <x:v>No</x:v>
      </x:c>
      <x:c r="I624" s="1" t="str"/>
      <x:c r="J624" s="1" t="str"/>
      <x:c r="K624" s="1" t="str"/>
      <x:c r="L624" s="1" t="str">
        <x:v>https://www.phila.gov/departments/office-of-homeless-services/</x:v>
      </x:c>
      <x:c r="M624" s="1" t="n">
        <x:f>IF(OR(NOT(ISNUMBER('School Profile'!$K$4)),NOT(ISNUMBER('School Profile'!$K$5)),NOT(ISNUMBER(F624)),NOT(ISNUMBER(G624))),"",3958.7613*2*ASIN(MIN(1,SQRT(SIN(RADIANS(F624-'School Profile'!$K$4)/2)^2+COS(RADIANS('School Profile'!$K$4))*COS(RADIANS(F624))*SIN(RADIANS(G624-'School Profile'!$K$5)/2)^2))))</x:f>
        <x:v>7.6742086004071215</x:v>
      </x:c>
      <x:c r="N624" s="1" t="str">
        <x:f>IF(AND(H624="Yes",ISNUMBER(M624),M624&lt;=1),COUNTIFS($H$511:$H$1010,"Yes",$M$511:$M$1010,"&lt;"&amp;M624)+COUNTIFS($H$511:H624,"Yes",$M$511:M624,M624),"")</x:f>
      </x:c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</x:row>
    <x:row r="625" ht="22" customHeight="1">
      <x:c r="A625" s="1" t="str">
        <x:v>115</x:v>
      </x:c>
      <x:c r="B625" s="1" t="str">
        <x:v>Church of Pentecost</x:v>
      </x:c>
      <x:c r="C625" s="1" t="str">
        <x:v>2530 Wharton St</x:v>
      </x:c>
      <x:c r="D625" s="1" t="str">
        <x:v>Food Site</x:v>
      </x:c>
      <x:c r="E625" s="1" t="str">
        <x:v>Active</x:v>
      </x:c>
      <x:c r="F625" s="1" t="n">
        <x:v>39.93649477975279</x:v>
      </x:c>
      <x:c r="G625" s="1" t="n">
        <x:v>-75.1869238796926</x:v>
      </x:c>
      <x:c r="H625" s="1" t="str">
        <x:v>Yes</x:v>
      </x:c>
      <x:c r="I625" s="1" t="str"/>
      <x:c r="J625" s="1" t="str"/>
      <x:c r="K625" s="1" t="str"/>
      <x:c r="L625" s="1" t="str">
        <x:v>https://www.sharefoodprogram.org/</x:v>
      </x:c>
      <x:c r="M625" s="1" t="n">
        <x:f>IF(OR(NOT(ISNUMBER('School Profile'!$K$4)),NOT(ISNUMBER('School Profile'!$K$5)),NOT(ISNUMBER(F625)),NOT(ISNUMBER(G625))),"",3958.7613*2*ASIN(MIN(1,SQRT(SIN(RADIANS(F625-'School Profile'!$K$4)/2)^2+COS(RADIANS('School Profile'!$K$4))*COS(RADIANS(F625))*SIN(RADIANS(G625-'School Profile'!$K$5)/2)^2))))</x:f>
        <x:v>11.0491687604282</x:v>
      </x:c>
      <x:c r="N625" s="1" t="str">
        <x:f>IF(AND(H625="Yes",ISNUMBER(M625),M625&lt;=1),COUNTIFS($H$511:$H$1010,"Yes",$M$511:$M$1010,"&lt;"&amp;M625)+COUNTIFS($H$511:H625,"Yes",$M$511:M625,M625),"")</x:f>
      </x:c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</x:row>
    <x:row r="626" ht="22" customHeight="1">
      <x:c r="A626" s="1" t="str">
        <x:v>116</x:v>
      </x:c>
      <x:c r="B626" s="1" t="str">
        <x:v>Geiger Memorial Brethren Church</x:v>
      </x:c>
      <x:c r="C626" s="1" t="str">
        <x:v>2543 W. Lehigh Ave.</x:v>
      </x:c>
      <x:c r="D626" s="1" t="str">
        <x:v>Food Site</x:v>
      </x:c>
      <x:c r="E626" s="1" t="str">
        <x:v>Active</x:v>
      </x:c>
      <x:c r="F626" s="1" t="n">
        <x:v>39.99645050383902</x:v>
      </x:c>
      <x:c r="G626" s="1" t="n">
        <x:v>-75.17356228964758</x:v>
      </x:c>
      <x:c r="H626" s="1" t="str">
        <x:v>Yes</x:v>
      </x:c>
      <x:c r="I626" s="1" t="str"/>
      <x:c r="J626" s="1" t="str"/>
      <x:c r="K626" s="1" t="str"/>
      <x:c r="L626" s="1" t="str">
        <x:v>https://www.sharefoodprogram.org/</x:v>
      </x:c>
      <x:c r="M626" s="1" t="n">
        <x:f>IF(OR(NOT(ISNUMBER('School Profile'!$K$4)),NOT(ISNUMBER('School Profile'!$K$5)),NOT(ISNUMBER(F626)),NOT(ISNUMBER(G626))),"",3958.7613*2*ASIN(MIN(1,SQRT(SIN(RADIANS(F626-'School Profile'!$K$4)/2)^2+COS(RADIANS('School Profile'!$K$4))*COS(RADIANS(F626))*SIN(RADIANS(G626-'School Profile'!$K$5)/2)^2))))</x:f>
        <x:v>7.486398961345672</x:v>
      </x:c>
      <x:c r="N626" s="1" t="str">
        <x:f>IF(AND(H626="Yes",ISNUMBER(M626),M626&lt;=1),COUNTIFS($H$511:$H$1010,"Yes",$M$511:$M$1010,"&lt;"&amp;M626)+COUNTIFS($H$511:H626,"Yes",$M$511:M626,M626),"")</x:f>
      </x:c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</x:row>
    <x:row r="627" ht="22" customHeight="1">
      <x:c r="A627" s="1" t="str">
        <x:v>117</x:v>
      </x:c>
      <x:c r="B627" s="1" t="str">
        <x:v>South Philly Community Fridge at Growing Together Garden Party</x:v>
      </x:c>
      <x:c r="C627" s="1" t="str">
        <x:v>2550 Reed St</x:v>
      </x:c>
      <x:c r="D627" s="1" t="str">
        <x:v>Food Site</x:v>
      </x:c>
      <x:c r="E627" s="1" t="str">
        <x:v>Active</x:v>
      </x:c>
      <x:c r="F627" s="1" t="n">
        <x:v>39.93531027969976</x:v>
      </x:c>
      <x:c r="G627" s="1" t="n">
        <x:v>-75.18680203580072</x:v>
      </x:c>
      <x:c r="H627" s="1" t="str">
        <x:v>Yes</x:v>
      </x:c>
      <x:c r="I627" s="1" t="str"/>
      <x:c r="J627" s="1" t="str"/>
      <x:c r="K627" s="1" t="str"/>
      <x:c r="L627" s="1" t="str">
        <x:v>https://southphillyfridge.com/</x:v>
      </x:c>
      <x:c r="M627" s="1" t="n">
        <x:f>IF(OR(NOT(ISNUMBER('School Profile'!$K$4)),NOT(ISNUMBER('School Profile'!$K$5)),NOT(ISNUMBER(F627)),NOT(ISNUMBER(G627))),"",3958.7613*2*ASIN(MIN(1,SQRT(SIN(RADIANS(F627-'School Profile'!$K$4)/2)^2+COS(RADIANS('School Profile'!$K$4))*COS(RADIANS(F627))*SIN(RADIANS(G627-'School Profile'!$K$5)/2)^2))))</x:f>
        <x:v>11.112297998190893</x:v>
      </x:c>
      <x:c r="N627" s="1" t="str">
        <x:f>IF(AND(H627="Yes",ISNUMBER(M627),M627&lt;=1),COUNTIFS($H$511:$H$1010,"Yes",$M$511:$M$1010,"&lt;"&amp;M627)+COUNTIFS($H$511:H627,"Yes",$M$511:M627,M627),"")</x:f>
      </x:c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</x:row>
    <x:row r="628" ht="22" customHeight="1">
      <x:c r="A628" s="1" t="str">
        <x:v>118</x:v>
      </x:c>
      <x:c r="B628" s="1" t="str">
        <x:v>The Church of the Holy Apostles and the Mediator</x:v>
      </x:c>
      <x:c r="C628" s="1" t="str">
        <x:v>260 S 51st St.</x:v>
      </x:c>
      <x:c r="D628" s="1" t="str">
        <x:v>Food Site</x:v>
      </x:c>
      <x:c r="E628" s="1" t="str">
        <x:v>Active</x:v>
      </x:c>
      <x:c r="F628" s="1" t="n">
        <x:v>39.9548104631881</x:v>
      </x:c>
      <x:c r="G628" s="1" t="n">
        <x:v>-75.22401624932682</x:v>
      </x:c>
      <x:c r="H628" s="1" t="str">
        <x:v>Yes</x:v>
      </x:c>
      <x:c r="I628" s="1" t="str"/>
      <x:c r="J628" s="1" t="str"/>
      <x:c r="K628" s="1" t="str"/>
      <x:c r="L628" s="1" t="str">
        <x:v>https://www.philabundance.org/</x:v>
      </x:c>
      <x:c r="M628" s="1" t="n">
        <x:f>IF(OR(NOT(ISNUMBER('School Profile'!$K$4)),NOT(ISNUMBER('School Profile'!$K$5)),NOT(ISNUMBER(F628)),NOT(ISNUMBER(G628))),"",3958.7613*2*ASIN(MIN(1,SQRT(SIN(RADIANS(F628-'School Profile'!$K$4)/2)^2+COS(RADIANS('School Profile'!$K$4))*COS(RADIANS(F628))*SIN(RADIANS(G628-'School Profile'!$K$5)/2)^2))))</x:f>
        <x:v>11.39559608883911</x:v>
      </x:c>
      <x:c r="N628" s="1" t="str">
        <x:f>IF(AND(H628="Yes",ISNUMBER(M628),M628&lt;=1),COUNTIFS($H$511:$H$1010,"Yes",$M$511:$M$1010,"&lt;"&amp;M628)+COUNTIFS($H$511:H628,"Yes",$M$511:M628,M628),"")</x:f>
      </x:c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</x:row>
    <x:row r="629" ht="22" customHeight="1">
      <x:c r="A629" s="1" t="str">
        <x:v>119</x:v>
      </x:c>
      <x:c r="B629" s="1" t="str">
        <x:v>Community Center at Visitation</x:v>
      </x:c>
      <x:c r="C629" s="1" t="str">
        <x:v>2646 Kensington Ave</x:v>
      </x:c>
      <x:c r="D629" s="1" t="str">
        <x:v>Food Site</x:v>
      </x:c>
      <x:c r="E629" s="1" t="str">
        <x:v>Active</x:v>
      </x:c>
      <x:c r="F629" s="1" t="n">
        <x:v>39.989749589705</x:v>
      </x:c>
      <x:c r="G629" s="1" t="n">
        <x:v>-75.12621978958362</x:v>
      </x:c>
      <x:c r="H629" s="1" t="str">
        <x:v>Yes</x:v>
      </x:c>
      <x:c r="I629" s="1" t="str"/>
      <x:c r="J629" s="1" t="str"/>
      <x:c r="K629" s="1" t="str"/>
      <x:c r="L629" s="1" t="str">
        <x:v>https://nutritionaldevelopmentservices.org/</x:v>
      </x:c>
      <x:c r="M629" s="1" t="n">
        <x:f>IF(OR(NOT(ISNUMBER('School Profile'!$K$4)),NOT(ISNUMBER('School Profile'!$K$5)),NOT(ISNUMBER(F629)),NOT(ISNUMBER(G629))),"",3958.7613*2*ASIN(MIN(1,SQRT(SIN(RADIANS(F629-'School Profile'!$K$4)/2)^2+COS(RADIANS('School Profile'!$K$4))*COS(RADIANS(F629))*SIN(RADIANS(G629-'School Profile'!$K$5)/2)^2))))</x:f>
        <x:v>6.207167694984588</x:v>
      </x:c>
      <x:c r="N629" s="1" t="str">
        <x:f>IF(AND(H629="Yes",ISNUMBER(M629),M629&lt;=1),COUNTIFS($H$511:$H$1010,"Yes",$M$511:$M$1010,"&lt;"&amp;M629)+COUNTIFS($H$511:H629,"Yes",$M$511:M629,M629),"")</x:f>
      </x:c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</x:row>
    <x:row r="630" ht="22" customHeight="1">
      <x:c r="A630" s="1" t="str">
        <x:v>120</x:v>
      </x:c>
      <x:c r="B630" s="1" t="str">
        <x:v>Young Chances Foundation</x:v>
      </x:c>
      <x:c r="C630" s="1" t="str">
        <x:v>2703 Tasker St</x:v>
      </x:c>
      <x:c r="D630" s="1" t="str">
        <x:v>Food Site</x:v>
      </x:c>
      <x:c r="E630" s="1" t="str">
        <x:v>Active</x:v>
      </x:c>
      <x:c r="F630" s="1" t="n">
        <x:v>39.933396000051886</x:v>
      </x:c>
      <x:c r="G630" s="1" t="n">
        <x:v>-75.18983849956453</x:v>
      </x:c>
      <x:c r="H630" s="1" t="str">
        <x:v>Yes</x:v>
      </x:c>
      <x:c r="I630" s="1" t="str"/>
      <x:c r="J630" s="1" t="str"/>
      <x:c r="K630" s="1" t="str"/>
      <x:c r="L630" s="1" t="str">
        <x:v>https://www.sharefoodprogram.org/</x:v>
      </x:c>
      <x:c r="M630" s="1" t="n">
        <x:f>IF(OR(NOT(ISNUMBER('School Profile'!$K$4)),NOT(ISNUMBER('School Profile'!$K$5)),NOT(ISNUMBER(F630)),NOT(ISNUMBER(G630))),"",3958.7613*2*ASIN(MIN(1,SQRT(SIN(RADIANS(F630-'School Profile'!$K$4)/2)^2+COS(RADIANS('School Profile'!$K$4))*COS(RADIANS(F630))*SIN(RADIANS(G630-'School Profile'!$K$5)/2)^2))))</x:f>
        <x:v>11.313139827236084</x:v>
      </x:c>
      <x:c r="N630" s="1" t="str">
        <x:f>IF(AND(H630="Yes",ISNUMBER(M630),M630&lt;=1),COUNTIFS($H$511:$H$1010,"Yes",$M$511:$M$1010,"&lt;"&amp;M630)+COUNTIFS($H$511:H630,"Yes",$M$511:M630,M630),"")</x:f>
      </x:c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</x:row>
    <x:row r="631" ht="22" customHeight="1">
      <x:c r="A631" s="1" t="str">
        <x:v>121</x:v>
      </x:c>
      <x:c r="B631" s="1" t="str">
        <x:v>Bridesburg United Methodist Church</x:v>
      </x:c>
      <x:c r="C631" s="1" t="str">
        <x:v>2717-2719 Kirkbride St.</x:v>
      </x:c>
      <x:c r="D631" s="1" t="str">
        <x:v>Food Site</x:v>
      </x:c>
      <x:c r="E631" s="1" t="str">
        <x:v>Active</x:v>
      </x:c>
      <x:c r="F631" s="1" t="n">
        <x:v>40.00249651987471</x:v>
      </x:c>
      <x:c r="G631" s="1" t="n">
        <x:v>-75.06883455583454</x:v>
      </x:c>
      <x:c r="H631" s="1" t="str">
        <x:v>Yes</x:v>
      </x:c>
      <x:c r="I631" s="1" t="str"/>
      <x:c r="J631" s="1" t="str"/>
      <x:c r="K631" s="1" t="str">
        <x:v>19134, 19137</x:v>
      </x:c>
      <x:c r="L631" s="1" t="str">
        <x:v>https://www.philabundance.org/</x:v>
      </x:c>
      <x:c r="M631" s="1" t="n">
        <x:f>IF(OR(NOT(ISNUMBER('School Profile'!$K$4)),NOT(ISNUMBER('School Profile'!$K$5)),NOT(ISNUMBER(F631)),NOT(ISNUMBER(G631))),"",3958.7613*2*ASIN(MIN(1,SQRT(SIN(RADIANS(F631-'School Profile'!$K$4)/2)^2+COS(RADIANS('School Profile'!$K$4))*COS(RADIANS(F631))*SIN(RADIANS(G631-'School Profile'!$K$5)/2)^2))))</x:f>
        <x:v>4.4484220095170395</x:v>
      </x:c>
      <x:c r="N631" s="1" t="str">
        <x:f>IF(AND(H631="Yes",ISNUMBER(M631),M631&lt;=1),COUNTIFS($H$511:$H$1010,"Yes",$M$511:$M$1010,"&lt;"&amp;M631)+COUNTIFS($H$511:H631,"Yes",$M$511:M631,M631),"")</x:f>
      </x:c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</x:row>
    <x:row r="632" ht="22" customHeight="1">
      <x:c r="A632" s="1" t="str">
        <x:v>122</x:v>
      </x:c>
      <x:c r="B632" s="1" t="str">
        <x:v>Operation Save Our City</x:v>
      </x:c>
      <x:c r="C632" s="1" t="str">
        <x:v>2774 Kensington Ave</x:v>
      </x:c>
      <x:c r="D632" s="1" t="str">
        <x:v>General Meal Site</x:v>
      </x:c>
      <x:c r="E632" s="1" t="str">
        <x:v>Active</x:v>
      </x:c>
      <x:c r="F632" s="1" t="n">
        <x:v>39.99117588085243</x:v>
      </x:c>
      <x:c r="G632" s="1" t="n">
        <x:v>-75.12312160167832</x:v>
      </x:c>
      <x:c r="H632" s="1" t="str">
        <x:v>No</x:v>
      </x:c>
      <x:c r="I632" s="1" t="str"/>
      <x:c r="J632" s="1" t="str"/>
      <x:c r="K632" s="1" t="str"/>
      <x:c r="L632" s="1" t="str">
        <x:v>https://www.phila.gov/departments/office-of-homeless-services/</x:v>
      </x:c>
      <x:c r="M632" s="1" t="n">
        <x:f>IF(OR(NOT(ISNUMBER('School Profile'!$K$4)),NOT(ISNUMBER('School Profile'!$K$5)),NOT(ISNUMBER(F632)),NOT(ISNUMBER(G632))),"",3958.7613*2*ASIN(MIN(1,SQRT(SIN(RADIANS(F632-'School Profile'!$K$4)/2)^2+COS(RADIANS('School Profile'!$K$4))*COS(RADIANS(F632))*SIN(RADIANS(G632-'School Profile'!$K$5)/2)^2))))</x:f>
        <x:v>6.039098940404741</x:v>
      </x:c>
      <x:c r="N632" s="1" t="str">
        <x:f>IF(AND(H632="Yes",ISNUMBER(M632),M632&lt;=1),COUNTIFS($H$511:$H$1010,"Yes",$M$511:$M$1010,"&lt;"&amp;M632)+COUNTIFS($H$511:H632,"Yes",$M$511:M632,M632),"")</x:f>
      </x:c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</x:row>
    <x:row r="633" ht="22" customHeight="1">
      <x:c r="A633" s="1" t="str">
        <x:v>123</x:v>
      </x:c>
      <x:c r="B633" s="1" t="str">
        <x:v>Gideon School</x:v>
      </x:c>
      <x:c r="C633" s="1" t="str">
        <x:v>2817 W Glenwood Ave.</x:v>
      </x:c>
      <x:c r="D633" s="1" t="str">
        <x:v>Food Site</x:v>
      </x:c>
      <x:c r="E633" s="1" t="str">
        <x:v>Active</x:v>
      </x:c>
      <x:c r="F633" s="1" t="n">
        <x:v>39.98433998991375</x:v>
      </x:c>
      <x:c r="G633" s="1" t="n">
        <x:v>-75.1805905197843</x:v>
      </x:c>
      <x:c r="H633" s="1" t="str">
        <x:v>Yes</x:v>
      </x:c>
      <x:c r="I633" s="1" t="str"/>
      <x:c r="J633" s="1" t="str"/>
      <x:c r="K633" s="1" t="str"/>
      <x:c r="L633" s="1" t="str">
        <x:v>https://www.philabundance.org/</x:v>
      </x:c>
      <x:c r="M633" s="1" t="n">
        <x:f>IF(OR(NOT(ISNUMBER('School Profile'!$K$4)),NOT(ISNUMBER('School Profile'!$K$5)),NOT(ISNUMBER(F633)),NOT(ISNUMBER(G633))),"",3958.7613*2*ASIN(MIN(1,SQRT(SIN(RADIANS(F633-'School Profile'!$K$4)/2)^2+COS(RADIANS('School Profile'!$K$4))*COS(RADIANS(F633))*SIN(RADIANS(G633-'School Profile'!$K$5)/2)^2))))</x:f>
        <x:v>8.3224248169078</x:v>
      </x:c>
      <x:c r="N633" s="1" t="str">
        <x:f>IF(AND(H633="Yes",ISNUMBER(M633),M633&lt;=1),COUNTIFS($H$511:$H$1010,"Yes",$M$511:$M$1010,"&lt;"&amp;M633)+COUNTIFS($H$511:H633,"Yes",$M$511:M633,M633),"")</x:f>
      </x:c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</x:row>
    <x:row r="634" ht="22" customHeight="1">
      <x:c r="A634" s="1" t="str">
        <x:v>124</x:v>
      </x:c>
      <x:c r="B634" s="1" t="str">
        <x:v>Allegheny West Foundation</x:v>
      </x:c>
      <x:c r="C634" s="1" t="str">
        <x:v>2850 N 22nd Street</x:v>
      </x:c>
      <x:c r="D634" s="1" t="str">
        <x:v>Food Site</x:v>
      </x:c>
      <x:c r="E634" s="1" t="str">
        <x:v>Active</x:v>
      </x:c>
      <x:c r="F634" s="1" t="n">
        <x:v>39.99798008223634</x:v>
      </x:c>
      <x:c r="G634" s="1" t="n">
        <x:v>-75.1671387415797</x:v>
      </x:c>
      <x:c r="H634" s="1" t="str">
        <x:v>Yes</x:v>
      </x:c>
      <x:c r="I634" s="1" t="str"/>
      <x:c r="J634" s="1" t="str"/>
      <x:c r="K634" s="1" t="str"/>
      <x:c r="L634" s="1" t="str">
        <x:v>https://www.sharefoodprogram.org/</x:v>
      </x:c>
      <x:c r="M634" s="1" t="n">
        <x:f>IF(OR(NOT(ISNUMBER('School Profile'!$K$4)),NOT(ISNUMBER('School Profile'!$K$5)),NOT(ISNUMBER(F634)),NOT(ISNUMBER(G634))),"",3958.7613*2*ASIN(MIN(1,SQRT(SIN(RADIANS(F634-'School Profile'!$K$4)/2)^2+COS(RADIANS('School Profile'!$K$4))*COS(RADIANS(F634))*SIN(RADIANS(G634-'School Profile'!$K$5)/2)^2))))</x:f>
        <x:v>7.160723888083984</x:v>
      </x:c>
      <x:c r="N634" s="1" t="str">
        <x:f>IF(AND(H634="Yes",ISNUMBER(M634),M634&lt;=1),COUNTIFS($H$511:$H$1010,"Yes",$M$511:$M$1010,"&lt;"&amp;M634)+COUNTIFS($H$511:H634,"Yes",$M$511:M634,M634),"")</x:f>
      </x:c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</x:row>
    <x:row r="635" ht="22" customHeight="1">
      <x:c r="A635" s="1" t="str">
        <x:v>125</x:v>
      </x:c>
      <x:c r="B635" s="1" t="str">
        <x:v>Saint John Memorial Baptist Church</x:v>
      </x:c>
      <x:c r="C635" s="1" t="str">
        <x:v>2853 Germantown Ave</x:v>
      </x:c>
      <x:c r="D635" s="1" t="str">
        <x:v>Food Site</x:v>
      </x:c>
      <x:c r="E635" s="1" t="str">
        <x:v>Active</x:v>
      </x:c>
      <x:c r="F635" s="1" t="n">
        <x:v>39.99590174000137</x:v>
      </x:c>
      <x:c r="G635" s="1" t="n">
        <x:v>-75.14683637957738</x:v>
      </x:c>
      <x:c r="H635" s="1" t="str">
        <x:v>Yes</x:v>
      </x:c>
      <x:c r="I635" s="1" t="str"/>
      <x:c r="J635" s="1" t="str"/>
      <x:c r="K635" s="1" t="str"/>
      <x:c r="L635" s="1" t="str">
        <x:v>https://www.philabundance.org/</x:v>
      </x:c>
      <x:c r="M635" s="1" t="n">
        <x:f>IF(OR(NOT(ISNUMBER('School Profile'!$K$4)),NOT(ISNUMBER('School Profile'!$K$5)),NOT(ISNUMBER(F635)),NOT(ISNUMBER(G635))),"",3958.7613*2*ASIN(MIN(1,SQRT(SIN(RADIANS(F635-'School Profile'!$K$4)/2)^2+COS(RADIANS('School Profile'!$K$4))*COS(RADIANS(F635))*SIN(RADIANS(G635-'School Profile'!$K$5)/2)^2))))</x:f>
        <x:v>6.505504497058334</x:v>
      </x:c>
      <x:c r="N635" s="1" t="str">
        <x:f>IF(AND(H635="Yes",ISNUMBER(M635),M635&lt;=1),COUNTIFS($H$511:$H$1010,"Yes",$M$511:$M$1010,"&lt;"&amp;M635)+COUNTIFS($H$511:H635,"Yes",$M$511:M635,M635),"")</x:f>
      </x:c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</x:row>
    <x:row r="636" ht="22" customHeight="1">
      <x:c r="A636" s="1" t="str">
        <x:v>126</x:v>
      </x:c>
      <x:c r="B636" s="1" t="str">
        <x:v>Grace Community Christian Center</x:v>
      </x:c>
      <x:c r="C636" s="1" t="str">
        <x:v>29 W Johnson St</x:v>
      </x:c>
      <x:c r="D636" s="1" t="str">
        <x:v>Food Site</x:v>
      </x:c>
      <x:c r="E636" s="1" t="str">
        <x:v>Active</x:v>
      </x:c>
      <x:c r="F636" s="1" t="n">
        <x:v>40.045240354267335</x:v>
      </x:c>
      <x:c r="G636" s="1" t="n">
        <x:v>-75.18297933595751</x:v>
      </x:c>
      <x:c r="H636" s="1" t="str">
        <x:v>Yes</x:v>
      </x:c>
      <x:c r="I636" s="1" t="str"/>
      <x:c r="J636" s="1" t="str"/>
      <x:c r="K636" s="1" t="str"/>
      <x:c r="L636" s="1" t="str">
        <x:v>https://www.philabundance.org/</x:v>
      </x:c>
      <x:c r="M636" s="1" t="n">
        <x:f>IF(OR(NOT(ISNUMBER('School Profile'!$K$4)),NOT(ISNUMBER('School Profile'!$K$5)),NOT(ISNUMBER(F636)),NOT(ISNUMBER(G636))),"",3958.7613*2*ASIN(MIN(1,SQRT(SIN(RADIANS(F636-'School Profile'!$K$4)/2)^2+COS(RADIANS('School Profile'!$K$4))*COS(RADIANS(F636))*SIN(RADIANS(G636-'School Profile'!$K$5)/2)^2))))</x:f>
        <x:v>6.364816984323916</x:v>
      </x:c>
      <x:c r="N636" s="1" t="str">
        <x:f>IF(AND(H636="Yes",ISNUMBER(M636),M636&lt;=1),COUNTIFS($H$511:$H$1010,"Yes",$M$511:$M$1010,"&lt;"&amp;M636)+COUNTIFS($H$511:H636,"Yes",$M$511:M636,M636),"")</x:f>
      </x:c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</x:row>
    <x:row r="637" ht="22" customHeight="1">
      <x:c r="A637" s="1" t="str">
        <x:v>127</x:v>
      </x:c>
      <x:c r="B637" s="1" t="str">
        <x:v>Share Community Fridge</x:v>
      </x:c>
      <x:c r="C637" s="1" t="str">
        <x:v>2901 W Hunting Park Ave</x:v>
      </x:c>
      <x:c r="D637" s="1" t="str">
        <x:v>Food Site</x:v>
      </x:c>
      <x:c r="E637" s="1" t="str">
        <x:v>Active</x:v>
      </x:c>
      <x:c r="F637" s="1" t="n">
        <x:v>40.00567051425662</x:v>
      </x:c>
      <x:c r="G637" s="1" t="n">
        <x:v>-75.1775359891035</x:v>
      </x:c>
      <x:c r="H637" s="1" t="str">
        <x:v>Yes</x:v>
      </x:c>
      <x:c r="I637" s="1" t="str"/>
      <x:c r="J637" s="1" t="str"/>
      <x:c r="K637" s="1" t="str"/>
      <x:c r="L637" s="1" t="str"/>
      <x:c r="M637" s="1" t="n">
        <x:f>IF(OR(NOT(ISNUMBER('School Profile'!$K$4)),NOT(ISNUMBER('School Profile'!$K$5)),NOT(ISNUMBER(F637)),NOT(ISNUMBER(G637))),"",3958.7613*2*ASIN(MIN(1,SQRT(SIN(RADIANS(F637-'School Profile'!$K$4)/2)^2+COS(RADIANS('School Profile'!$K$4))*COS(RADIANS(F637))*SIN(RADIANS(G637-'School Profile'!$K$5)/2)^2))))</x:f>
        <x:v>7.258634140618975</x:v>
      </x:c>
      <x:c r="N637" s="1" t="str">
        <x:f>IF(AND(H637="Yes",ISNUMBER(M637),M637&lt;=1),COUNTIFS($H$511:$H$1010,"Yes",$M$511:$M$1010,"&lt;"&amp;M637)+COUNTIFS($H$511:H637,"Yes",$M$511:M637,M637),"")</x:f>
      </x:c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</x:row>
    <x:row r="638" ht="22" customHeight="1">
      <x:c r="A638" s="1" t="str">
        <x:v>128</x:v>
      </x:c>
      <x:c r="B638" s="1" t="str">
        <x:v>Crossroads Community Center</x:v>
      </x:c>
      <x:c r="C638" s="1" t="str">
        <x:v>2918 N 6th St.</x:v>
      </x:c>
      <x:c r="D638" s="1" t="str">
        <x:v>Food Site</x:v>
      </x:c>
      <x:c r="E638" s="1" t="str">
        <x:v>Active</x:v>
      </x:c>
      <x:c r="F638" s="1" t="n">
        <x:v>39.995769250081345</x:v>
      </x:c>
      <x:c r="G638" s="1" t="n">
        <x:v>-75.14150610995638</x:v>
      </x:c>
      <x:c r="H638" s="1" t="str">
        <x:v>Yes</x:v>
      </x:c>
      <x:c r="I638" s="1" t="str"/>
      <x:c r="J638" s="1" t="str"/>
      <x:c r="K638" s="1" t="str"/>
      <x:c r="L638" s="1" t="str">
        <x:v>https://www.philabundance.org/</x:v>
      </x:c>
      <x:c r="M638" s="1" t="n">
        <x:f>IF(OR(NOT(ISNUMBER('School Profile'!$K$4)),NOT(ISNUMBER('School Profile'!$K$5)),NOT(ISNUMBER(F638)),NOT(ISNUMBER(G638))),"",3958.7613*2*ASIN(MIN(1,SQRT(SIN(RADIANS(F638-'School Profile'!$K$4)/2)^2+COS(RADIANS('School Profile'!$K$4))*COS(RADIANS(F638))*SIN(RADIANS(G638-'School Profile'!$K$5)/2)^2))))</x:f>
        <x:v>6.3307601720716375</x:v>
      </x:c>
      <x:c r="N638" s="1" t="str">
        <x:f>IF(AND(H638="Yes",ISNUMBER(M638),M638&lt;=1),COUNTIFS($H$511:$H$1010,"Yes",$M$511:$M$1010,"&lt;"&amp;M638)+COUNTIFS($H$511:H638,"Yes",$M$511:M638,M638),"")</x:f>
      </x:c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</x:row>
    <x:row r="639" ht="22" customHeight="1">
      <x:c r="A639" s="1" t="str">
        <x:v>129</x:v>
      </x:c>
      <x:c r="B639" s="1" t="str">
        <x:v>Men Who Care of Germantown Inc</x:v>
      </x:c>
      <x:c r="C639" s="1" t="str">
        <x:v>180 E Tulpehocken St</x:v>
      </x:c>
      <x:c r="D639" s="1" t="str">
        <x:v>Food Site</x:v>
      </x:c>
      <x:c r="E639" s="1" t="str">
        <x:v>Active</x:v>
      </x:c>
      <x:c r="F639" s="1" t="n">
        <x:v>40.045059919815074</x:v>
      </x:c>
      <x:c r="G639" s="1" t="n">
        <x:v>-75.17660296022187</x:v>
      </x:c>
      <x:c r="H639" s="1" t="str">
        <x:v>Yes</x:v>
      </x:c>
      <x:c r="I639" s="1" t="str"/>
      <x:c r="J639" s="1" t="str"/>
      <x:c r="K639" s="1" t="str"/>
      <x:c r="L639" s="1" t="str">
        <x:v>https://www.menwhocareofgermantown.org/general-7</x:v>
      </x:c>
      <x:c r="M639" s="1" t="n">
        <x:f>IF(OR(NOT(ISNUMBER('School Profile'!$K$4)),NOT(ISNUMBER('School Profile'!$K$5)),NOT(ISNUMBER(F639)),NOT(ISNUMBER(G639))),"",3958.7613*2*ASIN(MIN(1,SQRT(SIN(RADIANS(F639-'School Profile'!$K$4)/2)^2+COS(RADIANS('School Profile'!$K$4))*COS(RADIANS(F639))*SIN(RADIANS(G639-'School Profile'!$K$5)/2)^2))))</x:f>
        <x:v>6.040623629895502</x:v>
      </x:c>
      <x:c r="N639" s="1" t="str">
        <x:f>IF(AND(H639="Yes",ISNUMBER(M639),M639&lt;=1),COUNTIFS($H$511:$H$1010,"Yes",$M$511:$M$1010,"&lt;"&amp;M639)+COUNTIFS($H$511:H639,"Yes",$M$511:M639,M639),"")</x:f>
      </x:c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</x:row>
    <x:row r="640" ht="22" customHeight="1">
      <x:c r="A640" s="1" t="str">
        <x:v>130</x:v>
      </x:c>
      <x:c r="B640" s="1" t="str">
        <x:v>Brewerytown Sharswood Coalition</x:v>
      </x:c>
      <x:c r="C640" s="1" t="str">
        <x:v>3000 W Master St</x:v>
      </x:c>
      <x:c r="D640" s="1" t="str">
        <x:v>Food Site</x:v>
      </x:c>
      <x:c r="E640" s="1" t="str">
        <x:v>Active</x:v>
      </x:c>
      <x:c r="F640" s="1" t="n">
        <x:v>39.977367430228526</x:v>
      </x:c>
      <x:c r="G640" s="1" t="n">
        <x:v>-75.18537683973784</x:v>
      </x:c>
      <x:c r="H640" s="1" t="str">
        <x:v>Yes</x:v>
      </x:c>
      <x:c r="I640" s="1" t="str"/>
      <x:c r="J640" s="1" t="str"/>
      <x:c r="K640" s="1" t="str"/>
      <x:c r="L640" s="1" t="str">
        <x:v>https://www.philabundance.org/</x:v>
      </x:c>
      <x:c r="M640" s="1" t="n">
        <x:f>IF(OR(NOT(ISNUMBER('School Profile'!$K$4)),NOT(ISNUMBER('School Profile'!$K$5)),NOT(ISNUMBER(F640)),NOT(ISNUMBER(G640))),"",3958.7613*2*ASIN(MIN(1,SQRT(SIN(RADIANS(F640-'School Profile'!$K$4)/2)^2+COS(RADIANS('School Profile'!$K$4))*COS(RADIANS(F640))*SIN(RADIANS(G640-'School Profile'!$K$5)/2)^2))))</x:f>
        <x:v>8.838923467852377</x:v>
      </x:c>
      <x:c r="N640" s="1" t="str">
        <x:f>IF(AND(H640="Yes",ISNUMBER(M640),M640&lt;=1),COUNTIFS($H$511:$H$1010,"Yes",$M$511:$M$1010,"&lt;"&amp;M640)+COUNTIFS($H$511:H640,"Yes",$M$511:M640,M640),"")</x:f>
      </x:c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</x:row>
    <x:row r="641" ht="22" customHeight="1">
      <x:c r="A641" s="1" t="str">
        <x:v>131</x:v>
      </x:c>
      <x:c r="B641" s="1" t="str">
        <x:v>Martin Luther King Jr. Association For Nonviolence Inc. (MLK)</x:v>
      </x:c>
      <x:c r="C641" s="1" t="str">
        <x:v>3001 Walnut St.</x:v>
      </x:c>
      <x:c r="D641" s="1" t="str">
        <x:v>Food Site</x:v>
      </x:c>
      <x:c r="E641" s="1" t="str">
        <x:v>Active</x:v>
      </x:c>
      <x:c r="F641" s="1" t="n">
        <x:v>39.95186935784151</x:v>
      </x:c>
      <x:c r="G641" s="1" t="n">
        <x:v>-75.18418383661634</x:v>
      </x:c>
      <x:c r="H641" s="1" t="str">
        <x:v>Yes</x:v>
      </x:c>
      <x:c r="I641" s="1" t="str"/>
      <x:c r="J641" s="1" t="str"/>
      <x:c r="K641" s="1" t="str"/>
      <x:c r="L641" s="1" t="str">
        <x:v>https://www.sharefoodprogram.org/</x:v>
      </x:c>
      <x:c r="M641" s="1" t="n">
        <x:f>IF(OR(NOT(ISNUMBER('School Profile'!$K$4)),NOT(ISNUMBER('School Profile'!$K$5)),NOT(ISNUMBER(F641)),NOT(ISNUMBER(G641))),"",3958.7613*2*ASIN(MIN(1,SQRT(SIN(RADIANS(F641-'School Profile'!$K$4)/2)^2+COS(RADIANS('School Profile'!$K$4))*COS(RADIANS(F641))*SIN(RADIANS(G641-'School Profile'!$K$5)/2)^2))))</x:f>
        <x:v>10.111085989596683</x:v>
      </x:c>
      <x:c r="N641" s="1" t="str">
        <x:f>IF(AND(H641="Yes",ISNUMBER(M641),M641&lt;=1),COUNTIFS($H$511:$H$1010,"Yes",$M$511:$M$1010,"&lt;"&amp;M641)+COUNTIFS($H$511:H641,"Yes",$M$511:M641,M641),"")</x:f>
      </x:c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</x:row>
    <x:row r="642" ht="22" customHeight="1">
      <x:c r="A642" s="1" t="str">
        <x:v>132</x:v>
      </x:c>
      <x:c r="B642" s="1" t="str">
        <x:v>Philly House</x:v>
      </x:c>
      <x:c r="C642" s="1" t="str">
        <x:v>302 N 13th St.</x:v>
      </x:c>
      <x:c r="D642" s="1" t="str">
        <x:v>General Meal Site</x:v>
      </x:c>
      <x:c r="E642" s="1" t="str">
        <x:v>Active</x:v>
      </x:c>
      <x:c r="F642" s="1" t="n">
        <x:v>39.958101470016814</x:v>
      </x:c>
      <x:c r="G642" s="1" t="n">
        <x:v>-75.16027272023383</x:v>
      </x:c>
      <x:c r="H642" s="1" t="str">
        <x:v>No</x:v>
      </x:c>
      <x:c r="I642" s="1" t="str"/>
      <x:c r="J642" s="1" t="str"/>
      <x:c r="K642" s="1" t="str"/>
      <x:c r="L642" s="1" t="str">
        <x:v>https://www.phila.gov/departments/office-of-homeless-services/</x:v>
      </x:c>
      <x:c r="M642" s="1" t="n">
        <x:f>IF(OR(NOT(ISNUMBER('School Profile'!$K$4)),NOT(ISNUMBER('School Profile'!$K$5)),NOT(ISNUMBER(F642)),NOT(ISNUMBER(G642))),"",3958.7613*2*ASIN(MIN(1,SQRT(SIN(RADIANS(F642-'School Profile'!$K$4)/2)^2+COS(RADIANS('School Profile'!$K$4))*COS(RADIANS(F642))*SIN(RADIANS(G642-'School Profile'!$K$5)/2)^2))))</x:f>
        <x:v>9.019211142961112</x:v>
      </x:c>
      <x:c r="N642" s="1" t="str">
        <x:f>IF(AND(H642="Yes",ISNUMBER(M642),M642&lt;=1),COUNTIFS($H$511:$H$1010,"Yes",$M$511:$M$1010,"&lt;"&amp;M642)+COUNTIFS($H$511:H642,"Yes",$M$511:M642,M642),"")</x:f>
      </x:c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</x:row>
    <x:row r="643" ht="22" customHeight="1">
      <x:c r="A643" s="1" t="str">
        <x:v>133</x:v>
      </x:c>
      <x:c r="B643" s="1" t="str">
        <x:v>Canaan Family Life Center</x:v>
      </x:c>
      <x:c r="C643" s="1" t="str">
        <x:v>302 West School House Lane</x:v>
      </x:c>
      <x:c r="D643" s="1" t="str">
        <x:v>Food Site</x:v>
      </x:c>
      <x:c r="E643" s="1" t="str">
        <x:v>Active</x:v>
      </x:c>
      <x:c r="F643" s="1" t="n">
        <x:v>40.02890183926404</x:v>
      </x:c>
      <x:c r="G643" s="1" t="n">
        <x:v>-75.17821184289572</x:v>
      </x:c>
      <x:c r="H643" s="1" t="str">
        <x:v>Yes</x:v>
      </x:c>
      <x:c r="I643" s="1" t="str"/>
      <x:c r="J643" s="1" t="str"/>
      <x:c r="K643" s="1" t="str"/>
      <x:c r="L643" s="1" t="str">
        <x:v>https://www.canaanfamilylife.org/</x:v>
      </x:c>
      <x:c r="M643" s="1" t="n">
        <x:f>IF(OR(NOT(ISNUMBER('School Profile'!$K$4)),NOT(ISNUMBER('School Profile'!$K$5)),NOT(ISNUMBER(F643)),NOT(ISNUMBER(G643))),"",3958.7613*2*ASIN(MIN(1,SQRT(SIN(RADIANS(F643-'School Profile'!$K$4)/2)^2+COS(RADIANS('School Profile'!$K$4))*COS(RADIANS(F643))*SIN(RADIANS(G643-'School Profile'!$K$5)/2)^2))))</x:f>
        <x:v>6.488997307884135</x:v>
      </x:c>
      <x:c r="N643" s="1" t="str">
        <x:f>IF(AND(H643="Yes",ISNUMBER(M643),M643&lt;=1),COUNTIFS($H$511:$H$1010,"Yes",$M$511:$M$1010,"&lt;"&amp;M643)+COUNTIFS($H$511:H643,"Yes",$M$511:M643,M643),"")</x:f>
      </x:c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</x:row>
    <x:row r="644" ht="22" customHeight="1">
      <x:c r="A644" s="1" t="str">
        <x:v>134</x:v>
      </x:c>
      <x:c r="B644" s="1" t="str">
        <x:v>Pente Church of God</x:v>
      </x:c>
      <x:c r="C644" s="1" t="str">
        <x:v>3027 N 5th St</x:v>
      </x:c>
      <x:c r="D644" s="1" t="str">
        <x:v>Food Site</x:v>
      </x:c>
      <x:c r="E644" s="1" t="str">
        <x:v>Active</x:v>
      </x:c>
      <x:c r="F644" s="1" t="n">
        <x:v>39.99732124732471</x:v>
      </x:c>
      <x:c r="G644" s="1" t="n">
        <x:v>-75.13897033658922</x:v>
      </x:c>
      <x:c r="H644" s="1" t="str">
        <x:v>Yes</x:v>
      </x:c>
      <x:c r="I644" s="1" t="str"/>
      <x:c r="J644" s="1" t="str"/>
      <x:c r="K644" s="1" t="str"/>
      <x:c r="L644" s="1" t="str">
        <x:v>https://www.philabundance.org/</x:v>
      </x:c>
      <x:c r="M644" s="1" t="n">
        <x:f>IF(OR(NOT(ISNUMBER('School Profile'!$K$4)),NOT(ISNUMBER('School Profile'!$K$5)),NOT(ISNUMBER(F644)),NOT(ISNUMBER(G644))),"",3958.7613*2*ASIN(MIN(1,SQRT(SIN(RADIANS(F644-'School Profile'!$K$4)/2)^2+COS(RADIANS('School Profile'!$K$4))*COS(RADIANS(F644))*SIN(RADIANS(G644-'School Profile'!$K$5)/2)^2))))</x:f>
        <x:v>6.162994246297721</x:v>
      </x:c>
      <x:c r="N644" s="1" t="str">
        <x:f>IF(AND(H644="Yes",ISNUMBER(M644),M644&lt;=1),COUNTIFS($H$511:$H$1010,"Yes",$M$511:$M$1010,"&lt;"&amp;M644)+COUNTIFS($H$511:H644,"Yes",$M$511:M644,M644),"")</x:f>
      </x:c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</x:row>
    <x:row r="645" ht="22" customHeight="1">
      <x:c r="A645" s="1" t="str">
        <x:v>135</x:v>
      </x:c>
      <x:c r="B645" s="1" t="str">
        <x:v>First Church of Love and Deliverance</x:v>
      </x:c>
      <x:c r="C645" s="1" t="str">
        <x:v>3101 Ridge Ave.</x:v>
      </x:c>
      <x:c r="D645" s="1" t="str">
        <x:v>Food Site</x:v>
      </x:c>
      <x:c r="E645" s="1" t="str">
        <x:v>Active</x:v>
      </x:c>
      <x:c r="F645" s="1" t="n">
        <x:v>39.989234412703766</x:v>
      </x:c>
      <x:c r="G645" s="1" t="n">
        <x:v>-75.18357136705225</x:v>
      </x:c>
      <x:c r="H645" s="1" t="str">
        <x:v>Yes</x:v>
      </x:c>
      <x:c r="I645" s="1" t="str"/>
      <x:c r="J645" s="1" t="str"/>
      <x:c r="K645" s="1" t="str"/>
      <x:c r="L645" s="1" t="str">
        <x:v>https://www.sharefoodprogram.org/</x:v>
      </x:c>
      <x:c r="M645" s="1" t="n">
        <x:f>IF(OR(NOT(ISNUMBER('School Profile'!$K$4)),NOT(ISNUMBER('School Profile'!$K$5)),NOT(ISNUMBER(F645)),NOT(ISNUMBER(G645))),"",3958.7613*2*ASIN(MIN(1,SQRT(SIN(RADIANS(F645-'School Profile'!$K$4)/2)^2+COS(RADIANS('School Profile'!$K$4))*COS(RADIANS(F645))*SIN(RADIANS(G645-'School Profile'!$K$5)/2)^2))))</x:f>
        <x:v>8.213187999722782</x:v>
      </x:c>
      <x:c r="N645" s="1" t="str">
        <x:f>IF(AND(H645="Yes",ISNUMBER(M645),M645&lt;=1),COUNTIFS($H$511:$H$1010,"Yes",$M$511:$M$1010,"&lt;"&amp;M645)+COUNTIFS($H$511:H645,"Yes",$M$511:M645,M645),"")</x:f>
      </x:c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</x:row>
    <x:row r="646" ht="22" customHeight="1">
      <x:c r="A646" s="1" t="str">
        <x:v>136</x:v>
      </x:c>
      <x:c r="B646" s="1" t="str">
        <x:v>Feast of Justice (Tyson Ave)</x:v>
      </x:c>
      <x:c r="C646" s="1" t="str">
        <x:v>3101 Tyson Ave</x:v>
      </x:c>
      <x:c r="D646" s="1" t="str">
        <x:v>Food Site</x:v>
      </x:c>
      <x:c r="E646" s="1" t="str">
        <x:v>Active</x:v>
      </x:c>
      <x:c r="F646" s="1" t="n">
        <x:v>40.037237250072984</x:v>
      </x:c>
      <x:c r="G646" s="1" t="n">
        <x:v>-75.05291726958599</x:v>
      </x:c>
      <x:c r="H646" s="1" t="str">
        <x:v>Yes</x:v>
      </x:c>
      <x:c r="I646" s="1" t="str"/>
      <x:c r="J646" s="1" t="str"/>
      <x:c r="K646" s="1" t="str">
        <x:v>19111, 19114, 19115, 19116, 19120, 19124, 19135, 19136, 19149, 19152, 19154</x:v>
      </x:c>
      <x:c r="L646" s="1" t="str">
        <x:v>https://www.feastofjustice.org/</x:v>
      </x:c>
      <x:c r="M646" s="1" t="n">
        <x:f>IF(OR(NOT(ISNUMBER('School Profile'!$K$4)),NOT(ISNUMBER('School Profile'!$K$5)),NOT(ISNUMBER(F646)),NOT(ISNUMBER(G646))),"",3958.7613*2*ASIN(MIN(1,SQRT(SIN(RADIANS(F646-'School Profile'!$K$4)/2)^2+COS(RADIANS('School Profile'!$K$4))*COS(RADIANS(F646))*SIN(RADIANS(G646-'School Profile'!$K$5)/2)^2))))</x:f>
        <x:v>2.159087329546718</x:v>
      </x:c>
      <x:c r="N646" s="1" t="str">
        <x:f>IF(AND(H646="Yes",ISNUMBER(M646),M646&lt;=1),COUNTIFS($H$511:$H$1010,"Yes",$M$511:$M$1010,"&lt;"&amp;M646)+COUNTIFS($H$511:H646,"Yes",$M$511:M646,M646),"")</x:f>
      </x:c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</x:row>
    <x:row r="647" ht="22" customHeight="1">
      <x:c r="A647" s="1" t="str">
        <x:v>137</x:v>
      </x:c>
      <x:c r="B647" s="1" t="str">
        <x:v>Saint Peter's Food Cupboard</x:v>
      </x:c>
      <x:c r="C647" s="1" t="str">
        <x:v>313 Pine St.</x:v>
      </x:c>
      <x:c r="D647" s="1" t="str">
        <x:v>Food Site</x:v>
      </x:c>
      <x:c r="E647" s="1" t="str">
        <x:v>Active</x:v>
      </x:c>
      <x:c r="F647" s="1" t="n">
        <x:v>39.94344724401257</x:v>
      </x:c>
      <x:c r="G647" s="1" t="n">
        <x:v>-75.14768164575071</x:v>
      </x:c>
      <x:c r="H647" s="1" t="str">
        <x:v>Yes</x:v>
      </x:c>
      <x:c r="I647" s="1" t="str"/>
      <x:c r="J647" s="1" t="str"/>
      <x:c r="K647" s="1" t="str"/>
      <x:c r="L647" s="1" t="str">
        <x:v>https://www.philabundance.org/</x:v>
      </x:c>
      <x:c r="M647" s="1" t="n">
        <x:f>IF(OR(NOT(ISNUMBER('School Profile'!$K$4)),NOT(ISNUMBER('School Profile'!$K$5)),NOT(ISNUMBER(F647)),NOT(ISNUMBER(G647))),"",3958.7613*2*ASIN(MIN(1,SQRT(SIN(RADIANS(F647-'School Profile'!$K$4)/2)^2+COS(RADIANS('School Profile'!$K$4))*COS(RADIANS(F647))*SIN(RADIANS(G647-'School Profile'!$K$5)/2)^2))))</x:f>
        <x:v>9.559525960475739</x:v>
      </x:c>
      <x:c r="N647" s="1" t="str">
        <x:f>IF(AND(H647="Yes",ISNUMBER(M647),M647&lt;=1),COUNTIFS($H$511:$H$1010,"Yes",$M$511:$M$1010,"&lt;"&amp;M647)+COUNTIFS($H$511:H647,"Yes",$M$511:M647,M647),"")</x:f>
      </x:c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</x:row>
    <x:row r="648" ht="22" customHeight="1">
      <x:c r="A648" s="1" t="str">
        <x:v>138</x:v>
      </x:c>
      <x:c r="B648" s="1" t="str">
        <x:v>Broad Street Love</x:v>
      </x:c>
      <x:c r="C648" s="1" t="str">
        <x:v>315 S Broad Street</x:v>
      </x:c>
      <x:c r="D648" s="1" t="str">
        <x:v>General Meal Site</x:v>
      </x:c>
      <x:c r="E648" s="1" t="str">
        <x:v>Active</x:v>
      </x:c>
      <x:c r="F648" s="1" t="n">
        <x:v>39.94635932991951</x:v>
      </x:c>
      <x:c r="G648" s="1" t="n">
        <x:v>-75.16491073013057</x:v>
      </x:c>
      <x:c r="H648" s="1" t="str">
        <x:v>No</x:v>
      </x:c>
      <x:c r="I648" s="1" t="str"/>
      <x:c r="J648" s="1" t="str"/>
      <x:c r="K648" s="1" t="str"/>
      <x:c r="L648" s="1" t="str"/>
      <x:c r="M648" s="1" t="n">
        <x:f>IF(OR(NOT(ISNUMBER('School Profile'!$K$4)),NOT(ISNUMBER('School Profile'!$K$5)),NOT(ISNUMBER(F648)),NOT(ISNUMBER(G648))),"",3958.7613*2*ASIN(MIN(1,SQRT(SIN(RADIANS(F648-'School Profile'!$K$4)/2)^2+COS(RADIANS('School Profile'!$K$4))*COS(RADIANS(F648))*SIN(RADIANS(G648-'School Profile'!$K$5)/2)^2))))</x:f>
        <x:v>9.834111875310159</x:v>
      </x:c>
      <x:c r="N648" s="1" t="str">
        <x:f>IF(AND(H648="Yes",ISNUMBER(M648),M648&lt;=1),COUNTIFS($H$511:$H$1010,"Yes",$M$511:$M$1010,"&lt;"&amp;M648)+COUNTIFS($H$511:H648,"Yes",$M$511:M648,M648),"")</x:f>
      </x:c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</x:row>
    <x:row r="649" ht="22" customHeight="1">
      <x:c r="A649" s="1" t="str">
        <x:v>139</x:v>
      </x:c>
      <x:c r="B649" s="1" t="str">
        <x:v>Salvation Army Tabernacle</x:v>
      </x:c>
      <x:c r="C649" s="1" t="str">
        <x:v>3150 N Mascher St.</x:v>
      </x:c>
      <x:c r="D649" s="1" t="str">
        <x:v>Food Site</x:v>
      </x:c>
      <x:c r="E649" s="1" t="str">
        <x:v>Active</x:v>
      </x:c>
      <x:c r="F649" s="1" t="n">
        <x:v>39.99809567814679</x:v>
      </x:c>
      <x:c r="G649" s="1" t="n">
        <x:v>-75.13147852007032</x:v>
      </x:c>
      <x:c r="H649" s="1" t="str">
        <x:v>Yes</x:v>
      </x:c>
      <x:c r="I649" s="1" t="str"/>
      <x:c r="J649" s="1" t="str"/>
      <x:c r="K649" s="1" t="str"/>
      <x:c r="L649" s="1" t="str">
        <x:v>https://www.philabundance.org/</x:v>
      </x:c>
      <x:c r="M649" s="1" t="n">
        <x:f>IF(OR(NOT(ISNUMBER('School Profile'!$K$4)),NOT(ISNUMBER('School Profile'!$K$5)),NOT(ISNUMBER(F649)),NOT(ISNUMBER(G649))),"",3958.7613*2*ASIN(MIN(1,SQRT(SIN(RADIANS(F649-'School Profile'!$K$4)/2)^2+COS(RADIANS('School Profile'!$K$4))*COS(RADIANS(F649))*SIN(RADIANS(G649-'School Profile'!$K$5)/2)^2))))</x:f>
        <x:v>5.879410986308449</x:v>
      </x:c>
      <x:c r="N649" s="1" t="str">
        <x:f>IF(AND(H649="Yes",ISNUMBER(M649),M649&lt;=1),COUNTIFS($H$511:$H$1010,"Yes",$M$511:$M$1010,"&lt;"&amp;M649)+COUNTIFS($H$511:H649,"Yes",$M$511:M649,M649),"")</x:f>
      </x:c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</x:row>
    <x:row r="650" ht="22" customHeight="1">
      <x:c r="A650" s="1" t="str">
        <x:v>140</x:v>
      </x:c>
      <x:c r="B650" s="1" t="str">
        <x:v>Cornerstone Community Church</x:v>
      </x:c>
      <x:c r="C650" s="1" t="str">
        <x:v>3176 Frankford Ave</x:v>
      </x:c>
      <x:c r="D650" s="1" t="str">
        <x:v>Food Site</x:v>
      </x:c>
      <x:c r="E650" s="1" t="str">
        <x:v>Active</x:v>
      </x:c>
      <x:c r="F650" s="1" t="n">
        <x:v>39.992822860109065</x:v>
      </x:c>
      <x:c r="G650" s="1" t="n">
        <x:v>-75.1107390468339</x:v>
      </x:c>
      <x:c r="H650" s="1" t="str">
        <x:v>Yes</x:v>
      </x:c>
      <x:c r="I650" s="1" t="str"/>
      <x:c r="J650" s="1" t="str"/>
      <x:c r="K650" s="1" t="str"/>
      <x:c r="L650" s="1" t="str">
        <x:v>https://www.philabundance.org/</x:v>
      </x:c>
      <x:c r="M650" s="1" t="n">
        <x:f>IF(OR(NOT(ISNUMBER('School Profile'!$K$4)),NOT(ISNUMBER('School Profile'!$K$5)),NOT(ISNUMBER(F650)),NOT(ISNUMBER(G650))),"",3958.7613*2*ASIN(MIN(1,SQRT(SIN(RADIANS(F650-'School Profile'!$K$4)/2)^2+COS(RADIANS('School Profile'!$K$4))*COS(RADIANS(F650))*SIN(RADIANS(G650-'School Profile'!$K$5)/2)^2))))</x:f>
        <x:v>5.635786998003895</x:v>
      </x:c>
      <x:c r="N650" s="1" t="str">
        <x:f>IF(AND(H650="Yes",ISNUMBER(M650),M650&lt;=1),COUNTIFS($H$511:$H$1010,"Yes",$M$511:$M$1010,"&lt;"&amp;M650)+COUNTIFS($H$511:H650,"Yes",$M$511:M650,M650),"")</x:f>
      </x:c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</x:row>
    <x:row r="651" ht="22" customHeight="1">
      <x:c r="A651" s="1" t="str">
        <x:v>141</x:v>
      </x:c>
      <x:c r="B651" s="1" t="str">
        <x:v>Friends Pantry &amp; Community Fridge</x:v>
      </x:c>
      <x:c r="C651" s="1" t="str">
        <x:v>320 Arch St</x:v>
      </x:c>
      <x:c r="D651" s="1" t="str">
        <x:v>Food Site</x:v>
      </x:c>
      <x:c r="E651" s="1" t="str">
        <x:v>Active</x:v>
      </x:c>
      <x:c r="F651" s="1" t="n">
        <x:v>39.95233093129365</x:v>
      </x:c>
      <x:c r="G651" s="1" t="n">
        <x:v>-75.14692375960338</x:v>
      </x:c>
      <x:c r="H651" s="1" t="str">
        <x:v>Yes</x:v>
      </x:c>
      <x:c r="I651" s="1" t="str"/>
      <x:c r="J651" s="1" t="str"/>
      <x:c r="K651" s="1" t="str"/>
      <x:c r="L651" s="1" t="str">
        <x:v>https://www.historicasmh.org/friendspantry</x:v>
      </x:c>
      <x:c r="M651" s="1" t="n">
        <x:f>IF(OR(NOT(ISNUMBER('School Profile'!$K$4)),NOT(ISNUMBER('School Profile'!$K$5)),NOT(ISNUMBER(F651)),NOT(ISNUMBER(G651))),"",3958.7613*2*ASIN(MIN(1,SQRT(SIN(RADIANS(F651-'School Profile'!$K$4)/2)^2+COS(RADIANS('School Profile'!$K$4))*COS(RADIANS(F651))*SIN(RADIANS(G651-'School Profile'!$K$5)/2)^2))))</x:f>
        <x:v>8.997073329161664</x:v>
      </x:c>
      <x:c r="N651" s="1" t="str">
        <x:f>IF(AND(H651="Yes",ISNUMBER(M651),M651&lt;=1),COUNTIFS($H$511:$H$1010,"Yes",$M$511:$M$1010,"&lt;"&amp;M651)+COUNTIFS($H$511:H651,"Yes",$M$511:M651,M651),"")</x:f>
      </x:c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</x:row>
    <x:row r="652" ht="22" customHeight="1">
      <x:c r="A652" s="1" t="str">
        <x:v>142</x:v>
      </x:c>
      <x:c r="B652" s="1" t="str">
        <x:v>Friends Pantry &amp; Community Fridge</x:v>
      </x:c>
      <x:c r="C652" s="1" t="str">
        <x:v>320 Arch Street</x:v>
      </x:c>
      <x:c r="D652" s="1" t="str">
        <x:v>Food Site</x:v>
      </x:c>
      <x:c r="E652" s="1" t="str">
        <x:v>Permanently Closed</x:v>
      </x:c>
      <x:c r="F652" s="1" t="n">
        <x:v>39.95233093129365</x:v>
      </x:c>
      <x:c r="G652" s="1" t="n">
        <x:v>-75.14692375960338</x:v>
      </x:c>
      <x:c r="H652" s="1" t="str">
        <x:v>No</x:v>
      </x:c>
      <x:c r="I652" s="1" t="str"/>
      <x:c r="J652" s="1" t="str">
        <x:v>yes</x:v>
      </x:c>
      <x:c r="K652" s="1" t="str"/>
      <x:c r="L652" s="1" t="str">
        <x:v>https://www.historicasmh.org/friendspantry</x:v>
      </x:c>
      <x:c r="M652" s="1" t="n">
        <x:f>IF(OR(NOT(ISNUMBER('School Profile'!$K$4)),NOT(ISNUMBER('School Profile'!$K$5)),NOT(ISNUMBER(F652)),NOT(ISNUMBER(G652))),"",3958.7613*2*ASIN(MIN(1,SQRT(SIN(RADIANS(F652-'School Profile'!$K$4)/2)^2+COS(RADIANS('School Profile'!$K$4))*COS(RADIANS(F652))*SIN(RADIANS(G652-'School Profile'!$K$5)/2)^2))))</x:f>
        <x:v>8.997073329161664</x:v>
      </x:c>
      <x:c r="N652" s="1" t="str">
        <x:f>IF(AND(H652="Yes",ISNUMBER(M652),M652&lt;=1),COUNTIFS($H$511:$H$1010,"Yes",$M$511:$M$1010,"&lt;"&amp;M652)+COUNTIFS($H$511:H652,"Yes",$M$511:M652,M652),"")</x:f>
      </x:c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</x:row>
    <x:row r="653" ht="22" customHeight="1">
      <x:c r="A653" s="1" t="str">
        <x:v>143</x:v>
      </x:c>
      <x:c r="B653" s="1" t="str">
        <x:v>The Sunday Love Project</x:v>
      </x:c>
      <x:c r="C653" s="1" t="str">
        <x:v>3200 Kensington Ave</x:v>
      </x:c>
      <x:c r="D653" s="1" t="str">
        <x:v>Food Site</x:v>
      </x:c>
      <x:c r="E653" s="1" t="str">
        <x:v>Active</x:v>
      </x:c>
      <x:c r="F653" s="1" t="n">
        <x:v>39.996722600714875</x:v>
      </x:c>
      <x:c r="G653" s="1" t="n">
        <x:v>-75.11319097324908</x:v>
      </x:c>
      <x:c r="H653" s="1" t="str">
        <x:v>Yes</x:v>
      </x:c>
      <x:c r="I653" s="1" t="str"/>
      <x:c r="J653" s="1" t="str"/>
      <x:c r="K653" s="1" t="str"/>
      <x:c r="L653" s="1" t="str">
        <x:v>https://www.philabundance.org/</x:v>
      </x:c>
      <x:c r="M653" s="1" t="n">
        <x:f>IF(OR(NOT(ISNUMBER('School Profile'!$K$4)),NOT(ISNUMBER('School Profile'!$K$5)),NOT(ISNUMBER(F653)),NOT(ISNUMBER(G653))),"",3958.7613*2*ASIN(MIN(1,SQRT(SIN(RADIANS(F653-'School Profile'!$K$4)/2)^2+COS(RADIANS('School Profile'!$K$4))*COS(RADIANS(F653))*SIN(RADIANS(G653-'School Profile'!$K$5)/2)^2))))</x:f>
        <x:v>5.450636791741094</x:v>
      </x:c>
      <x:c r="N653" s="1" t="str">
        <x:f>IF(AND(H653="Yes",ISNUMBER(M653),M653&lt;=1),COUNTIFS($H$511:$H$1010,"Yes",$M$511:$M$1010,"&lt;"&amp;M653)+COUNTIFS($H$511:H653,"Yes",$M$511:M653,M653),"")</x:f>
      </x:c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</x:row>
    <x:row r="654" ht="22" customHeight="1">
      <x:c r="A654" s="1" t="str">
        <x:v>144</x:v>
      </x:c>
      <x:c r="B654" s="1" t="str">
        <x:v>Mann Older Adult Center</x:v>
      </x:c>
      <x:c r="C654" s="1" t="str">
        <x:v>3201 N. 5th St.</x:v>
      </x:c>
      <x:c r="D654" s="1" t="str">
        <x:v>Senior Meal Site</x:v>
      </x:c>
      <x:c r="E654" s="1" t="str">
        <x:v>Active</x:v>
      </x:c>
      <x:c r="F654" s="1" t="n">
        <x:v>40.00039550033185</x:v>
      </x:c>
      <x:c r="G654" s="1" t="n">
        <x:v>-75.13810357013789</x:v>
      </x:c>
      <x:c r="H654" s="1" t="str">
        <x:v>No</x:v>
      </x:c>
      <x:c r="I654" s="1" t="str"/>
      <x:c r="J654" s="1" t="str"/>
      <x:c r="K654" s="1" t="str"/>
      <x:c r="L654" s="1" t="str">
        <x:v>https://www.pcacares.org/</x:v>
      </x:c>
      <x:c r="M654" s="1" t="n">
        <x:f>IF(OR(NOT(ISNUMBER('School Profile'!$K$4)),NOT(ISNUMBER('School Profile'!$K$5)),NOT(ISNUMBER(F654)),NOT(ISNUMBER(G654))),"",3958.7613*2*ASIN(MIN(1,SQRT(SIN(RADIANS(F654-'School Profile'!$K$4)/2)^2+COS(RADIANS('School Profile'!$K$4))*COS(RADIANS(F654))*SIN(RADIANS(G654-'School Profile'!$K$5)/2)^2))))</x:f>
        <x:v>5.969450564611849</x:v>
      </x:c>
      <x:c r="N654" s="1" t="str">
        <x:f>IF(AND(H654="Yes",ISNUMBER(M654),M654&lt;=1),COUNTIFS($H$511:$H$1010,"Yes",$M$511:$M$1010,"&lt;"&amp;M654)+COUNTIFS($H$511:H654,"Yes",$M$511:M654,M654),"")</x:f>
      </x:c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</x:row>
    <x:row r="655" ht="22" customHeight="1">
      <x:c r="A655" s="1" t="str">
        <x:v>145</x:v>
      </x:c>
      <x:c r="B655" s="1" t="str">
        <x:v>Neighborhood Community Action Center 7</x:v>
      </x:c>
      <x:c r="C655" s="1" t="str">
        <x:v>3201 N. 5th St.</x:v>
      </x:c>
      <x:c r="D655" s="1" t="str">
        <x:v>Public Benefits</x:v>
      </x:c>
      <x:c r="E655" s="1" t="str">
        <x:v>Active</x:v>
      </x:c>
      <x:c r="F655" s="1" t="n">
        <x:v>39.99980456594807</x:v>
      </x:c>
      <x:c r="G655" s="1" t="n">
        <x:v>-75.13843020206677</x:v>
      </x:c>
      <x:c r="H655" s="1" t="str">
        <x:v>No</x:v>
      </x:c>
      <x:c r="I655" s="1" t="str"/>
      <x:c r="J655" s="1" t="str"/>
      <x:c r="K655" s="1" t="str"/>
      <x:c r="L655" s="1" t="str">
        <x:v>https://www.phila.gov/programs/neighborhood-community-action-centers/</x:v>
      </x:c>
      <x:c r="M655" s="1" t="n">
        <x:f>IF(OR(NOT(ISNUMBER('School Profile'!$K$4)),NOT(ISNUMBER('School Profile'!$K$5)),NOT(ISNUMBER(F655)),NOT(ISNUMBER(G655))),"",3958.7613*2*ASIN(MIN(1,SQRT(SIN(RADIANS(F655-'School Profile'!$K$4)/2)^2+COS(RADIANS('School Profile'!$K$4))*COS(RADIANS(F655))*SIN(RADIANS(G655-'School Profile'!$K$5)/2)^2))))</x:f>
        <x:v>6.011920563570064</x:v>
      </x:c>
      <x:c r="N655" s="1" t="str">
        <x:f>IF(AND(H655="Yes",ISNUMBER(M655),M655&lt;=1),COUNTIFS($H$511:$H$1010,"Yes",$M$511:$M$1010,"&lt;"&amp;M655)+COUNTIFS($H$511:H655,"Yes",$M$511:M655,M655),"")</x:f>
      </x:c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</x:row>
    <x:row r="656" ht="22" customHeight="1">
      <x:c r="A656" s="1" t="str">
        <x:v>146</x:v>
      </x:c>
      <x:c r="B656" s="1" t="str">
        <x:v>Friends' Fridge Philly</x:v>
      </x:c>
      <x:c r="C656" s="1" t="str">
        <x:v>3217 West Clearfield St</x:v>
      </x:c>
      <x:c r="D656" s="1" t="str">
        <x:v>Food Site</x:v>
      </x:c>
      <x:c r="E656" s="1" t="str">
        <x:v>Active</x:v>
      </x:c>
      <x:c r="F656" s="1" t="n">
        <x:v>40.004111716291064</x:v>
      </x:c>
      <x:c r="G656" s="1" t="n">
        <x:v>-75.18284562621905</x:v>
      </x:c>
      <x:c r="H656" s="1" t="str">
        <x:v>Yes</x:v>
      </x:c>
      <x:c r="I656" s="1" t="str"/>
      <x:c r="J656" s="1" t="str"/>
      <x:c r="K656" s="1" t="str"/>
      <x:c r="L656" s="1" t="str">
        <x:v>https://www.friendsfridgephilly.com/</x:v>
      </x:c>
      <x:c r="M656" s="1" t="n">
        <x:f>IF(OR(NOT(ISNUMBER('School Profile'!$K$4)),NOT(ISNUMBER('School Profile'!$K$5)),NOT(ISNUMBER(F656)),NOT(ISNUMBER(G656))),"",3958.7613*2*ASIN(MIN(1,SQRT(SIN(RADIANS(F656-'School Profile'!$K$4)/2)^2+COS(RADIANS('School Profile'!$K$4))*COS(RADIANS(F656))*SIN(RADIANS(G656-'School Profile'!$K$5)/2)^2))))</x:f>
        <x:v>7.550141586993703</x:v>
      </x:c>
      <x:c r="N656" s="1" t="str">
        <x:f>IF(AND(H656="Yes",ISNUMBER(M656),M656&lt;=1),COUNTIFS($H$511:$H$1010,"Yes",$M$511:$M$1010,"&lt;"&amp;M656)+COUNTIFS($H$511:H656,"Yes",$M$511:M656,M656),"")</x:f>
      </x:c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</x:row>
    <x:row r="657" ht="22" customHeight="1">
      <x:c r="A657" s="1" t="str">
        <x:v>147</x:v>
      </x:c>
      <x:c r="B657" s="1" t="str">
        <x:v>Brothers of Strawberry Mansion</x:v>
      </x:c>
      <x:c r="C657" s="1" t="str">
        <x:v>3218 W Susquehanna Ave</x:v>
      </x:c>
      <x:c r="D657" s="1" t="str">
        <x:v>Food Site</x:v>
      </x:c>
      <x:c r="E657" s="1" t="str">
        <x:v>Active</x:v>
      </x:c>
      <x:c r="F657" s="1" t="n">
        <x:v>39.99004016112803</x:v>
      </x:c>
      <x:c r="G657" s="1" t="n">
        <x:v>-75.18573700308133</x:v>
      </x:c>
      <x:c r="H657" s="1" t="str">
        <x:v>Yes</x:v>
      </x:c>
      <x:c r="I657" s="1" t="str"/>
      <x:c r="J657" s="1" t="str"/>
      <x:c r="K657" s="1" t="str"/>
      <x:c r="L657" s="1" t="str">
        <x:v>https://www.sharefoodprogram.org/</x:v>
      </x:c>
      <x:c r="M657" s="1" t="n">
        <x:f>IF(OR(NOT(ISNUMBER('School Profile'!$K$4)),NOT(ISNUMBER('School Profile'!$K$5)),NOT(ISNUMBER(F657)),NOT(ISNUMBER(G657))),"",3958.7613*2*ASIN(MIN(1,SQRT(SIN(RADIANS(F657-'School Profile'!$K$4)/2)^2+COS(RADIANS('School Profile'!$K$4))*COS(RADIANS(F657))*SIN(RADIANS(G657-'School Profile'!$K$5)/2)^2))))</x:f>
        <x:v>8.264428481466595</x:v>
      </x:c>
      <x:c r="N657" s="1" t="str">
        <x:f>IF(AND(H657="Yes",ISNUMBER(M657),M657&lt;=1),COUNTIFS($H$511:$H$1010,"Yes",$M$511:$M$1010,"&lt;"&amp;M657)+COUNTIFS($H$511:H657,"Yes",$M$511:M657,M657),"")</x:f>
      </x:c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</x:row>
    <x:row r="658" ht="22" customHeight="1">
      <x:c r="A658" s="1" t="str">
        <x:v>148</x:v>
      </x:c>
      <x:c r="B658" s="1" t="str">
        <x:v>Brothers of Strawberry Mansion Clifford St.</x:v>
      </x:c>
      <x:c r="C658" s="1" t="str">
        <x:v>3223 W Clifford St</x:v>
      </x:c>
      <x:c r="D658" s="1" t="str">
        <x:v>Food Site</x:v>
      </x:c>
      <x:c r="E658" s="1" t="str">
        <x:v>Active</x:v>
      </x:c>
      <x:c r="F658" s="1" t="n">
        <x:v>39.983303215156496</x:v>
      </x:c>
      <x:c r="G658" s="1" t="n">
        <x:v>-75.18728091240732</x:v>
      </x:c>
      <x:c r="H658" s="1" t="str">
        <x:v>Yes</x:v>
      </x:c>
      <x:c r="I658" s="1" t="str"/>
      <x:c r="J658" s="1" t="str"/>
      <x:c r="K658" s="1" t="str"/>
      <x:c r="L658" s="1" t="str">
        <x:v>https://www.sharefoodprogram.org/</x:v>
      </x:c>
      <x:c r="M658" s="1" t="n">
        <x:f>IF(OR(NOT(ISNUMBER('School Profile'!$K$4)),NOT(ISNUMBER('School Profile'!$K$5)),NOT(ISNUMBER(F658)),NOT(ISNUMBER(G658))),"",3958.7613*2*ASIN(MIN(1,SQRT(SIN(RADIANS(F658-'School Profile'!$K$4)/2)^2+COS(RADIANS('School Profile'!$K$4))*COS(RADIANS(F658))*SIN(RADIANS(G658-'School Profile'!$K$5)/2)^2))))</x:f>
        <x:v>8.631533408411611</x:v>
      </x:c>
      <x:c r="N658" s="1" t="str">
        <x:f>IF(AND(H658="Yes",ISNUMBER(M658),M658&lt;=1),COUNTIFS($H$511:$H$1010,"Yes",$M$511:$M$1010,"&lt;"&amp;M658)+COUNTIFS($H$511:H658,"Yes",$M$511:M658,M658),"")</x:f>
      </x:c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</x:row>
    <x:row r="659" ht="22" customHeight="1">
      <x:c r="A659" s="1" t="str">
        <x:v>149</x:v>
      </x:c>
      <x:c r="B659" s="1" t="str">
        <x:v>Church of the Annunciation</x:v>
      </x:c>
      <x:c r="C659" s="1" t="str">
        <x:v>324 Carpenter Ln.</x:v>
      </x:c>
      <x:c r="D659" s="1" t="str">
        <x:v>Food Site</x:v>
      </x:c>
      <x:c r="E659" s="1" t="str">
        <x:v>Active</x:v>
      </x:c>
      <x:c r="F659" s="1" t="n">
        <x:v>40.04991705421323</x:v>
      </x:c>
      <x:c r="G659" s="1" t="n">
        <x:v>-75.19207988243667</x:v>
      </x:c>
      <x:c r="H659" s="1" t="str">
        <x:v>Yes</x:v>
      </x:c>
      <x:c r="I659" s="1" t="str"/>
      <x:c r="J659" s="1" t="str"/>
      <x:c r="K659" s="1" t="str">
        <x:v>19118, 19119, 19138, 19150</x:v>
      </x:c>
      <x:c r="L659" s="1" t="str">
        <x:v>https://www.philabundance.org/</x:v>
      </x:c>
      <x:c r="M659" s="1" t="n">
        <x:f>IF(OR(NOT(ISNUMBER('School Profile'!$K$4)),NOT(ISNUMBER('School Profile'!$K$5)),NOT(ISNUMBER(F659)),NOT(ISNUMBER(G659))),"",3958.7613*2*ASIN(MIN(1,SQRT(SIN(RADIANS(F659-'School Profile'!$K$4)/2)^2+COS(RADIANS('School Profile'!$K$4))*COS(RADIANS(F659))*SIN(RADIANS(G659-'School Profile'!$K$5)/2)^2))))</x:f>
        <x:v>6.770159096792471</x:v>
      </x:c>
      <x:c r="N659" s="1" t="str">
        <x:f>IF(AND(H659="Yes",ISNUMBER(M659),M659&lt;=1),COUNTIFS($H$511:$H$1010,"Yes",$M$511:$M$1010,"&lt;"&amp;M659)+COUNTIFS($H$511:H659,"Yes",$M$511:M659,M659),"")</x:f>
      </x:c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</x:row>
    <x:row r="660" ht="22" customHeight="1">
      <x:c r="A660" s="1" t="str">
        <x:v>150</x:v>
      </x:c>
      <x:c r="B660" s="1" t="str">
        <x:v>Nativity Satellite Program</x:v>
      </x:c>
      <x:c r="C660" s="1" t="str">
        <x:v>3255 Belgrade St</x:v>
      </x:c>
      <x:c r="D660" s="1" t="str">
        <x:v>Senior Meal Site</x:v>
      </x:c>
      <x:c r="E660" s="1" t="str">
        <x:v>Active</x:v>
      </x:c>
      <x:c r="F660" s="1" t="n">
        <x:v>39.98691000986392</x:v>
      </x:c>
      <x:c r="G660" s="1" t="n">
        <x:v>-75.1027830303835</x:v>
      </x:c>
      <x:c r="H660" s="1" t="str">
        <x:v>No</x:v>
      </x:c>
      <x:c r="I660" s="1" t="str"/>
      <x:c r="J660" s="1" t="str"/>
      <x:c r="K660" s="1" t="str"/>
      <x:c r="L660" s="1" t="str">
        <x:v>https://www.pcacares.org/</x:v>
      </x:c>
      <x:c r="M660" s="1" t="n">
        <x:f>IF(OR(NOT(ISNUMBER('School Profile'!$K$4)),NOT(ISNUMBER('School Profile'!$K$5)),NOT(ISNUMBER(F660)),NOT(ISNUMBER(G660))),"",3958.7613*2*ASIN(MIN(1,SQRT(SIN(RADIANS(F660-'School Profile'!$K$4)/2)^2+COS(RADIANS('School Profile'!$K$4))*COS(RADIANS(F660))*SIN(RADIANS(G660-'School Profile'!$K$5)/2)^2))))</x:f>
        <x:v>5.855931705130505</x:v>
      </x:c>
      <x:c r="N660" s="1" t="str">
        <x:f>IF(AND(H660="Yes",ISNUMBER(M660),M660&lt;=1),COUNTIFS($H$511:$H$1010,"Yes",$M$511:$M$1010,"&lt;"&amp;M660)+COUNTIFS($H$511:H660,"Yes",$M$511:M660,M660),"")</x:f>
      </x:c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</x:row>
    <x:row r="661" ht="22" customHeight="1">
      <x:c r="A661" s="1" t="str">
        <x:v>151</x:v>
      </x:c>
      <x:c r="B661" s="1" t="str">
        <x:v>Open Door Ministries</x:v>
      </x:c>
      <x:c r="C661" s="1" t="str">
        <x:v>3373 Frankford Ave.</x:v>
      </x:c>
      <x:c r="D661" s="1" t="str">
        <x:v>Food Site</x:v>
      </x:c>
      <x:c r="E661" s="1" t="str">
        <x:v>Active</x:v>
      </x:c>
      <x:c r="F661" s="1" t="n">
        <x:v>39.99513186013097</x:v>
      </x:c>
      <x:c r="G661" s="1" t="n">
        <x:v>-75.10552148972992</x:v>
      </x:c>
      <x:c r="H661" s="1" t="str">
        <x:v>Yes</x:v>
      </x:c>
      <x:c r="I661" s="1" t="str"/>
      <x:c r="J661" s="1" t="str"/>
      <x:c r="K661" s="1" t="str">
        <x:v>19120, 19124, 19125, 19133, 19134, 19140</x:v>
      </x:c>
      <x:c r="L661" s="1" t="str">
        <x:v>https://www.philabundance.org/</x:v>
      </x:c>
      <x:c r="M661" s="1" t="n">
        <x:f>IF(OR(NOT(ISNUMBER('School Profile'!$K$4)),NOT(ISNUMBER('School Profile'!$K$5)),NOT(ISNUMBER(F661)),NOT(ISNUMBER(G661))),"",3958.7613*2*ASIN(MIN(1,SQRT(SIN(RADIANS(F661-'School Profile'!$K$4)/2)^2+COS(RADIANS('School Profile'!$K$4))*COS(RADIANS(F661))*SIN(RADIANS(G661-'School Profile'!$K$5)/2)^2))))</x:f>
        <x:v>5.37815626339137</x:v>
      </x:c>
      <x:c r="N661" s="1" t="str">
        <x:f>IF(AND(H661="Yes",ISNUMBER(M661),M661&lt;=1),COUNTIFS($H$511:$H$1010,"Yes",$M$511:$M$1010,"&lt;"&amp;M661)+COUNTIFS($H$511:H661,"Yes",$M$511:M661,M661),"")</x:f>
      </x:c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</x:row>
    <x:row r="662" ht="22" customHeight="1">
      <x:c r="A662" s="1" t="str">
        <x:v>152</x:v>
      </x:c>
      <x:c r="B662" s="1" t="str">
        <x:v>Mitzvah Food Program - Mainline</x:v>
      </x:c>
      <x:c r="C662" s="1" t="str">
        <x:v>345 Montgomery Ave</x:v>
      </x:c>
      <x:c r="D662" s="1" t="str">
        <x:v>Food Site</x:v>
      </x:c>
      <x:c r="E662" s="1" t="str">
        <x:v>Active</x:v>
      </x:c>
      <x:c r="F662" s="1" t="n">
        <x:v>40.00591671116653</x:v>
      </x:c>
      <x:c r="G662" s="1" t="n">
        <x:v>-75.24406720522049</x:v>
      </x:c>
      <x:c r="H662" s="1" t="str">
        <x:v>Yes</x:v>
      </x:c>
      <x:c r="I662" s="1" t="str"/>
      <x:c r="J662" s="1" t="str"/>
      <x:c r="K662" s="1" t="str"/>
      <x:c r="L662" s="1" t="str">
        <x:v>https://www.sharefoodprogram.org/</x:v>
      </x:c>
      <x:c r="M662" s="1" t="n">
        <x:f>IF(OR(NOT(ISNUMBER('School Profile'!$K$4)),NOT(ISNUMBER('School Profile'!$K$5)),NOT(ISNUMBER(F662)),NOT(ISNUMBER(G662))),"",3958.7613*2*ASIN(MIN(1,SQRT(SIN(RADIANS(F662-'School Profile'!$K$4)/2)^2+COS(RADIANS('School Profile'!$K$4))*COS(RADIANS(F662))*SIN(RADIANS(G662-'School Profile'!$K$5)/2)^2))))</x:f>
        <x:v>10.318424318881325</x:v>
      </x:c>
      <x:c r="N662" s="1" t="str">
        <x:f>IF(AND(H662="Yes",ISNUMBER(M662),M662&lt;=1),COUNTIFS($H$511:$H$1010,"Yes",$M$511:$M$1010,"&lt;"&amp;M662)+COUNTIFS($H$511:H662,"Yes",$M$511:M662,M662),"")</x:f>
      </x:c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</x:row>
    <x:row r="663" ht="22" customHeight="1">
      <x:c r="A663" s="1" t="str">
        <x:v>153</x:v>
      </x:c>
      <x:c r="B663" s="1" t="str">
        <x:v>Germantown Avenue Crisis Ministry</x:v>
      </x:c>
      <x:c r="C663" s="1" t="str">
        <x:v>35 W Chelten Ave</x:v>
      </x:c>
      <x:c r="D663" s="1" t="str">
        <x:v>Food Site</x:v>
      </x:c>
      <x:c r="E663" s="1" t="str">
        <x:v>Active</x:v>
      </x:c>
      <x:c r="F663" s="1" t="n">
        <x:v>40.034884972870536</x:v>
      </x:c>
      <x:c r="G663" s="1" t="n">
        <x:v>-75.17578108168695</x:v>
      </x:c>
      <x:c r="H663" s="1" t="str">
        <x:v>Yes</x:v>
      </x:c>
      <x:c r="I663" s="1" t="str"/>
      <x:c r="J663" s="1" t="str"/>
      <x:c r="K663" s="1" t="str"/>
      <x:c r="L663" s="1" t="str">
        <x:v>https://www.philabundance.org/</x:v>
      </x:c>
      <x:c r="M663" s="1" t="n">
        <x:f>IF(OR(NOT(ISNUMBER('School Profile'!$K$4)),NOT(ISNUMBER('School Profile'!$K$5)),NOT(ISNUMBER(F663)),NOT(ISNUMBER(G663))),"",3958.7613*2*ASIN(MIN(1,SQRT(SIN(RADIANS(F663-'School Profile'!$K$4)/2)^2+COS(RADIANS('School Profile'!$K$4))*COS(RADIANS(F663))*SIN(RADIANS(G663-'School Profile'!$K$5)/2)^2))))</x:f>
        <x:v>6.212717254245948</x:v>
      </x:c>
      <x:c r="N663" s="1" t="str">
        <x:f>IF(AND(H663="Yes",ISNUMBER(M663),M663&lt;=1),COUNTIFS($H$511:$H$1010,"Yes",$M$511:$M$1010,"&lt;"&amp;M663)+COUNTIFS($H$511:H663,"Yes",$M$511:M663,M663),"")</x:f>
      </x:c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</x:row>
    <x:row r="664" ht="22" customHeight="1">
      <x:c r="A664" s="1" t="str">
        <x:v>154</x:v>
      </x:c>
      <x:c r="B664" s="1" t="str">
        <x:v>East Falls Community Fridge</x:v>
      </x:c>
      <x:c r="C664" s="1" t="str">
        <x:v>3507 Midvale Ave.</x:v>
      </x:c>
      <x:c r="D664" s="1" t="str">
        <x:v>Food Site</x:v>
      </x:c>
      <x:c r="E664" s="1" t="str">
        <x:v>Active</x:v>
      </x:c>
      <x:c r="F664" s="1" t="n">
        <x:v>40.01365287030146</x:v>
      </x:c>
      <x:c r="G664" s="1" t="n">
        <x:v>-75.19259686018775</x:v>
      </x:c>
      <x:c r="H664" s="1" t="str">
        <x:v>Yes</x:v>
      </x:c>
      <x:c r="I664" s="1" t="str"/>
      <x:c r="J664" s="1" t="str"/>
      <x:c r="K664" s="1" t="str"/>
      <x:c r="L664" s="1" t="str">
        <x:v>https://eastfallscommunityfridge.com/</x:v>
      </x:c>
      <x:c r="M664" s="1" t="n">
        <x:f>IF(OR(NOT(ISNUMBER('School Profile'!$K$4)),NOT(ISNUMBER('School Profile'!$K$5)),NOT(ISNUMBER(F664)),NOT(ISNUMBER(G664))),"",3958.7613*2*ASIN(MIN(1,SQRT(SIN(RADIANS(F664-'School Profile'!$K$4)/2)^2+COS(RADIANS('School Profile'!$K$4))*COS(RADIANS(F664))*SIN(RADIANS(G664-'School Profile'!$K$5)/2)^2))))</x:f>
        <x:v>7.639542522642728</x:v>
      </x:c>
      <x:c r="N664" s="1" t="str">
        <x:f>IF(AND(H664="Yes",ISNUMBER(M664),M664&lt;=1),COUNTIFS($H$511:$H$1010,"Yes",$M$511:$M$1010,"&lt;"&amp;M664)+COUNTIFS($H$511:H664,"Yes",$M$511:M664,M664),"")</x:f>
      </x:c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</x:row>
    <x:row r="665" ht="22" customHeight="1">
      <x:c r="A665" s="1" t="str">
        <x:v>155</x:v>
      </x:c>
      <x:c r="B665" s="1" t="str">
        <x:v>Drexel University Dornsife Center for Neighborhood Partnerships</x:v>
      </x:c>
      <x:c r="C665" s="1" t="str">
        <x:v>3509 Brandywine Street</x:v>
      </x:c>
      <x:c r="D665" s="1" t="str">
        <x:v>Food Site</x:v>
      </x:c>
      <x:c r="E665" s="1" t="str">
        <x:v>Active</x:v>
      </x:c>
      <x:c r="F665" s="1" t="n">
        <x:v>39.96338648101881</x:v>
      </x:c>
      <x:c r="G665" s="1" t="n">
        <x:v>-75.19314239358505</x:v>
      </x:c>
      <x:c r="H665" s="1" t="str">
        <x:v>Yes</x:v>
      </x:c>
      <x:c r="I665" s="1" t="str"/>
      <x:c r="J665" s="1" t="str"/>
      <x:c r="K665" s="1" t="str"/>
      <x:c r="L665" s="1" t="str">
        <x:v>https://drexel.edu/dornsifecenter/</x:v>
      </x:c>
      <x:c r="M665" s="1" t="n">
        <x:f>IF(OR(NOT(ISNUMBER('School Profile'!$K$4)),NOT(ISNUMBER('School Profile'!$K$5)),NOT(ISNUMBER(F665)),NOT(ISNUMBER(G665))),"",3958.7613*2*ASIN(MIN(1,SQRT(SIN(RADIANS(F665-'School Profile'!$K$4)/2)^2+COS(RADIANS('School Profile'!$K$4))*COS(RADIANS(F665))*SIN(RADIANS(G665-'School Profile'!$K$5)/2)^2))))</x:f>
        <x:v>9.816971142745807</x:v>
      </x:c>
      <x:c r="N665" s="1" t="str">
        <x:f>IF(AND(H665="Yes",ISNUMBER(M665),M665&lt;=1),COUNTIFS($H$511:$H$1010,"Yes",$M$511:$M$1010,"&lt;"&amp;M665)+COUNTIFS($H$511:H665,"Yes",$M$511:M665,M665),"")</x:f>
      </x:c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</x:row>
    <x:row r="666" ht="22" customHeight="1">
      <x:c r="A666" s="1" t="str">
        <x:v>156</x:v>
      </x:c>
      <x:c r="B666" s="1" t="str">
        <x:v>Drexel University Dornsife Center for Neighborhood Partnerships</x:v>
      </x:c>
      <x:c r="C666" s="1" t="str">
        <x:v>3509 Brandywine Street</x:v>
      </x:c>
      <x:c r="D666" s="1" t="str">
        <x:v>General Meal Site</x:v>
      </x:c>
      <x:c r="E666" s="1" t="str">
        <x:v>Active</x:v>
      </x:c>
      <x:c r="F666" s="1" t="n">
        <x:v>39.96338648101881</x:v>
      </x:c>
      <x:c r="G666" s="1" t="n">
        <x:v>-75.19314239358505</x:v>
      </x:c>
      <x:c r="H666" s="1" t="str">
        <x:v>No</x:v>
      </x:c>
      <x:c r="I666" s="1" t="str"/>
      <x:c r="J666" s="1" t="str"/>
      <x:c r="K666" s="1" t="str"/>
      <x:c r="L666" s="1" t="str">
        <x:v>https://drexel.edu/dornsifecenter/</x:v>
      </x:c>
      <x:c r="M666" s="1" t="n">
        <x:f>IF(OR(NOT(ISNUMBER('School Profile'!$K$4)),NOT(ISNUMBER('School Profile'!$K$5)),NOT(ISNUMBER(F666)),NOT(ISNUMBER(G666))),"",3958.7613*2*ASIN(MIN(1,SQRT(SIN(RADIANS(F666-'School Profile'!$K$4)/2)^2+COS(RADIANS('School Profile'!$K$4))*COS(RADIANS(F666))*SIN(RADIANS(G666-'School Profile'!$K$5)/2)^2))))</x:f>
        <x:v>9.816971142745807</x:v>
      </x:c>
      <x:c r="N666" s="1" t="str">
        <x:f>IF(AND(H666="Yes",ISNUMBER(M666),M666&lt;=1),COUNTIFS($H$511:$H$1010,"Yes",$M$511:$M$1010,"&lt;"&amp;M666)+COUNTIFS($H$511:H666,"Yes",$M$511:M666,M666),"")</x:f>
      </x:c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</x:row>
    <x:row r="667" ht="22" customHeight="1">
      <x:c r="A667" s="1" t="str">
        <x:v>157</x:v>
      </x:c>
      <x:c r="B667" s="1" t="str">
        <x:v>Small Things Philly Market - Fairhill</x:v>
      </x:c>
      <x:c r="C667" s="1" t="str">
        <x:v>3510 A St.</x:v>
      </x:c>
      <x:c r="D667" s="1" t="str">
        <x:v>Food Site</x:v>
      </x:c>
      <x:c r="E667" s="1" t="str">
        <x:v>Active</x:v>
      </x:c>
      <x:c r="F667" s="1" t="n">
        <x:v>40.00298229878755</x:v>
      </x:c>
      <x:c r="G667" s="1" t="n">
        <x:v>-75.12642347359113</x:v>
      </x:c>
      <x:c r="H667" s="1" t="str">
        <x:v>Yes</x:v>
      </x:c>
      <x:c r="I667" s="1" t="str"/>
      <x:c r="J667" s="1" t="str"/>
      <x:c r="K667" s="1" t="str"/>
      <x:c r="L667" s="1" t="str">
        <x:v>https://www.smallthingsphilly.org/</x:v>
      </x:c>
      <x:c r="M667" s="1" t="n">
        <x:f>IF(OR(NOT(ISNUMBER('School Profile'!$K$4)),NOT(ISNUMBER('School Profile'!$K$5)),NOT(ISNUMBER(F667)),NOT(ISNUMBER(G667))),"",3958.7613*2*ASIN(MIN(1,SQRT(SIN(RADIANS(F667-'School Profile'!$K$4)/2)^2+COS(RADIANS('School Profile'!$K$4))*COS(RADIANS(F667))*SIN(RADIANS(G667-'School Profile'!$K$5)/2)^2))))</x:f>
        <x:v>5.448995047155959</x:v>
      </x:c>
      <x:c r="N667" s="1" t="str">
        <x:f>IF(AND(H667="Yes",ISNUMBER(M667),M667&lt;=1),COUNTIFS($H$511:$H$1010,"Yes",$M$511:$M$1010,"&lt;"&amp;M667)+COUNTIFS($H$511:H667,"Yes",$M$511:M667,M667),"")</x:f>
      </x:c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</x:row>
    <x:row r="668" ht="22" customHeight="1">
      <x:c r="A668" s="1" t="str">
        <x:v>158</x:v>
      </x:c>
      <x:c r="B668" s="1" t="str">
        <x:v>Grace Lutheran Church</x:v>
      </x:c>
      <x:c r="C668" s="1" t="str">
        <x:v>3529 Haverford Ave</x:v>
      </x:c>
      <x:c r="D668" s="1" t="str">
        <x:v>Food Site</x:v>
      </x:c>
      <x:c r="E668" s="1" t="str">
        <x:v>Active</x:v>
      </x:c>
      <x:c r="F668" s="1" t="n">
        <x:v>39.96390865817461</x:v>
      </x:c>
      <x:c r="G668" s="1" t="n">
        <x:v>-75.19351407063554</x:v>
      </x:c>
      <x:c r="H668" s="1" t="str">
        <x:v>Yes</x:v>
      </x:c>
      <x:c r="I668" s="1" t="str"/>
      <x:c r="J668" s="1" t="str"/>
      <x:c r="K668" s="1" t="str"/>
      <x:c r="L668" s="1" t="str">
        <x:v>https://www.philabundance.org/</x:v>
      </x:c>
      <x:c r="M668" s="1" t="n">
        <x:f>IF(OR(NOT(ISNUMBER('School Profile'!$K$4)),NOT(ISNUMBER('School Profile'!$K$5)),NOT(ISNUMBER(F668)),NOT(ISNUMBER(G668))),"",3958.7613*2*ASIN(MIN(1,SQRT(SIN(RADIANS(F668-'School Profile'!$K$4)/2)^2+COS(RADIANS('School Profile'!$K$4))*COS(RADIANS(F668))*SIN(RADIANS(G668-'School Profile'!$K$5)/2)^2))))</x:f>
        <x:v>9.804241701764125</x:v>
      </x:c>
      <x:c r="N668" s="1" t="str">
        <x:f>IF(AND(H668="Yes",ISNUMBER(M668),M668&lt;=1),COUNTIFS($H$511:$H$1010,"Yes",$M$511:$M$1010,"&lt;"&amp;M668)+COUNTIFS($H$511:H668,"Yes",$M$511:M668,M668),"")</x:f>
      </x:c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</x:row>
    <x:row r="669" ht="22" customHeight="1">
      <x:c r="A669" s="1" t="str">
        <x:v>159</x:v>
      </x:c>
      <x:c r="B669" s="1" t="str">
        <x:v>Fresh Fire Apostolic International Ministries</x:v>
      </x:c>
      <x:c r="C669" s="1" t="str">
        <x:v>3579 Emerald Street</x:v>
      </x:c>
      <x:c r="D669" s="1" t="str">
        <x:v>Food Site</x:v>
      </x:c>
      <x:c r="E669" s="1" t="str">
        <x:v>Active</x:v>
      </x:c>
      <x:c r="F669" s="1" t="n">
        <x:v>39.99887046284702</x:v>
      </x:c>
      <x:c r="G669" s="1" t="n">
        <x:v>-75.10231734194359</x:v>
      </x:c>
      <x:c r="H669" s="1" t="str">
        <x:v>Yes</x:v>
      </x:c>
      <x:c r="I669" s="1" t="str"/>
      <x:c r="J669" s="1" t="str"/>
      <x:c r="K669" s="1" t="str"/>
      <x:c r="L669" s="1" t="str">
        <x:v>https://www.sharefoodprogram.org/</x:v>
      </x:c>
      <x:c r="M669" s="1" t="n">
        <x:f>IF(OR(NOT(ISNUMBER('School Profile'!$K$4)),NOT(ISNUMBER('School Profile'!$K$5)),NOT(ISNUMBER(F669)),NOT(ISNUMBER(G669))),"",3958.7613*2*ASIN(MIN(1,SQRT(SIN(RADIANS(F669-'School Profile'!$K$4)/2)^2+COS(RADIANS('School Profile'!$K$4))*COS(RADIANS(F669))*SIN(RADIANS(G669-'School Profile'!$K$5)/2)^2))))</x:f>
        <x:v>5.074537580839789</x:v>
      </x:c>
      <x:c r="N669" s="1" t="str">
        <x:f>IF(AND(H669="Yes",ISNUMBER(M669),M669&lt;=1),COUNTIFS($H$511:$H$1010,"Yes",$M$511:$M$1010,"&lt;"&amp;M669)+COUNTIFS($H$511:H669,"Yes",$M$511:M669,M669),"")</x:f>
      </x:c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</x:row>
    <x:row r="670" ht="22" customHeight="1">
      <x:c r="A670" s="1" t="str">
        <x:v>160</x:v>
      </x:c>
      <x:c r="B670" s="1" t="str">
        <x:v>Interfaith Food Cupboard</x:v>
      </x:c>
      <x:c r="C670" s="1" t="str">
        <x:v>3600 Baring St</x:v>
      </x:c>
      <x:c r="D670" s="1" t="str">
        <x:v>Food Site</x:v>
      </x:c>
      <x:c r="E670" s="1" t="str">
        <x:v>Active</x:v>
      </x:c>
      <x:c r="F670" s="1" t="n">
        <x:v>39.96088085993515</x:v>
      </x:c>
      <x:c r="G670" s="1" t="n">
        <x:v>-75.19417975999032</x:v>
      </x:c>
      <x:c r="H670" s="1" t="str">
        <x:v>Yes</x:v>
      </x:c>
      <x:c r="I670" s="1" t="str"/>
      <x:c r="J670" s="1" t="str"/>
      <x:c r="K670" s="1" t="str"/>
      <x:c r="L670" s="1" t="str">
        <x:v>https://www.sharefoodprogram.org/</x:v>
      </x:c>
      <x:c r="M670" s="1" t="n">
        <x:f>IF(OR(NOT(ISNUMBER('School Profile'!$K$4)),NOT(ISNUMBER('School Profile'!$K$5)),NOT(ISNUMBER(F670)),NOT(ISNUMBER(G670))),"",3958.7613*2*ASIN(MIN(1,SQRT(SIN(RADIANS(F670-'School Profile'!$K$4)/2)^2+COS(RADIANS('School Profile'!$K$4))*COS(RADIANS(F670))*SIN(RADIANS(G670-'School Profile'!$K$5)/2)^2))))</x:f>
        <x:v>9.98104872782756</x:v>
      </x:c>
      <x:c r="N670" s="1" t="str">
        <x:f>IF(AND(H670="Yes",ISNUMBER(M670),M670&lt;=1),COUNTIFS($H$511:$H$1010,"Yes",$M$511:$M$1010,"&lt;"&amp;M670)+COUNTIFS($H$511:H670,"Yes",$M$511:M670,M670),"")</x:f>
      </x:c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</x:row>
    <x:row r="671" ht="22" customHeight="1">
      <x:c r="A671" s="1" t="str">
        <x:v>161</x:v>
      </x:c>
      <x:c r="B671" s="1" t="str">
        <x:v>As I Plant This Seed Community Fridge</x:v>
      </x:c>
      <x:c r="C671" s="1" t="str">
        <x:v>3958 N 9th St</x:v>
      </x:c>
      <x:c r="D671" s="1" t="str">
        <x:v>Food Site</x:v>
      </x:c>
      <x:c r="E671" s="1" t="str">
        <x:v>Active</x:v>
      </x:c>
      <x:c r="F671" s="1" t="n">
        <x:v>40.01209336774384</x:v>
      </x:c>
      <x:c r="G671" s="1" t="n">
        <x:v>-75.14199773725014</x:v>
      </x:c>
      <x:c r="H671" s="1" t="str">
        <x:v>Yes</x:v>
      </x:c>
      <x:c r="I671" s="1" t="str"/>
      <x:c r="J671" s="1" t="str"/>
      <x:c r="K671" s="1" t="str"/>
      <x:c r="L671" s="1" t="str"/>
      <x:c r="M671" s="1" t="n">
        <x:f>IF(OR(NOT(ISNUMBER('School Profile'!$K$4)),NOT(ISNUMBER('School Profile'!$K$5)),NOT(ISNUMBER(F671)),NOT(ISNUMBER(G671))),"",3958.7613*2*ASIN(MIN(1,SQRT(SIN(RADIANS(F671-'School Profile'!$K$4)/2)^2+COS(RADIANS('School Profile'!$K$4))*COS(RADIANS(F671))*SIN(RADIANS(G671-'School Profile'!$K$5)/2)^2))))</x:f>
        <x:v>5.520680426901882</x:v>
      </x:c>
      <x:c r="N671" s="1" t="str">
        <x:f>IF(AND(H671="Yes",ISNUMBER(M671),M671&lt;=1),COUNTIFS($H$511:$H$1010,"Yes",$M$511:$M$1010,"&lt;"&amp;M671)+COUNTIFS($H$511:H671,"Yes",$M$511:M671,M671),"")</x:f>
      </x:c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</x:row>
    <x:row r="672" ht="22" customHeight="1">
      <x:c r="A672" s="1" t="str">
        <x:v>162</x:v>
      </x:c>
      <x:c r="B672" s="1" t="str">
        <x:v>Chosen 300 Ministries Inc.</x:v>
      </x:c>
      <x:c r="C672" s="1" t="str">
        <x:v>3959 Lancaster Ave</x:v>
      </x:c>
      <x:c r="D672" s="1" t="str">
        <x:v>Food Site</x:v>
      </x:c>
      <x:c r="E672" s="1" t="str">
        <x:v>Active</x:v>
      </x:c>
      <x:c r="F672" s="1" t="n">
        <x:v>39.96314356996052</x:v>
      </x:c>
      <x:c r="G672" s="1" t="n">
        <x:v>-75.20201459999707</x:v>
      </x:c>
      <x:c r="H672" s="1" t="str">
        <x:v>Yes</x:v>
      </x:c>
      <x:c r="I672" s="1" t="str"/>
      <x:c r="J672" s="1" t="str"/>
      <x:c r="K672" s="1" t="str"/>
      <x:c r="L672" s="1" t="str">
        <x:v>https://www.philabundance.org/</x:v>
      </x:c>
      <x:c r="M672" s="1" t="n">
        <x:f>IF(OR(NOT(ISNUMBER('School Profile'!$K$4)),NOT(ISNUMBER('School Profile'!$K$5)),NOT(ISNUMBER(F672)),NOT(ISNUMBER(G672))),"",3958.7613*2*ASIN(MIN(1,SQRT(SIN(RADIANS(F672-'School Profile'!$K$4)/2)^2+COS(RADIANS('School Profile'!$K$4))*COS(RADIANS(F672))*SIN(RADIANS(G672-'School Profile'!$K$5)/2)^2))))</x:f>
        <x:v>10.156377260017779</x:v>
      </x:c>
      <x:c r="N672" s="1" t="str">
        <x:f>IF(AND(H672="Yes",ISNUMBER(M672),M672&lt;=1),COUNTIFS($H$511:$H$1010,"Yes",$M$511:$M$1010,"&lt;"&amp;M672)+COUNTIFS($H$511:H672,"Yes",$M$511:M672,M672),"")</x:f>
      </x:c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</x:row>
    <x:row r="673" ht="22" customHeight="1">
      <x:c r="A673" s="1" t="str">
        <x:v>163</x:v>
      </x:c>
      <x:c r="B673" s="1" t="str">
        <x:v>The Welcome Church</x:v>
      </x:c>
      <x:c r="C673" s="1" t="str">
        <x:v>2111 Sansom St</x:v>
      </x:c>
      <x:c r="D673" s="1" t="str">
        <x:v>General Meal Site</x:v>
      </x:c>
      <x:c r="E673" s="1" t="str">
        <x:v>Active</x:v>
      </x:c>
      <x:c r="F673" s="1" t="n">
        <x:v>39.95166849602029</x:v>
      </x:c>
      <x:c r="G673" s="1" t="n">
        <x:v>-75.17621685532959</x:v>
      </x:c>
      <x:c r="H673" s="1" t="str">
        <x:v>No</x:v>
      </x:c>
      <x:c r="I673" s="1" t="str"/>
      <x:c r="J673" s="1" t="str"/>
      <x:c r="K673" s="1" t="str"/>
      <x:c r="L673" s="1" t="str">
        <x:v>https://www.phila.gov/departments/office-of-homeless-services/</x:v>
      </x:c>
      <x:c r="M673" s="1" t="n">
        <x:f>IF(OR(NOT(ISNUMBER('School Profile'!$K$4)),NOT(ISNUMBER('School Profile'!$K$5)),NOT(ISNUMBER(F673)),NOT(ISNUMBER(G673))),"",3958.7613*2*ASIN(MIN(1,SQRT(SIN(RADIANS(F673-'School Profile'!$K$4)/2)^2+COS(RADIANS('School Profile'!$K$4))*COS(RADIANS(F673))*SIN(RADIANS(G673-'School Profile'!$K$5)/2)^2))))</x:f>
        <x:v>9.867007425900281</x:v>
      </x:c>
      <x:c r="N673" s="1" t="str">
        <x:f>IF(AND(H673="Yes",ISNUMBER(M673),M673&lt;=1),COUNTIFS($H$511:$H$1010,"Yes",$M$511:$M$1010,"&lt;"&amp;M673)+COUNTIFS($H$511:H673,"Yes",$M$511:M673,M673),"")</x:f>
      </x:c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</x:row>
    <x:row r="674" ht="22" customHeight="1">
      <x:c r="A674" s="1" t="str">
        <x:v>164</x:v>
      </x:c>
      <x:c r="B674" s="1" t="str">
        <x:v>The Center at Journey’s Way</x:v>
      </x:c>
      <x:c r="C674" s="1" t="str">
        <x:v>403 Rector St.</x:v>
      </x:c>
      <x:c r="D674" s="1" t="str">
        <x:v>Senior Meal Site</x:v>
      </x:c>
      <x:c r="E674" s="1" t="str">
        <x:v>Active</x:v>
      </x:c>
      <x:c r="F674" s="1" t="n">
        <x:v>40.02763010990351</x:v>
      </x:c>
      <x:c r="G674" s="1" t="n">
        <x:v>-75.2140271998614</x:v>
      </x:c>
      <x:c r="H674" s="1" t="str">
        <x:v>No</x:v>
      </x:c>
      <x:c r="I674" s="1" t="str"/>
      <x:c r="J674" s="1" t="str"/>
      <x:c r="K674" s="1" t="str"/>
      <x:c r="L674" s="1" t="str">
        <x:v>https://www.pcacares.org/</x:v>
      </x:c>
      <x:c r="M674" s="1" t="n">
        <x:f>IF(OR(NOT(ISNUMBER('School Profile'!$K$4)),NOT(ISNUMBER('School Profile'!$K$5)),NOT(ISNUMBER(F674)),NOT(ISNUMBER(G674))),"",3958.7613*2*ASIN(MIN(1,SQRT(SIN(RADIANS(F674-'School Profile'!$K$4)/2)^2+COS(RADIANS('School Profile'!$K$4))*COS(RADIANS(F674))*SIN(RADIANS(G674-'School Profile'!$K$5)/2)^2))))</x:f>
        <x:v>8.285787406083436</x:v>
      </x:c>
      <x:c r="N674" s="1" t="str">
        <x:f>IF(AND(H674="Yes",ISNUMBER(M674),M674&lt;=1),COUNTIFS($H$511:$H$1010,"Yes",$M$511:$M$1010,"&lt;"&amp;M674)+COUNTIFS($H$511:H674,"Yes",$M$511:M674,M674),"")</x:f>
      </x:c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</x:row>
    <x:row r="675" ht="22" customHeight="1">
      <x:c r="A675" s="1" t="str">
        <x:v>165</x:v>
      </x:c>
      <x:c r="B675" s="1" t="str">
        <x:v>Mount Zion United Holy Church</x:v>
      </x:c>
      <x:c r="C675" s="1" t="str">
        <x:v>4118 Haverford Ave</x:v>
      </x:c>
      <x:c r="D675" s="1" t="str">
        <x:v>Food Site</x:v>
      </x:c>
      <x:c r="E675" s="1" t="str">
        <x:v>Active</x:v>
      </x:c>
      <x:c r="F675" s="1" t="n">
        <x:v>39.96247403329077</x:v>
      </x:c>
      <x:c r="G675" s="1" t="n">
        <x:v>-75.2063277153067</x:v>
      </x:c>
      <x:c r="H675" s="1" t="str">
        <x:v>Yes</x:v>
      </x:c>
      <x:c r="I675" s="1" t="str"/>
      <x:c r="J675" s="1" t="str"/>
      <x:c r="K675" s="1" t="str"/>
      <x:c r="L675" s="1" t="str">
        <x:v>https://www.philabundance.org/</x:v>
      </x:c>
      <x:c r="M675" s="1" t="n">
        <x:f>IF(OR(NOT(ISNUMBER('School Profile'!$K$4)),NOT(ISNUMBER('School Profile'!$K$5)),NOT(ISNUMBER(F675)),NOT(ISNUMBER(G675))),"",3958.7613*2*ASIN(MIN(1,SQRT(SIN(RADIANS(F675-'School Profile'!$K$4)/2)^2+COS(RADIANS('School Profile'!$K$4))*COS(RADIANS(F675))*SIN(RADIANS(G675-'School Profile'!$K$5)/2)^2))))</x:f>
        <x:v>10.351595860223842</x:v>
      </x:c>
      <x:c r="N675" s="1" t="str">
        <x:f>IF(AND(H675="Yes",ISNUMBER(M675),M675&lt;=1),COUNTIFS($H$511:$H$1010,"Yes",$M$511:$M$1010,"&lt;"&amp;M675)+COUNTIFS($H$511:H675,"Yes",$M$511:M675,M675),"")</x:f>
      </x:c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</x:row>
    <x:row r="676" ht="22" customHeight="1">
      <x:c r="A676" s="1" t="str">
        <x:v>166</x:v>
      </x:c>
      <x:c r="B676" s="1" t="str">
        <x:v>Two Ladies of Christ</x:v>
      </x:c>
      <x:c r="C676" s="1" t="str">
        <x:v>4125 Ludlow St</x:v>
      </x:c>
      <x:c r="D676" s="1" t="str">
        <x:v>Food Site</x:v>
      </x:c>
      <x:c r="E676" s="1" t="str">
        <x:v>Active</x:v>
      </x:c>
      <x:c r="F676" s="1" t="n">
        <x:v>39.95695993977041</x:v>
      </x:c>
      <x:c r="G676" s="1" t="n">
        <x:v>-75.20563172038752</x:v>
      </x:c>
      <x:c r="H676" s="1" t="str">
        <x:v>Yes</x:v>
      </x:c>
      <x:c r="I676" s="1" t="str"/>
      <x:c r="J676" s="1" t="str"/>
      <x:c r="K676" s="1" t="str"/>
      <x:c r="L676" s="1" t="str">
        <x:v>https://www.philabundance.org/</x:v>
      </x:c>
      <x:c r="M676" s="1" t="n">
        <x:f>IF(OR(NOT(ISNUMBER('School Profile'!$K$4)),NOT(ISNUMBER('School Profile'!$K$5)),NOT(ISNUMBER(F676)),NOT(ISNUMBER(G676))),"",3958.7613*2*ASIN(MIN(1,SQRT(SIN(RADIANS(F676-'School Profile'!$K$4)/2)^2+COS(RADIANS('School Profile'!$K$4))*COS(RADIANS(F676))*SIN(RADIANS(G676-'School Profile'!$K$5)/2)^2))))</x:f>
        <x:v>10.595004747120871</x:v>
      </x:c>
      <x:c r="N676" s="1" t="str">
        <x:f>IF(AND(H676="Yes",ISNUMBER(M676),M676&lt;=1),COUNTIFS($H$511:$H$1010,"Yes",$M$511:$M$1010,"&lt;"&amp;M676)+COUNTIFS($H$511:H676,"Yes",$M$511:M676,M676),"")</x:f>
      </x:c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</x:row>
    <x:row r="677" ht="22" customHeight="1">
      <x:c r="A677" s="1" t="str">
        <x:v>167</x:v>
      </x:c>
      <x:c r="B677" s="1" t="str">
        <x:v>BenePhilly Center at Esperanza</x:v>
      </x:c>
      <x:c r="C677" s="1" t="str">
        <x:v>4261 N. 5th St.</x:v>
      </x:c>
      <x:c r="D677" s="1" t="str">
        <x:v>Public Benefits</x:v>
      </x:c>
      <x:c r="E677" s="1" t="str">
        <x:v>Active</x:v>
      </x:c>
      <x:c r="F677" s="1" t="n">
        <x:v>40.01626080013623</x:v>
      </x:c>
      <x:c r="G677" s="1" t="n">
        <x:v>-75.13416738971812</x:v>
      </x:c>
      <x:c r="H677" s="1" t="str">
        <x:v>No</x:v>
      </x:c>
      <x:c r="I677" s="1" t="str"/>
      <x:c r="J677" s="1" t="str"/>
      <x:c r="K677" s="1" t="str"/>
      <x:c r="L677" s="1" t="str">
        <x:v>https://www.esperanza.us/</x:v>
      </x:c>
      <x:c r="M677" s="1" t="n">
        <x:f>IF(OR(NOT(ISNUMBER('School Profile'!$K$4)),NOT(ISNUMBER('School Profile'!$K$5)),NOT(ISNUMBER(F677)),NOT(ISNUMBER(G677))),"",3958.7613*2*ASIN(MIN(1,SQRT(SIN(RADIANS(F677-'School Profile'!$K$4)/2)^2+COS(RADIANS('School Profile'!$K$4))*COS(RADIANS(F677))*SIN(RADIANS(G677-'School Profile'!$K$5)/2)^2))))</x:f>
        <x:v>5.022158441619803</x:v>
      </x:c>
      <x:c r="N677" s="1" t="str">
        <x:f>IF(AND(H677="Yes",ISNUMBER(M677),M677&lt;=1),COUNTIFS($H$511:$H$1010,"Yes",$M$511:$M$1010,"&lt;"&amp;M677)+COUNTIFS($H$511:H677,"Yes",$M$511:M677,M677),"")</x:f>
      </x:c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</x:row>
    <x:row r="678" ht="22" customHeight="1">
      <x:c r="A678" s="1" t="str">
        <x:v>168</x:v>
      </x:c>
      <x:c r="B678" s="1" t="str">
        <x:v>Mizpah SDA</x:v>
      </x:c>
      <x:c r="C678" s="1" t="str">
        <x:v>4355 Paul St</x:v>
      </x:c>
      <x:c r="D678" s="1" t="str">
        <x:v>Food Site</x:v>
      </x:c>
      <x:c r="E678" s="1" t="str">
        <x:v>Active</x:v>
      </x:c>
      <x:c r="F678" s="1" t="n">
        <x:v>40.0115614199309</x:v>
      </x:c>
      <x:c r="G678" s="1" t="n">
        <x:v>-75.08627001018462</x:v>
      </x:c>
      <x:c r="H678" s="1" t="str">
        <x:v>Yes</x:v>
      </x:c>
      <x:c r="I678" s="1" t="str"/>
      <x:c r="J678" s="1" t="str"/>
      <x:c r="K678" s="1" t="str"/>
      <x:c r="L678" s="1" t="str"/>
      <x:c r="M678" s="1" t="n">
        <x:f>IF(OR(NOT(ISNUMBER('School Profile'!$K$4)),NOT(ISNUMBER('School Profile'!$K$5)),NOT(ISNUMBER(F678)),NOT(ISNUMBER(G678))),"",3958.7613*2*ASIN(MIN(1,SQRT(SIN(RADIANS(F678-'School Profile'!$K$4)/2)^2+COS(RADIANS('School Profile'!$K$4))*COS(RADIANS(F678))*SIN(RADIANS(G678-'School Profile'!$K$5)/2)^2))))</x:f>
        <x:v>3.9674255806827783</x:v>
      </x:c>
      <x:c r="N678" s="1" t="str">
        <x:f>IF(AND(H678="Yes",ISNUMBER(M678),M678&lt;=1),COUNTIFS($H$511:$H$1010,"Yes",$M$511:$M$1010,"&lt;"&amp;M678)+COUNTIFS($H$511:H678,"Yes",$M$511:M678,M678),"")</x:f>
      </x:c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</x:row>
    <x:row r="679" ht="22" customHeight="1">
      <x:c r="A679" s="1" t="str">
        <x:v>169</x:v>
      </x:c>
      <x:c r="B679" s="1" t="str">
        <x:v>Ujima Friends Peace Center</x:v>
      </x:c>
      <x:c r="C679" s="1" t="str">
        <x:v>4371 Waln St</x:v>
      </x:c>
      <x:c r="D679" s="1" t="str">
        <x:v>Food Site</x:v>
      </x:c>
      <x:c r="E679" s="1" t="str">
        <x:v>Active</x:v>
      </x:c>
      <x:c r="F679" s="1" t="n">
        <x:v>40.01127766975613</x:v>
      </x:c>
      <x:c r="G679" s="1" t="n">
        <x:v>-75.08457764527476</x:v>
      </x:c>
      <x:c r="H679" s="1" t="str">
        <x:v>Yes</x:v>
      </x:c>
      <x:c r="I679" s="1" t="str"/>
      <x:c r="J679" s="1" t="str"/>
      <x:c r="K679" s="1" t="str"/>
      <x:c r="L679" s="1" t="str">
        <x:v>https://www.philabundance.org/</x:v>
      </x:c>
      <x:c r="M679" s="1" t="n">
        <x:f>IF(OR(NOT(ISNUMBER('School Profile'!$K$4)),NOT(ISNUMBER('School Profile'!$K$5)),NOT(ISNUMBER(F679)),NOT(ISNUMBER(G679))),"",3958.7613*2*ASIN(MIN(1,SQRT(SIN(RADIANS(F679-'School Profile'!$K$4)/2)^2+COS(RADIANS('School Profile'!$K$4))*COS(RADIANS(F679))*SIN(RADIANS(G679-'School Profile'!$K$5)/2)^2))))</x:f>
        <x:v>3.963142299329342</x:v>
      </x:c>
      <x:c r="N679" s="1" t="str">
        <x:f>IF(AND(H679="Yes",ISNUMBER(M679),M679&lt;=1),COUNTIFS($H$511:$H$1010,"Yes",$M$511:$M$1010,"&lt;"&amp;M679)+COUNTIFS($H$511:H679,"Yes",$M$511:M679,M679),"")</x:f>
      </x:c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</x:row>
    <x:row r="680" ht="22" customHeight="1">
      <x:c r="A680" s="1" t="str">
        <x:v>170</x:v>
      </x:c>
      <x:c r="B680" s="1" t="str">
        <x:v>Casa Del Carmen</x:v>
      </x:c>
      <x:c r="C680" s="1" t="str">
        <x:v>4400 N Reese St</x:v>
      </x:c>
      <x:c r="D680" s="1" t="str">
        <x:v>Food Site</x:v>
      </x:c>
      <x:c r="E680" s="1" t="str">
        <x:v>Active</x:v>
      </x:c>
      <x:c r="F680" s="1" t="n">
        <x:v>40.019076564298516</x:v>
      </x:c>
      <x:c r="G680" s="1" t="n">
        <x:v>-75.13506169312616</x:v>
      </x:c>
      <x:c r="H680" s="1" t="str">
        <x:v>Yes</x:v>
      </x:c>
      <x:c r="I680" s="1" t="str"/>
      <x:c r="J680" s="1" t="str"/>
      <x:c r="K680" s="1" t="str"/>
      <x:c r="L680" s="1" t="str">
        <x:v>https://www.philabundance.org/</x:v>
      </x:c>
      <x:c r="M680" s="1" t="n">
        <x:f>IF(OR(NOT(ISNUMBER('School Profile'!$K$4)),NOT(ISNUMBER('School Profile'!$K$5)),NOT(ISNUMBER(F680)),NOT(ISNUMBER(G680))),"",3958.7613*2*ASIN(MIN(1,SQRT(SIN(RADIANS(F680-'School Profile'!$K$4)/2)^2+COS(RADIANS('School Profile'!$K$4))*COS(RADIANS(F680))*SIN(RADIANS(G680-'School Profile'!$K$5)/2)^2))))</x:f>
        <x:v>4.9237175360169925</x:v>
      </x:c>
      <x:c r="N680" s="1" t="str">
        <x:f>IF(AND(H680="Yes",ISNUMBER(M680),M680&lt;=1),COUNTIFS($H$511:$H$1010,"Yes",$M$511:$M$1010,"&lt;"&amp;M680)+COUNTIFS($H$511:H680,"Yes",$M$511:M680,M680),"")</x:f>
      </x:c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</x:row>
    <x:row r="681" ht="22" customHeight="1">
      <x:c r="A681" s="1" t="str">
        <x:v>171</x:v>
      </x:c>
      <x:c r="B681" s="1" t="str">
        <x:v>Centre d'Adoration Chretienne</x:v>
      </x:c>
      <x:c r="C681" s="1" t="str">
        <x:v>4520 Benner St</x:v>
      </x:c>
      <x:c r="D681" s="1" t="str">
        <x:v>Food Site</x:v>
      </x:c>
      <x:c r="E681" s="1" t="str">
        <x:v>Active</x:v>
      </x:c>
      <x:c r="F681" s="1" t="n">
        <x:v>40.01987578969775</x:v>
      </x:c>
      <x:c r="G681" s="1" t="n">
        <x:v>-75.05905045969612</x:v>
      </x:c>
      <x:c r="H681" s="1" t="str">
        <x:v>Yes</x:v>
      </x:c>
      <x:c r="I681" s="1" t="str"/>
      <x:c r="J681" s="1" t="str"/>
      <x:c r="K681" s="1" t="str"/>
      <x:c r="L681" s="1" t="str">
        <x:v>https://www.sharefoodprogram.org/</x:v>
      </x:c>
      <x:c r="M681" s="1" t="n">
        <x:f>IF(OR(NOT(ISNUMBER('School Profile'!$K$4)),NOT(ISNUMBER('School Profile'!$K$5)),NOT(ISNUMBER(F681)),NOT(ISNUMBER(G681))),"",3958.7613*2*ASIN(MIN(1,SQRT(SIN(RADIANS(F681-'School Profile'!$K$4)/2)^2+COS(RADIANS('School Profile'!$K$4))*COS(RADIANS(F681))*SIN(RADIANS(G681-'School Profile'!$K$5)/2)^2))))</x:f>
        <x:v>3.265727246167678</x:v>
      </x:c>
      <x:c r="N681" s="1" t="str">
        <x:f>IF(AND(H681="Yes",ISNUMBER(M681),M681&lt;=1),COUNTIFS($H$511:$H$1010,"Yes",$M$511:$M$1010,"&lt;"&amp;M681)+COUNTIFS($H$511:H681,"Yes",$M$511:M681,M681),"")</x:f>
      </x:c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</x:row>
    <x:row r="682" ht="22" customHeight="1">
      <x:c r="A682" s="1" t="str">
        <x:v>172</x:v>
      </x:c>
      <x:c r="B682" s="1" t="str">
        <x:v>West Philadelphia SDA</x:v>
      </x:c>
      <x:c r="C682" s="1" t="str">
        <x:v>4527 Haverford Ave.</x:v>
      </x:c>
      <x:c r="D682" s="1" t="str">
        <x:v>Food Site</x:v>
      </x:c>
      <x:c r="E682" s="1" t="str">
        <x:v>Active</x:v>
      </x:c>
      <x:c r="F682" s="1" t="n">
        <x:v>39.96262247414393</x:v>
      </x:c>
      <x:c r="G682" s="1" t="n">
        <x:v>-75.2133276539019</x:v>
      </x:c>
      <x:c r="H682" s="1" t="str">
        <x:v>Yes</x:v>
      </x:c>
      <x:c r="I682" s="1" t="str"/>
      <x:c r="J682" s="1" t="str"/>
      <x:c r="K682" s="1" t="str"/>
      <x:c r="L682" s="1" t="str">
        <x:v>https://www.philabundance.org/</x:v>
      </x:c>
      <x:c r="M682" s="1" t="n">
        <x:f>IF(OR(NOT(ISNUMBER('School Profile'!$K$4)),NOT(ISNUMBER('School Profile'!$K$5)),NOT(ISNUMBER(F682)),NOT(ISNUMBER(G682))),"",3958.7613*2*ASIN(MIN(1,SQRT(SIN(RADIANS(F682-'School Profile'!$K$4)/2)^2+COS(RADIANS('School Profile'!$K$4))*COS(RADIANS(F682))*SIN(RADIANS(G682-'School Profile'!$K$5)/2)^2))))</x:f>
        <x:v>10.61351506479088</x:v>
      </x:c>
      <x:c r="N682" s="1" t="str">
        <x:f>IF(AND(H682="Yes",ISNUMBER(M682),M682&lt;=1),COUNTIFS($H$511:$H$1010,"Yes",$M$511:$M$1010,"&lt;"&amp;M682)+COUNTIFS($H$511:H682,"Yes",$M$511:M682,M682),"")</x:f>
      </x:c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</x:row>
    <x:row r="683" ht="22" customHeight="1">
      <x:c r="A683" s="1" t="str">
        <x:v>173</x:v>
      </x:c>
      <x:c r="B683" s="1" t="str">
        <x:v>West Philadelphia SDA</x:v>
      </x:c>
      <x:c r="C683" s="1" t="str">
        <x:v>4527 Haverford Ave.</x:v>
      </x:c>
      <x:c r="D683" s="1" t="str">
        <x:v>General Meal Site</x:v>
      </x:c>
      <x:c r="E683" s="1" t="str">
        <x:v>Active</x:v>
      </x:c>
      <x:c r="F683" s="1" t="n">
        <x:v>39.96262247414393</x:v>
      </x:c>
      <x:c r="G683" s="1" t="n">
        <x:v>-75.2133276539019</x:v>
      </x:c>
      <x:c r="H683" s="1" t="str">
        <x:v>No</x:v>
      </x:c>
      <x:c r="I683" s="1" t="str"/>
      <x:c r="J683" s="1" t="str"/>
      <x:c r="K683" s="1" t="str"/>
      <x:c r="L683" s="1" t="str">
        <x:v>https://www.philabundance.org/</x:v>
      </x:c>
      <x:c r="M683" s="1" t="n">
        <x:f>IF(OR(NOT(ISNUMBER('School Profile'!$K$4)),NOT(ISNUMBER('School Profile'!$K$5)),NOT(ISNUMBER(F683)),NOT(ISNUMBER(G683))),"",3958.7613*2*ASIN(MIN(1,SQRT(SIN(RADIANS(F683-'School Profile'!$K$4)/2)^2+COS(RADIANS('School Profile'!$K$4))*COS(RADIANS(F683))*SIN(RADIANS(G683-'School Profile'!$K$5)/2)^2))))</x:f>
        <x:v>10.61351506479088</x:v>
      </x:c>
      <x:c r="N683" s="1" t="str">
        <x:f>IF(AND(H683="Yes",ISNUMBER(M683),M683&lt;=1),COUNTIFS($H$511:$H$1010,"Yes",$M$511:$M$1010,"&lt;"&amp;M683)+COUNTIFS($H$511:H683,"Yes",$M$511:M683,M683),"")</x:f>
      </x:c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</x:row>
    <x:row r="684" ht="22" customHeight="1">
      <x:c r="A684" s="1" t="str">
        <x:v>174</x:v>
      </x:c>
      <x:c r="B684" s="1" t="str">
        <x:v>Mt. Vernon Baptist Church</x:v>
      </x:c>
      <x:c r="C684" s="1" t="str">
        <x:v>458 E Rittenhouse St</x:v>
      </x:c>
      <x:c r="D684" s="1" t="str">
        <x:v>Food Site</x:v>
      </x:c>
      <x:c r="E684" s="1" t="str">
        <x:v>Active</x:v>
      </x:c>
      <x:c r="F684" s="1" t="n">
        <x:v>40.04234896080641</x:v>
      </x:c>
      <x:c r="G684" s="1" t="n">
        <x:v>-75.17099971234896</x:v>
      </x:c>
      <x:c r="H684" s="1" t="str">
        <x:v>Yes</x:v>
      </x:c>
      <x:c r="I684" s="1" t="str"/>
      <x:c r="J684" s="1" t="str"/>
      <x:c r="K684" s="1" t="str"/>
      <x:c r="L684" s="1" t="str"/>
      <x:c r="M684" s="1" t="n">
        <x:f>IF(OR(NOT(ISNUMBER('School Profile'!$K$4)),NOT(ISNUMBER('School Profile'!$K$5)),NOT(ISNUMBER(F684)),NOT(ISNUMBER(G684))),"",3958.7613*2*ASIN(MIN(1,SQRT(SIN(RADIANS(F684-'School Profile'!$K$4)/2)^2+COS(RADIANS('School Profile'!$K$4))*COS(RADIANS(F684))*SIN(RADIANS(G684-'School Profile'!$K$5)/2)^2))))</x:f>
        <x:v>5.8060256467995695</x:v>
      </x:c>
      <x:c r="N684" s="1" t="str">
        <x:f>IF(AND(H684="Yes",ISNUMBER(M684),M684&lt;=1),COUNTIFS($H$511:$H$1010,"Yes",$M$511:$M$1010,"&lt;"&amp;M684)+COUNTIFS($H$511:H684,"Yes",$M$511:M684,M684),"")</x:f>
      </x:c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</x:row>
    <x:row r="685" ht="22" customHeight="1">
      <x:c r="A685" s="1" t="str">
        <x:v>175</x:v>
      </x:c>
      <x:c r="B685" s="1" t="str">
        <x:v>Mama-Tee Fridge at Hue Boba Cafe</x:v>
      </x:c>
      <x:c r="C685" s="1" t="str">
        <x:v>4600 Woodland Ave</x:v>
      </x:c>
      <x:c r="D685" s="1" t="str">
        <x:v>Food Site</x:v>
      </x:c>
      <x:c r="E685" s="1" t="str">
        <x:v>Active</x:v>
      </x:c>
      <x:c r="F685" s="1" t="n">
        <x:v>39.944335121744494</x:v>
      </x:c>
      <x:c r="G685" s="1" t="n">
        <x:v>-75.20976098289782</x:v>
      </x:c>
      <x:c r="H685" s="1" t="str">
        <x:v>Yes</x:v>
      </x:c>
      <x:c r="I685" s="1" t="str"/>
      <x:c r="J685" s="1" t="str"/>
      <x:c r="K685" s="1" t="str"/>
      <x:c r="L685" s="1" t="str">
        <x:v>https://www.mamateefridge.com/</x:v>
      </x:c>
      <x:c r="M685" s="1" t="n">
        <x:f>IF(OR(NOT(ISNUMBER('School Profile'!$K$4)),NOT(ISNUMBER('School Profile'!$K$5)),NOT(ISNUMBER(F685)),NOT(ISNUMBER(G685))),"",3958.7613*2*ASIN(MIN(1,SQRT(SIN(RADIANS(F685-'School Profile'!$K$4)/2)^2+COS(RADIANS('School Profile'!$K$4))*COS(RADIANS(F685))*SIN(RADIANS(G685-'School Profile'!$K$5)/2)^2))))</x:f>
        <x:v>11.38192986356918</x:v>
      </x:c>
      <x:c r="N685" s="1" t="str">
        <x:f>IF(AND(H685="Yes",ISNUMBER(M685),M685&lt;=1),COUNTIFS($H$511:$H$1010,"Yes",$M$511:$M$1010,"&lt;"&amp;M685)+COUNTIFS($H$511:H685,"Yes",$M$511:M685,M685),"")</x:f>
      </x:c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</x:row>
    <x:row r="686" ht="22" customHeight="1">
      <x:c r="A686" s="1" t="str">
        <x:v>176</x:v>
      </x:c>
      <x:c r="B686" s="1" t="str">
        <x:v>Bless Philadelphia Corporation</x:v>
      </x:c>
      <x:c r="C686" s="1" t="str">
        <x:v>4610 Devereaux St</x:v>
      </x:c>
      <x:c r="D686" s="1" t="str">
        <x:v>Food Site</x:v>
      </x:c>
      <x:c r="E686" s="1" t="str">
        <x:v>Active</x:v>
      </x:c>
      <x:c r="F686" s="1" t="n">
        <x:v>40.020195710037214</x:v>
      </x:c>
      <x:c r="G686" s="1" t="n">
        <x:v>-75.05638014025897</x:v>
      </x:c>
      <x:c r="H686" s="1" t="str">
        <x:v>Yes</x:v>
      </x:c>
      <x:c r="I686" s="1" t="str"/>
      <x:c r="J686" s="1" t="str"/>
      <x:c r="K686" s="1" t="str"/>
      <x:c r="L686" s="1" t="str">
        <x:v>https://www.philabundance.org/</x:v>
      </x:c>
      <x:c r="M686" s="1" t="n">
        <x:f>IF(OR(NOT(ISNUMBER('School Profile'!$K$4)),NOT(ISNUMBER('School Profile'!$K$5)),NOT(ISNUMBER(F686)),NOT(ISNUMBER(G686))),"",3958.7613*2*ASIN(MIN(1,SQRT(SIN(RADIANS(F686-'School Profile'!$K$4)/2)^2+COS(RADIANS('School Profile'!$K$4))*COS(RADIANS(F686))*SIN(RADIANS(G686-'School Profile'!$K$5)/2)^2))))</x:f>
        <x:v>3.2627517524478513</x:v>
      </x:c>
      <x:c r="N686" s="1" t="str">
        <x:f>IF(AND(H686="Yes",ISNUMBER(M686),M686&lt;=1),COUNTIFS($H$511:$H$1010,"Yes",$M$511:$M$1010,"&lt;"&amp;M686)+COUNTIFS($H$511:H686,"Yes",$M$511:M686,M686),"")</x:f>
      </x:c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</x:row>
    <x:row r="687" ht="22" customHeight="1">
      <x:c r="A687" s="1" t="str">
        <x:v>177</x:v>
      </x:c>
      <x:c r="B687" s="1" t="str">
        <x:v>Bless Philadelphia Corporation</x:v>
      </x:c>
      <x:c r="C687" s="1" t="str">
        <x:v>4610 Devereaux St</x:v>
      </x:c>
      <x:c r="D687" s="1" t="str">
        <x:v>General Meal Site</x:v>
      </x:c>
      <x:c r="E687" s="1" t="str">
        <x:v>Active</x:v>
      </x:c>
      <x:c r="F687" s="1" t="n">
        <x:v>40.020195710037214</x:v>
      </x:c>
      <x:c r="G687" s="1" t="n">
        <x:v>-75.05638014025897</x:v>
      </x:c>
      <x:c r="H687" s="1" t="str">
        <x:v>No</x:v>
      </x:c>
      <x:c r="I687" s="1" t="str"/>
      <x:c r="J687" s="1" t="str"/>
      <x:c r="K687" s="1" t="str"/>
      <x:c r="L687" s="1" t="str">
        <x:v>https://www.philabundance.org/</x:v>
      </x:c>
      <x:c r="M687" s="1" t="n">
        <x:f>IF(OR(NOT(ISNUMBER('School Profile'!$K$4)),NOT(ISNUMBER('School Profile'!$K$5)),NOT(ISNUMBER(F687)),NOT(ISNUMBER(G687))),"",3958.7613*2*ASIN(MIN(1,SQRT(SIN(RADIANS(F687-'School Profile'!$K$4)/2)^2+COS(RADIANS('School Profile'!$K$4))*COS(RADIANS(F687))*SIN(RADIANS(G687-'School Profile'!$K$5)/2)^2))))</x:f>
        <x:v>3.2627517524478513</x:v>
      </x:c>
      <x:c r="N687" s="1" t="str">
        <x:f>IF(AND(H687="Yes",ISNUMBER(M687),M687&lt;=1),COUNTIFS($H$511:$H$1010,"Yes",$M$511:$M$1010,"&lt;"&amp;M687)+COUNTIFS($H$511:H687,"Yes",$M$511:M687,M687),"")</x:f>
      </x:c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</x:row>
    <x:row r="688" ht="22" customHeight="1">
      <x:c r="A688" s="1" t="str">
        <x:v>178</x:v>
      </x:c>
      <x:c r="B688" s="1" t="str">
        <x:v>Truth Baptist Church</x:v>
      </x:c>
      <x:c r="C688" s="1" t="str">
        <x:v>4666-4668 N 15th St</x:v>
      </x:c>
      <x:c r="D688" s="1" t="str">
        <x:v>Food Site</x:v>
      </x:c>
      <x:c r="E688" s="1" t="str">
        <x:v>Active</x:v>
      </x:c>
      <x:c r="F688" s="1" t="n">
        <x:v>40.024266760666144</x:v>
      </x:c>
      <x:c r="G688" s="1" t="n">
        <x:v>-75.14973313106</x:v>
      </x:c>
      <x:c r="H688" s="1" t="str">
        <x:v>Yes</x:v>
      </x:c>
      <x:c r="I688" s="1" t="str"/>
      <x:c r="J688" s="1" t="str"/>
      <x:c r="K688" s="1" t="str"/>
      <x:c r="L688" s="1" t="str">
        <x:v>https://www.philabundance.org/</x:v>
      </x:c>
      <x:c r="M688" s="1" t="n">
        <x:f>IF(OR(NOT(ISNUMBER('School Profile'!$K$4)),NOT(ISNUMBER('School Profile'!$K$5)),NOT(ISNUMBER(F688)),NOT(ISNUMBER(G688))),"",3958.7613*2*ASIN(MIN(1,SQRT(SIN(RADIANS(F688-'School Profile'!$K$4)/2)^2+COS(RADIANS('School Profile'!$K$4))*COS(RADIANS(F688))*SIN(RADIANS(G688-'School Profile'!$K$5)/2)^2))))</x:f>
        <x:v>5.317571446216123</x:v>
      </x:c>
      <x:c r="N688" s="1" t="str">
        <x:f>IF(AND(H688="Yes",ISNUMBER(M688),M688&lt;=1),COUNTIFS($H$511:$H$1010,"Yes",$M$511:$M$1010,"&lt;"&amp;M688)+COUNTIFS($H$511:H688,"Yes",$M$511:M688,M688),"")</x:f>
      </x:c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</x:row>
    <x:row r="689" ht="22" customHeight="1">
      <x:c r="A689" s="1" t="str">
        <x:v>179</x:v>
      </x:c>
      <x:c r="B689" s="1" t="str">
        <x:v>Germantown WIC Office</x:v>
      </x:c>
      <x:c r="C689" s="1" t="str">
        <x:v>47 W. Chelten Avenue</x:v>
      </x:c>
      <x:c r="D689" s="1" t="str">
        <x:v>Public Benefits</x:v>
      </x:c>
      <x:c r="E689" s="1" t="str">
        <x:v>Active</x:v>
      </x:c>
      <x:c r="F689" s="1" t="n">
        <x:v>40.035131660023005</x:v>
      </x:c>
      <x:c r="G689" s="1" t="n">
        <x:v>-75.17608299018258</x:v>
      </x:c>
      <x:c r="H689" s="1" t="str">
        <x:v>No</x:v>
      </x:c>
      <x:c r="I689" s="1" t="str"/>
      <x:c r="J689" s="1" t="str"/>
      <x:c r="K689" s="1" t="str"/>
      <x:c r="L689" s="1" t="str">
        <x:v>https://www.facebook.com/PhiladelphiaWICProgram/</x:v>
      </x:c>
      <x:c r="M689" s="1" t="n">
        <x:f>IF(OR(NOT(ISNUMBER('School Profile'!$K$4)),NOT(ISNUMBER('School Profile'!$K$5)),NOT(ISNUMBER(F689)),NOT(ISNUMBER(G689))),"",3958.7613*2*ASIN(MIN(1,SQRT(SIN(RADIANS(F689-'School Profile'!$K$4)/2)^2+COS(RADIANS('School Profile'!$K$4))*COS(RADIANS(F689))*SIN(RADIANS(G689-'School Profile'!$K$5)/2)^2))))</x:f>
        <x:v>6.22161240779326</x:v>
      </x:c>
      <x:c r="N689" s="1" t="str">
        <x:f>IF(AND(H689="Yes",ISNUMBER(M689),M689&lt;=1),COUNTIFS($H$511:$H$1010,"Yes",$M$511:$M$1010,"&lt;"&amp;M689)+COUNTIFS($H$511:H689,"Yes",$M$511:M689,M689),"")</x:f>
      </x:c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</x:row>
    <x:row r="690" ht="22" customHeight="1">
      <x:c r="A690" s="1" t="str">
        <x:v>180</x:v>
      </x:c>
      <x:c r="B690" s="1" t="str">
        <x:v>Catholic Housing and Community Services Star Harbor Senior Center Satellite</x:v>
      </x:c>
      <x:c r="C690" s="1" t="str">
        <x:v>4700 Springfield Ave.</x:v>
      </x:c>
      <x:c r="D690" s="1" t="str">
        <x:v>Senior Meal Site</x:v>
      </x:c>
      <x:c r="E690" s="1" t="str">
        <x:v>Active</x:v>
      </x:c>
      <x:c r="F690" s="1" t="n">
        <x:v>39.946730169733854</x:v>
      </x:c>
      <x:c r="G690" s="1" t="n">
        <x:v>-75.21508070989064</x:v>
      </x:c>
      <x:c r="H690" s="1" t="str">
        <x:v>No</x:v>
      </x:c>
      <x:c r="I690" s="1" t="str"/>
      <x:c r="J690" s="1" t="str"/>
      <x:c r="K690" s="1" t="str"/>
      <x:c r="L690" s="1" t="str">
        <x:v>https://www.pcacares.org/</x:v>
      </x:c>
      <x:c r="M690" s="1" t="n">
        <x:f>IF(OR(NOT(ISNUMBER('School Profile'!$K$4)),NOT(ISNUMBER('School Profile'!$K$5)),NOT(ISNUMBER(F690)),NOT(ISNUMBER(G690))),"",3958.7613*2*ASIN(MIN(1,SQRT(SIN(RADIANS(F690-'School Profile'!$K$4)/2)^2+COS(RADIANS('School Profile'!$K$4))*COS(RADIANS(F690))*SIN(RADIANS(G690-'School Profile'!$K$5)/2)^2))))</x:f>
        <x:v>11.451465605640648</x:v>
      </x:c>
      <x:c r="N690" s="1" t="str">
        <x:f>IF(AND(H690="Yes",ISNUMBER(M690),M690&lt;=1),COUNTIFS($H$511:$H$1010,"Yes",$M$511:$M$1010,"&lt;"&amp;M690)+COUNTIFS($H$511:H690,"Yes",$M$511:M690,M690),"")</x:f>
      </x:c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</x:row>
    <x:row r="691" ht="22" customHeight="1">
      <x:c r="A691" s="1" t="str">
        <x:v>181</x:v>
      </x:c>
      <x:c r="B691" s="1" t="str">
        <x:v>Philadelphia Masjid</x:v>
      </x:c>
      <x:c r="C691" s="1" t="str">
        <x:v>4700 Wyalusing Ave.</x:v>
      </x:c>
      <x:c r="D691" s="1" t="str">
        <x:v>Food Site</x:v>
      </x:c>
      <x:c r="E691" s="1" t="str">
        <x:v>Active</x:v>
      </x:c>
      <x:c r="F691" s="1" t="n">
        <x:v>39.96986826972268</x:v>
      </x:c>
      <x:c r="G691" s="1" t="n">
        <x:v>-75.2162266197317</x:v>
      </x:c>
      <x:c r="H691" s="1" t="str">
        <x:v>Yes</x:v>
      </x:c>
      <x:c r="I691" s="1" t="str"/>
      <x:c r="J691" s="1" t="str"/>
      <x:c r="K691" s="1" t="str"/>
      <x:c r="L691" s="1" t="str">
        <x:v>https://www.sharefoodprogram.org/</x:v>
      </x:c>
      <x:c r="M691" s="1" t="n">
        <x:f>IF(OR(NOT(ISNUMBER('School Profile'!$K$4)),NOT(ISNUMBER('School Profile'!$K$5)),NOT(ISNUMBER(F691)),NOT(ISNUMBER(G691))),"",3958.7613*2*ASIN(MIN(1,SQRT(SIN(RADIANS(F691-'School Profile'!$K$4)/2)^2+COS(RADIANS('School Profile'!$K$4))*COS(RADIANS(F691))*SIN(RADIANS(G691-'School Profile'!$K$5)/2)^2))))</x:f>
        <x:v>10.396937454867073</x:v>
      </x:c>
      <x:c r="N691" s="1" t="str">
        <x:f>IF(AND(H691="Yes",ISNUMBER(M691),M691&lt;=1),COUNTIFS($H$511:$H$1010,"Yes",$M$511:$M$1010,"&lt;"&amp;M691)+COUNTIFS($H$511:H691,"Yes",$M$511:M691,M691),"")</x:f>
      </x:c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</x:row>
    <x:row r="692" ht="22" customHeight="1">
      <x:c r="A692" s="1" t="str">
        <x:v>182</x:v>
      </x:c>
      <x:c r="B692" s="1" t="str">
        <x:v>New Life Community Center</x:v>
      </x:c>
      <x:c r="C692" s="1" t="str">
        <x:v>4726 N Broad St</x:v>
      </x:c>
      <x:c r="D692" s="1" t="str">
        <x:v>Food Site</x:v>
      </x:c>
      <x:c r="E692" s="1" t="str">
        <x:v>Active</x:v>
      </x:c>
      <x:c r="F692" s="1" t="n">
        <x:v>40.025442059986716</x:v>
      </x:c>
      <x:c r="G692" s="1" t="n">
        <x:v>-75.14790726032928</x:v>
      </x:c>
      <x:c r="H692" s="1" t="str">
        <x:v>Yes</x:v>
      </x:c>
      <x:c r="I692" s="1" t="str"/>
      <x:c r="J692" s="1" t="str"/>
      <x:c r="K692" s="1" t="str"/>
      <x:c r="L692" s="1" t="str">
        <x:v>https://www.sharefoodprogram.org/</x:v>
      </x:c>
      <x:c r="M692" s="1" t="n">
        <x:f>IF(OR(NOT(ISNUMBER('School Profile'!$K$4)),NOT(ISNUMBER('School Profile'!$K$5)),NOT(ISNUMBER(F692)),NOT(ISNUMBER(G692))),"",3958.7613*2*ASIN(MIN(1,SQRT(SIN(RADIANS(F692-'School Profile'!$K$4)/2)^2+COS(RADIANS('School Profile'!$K$4))*COS(RADIANS(F692))*SIN(RADIANS(G692-'School Profile'!$K$5)/2)^2))))</x:f>
        <x:v>5.192184148410311</x:v>
      </x:c>
      <x:c r="N692" s="1" t="str">
        <x:f>IF(AND(H692="Yes",ISNUMBER(M692),M692&lt;=1),COUNTIFS($H$511:$H$1010,"Yes",$M$511:$M$1010,"&lt;"&amp;M692)+COUNTIFS($H$511:H692,"Yes",$M$511:M692,M692),"")</x:f>
      </x:c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</x:row>
    <x:row r="693" ht="22" customHeight="1">
      <x:c r="A693" s="1" t="str">
        <x:v>183</x:v>
      </x:c>
      <x:c r="B693" s="1" t="str">
        <x:v>Northeast Baptist Church Oasis Food Ministry</x:v>
      </x:c>
      <x:c r="C693" s="1" t="str">
        <x:v>4744 Tackawanna St</x:v>
      </x:c>
      <x:c r="D693" s="1" t="str">
        <x:v>Food Site</x:v>
      </x:c>
      <x:c r="E693" s="1" t="str">
        <x:v>Active</x:v>
      </x:c>
      <x:c r="F693" s="1" t="n">
        <x:v>40.01460849826685</x:v>
      </x:c>
      <x:c r="G693" s="1" t="n">
        <x:v>-75.07768870071945</x:v>
      </x:c>
      <x:c r="H693" s="1" t="str">
        <x:v>Yes</x:v>
      </x:c>
      <x:c r="I693" s="1" t="str"/>
      <x:c r="J693" s="1" t="str"/>
      <x:c r="K693" s="1" t="str"/>
      <x:c r="L693" s="1" t="str"/>
      <x:c r="M693" s="1" t="n">
        <x:f>IF(OR(NOT(ISNUMBER('School Profile'!$K$4)),NOT(ISNUMBER('School Profile'!$K$5)),NOT(ISNUMBER(F693)),NOT(ISNUMBER(G693))),"",3958.7613*2*ASIN(MIN(1,SQRT(SIN(RADIANS(F693-'School Profile'!$K$4)/2)^2+COS(RADIANS('School Profile'!$K$4))*COS(RADIANS(F693))*SIN(RADIANS(G693-'School Profile'!$K$5)/2)^2))))</x:f>
        <x:v>3.661734218945183</x:v>
      </x:c>
      <x:c r="N693" s="1" t="str">
        <x:f>IF(AND(H693="Yes",ISNUMBER(M693),M693&lt;=1),COUNTIFS($H$511:$H$1010,"Yes",$M$511:$M$1010,"&lt;"&amp;M693)+COUNTIFS($H$511:H693,"Yes",$M$511:M693,M693),"")</x:f>
      </x:c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</x:row>
    <x:row r="694" ht="22" customHeight="1">
      <x:c r="A694" s="1" t="str">
        <x:v>184</x:v>
      </x:c>
      <x:c r="B694" s="1" t="str">
        <x:v>Peter Brassi NE Senior Center</x:v>
      </x:c>
      <x:c r="C694" s="1" t="str">
        <x:v>4744-46 Frankford Ave.</x:v>
      </x:c>
      <x:c r="D694" s="1" t="str">
        <x:v>Senior Meal Site</x:v>
      </x:c>
      <x:c r="E694" s="1" t="str">
        <x:v>Active</x:v>
      </x:c>
      <x:c r="F694" s="1" t="n">
        <x:v>40.0179806198227</x:v>
      </x:c>
      <x:c r="G694" s="1" t="n">
        <x:v>-75.08326597021268</x:v>
      </x:c>
      <x:c r="H694" s="1" t="str">
        <x:v>No</x:v>
      </x:c>
      <x:c r="I694" s="1" t="str"/>
      <x:c r="J694" s="1" t="str"/>
      <x:c r="K694" s="1" t="str"/>
      <x:c r="L694" s="1" t="str">
        <x:v>https://www.pcacares.org/</x:v>
      </x:c>
      <x:c r="M694" s="1" t="n">
        <x:f>IF(OR(NOT(ISNUMBER('School Profile'!$K$4)),NOT(ISNUMBER('School Profile'!$K$5)),NOT(ISNUMBER(F694)),NOT(ISNUMBER(G694))),"",3958.7613*2*ASIN(MIN(1,SQRT(SIN(RADIANS(F694-'School Profile'!$K$4)/2)^2+COS(RADIANS('School Profile'!$K$4))*COS(RADIANS(F694))*SIN(RADIANS(G694-'School Profile'!$K$5)/2)^2))))</x:f>
        <x:v>3.4975962275474295</x:v>
      </x:c>
      <x:c r="N694" s="1" t="str">
        <x:f>IF(AND(H694="Yes",ISNUMBER(M694),M694&lt;=1),COUNTIFS($H$511:$H$1010,"Yes",$M$511:$M$1010,"&lt;"&amp;M694)+COUNTIFS($H$511:H694,"Yes",$M$511:M694,M694),"")</x:f>
      </x:c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</x:row>
    <x:row r="695" ht="22" customHeight="1">
      <x:c r="A695" s="1" t="str">
        <x:v>185</x:v>
      </x:c>
      <x:c r="B695" s="1" t="str">
        <x:v>Katie's Cupboard at Tabor</x:v>
      </x:c>
      <x:c r="C695" s="1" t="str">
        <x:v>4860 N Howard St</x:v>
      </x:c>
      <x:c r="D695" s="1" t="str">
        <x:v>Food Site</x:v>
      </x:c>
      <x:c r="E695" s="1" t="str">
        <x:v>Active</x:v>
      </x:c>
      <x:c r="F695" s="1" t="n">
        <x:v>40.024586189892645</x:v>
      </x:c>
      <x:c r="G695" s="1" t="n">
        <x:v>-75.12505050018898</x:v>
      </x:c>
      <x:c r="H695" s="1" t="str">
        <x:v>Yes</x:v>
      </x:c>
      <x:c r="I695" s="1" t="str"/>
      <x:c r="J695" s="1" t="str"/>
      <x:c r="K695" s="1" t="str"/>
      <x:c r="L695" s="1" t="str">
        <x:v>https://www.sharefoodprogram.org/</x:v>
      </x:c>
      <x:c r="M695" s="1" t="n">
        <x:f>IF(OR(NOT(ISNUMBER('School Profile'!$K$4)),NOT(ISNUMBER('School Profile'!$K$5)),NOT(ISNUMBER(F695)),NOT(ISNUMBER(G695))),"",3958.7613*2*ASIN(MIN(1,SQRT(SIN(RADIANS(F695-'School Profile'!$K$4)/2)^2+COS(RADIANS('School Profile'!$K$4))*COS(RADIANS(F695))*SIN(RADIANS(G695-'School Profile'!$K$5)/2)^2))))</x:f>
        <x:v>4.276098203996197</x:v>
      </x:c>
      <x:c r="N695" s="1" t="str">
        <x:f>IF(AND(H695="Yes",ISNUMBER(M695),M695&lt;=1),COUNTIFS($H$511:$H$1010,"Yes",$M$511:$M$1010,"&lt;"&amp;M695)+COUNTIFS($H$511:H695,"Yes",$M$511:M695,M695),"")</x:f>
      </x:c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</x:row>
    <x:row r="696" ht="22" customHeight="1">
      <x:c r="A696" s="1" t="str">
        <x:v>186</x:v>
      </x:c>
      <x:c r="B696" s="1" t="str">
        <x:v>Greater Philadelphia Alliance Social Service Center (GPASS)</x:v>
      </x:c>
      <x:c r="C696" s="1" t="str">
        <x:v>4943 N 5th St</x:v>
      </x:c>
      <x:c r="D696" s="1" t="str">
        <x:v>General Meal Site</x:v>
      </x:c>
      <x:c r="E696" s="1" t="str">
        <x:v>Active</x:v>
      </x:c>
      <x:c r="F696" s="1" t="n">
        <x:v>40.02642125482867</x:v>
      </x:c>
      <x:c r="G696" s="1" t="n">
        <x:v>-75.13260991313638</x:v>
      </x:c>
      <x:c r="H696" s="1" t="str">
        <x:v>No</x:v>
      </x:c>
      <x:c r="I696" s="1" t="str"/>
      <x:c r="J696" s="1" t="str"/>
      <x:c r="K696" s="1" t="str"/>
      <x:c r="L696" s="1" t="str">
        <x:v>www.philabundance.org</x:v>
      </x:c>
      <x:c r="M696" s="1" t="n">
        <x:f>IF(OR(NOT(ISNUMBER('School Profile'!$K$4)),NOT(ISNUMBER('School Profile'!$K$5)),NOT(ISNUMBER(F696)),NOT(ISNUMBER(G696))),"",3958.7613*2*ASIN(MIN(1,SQRT(SIN(RADIANS(F696-'School Profile'!$K$4)/2)^2+COS(RADIANS('School Profile'!$K$4))*COS(RADIANS(F696))*SIN(RADIANS(G696-'School Profile'!$K$5)/2)^2))))</x:f>
        <x:v>4.496517525344836</x:v>
      </x:c>
      <x:c r="N696" s="1" t="str">
        <x:f>IF(AND(H696="Yes",ISNUMBER(M696),M696&lt;=1),COUNTIFS($H$511:$H$1010,"Yes",$M$511:$M$1010,"&lt;"&amp;M696)+COUNTIFS($H$511:H696,"Yes",$M$511:M696,M696),"")</x:f>
      </x:c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</x:row>
    <x:row r="697" ht="22" customHeight="1">
      <x:c r="A697" s="1" t="str">
        <x:v>187</x:v>
      </x:c>
      <x:c r="B697" s="1" t="str">
        <x:v>UC Hospitality Coalition (Philadelphia Episcopal Cathedral)</x:v>
      </x:c>
      <x:c r="C697" s="1" t="str">
        <x:v>38th and Ludlow (Red Door)
</x:v>
      </x:c>
      <x:c r="D697" s="1" t="str">
        <x:v>General Meal Site</x:v>
      </x:c>
      <x:c r="E697" s="1" t="str">
        <x:v>Active</x:v>
      </x:c>
      <x:c r="F697" s="1" t="n">
        <x:v>39.95578897026313</x:v>
      </x:c>
      <x:c r="G697" s="1" t="n">
        <x:v>-75.19802957009048</x:v>
      </x:c>
      <x:c r="H697" s="1" t="str">
        <x:v>No</x:v>
      </x:c>
      <x:c r="I697" s="1" t="str"/>
      <x:c r="J697" s="1" t="str"/>
      <x:c r="K697" s="1" t="str"/>
      <x:c r="L697" s="1" t="str">
        <x:v>https://www.phila.gov/departments/office-of-homeless-services/</x:v>
      </x:c>
      <x:c r="M697" s="1" t="n">
        <x:f>IF(OR(NOT(ISNUMBER('School Profile'!$K$4)),NOT(ISNUMBER('School Profile'!$K$5)),NOT(ISNUMBER(F697)),NOT(ISNUMBER(G697))),"",3958.7613*2*ASIN(MIN(1,SQRT(SIN(RADIANS(F697-'School Profile'!$K$4)/2)^2+COS(RADIANS('School Profile'!$K$4))*COS(RADIANS(F697))*SIN(RADIANS(G697-'School Profile'!$K$5)/2)^2))))</x:f>
        <x:v>10.378139240819579</x:v>
      </x:c>
      <x:c r="N697" s="1" t="str">
        <x:f>IF(AND(H697="Yes",ISNUMBER(M697),M697&lt;=1),COUNTIFS($H$511:$H$1010,"Yes",$M$511:$M$1010,"&lt;"&amp;M697)+COUNTIFS($H$511:H697,"Yes",$M$511:M697,M697),"")</x:f>
      </x:c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</x:row>
    <x:row r="698" ht="22" customHeight="1">
      <x:c r="A698" s="1" t="str">
        <x:v>188</x:v>
      </x:c>
      <x:c r="B698" s="1" t="str">
        <x:v>Mount Enon Baptist Church</x:v>
      </x:c>
      <x:c r="C698" s="1" t="str">
        <x:v>500 Snyder Ave.</x:v>
      </x:c>
      <x:c r="D698" s="1" t="str">
        <x:v>Food Site</x:v>
      </x:c>
      <x:c r="E698" s="1" t="str">
        <x:v>Active</x:v>
      </x:c>
      <x:c r="F698" s="1" t="n">
        <x:v>39.92244381128521</x:v>
      </x:c>
      <x:c r="G698" s="1" t="n">
        <x:v>-75.15513772459268</x:v>
      </x:c>
      <x:c r="H698" s="1" t="str">
        <x:v>Yes</x:v>
      </x:c>
      <x:c r="I698" s="1" t="str"/>
      <x:c r="J698" s="1" t="str"/>
      <x:c r="K698" s="1" t="str"/>
      <x:c r="L698" s="1" t="str">
        <x:v>https://www.philabundance.org/</x:v>
      </x:c>
      <x:c r="M698" s="1" t="n">
        <x:f>IF(OR(NOT(ISNUMBER('School Profile'!$K$4)),NOT(ISNUMBER('School Profile'!$K$5)),NOT(ISNUMBER(F698)),NOT(ISNUMBER(G698))),"",3958.7613*2*ASIN(MIN(1,SQRT(SIN(RADIANS(F698-'School Profile'!$K$4)/2)^2+COS(RADIANS('School Profile'!$K$4))*COS(RADIANS(F698))*SIN(RADIANS(G698-'School Profile'!$K$5)/2)^2))))</x:f>
        <x:v>11.036790383197085</x:v>
      </x:c>
      <x:c r="N698" s="1" t="str">
        <x:f>IF(AND(H698="Yes",ISNUMBER(M698),M698&lt;=1),COUNTIFS($H$511:$H$1010,"Yes",$M$511:$M$1010,"&lt;"&amp;M698)+COUNTIFS($H$511:H698,"Yes",$M$511:M698,M698),"")</x:f>
      </x:c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</x:row>
    <x:row r="699" ht="22" customHeight="1">
      <x:c r="A699" s="1" t="str">
        <x:v>189</x:v>
      </x:c>
      <x:c r="B699" s="1" t="str">
        <x:v>UC Hospitality Coalition (St. Mary's)</x:v>
      </x:c>
      <x:c r="C699" s="1" t="str">
        <x:v>3619 Locust Walk</x:v>
      </x:c>
      <x:c r="D699" s="1" t="str">
        <x:v>General Meal Site</x:v>
      </x:c>
      <x:c r="E699" s="1" t="str">
        <x:v>Active</x:v>
      </x:c>
      <x:c r="F699" s="1" t="n">
        <x:v>39.95226691969908</x:v>
      </x:c>
      <x:c r="G699" s="1" t="n">
        <x:v>-75.19582389974246</x:v>
      </x:c>
      <x:c r="H699" s="1" t="str">
        <x:v>No</x:v>
      </x:c>
      <x:c r="I699" s="1" t="str"/>
      <x:c r="J699" s="1" t="str"/>
      <x:c r="K699" s="1" t="str"/>
      <x:c r="L699" s="1" t="str">
        <x:v>https://www.phila.gov/departments/office-of-homeless-services/</x:v>
      </x:c>
      <x:c r="M699" s="1" t="n">
        <x:f>IF(OR(NOT(ISNUMBER('School Profile'!$K$4)),NOT(ISNUMBER('School Profile'!$K$5)),NOT(ISNUMBER(F699)),NOT(ISNUMBER(G699))),"",3958.7613*2*ASIN(MIN(1,SQRT(SIN(RADIANS(F699-'School Profile'!$K$4)/2)^2+COS(RADIANS('School Profile'!$K$4))*COS(RADIANS(F699))*SIN(RADIANS(G699-'School Profile'!$K$5)/2)^2))))</x:f>
        <x:v>10.482568201537989</x:v>
      </x:c>
      <x:c r="N699" s="1" t="str">
        <x:f>IF(AND(H699="Yes",ISNUMBER(M699),M699&lt;=1),COUNTIFS($H$511:$H$1010,"Yes",$M$511:$M$1010,"&lt;"&amp;M699)+COUNTIFS($H$511:H699,"Yes",$M$511:M699,M699),"")</x:f>
      </x:c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</x:row>
    <x:row r="700" ht="22" customHeight="1">
      <x:c r="A700" s="1" t="str">
        <x:v>190</x:v>
      </x:c>
      <x:c r="B700" s="1" t="str">
        <x:v>Revelation Philadelphia Ministry Inc</x:v>
      </x:c>
      <x:c r="C700" s="1" t="str">
        <x:v>2561 South 67th St</x:v>
      </x:c>
      <x:c r="D700" s="1" t="str">
        <x:v>Food Site</x:v>
      </x:c>
      <x:c r="E700" s="1" t="str">
        <x:v>Active</x:v>
      </x:c>
      <x:c r="F700" s="1" t="n">
        <x:v>39.9195479474969</x:v>
      </x:c>
      <x:c r="G700" s="1" t="n">
        <x:v>-75.2314730764654</x:v>
      </x:c>
      <x:c r="H700" s="1" t="str">
        <x:v>Yes</x:v>
      </x:c>
      <x:c r="I700" s="1" t="str"/>
      <x:c r="J700" s="1" t="str"/>
      <x:c r="K700" s="1" t="str"/>
      <x:c r="L700" s="1" t="str">
        <x:v>https://www.sharefoodprogram.org/</x:v>
      </x:c>
      <x:c r="M700" s="1" t="n">
        <x:f>IF(OR(NOT(ISNUMBER('School Profile'!$K$4)),NOT(ISNUMBER('School Profile'!$K$5)),NOT(ISNUMBER(F700)),NOT(ISNUMBER(G700))),"",3958.7613*2*ASIN(MIN(1,SQRT(SIN(RADIANS(F700-'School Profile'!$K$4)/2)^2+COS(RADIANS('School Profile'!$K$4))*COS(RADIANS(F700))*SIN(RADIANS(G700-'School Profile'!$K$5)/2)^2))))</x:f>
        <x:v>13.427964566821196</x:v>
      </x:c>
      <x:c r="N700" s="1" t="str">
        <x:f>IF(AND(H700="Yes",ISNUMBER(M700),M700&lt;=1),COUNTIFS($H$511:$H$1010,"Yes",$M$511:$M$1010,"&lt;"&amp;M700)+COUNTIFS($H$511:H700,"Yes",$M$511:M700,M700),"")</x:f>
      </x:c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</x:row>
    <x:row r="701" ht="22" customHeight="1">
      <x:c r="A701" s="1" t="str">
        <x:v>191</x:v>
      </x:c>
      <x:c r="B701" s="1" t="str">
        <x:v>UC Hospitality Coalition (Lutheran)</x:v>
      </x:c>
      <x:c r="C701" s="1" t="str">
        <x:v>3637 Chesnut Street
</x:v>
      </x:c>
      <x:c r="D701" s="1" t="str">
        <x:v>General Meal Site</x:v>
      </x:c>
      <x:c r="E701" s="1" t="str">
        <x:v>Active</x:v>
      </x:c>
      <x:c r="F701" s="1" t="n">
        <x:v>39.95522013971512</x:v>
      </x:c>
      <x:c r="G701" s="1" t="n">
        <x:v>-75.19620208957876</x:v>
      </x:c>
      <x:c r="H701" s="1" t="str">
        <x:v>No</x:v>
      </x:c>
      <x:c r="I701" s="1" t="str"/>
      <x:c r="J701" s="1" t="str"/>
      <x:c r="K701" s="1" t="str"/>
      <x:c r="L701" s="1" t="str">
        <x:v>https://www.phila.gov/departments/office-of-homeless-services/</x:v>
      </x:c>
      <x:c r="M701" s="1" t="n">
        <x:f>IF(OR(NOT(ISNUMBER('School Profile'!$K$4)),NOT(ISNUMBER('School Profile'!$K$5)),NOT(ISNUMBER(F701)),NOT(ISNUMBER(G701))),"",3958.7613*2*ASIN(MIN(1,SQRT(SIN(RADIANS(F701-'School Profile'!$K$4)/2)^2+COS(RADIANS('School Profile'!$K$4))*COS(RADIANS(F701))*SIN(RADIANS(G701-'School Profile'!$K$5)/2)^2))))</x:f>
        <x:v>10.342563335026824</x:v>
      </x:c>
      <x:c r="N701" s="1" t="str">
        <x:f>IF(AND(H701="Yes",ISNUMBER(M701),M701&lt;=1),COUNTIFS($H$511:$H$1010,"Yes",$M$511:$M$1010,"&lt;"&amp;M701)+COUNTIFS($H$511:H701,"Yes",$M$511:M701,M701),"")</x:f>
      </x:c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</x:row>
    <x:row r="702" ht="22" customHeight="1">
      <x:c r="A702" s="1" t="str">
        <x:v>192</x:v>
      </x:c>
      <x:c r="B702" s="1" t="str">
        <x:v>Chosen 300 West</x:v>
      </x:c>
      <x:c r="C702" s="1" t="str">
        <x:v>3959 Lancaster Ave</x:v>
      </x:c>
      <x:c r="D702" s="1" t="str">
        <x:v>General Meal Site</x:v>
      </x:c>
      <x:c r="E702" s="1" t="str">
        <x:v>Active</x:v>
      </x:c>
      <x:c r="F702" s="1" t="n">
        <x:v>39.96314356996052</x:v>
      </x:c>
      <x:c r="G702" s="1" t="n">
        <x:v>-75.20201459999707</x:v>
      </x:c>
      <x:c r="H702" s="1" t="str">
        <x:v>No</x:v>
      </x:c>
      <x:c r="I702" s="1" t="str"/>
      <x:c r="J702" s="1" t="str"/>
      <x:c r="K702" s="1" t="str"/>
      <x:c r="L702" s="1" t="str">
        <x:v>https://www.phila.gov/departments/office-of-homeless-services/</x:v>
      </x:c>
      <x:c r="M702" s="1" t="n">
        <x:f>IF(OR(NOT(ISNUMBER('School Profile'!$K$4)),NOT(ISNUMBER('School Profile'!$K$5)),NOT(ISNUMBER(F702)),NOT(ISNUMBER(G702))),"",3958.7613*2*ASIN(MIN(1,SQRT(SIN(RADIANS(F702-'School Profile'!$K$4)/2)^2+COS(RADIANS('School Profile'!$K$4))*COS(RADIANS(F702))*SIN(RADIANS(G702-'School Profile'!$K$5)/2)^2))))</x:f>
        <x:v>10.156377260017779</x:v>
      </x:c>
      <x:c r="N702" s="1" t="str">
        <x:f>IF(AND(H702="Yes",ISNUMBER(M702),M702&lt;=1),COUNTIFS($H$511:$H$1010,"Yes",$M$511:$M$1010,"&lt;"&amp;M702)+COUNTIFS($H$511:H702,"Yes",$M$511:M702,M702),"")</x:f>
      </x:c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</x:row>
    <x:row r="703" ht="22" customHeight="1">
      <x:c r="A703" s="1" t="str">
        <x:v>193</x:v>
      </x:c>
      <x:c r="B703" s="1" t="str">
        <x:v>New Beginnings Pentecostal</x:v>
      </x:c>
      <x:c r="C703" s="1" t="str">
        <x:v>502 E Haines St.</x:v>
      </x:c>
      <x:c r="D703" s="1" t="str">
        <x:v>Food Site</x:v>
      </x:c>
      <x:c r="E703" s="1" t="str">
        <x:v>Active</x:v>
      </x:c>
      <x:c r="F703" s="1" t="n">
        <x:v>40.04450926980474</x:v>
      </x:c>
      <x:c r="G703" s="1" t="n">
        <x:v>-75.1704540531875</x:v>
      </x:c>
      <x:c r="H703" s="1" t="str">
        <x:v>Yes</x:v>
      </x:c>
      <x:c r="I703" s="1" t="str"/>
      <x:c r="J703" s="1" t="str"/>
      <x:c r="K703" s="1" t="str"/>
      <x:c r="L703" s="1" t="str">
        <x:v>https://www.philabundance.org/</x:v>
      </x:c>
      <x:c r="M703" s="1" t="n">
        <x:f>IF(OR(NOT(ISNUMBER('School Profile'!$K$4)),NOT(ISNUMBER('School Profile'!$K$5)),NOT(ISNUMBER(F703)),NOT(ISNUMBER(G703))),"",3958.7613*2*ASIN(MIN(1,SQRT(SIN(RADIANS(F703-'School Profile'!$K$4)/2)^2+COS(RADIANS('School Profile'!$K$4))*COS(RADIANS(F703))*SIN(RADIANS(G703-'School Profile'!$K$5)/2)^2))))</x:f>
        <x:v>5.736403692158559</x:v>
      </x:c>
      <x:c r="N703" s="1" t="str">
        <x:f>IF(AND(H703="Yes",ISNUMBER(M703),M703&lt;=1),COUNTIFS($H$511:$H$1010,"Yes",$M$511:$M$1010,"&lt;"&amp;M703)+COUNTIFS($H$511:H703,"Yes",$M$511:M703,M703),"")</x:f>
      </x:c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</x:row>
    <x:row r="704" ht="22" customHeight="1">
      <x:c r="A704" s="1" t="str">
        <x:v>194</x:v>
      </x:c>
      <x:c r="B704" s="1" t="str">
        <x:v>Philadelphia Senior Center - Avenue of the Arts and Asia-Pacific Senior Resource Center</x:v>
      </x:c>
      <x:c r="C704" s="1" t="str">
        <x:v>509 S. Broad St.</x:v>
      </x:c>
      <x:c r="D704" s="1" t="str">
        <x:v>Senior Meal Site</x:v>
      </x:c>
      <x:c r="E704" s="1" t="str">
        <x:v>Active</x:v>
      </x:c>
      <x:c r="F704" s="1" t="n">
        <x:v>39.944237410241065</x:v>
      </x:c>
      <x:c r="G704" s="1" t="n">
        <x:v>-75.16507683042323</x:v>
      </x:c>
      <x:c r="H704" s="1" t="str">
        <x:v>No</x:v>
      </x:c>
      <x:c r="I704" s="1" t="str"/>
      <x:c r="J704" s="1" t="str"/>
      <x:c r="K704" s="1" t="str"/>
      <x:c r="L704" s="1" t="str">
        <x:v>https://www.pcacares.org/</x:v>
      </x:c>
      <x:c r="M704" s="1" t="n">
        <x:f>IF(OR(NOT(ISNUMBER('School Profile'!$K$4)),NOT(ISNUMBER('School Profile'!$K$5)),NOT(ISNUMBER(F704)),NOT(ISNUMBER(G704))),"",3958.7613*2*ASIN(MIN(1,SQRT(SIN(RADIANS(F704-'School Profile'!$K$4)/2)^2+COS(RADIANS('School Profile'!$K$4))*COS(RADIANS(F704))*SIN(RADIANS(G704-'School Profile'!$K$5)/2)^2))))</x:f>
        <x:v>9.963190905575859</x:v>
      </x:c>
      <x:c r="N704" s="1" t="str">
        <x:f>IF(AND(H704="Yes",ISNUMBER(M704),M704&lt;=1),COUNTIFS($H$511:$H$1010,"Yes",$M$511:$M$1010,"&lt;"&amp;M704)+COUNTIFS($H$511:H704,"Yes",$M$511:M704,M704),"")</x:f>
      </x:c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</x:row>
    <x:row r="705" ht="22" customHeight="1">
      <x:c r="A705" s="1" t="str">
        <x:v>195</x:v>
      </x:c>
      <x:c r="B705" s="1" t="str">
        <x:v>Somerton Food Bank</x:v>
      </x:c>
      <x:c r="C705" s="1" t="str">
        <x:v>510 Somerton Ave.</x:v>
      </x:c>
      <x:c r="D705" s="1" t="str">
        <x:v>Food Site</x:v>
      </x:c>
      <x:c r="E705" s="1" t="str">
        <x:v>Active</x:v>
      </x:c>
      <x:c r="F705" s="1" t="n">
        <x:v>40.122936778838046</x:v>
      </x:c>
      <x:c r="G705" s="1" t="n">
        <x:v>-75.01930828455255</x:v>
      </x:c>
      <x:c r="H705" s="1" t="str">
        <x:v>Yes</x:v>
      </x:c>
      <x:c r="I705" s="1" t="str"/>
      <x:c r="J705" s="1" t="str"/>
      <x:c r="K705" s="1" t="str">
        <x:v>19114, 19115, 19116, 19136, 19152, 19154</x:v>
      </x:c>
      <x:c r="L705" s="1" t="str">
        <x:v>https://www.philabundance.org/</x:v>
      </x:c>
      <x:c r="M705" s="1" t="n">
        <x:f>IF(OR(NOT(ISNUMBER('School Profile'!$K$4)),NOT(ISNUMBER('School Profile'!$K$5)),NOT(ISNUMBER(F705)),NOT(ISNUMBER(G705))),"",3958.7613*2*ASIN(MIN(1,SQRT(SIN(RADIANS(F705-'School Profile'!$K$4)/2)^2+COS(RADIANS('School Profile'!$K$4))*COS(RADIANS(F705))*SIN(RADIANS(G705-'School Profile'!$K$5)/2)^2))))</x:f>
        <x:v>4.5943161301593065</x:v>
      </x:c>
      <x:c r="N705" s="1" t="str">
        <x:f>IF(AND(H705="Yes",ISNUMBER(M705),M705&lt;=1),COUNTIFS($H$511:$H$1010,"Yes",$M$511:$M$1010,"&lt;"&amp;M705)+COUNTIFS($H$511:H705,"Yes",$M$511:M705,M705),"")</x:f>
      </x:c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</x:row>
    <x:row r="706" ht="22" customHeight="1">
      <x:c r="A706" s="1" t="str">
        <x:v>196</x:v>
      </x:c>
      <x:c r="B706" s="1" t="str">
        <x:v>Holy Temple Lord and Savior</x:v>
      </x:c>
      <x:c r="C706" s="1" t="str">
        <x:v>5116 Market St</x:v>
      </x:c>
      <x:c r="D706" s="1" t="str">
        <x:v>Food Site</x:v>
      </x:c>
      <x:c r="E706" s="1" t="str">
        <x:v>Active</x:v>
      </x:c>
      <x:c r="F706" s="1" t="n">
        <x:v>39.95967111133118</x:v>
      </x:c>
      <x:c r="G706" s="1" t="n">
        <x:v>-75.2232902066597</x:v>
      </x:c>
      <x:c r="H706" s="1" t="str">
        <x:v>Yes</x:v>
      </x:c>
      <x:c r="I706" s="1" t="str"/>
      <x:c r="J706" s="1" t="str"/>
      <x:c r="K706" s="1" t="str"/>
      <x:c r="L706" s="1" t="str">
        <x:v>https://www.philabundance.org/</x:v>
      </x:c>
      <x:c r="M706" s="1" t="n">
        <x:f>IF(OR(NOT(ISNUMBER('School Profile'!$K$4)),NOT(ISNUMBER('School Profile'!$K$5)),NOT(ISNUMBER(F706)),NOT(ISNUMBER(G706))),"",3958.7613*2*ASIN(MIN(1,SQRT(SIN(RADIANS(F706-'School Profile'!$K$4)/2)^2+COS(RADIANS('School Profile'!$K$4))*COS(RADIANS(F706))*SIN(RADIANS(G706-'School Profile'!$K$5)/2)^2))))</x:f>
        <x:v>11.141232330054322</x:v>
      </x:c>
      <x:c r="N706" s="1" t="str">
        <x:f>IF(AND(H706="Yes",ISNUMBER(M706),M706&lt;=1),COUNTIFS($H$511:$H$1010,"Yes",$M$511:$M$1010,"&lt;"&amp;M706)+COUNTIFS($H$511:H706,"Yes",$M$511:M706,M706),"")</x:f>
      </x:c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</x:row>
    <x:row r="707" ht="22" customHeight="1">
      <x:c r="A707" s="1" t="str">
        <x:v>197</x:v>
      </x:c>
      <x:c r="B707" s="1" t="str">
        <x:v>Feed the People Philly</x:v>
      </x:c>
      <x:c r="C707" s="1" t="str">
        <x:v>5120 Chestnut St</x:v>
      </x:c>
      <x:c r="D707" s="1" t="str">
        <x:v>Food Site</x:v>
      </x:c>
      <x:c r="E707" s="1" t="str">
        <x:v>Active</x:v>
      </x:c>
      <x:c r="F707" s="1" t="n">
        <x:v>39.95822238995104</x:v>
      </x:c>
      <x:c r="G707" s="1" t="n">
        <x:v>-75.22367189273908</x:v>
      </x:c>
      <x:c r="H707" s="1" t="str">
        <x:v>Yes</x:v>
      </x:c>
      <x:c r="I707" s="1" t="str"/>
      <x:c r="J707" s="1" t="str"/>
      <x:c r="K707" s="1" t="str"/>
      <x:c r="L707" s="1" t="str">
        <x:v>https://www.feedthepeoplephilly.com/</x:v>
      </x:c>
      <x:c r="M707" s="1" t="n">
        <x:f>IF(OR(NOT(ISNUMBER('School Profile'!$K$4)),NOT(ISNUMBER('School Profile'!$K$5)),NOT(ISNUMBER(F707)),NOT(ISNUMBER(G707))),"",3958.7613*2*ASIN(MIN(1,SQRT(SIN(RADIANS(F707-'School Profile'!$K$4)/2)^2+COS(RADIANS('School Profile'!$K$4))*COS(RADIANS(F707))*SIN(RADIANS(G707-'School Profile'!$K$5)/2)^2))))</x:f>
        <x:v>11.223085098989236</x:v>
      </x:c>
      <x:c r="N707" s="1" t="str">
        <x:f>IF(AND(H707="Yes",ISNUMBER(M707),M707&lt;=1),COUNTIFS($H$511:$H$1010,"Yes",$M$511:$M$1010,"&lt;"&amp;M707)+COUNTIFS($H$511:H707,"Yes",$M$511:M707,M707),"")</x:f>
      </x:c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</x:row>
    <x:row r="708" ht="22" customHeight="1">
      <x:c r="A708" s="1" t="str">
        <x:v>198</x:v>
      </x:c>
      <x:c r="B708" s="1" t="str">
        <x:v>South Philly Community Fridge at Mifflin Sq. Park</x:v>
      </x:c>
      <x:c r="C708" s="1" t="str">
        <x:v>516 Wolf St.</x:v>
      </x:c>
      <x:c r="D708" s="1" t="str">
        <x:v>Food Site</x:v>
      </x:c>
      <x:c r="E708" s="1" t="str">
        <x:v>Active</x:v>
      </x:c>
      <x:c r="F708" s="1" t="n">
        <x:v>39.92005851008948</x:v>
      </x:c>
      <x:c r="G708" s="1" t="n">
        <x:v>-75.15637696040858</x:v>
      </x:c>
      <x:c r="H708" s="1" t="str">
        <x:v>Yes</x:v>
      </x:c>
      <x:c r="I708" s="1" t="str"/>
      <x:c r="J708" s="1" t="str"/>
      <x:c r="K708" s="1" t="str"/>
      <x:c r="L708" s="1" t="str">
        <x:v>https://southphillyfridge.com/</x:v>
      </x:c>
      <x:c r="M708" s="1" t="n">
        <x:f>IF(OR(NOT(ISNUMBER('School Profile'!$K$4)),NOT(ISNUMBER('School Profile'!$K$5)),NOT(ISNUMBER(F708)),NOT(ISNUMBER(G708))),"",3958.7613*2*ASIN(MIN(1,SQRT(SIN(RADIANS(F708-'School Profile'!$K$4)/2)^2+COS(RADIANS('School Profile'!$K$4))*COS(RADIANS(F708))*SIN(RADIANS(G708-'School Profile'!$K$5)/2)^2))))</x:f>
        <x:v>11.213862350989718</x:v>
      </x:c>
      <x:c r="N708" s="1" t="str">
        <x:f>IF(AND(H708="Yes",ISNUMBER(M708),M708&lt;=1),COUNTIFS($H$511:$H$1010,"Yes",$M$511:$M$1010,"&lt;"&amp;M708)+COUNTIFS($H$511:H708,"Yes",$M$511:M708,M708),"")</x:f>
      </x:c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</x:row>
    <x:row r="709" ht="22" customHeight="1">
      <x:c r="A709" s="1" t="str">
        <x:v>199</x:v>
      </x:c>
      <x:c r="B709" s="1" t="str">
        <x:v>Our Lady of Hope</x:v>
      </x:c>
      <x:c r="C709" s="1" t="str">
        <x:v>5200 N. Broad St</x:v>
      </x:c>
      <x:c r="D709" s="1" t="str">
        <x:v>Food Site</x:v>
      </x:c>
      <x:c r="E709" s="1" t="str">
        <x:v>Active</x:v>
      </x:c>
      <x:c r="F709" s="1" t="n">
        <x:v>40.032403920263526</x:v>
      </x:c>
      <x:c r="G709" s="1" t="n">
        <x:v>-75.14650947006908</x:v>
      </x:c>
      <x:c r="H709" s="1" t="str">
        <x:v>Yes</x:v>
      </x:c>
      <x:c r="I709" s="1" t="str"/>
      <x:c r="J709" s="1" t="str"/>
      <x:c r="K709" s="1" t="str"/>
      <x:c r="L709" s="1" t="str">
        <x:v>https://nutritionaldevelopmentservices.org/</x:v>
      </x:c>
      <x:c r="M709" s="1" t="n">
        <x:f>IF(OR(NOT(ISNUMBER('School Profile'!$K$4)),NOT(ISNUMBER('School Profile'!$K$5)),NOT(ISNUMBER(F709)),NOT(ISNUMBER(G709))),"",3958.7613*2*ASIN(MIN(1,SQRT(SIN(RADIANS(F709-'School Profile'!$K$4)/2)^2+COS(RADIANS('School Profile'!$K$4))*COS(RADIANS(F709))*SIN(RADIANS(G709-'School Profile'!$K$5)/2)^2))))</x:f>
        <x:v>4.878642359450717</x:v>
      </x:c>
      <x:c r="N709" s="1" t="str">
        <x:f>IF(AND(H709="Yes",ISNUMBER(M709),M709&lt;=1),COUNTIFS($H$511:$H$1010,"Yes",$M$511:$M$1010,"&lt;"&amp;M709)+COUNTIFS($H$511:H709,"Yes",$M$511:M709,M709),"")</x:f>
      </x:c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</x:row>
    <x:row r="710" ht="22" customHeight="1">
      <x:c r="A710" s="1" t="str">
        <x:v>200</x:v>
      </x:c>
      <x:c r="B710" s="1" t="str">
        <x:v>True Vine Worship Center</x:v>
      </x:c>
      <x:c r="C710" s="1" t="str">
        <x:v>521-23 W. Lehigh Ave.</x:v>
      </x:c>
      <x:c r="D710" s="1" t="str">
        <x:v>Food Site</x:v>
      </x:c>
      <x:c r="E710" s="1" t="str">
        <x:v>Active</x:v>
      </x:c>
      <x:c r="F710" s="1" t="n">
        <x:v>39.99229125215536</x:v>
      </x:c>
      <x:c r="G710" s="1" t="n">
        <x:v>-75.1410320186753</x:v>
      </x:c>
      <x:c r="H710" s="1" t="str">
        <x:v>Yes</x:v>
      </x:c>
      <x:c r="I710" s="1" t="str"/>
      <x:c r="J710" s="1" t="str"/>
      <x:c r="K710" s="1" t="str"/>
      <x:c r="L710" s="1" t="str">
        <x:v>https://www.sharefoodprogram.org/</x:v>
      </x:c>
      <x:c r="M710" s="1" t="n">
        <x:f>IF(OR(NOT(ISNUMBER('School Profile'!$K$4)),NOT(ISNUMBER('School Profile'!$K$5)),NOT(ISNUMBER(F710)),NOT(ISNUMBER(G710))),"",3958.7613*2*ASIN(MIN(1,SQRT(SIN(RADIANS(F710-'School Profile'!$K$4)/2)^2+COS(RADIANS('School Profile'!$K$4))*COS(RADIANS(F710))*SIN(RADIANS(G710-'School Profile'!$K$5)/2)^2))))</x:f>
        <x:v>6.503646349160227</x:v>
      </x:c>
      <x:c r="N710" s="1" t="str">
        <x:f>IF(AND(H710="Yes",ISNUMBER(M710),M710&lt;=1),COUNTIFS($H$511:$H$1010,"Yes",$M$511:$M$1010,"&lt;"&amp;M710)+COUNTIFS($H$511:H710,"Yes",$M$511:M710,M710),"")</x:f>
      </x:c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</x:row>
    <x:row r="711" ht="22" customHeight="1">
      <x:c r="A711" s="1" t="str">
        <x:v>201</x:v>
      </x:c>
      <x:c r="B711" s="1" t="str">
        <x:v>Helping Hands for the Hungry</x:v>
      </x:c>
      <x:c r="C711" s="1" t="str">
        <x:v>525 S. Cobbs Creek Parkway</x:v>
      </x:c>
      <x:c r="D711" s="1" t="str">
        <x:v>General Meal Site</x:v>
      </x:c>
      <x:c r="E711" s="1" t="str">
        <x:v>Active</x:v>
      </x:c>
      <x:c r="F711" s="1" t="n">
        <x:v>39.95397106826562</x:v>
      </x:c>
      <x:c r="G711" s="1" t="n">
        <x:v>-75.24851523221444</x:v>
      </x:c>
      <x:c r="H711" s="1" t="str">
        <x:v>No</x:v>
      </x:c>
      <x:c r="I711" s="1" t="str"/>
      <x:c r="J711" s="1" t="str"/>
      <x:c r="K711" s="1" t="str"/>
      <x:c r="L711" s="1" t="str">
        <x:v>https://www.philabundance.org/</x:v>
      </x:c>
      <x:c r="M711" s="1" t="n">
        <x:f>IF(OR(NOT(ISNUMBER('School Profile'!$K$4)),NOT(ISNUMBER('School Profile'!$K$5)),NOT(ISNUMBER(F711)),NOT(ISNUMBER(G711))),"",3958.7613*2*ASIN(MIN(1,SQRT(SIN(RADIANS(F711-'School Profile'!$K$4)/2)^2+COS(RADIANS('School Profile'!$K$4))*COS(RADIANS(F711))*SIN(RADIANS(G711-'School Profile'!$K$5)/2)^2))))</x:f>
        <x:v>12.414841825458359</x:v>
      </x:c>
      <x:c r="N711" s="1" t="str">
        <x:f>IF(AND(H711="Yes",ISNUMBER(M711),M711&lt;=1),COUNTIFS($H$511:$H$1010,"Yes",$M$511:$M$1010,"&lt;"&amp;M711)+COUNTIFS($H$511:H711,"Yes",$M$511:M711,M711),"")</x:f>
      </x:c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</x:row>
    <x:row r="712" ht="22" customHeight="1">
      <x:c r="A712" s="1" t="str">
        <x:v>202</x:v>
      </x:c>
      <x:c r="B712" s="1" t="str">
        <x:v>Holsey Temple CME Church</x:v>
      </x:c>
      <x:c r="C712" s="1" t="str">
        <x:v>5305-5315 Germantown Ave</x:v>
      </x:c>
      <x:c r="D712" s="1" t="str">
        <x:v>Food Site</x:v>
      </x:c>
      <x:c r="E712" s="1" t="str">
        <x:v>Active</x:v>
      </x:c>
      <x:c r="F712" s="1" t="n">
        <x:v>40.03255521083771</x:v>
      </x:c>
      <x:c r="G712" s="1" t="n">
        <x:v>-75.16947916101698</x:v>
      </x:c>
      <x:c r="H712" s="1" t="str">
        <x:v>Yes</x:v>
      </x:c>
      <x:c r="I712" s="1" t="str"/>
      <x:c r="J712" s="1" t="str"/>
      <x:c r="K712" s="1" t="str"/>
      <x:c r="L712" s="1" t="str">
        <x:v>https://www.philabundance.org/</x:v>
      </x:c>
      <x:c r="M712" s="1" t="n">
        <x:f>IF(OR(NOT(ISNUMBER('School Profile'!$K$4)),NOT(ISNUMBER('School Profile'!$K$5)),NOT(ISNUMBER(F712)),NOT(ISNUMBER(G712))),"",3958.7613*2*ASIN(MIN(1,SQRT(SIN(RADIANS(F712-'School Profile'!$K$4)/2)^2+COS(RADIANS('School Profile'!$K$4))*COS(RADIANS(F712))*SIN(RADIANS(G712-'School Profile'!$K$5)/2)^2))))</x:f>
        <x:v>5.964535974803887</x:v>
      </x:c>
      <x:c r="N712" s="1" t="str">
        <x:f>IF(AND(H712="Yes",ISNUMBER(M712),M712&lt;=1),COUNTIFS($H$511:$H$1010,"Yes",$M$511:$M$1010,"&lt;"&amp;M712)+COUNTIFS($H$511:H712,"Yes",$M$511:M712,M712),"")</x:f>
      </x:c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</x:row>
    <x:row r="713" ht="22" customHeight="1">
      <x:c r="A713" s="1" t="str">
        <x:v>203</x:v>
      </x:c>
      <x:c r="B713" s="1" t="str">
        <x:v>Firehouse Active Adult Center</x:v>
      </x:c>
      <x:c r="C713" s="1" t="str">
        <x:v>5331 Haverford Ave.</x:v>
      </x:c>
      <x:c r="D713" s="1" t="str">
        <x:v>Senior Meal Site</x:v>
      </x:c>
      <x:c r="E713" s="1" t="str">
        <x:v>Active</x:v>
      </x:c>
      <x:c r="F713" s="1" t="n">
        <x:v>39.96630340980327</x:v>
      </x:c>
      <x:c r="G713" s="1" t="n">
        <x:v>-75.2275302700721</x:v>
      </x:c>
      <x:c r="H713" s="1" t="str">
        <x:v>No</x:v>
      </x:c>
      <x:c r="I713" s="1" t="str"/>
      <x:c r="J713" s="1" t="str"/>
      <x:c r="K713" s="1" t="str"/>
      <x:c r="L713" s="1" t="str">
        <x:v>https://www.pcacares.org/</x:v>
      </x:c>
      <x:c r="M713" s="1" t="n">
        <x:f>IF(OR(NOT(ISNUMBER('School Profile'!$K$4)),NOT(ISNUMBER('School Profile'!$K$5)),NOT(ISNUMBER(F713)),NOT(ISNUMBER(G713))),"",3958.7613*2*ASIN(MIN(1,SQRT(SIN(RADIANS(F713-'School Profile'!$K$4)/2)^2+COS(RADIANS('School Profile'!$K$4))*COS(RADIANS(F713))*SIN(RADIANS(G713-'School Profile'!$K$5)/2)^2))))</x:f>
        <x:v>11.01496351184419</x:v>
      </x:c>
      <x:c r="N713" s="1" t="str">
        <x:f>IF(AND(H713="Yes",ISNUMBER(M713),M713&lt;=1),COUNTIFS($H$511:$H$1010,"Yes",$M$511:$M$1010,"&lt;"&amp;M713)+COUNTIFS($H$511:H713,"Yes",$M$511:M713,M713),"")</x:f>
      </x:c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</x:row>
    <x:row r="714" ht="22" customHeight="1">
      <x:c r="A714" s="1" t="str">
        <x:v>204</x:v>
      </x:c>
      <x:c r="B714" s="1" t="str">
        <x:v>Wharton Wesley Helping Hands</x:v>
      </x:c>
      <x:c r="C714" s="1" t="str">
        <x:v>5341 Catharine St</x:v>
      </x:c>
      <x:c r="D714" s="1" t="str">
        <x:v>Food Site</x:v>
      </x:c>
      <x:c r="E714" s="1" t="str">
        <x:v>Active</x:v>
      </x:c>
      <x:c r="F714" s="1" t="n">
        <x:v>39.9493365307091</x:v>
      </x:c>
      <x:c r="G714" s="1" t="n">
        <x:v>-75.22990558097334</x:v>
      </x:c>
      <x:c r="H714" s="1" t="str">
        <x:v>Yes</x:v>
      </x:c>
      <x:c r="I714" s="1" t="str"/>
      <x:c r="J714" s="1" t="str"/>
      <x:c r="K714" s="1" t="str"/>
      <x:c r="L714" s="1" t="str">
        <x:v>https://www.philabundance.org/</x:v>
      </x:c>
      <x:c r="M714" s="1" t="n">
        <x:f>IF(OR(NOT(ISNUMBER('School Profile'!$K$4)),NOT(ISNUMBER('School Profile'!$K$5)),NOT(ISNUMBER(F714)),NOT(ISNUMBER(G714))),"",3958.7613*2*ASIN(MIN(1,SQRT(SIN(RADIANS(F714-'School Profile'!$K$4)/2)^2+COS(RADIANS('School Profile'!$K$4))*COS(RADIANS(F714))*SIN(RADIANS(G714-'School Profile'!$K$5)/2)^2))))</x:f>
        <x:v>11.8816676174937</x:v>
      </x:c>
      <x:c r="N714" s="1" t="str">
        <x:f>IF(AND(H714="Yes",ISNUMBER(M714),M714&lt;=1),COUNTIFS($H$511:$H$1010,"Yes",$M$511:$M$1010,"&lt;"&amp;M714)+COUNTIFS($H$511:H714,"Yes",$M$511:M714,M714),"")</x:f>
      </x:c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</x:row>
    <x:row r="715" ht="22" customHeight="1">
      <x:c r="A715" s="1" t="str">
        <x:v>205</x:v>
      </x:c>
      <x:c r="B715" s="1" t="str">
        <x:v>St. Barbara</x:v>
      </x:c>
      <x:c r="C715" s="1" t="str">
        <x:v>5359 Lebanon Ave (side entrance)</x:v>
      </x:c>
      <x:c r="D715" s="1" t="str">
        <x:v>Food Site</x:v>
      </x:c>
      <x:c r="E715" s="1" t="str">
        <x:v>Active</x:v>
      </x:c>
      <x:c r="F715" s="1" t="n">
        <x:v>39.98769168030866</x:v>
      </x:c>
      <x:c r="G715" s="1" t="n">
        <x:v>-75.23185890018499</x:v>
      </x:c>
      <x:c r="H715" s="1" t="str">
        <x:v>Yes</x:v>
      </x:c>
      <x:c r="I715" s="1" t="str"/>
      <x:c r="J715" s="1" t="str"/>
      <x:c r="K715" s="1" t="str"/>
      <x:c r="L715" s="1" t="str">
        <x:v>https://nutritionaldevelopmentservices.org/</x:v>
      </x:c>
      <x:c r="M715" s="1" t="n">
        <x:f>IF(OR(NOT(ISNUMBER('School Profile'!$K$4)),NOT(ISNUMBER('School Profile'!$K$5)),NOT(ISNUMBER(F715)),NOT(ISNUMBER(G715))),"",3958.7613*2*ASIN(MIN(1,SQRT(SIN(RADIANS(F715-'School Profile'!$K$4)/2)^2+COS(RADIANS('School Profile'!$K$4))*COS(RADIANS(F715))*SIN(RADIANS(G715-'School Profile'!$K$5)/2)^2))))</x:f>
        <x:v>10.340529393560914</x:v>
      </x:c>
      <x:c r="N715" s="1" t="str">
        <x:f>IF(AND(H715="Yes",ISNUMBER(M715),M715&lt;=1),COUNTIFS($H$511:$H$1010,"Yes",$M$511:$M$1010,"&lt;"&amp;M715)+COUNTIFS($H$511:H715,"Yes",$M$511:M715,M715),"")</x:f>
      </x:c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</x:row>
    <x:row r="716" ht="22" customHeight="1">
      <x:c r="A716" s="1" t="str">
        <x:v>206</x:v>
      </x:c>
      <x:c r="B716" s="1" t="str">
        <x:v>Jerusalem French Church</x:v>
      </x:c>
      <x:c r="C716" s="1" t="str">
        <x:v>537 E. Wyoming Ave.</x:v>
      </x:c>
      <x:c r="D716" s="1" t="str">
        <x:v>Food Site</x:v>
      </x:c>
      <x:c r="E716" s="1" t="str">
        <x:v>Active</x:v>
      </x:c>
      <x:c r="F716" s="1" t="n">
        <x:v>40.02055924029792</x:v>
      </x:c>
      <x:c r="G716" s="1" t="n">
        <x:v>-75.11483996031048</x:v>
      </x:c>
      <x:c r="H716" s="1" t="str">
        <x:v>Yes</x:v>
      </x:c>
      <x:c r="I716" s="1" t="str"/>
      <x:c r="J716" s="1" t="str"/>
      <x:c r="K716" s="1" t="str"/>
      <x:c r="L716" s="1" t="str">
        <x:v>https://www.sharefoodprogram.org/</x:v>
      </x:c>
      <x:c r="M716" s="1" t="n">
        <x:f>IF(OR(NOT(ISNUMBER('School Profile'!$K$4)),NOT(ISNUMBER('School Profile'!$K$5)),NOT(ISNUMBER(F716)),NOT(ISNUMBER(G716))),"",3958.7613*2*ASIN(MIN(1,SQRT(SIN(RADIANS(F716-'School Profile'!$K$4)/2)^2+COS(RADIANS('School Profile'!$K$4))*COS(RADIANS(F716))*SIN(RADIANS(G716-'School Profile'!$K$5)/2)^2))))</x:f>
        <x:v>4.111517669209212</x:v>
      </x:c>
      <x:c r="N716" s="1" t="str">
        <x:f>IF(AND(H716="Yes",ISNUMBER(M716),M716&lt;=1),COUNTIFS($H$511:$H$1010,"Yes",$M$511:$M$1010,"&lt;"&amp;M716)+COUNTIFS($H$511:H716,"Yes",$M$511:M716,M716),"")</x:f>
      </x:c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</x:row>
    <x:row r="717" ht="22" customHeight="1">
      <x:c r="A717" s="1" t="str">
        <x:v>207</x:v>
      </x:c>
      <x:c r="B717" s="1" t="str">
        <x:v>Lena St. Community Fridge</x:v>
      </x:c>
      <x:c r="C717" s="1" t="str">
        <x:v>5424 Lena Street</x:v>
      </x:c>
      <x:c r="D717" s="1" t="str">
        <x:v>Food Site</x:v>
      </x:c>
      <x:c r="E717" s="1" t="str">
        <x:v>Active</x:v>
      </x:c>
      <x:c r="F717" s="1" t="n">
        <x:v>40.03511808225569</x:v>
      </x:c>
      <x:c r="G717" s="1" t="n">
        <x:v>-75.16956897368078</x:v>
      </x:c>
      <x:c r="H717" s="1" t="str">
        <x:v>Yes</x:v>
      </x:c>
      <x:c r="I717" s="1" t="str"/>
      <x:c r="J717" s="1" t="str"/>
      <x:c r="K717" s="1" t="str"/>
      <x:c r="L717" s="1" t="str">
        <x:v>https://www.facebook.com/germantowncommunityfridge/</x:v>
      </x:c>
      <x:c r="M717" s="1" t="n">
        <x:f>IF(OR(NOT(ISNUMBER('School Profile'!$K$4)),NOT(ISNUMBER('School Profile'!$K$5)),NOT(ISNUMBER(F717)),NOT(ISNUMBER(G717))),"",3958.7613*2*ASIN(MIN(1,SQRT(SIN(RADIANS(F717-'School Profile'!$K$4)/2)^2+COS(RADIANS('School Profile'!$K$4))*COS(RADIANS(F717))*SIN(RADIANS(G717-'School Profile'!$K$5)/2)^2))))</x:f>
        <x:v>5.900758307161002</x:v>
      </x:c>
      <x:c r="N717" s="1" t="str">
        <x:f>IF(AND(H717="Yes",ISNUMBER(M717),M717&lt;=1),COUNTIFS($H$511:$H$1010,"Yes",$M$511:$M$1010,"&lt;"&amp;M717)+COUNTIFS($H$511:H717,"Yes",$M$511:M717,M717),"")</x:f>
      </x:c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</x:row>
    <x:row r="718" ht="22" customHeight="1">
      <x:c r="A718" s="1" t="str">
        <x:v>208</x:v>
      </x:c>
      <x:c r="B718" s="1" t="str">
        <x:v>Grace Cafe</x:v>
      </x:c>
      <x:c r="C718" s="1" t="str">
        <x:v>55 N Broad St</x:v>
      </x:c>
      <x:c r="D718" s="1" t="str">
        <x:v>General Meal Site</x:v>
      </x:c>
      <x:c r="E718" s="1" t="str">
        <x:v>Active</x:v>
      </x:c>
      <x:c r="F718" s="1" t="n">
        <x:v>39.95413764976632</x:v>
      </x:c>
      <x:c r="G718" s="1" t="n">
        <x:v>-75.16294134993994</x:v>
      </x:c>
      <x:c r="H718" s="1" t="str">
        <x:v>No</x:v>
      </x:c>
      <x:c r="I718" s="1" t="str"/>
      <x:c r="J718" s="1" t="str"/>
      <x:c r="K718" s="1" t="str"/>
      <x:c r="L718" s="1" t="str">
        <x:v>https://www.phila.gov/departments/office-of-homeless-services/</x:v>
      </x:c>
      <x:c r="M718" s="1" t="n">
        <x:f>IF(OR(NOT(ISNUMBER('School Profile'!$K$4)),NOT(ISNUMBER('School Profile'!$K$5)),NOT(ISNUMBER(F718)),NOT(ISNUMBER(G718))),"",3958.7613*2*ASIN(MIN(1,SQRT(SIN(RADIANS(F718-'School Profile'!$K$4)/2)^2+COS(RADIANS('School Profile'!$K$4))*COS(RADIANS(F718))*SIN(RADIANS(G718-'School Profile'!$K$5)/2)^2))))</x:f>
        <x:v>9.325627086062472</x:v>
      </x:c>
      <x:c r="N718" s="1" t="str">
        <x:f>IF(AND(H718="Yes",ISNUMBER(M718),M718&lt;=1),COUNTIFS($H$511:$H$1010,"Yes",$M$511:$M$1010,"&lt;"&amp;M718)+COUNTIFS($H$511:H718,"Yes",$M$511:M718,M718),"")</x:f>
      </x:c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</x:row>
    <x:row r="719" ht="22" customHeight="1">
      <x:c r="A719" s="1" t="str">
        <x:v>209</x:v>
      </x:c>
      <x:c r="B719" s="1" t="str">
        <x:v>The Center, Arch St. United Methodist Church</x:v>
      </x:c>
      <x:c r="C719" s="1" t="str">
        <x:v>55 N Broad St</x:v>
      </x:c>
      <x:c r="D719" s="1" t="str">
        <x:v>General Meal Site</x:v>
      </x:c>
      <x:c r="E719" s="1" t="str">
        <x:v>Active</x:v>
      </x:c>
      <x:c r="F719" s="1" t="n">
        <x:v>39.95413764976632</x:v>
      </x:c>
      <x:c r="G719" s="1" t="n">
        <x:v>-75.16294134993994</x:v>
      </x:c>
      <x:c r="H719" s="1" t="str">
        <x:v>No</x:v>
      </x:c>
      <x:c r="I719" s="1" t="str"/>
      <x:c r="J719" s="1" t="str"/>
      <x:c r="K719" s="1" t="str"/>
      <x:c r="L719" s="1" t="str">
        <x:v>https://www.phila.gov/departments/office-of-homeless-services/</x:v>
      </x:c>
      <x:c r="M719" s="1" t="n">
        <x:f>IF(OR(NOT(ISNUMBER('School Profile'!$K$4)),NOT(ISNUMBER('School Profile'!$K$5)),NOT(ISNUMBER(F719)),NOT(ISNUMBER(G719))),"",3958.7613*2*ASIN(MIN(1,SQRT(SIN(RADIANS(F719-'School Profile'!$K$4)/2)^2+COS(RADIANS('School Profile'!$K$4))*COS(RADIANS(F719))*SIN(RADIANS(G719-'School Profile'!$K$5)/2)^2))))</x:f>
        <x:v>9.325627086062472</x:v>
      </x:c>
      <x:c r="N719" s="1" t="str">
        <x:f>IF(AND(H719="Yes",ISNUMBER(M719),M719&lt;=1),COUNTIFS($H$511:$H$1010,"Yes",$M$511:$M$1010,"&lt;"&amp;M719)+COUNTIFS($H$511:H719,"Yes",$M$511:M719,M719),"")</x:f>
      </x:c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</x:row>
    <x:row r="720" ht="22" customHeight="1">
      <x:c r="A720" s="1" t="str">
        <x:v>210</x:v>
      </x:c>
      <x:c r="B720" s="1" t="str">
        <x:v>Iglesia Christiana Avivamiento</x:v>
      </x:c>
      <x:c r="C720" s="1" t="str">
        <x:v>5500 Tabor Rd</x:v>
      </x:c>
      <x:c r="D720" s="1" t="str">
        <x:v>Food Site</x:v>
      </x:c>
      <x:c r="E720" s="1" t="str">
        <x:v>Active</x:v>
      </x:c>
      <x:c r="F720" s="1" t="n">
        <x:v>40.036410899724366</x:v>
      </x:c>
      <x:c r="G720" s="1" t="n">
        <x:v>-75.1040875800088</x:v>
      </x:c>
      <x:c r="H720" s="1" t="str">
        <x:v>Yes</x:v>
      </x:c>
      <x:c r="I720" s="1" t="str"/>
      <x:c r="J720" s="1" t="str"/>
      <x:c r="K720" s="1" t="str"/>
      <x:c r="L720" s="1" t="str">
        <x:v>https://www.philabundance.org/</x:v>
      </x:c>
      <x:c r="M720" s="1" t="n">
        <x:f>IF(OR(NOT(ISNUMBER('School Profile'!$K$4)),NOT(ISNUMBER('School Profile'!$K$5)),NOT(ISNUMBER(F720)),NOT(ISNUMBER(G720))),"",3958.7613*2*ASIN(MIN(1,SQRT(SIN(RADIANS(F720-'School Profile'!$K$4)/2)^2+COS(RADIANS('School Profile'!$K$4))*COS(RADIANS(F720))*SIN(RADIANS(G720-'School Profile'!$K$5)/2)^2))))</x:f>
        <x:v>2.912430972517572</x:v>
      </x:c>
      <x:c r="N720" s="1" t="str">
        <x:f>IF(AND(H720="Yes",ISNUMBER(M720),M720&lt;=1),COUNTIFS($H$511:$H$1010,"Yes",$M$511:$M$1010,"&lt;"&amp;M720)+COUNTIFS($H$511:H720,"Yes",$M$511:M720,M720),"")</x:f>
      </x:c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</x:row>
    <x:row r="721" ht="22" customHeight="1">
      <x:c r="A721" s="1" t="str">
        <x:v>211</x:v>
      </x:c>
      <x:c r="B721" s="1" t="str">
        <x:v>Salvation Army West Philadelphia Corps</x:v>
      </x:c>
      <x:c r="C721" s="1" t="str">
        <x:v>5501 Market St</x:v>
      </x:c>
      <x:c r="D721" s="1" t="str">
        <x:v>Food Site</x:v>
      </x:c>
      <x:c r="E721" s="1" t="str">
        <x:v>Active</x:v>
      </x:c>
      <x:c r="F721" s="1" t="n">
        <x:v>39.96087831370118</x:v>
      </x:c>
      <x:c r="G721" s="1" t="n">
        <x:v>-75.23085255080986</x:v>
      </x:c>
      <x:c r="H721" s="1" t="str">
        <x:v>Yes</x:v>
      </x:c>
      <x:c r="I721" s="1" t="str"/>
      <x:c r="J721" s="1" t="str"/>
      <x:c r="K721" s="1" t="str"/>
      <x:c r="L721" s="1" t="str">
        <x:v>https://www.philabundance.org/</x:v>
      </x:c>
      <x:c r="M721" s="1" t="n">
        <x:f>IF(OR(NOT(ISNUMBER('School Profile'!$K$4)),NOT(ISNUMBER('School Profile'!$K$5)),NOT(ISNUMBER(F721)),NOT(ISNUMBER(G721))),"",3958.7613*2*ASIN(MIN(1,SQRT(SIN(RADIANS(F721-'School Profile'!$K$4)/2)^2+COS(RADIANS('School Profile'!$K$4))*COS(RADIANS(F721))*SIN(RADIANS(G721-'School Profile'!$K$5)/2)^2))))</x:f>
        <x:v>11.38947671433676</x:v>
      </x:c>
      <x:c r="N721" s="1" t="str">
        <x:f>IF(AND(H721="Yes",ISNUMBER(M721),M721&lt;=1),COUNTIFS($H$511:$H$1010,"Yes",$M$511:$M$1010,"&lt;"&amp;M721)+COUNTIFS($H$511:H721,"Yes",$M$511:M721,M721),"")</x:f>
      </x:c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</x:row>
    <x:row r="722" ht="22" customHeight="1">
      <x:c r="A722" s="1" t="str">
        <x:v>212</x:v>
      </x:c>
      <x:c r="B722" s="1" t="str">
        <x:v>Devereux Memorial United Methodist Church</x:v>
      </x:c>
      <x:c r="C722" s="1" t="str">
        <x:v>2527 W Allegheny Ave</x:v>
      </x:c>
      <x:c r="D722" s="1" t="str">
        <x:v>General Meal Site</x:v>
      </x:c>
      <x:c r="E722" s="1" t="str">
        <x:v>Active</x:v>
      </x:c>
      <x:c r="F722" s="1" t="n">
        <x:v>40.00409557534002</x:v>
      </x:c>
      <x:c r="G722" s="1" t="n">
        <x:v>-75.1718131170758</x:v>
      </x:c>
      <x:c r="H722" s="1" t="str">
        <x:v>No</x:v>
      </x:c>
      <x:c r="I722" s="1" t="str"/>
      <x:c r="J722" s="1" t="str"/>
      <x:c r="K722" s="1" t="str"/>
      <x:c r="L722" s="1" t="str">
        <x:v>https://www.phila.gov/departments/office-of-homeless-services/</x:v>
      </x:c>
      <x:c r="M722" s="1" t="n">
        <x:f>IF(OR(NOT(ISNUMBER('School Profile'!$K$4)),NOT(ISNUMBER('School Profile'!$K$5)),NOT(ISNUMBER(F722)),NOT(ISNUMBER(G722))),"",3958.7613*2*ASIN(MIN(1,SQRT(SIN(RADIANS(F722-'School Profile'!$K$4)/2)^2+COS(RADIANS('School Profile'!$K$4))*COS(RADIANS(F722))*SIN(RADIANS(G722-'School Profile'!$K$5)/2)^2))))</x:f>
        <x:v>7.080872744777817</x:v>
      </x:c>
      <x:c r="N722" s="1" t="str">
        <x:f>IF(AND(H722="Yes",ISNUMBER(M722),M722&lt;=1),COUNTIFS($H$511:$H$1010,"Yes",$M$511:$M$1010,"&lt;"&amp;M722)+COUNTIFS($H$511:H722,"Yes",$M$511:M722,M722),"")</x:f>
      </x:c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</x:row>
    <x:row r="723" ht="22" customHeight="1">
      <x:c r="A723" s="1" t="str">
        <x:v>213</x:v>
      </x:c>
      <x:c r="B723" s="1" t="str">
        <x:v>48th Street Mount Pleasant Baptist Church</x:v>
      </x:c>
      <x:c r="C723" s="1" t="str">
        <x:v>5539 Vine St</x:v>
      </x:c>
      <x:c r="D723" s="1" t="str">
        <x:v>Food Site</x:v>
      </x:c>
      <x:c r="E723" s="1" t="str">
        <x:v>Active</x:v>
      </x:c>
      <x:c r="F723" s="1" t="n">
        <x:v>39.96552194013476</x:v>
      </x:c>
      <x:c r="G723" s="1" t="n">
        <x:v>-75.23095428232085</x:v>
      </x:c>
      <x:c r="H723" s="1" t="str">
        <x:v>Yes</x:v>
      </x:c>
      <x:c r="I723" s="1" t="str"/>
      <x:c r="J723" s="1" t="str"/>
      <x:c r="K723" s="1" t="str"/>
      <x:c r="L723" s="1" t="str">
        <x:v>https://www.philabundance.org/</x:v>
      </x:c>
      <x:c r="M723" s="1" t="n">
        <x:f>IF(OR(NOT(ISNUMBER('School Profile'!$K$4)),NOT(ISNUMBER('School Profile'!$K$5)),NOT(ISNUMBER(F723)),NOT(ISNUMBER(G723))),"",3958.7613*2*ASIN(MIN(1,SQRT(SIN(RADIANS(F723-'School Profile'!$K$4)/2)^2+COS(RADIANS('School Profile'!$K$4))*COS(RADIANS(F723))*SIN(RADIANS(G723-'School Profile'!$K$5)/2)^2))))</x:f>
        <x:v>11.189899238529769</x:v>
      </x:c>
      <x:c r="N723" s="1" t="str">
        <x:f>IF(AND(H723="Yes",ISNUMBER(M723),M723&lt;=1),COUNTIFS($H$511:$H$1010,"Yes",$M$511:$M$1010,"&lt;"&amp;M723)+COUNTIFS($H$511:H723,"Yes",$M$511:M723,M723),"")</x:f>
      </x:c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</x:row>
    <x:row r="724" ht="22" customHeight="1">
      <x:c r="A724" s="1" t="str">
        <x:v>214</x:v>
      </x:c>
      <x:c r="B724" s="1" t="str">
        <x:v>Faith Temple Pentecostal Church</x:v>
      </x:c>
      <x:c r="C724" s="1" t="str">
        <x:v>5618 Kingsessing Ave</x:v>
      </x:c>
      <x:c r="D724" s="1" t="str">
        <x:v>Food Site</x:v>
      </x:c>
      <x:c r="E724" s="1" t="str">
        <x:v>Active</x:v>
      </x:c>
      <x:c r="F724" s="1" t="n">
        <x:v>39.936285014936374</x:v>
      </x:c>
      <x:c r="G724" s="1" t="n">
        <x:v>-75.22491404987629</x:v>
      </x:c>
      <x:c r="H724" s="1" t="str">
        <x:v>Yes</x:v>
      </x:c>
      <x:c r="I724" s="1" t="str"/>
      <x:c r="J724" s="1" t="str"/>
      <x:c r="K724" s="1" t="str"/>
      <x:c r="L724" s="1" t="str">
        <x:v>https://www.philabundance.org/</x:v>
      </x:c>
      <x:c r="M724" s="1" t="n">
        <x:f>IF(OR(NOT(ISNUMBER('School Profile'!$K$4)),NOT(ISNUMBER('School Profile'!$K$5)),NOT(ISNUMBER(F724)),NOT(ISNUMBER(G724))),"",3958.7613*2*ASIN(MIN(1,SQRT(SIN(RADIANS(F724-'School Profile'!$K$4)/2)^2+COS(RADIANS('School Profile'!$K$4))*COS(RADIANS(F724))*SIN(RADIANS(G724-'School Profile'!$K$5)/2)^2))))</x:f>
        <x:v>12.334098045395363</x:v>
      </x:c>
      <x:c r="N724" s="1" t="str">
        <x:f>IF(AND(H724="Yes",ISNUMBER(M724),M724&lt;=1),COUNTIFS($H$511:$H$1010,"Yes",$M$511:$M$1010,"&lt;"&amp;M724)+COUNTIFS($H$511:H724,"Yes",$M$511:M724,M724),"")</x:f>
      </x:c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</x:row>
    <x:row r="725" ht="22" customHeight="1">
      <x:c r="A725" s="1" t="str">
        <x:v>215</x:v>
      </x:c>
      <x:c r="B725" s="1" t="str">
        <x:v>Neighborhood Community Action Center 4</x:v>
      </x:c>
      <x:c r="C725" s="1" t="str">
        <x:v>5630 Vine St.</x:v>
      </x:c>
      <x:c r="D725" s="1" t="str">
        <x:v>Public Benefits</x:v>
      </x:c>
      <x:c r="E725" s="1" t="str">
        <x:v>Active</x:v>
      </x:c>
      <x:c r="F725" s="1" t="n">
        <x:v>39.96559993025112</x:v>
      </x:c>
      <x:c r="G725" s="1" t="n">
        <x:v>-75.23251118038752</x:v>
      </x:c>
      <x:c r="H725" s="1" t="str">
        <x:v>No</x:v>
      </x:c>
      <x:c r="I725" s="1" t="str"/>
      <x:c r="J725" s="1" t="str"/>
      <x:c r="K725" s="1" t="str"/>
      <x:c r="L725" s="1" t="str">
        <x:v>https://www.phila.gov/programs/neighborhood-community-action-centers/</x:v>
      </x:c>
      <x:c r="M725" s="1" t="n">
        <x:f>IF(OR(NOT(ISNUMBER('School Profile'!$K$4)),NOT(ISNUMBER('School Profile'!$K$5)),NOT(ISNUMBER(F725)),NOT(ISNUMBER(G725))),"",3958.7613*2*ASIN(MIN(1,SQRT(SIN(RADIANS(F725-'School Profile'!$K$4)/2)^2+COS(RADIANS('School Profile'!$K$4))*COS(RADIANS(F725))*SIN(RADIANS(G725-'School Profile'!$K$5)/2)^2))))</x:f>
        <x:v>11.25093331343938</x:v>
      </x:c>
      <x:c r="N725" s="1" t="str">
        <x:f>IF(AND(H725="Yes",ISNUMBER(M725),M725&lt;=1),COUNTIFS($H$511:$H$1010,"Yes",$M$511:$M$1010,"&lt;"&amp;M725)+COUNTIFS($H$511:H725,"Yes",$M$511:M725,M725),"")</x:f>
      </x:c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</x:row>
    <x:row r="726" ht="22" customHeight="1">
      <x:c r="A726" s="1" t="str">
        <x:v>216</x:v>
      </x:c>
      <x:c r="B726" s="1" t="str">
        <x:v>FAWN Food Pantry at Rising Sun Health Center</x:v>
      </x:c>
      <x:c r="C726" s="1" t="str">
        <x:v>5675 N. Front St.</x:v>
      </x:c>
      <x:c r="D726" s="1" t="str">
        <x:v>Food Site</x:v>
      </x:c>
      <x:c r="E726" s="1" t="str">
        <x:v>Active</x:v>
      </x:c>
      <x:c r="F726" s="1" t="n">
        <x:v>40.035672077176926</x:v>
      </x:c>
      <x:c r="G726" s="1" t="n">
        <x:v>-75.12125976689518</x:v>
      </x:c>
      <x:c r="H726" s="1" t="str">
        <x:v>Yes</x:v>
      </x:c>
      <x:c r="I726" s="1" t="str"/>
      <x:c r="J726" s="1" t="str"/>
      <x:c r="K726" s="1" t="str"/>
      <x:c r="L726" s="1" t="str">
        <x:v>https://turningpointsforchildren.phmc.org/programs/fawn</x:v>
      </x:c>
      <x:c r="M726" s="1" t="n">
        <x:f>IF(OR(NOT(ISNUMBER('School Profile'!$K$4)),NOT(ISNUMBER('School Profile'!$K$5)),NOT(ISNUMBER(F726)),NOT(ISNUMBER(G726))),"",3958.7613*2*ASIN(MIN(1,SQRT(SIN(RADIANS(F726-'School Profile'!$K$4)/2)^2+COS(RADIANS('School Profile'!$K$4))*COS(RADIANS(F726))*SIN(RADIANS(G726-'School Profile'!$K$5)/2)^2))))</x:f>
        <x:v>3.6311232354125087</x:v>
      </x:c>
      <x:c r="N726" s="1" t="str">
        <x:f>IF(AND(H726="Yes",ISNUMBER(M726),M726&lt;=1),COUNTIFS($H$511:$H$1010,"Yes",$M$511:$M$1010,"&lt;"&amp;M726)+COUNTIFS($H$511:H726,"Yes",$M$511:M726,M726),"")</x:f>
      </x:c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</x:row>
    <x:row r="727" ht="22" customHeight="1">
      <x:c r="A727" s="1" t="str">
        <x:v>217</x:v>
      </x:c>
      <x:c r="B727" s="1" t="str">
        <x:v>Ezekiel Baptist Church</x:v>
      </x:c>
      <x:c r="C727" s="1" t="str">
        <x:v>5701 Grays Ave</x:v>
      </x:c>
      <x:c r="D727" s="1" t="str">
        <x:v>Food Site</x:v>
      </x:c>
      <x:c r="E727" s="1" t="str">
        <x:v>Active</x:v>
      </x:c>
      <x:c r="F727" s="1" t="n">
        <x:v>39.930961420256736</x:v>
      </x:c>
      <x:c r="G727" s="1" t="n">
        <x:v>-75.22163117014522</x:v>
      </x:c>
      <x:c r="H727" s="1" t="str">
        <x:v>Yes</x:v>
      </x:c>
      <x:c r="I727" s="1" t="str"/>
      <x:c r="J727" s="1" t="str"/>
      <x:c r="K727" s="1" t="str"/>
      <x:c r="L727" s="1" t="str">
        <x:v>https://www.philabundance.org/</x:v>
      </x:c>
      <x:c r="M727" s="1" t="n">
        <x:f>IF(OR(NOT(ISNUMBER('School Profile'!$K$4)),NOT(ISNUMBER('School Profile'!$K$5)),NOT(ISNUMBER(F727)),NOT(ISNUMBER(G727))),"",3958.7613*2*ASIN(MIN(1,SQRT(SIN(RADIANS(F727-'School Profile'!$K$4)/2)^2+COS(RADIANS('School Profile'!$K$4))*COS(RADIANS(F727))*SIN(RADIANS(G727-'School Profile'!$K$5)/2)^2))))</x:f>
        <x:v>12.490541436033261</x:v>
      </x:c>
      <x:c r="N727" s="1" t="str">
        <x:f>IF(AND(H727="Yes",ISNUMBER(M727),M727&lt;=1),COUNTIFS($H$511:$H$1010,"Yes",$M$511:$M$1010,"&lt;"&amp;M727)+COUNTIFS($H$511:H727,"Yes",$M$511:M727,M727),"")</x:f>
      </x:c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</x:row>
    <x:row r="728" ht="22" customHeight="1">
      <x:c r="A728" s="1" t="str">
        <x:v>218</x:v>
      </x:c>
      <x:c r="B728" s="1" t="str">
        <x:v>KleinLife Rhawnhurst</x:v>
      </x:c>
      <x:c r="C728" s="1" t="str">
        <x:v>2101 Strahle Street</x:v>
      </x:c>
      <x:c r="D728" s="1" t="str">
        <x:v>Senior Meal Site</x:v>
      </x:c>
      <x:c r="E728" s="1" t="str">
        <x:v>Active</x:v>
      </x:c>
      <x:c r="F728" s="1" t="n">
        <x:v>40.066091370516794</x:v>
      </x:c>
      <x:c r="G728" s="1" t="n">
        <x:v>-75.04841770175263</x:v>
      </x:c>
      <x:c r="H728" s="1" t="str">
        <x:v>No</x:v>
      </x:c>
      <x:c r="I728" s="1" t="str"/>
      <x:c r="J728" s="1" t="str"/>
      <x:c r="K728" s="1" t="str"/>
      <x:c r="L728" s="1" t="str">
        <x:v>https://kleinlife.org/</x:v>
      </x:c>
      <x:c r="M728" s="1" t="n">
        <x:f>IF(OR(NOT(ISNUMBER('School Profile'!$K$4)),NOT(ISNUMBER('School Profile'!$K$5)),NOT(ISNUMBER(F728)),NOT(ISNUMBER(G728))),"",3958.7613*2*ASIN(MIN(1,SQRT(SIN(RADIANS(F728-'School Profile'!$K$4)/2)^2+COS(RADIANS('School Profile'!$K$4))*COS(RADIANS(F728))*SIN(RADIANS(G728-'School Profile'!$K$5)/2)^2))))</x:f>
        <x:v>0.9302772654040438</x:v>
      </x:c>
      <x:c r="N728" s="1" t="str">
        <x:f>IF(AND(H728="Yes",ISNUMBER(M728),M728&lt;=1),COUNTIFS($H$511:$H$1010,"Yes",$M$511:$M$1010,"&lt;"&amp;M728)+COUNTIFS($H$511:H728,"Yes",$M$511:M728,M728),"")</x:f>
      </x:c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</x:row>
    <x:row r="729" ht="22" customHeight="1">
      <x:c r="A729" s="1" t="str">
        <x:v>219</x:v>
      </x:c>
      <x:c r="B729" s="1" t="str">
        <x:v>Bethany Missionary Baptist Church</x:v>
      </x:c>
      <x:c r="C729" s="1" t="str">
        <x:v>5749 Warrington Ave.</x:v>
      </x:c>
      <x:c r="D729" s="1" t="str">
        <x:v>Food Site</x:v>
      </x:c>
      <x:c r="E729" s="1" t="str">
        <x:v>Active</x:v>
      </x:c>
      <x:c r="F729" s="1" t="n">
        <x:v>39.93846611579702</x:v>
      </x:c>
      <x:c r="G729" s="1" t="n">
        <x:v>-75.2304748631318</x:v>
      </x:c>
      <x:c r="H729" s="1" t="str">
        <x:v>Yes</x:v>
      </x:c>
      <x:c r="I729" s="1" t="str"/>
      <x:c r="J729" s="1" t="str"/>
      <x:c r="K729" s="1" t="str"/>
      <x:c r="L729" s="1" t="str">
        <x:v>https://www.philabundance.org/</x:v>
      </x:c>
      <x:c r="M729" s="1" t="n">
        <x:f>IF(OR(NOT(ISNUMBER('School Profile'!$K$4)),NOT(ISNUMBER('School Profile'!$K$5)),NOT(ISNUMBER(F729)),NOT(ISNUMBER(G729))),"",3958.7613*2*ASIN(MIN(1,SQRT(SIN(RADIANS(F729-'School Profile'!$K$4)/2)^2+COS(RADIANS('School Profile'!$K$4))*COS(RADIANS(F729))*SIN(RADIANS(G729-'School Profile'!$K$5)/2)^2))))</x:f>
        <x:v>12.428578654282662</x:v>
      </x:c>
      <x:c r="N729" s="1" t="str">
        <x:f>IF(AND(H729="Yes",ISNUMBER(M729),M729&lt;=1),COUNTIFS($H$511:$H$1010,"Yes",$M$511:$M$1010,"&lt;"&amp;M729)+COUNTIFS($H$511:H729,"Yes",$M$511:M729,M729),"")</x:f>
      </x:c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</x:row>
    <x:row r="730" ht="22" customHeight="1">
      <x:c r="A730" s="1" t="str">
        <x:v>220</x:v>
      </x:c>
      <x:c r="B730" s="1" t="str">
        <x:v>Olney/Logan WIC Office</x:v>
      </x:c>
      <x:c r="C730" s="1" t="str">
        <x:v>5751 N. Broad St., Unit 5</x:v>
      </x:c>
      <x:c r="D730" s="1" t="str">
        <x:v>Public Benefits</x:v>
      </x:c>
      <x:c r="E730" s="1" t="str">
        <x:v>Active</x:v>
      </x:c>
      <x:c r="F730" s="1" t="n">
        <x:v>40.0412524101749</x:v>
      </x:c>
      <x:c r="G730" s="1" t="n">
        <x:v>-75.14393878008514</x:v>
      </x:c>
      <x:c r="H730" s="1" t="str">
        <x:v>No</x:v>
      </x:c>
      <x:c r="I730" s="1" t="str"/>
      <x:c r="J730" s="1" t="str"/>
      <x:c r="K730" s="1" t="str"/>
      <x:c r="L730" s="1" t="str">
        <x:v>https://www.facebook.com/PhiladelphiaWICProgram/</x:v>
      </x:c>
      <x:c r="M730" s="1" t="n">
        <x:f>IF(OR(NOT(ISNUMBER('School Profile'!$K$4)),NOT(ISNUMBER('School Profile'!$K$5)),NOT(ISNUMBER(F730)),NOT(ISNUMBER(G730))),"",3958.7613*2*ASIN(MIN(1,SQRT(SIN(RADIANS(F730-'School Profile'!$K$4)/2)^2+COS(RADIANS('School Profile'!$K$4))*COS(RADIANS(F730))*SIN(RADIANS(G730-'School Profile'!$K$5)/2)^2))))</x:f>
        <x:v>4.4859319058757166</x:v>
      </x:c>
      <x:c r="N730" s="1" t="str">
        <x:f>IF(AND(H730="Yes",ISNUMBER(M730),M730&lt;=1),COUNTIFS($H$511:$H$1010,"Yes",$M$511:$M$1010,"&lt;"&amp;M730)+COUNTIFS($H$511:H730,"Yes",$M$511:M730,M730),"")</x:f>
      </x:c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</x:row>
    <x:row r="731" ht="22" customHeight="1">
      <x:c r="A731" s="1" t="str">
        <x:v>221</x:v>
      </x:c>
      <x:c r="B731" s="1" t="str">
        <x:v>New Hope AME Zion Church</x:v>
      </x:c>
      <x:c r="C731" s="1" t="str">
        <x:v>5802 Musgrave St.</x:v>
      </x:c>
      <x:c r="D731" s="1" t="str">
        <x:v>Food Site</x:v>
      </x:c>
      <x:c r="E731" s="1" t="str">
        <x:v>Active</x:v>
      </x:c>
      <x:c r="F731" s="1" t="n">
        <x:v>40.04400408027713</x:v>
      </x:c>
      <x:c r="G731" s="1" t="n">
        <x:v>-75.16892024990845</x:v>
      </x:c>
      <x:c r="H731" s="1" t="str">
        <x:v>Yes</x:v>
      </x:c>
      <x:c r="I731" s="1" t="str"/>
      <x:c r="J731" s="1" t="str"/>
      <x:c r="K731" s="1" t="str"/>
      <x:c r="L731" s="1" t="str">
        <x:v>https://www.sharefoodprogram.org/</x:v>
      </x:c>
      <x:c r="M731" s="1" t="n">
        <x:f>IF(OR(NOT(ISNUMBER('School Profile'!$K$4)),NOT(ISNUMBER('School Profile'!$K$5)),NOT(ISNUMBER(F731)),NOT(ISNUMBER(G731))),"",3958.7613*2*ASIN(MIN(1,SQRT(SIN(RADIANS(F731-'School Profile'!$K$4)/2)^2+COS(RADIANS('School Profile'!$K$4))*COS(RADIANS(F731))*SIN(RADIANS(G731-'School Profile'!$K$5)/2)^2))))</x:f>
        <x:v>5.66795744519356</x:v>
      </x:c>
      <x:c r="N731" s="1" t="str">
        <x:f>IF(AND(H731="Yes",ISNUMBER(M731),M731&lt;=1),COUNTIFS($H$511:$H$1010,"Yes",$M$511:$M$1010,"&lt;"&amp;M731)+COUNTIFS($H$511:H731,"Yes",$M$511:M731,M731),"")</x:f>
      </x:c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</x:row>
    <x:row r="732" ht="22" customHeight="1">
      <x:c r="A732" s="1" t="str">
        <x:v>222</x:v>
      </x:c>
      <x:c r="B732" s="1" t="str">
        <x:v>Center in the Park</x:v>
      </x:c>
      <x:c r="C732" s="1" t="str">
        <x:v>5818 Germantown Ave.</x:v>
      </x:c>
      <x:c r="D732" s="1" t="str">
        <x:v>Senior Meal Site</x:v>
      </x:c>
      <x:c r="E732" s="1" t="str">
        <x:v>Active</x:v>
      </x:c>
      <x:c r="F732" s="1" t="n">
        <x:v>40.03713672013518</x:v>
      </x:c>
      <x:c r="G732" s="1" t="n">
        <x:v>-75.17631860031531</x:v>
      </x:c>
      <x:c r="H732" s="1" t="str">
        <x:v>No</x:v>
      </x:c>
      <x:c r="I732" s="1" t="str"/>
      <x:c r="J732" s="1" t="str"/>
      <x:c r="K732" s="1" t="str"/>
      <x:c r="L732" s="1" t="str">
        <x:v>https://www.pcacares.org/</x:v>
      </x:c>
      <x:c r="M732" s="1" t="n">
        <x:f>IF(OR(NOT(ISNUMBER('School Profile'!$K$4)),NOT(ISNUMBER('School Profile'!$K$5)),NOT(ISNUMBER(F732)),NOT(ISNUMBER(G732))),"",3958.7613*2*ASIN(MIN(1,SQRT(SIN(RADIANS(F732-'School Profile'!$K$4)/2)^2+COS(RADIANS('School Profile'!$K$4))*COS(RADIANS(F732))*SIN(RADIANS(G732-'School Profile'!$K$5)/2)^2))))</x:f>
        <x:v>6.185860289527353</x:v>
      </x:c>
      <x:c r="N732" s="1" t="str">
        <x:f>IF(AND(H732="Yes",ISNUMBER(M732),M732&lt;=1),COUNTIFS($H$511:$H$1010,"Yes",$M$511:$M$1010,"&lt;"&amp;M732)+COUNTIFS($H$511:H732,"Yes",$M$511:M732,M732),"")</x:f>
      </x:c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</x:row>
    <x:row r="733" ht="22" customHeight="1">
      <x:c r="A733" s="1" t="str">
        <x:v>223</x:v>
      </x:c>
      <x:c r="B733" s="1" t="str">
        <x:v>Salvation Army Rising Sun</x:v>
      </x:c>
      <x:c r="C733" s="1" t="str">
        <x:v>5830 Rising Sun Ave.</x:v>
      </x:c>
      <x:c r="D733" s="1" t="str">
        <x:v>Food Site</x:v>
      </x:c>
      <x:c r="E733" s="1" t="str">
        <x:v>Active</x:v>
      </x:c>
      <x:c r="F733" s="1" t="n">
        <x:v>40.04353279389342</x:v>
      </x:c>
      <x:c r="G733" s="1" t="n">
        <x:v>-75.10349793304282</x:v>
      </x:c>
      <x:c r="H733" s="1" t="str">
        <x:v>Yes</x:v>
      </x:c>
      <x:c r="I733" s="1" t="str"/>
      <x:c r="J733" s="1" t="str"/>
      <x:c r="K733" s="1" t="str"/>
      <x:c r="L733" s="1" t="str">
        <x:v>https://www.philabundance.org/</x:v>
      </x:c>
      <x:c r="M733" s="1" t="n">
        <x:f>IF(OR(NOT(ISNUMBER('School Profile'!$K$4)),NOT(ISNUMBER('School Profile'!$K$5)),NOT(ISNUMBER(F733)),NOT(ISNUMBER(G733))),"",3958.7613*2*ASIN(MIN(1,SQRT(SIN(RADIANS(F733-'School Profile'!$K$4)/2)^2+COS(RADIANS('School Profile'!$K$4))*COS(RADIANS(F733))*SIN(RADIANS(G733-'School Profile'!$K$5)/2)^2))))</x:f>
        <x:v>2.5553820797396343</x:v>
      </x:c>
      <x:c r="N733" s="1" t="str">
        <x:f>IF(AND(H733="Yes",ISNUMBER(M733),M733&lt;=1),COUNTIFS($H$511:$H$1010,"Yes",$M$511:$M$1010,"&lt;"&amp;M733)+COUNTIFS($H$511:H733,"Yes",$M$511:M733,M733),"")</x:f>
      </x:c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</x:row>
    <x:row r="734" ht="22" customHeight="1">
      <x:c r="A734" s="1" t="str">
        <x:v>224</x:v>
      </x:c>
      <x:c r="B734" s="1" t="str">
        <x:v>BenePhilly Center at Impact Services at PA CareerLink, Northwest</x:v>
      </x:c>
      <x:c r="C734" s="1" t="str">
        <x:v>5847 Germantown Ave.</x:v>
      </x:c>
      <x:c r="D734" s="1" t="str">
        <x:v>Public Benefits</x:v>
      </x:c>
      <x:c r="E734" s="1" t="str">
        <x:v>Active</x:v>
      </x:c>
      <x:c r="F734" s="1" t="n">
        <x:v>40.038491760336065</x:v>
      </x:c>
      <x:c r="G734" s="1" t="n">
        <x:v>-75.17654957963275</x:v>
      </x:c>
      <x:c r="H734" s="1" t="str">
        <x:v>No</x:v>
      </x:c>
      <x:c r="I734" s="1" t="str"/>
      <x:c r="J734" s="1" t="str"/>
      <x:c r="K734" s="1" t="str"/>
      <x:c r="L734" s="1" t="str">
        <x:v>https://www.impactservices.org/pa-careerlink-nw-philadelphia</x:v>
      </x:c>
      <x:c r="M734" s="1" t="n">
        <x:f>IF(OR(NOT(ISNUMBER('School Profile'!$K$4)),NOT(ISNUMBER('School Profile'!$K$5)),NOT(ISNUMBER(F734)),NOT(ISNUMBER(G734))),"",3958.7613*2*ASIN(MIN(1,SQRT(SIN(RADIANS(F734-'School Profile'!$K$4)/2)^2+COS(RADIANS('School Profile'!$K$4))*COS(RADIANS(F734))*SIN(RADIANS(G734-'School Profile'!$K$5)/2)^2))))</x:f>
        <x:v>6.166956761447341</x:v>
      </x:c>
      <x:c r="N734" s="1" t="str">
        <x:f>IF(AND(H734="Yes",ISNUMBER(M734),M734&lt;=1),COUNTIFS($H$511:$H$1010,"Yes",$M$511:$M$1010,"&lt;"&amp;M734)+COUNTIFS($H$511:H734,"Yes",$M$511:M734,M734),"")</x:f>
      </x:c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</x:row>
    <x:row r="735" ht="22" customHeight="1">
      <x:c r="A735" s="1" t="str">
        <x:v>225</x:v>
      </x:c>
      <x:c r="B735" s="1" t="str">
        <x:v>Saint Paul's Outreach</x:v>
      </x:c>
      <x:c r="C735" s="1" t="str">
        <x:v>5900 N 5th St.</x:v>
      </x:c>
      <x:c r="D735" s="1" t="str">
        <x:v>Food Site</x:v>
      </x:c>
      <x:c r="E735" s="1" t="str">
        <x:v>Active</x:v>
      </x:c>
      <x:c r="F735" s="1" t="n">
        <x:v>40.04111790931155</x:v>
      </x:c>
      <x:c r="G735" s="1" t="n">
        <x:v>-75.12954954071128</x:v>
      </x:c>
      <x:c r="H735" s="1" t="str">
        <x:v>Yes</x:v>
      </x:c>
      <x:c r="I735" s="1" t="str"/>
      <x:c r="J735" s="1" t="str"/>
      <x:c r="K735" s="1" t="str"/>
      <x:c r="L735" s="1" t="str">
        <x:v>https://www.philabundance.org/</x:v>
      </x:c>
      <x:c r="M735" s="1" t="n">
        <x:f>IF(OR(NOT(ISNUMBER('School Profile'!$K$4)),NOT(ISNUMBER('School Profile'!$K$5)),NOT(ISNUMBER(F735)),NOT(ISNUMBER(G735))),"",3958.7613*2*ASIN(MIN(1,SQRT(SIN(RADIANS(F735-'School Profile'!$K$4)/2)^2+COS(RADIANS('School Profile'!$K$4))*COS(RADIANS(F735))*SIN(RADIANS(G735-'School Profile'!$K$5)/2)^2))))</x:f>
        <x:v>3.8027337453508303</x:v>
      </x:c>
      <x:c r="N735" s="1" t="str">
        <x:f>IF(AND(H735="Yes",ISNUMBER(M735),M735&lt;=1),COUNTIFS($H$511:$H$1010,"Yes",$M$511:$M$1010,"&lt;"&amp;M735)+COUNTIFS($H$511:H735,"Yes",$M$511:M735,M735),"")</x:f>
      </x:c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</x:row>
    <x:row r="736" ht="22" customHeight="1">
      <x:c r="A736" s="1" t="str">
        <x:v>226</x:v>
      </x:c>
      <x:c r="B736" s="1" t="str">
        <x:v>African Family Health Organization (AFAHO)</x:v>
      </x:c>
      <x:c r="C736" s="1" t="str">
        <x:v>5901 Larchwood Ave</x:v>
      </x:c>
      <x:c r="D736" s="1" t="str">
        <x:v>Food Site</x:v>
      </x:c>
      <x:c r="E736" s="1" t="str">
        <x:v>Permanently Closed</x:v>
      </x:c>
      <x:c r="F736" s="1" t="n">
        <x:v>39.95380946091204</x:v>
      </x:c>
      <x:c r="G736" s="1" t="n">
        <x:v>-75.2405372312941</x:v>
      </x:c>
      <x:c r="H736" s="1" t="str">
        <x:v>No</x:v>
      </x:c>
      <x:c r="I736" s="1" t="str"/>
      <x:c r="J736" s="1" t="str">
        <x:v>yes</x:v>
      </x:c>
      <x:c r="K736" s="1" t="str"/>
      <x:c r="L736" s="1" t="str">
        <x:v>https://www.sharefoodprogram.org/</x:v>
      </x:c>
      <x:c r="M736" s="1" t="n">
        <x:f>IF(OR(NOT(ISNUMBER('School Profile'!$K$4)),NOT(ISNUMBER('School Profile'!$K$5)),NOT(ISNUMBER(F736)),NOT(ISNUMBER(G736))),"",3958.7613*2*ASIN(MIN(1,SQRT(SIN(RADIANS(F736-'School Profile'!$K$4)/2)^2+COS(RADIANS('School Profile'!$K$4))*COS(RADIANS(F736))*SIN(RADIANS(G736-'School Profile'!$K$5)/2)^2))))</x:f>
        <x:v>12.096462721504638</x:v>
      </x:c>
      <x:c r="N736" s="1" t="str">
        <x:f>IF(AND(H736="Yes",ISNUMBER(M736),M736&lt;=1),COUNTIFS($H$511:$H$1010,"Yes",$M$511:$M$1010,"&lt;"&amp;M736)+COUNTIFS($H$511:H736,"Yes",$M$511:M736,M736),"")</x:f>
      </x:c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</x:row>
    <x:row r="737" ht="22" customHeight="1">
      <x:c r="A737" s="1" t="str">
        <x:v>227</x:v>
      </x:c>
      <x:c r="B737" s="1" t="str">
        <x:v>McClure Elementary School</x:v>
      </x:c>
      <x:c r="C737" s="1" t="str">
        <x:v>600 W Hunting Park Ave</x:v>
      </x:c>
      <x:c r="D737" s="1" t="str">
        <x:v>Food Site</x:v>
      </x:c>
      <x:c r="E737" s="1" t="str">
        <x:v>Active</x:v>
      </x:c>
      <x:c r="F737" s="1" t="n">
        <x:v>40.015165839681075</x:v>
      </x:c>
      <x:c r="G737" s="1" t="n">
        <x:v>-75.13757701005768</x:v>
      </x:c>
      <x:c r="H737" s="1" t="str">
        <x:v>Yes</x:v>
      </x:c>
      <x:c r="I737" s="1" t="str"/>
      <x:c r="J737" s="1" t="str"/>
      <x:c r="K737" s="1" t="str"/>
      <x:c r="L737" s="1" t="str">
        <x:v>https://www.philabundance.org/</x:v>
      </x:c>
      <x:c r="M737" s="1" t="n">
        <x:f>IF(OR(NOT(ISNUMBER('School Profile'!$K$4)),NOT(ISNUMBER('School Profile'!$K$5)),NOT(ISNUMBER(F737)),NOT(ISNUMBER(G737))),"",3958.7613*2*ASIN(MIN(1,SQRT(SIN(RADIANS(F737-'School Profile'!$K$4)/2)^2+COS(RADIANS('School Profile'!$K$4))*COS(RADIANS(F737))*SIN(RADIANS(G737-'School Profile'!$K$5)/2)^2))))</x:f>
        <x:v>5.204837846360403</x:v>
      </x:c>
      <x:c r="N737" s="1" t="str">
        <x:f>IF(AND(H737="Yes",ISNUMBER(M737),M737&lt;=1),COUNTIFS($H$511:$H$1010,"Yes",$M$511:$M$1010,"&lt;"&amp;M737)+COUNTIFS($H$511:H737,"Yes",$M$511:M737,M737),"")</x:f>
      </x:c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</x:row>
    <x:row r="738" ht="22" customHeight="1">
      <x:c r="A738" s="1" t="str">
        <x:v>228</x:v>
      </x:c>
      <x:c r="B738" s="1" t="str">
        <x:v>Feast for Friends</x:v>
      </x:c>
      <x:c r="C738" s="1" t="str">
        <x:v>6001 Colgate St.</x:v>
      </x:c>
      <x:c r="D738" s="1" t="str">
        <x:v>Food Site</x:v>
      </x:c>
      <x:c r="E738" s="1" t="str">
        <x:v>Active</x:v>
      </x:c>
      <x:c r="F738" s="1" t="n">
        <x:v>40.044647670109796</x:v>
      </x:c>
      <x:c r="G738" s="1" t="n">
        <x:v>-75.10014904959624</x:v>
      </x:c>
      <x:c r="H738" s="1" t="str">
        <x:v>Yes</x:v>
      </x:c>
      <x:c r="I738" s="1" t="str"/>
      <x:c r="J738" s="1" t="str"/>
      <x:c r="K738" s="1" t="str"/>
      <x:c r="L738" s="1" t="str">
        <x:v>https://www.philabundance.org/</x:v>
      </x:c>
      <x:c r="M738" s="1" t="n">
        <x:f>IF(OR(NOT(ISNUMBER('School Profile'!$K$4)),NOT(ISNUMBER('School Profile'!$K$5)),NOT(ISNUMBER(F738)),NOT(ISNUMBER(G738))),"",3958.7613*2*ASIN(MIN(1,SQRT(SIN(RADIANS(F738-'School Profile'!$K$4)/2)^2+COS(RADIANS('School Profile'!$K$4))*COS(RADIANS(F738))*SIN(RADIANS(G738-'School Profile'!$K$5)/2)^2))))</x:f>
        <x:v>2.369883128686041</x:v>
      </x:c>
      <x:c r="N738" s="1" t="str">
        <x:f>IF(AND(H738="Yes",ISNUMBER(M738),M738&lt;=1),COUNTIFS($H$511:$H$1010,"Yes",$M$511:$M$1010,"&lt;"&amp;M738)+COUNTIFS($H$511:H738,"Yes",$M$511:M738,M738),"")</x:f>
      </x:c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</x:row>
    <x:row r="739" ht="22" customHeight="1">
      <x:c r="A739" s="1" t="str">
        <x:v>229</x:v>
      </x:c>
      <x:c r="B739" s="1" t="str">
        <x:v>Episcopal Community Services</x:v>
      </x:c>
      <x:c r="C739" s="1" t="str">
        <x:v>6006 W Girard Ave</x:v>
      </x:c>
      <x:c r="D739" s="1" t="str">
        <x:v>Food Site</x:v>
      </x:c>
      <x:c r="E739" s="1" t="str">
        <x:v>Active</x:v>
      </x:c>
      <x:c r="F739" s="1" t="n">
        <x:v>39.969853850072965</x:v>
      </x:c>
      <x:c r="G739" s="1" t="n">
        <x:v>-75.23980483035137</x:v>
      </x:c>
      <x:c r="H739" s="1" t="str">
        <x:v>Yes</x:v>
      </x:c>
      <x:c r="I739" s="1" t="str"/>
      <x:c r="J739" s="1" t="str"/>
      <x:c r="K739" s="1" t="str"/>
      <x:c r="L739" s="1" t="str">
        <x:v>https://www.philabundance.org/</x:v>
      </x:c>
      <x:c r="M739" s="1" t="n">
        <x:f>IF(OR(NOT(ISNUMBER('School Profile'!$K$4)),NOT(ISNUMBER('School Profile'!$K$5)),NOT(ISNUMBER(F739)),NOT(ISNUMBER(G739))),"",3958.7613*2*ASIN(MIN(1,SQRT(SIN(RADIANS(F739-'School Profile'!$K$4)/2)^2+COS(RADIANS('School Profile'!$K$4))*COS(RADIANS(F739))*SIN(RADIANS(G739-'School Profile'!$K$5)/2)^2))))</x:f>
        <x:v>11.37996252111794</x:v>
      </x:c>
      <x:c r="N739" s="1" t="str">
        <x:f>IF(AND(H739="Yes",ISNUMBER(M739),M739&lt;=1),COUNTIFS($H$511:$H$1010,"Yes",$M$511:$M$1010,"&lt;"&amp;M739)+COUNTIFS($H$511:H739,"Yes",$M$511:M739,M739),"")</x:f>
      </x:c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</x:row>
    <x:row r="740" ht="22" customHeight="1">
      <x:c r="A740" s="1" t="str">
        <x:v>230</x:v>
      </x:c>
      <x:c r="B740" s="1" t="str">
        <x:v>Episcopal Community Service St. Barnabas Community Resource Center</x:v>
      </x:c>
      <x:c r="C740" s="1" t="str">
        <x:v>6006 West Girard Ave</x:v>
      </x:c>
      <x:c r="D740" s="1" t="str">
        <x:v>Food Site</x:v>
      </x:c>
      <x:c r="E740" s="1" t="str">
        <x:v>Active</x:v>
      </x:c>
      <x:c r="F740" s="1" t="n">
        <x:v>39.96985384869608</x:v>
      </x:c>
      <x:c r="G740" s="1" t="n">
        <x:v>-75.23980483394463</x:v>
      </x:c>
      <x:c r="H740" s="1" t="str">
        <x:v>Yes</x:v>
      </x:c>
      <x:c r="I740" s="1" t="str"/>
      <x:c r="J740" s="1" t="str"/>
      <x:c r="K740" s="1" t="str"/>
      <x:c r="L740" s="1" t="str">
        <x:v>https://www.sharefoodprogram.org/</x:v>
      </x:c>
      <x:c r="M740" s="1" t="n">
        <x:f>IF(OR(NOT(ISNUMBER('School Profile'!$K$4)),NOT(ISNUMBER('School Profile'!$K$5)),NOT(ISNUMBER(F740)),NOT(ISNUMBER(G740))),"",3958.7613*2*ASIN(MIN(1,SQRT(SIN(RADIANS(F740-'School Profile'!$K$4)/2)^2+COS(RADIANS('School Profile'!$K$4))*COS(RADIANS(F740))*SIN(RADIANS(G740-'School Profile'!$K$5)/2)^2))))</x:f>
        <x:v>11.379962730886682</x:v>
      </x:c>
      <x:c r="N740" s="1" t="str">
        <x:f>IF(AND(H740="Yes",ISNUMBER(M740),M740&lt;=1),COUNTIFS($H$511:$H$1010,"Yes",$M$511:$M$1010,"&lt;"&amp;M740)+COUNTIFS($H$511:H740,"Yes",$M$511:M740,M740),"")</x:f>
      </x:c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</x:row>
    <x:row r="741" ht="22" customHeight="1">
      <x:c r="A741" s="1" t="str">
        <x:v>231</x:v>
      </x:c>
      <x:c r="B741" s="1" t="str">
        <x:v>Solomon Temple</x:v>
      </x:c>
      <x:c r="C741" s="1" t="str">
        <x:v>602 W Erie Ave.</x:v>
      </x:c>
      <x:c r="D741" s="1" t="str">
        <x:v>Food Site</x:v>
      </x:c>
      <x:c r="E741" s="1" t="str">
        <x:v>Active</x:v>
      </x:c>
      <x:c r="F741" s="1" t="n">
        <x:v>40.00760949085831</x:v>
      </x:c>
      <x:c r="G741" s="1" t="n">
        <x:v>-75.13900025497976</x:v>
      </x:c>
      <x:c r="H741" s="1" t="str">
        <x:v>Yes</x:v>
      </x:c>
      <x:c r="I741" s="1" t="str"/>
      <x:c r="J741" s="1" t="str"/>
      <x:c r="K741" s="1" t="str"/>
      <x:c r="L741" s="1" t="str">
        <x:v>https://www.philabundance.org/</x:v>
      </x:c>
      <x:c r="M741" s="1" t="n">
        <x:f>IF(OR(NOT(ISNUMBER('School Profile'!$K$4)),NOT(ISNUMBER('School Profile'!$K$5)),NOT(ISNUMBER(F741)),NOT(ISNUMBER(G741))),"",3958.7613*2*ASIN(MIN(1,SQRT(SIN(RADIANS(F741-'School Profile'!$K$4)/2)^2+COS(RADIANS('School Profile'!$K$4))*COS(RADIANS(F741))*SIN(RADIANS(G741-'School Profile'!$K$5)/2)^2))))</x:f>
        <x:v>5.627497650240364</x:v>
      </x:c>
      <x:c r="N741" s="1" t="str">
        <x:f>IF(AND(H741="Yes",ISNUMBER(M741),M741&lt;=1),COUNTIFS($H$511:$H$1010,"Yes",$M$511:$M$1010,"&lt;"&amp;M741)+COUNTIFS($H$511:H741,"Yes",$M$511:M741,M741),"")</x:f>
      </x:c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</x:row>
    <x:row r="742" ht="22" customHeight="1">
      <x:c r="A742" s="1" t="str">
        <x:v>232</x:v>
      </x:c>
      <x:c r="B742" s="1" t="str">
        <x:v>Reconciliation And Liberty Bible Church</x:v>
      </x:c>
      <x:c r="C742" s="1" t="str">
        <x:v>6027 Chestnut St</x:v>
      </x:c>
      <x:c r="D742" s="1" t="str">
        <x:v>Food Site</x:v>
      </x:c>
      <x:c r="E742" s="1" t="str">
        <x:v>Active</x:v>
      </x:c>
      <x:c r="F742" s="1" t="n">
        <x:v>39.96075502022982</x:v>
      </x:c>
      <x:c r="G742" s="1" t="n">
        <x:v>-75.24198806976675</x:v>
      </x:c>
      <x:c r="H742" s="1" t="str">
        <x:v>Yes</x:v>
      </x:c>
      <x:c r="I742" s="1" t="str"/>
      <x:c r="J742" s="1" t="str"/>
      <x:c r="K742" s="1" t="str"/>
      <x:c r="L742" s="1" t="str">
        <x:v>https://www.sharefoodprogram.org/</x:v>
      </x:c>
      <x:c r="M742" s="1" t="n">
        <x:f>IF(OR(NOT(ISNUMBER('School Profile'!$K$4)),NOT(ISNUMBER('School Profile'!$K$5)),NOT(ISNUMBER(F742)),NOT(ISNUMBER(G742))),"",3958.7613*2*ASIN(MIN(1,SQRT(SIN(RADIANS(F742-'School Profile'!$K$4)/2)^2+COS(RADIANS('School Profile'!$K$4))*COS(RADIANS(F742))*SIN(RADIANS(G742-'School Profile'!$K$5)/2)^2))))</x:f>
        <x:v>11.852195203938818</x:v>
      </x:c>
      <x:c r="N742" s="1" t="str">
        <x:f>IF(AND(H742="Yes",ISNUMBER(M742),M742&lt;=1),COUNTIFS($H$511:$H$1010,"Yes",$M$511:$M$1010,"&lt;"&amp;M742)+COUNTIFS($H$511:H742,"Yes",$M$511:M742,M742),"")</x:f>
      </x:c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</x:row>
    <x:row r="743" ht="22" customHeight="1">
      <x:c r="A743" s="1" t="str">
        <x:v>233</x:v>
      </x:c>
      <x:c r="B743" s="1" t="str">
        <x:v>UC Hospitality Coalition (Tabernacle United Church)</x:v>
      </x:c>
      <x:c r="C743" s="1" t="str">
        <x:v>3700 Chesnut Street</x:v>
      </x:c>
      <x:c r="D743" s="1" t="str">
        <x:v>General Meal Site</x:v>
      </x:c>
      <x:c r="E743" s="1" t="str">
        <x:v>Active</x:v>
      </x:c>
      <x:c r="F743" s="1" t="n">
        <x:v>39.95460339188563</x:v>
      </x:c>
      <x:c r="G743" s="1" t="n">
        <x:v>-75.19688273139143</x:v>
      </x:c>
      <x:c r="H743" s="1" t="str">
        <x:v>No</x:v>
      </x:c>
      <x:c r="I743" s="1" t="str"/>
      <x:c r="J743" s="1" t="str"/>
      <x:c r="K743" s="1" t="str"/>
      <x:c r="L743" s="1" t="str">
        <x:v>https://www.phila.gov/departments/office-of-homeless-services/</x:v>
      </x:c>
      <x:c r="M743" s="1" t="n">
        <x:f>IF(OR(NOT(ISNUMBER('School Profile'!$K$4)),NOT(ISNUMBER('School Profile'!$K$5)),NOT(ISNUMBER(F743)),NOT(ISNUMBER(G743))),"",3958.7613*2*ASIN(MIN(1,SQRT(SIN(RADIANS(F743-'School Profile'!$K$4)/2)^2+COS(RADIANS('School Profile'!$K$4))*COS(RADIANS(F743))*SIN(RADIANS(G743-'School Profile'!$K$5)/2)^2))))</x:f>
        <x:v>10.398360125007038</x:v>
      </x:c>
      <x:c r="N743" s="1" t="str">
        <x:f>IF(AND(H743="Yes",ISNUMBER(M743),M743&lt;=1),COUNTIFS($H$511:$H$1010,"Yes",$M$511:$M$1010,"&lt;"&amp;M743)+COUNTIFS($H$511:H743,"Yes",$M$511:M743,M743),"")</x:f>
      </x:c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</x:row>
    <x:row r="744" ht="22" customHeight="1">
      <x:c r="A744" s="1" t="str">
        <x:v>234</x:v>
      </x:c>
      <x:c r="B744" s="1" t="str">
        <x:v>Living Word Community</x:v>
      </x:c>
      <x:c r="C744" s="1" t="str">
        <x:v>142 N. 17th St</x:v>
      </x:c>
      <x:c r="D744" s="1" t="str">
        <x:v>General Meal Site</x:v>
      </x:c>
      <x:c r="E744" s="1" t="str">
        <x:v>Active</x:v>
      </x:c>
      <x:c r="F744" s="1" t="n">
        <x:v>39.956493879734154</x:v>
      </x:c>
      <x:c r="G744" s="1" t="n">
        <x:v>-75.16790537013138</x:v>
      </x:c>
      <x:c r="H744" s="1" t="str">
        <x:v>No</x:v>
      </x:c>
      <x:c r="I744" s="1" t="str"/>
      <x:c r="J744" s="1" t="str"/>
      <x:c r="K744" s="1" t="str"/>
      <x:c r="L744" s="1" t="str">
        <x:v>https://www.phila.gov/departments/office-of-homeless-services/</x:v>
      </x:c>
      <x:c r="M744" s="1" t="n">
        <x:f>IF(OR(NOT(ISNUMBER('School Profile'!$K$4)),NOT(ISNUMBER('School Profile'!$K$5)),NOT(ISNUMBER(F744)),NOT(ISNUMBER(G744))),"",3958.7613*2*ASIN(MIN(1,SQRT(SIN(RADIANS(F744-'School Profile'!$K$4)/2)^2+COS(RADIANS('School Profile'!$K$4))*COS(RADIANS(F744))*SIN(RADIANS(G744-'School Profile'!$K$5)/2)^2))))</x:f>
        <x:v>9.339281299020648</x:v>
      </x:c>
      <x:c r="N744" s="1" t="str">
        <x:f>IF(AND(H744="Yes",ISNUMBER(M744),M744&lt;=1),COUNTIFS($H$511:$H$1010,"Yes",$M$511:$M$1010,"&lt;"&amp;M744)+COUNTIFS($H$511:H744,"Yes",$M$511:M744,M744),"")</x:f>
      </x:c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</x:row>
    <x:row r="745" ht="22" customHeight="1">
      <x:c r="A745" s="1" t="str">
        <x:v>235</x:v>
      </x:c>
      <x:c r="B745" s="1" t="str">
        <x:v>The Charles Foundation</x:v>
      </x:c>
      <x:c r="C745" s="1" t="str">
        <x:v>605 N 52nd St</x:v>
      </x:c>
      <x:c r="D745" s="1" t="str">
        <x:v>Food Site</x:v>
      </x:c>
      <x:c r="E745" s="1" t="str">
        <x:v>Active</x:v>
      </x:c>
      <x:c r="F745" s="1" t="n">
        <x:v>39.969700810208984</x:v>
      </x:c>
      <x:c r="G745" s="1" t="n">
        <x:v>-75.2251208303766</x:v>
      </x:c>
      <x:c r="H745" s="1" t="str">
        <x:v>Yes</x:v>
      </x:c>
      <x:c r="I745" s="1" t="str"/>
      <x:c r="J745" s="1" t="str"/>
      <x:c r="K745" s="1" t="str"/>
      <x:c r="L745" s="1" t="str">
        <x:v>https://www.sharefoodprogram.org/</x:v>
      </x:c>
      <x:c r="M745" s="1" t="n">
        <x:f>IF(OR(NOT(ISNUMBER('School Profile'!$K$4)),NOT(ISNUMBER('School Profile'!$K$5)),NOT(ISNUMBER(F745)),NOT(ISNUMBER(G745))),"",3958.7613*2*ASIN(MIN(1,SQRT(SIN(RADIANS(F745-'School Profile'!$K$4)/2)^2+COS(RADIANS('School Profile'!$K$4))*COS(RADIANS(F745))*SIN(RADIANS(G745-'School Profile'!$K$5)/2)^2))))</x:f>
        <x:v>10.76829684073174</x:v>
      </x:c>
      <x:c r="N745" s="1" t="str">
        <x:f>IF(AND(H745="Yes",ISNUMBER(M745),M745&lt;=1),COUNTIFS($H$511:$H$1010,"Yes",$M$511:$M$1010,"&lt;"&amp;M745)+COUNTIFS($H$511:H745,"Yes",$M$511:M745,M745),"")</x:f>
      </x:c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</x:row>
    <x:row r="746" ht="22" customHeight="1">
      <x:c r="A746" s="1" t="str">
        <x:v>236</x:v>
      </x:c>
      <x:c r="B746" s="1" t="str">
        <x:v>Chelten Christian Crusade</x:v>
      </x:c>
      <x:c r="C746" s="1" t="str">
        <x:v>609 E Chelten Ave</x:v>
      </x:c>
      <x:c r="D746" s="1" t="str">
        <x:v>Food Site</x:v>
      </x:c>
      <x:c r="E746" s="1" t="str">
        <x:v>Active</x:v>
      </x:c>
      <x:c r="F746" s="1" t="n">
        <x:v>40.043316635821725</x:v>
      </x:c>
      <x:c r="G746" s="1" t="n">
        <x:v>-75.16713920241546</x:v>
      </x:c>
      <x:c r="H746" s="1" t="str">
        <x:v>Yes</x:v>
      </x:c>
      <x:c r="I746" s="1" t="str"/>
      <x:c r="J746" s="1" t="str"/>
      <x:c r="K746" s="1" t="str"/>
      <x:c r="L746" s="1" t="str">
        <x:v>https://www.philabundance.org/</x:v>
      </x:c>
      <x:c r="M746" s="1" t="n">
        <x:f>IF(OR(NOT(ISNUMBER('School Profile'!$K$4)),NOT(ISNUMBER('School Profile'!$K$5)),NOT(ISNUMBER(F746)),NOT(ISNUMBER(G746))),"",3958.7613*2*ASIN(MIN(1,SQRT(SIN(RADIANS(F746-'School Profile'!$K$4)/2)^2+COS(RADIANS('School Profile'!$K$4))*COS(RADIANS(F746))*SIN(RADIANS(G746-'School Profile'!$K$5)/2)^2))))</x:f>
        <x:v>5.591200360075414</x:v>
      </x:c>
      <x:c r="N746" s="1" t="str">
        <x:f>IF(AND(H746="Yes",ISNUMBER(M746),M746&lt;=1),COUNTIFS($H$511:$H$1010,"Yes",$M$511:$M$1010,"&lt;"&amp;M746)+COUNTIFS($H$511:H746,"Yes",$M$511:M746,M746),"")</x:f>
      </x:c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</x:row>
    <x:row r="747" ht="22" customHeight="1">
      <x:c r="A747" s="1" t="str">
        <x:v>237</x:v>
      </x:c>
      <x:c r="B747" s="1" t="str">
        <x:v>Freedom Development Corporation</x:v>
      </x:c>
      <x:c r="C747" s="1" t="str">
        <x:v>6100 W Columbia Ave</x:v>
      </x:c>
      <x:c r="D747" s="1" t="str">
        <x:v>Food Site</x:v>
      </x:c>
      <x:c r="E747" s="1" t="str">
        <x:v>Active</x:v>
      </x:c>
      <x:c r="F747" s="1" t="n">
        <x:v>39.98098031621633</x:v>
      </x:c>
      <x:c r="G747" s="1" t="n">
        <x:v>-75.24286251232219</x:v>
      </x:c>
      <x:c r="H747" s="1" t="str">
        <x:v>Yes</x:v>
      </x:c>
      <x:c r="I747" s="1" t="str"/>
      <x:c r="J747" s="1" t="str"/>
      <x:c r="K747" s="1" t="str"/>
      <x:c r="L747" s="1" t="str">
        <x:v>https://www.philabundance.org/</x:v>
      </x:c>
      <x:c r="M747" s="1" t="n">
        <x:f>IF(OR(NOT(ISNUMBER('School Profile'!$K$4)),NOT(ISNUMBER('School Profile'!$K$5)),NOT(ISNUMBER(F747)),NOT(ISNUMBER(G747))),"",3958.7613*2*ASIN(MIN(1,SQRT(SIN(RADIANS(F747-'School Profile'!$K$4)/2)^2+COS(RADIANS('School Profile'!$K$4))*COS(RADIANS(F747))*SIN(RADIANS(G747-'School Profile'!$K$5)/2)^2))))</x:f>
        <x:v>11.080583642831666</x:v>
      </x:c>
      <x:c r="N747" s="1" t="str">
        <x:f>IF(AND(H747="Yes",ISNUMBER(M747),M747&lt;=1),COUNTIFS($H$511:$H$1010,"Yes",$M$511:$M$1010,"&lt;"&amp;M747)+COUNTIFS($H$511:H747,"Yes",$M$511:M747,M747),"")</x:f>
      </x:c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</x:row>
    <x:row r="748" ht="22" customHeight="1">
      <x:c r="A748" s="1" t="str">
        <x:v>238</x:v>
      </x:c>
      <x:c r="B748" s="1" t="str">
        <x:v>Giving of Self Partnership</x:v>
      </x:c>
      <x:c r="C748" s="1" t="str">
        <x:v>6101 Limekiln Pike</x:v>
      </x:c>
      <x:c r="D748" s="1" t="str">
        <x:v>Food Site</x:v>
      </x:c>
      <x:c r="E748" s="1" t="str">
        <x:v>Active</x:v>
      </x:c>
      <x:c r="F748" s="1" t="n">
        <x:v>40.046529170077164</x:v>
      </x:c>
      <x:c r="G748" s="1" t="n">
        <x:v>-75.14885460027172</x:v>
      </x:c>
      <x:c r="H748" s="1" t="str">
        <x:v>Yes</x:v>
      </x:c>
      <x:c r="I748" s="1" t="str"/>
      <x:c r="J748" s="1" t="str"/>
      <x:c r="K748" s="1" t="str"/>
      <x:c r="L748" s="1" t="str">
        <x:v>https://www.philabundance.org/</x:v>
      </x:c>
      <x:c r="M748" s="1" t="n">
        <x:f>IF(OR(NOT(ISNUMBER('School Profile'!$K$4)),NOT(ISNUMBER('School Profile'!$K$5)),NOT(ISNUMBER(F748)),NOT(ISNUMBER(G748))),"",3958.7613*2*ASIN(MIN(1,SQRT(SIN(RADIANS(F748-'School Profile'!$K$4)/2)^2+COS(RADIANS('School Profile'!$K$4))*COS(RADIANS(F748))*SIN(RADIANS(G748-'School Profile'!$K$5)/2)^2))))</x:f>
        <x:v>4.601854419263856</x:v>
      </x:c>
      <x:c r="N748" s="1" t="str">
        <x:f>IF(AND(H748="Yes",ISNUMBER(M748),M748&lt;=1),COUNTIFS($H$511:$H$1010,"Yes",$M$511:$M$1010,"&lt;"&amp;M748)+COUNTIFS($H$511:H748,"Yes",$M$511:M748,M748),"")</x:f>
      </x:c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</x:row>
    <x:row r="749" ht="22" customHeight="1">
      <x:c r="A749" s="1" t="str">
        <x:v>239</x:v>
      </x:c>
      <x:c r="B749" s="1" t="str">
        <x:v>Calvary Agape Outreach Service</x:v>
      </x:c>
      <x:c r="C749" s="1" t="str">
        <x:v>6114 Haverford Ave</x:v>
      </x:c>
      <x:c r="D749" s="1" t="str">
        <x:v>Food Site</x:v>
      </x:c>
      <x:c r="E749" s="1" t="str">
        <x:v>Active</x:v>
      </x:c>
      <x:c r="F749" s="1" t="n">
        <x:v>39.97106296275955</x:v>
      </x:c>
      <x:c r="G749" s="1" t="n">
        <x:v>-75.24127487839806</x:v>
      </x:c>
      <x:c r="H749" s="1" t="str">
        <x:v>Yes</x:v>
      </x:c>
      <x:c r="I749" s="1" t="str"/>
      <x:c r="J749" s="1" t="str"/>
      <x:c r="K749" s="1" t="str"/>
      <x:c r="L749" s="1" t="str">
        <x:v>https://www.philabundance.org/</x:v>
      </x:c>
      <x:c r="M749" s="1" t="n">
        <x:f>IF(OR(NOT(ISNUMBER('School Profile'!$K$4)),NOT(ISNUMBER('School Profile'!$K$5)),NOT(ISNUMBER(F749)),NOT(ISNUMBER(G749))),"",3958.7613*2*ASIN(MIN(1,SQRT(SIN(RADIANS(F749-'School Profile'!$K$4)/2)^2+COS(RADIANS('School Profile'!$K$4))*COS(RADIANS(F749))*SIN(RADIANS(G749-'School Profile'!$K$5)/2)^2))))</x:f>
        <x:v>11.394134142171607</x:v>
      </x:c>
      <x:c r="N749" s="1" t="str">
        <x:f>IF(AND(H749="Yes",ISNUMBER(M749),M749&lt;=1),COUNTIFS($H$511:$H$1010,"Yes",$M$511:$M$1010,"&lt;"&amp;M749)+COUNTIFS($H$511:H749,"Yes",$M$511:M749,M749),"")</x:f>
      </x:c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</x:row>
    <x:row r="750" ht="22" customHeight="1">
      <x:c r="A750" s="1" t="str">
        <x:v>240</x:v>
      </x:c>
      <x:c r="B750" s="1" t="str">
        <x:v>Good Samaritan Baptist Church</x:v>
      </x:c>
      <x:c r="C750" s="1" t="str">
        <x:v>6148-6150 Lansdowne Ave</x:v>
      </x:c>
      <x:c r="D750" s="1" t="str">
        <x:v>Food Site</x:v>
      </x:c>
      <x:c r="E750" s="1" t="str">
        <x:v>Active</x:v>
      </x:c>
      <x:c r="F750" s="1" t="n">
        <x:v>39.975395099816595</x:v>
      </x:c>
      <x:c r="G750" s="1" t="n">
        <x:v>-75.24340366014428</x:v>
      </x:c>
      <x:c r="H750" s="1" t="str">
        <x:v>Yes</x:v>
      </x:c>
      <x:c r="I750" s="1" t="str"/>
      <x:c r="J750" s="1" t="str"/>
      <x:c r="K750" s="1" t="str"/>
      <x:c r="L750" s="1" t="str">
        <x:v>https://www.philabundance.org/</x:v>
      </x:c>
      <x:c r="M750" s="1" t="n">
        <x:f>IF(OR(NOT(ISNUMBER('School Profile'!$K$4)),NOT(ISNUMBER('School Profile'!$K$5)),NOT(ISNUMBER(F750)),NOT(ISNUMBER(G750))),"",3958.7613*2*ASIN(MIN(1,SQRT(SIN(RADIANS(F750-'School Profile'!$K$4)/2)^2+COS(RADIANS('School Profile'!$K$4))*COS(RADIANS(F750))*SIN(RADIANS(G750-'School Profile'!$K$5)/2)^2))))</x:f>
        <x:v>11.315958513788944</x:v>
      </x:c>
      <x:c r="N750" s="1" t="str">
        <x:f>IF(AND(H750="Yes",ISNUMBER(M750),M750&lt;=1),COUNTIFS($H$511:$H$1010,"Yes",$M$511:$M$1010,"&lt;"&amp;M750)+COUNTIFS($H$511:H750,"Yes",$M$511:M750,M750),"")</x:f>
      </x:c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</x:row>
    <x:row r="751" ht="22" customHeight="1">
      <x:c r="A751" s="1" t="str">
        <x:v>241</x:v>
      </x:c>
      <x:c r="B751" s="1" t="str">
        <x:v>Breaking Bread on Broad</x:v>
      </x:c>
      <x:c r="C751" s="1" t="str">
        <x:v>615 N Broad St</x:v>
      </x:c>
      <x:c r="D751" s="1" t="str">
        <x:v>Food Site</x:v>
      </x:c>
      <x:c r="E751" s="1" t="str">
        <x:v>Active</x:v>
      </x:c>
      <x:c r="F751" s="1" t="n">
        <x:v>39.964160327811136</x:v>
      </x:c>
      <x:c r="G751" s="1" t="n">
        <x:v>-75.16097106065423</x:v>
      </x:c>
      <x:c r="H751" s="1" t="str">
        <x:v>Yes</x:v>
      </x:c>
      <x:c r="I751" s="1" t="str"/>
      <x:c r="J751" s="1" t="str"/>
      <x:c r="K751" s="1" t="str"/>
      <x:c r="L751" s="1" t="str">
        <x:v>https://www.philabundance.org/</x:v>
      </x:c>
      <x:c r="M751" s="1" t="n">
        <x:f>IF(OR(NOT(ISNUMBER('School Profile'!$K$4)),NOT(ISNUMBER('School Profile'!$K$5)),NOT(ISNUMBER(F751)),NOT(ISNUMBER(G751))),"",3958.7613*2*ASIN(MIN(1,SQRT(SIN(RADIANS(F751-'School Profile'!$K$4)/2)^2+COS(RADIANS('School Profile'!$K$4))*COS(RADIANS(F751))*SIN(RADIANS(G751-'School Profile'!$K$5)/2)^2))))</x:f>
        <x:v>8.694758009271899</x:v>
      </x:c>
      <x:c r="N751" s="1" t="str">
        <x:f>IF(AND(H751="Yes",ISNUMBER(M751),M751&lt;=1),COUNTIFS($H$511:$H$1010,"Yes",$M$511:$M$1010,"&lt;"&amp;M751)+COUNTIFS($H$511:H751,"Yes",$M$511:M751,M751),"")</x:f>
      </x:c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</x:row>
    <x:row r="752" ht="22" customHeight="1">
      <x:c r="A752" s="1" t="str">
        <x:v>242</x:v>
      </x:c>
      <x:c r="B752" s="1" t="str">
        <x:v>Community of Compassion Inc.</x:v>
      </x:c>
      <x:c r="C752" s="1" t="str">
        <x:v>6150 Cedar Ave.</x:v>
      </x:c>
      <x:c r="D752" s="1" t="str">
        <x:v>General Meal Site</x:v>
      </x:c>
      <x:c r="E752" s="1" t="str">
        <x:v>Active</x:v>
      </x:c>
      <x:c r="F752" s="1" t="n">
        <x:v>39.952762547127506</x:v>
      </x:c>
      <x:c r="G752" s="1" t="n">
        <x:v>-75.2458554643886</x:v>
      </x:c>
      <x:c r="H752" s="1" t="str">
        <x:v>No</x:v>
      </x:c>
      <x:c r="I752" s="1" t="str"/>
      <x:c r="J752" s="1" t="str"/>
      <x:c r="K752" s="1" t="str"/>
      <x:c r="L752" s="1" t="str">
        <x:v>https://www.phila.gov/departments/office-of-homeless-services/</x:v>
      </x:c>
      <x:c r="M752" s="1" t="n">
        <x:f>IF(OR(NOT(ISNUMBER('School Profile'!$K$4)),NOT(ISNUMBER('School Profile'!$K$5)),NOT(ISNUMBER(F752)),NOT(ISNUMBER(G752))),"",3958.7613*2*ASIN(MIN(1,SQRT(SIN(RADIANS(F752-'School Profile'!$K$4)/2)^2+COS(RADIANS('School Profile'!$K$4))*COS(RADIANS(F752))*SIN(RADIANS(G752-'School Profile'!$K$5)/2)^2))))</x:f>
        <x:v>12.358792576448087</x:v>
      </x:c>
      <x:c r="N752" s="1" t="str">
        <x:f>IF(AND(H752="Yes",ISNUMBER(M752),M752&lt;=1),COUNTIFS($H$511:$H$1010,"Yes",$M$511:$M$1010,"&lt;"&amp;M752)+COUNTIFS($H$511:H752,"Yes",$M$511:M752,M752),"")</x:f>
      </x:c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</x:row>
    <x:row r="753" ht="22" customHeight="1">
      <x:c r="A753" s="1" t="str">
        <x:v>243</x:v>
      </x:c>
      <x:c r="B753" s="1" t="str">
        <x:v>Neighborhood Community Action Center 3</x:v>
      </x:c>
      <x:c r="C753" s="1" t="str">
        <x:v>6150 Cedar Ave.</x:v>
      </x:c>
      <x:c r="D753" s="1" t="str">
        <x:v>Public Benefits</x:v>
      </x:c>
      <x:c r="E753" s="1" t="str">
        <x:v>Active</x:v>
      </x:c>
      <x:c r="F753" s="1" t="n">
        <x:v>39.952762547127506</x:v>
      </x:c>
      <x:c r="G753" s="1" t="n">
        <x:v>-75.2458554643886</x:v>
      </x:c>
      <x:c r="H753" s="1" t="str">
        <x:v>No</x:v>
      </x:c>
      <x:c r="I753" s="1" t="str"/>
      <x:c r="J753" s="1" t="str"/>
      <x:c r="K753" s="1" t="str"/>
      <x:c r="L753" s="1" t="str">
        <x:v>https://www.phila.gov/programs/neighborhood-community-action-centers/</x:v>
      </x:c>
      <x:c r="M753" s="1" t="n">
        <x:f>IF(OR(NOT(ISNUMBER('School Profile'!$K$4)),NOT(ISNUMBER('School Profile'!$K$5)),NOT(ISNUMBER(F753)),NOT(ISNUMBER(G753))),"",3958.7613*2*ASIN(MIN(1,SQRT(SIN(RADIANS(F753-'School Profile'!$K$4)/2)^2+COS(RADIANS('School Profile'!$K$4))*COS(RADIANS(F753))*SIN(RADIANS(G753-'School Profile'!$K$5)/2)^2))))</x:f>
        <x:v>12.358792576448087</x:v>
      </x:c>
      <x:c r="N753" s="1" t="str">
        <x:f>IF(AND(H753="Yes",ISNUMBER(M753),M753&lt;=1),COUNTIFS($H$511:$H$1010,"Yes",$M$511:$M$1010,"&lt;"&amp;M753)+COUNTIFS($H$511:H753,"Yes",$M$511:M753,M753),"")</x:f>
      </x:c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</x:row>
    <x:row r="754" ht="22" customHeight="1">
      <x:c r="A754" s="1" t="str">
        <x:v>244</x:v>
      </x:c>
      <x:c r="B754" s="1" t="str">
        <x:v>Resurrection Community Church</x:v>
      </x:c>
      <x:c r="C754" s="1" t="str">
        <x:v>6200 Dicks Ave</x:v>
      </x:c>
      <x:c r="D754" s="1" t="str">
        <x:v>Food Site</x:v>
      </x:c>
      <x:c r="E754" s="1" t="str">
        <x:v>Active</x:v>
      </x:c>
      <x:c r="F754" s="1" t="n">
        <x:v>39.92224244007461</x:v>
      </x:c>
      <x:c r="G754" s="1" t="n">
        <x:v>-75.22391888991635</x:v>
      </x:c>
      <x:c r="H754" s="1" t="str">
        <x:v>Yes</x:v>
      </x:c>
      <x:c r="I754" s="1" t="str"/>
      <x:c r="J754" s="1" t="str"/>
      <x:c r="K754" s="1" t="str"/>
      <x:c r="L754" s="1" t="str">
        <x:v>https://www.sharefoodprogram.org/</x:v>
      </x:c>
      <x:c r="M754" s="1" t="n">
        <x:f>IF(OR(NOT(ISNUMBER('School Profile'!$K$4)),NOT(ISNUMBER('School Profile'!$K$5)),NOT(ISNUMBER(F754)),NOT(ISNUMBER(G754))),"",3958.7613*2*ASIN(MIN(1,SQRT(SIN(RADIANS(F754-'School Profile'!$K$4)/2)^2+COS(RADIANS('School Profile'!$K$4))*COS(RADIANS(F754))*SIN(RADIANS(G754-'School Profile'!$K$5)/2)^2))))</x:f>
        <x:v>13.027160700182998</x:v>
      </x:c>
      <x:c r="N754" s="1" t="str">
        <x:f>IF(AND(H754="Yes",ISNUMBER(M754),M754&lt;=1),COUNTIFS($H$511:$H$1010,"Yes",$M$511:$M$1010,"&lt;"&amp;M754)+COUNTIFS($H$511:H754,"Yes",$M$511:M754,M754),"")</x:f>
      </x:c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</x:row>
    <x:row r="755" ht="22" customHeight="1">
      <x:c r="A755" s="1" t="str">
        <x:v>245</x:v>
      </x:c>
      <x:c r="B755" s="1" t="str">
        <x:v>Catholic Social Services Southwest Family Service Center</x:v>
      </x:c>
      <x:c r="C755" s="1" t="str">
        <x:v>6214 Grays Ave</x:v>
      </x:c>
      <x:c r="D755" s="1" t="str">
        <x:v>Food Site</x:v>
      </x:c>
      <x:c r="E755" s="1" t="str">
        <x:v>Active</x:v>
      </x:c>
      <x:c r="F755" s="1" t="n">
        <x:v>39.92565786971817</x:v>
      </x:c>
      <x:c r="G755" s="1" t="n">
        <x:v>-75.22823286042212</x:v>
      </x:c>
      <x:c r="H755" s="1" t="str">
        <x:v>Yes</x:v>
      </x:c>
      <x:c r="I755" s="1" t="str"/>
      <x:c r="J755" s="1" t="str"/>
      <x:c r="K755" s="1" t="str"/>
      <x:c r="L755" s="1" t="str">
        <x:v>https://nutritionaldevelopmentservices.org/</x:v>
      </x:c>
      <x:c r="M755" s="1" t="n">
        <x:f>IF(OR(NOT(ISNUMBER('School Profile'!$K$4)),NOT(ISNUMBER('School Profile'!$K$5)),NOT(ISNUMBER(F755)),NOT(ISNUMBER(G755))),"",3958.7613*2*ASIN(MIN(1,SQRT(SIN(RADIANS(F755-'School Profile'!$K$4)/2)^2+COS(RADIANS('School Profile'!$K$4))*COS(RADIANS(F755))*SIN(RADIANS(G755-'School Profile'!$K$5)/2)^2))))</x:f>
        <x:v>12.996680055838956</x:v>
      </x:c>
      <x:c r="N755" s="1" t="str">
        <x:f>IF(AND(H755="Yes",ISNUMBER(M755),M755&lt;=1),COUNTIFS($H$511:$H$1010,"Yes",$M$511:$M$1010,"&lt;"&amp;M755)+COUNTIFS($H$511:H755,"Yes",$M$511:M755,M755),"")</x:f>
      </x:c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</x:row>
    <x:row r="756" ht="22" customHeight="1">
      <x:c r="A756" s="1" t="str">
        <x:v>246</x:v>
      </x:c>
      <x:c r="B756" s="1" t="str">
        <x:v>BenePhilly Center at Catholic Social Services Southwest</x:v>
      </x:c>
      <x:c r="C756" s="1" t="str">
        <x:v>6214 Grays Ave.</x:v>
      </x:c>
      <x:c r="D756" s="1" t="str">
        <x:v>Public Benefits</x:v>
      </x:c>
      <x:c r="E756" s="1" t="str">
        <x:v>Active</x:v>
      </x:c>
      <x:c r="F756" s="1" t="n">
        <x:v>39.9256245697551</x:v>
      </x:c>
      <x:c r="G756" s="1" t="n">
        <x:v>-75.22823868958999</x:v>
      </x:c>
      <x:c r="H756" s="1" t="str">
        <x:v>No</x:v>
      </x:c>
      <x:c r="I756" s="1" t="str"/>
      <x:c r="J756" s="1" t="str"/>
      <x:c r="K756" s="1" t="str"/>
      <x:c r="L756" s="1" t="str">
        <x:v>https://cssphiladelphia.org/family-service-centers/southwest-family-service-center/</x:v>
      </x:c>
      <x:c r="M756" s="1" t="n">
        <x:f>IF(OR(NOT(ISNUMBER('School Profile'!$K$4)),NOT(ISNUMBER('School Profile'!$K$5)),NOT(ISNUMBER(F756)),NOT(ISNUMBER(G756))),"",3958.7613*2*ASIN(MIN(1,SQRT(SIN(RADIANS(F756-'School Profile'!$K$4)/2)^2+COS(RADIANS('School Profile'!$K$4))*COS(RADIANS(F756))*SIN(RADIANS(G756-'School Profile'!$K$5)/2)^2))))</x:f>
        <x:v>12.9986123021888</x:v>
      </x:c>
      <x:c r="N756" s="1" t="str">
        <x:f>IF(AND(H756="Yes",ISNUMBER(M756),M756&lt;=1),COUNTIFS($H$511:$H$1010,"Yes",$M$511:$M$1010,"&lt;"&amp;M756)+COUNTIFS($H$511:H756,"Yes",$M$511:M756,M756),"")</x:f>
      </x:c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</x:row>
    <x:row r="757" ht="22" customHeight="1">
      <x:c r="A757" s="1" t="str">
        <x:v>247</x:v>
      </x:c>
      <x:c r="B757" s="1" t="str">
        <x:v>Brand New Life Christian Center</x:v>
      </x:c>
      <x:c r="C757" s="1" t="str">
        <x:v>6301 Germantown Ave</x:v>
      </x:c>
      <x:c r="D757" s="1" t="str">
        <x:v>Food Site</x:v>
      </x:c>
      <x:c r="E757" s="1" t="str">
        <x:v>Active</x:v>
      </x:c>
      <x:c r="F757" s="1" t="n">
        <x:v>40.043738579949654</x:v>
      </x:c>
      <x:c r="G757" s="1" t="n">
        <x:v>-75.18066569979044</x:v>
      </x:c>
      <x:c r="H757" s="1" t="str">
        <x:v>Yes</x:v>
      </x:c>
      <x:c r="I757" s="1" t="str"/>
      <x:c r="J757" s="1" t="str"/>
      <x:c r="K757" s="1" t="str"/>
      <x:c r="L757" s="1" t="str">
        <x:v>https://www.philabundance.org/</x:v>
      </x:c>
      <x:c r="M757" s="1" t="n">
        <x:f>IF(OR(NOT(ISNUMBER('School Profile'!$K$4)),NOT(ISNUMBER('School Profile'!$K$5)),NOT(ISNUMBER(F757)),NOT(ISNUMBER(G757))),"",3958.7613*2*ASIN(MIN(1,SQRT(SIN(RADIANS(F757-'School Profile'!$K$4)/2)^2+COS(RADIANS('School Profile'!$K$4))*COS(RADIANS(F757))*SIN(RADIANS(G757-'School Profile'!$K$5)/2)^2))))</x:f>
        <x:v>6.271607118271586</x:v>
      </x:c>
      <x:c r="N757" s="1" t="str">
        <x:f>IF(AND(H757="Yes",ISNUMBER(M757),M757&lt;=1),COUNTIFS($H$511:$H$1010,"Yes",$M$511:$M$1010,"&lt;"&amp;M757)+COUNTIFS($H$511:H757,"Yes",$M$511:M757,M757),"")</x:f>
      </x:c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</x:row>
    <x:row r="758" ht="22" customHeight="1">
      <x:c r="A758" s="1" t="str">
        <x:v>248</x:v>
      </x:c>
      <x:c r="B758" s="1" t="str">
        <x:v>Kingdom Life Christian Center</x:v>
      </x:c>
      <x:c r="C758" s="1" t="str">
        <x:v>6325 Frankford Ave.</x:v>
      </x:c>
      <x:c r="D758" s="1" t="str">
        <x:v>Food Site</x:v>
      </x:c>
      <x:c r="E758" s="1" t="str">
        <x:v>Active</x:v>
      </x:c>
      <x:c r="F758" s="1" t="n">
        <x:v>40.027967079826276</x:v>
      </x:c>
      <x:c r="G758" s="1" t="n">
        <x:v>-75.05876428968426</x:v>
      </x:c>
      <x:c r="H758" s="1" t="str">
        <x:v>Yes</x:v>
      </x:c>
      <x:c r="I758" s="1" t="str"/>
      <x:c r="J758" s="1" t="str"/>
      <x:c r="K758" s="1" t="str"/>
      <x:c r="L758" s="1" t="str">
        <x:v>https://www.sharefoodprogram.org/</x:v>
      </x:c>
      <x:c r="M758" s="1" t="n">
        <x:f>IF(OR(NOT(ISNUMBER('School Profile'!$K$4)),NOT(ISNUMBER('School Profile'!$K$5)),NOT(ISNUMBER(F758)),NOT(ISNUMBER(G758))),"",3958.7613*2*ASIN(MIN(1,SQRT(SIN(RADIANS(F758-'School Profile'!$K$4)/2)^2+COS(RADIANS('School Profile'!$K$4))*COS(RADIANS(F758))*SIN(RADIANS(G758-'School Profile'!$K$5)/2)^2))))</x:f>
        <x:v>2.713021359627182</x:v>
      </x:c>
      <x:c r="N758" s="1" t="str">
        <x:f>IF(AND(H758="Yes",ISNUMBER(M758),M758&lt;=1),COUNTIFS($H$511:$H$1010,"Yes",$M$511:$M$1010,"&lt;"&amp;M758)+COUNTIFS($H$511:H758,"Yes",$M$511:M758,M758),"")</x:f>
      </x:c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</x:row>
    <x:row r="759" ht="22" customHeight="1">
      <x:c r="A759" s="1" t="str">
        <x:v>249</x:v>
      </x:c>
      <x:c r="B759" s="1" t="str">
        <x:v>Feast of Justice - Northeast Services Hub</x:v>
      </x:c>
      <x:c r="C759" s="1" t="str">
        <x:v>6434 Castor Ave</x:v>
      </x:c>
      <x:c r="D759" s="1" t="str">
        <x:v>Food Site</x:v>
      </x:c>
      <x:c r="E759" s="1" t="str">
        <x:v>Active</x:v>
      </x:c>
      <x:c r="F759" s="1" t="n">
        <x:v>40.03856755021997</x:v>
      </x:c>
      <x:c r="G759" s="1" t="n">
        <x:v>-75.07853817999147</x:v>
      </x:c>
      <x:c r="H759" s="1" t="str">
        <x:v>Yes</x:v>
      </x:c>
      <x:c r="I759" s="1" t="str"/>
      <x:c r="J759" s="1" t="str"/>
      <x:c r="K759" s="1" t="str">
        <x:v>19111, 19114, 19115, 19116, 19120, 19124, 19135, 19136, 19149, 19152, 19154</x:v>
      </x:c>
      <x:c r="L759" s="1" t="str">
        <x:v>https://www.feastofjustice.org/</x:v>
      </x:c>
      <x:c r="M759" s="1" t="n">
        <x:f>IF(OR(NOT(ISNUMBER('School Profile'!$K$4)),NOT(ISNUMBER('School Profile'!$K$5)),NOT(ISNUMBER(F759)),NOT(ISNUMBER(G759))),"",3958.7613*2*ASIN(MIN(1,SQRT(SIN(RADIANS(F759-'School Profile'!$K$4)/2)^2+COS(RADIANS('School Profile'!$K$4))*COS(RADIANS(F759))*SIN(RADIANS(G759-'School Profile'!$K$5)/2)^2))))</x:f>
        <x:v>2.0633484908403448</x:v>
      </x:c>
      <x:c r="N759" s="1" t="str">
        <x:f>IF(AND(H759="Yes",ISNUMBER(M759),M759&lt;=1),COUNTIFS($H$511:$H$1010,"Yes",$M$511:$M$1010,"&lt;"&amp;M759)+COUNTIFS($H$511:H759,"Yes",$M$511:M759,M759),"")</x:f>
      </x:c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</x:row>
    <x:row r="760" ht="22" customHeight="1">
      <x:c r="A760" s="1" t="str">
        <x:v>250</x:v>
      </x:c>
      <x:c r="B760" s="1" t="str">
        <x:v>Christ Apostolic Church of America (WOSEM)</x:v>
      </x:c>
      <x:c r="C760" s="1" t="str">
        <x:v>6438 Vine St</x:v>
      </x:c>
      <x:c r="D760" s="1" t="str">
        <x:v>Food Site</x:v>
      </x:c>
      <x:c r="E760" s="1" t="str">
        <x:v>Active</x:v>
      </x:c>
      <x:c r="F760" s="1" t="n">
        <x:v>39.967673705867206</x:v>
      </x:c>
      <x:c r="G760" s="1" t="n">
        <x:v>-75.24917381499698</x:v>
      </x:c>
      <x:c r="H760" s="1" t="str">
        <x:v>Yes</x:v>
      </x:c>
      <x:c r="I760" s="1" t="str"/>
      <x:c r="J760" s="1" t="str"/>
      <x:c r="K760" s="1" t="str"/>
      <x:c r="L760" s="1" t="str">
        <x:v>https://www.philabundance.org/</x:v>
      </x:c>
      <x:c r="M760" s="1" t="n">
        <x:f>IF(OR(NOT(ISNUMBER('School Profile'!$K$4)),NOT(ISNUMBER('School Profile'!$K$5)),NOT(ISNUMBER(F760)),NOT(ISNUMBER(G760))),"",3958.7613*2*ASIN(MIN(1,SQRT(SIN(RADIANS(F760-'School Profile'!$K$4)/2)^2+COS(RADIANS('School Profile'!$K$4))*COS(RADIANS(F760))*SIN(RADIANS(G760-'School Profile'!$K$5)/2)^2))))</x:f>
        <x:v>11.87069557663245</x:v>
      </x:c>
      <x:c r="N760" s="1" t="str">
        <x:f>IF(AND(H760="Yes",ISNUMBER(M760),M760&lt;=1),COUNTIFS($H$511:$H$1010,"Yes",$M$511:$M$1010,"&lt;"&amp;M760)+COUNTIFS($H$511:H760,"Yes",$M$511:M760,M760),"")</x:f>
      </x:c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</x:row>
    <x:row r="761" ht="22" customHeight="1">
      <x:c r="A761" s="1" t="str">
        <x:v>251</x:v>
      </x:c>
      <x:c r="B761" s="1" t="str">
        <x:v>OCCCDA (Castor Ave)</x:v>
      </x:c>
      <x:c r="C761" s="1" t="str">
        <x:v>6500 Castor Ave</x:v>
      </x:c>
      <x:c r="D761" s="1" t="str">
        <x:v>Food Site</x:v>
      </x:c>
      <x:c r="E761" s="1" t="str">
        <x:v>Active</x:v>
      </x:c>
      <x:c r="F761" s="1" t="n">
        <x:v>40.04076690503666</x:v>
      </x:c>
      <x:c r="G761" s="1" t="n">
        <x:v>-75.07623143300432</x:v>
      </x:c>
      <x:c r="H761" s="1" t="str">
        <x:v>Yes</x:v>
      </x:c>
      <x:c r="I761" s="1" t="str"/>
      <x:c r="J761" s="1" t="str"/>
      <x:c r="K761" s="1" t="str"/>
      <x:c r="L761" s="1" t="str">
        <x:v>https://www.sharefoodprogram.org/</x:v>
      </x:c>
      <x:c r="M761" s="1" t="n">
        <x:f>IF(OR(NOT(ISNUMBER('School Profile'!$K$4)),NOT(ISNUMBER('School Profile'!$K$5)),NOT(ISNUMBER(F761)),NOT(ISNUMBER(G761))),"",3958.7613*2*ASIN(MIN(1,SQRT(SIN(RADIANS(F761-'School Profile'!$K$4)/2)^2+COS(RADIANS('School Profile'!$K$4))*COS(RADIANS(F761))*SIN(RADIANS(G761-'School Profile'!$K$5)/2)^2))))</x:f>
        <x:v>1.8813884130453704</x:v>
      </x:c>
      <x:c r="N761" s="1" t="str">
        <x:f>IF(AND(H761="Yes",ISNUMBER(M761),M761&lt;=1),COUNTIFS($H$511:$H$1010,"Yes",$M$511:$M$1010,"&lt;"&amp;M761)+COUNTIFS($H$511:H761,"Yes",$M$511:M761,M761),"")</x:f>
      </x:c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</x:row>
    <x:row r="762" ht="22" customHeight="1">
      <x:c r="A762" s="1" t="str">
        <x:v>252</x:v>
      </x:c>
      <x:c r="B762" s="1" t="str">
        <x:v>New Era Baptist Church</x:v>
      </x:c>
      <x:c r="C762" s="1" t="str">
        <x:v>6618 Wyncote Ave.</x:v>
      </x:c>
      <x:c r="D762" s="1" t="str">
        <x:v>Food Site</x:v>
      </x:c>
      <x:c r="E762" s="1" t="str">
        <x:v>Active</x:v>
      </x:c>
      <x:c r="F762" s="1" t="n">
        <x:v>40.05556892979723</x:v>
      </x:c>
      <x:c r="G762" s="1" t="n">
        <x:v>-75.15397331035507</x:v>
      </x:c>
      <x:c r="H762" s="1" t="str">
        <x:v>Yes</x:v>
      </x:c>
      <x:c r="I762" s="1" t="str"/>
      <x:c r="J762" s="1" t="str"/>
      <x:c r="K762" s="1" t="str"/>
      <x:c r="L762" s="1" t="str">
        <x:v>https://www.philabundance.org/</x:v>
      </x:c>
      <x:c r="M762" s="1" t="n">
        <x:f>IF(OR(NOT(ISNUMBER('School Profile'!$K$4)),NOT(ISNUMBER('School Profile'!$K$5)),NOT(ISNUMBER(F762)),NOT(ISNUMBER(G762))),"",3958.7613*2*ASIN(MIN(1,SQRT(SIN(RADIANS(F762-'School Profile'!$K$4)/2)^2+COS(RADIANS('School Profile'!$K$4))*COS(RADIANS(F762))*SIN(RADIANS(G762-'School Profile'!$K$5)/2)^2))))</x:f>
        <x:v>4.717745280389068</x:v>
      </x:c>
      <x:c r="N762" s="1" t="str">
        <x:f>IF(AND(H762="Yes",ISNUMBER(M762),M762&lt;=1),COUNTIFS($H$511:$H$1010,"Yes",$M$511:$M$1010,"&lt;"&amp;M762)+COUNTIFS($H$511:H762,"Yes",$M$511:M762,M762),"")</x:f>
      </x:c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</x:row>
    <x:row r="763" ht="22" customHeight="1">
      <x:c r="A763" s="1" t="str">
        <x:v>253</x:v>
      </x:c>
      <x:c r="B763" s="1" t="str">
        <x:v>Philadelphia Housing Authority Emlen Arms</x:v>
      </x:c>
      <x:c r="C763" s="1" t="str">
        <x:v>6733 Emlen St.</x:v>
      </x:c>
      <x:c r="D763" s="1" t="str">
        <x:v>Senior Meal Site</x:v>
      </x:c>
      <x:c r="E763" s="1" t="str">
        <x:v>Active</x:v>
      </x:c>
      <x:c r="F763" s="1" t="n">
        <x:v>40.04955245020678</x:v>
      </x:c>
      <x:c r="G763" s="1" t="n">
        <x:v>-75.18970479970753</x:v>
      </x:c>
      <x:c r="H763" s="1" t="str">
        <x:v>No</x:v>
      </x:c>
      <x:c r="I763" s="1" t="str"/>
      <x:c r="J763" s="1" t="str"/>
      <x:c r="K763" s="1" t="str"/>
      <x:c r="L763" s="1" t="str">
        <x:v>https://www.pcacares.org/</x:v>
      </x:c>
      <x:c r="M763" s="1" t="n">
        <x:f>IF(OR(NOT(ISNUMBER('School Profile'!$K$4)),NOT(ISNUMBER('School Profile'!$K$5)),NOT(ISNUMBER(F763)),NOT(ISNUMBER(G763))),"",3958.7613*2*ASIN(MIN(1,SQRT(SIN(RADIANS(F763-'School Profile'!$K$4)/2)^2+COS(RADIANS('School Profile'!$K$4))*COS(RADIANS(F763))*SIN(RADIANS(G763-'School Profile'!$K$5)/2)^2))))</x:f>
        <x:v>6.650975954477211</x:v>
      </x:c>
      <x:c r="N763" s="1" t="str">
        <x:f>IF(AND(H763="Yes",ISNUMBER(M763),M763&lt;=1),COUNTIFS($H$511:$H$1010,"Yes",$M$511:$M$1010,"&lt;"&amp;M763)+COUNTIFS($H$511:H763,"Yes",$M$511:M763,M763),"")</x:f>
      </x:c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</x:row>
    <x:row r="764" ht="22" customHeight="1">
      <x:c r="A764" s="1" t="str">
        <x:v>254</x:v>
      </x:c>
      <x:c r="B764" s="1" t="str">
        <x:v>Neighborhood Community Action Center 8</x:v>
      </x:c>
      <x:c r="C764" s="1" t="str">
        <x:v>68 W. Chelten Ave.</x:v>
      </x:c>
      <x:c r="D764" s="1" t="str">
        <x:v>Public Benefits</x:v>
      </x:c>
      <x:c r="E764" s="1" t="str">
        <x:v>Active</x:v>
      </x:c>
      <x:c r="F764" s="1" t="n">
        <x:v>40.034173073739666</x:v>
      </x:c>
      <x:c r="G764" s="1" t="n">
        <x:v>-75.17634918795072</x:v>
      </x:c>
      <x:c r="H764" s="1" t="str">
        <x:v>No</x:v>
      </x:c>
      <x:c r="I764" s="1" t="str"/>
      <x:c r="J764" s="1" t="str"/>
      <x:c r="K764" s="1" t="str"/>
      <x:c r="L764" s="1" t="str">
        <x:v>https://www.phila.gov/programs/neighborhood-community-action-centers/</x:v>
      </x:c>
      <x:c r="M764" s="1" t="n">
        <x:f>IF(OR(NOT(ISNUMBER('School Profile'!$K$4)),NOT(ISNUMBER('School Profile'!$K$5)),NOT(ISNUMBER(F764)),NOT(ISNUMBER(G764))),"",3958.7613*2*ASIN(MIN(1,SQRT(SIN(RADIANS(F764-'School Profile'!$K$4)/2)^2+COS(RADIANS('School Profile'!$K$4))*COS(RADIANS(F764))*SIN(RADIANS(G764-'School Profile'!$K$5)/2)^2))))</x:f>
        <x:v>6.258411737900153</x:v>
      </x:c>
      <x:c r="N764" s="1" t="str">
        <x:f>IF(AND(H764="Yes",ISNUMBER(M764),M764&lt;=1),COUNTIFS($H$511:$H$1010,"Yes",$M$511:$M$1010,"&lt;"&amp;M764)+COUNTIFS($H$511:H764,"Yes",$M$511:M764,M764),"")</x:f>
      </x:c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</x:row>
    <x:row r="765" ht="22" customHeight="1">
      <x:c r="A765" s="1" t="str">
        <x:v>255</x:v>
      </x:c>
      <x:c r="B765" s="1" t="str">
        <x:v>Mt. Airy Community Fridge</x:v>
      </x:c>
      <x:c r="C765" s="1" t="str">
        <x:v>6900 Stenton Ave</x:v>
      </x:c>
      <x:c r="D765" s="1" t="str">
        <x:v>Food Site</x:v>
      </x:c>
      <x:c r="E765" s="1" t="str">
        <x:v>Active</x:v>
      </x:c>
      <x:c r="F765" s="1" t="n">
        <x:v>40.06586372392173</x:v>
      </x:c>
      <x:c r="G765" s="1" t="n">
        <x:v>-75.1766849701191</x:v>
      </x:c>
      <x:c r="H765" s="1" t="str">
        <x:v>Yes</x:v>
      </x:c>
      <x:c r="I765" s="1" t="str"/>
      <x:c r="J765" s="1" t="str"/>
      <x:c r="K765" s="1" t="str"/>
      <x:c r="L765" s="1" t="str">
        <x:v>https://mtairyeats.wordpress.com/</x:v>
      </x:c>
      <x:c r="M765" s="1" t="n">
        <x:f>IF(OR(NOT(ISNUMBER('School Profile'!$K$4)),NOT(ISNUMBER('School Profile'!$K$5)),NOT(ISNUMBER(F765)),NOT(ISNUMBER(G765))),"",3958.7613*2*ASIN(MIN(1,SQRT(SIN(RADIANS(F765-'School Profile'!$K$4)/2)^2+COS(RADIANS('School Profile'!$K$4))*COS(RADIANS(F765))*SIN(RADIANS(G765-'School Profile'!$K$5)/2)^2))))</x:f>
        <x:v>5.853967928929975</x:v>
      </x:c>
      <x:c r="N765" s="1" t="str">
        <x:f>IF(AND(H765="Yes",ISNUMBER(M765),M765&lt;=1),COUNTIFS($H$511:$H$1010,"Yes",$M$511:$M$1010,"&lt;"&amp;M765)+COUNTIFS($H$511:H765,"Yes",$M$511:M765,M765),"")</x:f>
      </x:c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</x:row>
    <x:row r="766" ht="22" customHeight="1">
      <x:c r="A766" s="1" t="str">
        <x:v>256</x:v>
      </x:c>
      <x:c r="B766" s="1" t="str">
        <x:v>Southwest Senior Center</x:v>
      </x:c>
      <x:c r="C766" s="1" t="str">
        <x:v>6916 Elmwood Ave.</x:v>
      </x:c>
      <x:c r="D766" s="1" t="str">
        <x:v>Senior Meal Site</x:v>
      </x:c>
      <x:c r="E766" s="1" t="str">
        <x:v>Active</x:v>
      </x:c>
      <x:c r="F766" s="1" t="n">
        <x:v>39.917636510033894</x:v>
      </x:c>
      <x:c r="G766" s="1" t="n">
        <x:v>-75.23639733991733</x:v>
      </x:c>
      <x:c r="H766" s="1" t="str">
        <x:v>No</x:v>
      </x:c>
      <x:c r="I766" s="1" t="str"/>
      <x:c r="J766" s="1" t="str"/>
      <x:c r="K766" s="1" t="str"/>
      <x:c r="L766" s="1" t="str">
        <x:v>https://www.pcacares.org/</x:v>
      </x:c>
      <x:c r="M766" s="1" t="n">
        <x:f>IF(OR(NOT(ISNUMBER('School Profile'!$K$4)),NOT(ISNUMBER('School Profile'!$K$5)),NOT(ISNUMBER(F766)),NOT(ISNUMBER(G766))),"",3958.7613*2*ASIN(MIN(1,SQRT(SIN(RADIANS(F766-'School Profile'!$K$4)/2)^2+COS(RADIANS('School Profile'!$K$4))*COS(RADIANS(F766))*SIN(RADIANS(G766-'School Profile'!$K$5)/2)^2))))</x:f>
        <x:v>13.698641579164104</x:v>
      </x:c>
      <x:c r="N766" s="1" t="str">
        <x:f>IF(AND(H766="Yes",ISNUMBER(M766),M766&lt;=1),COUNTIFS($H$511:$H$1010,"Yes",$M$511:$M$1010,"&lt;"&amp;M766)+COUNTIFS($H$511:H766,"Yes",$M$511:M766,M766),"")</x:f>
      </x:c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</x:row>
    <x:row r="767" ht="22" customHeight="1">
      <x:c r="A767" s="1" t="str">
        <x:v>257</x:v>
      </x:c>
      <x:c r="B767" s="1" t="str">
        <x:v>Penn Asian Senior Services</x:v>
      </x:c>
      <x:c r="C767" s="1" t="str">
        <x:v>6926 Old York Rd</x:v>
      </x:c>
      <x:c r="D767" s="1" t="str">
        <x:v>Food Site</x:v>
      </x:c>
      <x:c r="E767" s="1" t="str">
        <x:v>Active</x:v>
      </x:c>
      <x:c r="F767" s="1" t="n">
        <x:v>40.058869454875015</x:v>
      </x:c>
      <x:c r="G767" s="1" t="n">
        <x:v>-75.13862287542385</x:v>
      </x:c>
      <x:c r="H767" s="1" t="str">
        <x:v>Yes</x:v>
      </x:c>
      <x:c r="I767" s="1" t="str"/>
      <x:c r="J767" s="1" t="str"/>
      <x:c r="K767" s="1" t="str"/>
      <x:c r="L767" s="1" t="str">
        <x:v>https://www.philabundance.org/</x:v>
      </x:c>
      <x:c r="M767" s="1" t="n">
        <x:f>IF(OR(NOT(ISNUMBER('School Profile'!$K$4)),NOT(ISNUMBER('School Profile'!$K$5)),NOT(ISNUMBER(F767)),NOT(ISNUMBER(G767))),"",3958.7613*2*ASIN(MIN(1,SQRT(SIN(RADIANS(F767-'School Profile'!$K$4)/2)^2+COS(RADIANS('School Profile'!$K$4))*COS(RADIANS(F767))*SIN(RADIANS(G767-'School Profile'!$K$5)/2)^2))))</x:f>
        <x:v>3.8804585686804742</x:v>
      </x:c>
      <x:c r="N767" s="1" t="str">
        <x:f>IF(AND(H767="Yes",ISNUMBER(M767),M767&lt;=1),COUNTIFS($H$511:$H$1010,"Yes",$M$511:$M$1010,"&lt;"&amp;M767)+COUNTIFS($H$511:H767,"Yes",$M$511:M767,M767),"")</x:f>
      </x:c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</x:row>
    <x:row r="768" ht="22" customHeight="1">
      <x:c r="A768" s="1" t="str">
        <x:v>258</x:v>
      </x:c>
      <x:c r="B768" s="1" t="str">
        <x:v>Friends Rehabilitation Program</x:v>
      </x:c>
      <x:c r="C768" s="1" t="str">
        <x:v>704 W Girard Ave</x:v>
      </x:c>
      <x:c r="D768" s="1" t="str">
        <x:v>Food Site</x:v>
      </x:c>
      <x:c r="E768" s="1" t="str">
        <x:v>Active</x:v>
      </x:c>
      <x:c r="F768" s="1" t="n">
        <x:v>39.970216179939506</x:v>
      </x:c>
      <x:c r="G768" s="1" t="n">
        <x:v>-75.14848011957922</x:v>
      </x:c>
      <x:c r="H768" s="1" t="str">
        <x:v>Yes</x:v>
      </x:c>
      <x:c r="I768" s="1" t="str"/>
      <x:c r="J768" s="1" t="str"/>
      <x:c r="K768" s="1" t="str">
        <x:v>19123</x:v>
      </x:c>
      <x:c r="L768" s="1" t="str">
        <x:v>https://www.sharefoodprogram.org/</x:v>
      </x:c>
      <x:c r="M768" s="1" t="n">
        <x:f>IF(OR(NOT(ISNUMBER('School Profile'!$K$4)),NOT(ISNUMBER('School Profile'!$K$5)),NOT(ISNUMBER(F768)),NOT(ISNUMBER(G768))),"",3958.7613*2*ASIN(MIN(1,SQRT(SIN(RADIANS(F768-'School Profile'!$K$4)/2)^2+COS(RADIANS('School Profile'!$K$4))*COS(RADIANS(F768))*SIN(RADIANS(G768-'School Profile'!$K$5)/2)^2))))</x:f>
        <x:v>7.97667348791996</x:v>
      </x:c>
      <x:c r="N768" s="1" t="str">
        <x:f>IF(AND(H768="Yes",ISNUMBER(M768),M768&lt;=1),COUNTIFS($H$511:$H$1010,"Yes",$M$511:$M$1010,"&lt;"&amp;M768)+COUNTIFS($H$511:H768,"Yes",$M$511:M768,M768),"")</x:f>
      </x:c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</x:row>
    <x:row r="769" ht="22" customHeight="1">
      <x:c r="A769" s="1" t="str">
        <x:v>259</x:v>
      </x:c>
      <x:c r="B769" s="1" t="str">
        <x:v>Why Not Prosper</x:v>
      </x:c>
      <x:c r="C769" s="1" t="str">
        <x:v>717 E. Chelten Ave</x:v>
      </x:c>
      <x:c r="D769" s="1" t="str">
        <x:v>Food Site</x:v>
      </x:c>
      <x:c r="E769" s="1" t="str">
        <x:v>Active</x:v>
      </x:c>
      <x:c r="F769" s="1" t="n">
        <x:v>40.044680881162286</x:v>
      </x:c>
      <x:c r="G769" s="1" t="n">
        <x:v>-75.16573475563901</x:v>
      </x:c>
      <x:c r="H769" s="1" t="str">
        <x:v>Yes</x:v>
      </x:c>
      <x:c r="I769" s="1" t="str"/>
      <x:c r="J769" s="1" t="str"/>
      <x:c r="K769" s="1" t="str"/>
      <x:c r="L769" s="1" t="str">
        <x:v>https://www.why-not-prosper.org/</x:v>
      </x:c>
      <x:c r="M769" s="1" t="n">
        <x:f>IF(OR(NOT(ISNUMBER('School Profile'!$K$4)),NOT(ISNUMBER('School Profile'!$K$5)),NOT(ISNUMBER(F769)),NOT(ISNUMBER(G769))),"",3958.7613*2*ASIN(MIN(1,SQRT(SIN(RADIANS(F769-'School Profile'!$K$4)/2)^2+COS(RADIANS('School Profile'!$K$4))*COS(RADIANS(F769))*SIN(RADIANS(G769-'School Profile'!$K$5)/2)^2))))</x:f>
        <x:v>5.4931073948368345</x:v>
      </x:c>
      <x:c r="N769" s="1" t="str">
        <x:f>IF(AND(H769="Yes",ISNUMBER(M769),M769&lt;=1),COUNTIFS($H$511:$H$1010,"Yes",$M$511:$M$1010,"&lt;"&amp;M769)+COUNTIFS($H$511:H769,"Yes",$M$511:M769,M769),"")</x:f>
      </x:c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</x:row>
    <x:row r="770" ht="22" customHeight="1">
      <x:c r="A770" s="1" t="str">
        <x:v>260</x:v>
      </x:c>
      <x:c r="B770" s="1" t="str">
        <x:v>West Oak Lane Senior Center</x:v>
      </x:c>
      <x:c r="C770" s="1" t="str">
        <x:v>7210 Ogontz Avenue</x:v>
      </x:c>
      <x:c r="D770" s="1" t="str">
        <x:v>Senior Meal Site</x:v>
      </x:c>
      <x:c r="E770" s="1" t="str">
        <x:v>Active</x:v>
      </x:c>
      <x:c r="F770" s="1" t="n">
        <x:v>40.06439259007478</x:v>
      </x:c>
      <x:c r="G770" s="1" t="n">
        <x:v>-75.15424453958714</x:v>
      </x:c>
      <x:c r="H770" s="1" t="str">
        <x:v>No</x:v>
      </x:c>
      <x:c r="I770" s="1" t="str"/>
      <x:c r="J770" s="1" t="str"/>
      <x:c r="K770" s="1" t="str"/>
      <x:c r="L770" s="1" t="str">
        <x:v>https://www.phila.gov/programs/programs-for-older-adults/</x:v>
      </x:c>
      <x:c r="M770" s="1" t="n">
        <x:f>IF(OR(NOT(ISNUMBER('School Profile'!$K$4)),NOT(ISNUMBER('School Profile'!$K$5)),NOT(ISNUMBER(F770)),NOT(ISNUMBER(G770))),"",3958.7613*2*ASIN(MIN(1,SQRT(SIN(RADIANS(F770-'School Profile'!$K$4)/2)^2+COS(RADIANS('School Profile'!$K$4))*COS(RADIANS(F770))*SIN(RADIANS(G770-'School Profile'!$K$5)/2)^2))))</x:f>
        <x:v>4.670109862533293</x:v>
      </x:c>
      <x:c r="N770" s="1" t="str">
        <x:f>IF(AND(H770="Yes",ISNUMBER(M770),M770&lt;=1),COUNTIFS($H$511:$H$1010,"Yes",$M$511:$M$1010,"&lt;"&amp;M770)+COUNTIFS($H$511:H770,"Yes",$M$511:M770,M770),"")</x:f>
      </x:c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</x:row>
    <x:row r="771" ht="22" customHeight="1">
      <x:c r="A771" s="1" t="str">
        <x:v>261</x:v>
      </x:c>
      <x:c r="B771" s="1" t="str">
        <x:v>Star of Hope Baptist Church</x:v>
      </x:c>
      <x:c r="C771" s="1" t="str">
        <x:v>7212 Keystone St</x:v>
      </x:c>
      <x:c r="D771" s="1" t="str">
        <x:v>Food Site</x:v>
      </x:c>
      <x:c r="E771" s="1" t="str">
        <x:v>Active</x:v>
      </x:c>
      <x:c r="F771" s="1" t="n">
        <x:v>40.02695674769667</x:v>
      </x:c>
      <x:c r="G771" s="1" t="n">
        <x:v>-75.03423565161252</x:v>
      </x:c>
      <x:c r="H771" s="1" t="str">
        <x:v>Yes</x:v>
      </x:c>
      <x:c r="I771" s="1" t="str"/>
      <x:c r="J771" s="1" t="str"/>
      <x:c r="K771" s="1" t="str"/>
      <x:c r="L771" s="1" t="str">
        <x:v>https://www.philabundance.org/</x:v>
      </x:c>
      <x:c r="M771" s="1" t="n">
        <x:f>IF(OR(NOT(ISNUMBER('School Profile'!$K$4)),NOT(ISNUMBER('School Profile'!$K$5)),NOT(ISNUMBER(F771)),NOT(ISNUMBER(G771))),"",3958.7613*2*ASIN(MIN(1,SQRT(SIN(RADIANS(F771-'School Profile'!$K$4)/2)^2+COS(RADIANS('School Profile'!$K$4))*COS(RADIANS(F771))*SIN(RADIANS(G771-'School Profile'!$K$5)/2)^2))))</x:f>
        <x:v>3.227124612678357</x:v>
      </x:c>
      <x:c r="N771" s="1" t="str">
        <x:f>IF(AND(H771="Yes",ISNUMBER(M771),M771&lt;=1),COUNTIFS($H$511:$H$1010,"Yes",$M$511:$M$1010,"&lt;"&amp;M771)+COUNTIFS($H$511:H771,"Yes",$M$511:M771,M771),"")</x:f>
      </x:c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</x:row>
    <x:row r="772" ht="22" customHeight="1">
      <x:c r="A772" s="1" t="str">
        <x:v>262</x:v>
      </x:c>
      <x:c r="B772" s="1" t="str">
        <x:v>Upper Room Missionary Baptist Church</x:v>
      </x:c>
      <x:c r="C772" s="1" t="str">
        <x:v>7236 Ogontz Ave</x:v>
      </x:c>
      <x:c r="D772" s="1" t="str">
        <x:v>Food Site</x:v>
      </x:c>
      <x:c r="E772" s="1" t="str">
        <x:v>Active</x:v>
      </x:c>
      <x:c r="F772" s="1" t="n">
        <x:v>40.064742000078965</x:v>
      </x:c>
      <x:c r="G772" s="1" t="n">
        <x:v>-75.15509849965578</x:v>
      </x:c>
      <x:c r="H772" s="1" t="str">
        <x:v>Yes</x:v>
      </x:c>
      <x:c r="I772" s="1" t="str"/>
      <x:c r="J772" s="1" t="str"/>
      <x:c r="K772" s="1" t="str"/>
      <x:c r="L772" s="1" t="str">
        <x:v>https://www.philabundance.org/</x:v>
      </x:c>
      <x:c r="M772" s="1" t="n">
        <x:f>IF(OR(NOT(ISNUMBER('School Profile'!$K$4)),NOT(ISNUMBER('School Profile'!$K$5)),NOT(ISNUMBER(F772)),NOT(ISNUMBER(G772))),"",3958.7613*2*ASIN(MIN(1,SQRT(SIN(RADIANS(F772-'School Profile'!$K$4)/2)^2+COS(RADIANS('School Profile'!$K$4))*COS(RADIANS(F772))*SIN(RADIANS(G772-'School Profile'!$K$5)/2)^2))))</x:f>
        <x:v>4.714419029497354</x:v>
      </x:c>
      <x:c r="N772" s="1" t="str">
        <x:f>IF(AND(H772="Yes",ISNUMBER(M772),M772&lt;=1),COUNTIFS($H$511:$H$1010,"Yes",$M$511:$M$1010,"&lt;"&amp;M772)+COUNTIFS($H$511:H772,"Yes",$M$511:M772,M772),"")</x:f>
      </x:c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</x:row>
    <x:row r="773" ht="22" customHeight="1">
      <x:c r="A773" s="1" t="str">
        <x:v>263</x:v>
      </x:c>
      <x:c r="B773" s="1" t="str">
        <x:v>Catholic Social Services Northeast Family Service Center</x:v>
      </x:c>
      <x:c r="C773" s="1" t="str">
        <x:v>7340 Jackson St</x:v>
      </x:c>
      <x:c r="D773" s="1" t="str">
        <x:v>Food Site</x:v>
      </x:c>
      <x:c r="E773" s="1" t="str">
        <x:v>Active</x:v>
      </x:c>
      <x:c r="F773" s="1" t="n">
        <x:v>40.033236380185755</x:v>
      </x:c>
      <x:c r="G773" s="1" t="n">
        <x:v>-75.03538796015333</x:v>
      </x:c>
      <x:c r="H773" s="1" t="str">
        <x:v>Yes</x:v>
      </x:c>
      <x:c r="I773" s="1" t="str"/>
      <x:c r="J773" s="1" t="str"/>
      <x:c r="K773" s="1" t="str"/>
      <x:c r="L773" s="1" t="str">
        <x:v>https://nutritionaldevelopmentservices.org/</x:v>
      </x:c>
      <x:c r="M773" s="1" t="n">
        <x:f>IF(OR(NOT(ISNUMBER('School Profile'!$K$4)),NOT(ISNUMBER('School Profile'!$K$5)),NOT(ISNUMBER(F773)),NOT(ISNUMBER(G773))),"",3958.7613*2*ASIN(MIN(1,SQRT(SIN(RADIANS(F773-'School Profile'!$K$4)/2)^2+COS(RADIANS('School Profile'!$K$4))*COS(RADIANS(F773))*SIN(RADIANS(G773-'School Profile'!$K$5)/2)^2))))</x:f>
        <x:v>2.8301888119936867</x:v>
      </x:c>
      <x:c r="N773" s="1" t="str">
        <x:f>IF(AND(H773="Yes",ISNUMBER(M773),M773&lt;=1),COUNTIFS($H$511:$H$1010,"Yes",$M$511:$M$1010,"&lt;"&amp;M773)+COUNTIFS($H$511:H773,"Yes",$M$511:M773,M773),"")</x:f>
      </x:c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</x:row>
    <x:row r="774" ht="22" customHeight="1">
      <x:c r="A774" s="1" t="str">
        <x:v>264</x:v>
      </x:c>
      <x:c r="B774" s="1" t="str">
        <x:v>Neighborhood Community Action Center 6</x:v>
      </x:c>
      <x:c r="C774" s="1" t="str">
        <x:v>7374 Edmund St.</x:v>
      </x:c>
      <x:c r="D774" s="1" t="str">
        <x:v>Public Benefits</x:v>
      </x:c>
      <x:c r="E774" s="1" t="str">
        <x:v>Active</x:v>
      </x:c>
      <x:c r="F774" s="1" t="n">
        <x:v>40.029887723980735</x:v>
      </x:c>
      <x:c r="G774" s="1" t="n">
        <x:v>-75.03158340627888</x:v>
      </x:c>
      <x:c r="H774" s="1" t="str">
        <x:v>No</x:v>
      </x:c>
      <x:c r="I774" s="1" t="str"/>
      <x:c r="J774" s="1" t="str"/>
      <x:c r="K774" s="1" t="str"/>
      <x:c r="L774" s="1" t="str">
        <x:v>https://www.phila.gov/programs/neighborhood-community-action-centers/</x:v>
      </x:c>
      <x:c r="M774" s="1" t="n">
        <x:f>IF(OR(NOT(ISNUMBER('School Profile'!$K$4)),NOT(ISNUMBER('School Profile'!$K$5)),NOT(ISNUMBER(F774)),NOT(ISNUMBER(G774))),"",3958.7613*2*ASIN(MIN(1,SQRT(SIN(RADIANS(F774-'School Profile'!$K$4)/2)^2+COS(RADIANS('School Profile'!$K$4))*COS(RADIANS(F774))*SIN(RADIANS(G774-'School Profile'!$K$5)/2)^2))))</x:f>
        <x:v>3.1352580326206487</x:v>
      </x:c>
      <x:c r="N774" s="1" t="str">
        <x:f>IF(AND(H774="Yes",ISNUMBER(M774),M774&lt;=1),COUNTIFS($H$511:$H$1010,"Yes",$M$511:$M$1010,"&lt;"&amp;M774)+COUNTIFS($H$511:H774,"Yes",$M$511:M774,M774),"")</x:f>
      </x:c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</x:row>
    <x:row r="775" ht="22" customHeight="1">
      <x:c r="A775" s="1" t="str">
        <x:v>265</x:v>
      </x:c>
      <x:c r="B775" s="1" t="str">
        <x:v>Masjidullah Center for Human Excellence</x:v>
      </x:c>
      <x:c r="C775" s="1" t="str">
        <x:v>7401 Limekiln Pike</x:v>
      </x:c>
      <x:c r="D775" s="1" t="str">
        <x:v>Food Site</x:v>
      </x:c>
      <x:c r="E775" s="1" t="str">
        <x:v>Active</x:v>
      </x:c>
      <x:c r="F775" s="1" t="n">
        <x:v>40.06704603971488</x:v>
      </x:c>
      <x:c r="G775" s="1" t="n">
        <x:v>-75.1582955004457</x:v>
      </x:c>
      <x:c r="H775" s="1" t="str">
        <x:v>Yes</x:v>
      </x:c>
      <x:c r="I775" s="1" t="str"/>
      <x:c r="J775" s="1" t="str"/>
      <x:c r="K775" s="1" t="str"/>
      <x:c r="L775" s="1" t="str">
        <x:v>https://www.philabundance.org/</x:v>
      </x:c>
      <x:c r="M775" s="1" t="n">
        <x:f>IF(OR(NOT(ISNUMBER('School Profile'!$K$4)),NOT(ISNUMBER('School Profile'!$K$5)),NOT(ISNUMBER(F775)),NOT(ISNUMBER(G775))),"",3958.7613*2*ASIN(MIN(1,SQRT(SIN(RADIANS(F775-'School Profile'!$K$4)/2)^2+COS(RADIANS('School Profile'!$K$4))*COS(RADIANS(F775))*SIN(RADIANS(G775-'School Profile'!$K$5)/2)^2))))</x:f>
        <x:v>4.881172677330755</x:v>
      </x:c>
      <x:c r="N775" s="1" t="str">
        <x:f>IF(AND(H775="Yes",ISNUMBER(M775),M775&lt;=1),COUNTIFS($H$511:$H$1010,"Yes",$M$511:$M$1010,"&lt;"&amp;M775)+COUNTIFS($H$511:H775,"Yes",$M$511:M775,M775),"")</x:f>
      </x:c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</x:row>
    <x:row r="776" ht="22" customHeight="1">
      <x:c r="A776" s="1" t="str">
        <x:v>266</x:v>
      </x:c>
      <x:c r="B776" s="1" t="str">
        <x:v>Live to Serve</x:v>
      </x:c>
      <x:c r="C776" s="1" t="str">
        <x:v>728 E Allegheny Ave</x:v>
      </x:c>
      <x:c r="D776" s="1" t="str">
        <x:v>General Meal Site</x:v>
      </x:c>
      <x:c r="E776" s="1" t="str">
        <x:v>Active</x:v>
      </x:c>
      <x:c r="F776" s="1" t="n">
        <x:v>39.9968387183308</x:v>
      </x:c>
      <x:c r="G776" s="1" t="n">
        <x:v>-75.11653973182983</x:v>
      </x:c>
      <x:c r="H776" s="1" t="str">
        <x:v>No</x:v>
      </x:c>
      <x:c r="I776" s="1" t="str"/>
      <x:c r="J776" s="1" t="str"/>
      <x:c r="K776" s="1" t="str"/>
      <x:c r="L776" s="1" t="str">
        <x:v>https://www.phila.gov/departments/office-of-homeless-services/</x:v>
      </x:c>
      <x:c r="M776" s="1" t="n">
        <x:f>IF(OR(NOT(ISNUMBER('School Profile'!$K$4)),NOT(ISNUMBER('School Profile'!$K$5)),NOT(ISNUMBER(F776)),NOT(ISNUMBER(G776))),"",3958.7613*2*ASIN(MIN(1,SQRT(SIN(RADIANS(F776-'School Profile'!$K$4)/2)^2+COS(RADIANS('School Profile'!$K$4))*COS(RADIANS(F776))*SIN(RADIANS(G776-'School Profile'!$K$5)/2)^2))))</x:f>
        <x:v>5.527029449869604</x:v>
      </x:c>
      <x:c r="N776" s="1" t="str">
        <x:f>IF(AND(H776="Yes",ISNUMBER(M776),M776&lt;=1),COUNTIFS($H$511:$H$1010,"Yes",$M$511:$M$1010,"&lt;"&amp;M776)+COUNTIFS($H$511:H776,"Yes",$M$511:M776,M776),"")</x:f>
      </x:c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</x:row>
    <x:row r="777" ht="22" customHeight="1">
      <x:c r="A777" s="1" t="str">
        <x:v>267</x:v>
      </x:c>
      <x:c r="B777" s="1" t="str">
        <x:v>Tindley Temple Soup Kitchen</x:v>
      </x:c>
      <x:c r="C777" s="1" t="str">
        <x:v>750 South Broad St</x:v>
      </x:c>
      <x:c r="D777" s="1" t="str">
        <x:v>General Meal Site</x:v>
      </x:c>
      <x:c r="E777" s="1" t="str">
        <x:v>Active</x:v>
      </x:c>
      <x:c r="F777" s="1" t="n">
        <x:v>39.94154127431793</x:v>
      </x:c>
      <x:c r="G777" s="1" t="n">
        <x:v>-75.16609710368527</x:v>
      </x:c>
      <x:c r="H777" s="1" t="str">
        <x:v>No</x:v>
      </x:c>
      <x:c r="I777" s="1" t="str"/>
      <x:c r="J777" s="1" t="str"/>
      <x:c r="K777" s="1" t="str"/>
      <x:c r="L777" s="1" t="str">
        <x:v>https://www.tindleyphl.us/soupkitchen</x:v>
      </x:c>
      <x:c r="M777" s="1" t="n">
        <x:f>IF(OR(NOT(ISNUMBER('School Profile'!$K$4)),NOT(ISNUMBER('School Profile'!$K$5)),NOT(ISNUMBER(F777)),NOT(ISNUMBER(G777))),"",3958.7613*2*ASIN(MIN(1,SQRT(SIN(RADIANS(F777-'School Profile'!$K$4)/2)^2+COS(RADIANS('School Profile'!$K$4))*COS(RADIANS(F777))*SIN(RADIANS(G777-'School Profile'!$K$5)/2)^2))))</x:f>
        <x:v>10.150191275767456</x:v>
      </x:c>
      <x:c r="N777" s="1" t="str">
        <x:f>IF(AND(H777="Yes",ISNUMBER(M777),M777&lt;=1),COUNTIFS($H$511:$H$1010,"Yes",$M$511:$M$1010,"&lt;"&amp;M777)+COUNTIFS($H$511:H777,"Yes",$M$511:M777,M777),"")</x:f>
      </x:c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</x:row>
    <x:row r="778" ht="22" customHeight="1">
      <x:c r="A778" s="1" t="str">
        <x:v>268</x:v>
      </x:c>
      <x:c r="B778" s="1" t="str">
        <x:v>Mt. Vernon Manor</x:v>
      </x:c>
      <x:c r="C778" s="1" t="str">
        <x:v>769 N 39th St</x:v>
      </x:c>
      <x:c r="D778" s="1" t="str">
        <x:v>Food Site</x:v>
      </x:c>
      <x:c r="E778" s="1" t="str">
        <x:v>Active</x:v>
      </x:c>
      <x:c r="F778" s="1" t="n">
        <x:v>39.96736561393999</x:v>
      </x:c>
      <x:c r="G778" s="1" t="n">
        <x:v>-75.2003386823418</x:v>
      </x:c>
      <x:c r="H778" s="1" t="str">
        <x:v>Yes</x:v>
      </x:c>
      <x:c r="I778" s="1" t="str"/>
      <x:c r="J778" s="1" t="str"/>
      <x:c r="K778" s="1" t="str"/>
      <x:c r="L778" s="1" t="str">
        <x:v>https://www.sharefoodprogram.org/</x:v>
      </x:c>
      <x:c r="M778" s="1" t="n">
        <x:f>IF(OR(NOT(ISNUMBER('School Profile'!$K$4)),NOT(ISNUMBER('School Profile'!$K$5)),NOT(ISNUMBER(F778)),NOT(ISNUMBER(G778))),"",3958.7613*2*ASIN(MIN(1,SQRT(SIN(RADIANS(F778-'School Profile'!$K$4)/2)^2+COS(RADIANS('School Profile'!$K$4))*COS(RADIANS(F778))*SIN(RADIANS(G778-'School Profile'!$K$5)/2)^2))))</x:f>
        <x:v>9.88862239981034</x:v>
      </x:c>
      <x:c r="N778" s="1" t="str">
        <x:f>IF(AND(H778="Yes",ISNUMBER(M778),M778&lt;=1),COUNTIFS($H$511:$H$1010,"Yes",$M$511:$M$1010,"&lt;"&amp;M778)+COUNTIFS($H$511:H778,"Yes",$M$511:M778,M778),"")</x:f>
      </x:c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</x:row>
    <x:row r="779" ht="22" customHeight="1">
      <x:c r="A779" s="1" t="str">
        <x:v>269</x:v>
      </x:c>
      <x:c r="B779" s="1" t="str">
        <x:v>Remnant Church of God</x:v>
      </x:c>
      <x:c r="C779" s="1" t="str">
        <x:v>7708-7712 Ogontz Ave</x:v>
      </x:c>
      <x:c r="D779" s="1" t="str">
        <x:v>Food Site</x:v>
      </x:c>
      <x:c r="E779" s="1" t="str">
        <x:v>Active</x:v>
      </x:c>
      <x:c r="F779" s="1" t="n">
        <x:v>40.0734369382844</x:v>
      </x:c>
      <x:c r="G779" s="1" t="n">
        <x:v>-75.15825923276275</x:v>
      </x:c>
      <x:c r="H779" s="1" t="str">
        <x:v>Yes</x:v>
      </x:c>
      <x:c r="I779" s="1" t="str"/>
      <x:c r="J779" s="1" t="str"/>
      <x:c r="K779" s="1" t="str"/>
      <x:c r="L779" s="1" t="str">
        <x:v>https://www.philabundance.org/</x:v>
      </x:c>
      <x:c r="M779" s="1" t="n">
        <x:f>IF(OR(NOT(ISNUMBER('School Profile'!$K$4)),NOT(ISNUMBER('School Profile'!$K$5)),NOT(ISNUMBER(F779)),NOT(ISNUMBER(G779))),"",3958.7613*2*ASIN(MIN(1,SQRT(SIN(RADIANS(F779-'School Profile'!$K$4)/2)^2+COS(RADIANS('School Profile'!$K$4))*COS(RADIANS(F779))*SIN(RADIANS(G779-'School Profile'!$K$5)/2)^2))))</x:f>
        <x:v>4.90023627469248</x:v>
      </x:c>
      <x:c r="N779" s="1" t="str">
        <x:f>IF(AND(H779="Yes",ISNUMBER(M779),M779&lt;=1),COUNTIFS($H$511:$H$1010,"Yes",$M$511:$M$1010,"&lt;"&amp;M779)+COUNTIFS($H$511:H779,"Yes",$M$511:M779,M779),"")</x:f>
      </x:c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</x:row>
    <x:row r="780" ht="22" customHeight="1">
      <x:c r="A780" s="1" t="str">
        <x:v>270</x:v>
      </x:c>
      <x:c r="B780" s="1" t="str">
        <x:v>Northeast Community Fridge</x:v>
      </x:c>
      <x:c r="C780" s="1" t="str">
        <x:v>7902 Oxford Ave</x:v>
      </x:c>
      <x:c r="D780" s="1" t="str">
        <x:v>Food Site</x:v>
      </x:c>
      <x:c r="E780" s="1" t="str">
        <x:v>Active</x:v>
      </x:c>
      <x:c r="F780" s="1" t="n">
        <x:v>40.07397384503696</x:v>
      </x:c>
      <x:c r="G780" s="1" t="n">
        <x:v>-75.0848211551921</x:v>
      </x:c>
      <x:c r="H780" s="1" t="str">
        <x:v>Yes</x:v>
      </x:c>
      <x:c r="I780" s="1" t="str"/>
      <x:c r="J780" s="1" t="str"/>
      <x:c r="K780" s="1" t="str"/>
      <x:c r="L780" s="1" t="str"/>
      <x:c r="M780" s="1" t="n">
        <x:f>IF(OR(NOT(ISNUMBER('School Profile'!$K$4)),NOT(ISNUMBER('School Profile'!$K$5)),NOT(ISNUMBER(F780)),NOT(ISNUMBER(G780))),"",3958.7613*2*ASIN(MIN(1,SQRT(SIN(RADIANS(F780-'School Profile'!$K$4)/2)^2+COS(RADIANS('School Profile'!$K$4))*COS(RADIANS(F780))*SIN(RADIANS(G780-'School Profile'!$K$5)/2)^2))))</x:f>
        <x:v>1.1112418571206564</x:v>
      </x:c>
      <x:c r="N780" s="1" t="str">
        <x:f>IF(AND(H780="Yes",ISNUMBER(M780),M780&lt;=1),COUNTIFS($H$511:$H$1010,"Yes",$M$511:$M$1010,"&lt;"&amp;M780)+COUNTIFS($H$511:H780,"Yes",$M$511:M780,M780),"")</x:f>
      </x:c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</x:row>
    <x:row r="781" ht="22" customHeight="1">
      <x:c r="A781" s="1" t="str">
        <x:v>271</x:v>
      </x:c>
      <x:c r="B781" s="1" t="str">
        <x:v>Food Pantry For Hope, Memorial Presbyterian Church of Fox Chase</x:v>
      </x:c>
      <x:c r="C781" s="1" t="str">
        <x:v>7902 Oxford Ave.</x:v>
      </x:c>
      <x:c r="D781" s="1" t="str">
        <x:v>Food Site</x:v>
      </x:c>
      <x:c r="E781" s="1" t="str">
        <x:v>Active</x:v>
      </x:c>
      <x:c r="F781" s="1" t="n">
        <x:v>40.07397384503696</x:v>
      </x:c>
      <x:c r="G781" s="1" t="n">
        <x:v>-75.0848211551921</x:v>
      </x:c>
      <x:c r="H781" s="1" t="str">
        <x:v>Yes</x:v>
      </x:c>
      <x:c r="I781" s="1" t="str"/>
      <x:c r="J781" s="1" t="str"/>
      <x:c r="K781" s="1" t="str"/>
      <x:c r="L781" s="1" t="str">
        <x:v>https://sites.google.com/site/foxchasechurch/</x:v>
      </x:c>
      <x:c r="M781" s="1" t="n">
        <x:f>IF(OR(NOT(ISNUMBER('School Profile'!$K$4)),NOT(ISNUMBER('School Profile'!$K$5)),NOT(ISNUMBER(F781)),NOT(ISNUMBER(G781))),"",3958.7613*2*ASIN(MIN(1,SQRT(SIN(RADIANS(F781-'School Profile'!$K$4)/2)^2+COS(RADIANS('School Profile'!$K$4))*COS(RADIANS(F781))*SIN(RADIANS(G781-'School Profile'!$K$5)/2)^2))))</x:f>
        <x:v>1.1112418571206564</x:v>
      </x:c>
      <x:c r="N781" s="1" t="str">
        <x:f>IF(AND(H781="Yes",ISNUMBER(M781),M781&lt;=1),COUNTIFS($H$511:$H$1010,"Yes",$M$511:$M$1010,"&lt;"&amp;M781)+COUNTIFS($H$511:H781,"Yes",$M$511:M781,M781),"")</x:f>
      </x:c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</x:row>
    <x:row r="782" ht="22" customHeight="1">
      <x:c r="A782" s="1" t="str">
        <x:v>272</x:v>
      </x:c>
      <x:c r="B782" s="1" t="str">
        <x:v>Northeast WIC Office</x:v>
      </x:c>
      <x:c r="C782" s="1" t="str">
        <x:v>7959 Bustleton Ave.</x:v>
      </x:c>
      <x:c r="D782" s="1" t="str">
        <x:v>Public Benefits</x:v>
      </x:c>
      <x:c r="E782" s="1" t="str">
        <x:v>Active</x:v>
      </x:c>
      <x:c r="F782" s="1" t="n">
        <x:v>40.05889807987892</x:v>
      </x:c>
      <x:c r="G782" s="1" t="n">
        <x:v>-75.05193377963988</x:v>
      </x:c>
      <x:c r="H782" s="1" t="str">
        <x:v>No</x:v>
      </x:c>
      <x:c r="I782" s="1" t="str"/>
      <x:c r="J782" s="1" t="str"/>
      <x:c r="K782" s="1" t="str"/>
      <x:c r="L782" s="1" t="str">
        <x:v>https://www.facebook.com/PhiladelphiaWICProgram/</x:v>
      </x:c>
      <x:c r="M782" s="1" t="n">
        <x:f>IF(OR(NOT(ISNUMBER('School Profile'!$K$4)),NOT(ISNUMBER('School Profile'!$K$5)),NOT(ISNUMBER(F782)),NOT(ISNUMBER(G782))),"",3958.7613*2*ASIN(MIN(1,SQRT(SIN(RADIANS(F782-'School Profile'!$K$4)/2)^2+COS(RADIANS('School Profile'!$K$4))*COS(RADIANS(F782))*SIN(RADIANS(G782-'School Profile'!$K$5)/2)^2))))</x:f>
        <x:v>0.9237157982624937</x:v>
      </x:c>
      <x:c r="N782" s="1" t="str">
        <x:f>IF(AND(H782="Yes",ISNUMBER(M782),M782&lt;=1),COUNTIFS($H$511:$H$1010,"Yes",$M$511:$M$1010,"&lt;"&amp;M782)+COUNTIFS($H$511:H782,"Yes",$M$511:M782,M782),"")</x:f>
      </x:c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</x:row>
    <x:row r="783" ht="22" customHeight="1">
      <x:c r="A783" s="1" t="str">
        <x:v>273</x:v>
      </x:c>
      <x:c r="B783" s="1" t="str">
        <x:v>University City Hospitality Coalition Hillel</x:v>
      </x:c>
      <x:c r="C783" s="1" t="str">
        <x:v>215 S 39th St.</x:v>
      </x:c>
      <x:c r="D783" s="1" t="str">
        <x:v>General Meal Site</x:v>
      </x:c>
      <x:c r="E783" s="1" t="str">
        <x:v>Active</x:v>
      </x:c>
      <x:c r="F783" s="1" t="n">
        <x:v>39.95265454030259</x:v>
      </x:c>
      <x:c r="G783" s="1" t="n">
        <x:v>-75.20048615966029</x:v>
      </x:c>
      <x:c r="H783" s="1" t="str">
        <x:v>No</x:v>
      </x:c>
      <x:c r="I783" s="1" t="str"/>
      <x:c r="J783" s="1" t="str"/>
      <x:c r="K783" s="1" t="str"/>
      <x:c r="L783" s="1" t="str">
        <x:v>https://www.phila.gov/departments/office-of-homeless-services/</x:v>
      </x:c>
      <x:c r="M783" s="1" t="n">
        <x:f>IF(OR(NOT(ISNUMBER('School Profile'!$K$4)),NOT(ISNUMBER('School Profile'!$K$5)),NOT(ISNUMBER(F783)),NOT(ISNUMBER(G783))),"",3958.7613*2*ASIN(MIN(1,SQRT(SIN(RADIANS(F783-'School Profile'!$K$4)/2)^2+COS(RADIANS('School Profile'!$K$4))*COS(RADIANS(F783))*SIN(RADIANS(G783-'School Profile'!$K$5)/2)^2))))</x:f>
        <x:v>10.626017836185861</x:v>
      </x:c>
      <x:c r="N783" s="1" t="str">
        <x:f>IF(AND(H783="Yes",ISNUMBER(M783),M783&lt;=1),COUNTIFS($H$511:$H$1010,"Yes",$M$511:$M$1010,"&lt;"&amp;M783)+COUNTIFS($H$511:H783,"Yes",$M$511:M783,M783),"")</x:f>
      </x:c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</x:row>
    <x:row r="784" ht="22" customHeight="1">
      <x:c r="A784" s="1" t="str">
        <x:v>274</x:v>
      </x:c>
      <x:c r="B784" s="1" t="str">
        <x:v>Old First United Church of Christ
</x:v>
      </x:c>
      <x:c r="C784" s="1" t="str">
        <x:v>322 Race St</x:v>
      </x:c>
      <x:c r="D784" s="1" t="str">
        <x:v>General Meal Site</x:v>
      </x:c>
      <x:c r="E784" s="1" t="str">
        <x:v>Active</x:v>
      </x:c>
      <x:c r="F784" s="1" t="n">
        <x:v>39.95376409977989</x:v>
      </x:c>
      <x:c r="G784" s="1" t="n">
        <x:v>-75.14620403029606</x:v>
      </x:c>
      <x:c r="H784" s="1" t="str">
        <x:v>No</x:v>
      </x:c>
      <x:c r="I784" s="1" t="str"/>
      <x:c r="J784" s="1" t="str"/>
      <x:c r="K784" s="1" t="str"/>
      <x:c r="L784" s="1" t="str">
        <x:v>https://www.phila.gov/departments/office-of-homeless-services/</x:v>
      </x:c>
      <x:c r="M784" s="1" t="n">
        <x:f>IF(OR(NOT(ISNUMBER('School Profile'!$K$4)),NOT(ISNUMBER('School Profile'!$K$5)),NOT(ISNUMBER(F784)),NOT(ISNUMBER(G784))),"",3958.7613*2*ASIN(MIN(1,SQRT(SIN(RADIANS(F784-'School Profile'!$K$4)/2)^2+COS(RADIANS('School Profile'!$K$4))*COS(RADIANS(F784))*SIN(RADIANS(G784-'School Profile'!$K$5)/2)^2))))</x:f>
        <x:v>8.891848805945376</x:v>
      </x:c>
      <x:c r="N784" s="1" t="str">
        <x:f>IF(AND(H784="Yes",ISNUMBER(M784),M784&lt;=1),COUNTIFS($H$511:$H$1010,"Yes",$M$511:$M$1010,"&lt;"&amp;M784)+COUNTIFS($H$511:H784,"Yes",$M$511:M784,M784),"")</x:f>
      </x:c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</x:row>
    <x:row r="785" ht="22" customHeight="1">
      <x:c r="A785" s="1" t="str">
        <x:v>275</x:v>
      </x:c>
      <x:c r="B785" s="1" t="str">
        <x:v>Saint Luke's Episcopal Church</x:v>
      </x:c>
      <x:c r="C785" s="1" t="str">
        <x:v>5421 Germantown Ave</x:v>
      </x:c>
      <x:c r="D785" s="1" t="str">
        <x:v>Food Site</x:v>
      </x:c>
      <x:c r="E785" s="1" t="str">
        <x:v>Active</x:v>
      </x:c>
      <x:c r="F785" s="1" t="n">
        <x:v>40.03378440026578</x:v>
      </x:c>
      <x:c r="G785" s="1" t="n">
        <x:v>-75.17097730028094</x:v>
      </x:c>
      <x:c r="H785" s="1" t="str">
        <x:v>Yes</x:v>
      </x:c>
      <x:c r="I785" s="1" t="str"/>
      <x:c r="J785" s="1" t="str"/>
      <x:c r="K785" s="1" t="str"/>
      <x:c r="L785" s="1" t="str">
        <x:v>https://www.philabundance.org/</x:v>
      </x:c>
      <x:c r="M785" s="1" t="n">
        <x:f>IF(OR(NOT(ISNUMBER('School Profile'!$K$4)),NOT(ISNUMBER('School Profile'!$K$5)),NOT(ISNUMBER(F785)),NOT(ISNUMBER(G785))),"",3958.7613*2*ASIN(MIN(1,SQRT(SIN(RADIANS(F785-'School Profile'!$K$4)/2)^2+COS(RADIANS('School Profile'!$K$4))*COS(RADIANS(F785))*SIN(RADIANS(G785-'School Profile'!$K$5)/2)^2))))</x:f>
        <x:v>6.004473074289657</x:v>
      </x:c>
      <x:c r="N785" s="1" t="str">
        <x:f>IF(AND(H785="Yes",ISNUMBER(M785),M785&lt;=1),COUNTIFS($H$511:$H$1010,"Yes",$M$511:$M$1010,"&lt;"&amp;M785)+COUNTIFS($H$511:H785,"Yes",$M$511:M785,M785),"")</x:f>
      </x:c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</x:row>
    <x:row r="786" ht="22" customHeight="1">
      <x:c r="A786" s="1" t="str">
        <x:v>276</x:v>
      </x:c>
      <x:c r="B786" s="1" t="str">
        <x:v>Memorial Tabernacle Church</x:v>
      </x:c>
      <x:c r="C786" s="1" t="str">
        <x:v>2249 W Hunting Park Ave</x:v>
      </x:c>
      <x:c r="D786" s="1" t="str">
        <x:v>General Meal Site</x:v>
      </x:c>
      <x:c r="E786" s="1" t="str">
        <x:v>Active</x:v>
      </x:c>
      <x:c r="F786" s="1" t="n">
        <x:v>40.01042800291286</x:v>
      </x:c>
      <x:c r="G786" s="1" t="n">
        <x:v>-75.16630589820844</x:v>
      </x:c>
      <x:c r="H786" s="1" t="str">
        <x:v>No</x:v>
      </x:c>
      <x:c r="I786" s="1" t="str"/>
      <x:c r="J786" s="1" t="str"/>
      <x:c r="K786" s="1" t="str"/>
      <x:c r="L786" s="1" t="str"/>
      <x:c r="M786" s="1" t="n">
        <x:f>IF(OR(NOT(ISNUMBER('School Profile'!$K$4)),NOT(ISNUMBER('School Profile'!$K$5)),NOT(ISNUMBER(F786)),NOT(ISNUMBER(G786))),"",3958.7613*2*ASIN(MIN(1,SQRT(SIN(RADIANS(F786-'School Profile'!$K$4)/2)^2+COS(RADIANS('School Profile'!$K$4))*COS(RADIANS(F786))*SIN(RADIANS(G786-'School Profile'!$K$5)/2)^2))))</x:f>
        <x:v>6.5845752807117925</x:v>
      </x:c>
      <x:c r="N786" s="1" t="str">
        <x:f>IF(AND(H786="Yes",ISNUMBER(M786),M786&lt;=1),COUNTIFS($H$511:$H$1010,"Yes",$M$511:$M$1010,"&lt;"&amp;M786)+COUNTIFS($H$511:H786,"Yes",$M$511:M786,M786),"")</x:f>
      </x:c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</x:row>
    <x:row r="787" ht="22" customHeight="1">
      <x:c r="A787" s="1" t="str">
        <x:v>277</x:v>
      </x:c>
      <x:c r="B787" s="1" t="str">
        <x:v>Lutheran Settlement House</x:v>
      </x:c>
      <x:c r="C787" s="1" t="str">
        <x:v>1340 Frankford Ave</x:v>
      </x:c>
      <x:c r="D787" s="1" t="str">
        <x:v>General Meal Site</x:v>
      </x:c>
      <x:c r="E787" s="1" t="str">
        <x:v>Active</x:v>
      </x:c>
      <x:c r="F787" s="1" t="n">
        <x:v>39.971379257970476</x:v>
      </x:c>
      <x:c r="G787" s="1" t="n">
        <x:v>-75.13468973310637</x:v>
      </x:c>
      <x:c r="H787" s="1" t="str">
        <x:v>No</x:v>
      </x:c>
      <x:c r="I787" s="1" t="str"/>
      <x:c r="J787" s="1" t="str"/>
      <x:c r="K787" s="1" t="str"/>
      <x:c r="L787" s="1" t="str"/>
      <x:c r="M787" s="1" t="n">
        <x:f>IF(OR(NOT(ISNUMBER('School Profile'!$K$4)),NOT(ISNUMBER('School Profile'!$K$5)),NOT(ISNUMBER(F787)),NOT(ISNUMBER(G787))),"",3958.7613*2*ASIN(MIN(1,SQRT(SIN(RADIANS(F787-'School Profile'!$K$4)/2)^2+COS(RADIANS('School Profile'!$K$4))*COS(RADIANS(F787))*SIN(RADIANS(G787-'School Profile'!$K$5)/2)^2))))</x:f>
        <x:v>7.531421089362848</x:v>
      </x:c>
      <x:c r="N787" s="1" t="str">
        <x:f>IF(AND(H787="Yes",ISNUMBER(M787),M787&lt;=1),COUNTIFS($H$511:$H$1010,"Yes",$M$511:$M$1010,"&lt;"&amp;M787)+COUNTIFS($H$511:H787,"Yes",$M$511:M787,M787),"")</x:f>
      </x:c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</x:row>
    <x:row r="788" ht="22" customHeight="1">
      <x:c r="A788" s="1" t="str">
        <x:v>278</x:v>
      </x:c>
      <x:c r="B788" s="1" t="str">
        <x:v>Northeast Older Adult Center</x:v>
      </x:c>
      <x:c r="C788" s="1" t="str">
        <x:v>8101 Bustleton Ave.</x:v>
      </x:c>
      <x:c r="D788" s="1" t="str">
        <x:v>Senior Meal Site</x:v>
      </x:c>
      <x:c r="E788" s="1" t="str">
        <x:v>Active</x:v>
      </x:c>
      <x:c r="F788" s="1" t="n">
        <x:v>40.062638869689174</x:v>
      </x:c>
      <x:c r="G788" s="1" t="n">
        <x:v>-75.05129272029357</x:v>
      </x:c>
      <x:c r="H788" s="1" t="str">
        <x:v>No</x:v>
      </x:c>
      <x:c r="I788" s="1" t="str"/>
      <x:c r="J788" s="1" t="str"/>
      <x:c r="K788" s="1" t="str"/>
      <x:c r="L788" s="1" t="str">
        <x:v>https://www.phila.gov/programs/programs-for-older-adults/</x:v>
      </x:c>
      <x:c r="M788" s="1" t="n">
        <x:f>IF(OR(NOT(ISNUMBER('School Profile'!$K$4)),NOT(ISNUMBER('School Profile'!$K$5)),NOT(ISNUMBER(F788)),NOT(ISNUMBER(G788))),"",3958.7613*2*ASIN(MIN(1,SQRT(SIN(RADIANS(F788-'School Profile'!$K$4)/2)^2+COS(RADIANS('School Profile'!$K$4))*COS(RADIANS(F788))*SIN(RADIANS(G788-'School Profile'!$K$5)/2)^2))))</x:f>
        <x:v>0.8293405378069169</x:v>
      </x:c>
      <x:c r="N788" s="1" t="str">
        <x:f>IF(AND(H788="Yes",ISNUMBER(M788),M788&lt;=1),COUNTIFS($H$511:$H$1010,"Yes",$M$511:$M$1010,"&lt;"&amp;M788)+COUNTIFS($H$511:H788,"Yes",$M$511:M788,M788),"")</x:f>
      </x:c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</x:row>
    <x:row r="789" ht="22" customHeight="1">
      <x:c r="A789" s="1" t="str">
        <x:v>279</x:v>
      </x:c>
      <x:c r="B789" s="1" t="str">
        <x:v>Haitian Evangelical Baptist Church</x:v>
      </x:c>
      <x:c r="C789" s="1" t="str">
        <x:v>814 E Chelten Ave</x:v>
      </x:c>
      <x:c r="D789" s="1" t="str">
        <x:v>Food Site</x:v>
      </x:c>
      <x:c r="E789" s="1" t="str">
        <x:v>Active</x:v>
      </x:c>
      <x:c r="F789" s="1" t="n">
        <x:v>40.045815944240516</x:v>
      </x:c>
      <x:c r="G789" s="1" t="n">
        <x:v>-75.16437743897394</x:v>
      </x:c>
      <x:c r="H789" s="1" t="str">
        <x:v>Yes</x:v>
      </x:c>
      <x:c r="I789" s="1" t="str"/>
      <x:c r="J789" s="1" t="str"/>
      <x:c r="K789" s="1" t="str"/>
      <x:c r="L789" s="1" t="str">
        <x:v>https://www.philabundance.org/</x:v>
      </x:c>
      <x:c r="M789" s="1" t="n">
        <x:f>IF(OR(NOT(ISNUMBER('School Profile'!$K$4)),NOT(ISNUMBER('School Profile'!$K$5)),NOT(ISNUMBER(F789)),NOT(ISNUMBER(G789))),"",3958.7613*2*ASIN(MIN(1,SQRT(SIN(RADIANS(F789-'School Profile'!$K$4)/2)^2+COS(RADIANS('School Profile'!$K$4))*COS(RADIANS(F789))*SIN(RADIANS(G789-'School Profile'!$K$5)/2)^2))))</x:f>
        <x:v>5.402550688263613</x:v>
      </x:c>
      <x:c r="N789" s="1" t="str">
        <x:f>IF(AND(H789="Yes",ISNUMBER(M789),M789&lt;=1),COUNTIFS($H$511:$H$1010,"Yes",$M$511:$M$1010,"&lt;"&amp;M789)+COUNTIFS($H$511:H789,"Yes",$M$511:M789,M789),"")</x:f>
      </x:c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</x:row>
    <x:row r="790" ht="22" customHeight="1">
      <x:c r="A790" s="1" t="str">
        <x:v>280</x:v>
      </x:c>
      <x:c r="B790" s="1" t="str">
        <x:v>Summer Homes for Hope</x:v>
      </x:c>
      <x:c r="C790" s="1" t="str">
        <x:v>814 N 41st St.</x:v>
      </x:c>
      <x:c r="D790" s="1" t="str">
        <x:v>Food Site</x:v>
      </x:c>
      <x:c r="E790" s="1" t="str">
        <x:v>Active</x:v>
      </x:c>
      <x:c r="F790" s="1" t="n">
        <x:v>39.96770716987998</x:v>
      </x:c>
      <x:c r="G790" s="1" t="n">
        <x:v>-75.20575143976374</x:v>
      </x:c>
      <x:c r="H790" s="1" t="str">
        <x:v>Yes</x:v>
      </x:c>
      <x:c r="I790" s="1" t="str"/>
      <x:c r="J790" s="1" t="str"/>
      <x:c r="K790" s="1" t="str"/>
      <x:c r="L790" s="1" t="str">
        <x:v>https://www.philabundance.org/</x:v>
      </x:c>
      <x:c r="M790" s="1" t="n">
        <x:f>IF(OR(NOT(ISNUMBER('School Profile'!$K$4)),NOT(ISNUMBER('School Profile'!$K$5)),NOT(ISNUMBER(F790)),NOT(ISNUMBER(G790))),"",3958.7613*2*ASIN(MIN(1,SQRT(SIN(RADIANS(F790-'School Profile'!$K$4)/2)^2+COS(RADIANS('School Profile'!$K$4))*COS(RADIANS(F790))*SIN(RADIANS(G790-'School Profile'!$K$5)/2)^2))))</x:f>
        <x:v>10.08044215367697</x:v>
      </x:c>
      <x:c r="N790" s="1" t="str">
        <x:f>IF(AND(H790="Yes",ISNUMBER(M790),M790&lt;=1),COUNTIFS($H$511:$H$1010,"Yes",$M$511:$M$1010,"&lt;"&amp;M790)+COUNTIFS($H$511:H790,"Yes",$M$511:M790,M790),"")</x:f>
      </x:c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</x:row>
    <x:row r="791" ht="22" customHeight="1">
      <x:c r="A791" s="1" t="str">
        <x:v>281</x:v>
      </x:c>
      <x:c r="B791" s="1" t="str">
        <x:v>Northern Living Center</x:v>
      </x:c>
      <x:c r="C791" s="1" t="str">
        <x:v>827 N Franklin St.</x:v>
      </x:c>
      <x:c r="D791" s="1" t="str">
        <x:v>Senior Meal Site</x:v>
      </x:c>
      <x:c r="E791" s="1" t="str">
        <x:v>Active</x:v>
      </x:c>
      <x:c r="F791" s="1" t="n">
        <x:v>39.96634568989394</x:v>
      </x:c>
      <x:c r="G791" s="1" t="n">
        <x:v>-75.14984273989771</x:v>
      </x:c>
      <x:c r="H791" s="1" t="str">
        <x:v>No</x:v>
      </x:c>
      <x:c r="I791" s="1" t="str"/>
      <x:c r="J791" s="1" t="str"/>
      <x:c r="K791" s="1" t="str"/>
      <x:c r="L791" s="1" t="str">
        <x:v>https://www.pcacares.org/</x:v>
      </x:c>
      <x:c r="M791" s="1" t="n">
        <x:f>IF(OR(NOT(ISNUMBER('School Profile'!$K$4)),NOT(ISNUMBER('School Profile'!$K$5)),NOT(ISNUMBER(F791)),NOT(ISNUMBER(G791))),"",3958.7613*2*ASIN(MIN(1,SQRT(SIN(RADIANS(F791-'School Profile'!$K$4)/2)^2+COS(RADIANS('School Profile'!$K$4))*COS(RADIANS(F791))*SIN(RADIANS(G791-'School Profile'!$K$5)/2)^2))))</x:f>
        <x:v>8.240474490335865</x:v>
      </x:c>
      <x:c r="N791" s="1" t="str">
        <x:f>IF(AND(H791="Yes",ISNUMBER(M791),M791&lt;=1),COUNTIFS($H$511:$H$1010,"Yes",$M$511:$M$1010,"&lt;"&amp;M791)+COUNTIFS($H$511:H791,"Yes",$M$511:M791,M791),"")</x:f>
      </x:c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</x:row>
    <x:row r="792" ht="22" customHeight="1">
      <x:c r="A792" s="1" t="str">
        <x:v>282</x:v>
      </x:c>
      <x:c r="B792" s="1" t="str">
        <x:v>St Paul A.M.E. Church</x:v>
      </x:c>
      <x:c r="C792" s="1" t="str">
        <x:v>8398 Lindbergh Blvd</x:v>
      </x:c>
      <x:c r="D792" s="1" t="str">
        <x:v>Food Site</x:v>
      </x:c>
      <x:c r="E792" s="1" t="str">
        <x:v>Active</x:v>
      </x:c>
      <x:c r="F792" s="1" t="n">
        <x:v>39.897667689820885</x:v>
      </x:c>
      <x:c r="G792" s="1" t="n">
        <x:v>-75.25162368966006</x:v>
      </x:c>
      <x:c r="H792" s="1" t="str">
        <x:v>Yes</x:v>
      </x:c>
      <x:c r="I792" s="1" t="str"/>
      <x:c r="J792" s="1" t="str"/>
      <x:c r="K792" s="1" t="str"/>
      <x:c r="L792" s="1" t="str">
        <x:v>https://www.sharefoodprogram.org/</x:v>
      </x:c>
      <x:c r="M792" s="1" t="n">
        <x:f>IF(OR(NOT(ISNUMBER('School Profile'!$K$4)),NOT(ISNUMBER('School Profile'!$K$5)),NOT(ISNUMBER(F792)),NOT(ISNUMBER(G792))),"",3958.7613*2*ASIN(MIN(1,SQRT(SIN(RADIANS(F792-'School Profile'!$K$4)/2)^2+COS(RADIANS('School Profile'!$K$4))*COS(RADIANS(F792))*SIN(RADIANS(G792-'School Profile'!$K$5)/2)^2))))</x:f>
        <x:v>15.271641474214244</x:v>
      </x:c>
      <x:c r="N792" s="1" t="str">
        <x:f>IF(AND(H792="Yes",ISNUMBER(M792),M792&lt;=1),COUNTIFS($H$511:$H$1010,"Yes",$M$511:$M$1010,"&lt;"&amp;M792)+COUNTIFS($H$511:H792,"Yes",$M$511:M792,M792),"")</x:f>
      </x:c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</x:row>
    <x:row r="793" ht="22" customHeight="1">
      <x:c r="A793" s="1" t="str">
        <x:v>283</x:v>
      </x:c>
      <x:c r="B793" s="1" t="str">
        <x:v>Abiding Truth Ministries</x:v>
      </x:c>
      <x:c r="C793" s="1" t="str">
        <x:v>846 S 57th St.</x:v>
      </x:c>
      <x:c r="D793" s="1" t="str">
        <x:v>Food Site</x:v>
      </x:c>
      <x:c r="E793" s="1" t="str">
        <x:v>Active</x:v>
      </x:c>
      <x:c r="F793" s="1" t="n">
        <x:v>39.947619586063965</x:v>
      </x:c>
      <x:c r="G793" s="1" t="n">
        <x:v>-75.2377854131011</x:v>
      </x:c>
      <x:c r="H793" s="1" t="str">
        <x:v>Yes</x:v>
      </x:c>
      <x:c r="I793" s="1" t="str"/>
      <x:c r="J793" s="1" t="str"/>
      <x:c r="K793" s="1" t="str"/>
      <x:c r="L793" s="1" t="str">
        <x:v>https://www.philabundance.org/</x:v>
      </x:c>
      <x:c r="M793" s="1" t="n">
        <x:f>IF(OR(NOT(ISNUMBER('School Profile'!$K$4)),NOT(ISNUMBER('School Profile'!$K$5)),NOT(ISNUMBER(F793)),NOT(ISNUMBER(G793))),"",3958.7613*2*ASIN(MIN(1,SQRT(SIN(RADIANS(F793-'School Profile'!$K$4)/2)^2+COS(RADIANS('School Profile'!$K$4))*COS(RADIANS(F793))*SIN(RADIANS(G793-'School Profile'!$K$5)/2)^2))))</x:f>
        <x:v>12.268893459349394</x:v>
      </x:c>
      <x:c r="N793" s="1" t="str">
        <x:f>IF(AND(H793="Yes",ISNUMBER(M793),M793&lt;=1),COUNTIFS($H$511:$H$1010,"Yes",$M$511:$M$1010,"&lt;"&amp;M793)+COUNTIFS($H$511:H793,"Yes",$M$511:M793,M793),"")</x:f>
      </x:c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</x:row>
    <x:row r="794" ht="22" customHeight="1">
      <x:c r="A794" s="1" t="str">
        <x:v>284</x:v>
      </x:c>
      <x:c r="B794" s="1" t="str">
        <x:v>Siloam Food Pantry</x:v>
      </x:c>
      <x:c r="C794" s="1" t="str">
        <x:v>850 11th St</x:v>
      </x:c>
      <x:c r="D794" s="1" t="str">
        <x:v>Food Site</x:v>
      </x:c>
      <x:c r="E794" s="1" t="str">
        <x:v>Active</x:v>
      </x:c>
      <x:c r="F794" s="1" t="n">
        <x:v>39.96779480233477</x:v>
      </x:c>
      <x:c r="G794" s="1" t="n">
        <x:v>-75.15487365493344</x:v>
      </x:c>
      <x:c r="H794" s="1" t="str">
        <x:v>Yes</x:v>
      </x:c>
      <x:c r="I794" s="1" t="str"/>
      <x:c r="J794" s="1" t="str"/>
      <x:c r="K794" s="1" t="str"/>
      <x:c r="L794" s="1" t="str">
        <x:v>https://www.wearesiloam.org/</x:v>
      </x:c>
      <x:c r="M794" s="1" t="n">
        <x:f>IF(OR(NOT(ISNUMBER('School Profile'!$K$4)),NOT(ISNUMBER('School Profile'!$K$5)),NOT(ISNUMBER(F794)),NOT(ISNUMBER(G794))),"",3958.7613*2*ASIN(MIN(1,SQRT(SIN(RADIANS(F794-'School Profile'!$K$4)/2)^2+COS(RADIANS('School Profile'!$K$4))*COS(RADIANS(F794))*SIN(RADIANS(G794-'School Profile'!$K$5)/2)^2))))</x:f>
        <x:v>8.304097274919046</x:v>
      </x:c>
      <x:c r="N794" s="1" t="str">
        <x:f>IF(AND(H794="Yes",ISNUMBER(M794),M794&lt;=1),COUNTIFS($H$511:$H$1010,"Yes",$M$511:$M$1010,"&lt;"&amp;M794)+COUNTIFS($H$511:H794,"Yes",$M$511:M794,M794),"")</x:f>
      </x:c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</x:row>
    <x:row r="795" ht="22" customHeight="1">
      <x:c r="A795" s="1" t="str">
        <x:v>285</x:v>
      </x:c>
      <x:c r="B795" s="1" t="str">
        <x:v>Bethany AME Church</x:v>
      </x:c>
      <x:c r="C795" s="1" t="str">
        <x:v>8898 Ashton Rd</x:v>
      </x:c>
      <x:c r="D795" s="1" t="str">
        <x:v>Food Site</x:v>
      </x:c>
      <x:c r="E795" s="1" t="str">
        <x:v>Active</x:v>
      </x:c>
      <x:c r="F795" s="1" t="n">
        <x:v>40.05876380084615</x:v>
      </x:c>
      <x:c r="G795" s="1" t="n">
        <x:v>-75.0264805829013</x:v>
      </x:c>
      <x:c r="H795" s="1" t="str">
        <x:v>Yes</x:v>
      </x:c>
      <x:c r="I795" s="1" t="str"/>
      <x:c r="J795" s="1" t="str"/>
      <x:c r="K795" s="1" t="str"/>
      <x:c r="L795" s="1" t="str">
        <x:v>https://www.philabundance.org/</x:v>
      </x:c>
      <x:c r="M795" s="1" t="n">
        <x:f>IF(OR(NOT(ISNUMBER('School Profile'!$K$4)),NOT(ISNUMBER('School Profile'!$K$5)),NOT(ISNUMBER(F795)),NOT(ISNUMBER(G795))),"",3958.7613*2*ASIN(MIN(1,SQRT(SIN(RADIANS(F795-'School Profile'!$K$4)/2)^2+COS(RADIANS('School Profile'!$K$4))*COS(RADIANS(F795))*SIN(RADIANS(G795-'School Profile'!$K$5)/2)^2))))</x:f>
        <x:v>2.1621989676301387</x:v>
      </x:c>
      <x:c r="N795" s="1" t="str">
        <x:f>IF(AND(H795="Yes",ISNUMBER(M795),M795&lt;=1),COUNTIFS($H$511:$H$1010,"Yes",$M$511:$M$1010,"&lt;"&amp;M795)+COUNTIFS($H$511:H795,"Yes",$M$511:M795,M795),"")</x:f>
      </x:c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</x:row>
    <x:row r="796" ht="22" customHeight="1">
      <x:c r="A796" s="1" t="str">
        <x:v>286</x:v>
      </x:c>
      <x:c r="B796" s="1" t="str">
        <x:v>Our Brother's Place</x:v>
      </x:c>
      <x:c r="C796" s="1" t="str">
        <x:v>907 Hamilton St.</x:v>
      </x:c>
      <x:c r="D796" s="1" t="str">
        <x:v>General Meal Site</x:v>
      </x:c>
      <x:c r="E796" s="1" t="str">
        <x:v>Active</x:v>
      </x:c>
      <x:c r="F796" s="1" t="n">
        <x:v>39.960235730178404</x:v>
      </x:c>
      <x:c r="G796" s="1" t="n">
        <x:v>-75.15447473916689</x:v>
      </x:c>
      <x:c r="H796" s="1" t="str">
        <x:v>No</x:v>
      </x:c>
      <x:c r="I796" s="1" t="str"/>
      <x:c r="J796" s="1" t="str"/>
      <x:c r="K796" s="1" t="str"/>
      <x:c r="L796" s="1" t="str">
        <x:v>https://www.phila.gov/departments/office-of-homeless-services/</x:v>
      </x:c>
      <x:c r="M796" s="1" t="n">
        <x:f>IF(OR(NOT(ISNUMBER('School Profile'!$K$4)),NOT(ISNUMBER('School Profile'!$K$5)),NOT(ISNUMBER(F796)),NOT(ISNUMBER(G796))),"",3958.7613*2*ASIN(MIN(1,SQRT(SIN(RADIANS(F796-'School Profile'!$K$4)/2)^2+COS(RADIANS('School Profile'!$K$4))*COS(RADIANS(F796))*SIN(RADIANS(G796-'School Profile'!$K$5)/2)^2))))</x:f>
        <x:v>8.728322174696237</x:v>
      </x:c>
      <x:c r="N796" s="1" t="str">
        <x:f>IF(AND(H796="Yes",ISNUMBER(M796),M796&lt;=1),COUNTIFS($H$511:$H$1010,"Yes",$M$511:$M$1010,"&lt;"&amp;M796)+COUNTIFS($H$511:H796,"Yes",$M$511:M796,M796),"")</x:f>
      </x:c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</x:row>
    <x:row r="797" ht="22" customHeight="1">
      <x:c r="A797" s="1" t="str">
        <x:v>287</x:v>
      </x:c>
      <x:c r="B797" s="1" t="str">
        <x:v>OCCCDA (Howell St.)</x:v>
      </x:c>
      <x:c r="C797" s="1" t="str">
        <x:v>900 E Howell St</x:v>
      </x:c>
      <x:c r="D797" s="1" t="str">
        <x:v>Food Site</x:v>
      </x:c>
      <x:c r="E797" s="1" t="str">
        <x:v>Active</x:v>
      </x:c>
      <x:c r="F797" s="1" t="n">
        <x:v>40.038290770036454</x:v>
      </x:c>
      <x:c r="G797" s="1" t="n">
        <x:v>-75.09109296972363</x:v>
      </x:c>
      <x:c r="H797" s="1" t="str">
        <x:v>Yes</x:v>
      </x:c>
      <x:c r="I797" s="1" t="str"/>
      <x:c r="J797" s="1" t="str"/>
      <x:c r="K797" s="1" t="str"/>
      <x:c r="L797" s="1" t="str">
        <x:v>https://www.sharefoodprogram.org/</x:v>
      </x:c>
      <x:c r="M797" s="1" t="n">
        <x:f>IF(OR(NOT(ISNUMBER('School Profile'!$K$4)),NOT(ISNUMBER('School Profile'!$K$5)),NOT(ISNUMBER(F797)),NOT(ISNUMBER(G797))),"",3958.7613*2*ASIN(MIN(1,SQRT(SIN(RADIANS(F797-'School Profile'!$K$4)/2)^2+COS(RADIANS('School Profile'!$K$4))*COS(RADIANS(F797))*SIN(RADIANS(G797-'School Profile'!$K$5)/2)^2))))</x:f>
        <x:v>2.378057269715591</x:v>
      </x:c>
      <x:c r="N797" s="1" t="str">
        <x:f>IF(AND(H797="Yes",ISNUMBER(M797),M797&lt;=1),COUNTIFS($H$511:$H$1010,"Yes",$M$511:$M$1010,"&lt;"&amp;M797)+COUNTIFS($H$511:H797,"Yes",$M$511:M797,M797),"")</x:f>
      </x:c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</x:row>
    <x:row r="798" ht="22" customHeight="1">
      <x:c r="A798" s="1" t="str">
        <x:v>288</x:v>
      </x:c>
      <x:c r="B798" s="1" t="str">
        <x:v>Second Antioch Baptist Church</x:v>
      </x:c>
      <x:c r="C798" s="1" t="str">
        <x:v>912 N 41st St</x:v>
      </x:c>
      <x:c r="D798" s="1" t="str">
        <x:v>Food Site</x:v>
      </x:c>
      <x:c r="E798" s="1" t="str">
        <x:v>Active</x:v>
      </x:c>
      <x:c r="F798" s="1" t="n">
        <x:v>39.97080191990225</x:v>
      </x:c>
      <x:c r="G798" s="1" t="n">
        <x:v>-75.2060791397895</x:v>
      </x:c>
      <x:c r="H798" s="1" t="str">
        <x:v>Yes</x:v>
      </x:c>
      <x:c r="I798" s="1" t="str"/>
      <x:c r="J798" s="1" t="str"/>
      <x:c r="K798" s="1" t="str"/>
      <x:c r="L798" s="1" t="str">
        <x:v>https://www.sharefoodprogram.org/</x:v>
      </x:c>
      <x:c r="M798" s="1" t="n">
        <x:f>IF(OR(NOT(ISNUMBER('School Profile'!$K$4)),NOT(ISNUMBER('School Profile'!$K$5)),NOT(ISNUMBER(F798)),NOT(ISNUMBER(G798))),"",3958.7613*2*ASIN(MIN(1,SQRT(SIN(RADIANS(F798-'School Profile'!$K$4)/2)^2+COS(RADIANS('School Profile'!$K$4))*COS(RADIANS(F798))*SIN(RADIANS(G798-'School Profile'!$K$5)/2)^2))))</x:f>
        <x:v>9.949175415511077</x:v>
      </x:c>
      <x:c r="N798" s="1" t="str">
        <x:f>IF(AND(H798="Yes",ISNUMBER(M798),M798&lt;=1),COUNTIFS($H$511:$H$1010,"Yes",$M$511:$M$1010,"&lt;"&amp;M798)+COUNTIFS($H$511:H798,"Yes",$M$511:M798,M798),"")</x:f>
      </x:c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</x:row>
    <x:row r="799" ht="22" customHeight="1">
      <x:c r="A799" s="1" t="str">
        <x:v>289</x:v>
      </x:c>
      <x:c r="B799" s="1" t="str">
        <x:v>The Reid Foundation, Inc. at Always Independent</x:v>
      </x:c>
      <x:c r="C799" s="1" t="str">
        <x:v>9150 Marshall Street</x:v>
      </x:c>
      <x:c r="D799" s="1" t="str">
        <x:v>Food Site</x:v>
      </x:c>
      <x:c r="E799" s="1" t="str">
        <x:v>Active</x:v>
      </x:c>
      <x:c r="F799" s="1" t="n">
        <x:v>40.072409789918794</x:v>
      </x:c>
      <x:c r="G799" s="1" t="n">
        <x:v>-75.03133597970692</x:v>
      </x:c>
      <x:c r="H799" s="1" t="str">
        <x:v>Yes</x:v>
      </x:c>
      <x:c r="I799" s="1" t="str"/>
      <x:c r="J799" s="1" t="str"/>
      <x:c r="K799" s="1" t="str"/>
      <x:c r="L799" s="1" t="str">
        <x:v>https://www.sharefoodprogram.org/</x:v>
      </x:c>
      <x:c r="M799" s="1" t="n">
        <x:f>IF(OR(NOT(ISNUMBER('School Profile'!$K$4)),NOT(ISNUMBER('School Profile'!$K$5)),NOT(ISNUMBER(F799)),NOT(ISNUMBER(G799))),"",3958.7613*2*ASIN(MIN(1,SQRT(SIN(RADIANS(F799-'School Profile'!$K$4)/2)^2+COS(RADIANS('School Profile'!$K$4))*COS(RADIANS(F799))*SIN(RADIANS(G799-'School Profile'!$K$5)/2)^2))))</x:f>
        <x:v>1.871928648594857</x:v>
      </x:c>
      <x:c r="N799" s="1" t="str">
        <x:f>IF(AND(H799="Yes",ISNUMBER(M799),M799&lt;=1),COUNTIFS($H$511:$H$1010,"Yes",$M$511:$M$1010,"&lt;"&amp;M799)+COUNTIFS($H$511:H799,"Yes",$M$511:M799,M799),"")</x:f>
      </x:c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</x:row>
    <x:row r="800" ht="22" customHeight="1">
      <x:c r="A800" s="1" t="str">
        <x:v>290</x:v>
      </x:c>
      <x:c r="B800" s="1" t="str">
        <x:v>New Testament Church of God</x:v>
      </x:c>
      <x:c r="C800" s="1" t="str">
        <x:v>935 S 53rd St</x:v>
      </x:c>
      <x:c r="D800" s="1" t="str">
        <x:v>Food Site</x:v>
      </x:c>
      <x:c r="E800" s="1" t="str">
        <x:v>Active</x:v>
      </x:c>
      <x:c r="F800" s="1" t="n">
        <x:v>39.94560649976146</x:v>
      </x:c>
      <x:c r="G800" s="1" t="n">
        <x:v>-75.22704017979581</x:v>
      </x:c>
      <x:c r="H800" s="1" t="str">
        <x:v>Yes</x:v>
      </x:c>
      <x:c r="I800" s="1" t="str"/>
      <x:c r="J800" s="1" t="str"/>
      <x:c r="K800" s="1" t="str"/>
      <x:c r="L800" s="1" t="str">
        <x:v>https://www.sharefoodprogram.org/</x:v>
      </x:c>
      <x:c r="M800" s="1" t="n">
        <x:f>IF(OR(NOT(ISNUMBER('School Profile'!$K$4)),NOT(ISNUMBER('School Profile'!$K$5)),NOT(ISNUMBER(F800)),NOT(ISNUMBER(G800))),"",3958.7613*2*ASIN(MIN(1,SQRT(SIN(RADIANS(F800-'School Profile'!$K$4)/2)^2+COS(RADIANS('School Profile'!$K$4))*COS(RADIANS(F800))*SIN(RADIANS(G800-'School Profile'!$K$5)/2)^2))))</x:f>
        <x:v>11.950780192377058</x:v>
      </x:c>
      <x:c r="N800" s="1" t="str">
        <x:f>IF(AND(H800="Yes",ISNUMBER(M800),M800&lt;=1),COUNTIFS($H$511:$H$1010,"Yes",$M$511:$M$1010,"&lt;"&amp;M800)+COUNTIFS($H$511:H800,"Yes",$M$511:M800,M800),"")</x:f>
      </x:c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</x:row>
    <x:row r="801" ht="22" customHeight="1">
      <x:c r="A801" s="1" t="str">
        <x:v>291</x:v>
      </x:c>
      <x:c r="B801" s="1" t="str">
        <x:v>Mount Tabor CEED Corporation</x:v>
      </x:c>
      <x:c r="C801" s="1" t="str">
        <x:v>961-971 N 7th St</x:v>
      </x:c>
      <x:c r="D801" s="1" t="str">
        <x:v>Food Site</x:v>
      </x:c>
      <x:c r="E801" s="1" t="str">
        <x:v>Active</x:v>
      </x:c>
      <x:c r="F801" s="1" t="n">
        <x:v>39.968704843091366</x:v>
      </x:c>
      <x:c r="G801" s="1" t="n">
        <x:v>-75.14839757069282</x:v>
      </x:c>
      <x:c r="H801" s="1" t="str">
        <x:v>Yes</x:v>
      </x:c>
      <x:c r="I801" s="1" t="str"/>
      <x:c r="J801" s="1" t="str"/>
      <x:c r="K801" s="1" t="str"/>
      <x:c r="L801" s="1" t="str">
        <x:v>https://www.philabundance.org/</x:v>
      </x:c>
      <x:c r="M801" s="1" t="n">
        <x:f>IF(OR(NOT(ISNUMBER('School Profile'!$K$4)),NOT(ISNUMBER('School Profile'!$K$5)),NOT(ISNUMBER(F801)),NOT(ISNUMBER(G801))),"",3958.7613*2*ASIN(MIN(1,SQRT(SIN(RADIANS(F801-'School Profile'!$K$4)/2)^2+COS(RADIANS('School Profile'!$K$4))*COS(RADIANS(F801))*SIN(RADIANS(G801-'School Profile'!$K$5)/2)^2))))</x:f>
        <x:v>8.061937574272946</x:v>
      </x:c>
      <x:c r="N801" s="1" t="str">
        <x:f>IF(AND(H801="Yes",ISNUMBER(M801),M801&lt;=1),COUNTIFS($H$511:$H$1010,"Yes",$M$511:$M$1010,"&lt;"&amp;M801)+COUNTIFS($H$511:H801,"Yes",$M$511:M801,M801),"")</x:f>
      </x:c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</x:row>
    <x:row r="802" ht="22" customHeight="1">
      <x:c r="A802" s="1" t="str">
        <x:v>292</x:v>
      </x:c>
      <x:c r="B802" s="1" t="str">
        <x:v>Neighborhood Community Action Center 10</x:v>
      </x:c>
      <x:c r="C802" s="1" t="str">
        <x:v>9800 Roosevelt Blvd.</x:v>
      </x:c>
      <x:c r="D802" s="1" t="str">
        <x:v>Public Benefits</x:v>
      </x:c>
      <x:c r="E802" s="1" t="str">
        <x:v>Active</x:v>
      </x:c>
      <x:c r="F802" s="1" t="n">
        <x:v>40.08770917418486</x:v>
      </x:c>
      <x:c r="G802" s="1" t="n">
        <x:v>-75.02253166706575</x:v>
      </x:c>
      <x:c r="H802" s="1" t="str">
        <x:v>No</x:v>
      </x:c>
      <x:c r="I802" s="1" t="str"/>
      <x:c r="J802" s="1" t="str"/>
      <x:c r="K802" s="1" t="str"/>
      <x:c r="L802" s="1" t="str">
        <x:v>https://www.phila.gov/programs/neighborhood-community-action-centers/</x:v>
      </x:c>
      <x:c r="M802" s="1" t="n">
        <x:f>IF(OR(NOT(ISNUMBER('School Profile'!$K$4)),NOT(ISNUMBER('School Profile'!$K$5)),NOT(ISNUMBER(F802)),NOT(ISNUMBER(G802))),"",3958.7613*2*ASIN(MIN(1,SQRT(SIN(RADIANS(F802-'School Profile'!$K$4)/2)^2+COS(RADIANS('School Profile'!$K$4))*COS(RADIANS(F802))*SIN(RADIANS(G802-'School Profile'!$K$5)/2)^2))))</x:f>
        <x:v>2.7121987887548187</x:v>
      </x:c>
      <x:c r="N802" s="1" t="str">
        <x:f>IF(AND(H802="Yes",ISNUMBER(M802),M802&lt;=1),COUNTIFS($H$511:$H$1010,"Yes",$M$511:$M$1010,"&lt;"&amp;M802)+COUNTIFS($H$511:H802,"Yes",$M$511:M802,M802),"")</x:f>
      </x:c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</x:row>
    <x:row r="803" ht="22" customHeight="1">
      <x:c r="A803" s="1" t="str">
        <x:v>293</x:v>
      </x:c>
      <x:c r="B803" s="1" t="str">
        <x:v>Focus Philadelphia</x:v>
      </x:c>
      <x:c r="C803" s="1" t="str">
        <x:v>Aviator Park (1958 Benjamin Franklin Pkwy)</x:v>
      </x:c>
      <x:c r="D803" s="1" t="str">
        <x:v>General Meal Site</x:v>
      </x:c>
      <x:c r="E803" s="1" t="str">
        <x:v>Active</x:v>
      </x:c>
      <x:c r="F803" s="1" t="n">
        <x:v>39.95847623780032</x:v>
      </x:c>
      <x:c r="G803" s="1" t="n">
        <x:v>-75.17155349138227</x:v>
      </x:c>
      <x:c r="H803" s="1" t="str">
        <x:v>No</x:v>
      </x:c>
      <x:c r="I803" s="1" t="str"/>
      <x:c r="J803" s="1" t="str"/>
      <x:c r="K803" s="1" t="str"/>
      <x:c r="L803" s="1" t="str">
        <x:v>https://www.phila.gov/departments/office-of-homeless-services/</x:v>
      </x:c>
      <x:c r="M803" s="1" t="n">
        <x:f>IF(OR(NOT(ISNUMBER('School Profile'!$K$4)),NOT(ISNUMBER('School Profile'!$K$5)),NOT(ISNUMBER(F803)),NOT(ISNUMBER(G803))),"",3958.7613*2*ASIN(MIN(1,SQRT(SIN(RADIANS(F803-'School Profile'!$K$4)/2)^2+COS(RADIANS('School Profile'!$K$4))*COS(RADIANS(F803))*SIN(RADIANS(G803-'School Profile'!$K$5)/2)^2))))</x:f>
        <x:v>9.34191021883451</x:v>
      </x:c>
      <x:c r="N803" s="1" t="str">
        <x:f>IF(AND(H803="Yes",ISNUMBER(M803),M803&lt;=1),COUNTIFS($H$511:$H$1010,"Yes",$M$511:$M$1010,"&lt;"&amp;M803)+COUNTIFS($H$511:H803,"Yes",$M$511:M803,M803),"")</x:f>
      </x:c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</x:row>
    <x:row r="804" ht="22" customHeight="1">
      <x:c r="A804" s="1" t="str">
        <x:v>294</x:v>
      </x:c>
      <x:c r="B804" s="1" t="str">
        <x:v>La Salle College High School</x:v>
      </x:c>
      <x:c r="C804" s="1" t="str">
        <x:v>Benjamin Franklin Parkway and Vine St. (Logan Square next to Pennypacker Memorial)</x:v>
      </x:c>
      <x:c r="D804" s="1" t="str">
        <x:v>General Meal Site</x:v>
      </x:c>
      <x:c r="E804" s="1" t="str">
        <x:v>Active</x:v>
      </x:c>
      <x:c r="F804" s="1" t="n">
        <x:v>39.95930793717386</x:v>
      </x:c>
      <x:c r="G804" s="1" t="n">
        <x:v>-75.17235171817406</x:v>
      </x:c>
      <x:c r="H804" s="1" t="str">
        <x:v>No</x:v>
      </x:c>
      <x:c r="I804" s="1" t="str"/>
      <x:c r="J804" s="1" t="str"/>
      <x:c r="K804" s="1" t="str"/>
      <x:c r="L804" s="1" t="str">
        <x:v>https://www.phila.gov/departments/office-of-homeless-services/</x:v>
      </x:c>
      <x:c r="M804" s="1" t="n">
        <x:f>IF(OR(NOT(ISNUMBER('School Profile'!$K$4)),NOT(ISNUMBER('School Profile'!$K$5)),NOT(ISNUMBER(F804)),NOT(ISNUMBER(G804))),"",3958.7613*2*ASIN(MIN(1,SQRT(SIN(RADIANS(F804-'School Profile'!$K$4)/2)^2+COS(RADIANS('School Profile'!$K$4))*COS(RADIANS(F804))*SIN(RADIANS(G804-'School Profile'!$K$5)/2)^2))))</x:f>
        <x:v>9.321343043989046</x:v>
      </x:c>
      <x:c r="N804" s="1" t="str">
        <x:f>IF(AND(H804="Yes",ISNUMBER(M804),M804&lt;=1),COUNTIFS($H$511:$H$1010,"Yes",$M$511:$M$1010,"&lt;"&amp;M804)+COUNTIFS($H$511:H804,"Yes",$M$511:M804,M804),"")</x:f>
      </x:c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</x:row>
    <x:row r="805" ht="22" customHeight="1">
      <x:c r="A805" s="1" t="str">
        <x:v>295</x:v>
      </x:c>
      <x:c r="B805" s="1" t="str">
        <x:v>There's Hope</x:v>
      </x:c>
      <x:c r="C805" s="1" t="str">
        <x:v>Kensington Ave. and E. Hilton St.</x:v>
      </x:c>
      <x:c r="D805" s="1" t="str">
        <x:v>General Meal Site</x:v>
      </x:c>
      <x:c r="E805" s="1" t="str">
        <x:v>Active</x:v>
      </x:c>
      <x:c r="F805" s="1" t="n">
        <x:v>39.99688702588757</x:v>
      </x:c>
      <x:c r="G805" s="1" t="n">
        <x:v>-75.11274087866417</x:v>
      </x:c>
      <x:c r="H805" s="1" t="str">
        <x:v>No</x:v>
      </x:c>
      <x:c r="I805" s="1" t="str"/>
      <x:c r="J805" s="1" t="str"/>
      <x:c r="K805" s="1" t="str"/>
      <x:c r="L805" s="1" t="str">
        <x:v>https://www.phila.gov/departments/office-of-homeless-services/</x:v>
      </x:c>
      <x:c r="M805" s="1" t="n">
        <x:f>IF(OR(NOT(ISNUMBER('School Profile'!$K$4)),NOT(ISNUMBER('School Profile'!$K$5)),NOT(ISNUMBER(F805)),NOT(ISNUMBER(G805))),"",3958.7613*2*ASIN(MIN(1,SQRT(SIN(RADIANS(F805-'School Profile'!$K$4)/2)^2+COS(RADIANS('School Profile'!$K$4))*COS(RADIANS(F805))*SIN(RADIANS(G805-'School Profile'!$K$5)/2)^2))))</x:f>
        <x:v>5.429650448340534</x:v>
      </x:c>
      <x:c r="N805" s="1" t="str">
        <x:f>IF(AND(H805="Yes",ISNUMBER(M805),M805&lt;=1),COUNTIFS($H$511:$H$1010,"Yes",$M$511:$M$1010,"&lt;"&amp;M805)+COUNTIFS($H$511:H805,"Yes",$M$511:M805,M805),"")</x:f>
      </x:c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</x:row>
    <x:row r="806" ht="22" customHeight="1">
      <x:c r="A806" s="1" t="str">
        <x:v>296</x:v>
      </x:c>
      <x:c r="B806" s="1" t="str">
        <x:v>The Table - Calvary Vision</x:v>
      </x:c>
      <x:c r="C806" s="1" t="str">
        <x:v>Kensington Ave. and E. Sergeant St.</x:v>
      </x:c>
      <x:c r="D806" s="1" t="str">
        <x:v>General Meal Site</x:v>
      </x:c>
      <x:c r="E806" s="1" t="str">
        <x:v>Active</x:v>
      </x:c>
      <x:c r="F806" s="1" t="n">
        <x:v>39.98817403785241</x:v>
      </x:c>
      <x:c r="G806" s="1" t="n">
        <x:v>-75.12847790267962</x:v>
      </x:c>
      <x:c r="H806" s="1" t="str">
        <x:v>No</x:v>
      </x:c>
      <x:c r="I806" s="1" t="str"/>
      <x:c r="J806" s="1" t="str"/>
      <x:c r="K806" s="1" t="str"/>
      <x:c r="L806" s="1" t="str">
        <x:v>https://www.phila.gov/departments/office-of-homeless-services/</x:v>
      </x:c>
      <x:c r="M806" s="1" t="n">
        <x:f>IF(OR(NOT(ISNUMBER('School Profile'!$K$4)),NOT(ISNUMBER('School Profile'!$K$5)),NOT(ISNUMBER(F806)),NOT(ISNUMBER(G806))),"",3958.7613*2*ASIN(MIN(1,SQRT(SIN(RADIANS(F806-'School Profile'!$K$4)/2)^2+COS(RADIANS('School Profile'!$K$4))*COS(RADIANS(F806))*SIN(RADIANS(G806-'School Profile'!$K$5)/2)^2))))</x:f>
        <x:v>6.3621135226191825</x:v>
      </x:c>
      <x:c r="N806" s="1" t="str">
        <x:f>IF(AND(H806="Yes",ISNUMBER(M806),M806&lt;=1),COUNTIFS($H$511:$H$1010,"Yes",$M$511:$M$1010,"&lt;"&amp;M806)+COUNTIFS($H$511:H806,"Yes",$M$511:M806,M806),"")</x:f>
      </x:c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</x:row>
    <x:row r="807" ht="22" customHeight="1">
      <x:c r="A807" s="1" t="str">
        <x:v>297</x:v>
      </x:c>
      <x:c r="B807" s="1" t="str">
        <x:v>Feeding 5,000 a NJ Non-Profit Corp</x:v>
      </x:c>
      <x:c r="C807" s="1" t="str">
        <x:v>Logan Square (200 N 19th St.)</x:v>
      </x:c>
      <x:c r="D807" s="1" t="str">
        <x:v>General Meal Site</x:v>
      </x:c>
      <x:c r="E807" s="1" t="str">
        <x:v>Active</x:v>
      </x:c>
      <x:c r="F807" s="1" t="n">
        <x:v>39.958589976699976</x:v>
      </x:c>
      <x:c r="G807" s="1" t="n">
        <x:v>-75.17053859004564</x:v>
      </x:c>
      <x:c r="H807" s="1" t="str">
        <x:v>No</x:v>
      </x:c>
      <x:c r="I807" s="1" t="str"/>
      <x:c r="J807" s="1" t="str"/>
      <x:c r="K807" s="1" t="str"/>
      <x:c r="L807" s="1" t="str">
        <x:v>https://www.phila.gov/departments/office-of-homeless-services/</x:v>
      </x:c>
      <x:c r="M807" s="1" t="n">
        <x:f>IF(OR(NOT(ISNUMBER('School Profile'!$K$4)),NOT(ISNUMBER('School Profile'!$K$5)),NOT(ISNUMBER(F807)),NOT(ISNUMBER(G807))),"",3958.7613*2*ASIN(MIN(1,SQRT(SIN(RADIANS(F807-'School Profile'!$K$4)/2)^2+COS(RADIANS('School Profile'!$K$4))*COS(RADIANS(F807))*SIN(RADIANS(G807-'School Profile'!$K$5)/2)^2))))</x:f>
        <x:v>9.30356998742778</x:v>
      </x:c>
      <x:c r="N807" s="1" t="str">
        <x:f>IF(AND(H807="Yes",ISNUMBER(M807),M807&lt;=1),COUNTIFS($H$511:$H$1010,"Yes",$M$511:$M$1010,"&lt;"&amp;M807)+COUNTIFS($H$511:H807,"Yes",$M$511:M807,M807),"")</x:f>
      </x:c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</x:row>
    <x:row r="808" ht="22" customHeight="1">
      <x:c r="A808" s="1" t="str">
        <x:v>298</x:v>
      </x:c>
      <x:c r="B808" s="1" t="str">
        <x:v>Beulah Baptist Church</x:v>
      </x:c>
      <x:c r="C808" s="1" t="str">
        <x:v>Love Park (JFK Blvd and N 15th St.)</x:v>
      </x:c>
      <x:c r="D808" s="1" t="str">
        <x:v>General Meal Site</x:v>
      </x:c>
      <x:c r="E808" s="1" t="str">
        <x:v>Active</x:v>
      </x:c>
      <x:c r="F808" s="1" t="n">
        <x:v>39.9536090393055</x:v>
      </x:c>
      <x:c r="G808" s="1" t="n">
        <x:v>-75.16505887489733</x:v>
      </x:c>
      <x:c r="H808" s="1" t="str">
        <x:v>No</x:v>
      </x:c>
      <x:c r="I808" s="1" t="str"/>
      <x:c r="J808" s="1" t="str"/>
      <x:c r="K808" s="1" t="str"/>
      <x:c r="L808" s="1" t="str">
        <x:v>https://www.phila.gov/departments/office-of-homeless-services/</x:v>
      </x:c>
      <x:c r="M808" s="1" t="n">
        <x:f>IF(OR(NOT(ISNUMBER('School Profile'!$K$4)),NOT(ISNUMBER('School Profile'!$K$5)),NOT(ISNUMBER(F808)),NOT(ISNUMBER(G808))),"",3958.7613*2*ASIN(MIN(1,SQRT(SIN(RADIANS(F808-'School Profile'!$K$4)/2)^2+COS(RADIANS('School Profile'!$K$4))*COS(RADIANS(F808))*SIN(RADIANS(G808-'School Profile'!$K$5)/2)^2))))</x:f>
        <x:v>9.418079848514658</x:v>
      </x:c>
      <x:c r="N808" s="1" t="str">
        <x:f>IF(AND(H808="Yes",ISNUMBER(M808),M808&lt;=1),COUNTIFS($H$511:$H$1010,"Yes",$M$511:$M$1010,"&lt;"&amp;M808)+COUNTIFS($H$511:H808,"Yes",$M$511:M808,M808),"")</x:f>
      </x:c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</x:row>
    <x:row r="809" ht="22" customHeight="1">
      <x:c r="A809" s="1" t="str">
        <x:v>299</x:v>
      </x:c>
      <x:c r="B809" s="1" t="str">
        <x:v>St. Christopher's Hospital WIC Office</x:v>
      </x:c>
      <x:c r="C809" s="1" t="str">
        <x:v>Nelson Pavilion Bldg., 160 Erie Ave.</x:v>
      </x:c>
      <x:c r="D809" s="1" t="str">
        <x:v>Public Benefits</x:v>
      </x:c>
      <x:c r="E809" s="1" t="str">
        <x:v>Active</x:v>
      </x:c>
      <x:c r="F809" s="1" t="n">
        <x:v>40.00606390029686</x:v>
      </x:c>
      <x:c r="G809" s="1" t="n">
        <x:v>-75.1270184799061</x:v>
      </x:c>
      <x:c r="H809" s="1" t="str">
        <x:v>No</x:v>
      </x:c>
      <x:c r="I809" s="1" t="str"/>
      <x:c r="J809" s="1" t="str"/>
      <x:c r="K809" s="1" t="str"/>
      <x:c r="L809" s="1" t="str">
        <x:v>https://www.facebook.com/PhiladelphiaWICProgram/</x:v>
      </x:c>
      <x:c r="M809" s="1" t="n">
        <x:f>IF(OR(NOT(ISNUMBER('School Profile'!$K$4)),NOT(ISNUMBER('School Profile'!$K$5)),NOT(ISNUMBER(F809)),NOT(ISNUMBER(G809))),"",3958.7613*2*ASIN(MIN(1,SQRT(SIN(RADIANS(F809-'School Profile'!$K$4)/2)^2+COS(RADIANS('School Profile'!$K$4))*COS(RADIANS(F809))*SIN(RADIANS(G809-'School Profile'!$K$5)/2)^2))))</x:f>
        <x:v>5.297147064641728</x:v>
      </x:c>
      <x:c r="N809" s="1" t="str">
        <x:f>IF(AND(H809="Yes",ISNUMBER(M809),M809&lt;=1),COUNTIFS($H$511:$H$1010,"Yes",$M$511:$M$1010,"&lt;"&amp;M809)+COUNTIFS($H$511:H809,"Yes",$M$511:M809,M809),"")</x:f>
      </x:c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</x:row>
    <x:row r="810" ht="22" customHeight="1">
      <x:c r="A810" s="1" t="str">
        <x:v>300</x:v>
      </x:c>
      <x:c r="B810" s="1" t="str">
        <x:v>Bread of Life</x:v>
      </x:c>
      <x:c r="C810" s="1" t="str">
        <x:v>North 17th St. and Benjamin Franklin Parkway</x:v>
      </x:c>
      <x:c r="D810" s="1" t="str">
        <x:v>General Meal Site</x:v>
      </x:c>
      <x:c r="E810" s="1" t="str">
        <x:v>Active</x:v>
      </x:c>
      <x:c r="F810" s="1" t="n">
        <x:v>39.955820142941946</x:v>
      </x:c>
      <x:c r="G810" s="1" t="n">
        <x:v>-75.1678290941806</x:v>
      </x:c>
      <x:c r="H810" s="1" t="str">
        <x:v>No</x:v>
      </x:c>
      <x:c r="I810" s="1" t="str"/>
      <x:c r="J810" s="1" t="str"/>
      <x:c r="K810" s="1" t="str"/>
      <x:c r="L810" s="1" t="str">
        <x:v>https://www.phila.gov/departments/office-of-homeless-services/</x:v>
      </x:c>
      <x:c r="M810" s="1" t="n">
        <x:f>IF(OR(NOT(ISNUMBER('School Profile'!$K$4)),NOT(ISNUMBER('School Profile'!$K$5)),NOT(ISNUMBER(F810)),NOT(ISNUMBER(G810))),"",3958.7613*2*ASIN(MIN(1,SQRT(SIN(RADIANS(F810-'School Profile'!$K$4)/2)^2+COS(RADIANS('School Profile'!$K$4))*COS(RADIANS(F810))*SIN(RADIANS(G810-'School Profile'!$K$5)/2)^2))))</x:f>
        <x:v>9.375016813942834</x:v>
      </x:c>
      <x:c r="N810" s="1" t="str">
        <x:f>IF(AND(H810="Yes",ISNUMBER(M810),M810&lt;=1),COUNTIFS($H$511:$H$1010,"Yes",$M$511:$M$1010,"&lt;"&amp;M810)+COUNTIFS($H$511:H810,"Yes",$M$511:M810,M810),"")</x:f>
      </x:c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</x:row>
    <x:row r="811" ht="22" customHeight="1">
      <x:c r="A811" s="1" t="str">
        <x:v>301</x:v>
      </x:c>
      <x:c r="B811" s="1" t="str">
        <x:v>Keeping It Real Christian Fellowship Bread of Life Ministry</x:v>
      </x:c>
      <x:c r="C811" s="1" t="str">
        <x:v>North 17th St. and Benjamin Franklin Parkway
</x:v>
      </x:c>
      <x:c r="D811" s="1" t="str">
        <x:v>General Meal Site</x:v>
      </x:c>
      <x:c r="E811" s="1" t="str">
        <x:v>Active</x:v>
      </x:c>
      <x:c r="F811" s="1" t="n">
        <x:v>39.955820142941946</x:v>
      </x:c>
      <x:c r="G811" s="1" t="n">
        <x:v>-75.1678290941806</x:v>
      </x:c>
      <x:c r="H811" s="1" t="str">
        <x:v>No</x:v>
      </x:c>
      <x:c r="I811" s="1" t="str"/>
      <x:c r="J811" s="1" t="str"/>
      <x:c r="K811" s="1" t="str"/>
      <x:c r="L811" s="1" t="str">
        <x:v>https://www.phila.gov/departments/office-of-homeless-services/</x:v>
      </x:c>
      <x:c r="M811" s="1" t="n">
        <x:f>IF(OR(NOT(ISNUMBER('School Profile'!$K$4)),NOT(ISNUMBER('School Profile'!$K$5)),NOT(ISNUMBER(F811)),NOT(ISNUMBER(G811))),"",3958.7613*2*ASIN(MIN(1,SQRT(SIN(RADIANS(F811-'School Profile'!$K$4)/2)^2+COS(RADIANS('School Profile'!$K$4))*COS(RADIANS(F811))*SIN(RADIANS(G811-'School Profile'!$K$5)/2)^2))))</x:f>
        <x:v>9.375016813942834</x:v>
      </x:c>
      <x:c r="N811" s="1" t="str">
        <x:f>IF(AND(H811="Yes",ISNUMBER(M811),M811&lt;=1),COUNTIFS($H$511:$H$1010,"Yes",$M$511:$M$1010,"&lt;"&amp;M811)+COUNTIFS($H$511:H811,"Yes",$M$511:M811,M811),"")</x:f>
      </x:c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</x:row>
    <x:row r="812" ht="22" customHeight="1">
      <x:c r="A812" s="1" t="str">
        <x:v>302</x:v>
      </x:c>
      <x:c r="B812" s="1" t="str">
        <x:v>Old St. Joseph's Faith, Food and Friends
</x:v>
      </x:c>
      <x:c r="C812" s="1" t="str">
        <x:v>Northeast Corner of 4th St. and Walnut St.</x:v>
      </x:c>
      <x:c r="D812" s="1" t="str">
        <x:v>General Meal Site</x:v>
      </x:c>
      <x:c r="E812" s="1" t="str">
        <x:v>Active</x:v>
      </x:c>
      <x:c r="F812" s="1" t="n">
        <x:v>39.94657906015389</x:v>
      </x:c>
      <x:c r="G812" s="1" t="n">
        <x:v>-75.14759175044192</x:v>
      </x:c>
      <x:c r="H812" s="1" t="str">
        <x:v>No</x:v>
      </x:c>
      <x:c r="I812" s="1" t="str"/>
      <x:c r="J812" s="1" t="str"/>
      <x:c r="K812" s="1" t="str"/>
      <x:c r="L812" s="1" t="str">
        <x:v>https://www.phila.gov/departments/office-of-homeless-services/</x:v>
      </x:c>
      <x:c r="M812" s="1" t="n">
        <x:f>IF(OR(NOT(ISNUMBER('School Profile'!$K$4)),NOT(ISNUMBER('School Profile'!$K$5)),NOT(ISNUMBER(F812)),NOT(ISNUMBER(G812))),"",3958.7613*2*ASIN(MIN(1,SQRT(SIN(RADIANS(F812-'School Profile'!$K$4)/2)^2+COS(RADIANS('School Profile'!$K$4))*COS(RADIANS(F812))*SIN(RADIANS(G812-'School Profile'!$K$5)/2)^2))))</x:f>
        <x:v>9.36480828000976</x:v>
      </x:c>
      <x:c r="N812" s="1" t="str">
        <x:f>IF(AND(H812="Yes",ISNUMBER(M812),M812&lt;=1),COUNTIFS($H$511:$H$1010,"Yes",$M$511:$M$1010,"&lt;"&amp;M812)+COUNTIFS($H$511:H812,"Yes",$M$511:M812,M812),"")</x:f>
      </x:c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</x:row>
    <x:row r="813" ht="22" customHeight="1">
      <x:c r="A813" s="1" t="str">
        <x:v>303</x:v>
      </x:c>
      <x:c r="B813" s="1" t="str">
        <x:v>Frankford High School</x:v>
      </x:c>
      <x:c r="C813" s="1" t="str">
        <x:v>Oakland St. &amp; Harrison St.</x:v>
      </x:c>
      <x:c r="D813" s="1" t="str">
        <x:v>Food Site</x:v>
      </x:c>
      <x:c r="E813" s="1" t="str">
        <x:v>Active</x:v>
      </x:c>
      <x:c r="F813" s="1" t="n">
        <x:v>40.02147605194537</x:v>
      </x:c>
      <x:c r="G813" s="1" t="n">
        <x:v>-75.08634894874189</x:v>
      </x:c>
      <x:c r="H813" s="1" t="str">
        <x:v>Yes</x:v>
      </x:c>
      <x:c r="I813" s="1" t="str"/>
      <x:c r="J813" s="1" t="str"/>
      <x:c r="K813" s="1" t="str"/>
      <x:c r="L813" s="1" t="str">
        <x:v>https://www.philabundance.org/</x:v>
      </x:c>
      <x:c r="M813" s="1" t="n">
        <x:f>IF(OR(NOT(ISNUMBER('School Profile'!$K$4)),NOT(ISNUMBER('School Profile'!$K$5)),NOT(ISNUMBER(F813)),NOT(ISNUMBER(G813))),"",3958.7613*2*ASIN(MIN(1,SQRT(SIN(RADIANS(F813-'School Profile'!$K$4)/2)^2+COS(RADIANS('School Profile'!$K$4))*COS(RADIANS(F813))*SIN(RADIANS(G813-'School Profile'!$K$5)/2)^2))))</x:f>
        <x:v>3.314439305438265</x:v>
      </x:c>
      <x:c r="N813" s="1" t="str">
        <x:f>IF(AND(H813="Yes",ISNUMBER(M813),M813&lt;=1),COUNTIFS($H$511:$H$1010,"Yes",$M$511:$M$1010,"&lt;"&amp;M813)+COUNTIFS($H$511:H813,"Yes",$M$511:M813,M813),"")</x:f>
      </x:c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</x:row>
    <x:row r="814" ht="22" customHeight="1">
      <x:c r="A814" s="1" t="str">
        <x:v>304</x:v>
      </x:c>
      <x:c r="B814" s="1" t="str">
        <x:v>Overbrook WIC Office</x:v>
      </x:c>
      <x:c r="C814" s="1" t="str">
        <x:v>Overbrook Plaza, #1400, 5610 Lancaster Ave.</x:v>
      </x:c>
      <x:c r="D814" s="1" t="str">
        <x:v>Public Benefits</x:v>
      </x:c>
      <x:c r="E814" s="1" t="str">
        <x:v>Active</x:v>
      </x:c>
      <x:c r="F814" s="1" t="n">
        <x:v>39.97956560028115</x:v>
      </x:c>
      <x:c r="G814" s="1" t="n">
        <x:v>-75.23489214977671</x:v>
      </x:c>
      <x:c r="H814" s="1" t="str">
        <x:v>No</x:v>
      </x:c>
      <x:c r="I814" s="1" t="str"/>
      <x:c r="J814" s="1" t="str"/>
      <x:c r="K814" s="1" t="str"/>
      <x:c r="L814" s="1" t="str">
        <x:v>https://www.facebook.com/PhiladelphiaWICProgram/</x:v>
      </x:c>
      <x:c r="M814" s="1" t="n">
        <x:f>IF(OR(NOT(ISNUMBER('School Profile'!$K$4)),NOT(ISNUMBER('School Profile'!$K$5)),NOT(ISNUMBER(F814)),NOT(ISNUMBER(G814))),"",3958.7613*2*ASIN(MIN(1,SQRT(SIN(RADIANS(F814-'School Profile'!$K$4)/2)^2+COS(RADIANS('School Profile'!$K$4))*COS(RADIANS(F814))*SIN(RADIANS(G814-'School Profile'!$K$5)/2)^2))))</x:f>
        <x:v>10.7812252642761</x:v>
      </x:c>
      <x:c r="N814" s="1" t="str">
        <x:f>IF(AND(H814="Yes",ISNUMBER(M814),M814&lt;=1),COUNTIFS($H$511:$H$1010,"Yes",$M$511:$M$1010,"&lt;"&amp;M814)+COUNTIFS($H$511:H814,"Yes",$M$511:M814,M814),"")</x:f>
      </x:c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</x:row>
    <x:row r="815" ht="22" customHeight="1">
      <x:c r="A815" s="1" t="str">
        <x:v>305</x:v>
      </x:c>
      <x:c r="B815" s="1" t="str">
        <x:v>Germantown SDA Church</x:v>
      </x:c>
      <x:c r="C815" s="1" t="str">
        <x:v>W Chelten Ave. and Wayne Ave.</x:v>
      </x:c>
      <x:c r="D815" s="1" t="str">
        <x:v>Food Site</x:v>
      </x:c>
      <x:c r="E815" s="1" t="str">
        <x:v>Active</x:v>
      </x:c>
      <x:c r="F815" s="1" t="n">
        <x:v>40.03175402508556</x:v>
      </x:c>
      <x:c r="G815" s="1" t="n">
        <x:v>-75.17891491474272</x:v>
      </x:c>
      <x:c r="H815" s="1" t="str">
        <x:v>Yes</x:v>
      </x:c>
      <x:c r="I815" s="1" t="str"/>
      <x:c r="J815" s="1" t="str"/>
      <x:c r="K815" s="1" t="str"/>
      <x:c r="L815" s="1" t="str">
        <x:v>https://www.philabundance.org/</x:v>
      </x:c>
      <x:c r="M815" s="1" t="n">
        <x:f>IF(OR(NOT(ISNUMBER('School Profile'!$K$4)),NOT(ISNUMBER('School Profile'!$K$5)),NOT(ISNUMBER(F815)),NOT(ISNUMBER(G815))),"",3958.7613*2*ASIN(MIN(1,SQRT(SIN(RADIANS(F815-'School Profile'!$K$4)/2)^2+COS(RADIANS('School Profile'!$K$4))*COS(RADIANS(F815))*SIN(RADIANS(G815-'School Profile'!$K$5)/2)^2))))</x:f>
        <x:v>6.446246075421145</x:v>
      </x:c>
      <x:c r="N815" s="1" t="str">
        <x:f>IF(AND(H815="Yes",ISNUMBER(M815),M815&lt;=1),COUNTIFS($H$511:$H$1010,"Yes",$M$511:$M$1010,"&lt;"&amp;M815)+COUNTIFS($H$511:H815,"Yes",$M$511:M815,M815),"")</x:f>
      </x:c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</x:row>
    <x:row r="816" ht="22" customHeight="1">
      <x:c r="A816" s="1" t="str">
        <x:v>306</x:v>
      </x:c>
      <x:c r="B816" s="1" t="str">
        <x:v>Hub of Hope</x:v>
      </x:c>
      <x:c r="C816" s="1" t="str">
        <x:v>1401 JFK Pkway, Suburban Station Concourse (lower level)</x:v>
      </x:c>
      <x:c r="D816" s="1" t="str">
        <x:v>General Meal Site</x:v>
      </x:c>
      <x:c r="E816" s="1" t="str">
        <x:v>Active</x:v>
      </x:c>
      <x:c r="F816" s="1" t="n">
        <x:v>39.9542082096754</x:v>
      </x:c>
      <x:c r="G816" s="1" t="n">
        <x:v>-75.16444510008115</x:v>
      </x:c>
      <x:c r="H816" s="1" t="str">
        <x:v>No</x:v>
      </x:c>
      <x:c r="I816" s="1" t="str"/>
      <x:c r="J816" s="1" t="str"/>
      <x:c r="K816" s="1" t="str"/>
      <x:c r="L816" s="1" t="str"/>
      <x:c r="M816" s="1" t="n">
        <x:f>IF(OR(NOT(ISNUMBER('School Profile'!$K$4)),NOT(ISNUMBER('School Profile'!$K$5)),NOT(ISNUMBER(F816)),NOT(ISNUMBER(G816))),"",3958.7613*2*ASIN(MIN(1,SQRT(SIN(RADIANS(F816-'School Profile'!$K$4)/2)^2+COS(RADIANS('School Profile'!$K$4))*COS(RADIANS(F816))*SIN(RADIANS(G816-'School Profile'!$K$5)/2)^2))))</x:f>
        <x:v>9.365595053794173</x:v>
      </x:c>
      <x:c r="N816" s="1" t="str">
        <x:f>IF(AND(H816="Yes",ISNUMBER(M816),M816&lt;=1),COUNTIFS($H$511:$H$1010,"Yes",$M$511:$M$1010,"&lt;"&amp;M816)+COUNTIFS($H$511:H816,"Yes",$M$511:M816,M816),"")</x:f>
      </x:c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</x:row>
    <x:row r="817" ht="22" customHeight="1">
      <x:c r="A817" s="1" t="str">
        <x:v>307</x:v>
      </x:c>
      <x:c r="B817" s="1" t="str">
        <x:v>Church of the Holy Trinity, Open Hearts Cafe</x:v>
      </x:c>
      <x:c r="C817" s="1" t="str">
        <x:v>1904 Walnut St</x:v>
      </x:c>
      <x:c r="D817" s="1" t="str">
        <x:v>General Meal Site</x:v>
      </x:c>
      <x:c r="E817" s="1" t="str">
        <x:v>Active</x:v>
      </x:c>
      <x:c r="F817" s="1" t="n">
        <x:v>39.95032970996495</x:v>
      </x:c>
      <x:c r="G817" s="1" t="n">
        <x:v>-75.17324104042386</x:v>
      </x:c>
      <x:c r="H817" s="1" t="str">
        <x:v>No</x:v>
      </x:c>
      <x:c r="I817" s="1" t="str"/>
      <x:c r="J817" s="1" t="str"/>
      <x:c r="K817" s="1" t="str"/>
      <x:c r="L817" s="1" t="str">
        <x:v>https://www.phila.gov/departments/office-of-homeless-services/</x:v>
      </x:c>
      <x:c r="M817" s="1" t="n">
        <x:f>IF(OR(NOT(ISNUMBER('School Profile'!$K$4)),NOT(ISNUMBER('School Profile'!$K$5)),NOT(ISNUMBER(F817)),NOT(ISNUMBER(G817))),"",3958.7613*2*ASIN(MIN(1,SQRT(SIN(RADIANS(F817-'School Profile'!$K$4)/2)^2+COS(RADIANS('School Profile'!$K$4))*COS(RADIANS(F817))*SIN(RADIANS(G817-'School Profile'!$K$5)/2)^2))))</x:f>
        <x:v>9.850207820772802</x:v>
      </x:c>
      <x:c r="N817" s="1" t="str">
        <x:f>IF(AND(H817="Yes",ISNUMBER(M817),M817&lt;=1),COUNTIFS($H$511:$H$1010,"Yes",$M$511:$M$1010,"&lt;"&amp;M817)+COUNTIFS($H$511:H817,"Yes",$M$511:M817,M817),"")</x:f>
      </x:c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</x:row>
    <x:row r="818" ht="22" customHeight="1">
      <x:c r="A818" s="1" t="str">
        <x:v>308</x:v>
      </x:c>
      <x:c r="B818" s="1" t="str">
        <x:v>Chosen 300</x:v>
      </x:c>
      <x:c r="C818" s="1" t="str">
        <x:v>1116 Spring Garden St.</x:v>
      </x:c>
      <x:c r="D818" s="1" t="str">
        <x:v>General Meal Site</x:v>
      </x:c>
      <x:c r="E818" s="1" t="str">
        <x:v>Active</x:v>
      </x:c>
      <x:c r="F818" s="1" t="n">
        <x:v>39.96154726008432</x:v>
      </x:c>
      <x:c r="G818" s="1" t="n">
        <x:v>-75.15689482030524</x:v>
      </x:c>
      <x:c r="H818" s="1" t="str">
        <x:v>No</x:v>
      </x:c>
      <x:c r="I818" s="1" t="str"/>
      <x:c r="J818" s="1" t="str"/>
      <x:c r="K818" s="1" t="str"/>
      <x:c r="L818" s="1" t="str">
        <x:v>https://www.phila.gov/departments/office-of-homeless-services/</x:v>
      </x:c>
      <x:c r="M818" s="1" t="n">
        <x:f>IF(OR(NOT(ISNUMBER('School Profile'!$K$4)),NOT(ISNUMBER('School Profile'!$K$5)),NOT(ISNUMBER(F818)),NOT(ISNUMBER(G818))),"",3958.7613*2*ASIN(MIN(1,SQRT(SIN(RADIANS(F818-'School Profile'!$K$4)/2)^2+COS(RADIANS('School Profile'!$K$4))*COS(RADIANS(F818))*SIN(RADIANS(G818-'School Profile'!$K$5)/2)^2))))</x:f>
        <x:v>8.721940054857685</x:v>
      </x:c>
      <x:c r="N818" s="1" t="str">
        <x:f>IF(AND(H818="Yes",ISNUMBER(M818),M818&lt;=1),COUNTIFS($H$511:$H$1010,"Yes",$M$511:$M$1010,"&lt;"&amp;M818)+COUNTIFS($H$511:H818,"Yes",$M$511:M818,M818),"")</x:f>
      </x:c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</x:row>
    <x:row r="819" ht="22" customHeight="1">
      <x:c r="A819" s="1" t="str">
        <x:v>309</x:v>
      </x:c>
      <x:c r="B819" s="1" t="str">
        <x:v>Lutheran Settlement House</x:v>
      </x:c>
      <x:c r="C819" s="1" t="str">
        <x:v>1340 Frankford Ave</x:v>
      </x:c>
      <x:c r="D819" s="1" t="str">
        <x:v>Food Site</x:v>
      </x:c>
      <x:c r="E819" s="1" t="str">
        <x:v>Active</x:v>
      </x:c>
      <x:c r="F819" s="1" t="n">
        <x:v>39.971373830326755</x:v>
      </x:c>
      <x:c r="G819" s="1" t="n">
        <x:v>-75.13459285968445</x:v>
      </x:c>
      <x:c r="H819" s="1" t="str">
        <x:v>Yes</x:v>
      </x:c>
      <x:c r="I819" s="1" t="str"/>
      <x:c r="J819" s="1" t="str"/>
      <x:c r="K819" s="1" t="str"/>
      <x:c r="L819" s="1" t="str">
        <x:v>https://www.philabundance.org/</x:v>
      </x:c>
      <x:c r="M819" s="1" t="n">
        <x:f>IF(OR(NOT(ISNUMBER('School Profile'!$K$4)),NOT(ISNUMBER('School Profile'!$K$5)),NOT(ISNUMBER(F819)),NOT(ISNUMBER(G819))),"",3958.7613*2*ASIN(MIN(1,SQRT(SIN(RADIANS(F819-'School Profile'!$K$4)/2)^2+COS(RADIANS('School Profile'!$K$4))*COS(RADIANS(F819))*SIN(RADIANS(G819-'School Profile'!$K$5)/2)^2))))</x:f>
        <x:v>7.529276685543088</x:v>
      </x:c>
      <x:c r="N819" s="1" t="str">
        <x:f>IF(AND(H819="Yes",ISNUMBER(M819),M819&lt;=1),COUNTIFS($H$511:$H$1010,"Yes",$M$511:$M$1010,"&lt;"&amp;M819)+COUNTIFS($H$511:H819,"Yes",$M$511:M819,M819),"")</x:f>
      </x:c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</x:row>
    <x:row r="820" ht="22" customHeight="1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 t="str">
        <x:f>IF(OR(NOT(ISNUMBER('School Profile'!$K$4)),NOT(ISNUMBER('School Profile'!$K$5)),NOT(ISNUMBER(F820)),NOT(ISNUMBER(G820))),"",3958.7613*2*ASIN(MIN(1,SQRT(SIN(RADIANS(F820-'School Profile'!$K$4)/2)^2+COS(RADIANS('School Profile'!$K$4))*COS(RADIANS(F820))*SIN(RADIANS(G820-'School Profile'!$K$5)/2)^2))))</x:f>
      </x:c>
      <x:c r="N820" s="1" t="str">
        <x:f>IF(AND(H820="Yes",ISNUMBER(M820),M820&lt;=1),COUNTIFS($H$511:$H$1010,"Yes",$M$511:$M$1010,"&lt;"&amp;M820)+COUNTIFS($H$511:H820,"Yes",$M$511:M820,M820),"")</x:f>
      </x:c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</x:row>
    <x:row r="821" ht="22" customHeight="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 t="str">
        <x:f>IF(OR(NOT(ISNUMBER('School Profile'!$K$4)),NOT(ISNUMBER('School Profile'!$K$5)),NOT(ISNUMBER(F821)),NOT(ISNUMBER(G821))),"",3958.7613*2*ASIN(MIN(1,SQRT(SIN(RADIANS(F821-'School Profile'!$K$4)/2)^2+COS(RADIANS('School Profile'!$K$4))*COS(RADIANS(F821))*SIN(RADIANS(G821-'School Profile'!$K$5)/2)^2))))</x:f>
      </x:c>
      <x:c r="N821" s="1" t="str">
        <x:f>IF(AND(H821="Yes",ISNUMBER(M821),M821&lt;=1),COUNTIFS($H$511:$H$1010,"Yes",$M$511:$M$1010,"&lt;"&amp;M821)+COUNTIFS($H$511:H821,"Yes",$M$511:M821,M821),"")</x:f>
      </x:c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</x:row>
    <x:row r="822" ht="22" customHeight="1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 t="str">
        <x:f>IF(OR(NOT(ISNUMBER('School Profile'!$K$4)),NOT(ISNUMBER('School Profile'!$K$5)),NOT(ISNUMBER(F822)),NOT(ISNUMBER(G822))),"",3958.7613*2*ASIN(MIN(1,SQRT(SIN(RADIANS(F822-'School Profile'!$K$4)/2)^2+COS(RADIANS('School Profile'!$K$4))*COS(RADIANS(F822))*SIN(RADIANS(G822-'School Profile'!$K$5)/2)^2))))</x:f>
      </x:c>
      <x:c r="N822" s="1" t="str">
        <x:f>IF(AND(H822="Yes",ISNUMBER(M822),M822&lt;=1),COUNTIFS($H$511:$H$1010,"Yes",$M$511:$M$1010,"&lt;"&amp;M822)+COUNTIFS($H$511:H822,"Yes",$M$511:M822,M822),"")</x:f>
      </x:c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</x:row>
    <x:row r="823" ht="22" customHeight="1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 t="str">
        <x:f>IF(OR(NOT(ISNUMBER('School Profile'!$K$4)),NOT(ISNUMBER('School Profile'!$K$5)),NOT(ISNUMBER(F823)),NOT(ISNUMBER(G823))),"",3958.7613*2*ASIN(MIN(1,SQRT(SIN(RADIANS(F823-'School Profile'!$K$4)/2)^2+COS(RADIANS('School Profile'!$K$4))*COS(RADIANS(F823))*SIN(RADIANS(G823-'School Profile'!$K$5)/2)^2))))</x:f>
      </x:c>
      <x:c r="N823" s="1" t="str">
        <x:f>IF(AND(H823="Yes",ISNUMBER(M823),M823&lt;=1),COUNTIFS($H$511:$H$1010,"Yes",$M$511:$M$1010,"&lt;"&amp;M823)+COUNTIFS($H$511:H823,"Yes",$M$511:M823,M823),"")</x:f>
      </x:c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</x:row>
    <x:row r="824" ht="22" customHeight="1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 t="str">
        <x:f>IF(OR(NOT(ISNUMBER('School Profile'!$K$4)),NOT(ISNUMBER('School Profile'!$K$5)),NOT(ISNUMBER(F824)),NOT(ISNUMBER(G824))),"",3958.7613*2*ASIN(MIN(1,SQRT(SIN(RADIANS(F824-'School Profile'!$K$4)/2)^2+COS(RADIANS('School Profile'!$K$4))*COS(RADIANS(F824))*SIN(RADIANS(G824-'School Profile'!$K$5)/2)^2))))</x:f>
      </x:c>
      <x:c r="N824" s="1" t="str">
        <x:f>IF(AND(H824="Yes",ISNUMBER(M824),M824&lt;=1),COUNTIFS($H$511:$H$1010,"Yes",$M$511:$M$1010,"&lt;"&amp;M824)+COUNTIFS($H$511:H824,"Yes",$M$511:M824,M824),"")</x:f>
      </x:c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</x:row>
    <x:row r="825" ht="22" customHeight="1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 t="str">
        <x:f>IF(OR(NOT(ISNUMBER('School Profile'!$K$4)),NOT(ISNUMBER('School Profile'!$K$5)),NOT(ISNUMBER(F825)),NOT(ISNUMBER(G825))),"",3958.7613*2*ASIN(MIN(1,SQRT(SIN(RADIANS(F825-'School Profile'!$K$4)/2)^2+COS(RADIANS('School Profile'!$K$4))*COS(RADIANS(F825))*SIN(RADIANS(G825-'School Profile'!$K$5)/2)^2))))</x:f>
      </x:c>
      <x:c r="N825" s="1" t="str">
        <x:f>IF(AND(H825="Yes",ISNUMBER(M825),M825&lt;=1),COUNTIFS($H$511:$H$1010,"Yes",$M$511:$M$1010,"&lt;"&amp;M825)+COUNTIFS($H$511:H825,"Yes",$M$511:M825,M825),"")</x:f>
      </x:c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</x:row>
    <x:row r="826" ht="22" customHeight="1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 t="str">
        <x:f>IF(OR(NOT(ISNUMBER('School Profile'!$K$4)),NOT(ISNUMBER('School Profile'!$K$5)),NOT(ISNUMBER(F826)),NOT(ISNUMBER(G826))),"",3958.7613*2*ASIN(MIN(1,SQRT(SIN(RADIANS(F826-'School Profile'!$K$4)/2)^2+COS(RADIANS('School Profile'!$K$4))*COS(RADIANS(F826))*SIN(RADIANS(G826-'School Profile'!$K$5)/2)^2))))</x:f>
      </x:c>
      <x:c r="N826" s="1" t="str">
        <x:f>IF(AND(H826="Yes",ISNUMBER(M826),M826&lt;=1),COUNTIFS($H$511:$H$1010,"Yes",$M$511:$M$1010,"&lt;"&amp;M826)+COUNTIFS($H$511:H826,"Yes",$M$511:M826,M826),"")</x:f>
      </x:c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</x:row>
    <x:row r="827" ht="22" customHeight="1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 t="str">
        <x:f>IF(OR(NOT(ISNUMBER('School Profile'!$K$4)),NOT(ISNUMBER('School Profile'!$K$5)),NOT(ISNUMBER(F827)),NOT(ISNUMBER(G827))),"",3958.7613*2*ASIN(MIN(1,SQRT(SIN(RADIANS(F827-'School Profile'!$K$4)/2)^2+COS(RADIANS('School Profile'!$K$4))*COS(RADIANS(F827))*SIN(RADIANS(G827-'School Profile'!$K$5)/2)^2))))</x:f>
      </x:c>
      <x:c r="N827" s="1" t="str">
        <x:f>IF(AND(H827="Yes",ISNUMBER(M827),M827&lt;=1),COUNTIFS($H$511:$H$1010,"Yes",$M$511:$M$1010,"&lt;"&amp;M827)+COUNTIFS($H$511:H827,"Yes",$M$511:M827,M827),"")</x:f>
      </x:c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</x:row>
    <x:row r="828" ht="22" customHeight="1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 t="str">
        <x:f>IF(OR(NOT(ISNUMBER('School Profile'!$K$4)),NOT(ISNUMBER('School Profile'!$K$5)),NOT(ISNUMBER(F828)),NOT(ISNUMBER(G828))),"",3958.7613*2*ASIN(MIN(1,SQRT(SIN(RADIANS(F828-'School Profile'!$K$4)/2)^2+COS(RADIANS('School Profile'!$K$4))*COS(RADIANS(F828))*SIN(RADIANS(G828-'School Profile'!$K$5)/2)^2))))</x:f>
      </x:c>
      <x:c r="N828" s="1" t="str">
        <x:f>IF(AND(H828="Yes",ISNUMBER(M828),M828&lt;=1),COUNTIFS($H$511:$H$1010,"Yes",$M$511:$M$1010,"&lt;"&amp;M828)+COUNTIFS($H$511:H828,"Yes",$M$511:M828,M828),"")</x:f>
      </x:c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</x:row>
    <x:row r="829" ht="22" customHeight="1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 t="str">
        <x:f>IF(OR(NOT(ISNUMBER('School Profile'!$K$4)),NOT(ISNUMBER('School Profile'!$K$5)),NOT(ISNUMBER(F829)),NOT(ISNUMBER(G829))),"",3958.7613*2*ASIN(MIN(1,SQRT(SIN(RADIANS(F829-'School Profile'!$K$4)/2)^2+COS(RADIANS('School Profile'!$K$4))*COS(RADIANS(F829))*SIN(RADIANS(G829-'School Profile'!$K$5)/2)^2))))</x:f>
      </x:c>
      <x:c r="N829" s="1" t="str">
        <x:f>IF(AND(H829="Yes",ISNUMBER(M829),M829&lt;=1),COUNTIFS($H$511:$H$1010,"Yes",$M$511:$M$1010,"&lt;"&amp;M829)+COUNTIFS($H$511:H829,"Yes",$M$511:M829,M829),"")</x:f>
      </x:c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</x:row>
    <x:row r="830" ht="22" customHeight="1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 t="str">
        <x:f>IF(OR(NOT(ISNUMBER('School Profile'!$K$4)),NOT(ISNUMBER('School Profile'!$K$5)),NOT(ISNUMBER(F830)),NOT(ISNUMBER(G830))),"",3958.7613*2*ASIN(MIN(1,SQRT(SIN(RADIANS(F830-'School Profile'!$K$4)/2)^2+COS(RADIANS('School Profile'!$K$4))*COS(RADIANS(F830))*SIN(RADIANS(G830-'School Profile'!$K$5)/2)^2))))</x:f>
      </x:c>
      <x:c r="N830" s="1" t="str">
        <x:f>IF(AND(H830="Yes",ISNUMBER(M830),M830&lt;=1),COUNTIFS($H$511:$H$1010,"Yes",$M$511:$M$1010,"&lt;"&amp;M830)+COUNTIFS($H$511:H830,"Yes",$M$511:M830,M830),"")</x:f>
      </x:c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</x:row>
    <x:row r="831" ht="22" customHeight="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 t="str">
        <x:f>IF(OR(NOT(ISNUMBER('School Profile'!$K$4)),NOT(ISNUMBER('School Profile'!$K$5)),NOT(ISNUMBER(F831)),NOT(ISNUMBER(G831))),"",3958.7613*2*ASIN(MIN(1,SQRT(SIN(RADIANS(F831-'School Profile'!$K$4)/2)^2+COS(RADIANS('School Profile'!$K$4))*COS(RADIANS(F831))*SIN(RADIANS(G831-'School Profile'!$K$5)/2)^2))))</x:f>
      </x:c>
      <x:c r="N831" s="1" t="str">
        <x:f>IF(AND(H831="Yes",ISNUMBER(M831),M831&lt;=1),COUNTIFS($H$511:$H$1010,"Yes",$M$511:$M$1010,"&lt;"&amp;M831)+COUNTIFS($H$511:H831,"Yes",$M$511:M831,M831),"")</x:f>
      </x:c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</x:row>
    <x:row r="832" ht="22" customHeight="1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 t="str">
        <x:f>IF(OR(NOT(ISNUMBER('School Profile'!$K$4)),NOT(ISNUMBER('School Profile'!$K$5)),NOT(ISNUMBER(F832)),NOT(ISNUMBER(G832))),"",3958.7613*2*ASIN(MIN(1,SQRT(SIN(RADIANS(F832-'School Profile'!$K$4)/2)^2+COS(RADIANS('School Profile'!$K$4))*COS(RADIANS(F832))*SIN(RADIANS(G832-'School Profile'!$K$5)/2)^2))))</x:f>
      </x:c>
      <x:c r="N832" s="1" t="str">
        <x:f>IF(AND(H832="Yes",ISNUMBER(M832),M832&lt;=1),COUNTIFS($H$511:$H$1010,"Yes",$M$511:$M$1010,"&lt;"&amp;M832)+COUNTIFS($H$511:H832,"Yes",$M$511:M832,M832),"")</x:f>
      </x:c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</x:row>
    <x:row r="833" ht="22" customHeight="1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 t="str">
        <x:f>IF(OR(NOT(ISNUMBER('School Profile'!$K$4)),NOT(ISNUMBER('School Profile'!$K$5)),NOT(ISNUMBER(F833)),NOT(ISNUMBER(G833))),"",3958.7613*2*ASIN(MIN(1,SQRT(SIN(RADIANS(F833-'School Profile'!$K$4)/2)^2+COS(RADIANS('School Profile'!$K$4))*COS(RADIANS(F833))*SIN(RADIANS(G833-'School Profile'!$K$5)/2)^2))))</x:f>
      </x:c>
      <x:c r="N833" s="1" t="str">
        <x:f>IF(AND(H833="Yes",ISNUMBER(M833),M833&lt;=1),COUNTIFS($H$511:$H$1010,"Yes",$M$511:$M$1010,"&lt;"&amp;M833)+COUNTIFS($H$511:H833,"Yes",$M$511:M833,M833),"")</x:f>
      </x:c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</x:row>
    <x:row r="834" ht="22" customHeight="1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 t="str">
        <x:f>IF(OR(NOT(ISNUMBER('School Profile'!$K$4)),NOT(ISNUMBER('School Profile'!$K$5)),NOT(ISNUMBER(F834)),NOT(ISNUMBER(G834))),"",3958.7613*2*ASIN(MIN(1,SQRT(SIN(RADIANS(F834-'School Profile'!$K$4)/2)^2+COS(RADIANS('School Profile'!$K$4))*COS(RADIANS(F834))*SIN(RADIANS(G834-'School Profile'!$K$5)/2)^2))))</x:f>
      </x:c>
      <x:c r="N834" s="1" t="str">
        <x:f>IF(AND(H834="Yes",ISNUMBER(M834),M834&lt;=1),COUNTIFS($H$511:$H$1010,"Yes",$M$511:$M$1010,"&lt;"&amp;M834)+COUNTIFS($H$511:H834,"Yes",$M$511:M834,M834),"")</x:f>
      </x:c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</x:row>
    <x:row r="835" ht="22" customHeight="1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 t="str">
        <x:f>IF(OR(NOT(ISNUMBER('School Profile'!$K$4)),NOT(ISNUMBER('School Profile'!$K$5)),NOT(ISNUMBER(F835)),NOT(ISNUMBER(G835))),"",3958.7613*2*ASIN(MIN(1,SQRT(SIN(RADIANS(F835-'School Profile'!$K$4)/2)^2+COS(RADIANS('School Profile'!$K$4))*COS(RADIANS(F835))*SIN(RADIANS(G835-'School Profile'!$K$5)/2)^2))))</x:f>
      </x:c>
      <x:c r="N835" s="1" t="str">
        <x:f>IF(AND(H835="Yes",ISNUMBER(M835),M835&lt;=1),COUNTIFS($H$511:$H$1010,"Yes",$M$511:$M$1010,"&lt;"&amp;M835)+COUNTIFS($H$511:H835,"Yes",$M$511:M835,M835),"")</x:f>
      </x:c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</x:row>
    <x:row r="836" ht="22" customHeight="1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 t="str">
        <x:f>IF(OR(NOT(ISNUMBER('School Profile'!$K$4)),NOT(ISNUMBER('School Profile'!$K$5)),NOT(ISNUMBER(F836)),NOT(ISNUMBER(G836))),"",3958.7613*2*ASIN(MIN(1,SQRT(SIN(RADIANS(F836-'School Profile'!$K$4)/2)^2+COS(RADIANS('School Profile'!$K$4))*COS(RADIANS(F836))*SIN(RADIANS(G836-'School Profile'!$K$5)/2)^2))))</x:f>
      </x:c>
      <x:c r="N836" s="1" t="str">
        <x:f>IF(AND(H836="Yes",ISNUMBER(M836),M836&lt;=1),COUNTIFS($H$511:$H$1010,"Yes",$M$511:$M$1010,"&lt;"&amp;M836)+COUNTIFS($H$511:H836,"Yes",$M$511:M836,M836),"")</x:f>
      </x:c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</x:row>
    <x:row r="837" ht="22" customHeight="1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 t="str">
        <x:f>IF(OR(NOT(ISNUMBER('School Profile'!$K$4)),NOT(ISNUMBER('School Profile'!$K$5)),NOT(ISNUMBER(F837)),NOT(ISNUMBER(G837))),"",3958.7613*2*ASIN(MIN(1,SQRT(SIN(RADIANS(F837-'School Profile'!$K$4)/2)^2+COS(RADIANS('School Profile'!$K$4))*COS(RADIANS(F837))*SIN(RADIANS(G837-'School Profile'!$K$5)/2)^2))))</x:f>
      </x:c>
      <x:c r="N837" s="1" t="str">
        <x:f>IF(AND(H837="Yes",ISNUMBER(M837),M837&lt;=1),COUNTIFS($H$511:$H$1010,"Yes",$M$511:$M$1010,"&lt;"&amp;M837)+COUNTIFS($H$511:H837,"Yes",$M$511:M837,M837),"")</x:f>
      </x:c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</x:row>
    <x:row r="838" ht="22" customHeight="1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 t="str">
        <x:f>IF(OR(NOT(ISNUMBER('School Profile'!$K$4)),NOT(ISNUMBER('School Profile'!$K$5)),NOT(ISNUMBER(F838)),NOT(ISNUMBER(G838))),"",3958.7613*2*ASIN(MIN(1,SQRT(SIN(RADIANS(F838-'School Profile'!$K$4)/2)^2+COS(RADIANS('School Profile'!$K$4))*COS(RADIANS(F838))*SIN(RADIANS(G838-'School Profile'!$K$5)/2)^2))))</x:f>
      </x:c>
      <x:c r="N838" s="1" t="str">
        <x:f>IF(AND(H838="Yes",ISNUMBER(M838),M838&lt;=1),COUNTIFS($H$511:$H$1010,"Yes",$M$511:$M$1010,"&lt;"&amp;M838)+COUNTIFS($H$511:H838,"Yes",$M$511:M838,M838),"")</x:f>
      </x:c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</x:row>
    <x:row r="839" ht="22" customHeight="1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 t="str">
        <x:f>IF(OR(NOT(ISNUMBER('School Profile'!$K$4)),NOT(ISNUMBER('School Profile'!$K$5)),NOT(ISNUMBER(F839)),NOT(ISNUMBER(G839))),"",3958.7613*2*ASIN(MIN(1,SQRT(SIN(RADIANS(F839-'School Profile'!$K$4)/2)^2+COS(RADIANS('School Profile'!$K$4))*COS(RADIANS(F839))*SIN(RADIANS(G839-'School Profile'!$K$5)/2)^2))))</x:f>
      </x:c>
      <x:c r="N839" s="1" t="str">
        <x:f>IF(AND(H839="Yes",ISNUMBER(M839),M839&lt;=1),COUNTIFS($H$511:$H$1010,"Yes",$M$511:$M$1010,"&lt;"&amp;M839)+COUNTIFS($H$511:H839,"Yes",$M$511:M839,M839),"")</x:f>
      </x:c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</x:row>
    <x:row r="840" ht="22" customHeight="1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 t="str">
        <x:f>IF(OR(NOT(ISNUMBER('School Profile'!$K$4)),NOT(ISNUMBER('School Profile'!$K$5)),NOT(ISNUMBER(F840)),NOT(ISNUMBER(G840))),"",3958.7613*2*ASIN(MIN(1,SQRT(SIN(RADIANS(F840-'School Profile'!$K$4)/2)^2+COS(RADIANS('School Profile'!$K$4))*COS(RADIANS(F840))*SIN(RADIANS(G840-'School Profile'!$K$5)/2)^2))))</x:f>
      </x:c>
      <x:c r="N840" s="1" t="str">
        <x:f>IF(AND(H840="Yes",ISNUMBER(M840),M840&lt;=1),COUNTIFS($H$511:$H$1010,"Yes",$M$511:$M$1010,"&lt;"&amp;M840)+COUNTIFS($H$511:H840,"Yes",$M$511:M840,M840),"")</x:f>
      </x:c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</x:row>
    <x:row r="841" ht="22" customHeight="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 t="str">
        <x:f>IF(OR(NOT(ISNUMBER('School Profile'!$K$4)),NOT(ISNUMBER('School Profile'!$K$5)),NOT(ISNUMBER(F841)),NOT(ISNUMBER(G841))),"",3958.7613*2*ASIN(MIN(1,SQRT(SIN(RADIANS(F841-'School Profile'!$K$4)/2)^2+COS(RADIANS('School Profile'!$K$4))*COS(RADIANS(F841))*SIN(RADIANS(G841-'School Profile'!$K$5)/2)^2))))</x:f>
      </x:c>
      <x:c r="N841" s="1" t="str">
        <x:f>IF(AND(H841="Yes",ISNUMBER(M841),M841&lt;=1),COUNTIFS($H$511:$H$1010,"Yes",$M$511:$M$1010,"&lt;"&amp;M841)+COUNTIFS($H$511:H841,"Yes",$M$511:M841,M841),"")</x:f>
      </x:c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</x:row>
    <x:row r="842" ht="22" customHeight="1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 t="str">
        <x:f>IF(OR(NOT(ISNUMBER('School Profile'!$K$4)),NOT(ISNUMBER('School Profile'!$K$5)),NOT(ISNUMBER(F842)),NOT(ISNUMBER(G842))),"",3958.7613*2*ASIN(MIN(1,SQRT(SIN(RADIANS(F842-'School Profile'!$K$4)/2)^2+COS(RADIANS('School Profile'!$K$4))*COS(RADIANS(F842))*SIN(RADIANS(G842-'School Profile'!$K$5)/2)^2))))</x:f>
      </x:c>
      <x:c r="N842" s="1" t="str">
        <x:f>IF(AND(H842="Yes",ISNUMBER(M842),M842&lt;=1),COUNTIFS($H$511:$H$1010,"Yes",$M$511:$M$1010,"&lt;"&amp;M842)+COUNTIFS($H$511:H842,"Yes",$M$511:M842,M842),"")</x:f>
      </x:c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</x:row>
    <x:row r="843" ht="22" customHeight="1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 t="str">
        <x:f>IF(OR(NOT(ISNUMBER('School Profile'!$K$4)),NOT(ISNUMBER('School Profile'!$K$5)),NOT(ISNUMBER(F843)),NOT(ISNUMBER(G843))),"",3958.7613*2*ASIN(MIN(1,SQRT(SIN(RADIANS(F843-'School Profile'!$K$4)/2)^2+COS(RADIANS('School Profile'!$K$4))*COS(RADIANS(F843))*SIN(RADIANS(G843-'School Profile'!$K$5)/2)^2))))</x:f>
      </x:c>
      <x:c r="N843" s="1" t="str">
        <x:f>IF(AND(H843="Yes",ISNUMBER(M843),M843&lt;=1),COUNTIFS($H$511:$H$1010,"Yes",$M$511:$M$1010,"&lt;"&amp;M843)+COUNTIFS($H$511:H843,"Yes",$M$511:M843,M843),"")</x:f>
      </x:c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</x:row>
    <x:row r="844" ht="22" customHeight="1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 t="str">
        <x:f>IF(OR(NOT(ISNUMBER('School Profile'!$K$4)),NOT(ISNUMBER('School Profile'!$K$5)),NOT(ISNUMBER(F844)),NOT(ISNUMBER(G844))),"",3958.7613*2*ASIN(MIN(1,SQRT(SIN(RADIANS(F844-'School Profile'!$K$4)/2)^2+COS(RADIANS('School Profile'!$K$4))*COS(RADIANS(F844))*SIN(RADIANS(G844-'School Profile'!$K$5)/2)^2))))</x:f>
      </x:c>
      <x:c r="N844" s="1" t="str">
        <x:f>IF(AND(H844="Yes",ISNUMBER(M844),M844&lt;=1),COUNTIFS($H$511:$H$1010,"Yes",$M$511:$M$1010,"&lt;"&amp;M844)+COUNTIFS($H$511:H844,"Yes",$M$511:M844,M844),"")</x:f>
      </x:c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</x:row>
    <x:row r="845" ht="22" customHeight="1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 t="str">
        <x:f>IF(OR(NOT(ISNUMBER('School Profile'!$K$4)),NOT(ISNUMBER('School Profile'!$K$5)),NOT(ISNUMBER(F845)),NOT(ISNUMBER(G845))),"",3958.7613*2*ASIN(MIN(1,SQRT(SIN(RADIANS(F845-'School Profile'!$K$4)/2)^2+COS(RADIANS('School Profile'!$K$4))*COS(RADIANS(F845))*SIN(RADIANS(G845-'School Profile'!$K$5)/2)^2))))</x:f>
      </x:c>
      <x:c r="N845" s="1" t="str">
        <x:f>IF(AND(H845="Yes",ISNUMBER(M845),M845&lt;=1),COUNTIFS($H$511:$H$1010,"Yes",$M$511:$M$1010,"&lt;"&amp;M845)+COUNTIFS($H$511:H845,"Yes",$M$511:M845,M845),"")</x:f>
      </x:c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</x:row>
    <x:row r="846" ht="22" customHeight="1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 t="str">
        <x:f>IF(OR(NOT(ISNUMBER('School Profile'!$K$4)),NOT(ISNUMBER('School Profile'!$K$5)),NOT(ISNUMBER(F846)),NOT(ISNUMBER(G846))),"",3958.7613*2*ASIN(MIN(1,SQRT(SIN(RADIANS(F846-'School Profile'!$K$4)/2)^2+COS(RADIANS('School Profile'!$K$4))*COS(RADIANS(F846))*SIN(RADIANS(G846-'School Profile'!$K$5)/2)^2))))</x:f>
      </x:c>
      <x:c r="N846" s="1" t="str">
        <x:f>IF(AND(H846="Yes",ISNUMBER(M846),M846&lt;=1),COUNTIFS($H$511:$H$1010,"Yes",$M$511:$M$1010,"&lt;"&amp;M846)+COUNTIFS($H$511:H846,"Yes",$M$511:M846,M846),"")</x:f>
      </x:c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</x:row>
    <x:row r="847" ht="22" customHeight="1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 t="str">
        <x:f>IF(OR(NOT(ISNUMBER('School Profile'!$K$4)),NOT(ISNUMBER('School Profile'!$K$5)),NOT(ISNUMBER(F847)),NOT(ISNUMBER(G847))),"",3958.7613*2*ASIN(MIN(1,SQRT(SIN(RADIANS(F847-'School Profile'!$K$4)/2)^2+COS(RADIANS('School Profile'!$K$4))*COS(RADIANS(F847))*SIN(RADIANS(G847-'School Profile'!$K$5)/2)^2))))</x:f>
      </x:c>
      <x:c r="N847" s="1" t="str">
        <x:f>IF(AND(H847="Yes",ISNUMBER(M847),M847&lt;=1),COUNTIFS($H$511:$H$1010,"Yes",$M$511:$M$1010,"&lt;"&amp;M847)+COUNTIFS($H$511:H847,"Yes",$M$511:M847,M847),"")</x:f>
      </x:c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</x:row>
    <x:row r="848" ht="22" customHeight="1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 t="str">
        <x:f>IF(OR(NOT(ISNUMBER('School Profile'!$K$4)),NOT(ISNUMBER('School Profile'!$K$5)),NOT(ISNUMBER(F848)),NOT(ISNUMBER(G848))),"",3958.7613*2*ASIN(MIN(1,SQRT(SIN(RADIANS(F848-'School Profile'!$K$4)/2)^2+COS(RADIANS('School Profile'!$K$4))*COS(RADIANS(F848))*SIN(RADIANS(G848-'School Profile'!$K$5)/2)^2))))</x:f>
      </x:c>
      <x:c r="N848" s="1" t="str">
        <x:f>IF(AND(H848="Yes",ISNUMBER(M848),M848&lt;=1),COUNTIFS($H$511:$H$1010,"Yes",$M$511:$M$1010,"&lt;"&amp;M848)+COUNTIFS($H$511:H848,"Yes",$M$511:M848,M848),"")</x:f>
      </x:c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</x:row>
    <x:row r="849" ht="22" customHeight="1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 t="str">
        <x:f>IF(OR(NOT(ISNUMBER('School Profile'!$K$4)),NOT(ISNUMBER('School Profile'!$K$5)),NOT(ISNUMBER(F849)),NOT(ISNUMBER(G849))),"",3958.7613*2*ASIN(MIN(1,SQRT(SIN(RADIANS(F849-'School Profile'!$K$4)/2)^2+COS(RADIANS('School Profile'!$K$4))*COS(RADIANS(F849))*SIN(RADIANS(G849-'School Profile'!$K$5)/2)^2))))</x:f>
      </x:c>
      <x:c r="N849" s="1" t="str">
        <x:f>IF(AND(H849="Yes",ISNUMBER(M849),M849&lt;=1),COUNTIFS($H$511:$H$1010,"Yes",$M$511:$M$1010,"&lt;"&amp;M849)+COUNTIFS($H$511:H849,"Yes",$M$511:M849,M849),"")</x:f>
      </x:c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</x:row>
    <x:row r="850" ht="22" customHeight="1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 t="str">
        <x:f>IF(OR(NOT(ISNUMBER('School Profile'!$K$4)),NOT(ISNUMBER('School Profile'!$K$5)),NOT(ISNUMBER(F850)),NOT(ISNUMBER(G850))),"",3958.7613*2*ASIN(MIN(1,SQRT(SIN(RADIANS(F850-'School Profile'!$K$4)/2)^2+COS(RADIANS('School Profile'!$K$4))*COS(RADIANS(F850))*SIN(RADIANS(G850-'School Profile'!$K$5)/2)^2))))</x:f>
      </x:c>
      <x:c r="N850" s="1" t="str">
        <x:f>IF(AND(H850="Yes",ISNUMBER(M850),M850&lt;=1),COUNTIFS($H$511:$H$1010,"Yes",$M$511:$M$1010,"&lt;"&amp;M850)+COUNTIFS($H$511:H850,"Yes",$M$511:M850,M850),"")</x:f>
      </x:c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</x:row>
    <x:row r="851" ht="22" customHeight="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 t="str">
        <x:f>IF(OR(NOT(ISNUMBER('School Profile'!$K$4)),NOT(ISNUMBER('School Profile'!$K$5)),NOT(ISNUMBER(F851)),NOT(ISNUMBER(G851))),"",3958.7613*2*ASIN(MIN(1,SQRT(SIN(RADIANS(F851-'School Profile'!$K$4)/2)^2+COS(RADIANS('School Profile'!$K$4))*COS(RADIANS(F851))*SIN(RADIANS(G851-'School Profile'!$K$5)/2)^2))))</x:f>
      </x:c>
      <x:c r="N851" s="1" t="str">
        <x:f>IF(AND(H851="Yes",ISNUMBER(M851),M851&lt;=1),COUNTIFS($H$511:$H$1010,"Yes",$M$511:$M$1010,"&lt;"&amp;M851)+COUNTIFS($H$511:H851,"Yes",$M$511:M851,M851),"")</x:f>
      </x:c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</x:row>
    <x:row r="852" ht="22" customHeight="1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 t="str">
        <x:f>IF(OR(NOT(ISNUMBER('School Profile'!$K$4)),NOT(ISNUMBER('School Profile'!$K$5)),NOT(ISNUMBER(F852)),NOT(ISNUMBER(G852))),"",3958.7613*2*ASIN(MIN(1,SQRT(SIN(RADIANS(F852-'School Profile'!$K$4)/2)^2+COS(RADIANS('School Profile'!$K$4))*COS(RADIANS(F852))*SIN(RADIANS(G852-'School Profile'!$K$5)/2)^2))))</x:f>
      </x:c>
      <x:c r="N852" s="1" t="str">
        <x:f>IF(AND(H852="Yes",ISNUMBER(M852),M852&lt;=1),COUNTIFS($H$511:$H$1010,"Yes",$M$511:$M$1010,"&lt;"&amp;M852)+COUNTIFS($H$511:H852,"Yes",$M$511:M852,M852),"")</x:f>
      </x:c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</x:row>
    <x:row r="853" ht="22" customHeight="1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 t="str">
        <x:f>IF(OR(NOT(ISNUMBER('School Profile'!$K$4)),NOT(ISNUMBER('School Profile'!$K$5)),NOT(ISNUMBER(F853)),NOT(ISNUMBER(G853))),"",3958.7613*2*ASIN(MIN(1,SQRT(SIN(RADIANS(F853-'School Profile'!$K$4)/2)^2+COS(RADIANS('School Profile'!$K$4))*COS(RADIANS(F853))*SIN(RADIANS(G853-'School Profile'!$K$5)/2)^2))))</x:f>
      </x:c>
      <x:c r="N853" s="1" t="str">
        <x:f>IF(AND(H853="Yes",ISNUMBER(M853),M853&lt;=1),COUNTIFS($H$511:$H$1010,"Yes",$M$511:$M$1010,"&lt;"&amp;M853)+COUNTIFS($H$511:H853,"Yes",$M$511:M853,M853),"")</x:f>
      </x:c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</x:row>
    <x:row r="854" ht="22" customHeight="1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 t="str">
        <x:f>IF(OR(NOT(ISNUMBER('School Profile'!$K$4)),NOT(ISNUMBER('School Profile'!$K$5)),NOT(ISNUMBER(F854)),NOT(ISNUMBER(G854))),"",3958.7613*2*ASIN(MIN(1,SQRT(SIN(RADIANS(F854-'School Profile'!$K$4)/2)^2+COS(RADIANS('School Profile'!$K$4))*COS(RADIANS(F854))*SIN(RADIANS(G854-'School Profile'!$K$5)/2)^2))))</x:f>
      </x:c>
      <x:c r="N854" s="1" t="str">
        <x:f>IF(AND(H854="Yes",ISNUMBER(M854),M854&lt;=1),COUNTIFS($H$511:$H$1010,"Yes",$M$511:$M$1010,"&lt;"&amp;M854)+COUNTIFS($H$511:H854,"Yes",$M$511:M854,M854),"")</x:f>
      </x:c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</x:row>
    <x:row r="855" ht="22" customHeight="1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 t="str">
        <x:f>IF(OR(NOT(ISNUMBER('School Profile'!$K$4)),NOT(ISNUMBER('School Profile'!$K$5)),NOT(ISNUMBER(F855)),NOT(ISNUMBER(G855))),"",3958.7613*2*ASIN(MIN(1,SQRT(SIN(RADIANS(F855-'School Profile'!$K$4)/2)^2+COS(RADIANS('School Profile'!$K$4))*COS(RADIANS(F855))*SIN(RADIANS(G855-'School Profile'!$K$5)/2)^2))))</x:f>
      </x:c>
      <x:c r="N855" s="1" t="str">
        <x:f>IF(AND(H855="Yes",ISNUMBER(M855),M855&lt;=1),COUNTIFS($H$511:$H$1010,"Yes",$M$511:$M$1010,"&lt;"&amp;M855)+COUNTIFS($H$511:H855,"Yes",$M$511:M855,M855),"")</x:f>
      </x:c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</x:row>
    <x:row r="856" ht="22" customHeight="1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 t="str">
        <x:f>IF(OR(NOT(ISNUMBER('School Profile'!$K$4)),NOT(ISNUMBER('School Profile'!$K$5)),NOT(ISNUMBER(F856)),NOT(ISNUMBER(G856))),"",3958.7613*2*ASIN(MIN(1,SQRT(SIN(RADIANS(F856-'School Profile'!$K$4)/2)^2+COS(RADIANS('School Profile'!$K$4))*COS(RADIANS(F856))*SIN(RADIANS(G856-'School Profile'!$K$5)/2)^2))))</x:f>
      </x:c>
      <x:c r="N856" s="1" t="str">
        <x:f>IF(AND(H856="Yes",ISNUMBER(M856),M856&lt;=1),COUNTIFS($H$511:$H$1010,"Yes",$M$511:$M$1010,"&lt;"&amp;M856)+COUNTIFS($H$511:H856,"Yes",$M$511:M856,M856),"")</x:f>
      </x:c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</x:row>
    <x:row r="857" ht="22" customHeight="1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 t="str">
        <x:f>IF(OR(NOT(ISNUMBER('School Profile'!$K$4)),NOT(ISNUMBER('School Profile'!$K$5)),NOT(ISNUMBER(F857)),NOT(ISNUMBER(G857))),"",3958.7613*2*ASIN(MIN(1,SQRT(SIN(RADIANS(F857-'School Profile'!$K$4)/2)^2+COS(RADIANS('School Profile'!$K$4))*COS(RADIANS(F857))*SIN(RADIANS(G857-'School Profile'!$K$5)/2)^2))))</x:f>
      </x:c>
      <x:c r="N857" s="1" t="str">
        <x:f>IF(AND(H857="Yes",ISNUMBER(M857),M857&lt;=1),COUNTIFS($H$511:$H$1010,"Yes",$M$511:$M$1010,"&lt;"&amp;M857)+COUNTIFS($H$511:H857,"Yes",$M$511:M857,M857),"")</x:f>
      </x:c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</x:row>
    <x:row r="858" ht="22" customHeight="1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 t="str">
        <x:f>IF(OR(NOT(ISNUMBER('School Profile'!$K$4)),NOT(ISNUMBER('School Profile'!$K$5)),NOT(ISNUMBER(F858)),NOT(ISNUMBER(G858))),"",3958.7613*2*ASIN(MIN(1,SQRT(SIN(RADIANS(F858-'School Profile'!$K$4)/2)^2+COS(RADIANS('School Profile'!$K$4))*COS(RADIANS(F858))*SIN(RADIANS(G858-'School Profile'!$K$5)/2)^2))))</x:f>
      </x:c>
      <x:c r="N858" s="1" t="str">
        <x:f>IF(AND(H858="Yes",ISNUMBER(M858),M858&lt;=1),COUNTIFS($H$511:$H$1010,"Yes",$M$511:$M$1010,"&lt;"&amp;M858)+COUNTIFS($H$511:H858,"Yes",$M$511:M858,M858),"")</x:f>
      </x:c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</x:row>
    <x:row r="859" ht="22" customHeight="1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 t="str">
        <x:f>IF(OR(NOT(ISNUMBER('School Profile'!$K$4)),NOT(ISNUMBER('School Profile'!$K$5)),NOT(ISNUMBER(F859)),NOT(ISNUMBER(G859))),"",3958.7613*2*ASIN(MIN(1,SQRT(SIN(RADIANS(F859-'School Profile'!$K$4)/2)^2+COS(RADIANS('School Profile'!$K$4))*COS(RADIANS(F859))*SIN(RADIANS(G859-'School Profile'!$K$5)/2)^2))))</x:f>
      </x:c>
      <x:c r="N859" s="1" t="str">
        <x:f>IF(AND(H859="Yes",ISNUMBER(M859),M859&lt;=1),COUNTIFS($H$511:$H$1010,"Yes",$M$511:$M$1010,"&lt;"&amp;M859)+COUNTIFS($H$511:H859,"Yes",$M$511:M859,M859),"")</x:f>
      </x:c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</x:row>
    <x:row r="860" ht="22" customHeight="1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 t="str">
        <x:f>IF(OR(NOT(ISNUMBER('School Profile'!$K$4)),NOT(ISNUMBER('School Profile'!$K$5)),NOT(ISNUMBER(F860)),NOT(ISNUMBER(G860))),"",3958.7613*2*ASIN(MIN(1,SQRT(SIN(RADIANS(F860-'School Profile'!$K$4)/2)^2+COS(RADIANS('School Profile'!$K$4))*COS(RADIANS(F860))*SIN(RADIANS(G860-'School Profile'!$K$5)/2)^2))))</x:f>
      </x:c>
      <x:c r="N860" s="1" t="str">
        <x:f>IF(AND(H860="Yes",ISNUMBER(M860),M860&lt;=1),COUNTIFS($H$511:$H$1010,"Yes",$M$511:$M$1010,"&lt;"&amp;M860)+COUNTIFS($H$511:H860,"Yes",$M$511:M860,M860),"")</x:f>
      </x:c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</x:row>
    <x:row r="861" ht="22" customHeight="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 t="str">
        <x:f>IF(OR(NOT(ISNUMBER('School Profile'!$K$4)),NOT(ISNUMBER('School Profile'!$K$5)),NOT(ISNUMBER(F861)),NOT(ISNUMBER(G861))),"",3958.7613*2*ASIN(MIN(1,SQRT(SIN(RADIANS(F861-'School Profile'!$K$4)/2)^2+COS(RADIANS('School Profile'!$K$4))*COS(RADIANS(F861))*SIN(RADIANS(G861-'School Profile'!$K$5)/2)^2))))</x:f>
      </x:c>
      <x:c r="N861" s="1" t="str">
        <x:f>IF(AND(H861="Yes",ISNUMBER(M861),M861&lt;=1),COUNTIFS($H$511:$H$1010,"Yes",$M$511:$M$1010,"&lt;"&amp;M861)+COUNTIFS($H$511:H861,"Yes",$M$511:M861,M861),"")</x:f>
      </x:c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</x:row>
    <x:row r="862" ht="22" customHeight="1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 t="str">
        <x:f>IF(OR(NOT(ISNUMBER('School Profile'!$K$4)),NOT(ISNUMBER('School Profile'!$K$5)),NOT(ISNUMBER(F862)),NOT(ISNUMBER(G862))),"",3958.7613*2*ASIN(MIN(1,SQRT(SIN(RADIANS(F862-'School Profile'!$K$4)/2)^2+COS(RADIANS('School Profile'!$K$4))*COS(RADIANS(F862))*SIN(RADIANS(G862-'School Profile'!$K$5)/2)^2))))</x:f>
      </x:c>
      <x:c r="N862" s="1" t="str">
        <x:f>IF(AND(H862="Yes",ISNUMBER(M862),M862&lt;=1),COUNTIFS($H$511:$H$1010,"Yes",$M$511:$M$1010,"&lt;"&amp;M862)+COUNTIFS($H$511:H862,"Yes",$M$511:M862,M862),"")</x:f>
      </x:c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</x:row>
    <x:row r="863" ht="22" customHeight="1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 t="str">
        <x:f>IF(OR(NOT(ISNUMBER('School Profile'!$K$4)),NOT(ISNUMBER('School Profile'!$K$5)),NOT(ISNUMBER(F863)),NOT(ISNUMBER(G863))),"",3958.7613*2*ASIN(MIN(1,SQRT(SIN(RADIANS(F863-'School Profile'!$K$4)/2)^2+COS(RADIANS('School Profile'!$K$4))*COS(RADIANS(F863))*SIN(RADIANS(G863-'School Profile'!$K$5)/2)^2))))</x:f>
      </x:c>
      <x:c r="N863" s="1" t="str">
        <x:f>IF(AND(H863="Yes",ISNUMBER(M863),M863&lt;=1),COUNTIFS($H$511:$H$1010,"Yes",$M$511:$M$1010,"&lt;"&amp;M863)+COUNTIFS($H$511:H863,"Yes",$M$511:M863,M863),"")</x:f>
      </x:c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</x:row>
    <x:row r="864" ht="22" customHeight="1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 t="str">
        <x:f>IF(OR(NOT(ISNUMBER('School Profile'!$K$4)),NOT(ISNUMBER('School Profile'!$K$5)),NOT(ISNUMBER(F864)),NOT(ISNUMBER(G864))),"",3958.7613*2*ASIN(MIN(1,SQRT(SIN(RADIANS(F864-'School Profile'!$K$4)/2)^2+COS(RADIANS('School Profile'!$K$4))*COS(RADIANS(F864))*SIN(RADIANS(G864-'School Profile'!$K$5)/2)^2))))</x:f>
      </x:c>
      <x:c r="N864" s="1" t="str">
        <x:f>IF(AND(H864="Yes",ISNUMBER(M864),M864&lt;=1),COUNTIFS($H$511:$H$1010,"Yes",$M$511:$M$1010,"&lt;"&amp;M864)+COUNTIFS($H$511:H864,"Yes",$M$511:M864,M864),"")</x:f>
      </x:c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</x:row>
    <x:row r="865" ht="22" customHeight="1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 t="str">
        <x:f>IF(OR(NOT(ISNUMBER('School Profile'!$K$4)),NOT(ISNUMBER('School Profile'!$K$5)),NOT(ISNUMBER(F865)),NOT(ISNUMBER(G865))),"",3958.7613*2*ASIN(MIN(1,SQRT(SIN(RADIANS(F865-'School Profile'!$K$4)/2)^2+COS(RADIANS('School Profile'!$K$4))*COS(RADIANS(F865))*SIN(RADIANS(G865-'School Profile'!$K$5)/2)^2))))</x:f>
      </x:c>
      <x:c r="N865" s="1" t="str">
        <x:f>IF(AND(H865="Yes",ISNUMBER(M865),M865&lt;=1),COUNTIFS($H$511:$H$1010,"Yes",$M$511:$M$1010,"&lt;"&amp;M865)+COUNTIFS($H$511:H865,"Yes",$M$511:M865,M865),"")</x:f>
      </x:c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</x:row>
    <x:row r="866" ht="22" customHeight="1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 t="str">
        <x:f>IF(OR(NOT(ISNUMBER('School Profile'!$K$4)),NOT(ISNUMBER('School Profile'!$K$5)),NOT(ISNUMBER(F866)),NOT(ISNUMBER(G866))),"",3958.7613*2*ASIN(MIN(1,SQRT(SIN(RADIANS(F866-'School Profile'!$K$4)/2)^2+COS(RADIANS('School Profile'!$K$4))*COS(RADIANS(F866))*SIN(RADIANS(G866-'School Profile'!$K$5)/2)^2))))</x:f>
      </x:c>
      <x:c r="N866" s="1" t="str">
        <x:f>IF(AND(H866="Yes",ISNUMBER(M866),M866&lt;=1),COUNTIFS($H$511:$H$1010,"Yes",$M$511:$M$1010,"&lt;"&amp;M866)+COUNTIFS($H$511:H866,"Yes",$M$511:M866,M866),"")</x:f>
      </x:c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</x:row>
    <x:row r="867" ht="22" customHeight="1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 t="str">
        <x:f>IF(OR(NOT(ISNUMBER('School Profile'!$K$4)),NOT(ISNUMBER('School Profile'!$K$5)),NOT(ISNUMBER(F867)),NOT(ISNUMBER(G867))),"",3958.7613*2*ASIN(MIN(1,SQRT(SIN(RADIANS(F867-'School Profile'!$K$4)/2)^2+COS(RADIANS('School Profile'!$K$4))*COS(RADIANS(F867))*SIN(RADIANS(G867-'School Profile'!$K$5)/2)^2))))</x:f>
      </x:c>
      <x:c r="N867" s="1" t="str">
        <x:f>IF(AND(H867="Yes",ISNUMBER(M867),M867&lt;=1),COUNTIFS($H$511:$H$1010,"Yes",$M$511:$M$1010,"&lt;"&amp;M867)+COUNTIFS($H$511:H867,"Yes",$M$511:M867,M867),"")</x:f>
      </x:c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</x:row>
    <x:row r="868" ht="22" customHeight="1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 t="str">
        <x:f>IF(OR(NOT(ISNUMBER('School Profile'!$K$4)),NOT(ISNUMBER('School Profile'!$K$5)),NOT(ISNUMBER(F868)),NOT(ISNUMBER(G868))),"",3958.7613*2*ASIN(MIN(1,SQRT(SIN(RADIANS(F868-'School Profile'!$K$4)/2)^2+COS(RADIANS('School Profile'!$K$4))*COS(RADIANS(F868))*SIN(RADIANS(G868-'School Profile'!$K$5)/2)^2))))</x:f>
      </x:c>
      <x:c r="N868" s="1" t="str">
        <x:f>IF(AND(H868="Yes",ISNUMBER(M868),M868&lt;=1),COUNTIFS($H$511:$H$1010,"Yes",$M$511:$M$1010,"&lt;"&amp;M868)+COUNTIFS($H$511:H868,"Yes",$M$511:M868,M868),"")</x:f>
      </x:c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</x:row>
    <x:row r="869" ht="22" customHeight="1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 t="str">
        <x:f>IF(OR(NOT(ISNUMBER('School Profile'!$K$4)),NOT(ISNUMBER('School Profile'!$K$5)),NOT(ISNUMBER(F869)),NOT(ISNUMBER(G869))),"",3958.7613*2*ASIN(MIN(1,SQRT(SIN(RADIANS(F869-'School Profile'!$K$4)/2)^2+COS(RADIANS('School Profile'!$K$4))*COS(RADIANS(F869))*SIN(RADIANS(G869-'School Profile'!$K$5)/2)^2))))</x:f>
      </x:c>
      <x:c r="N869" s="1" t="str">
        <x:f>IF(AND(H869="Yes",ISNUMBER(M869),M869&lt;=1),COUNTIFS($H$511:$H$1010,"Yes",$M$511:$M$1010,"&lt;"&amp;M869)+COUNTIFS($H$511:H869,"Yes",$M$511:M869,M869),"")</x:f>
      </x:c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</x:row>
    <x:row r="870" ht="22" customHeight="1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 t="str">
        <x:f>IF(OR(NOT(ISNUMBER('School Profile'!$K$4)),NOT(ISNUMBER('School Profile'!$K$5)),NOT(ISNUMBER(F870)),NOT(ISNUMBER(G870))),"",3958.7613*2*ASIN(MIN(1,SQRT(SIN(RADIANS(F870-'School Profile'!$K$4)/2)^2+COS(RADIANS('School Profile'!$K$4))*COS(RADIANS(F870))*SIN(RADIANS(G870-'School Profile'!$K$5)/2)^2))))</x:f>
      </x:c>
      <x:c r="N870" s="1" t="str">
        <x:f>IF(AND(H870="Yes",ISNUMBER(M870),M870&lt;=1),COUNTIFS($H$511:$H$1010,"Yes",$M$511:$M$1010,"&lt;"&amp;M870)+COUNTIFS($H$511:H870,"Yes",$M$511:M870,M870),"")</x:f>
      </x:c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</x:row>
    <x:row r="871" ht="22" customHeight="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 t="str">
        <x:f>IF(OR(NOT(ISNUMBER('School Profile'!$K$4)),NOT(ISNUMBER('School Profile'!$K$5)),NOT(ISNUMBER(F871)),NOT(ISNUMBER(G871))),"",3958.7613*2*ASIN(MIN(1,SQRT(SIN(RADIANS(F871-'School Profile'!$K$4)/2)^2+COS(RADIANS('School Profile'!$K$4))*COS(RADIANS(F871))*SIN(RADIANS(G871-'School Profile'!$K$5)/2)^2))))</x:f>
      </x:c>
      <x:c r="N871" s="1" t="str">
        <x:f>IF(AND(H871="Yes",ISNUMBER(M871),M871&lt;=1),COUNTIFS($H$511:$H$1010,"Yes",$M$511:$M$1010,"&lt;"&amp;M871)+COUNTIFS($H$511:H871,"Yes",$M$511:M871,M871),"")</x:f>
      </x:c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</x:row>
    <x:row r="872" ht="22" customHeight="1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 t="str">
        <x:f>IF(OR(NOT(ISNUMBER('School Profile'!$K$4)),NOT(ISNUMBER('School Profile'!$K$5)),NOT(ISNUMBER(F872)),NOT(ISNUMBER(G872))),"",3958.7613*2*ASIN(MIN(1,SQRT(SIN(RADIANS(F872-'School Profile'!$K$4)/2)^2+COS(RADIANS('School Profile'!$K$4))*COS(RADIANS(F872))*SIN(RADIANS(G872-'School Profile'!$K$5)/2)^2))))</x:f>
      </x:c>
      <x:c r="N872" s="1" t="str">
        <x:f>IF(AND(H872="Yes",ISNUMBER(M872),M872&lt;=1),COUNTIFS($H$511:$H$1010,"Yes",$M$511:$M$1010,"&lt;"&amp;M872)+COUNTIFS($H$511:H872,"Yes",$M$511:M872,M872),"")</x:f>
      </x:c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</x:row>
    <x:row r="873" ht="22" customHeight="1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 t="str">
        <x:f>IF(OR(NOT(ISNUMBER('School Profile'!$K$4)),NOT(ISNUMBER('School Profile'!$K$5)),NOT(ISNUMBER(F873)),NOT(ISNUMBER(G873))),"",3958.7613*2*ASIN(MIN(1,SQRT(SIN(RADIANS(F873-'School Profile'!$K$4)/2)^2+COS(RADIANS('School Profile'!$K$4))*COS(RADIANS(F873))*SIN(RADIANS(G873-'School Profile'!$K$5)/2)^2))))</x:f>
      </x:c>
      <x:c r="N873" s="1" t="str">
        <x:f>IF(AND(H873="Yes",ISNUMBER(M873),M873&lt;=1),COUNTIFS($H$511:$H$1010,"Yes",$M$511:$M$1010,"&lt;"&amp;M873)+COUNTIFS($H$511:H873,"Yes",$M$511:M873,M873),"")</x:f>
      </x:c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</x:row>
    <x:row r="874" ht="22" customHeight="1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 t="str">
        <x:f>IF(OR(NOT(ISNUMBER('School Profile'!$K$4)),NOT(ISNUMBER('School Profile'!$K$5)),NOT(ISNUMBER(F874)),NOT(ISNUMBER(G874))),"",3958.7613*2*ASIN(MIN(1,SQRT(SIN(RADIANS(F874-'School Profile'!$K$4)/2)^2+COS(RADIANS('School Profile'!$K$4))*COS(RADIANS(F874))*SIN(RADIANS(G874-'School Profile'!$K$5)/2)^2))))</x:f>
      </x:c>
      <x:c r="N874" s="1" t="str">
        <x:f>IF(AND(H874="Yes",ISNUMBER(M874),M874&lt;=1),COUNTIFS($H$511:$H$1010,"Yes",$M$511:$M$1010,"&lt;"&amp;M874)+COUNTIFS($H$511:H874,"Yes",$M$511:M874,M874),"")</x:f>
      </x:c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</x:row>
    <x:row r="875" ht="22" customHeight="1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 t="str">
        <x:f>IF(OR(NOT(ISNUMBER('School Profile'!$K$4)),NOT(ISNUMBER('School Profile'!$K$5)),NOT(ISNUMBER(F875)),NOT(ISNUMBER(G875))),"",3958.7613*2*ASIN(MIN(1,SQRT(SIN(RADIANS(F875-'School Profile'!$K$4)/2)^2+COS(RADIANS('School Profile'!$K$4))*COS(RADIANS(F875))*SIN(RADIANS(G875-'School Profile'!$K$5)/2)^2))))</x:f>
      </x:c>
      <x:c r="N875" s="1" t="str">
        <x:f>IF(AND(H875="Yes",ISNUMBER(M875),M875&lt;=1),COUNTIFS($H$511:$H$1010,"Yes",$M$511:$M$1010,"&lt;"&amp;M875)+COUNTIFS($H$511:H875,"Yes",$M$511:M875,M875),"")</x:f>
      </x:c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</x:row>
    <x:row r="876" ht="22" customHeight="1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 t="str">
        <x:f>IF(OR(NOT(ISNUMBER('School Profile'!$K$4)),NOT(ISNUMBER('School Profile'!$K$5)),NOT(ISNUMBER(F876)),NOT(ISNUMBER(G876))),"",3958.7613*2*ASIN(MIN(1,SQRT(SIN(RADIANS(F876-'School Profile'!$K$4)/2)^2+COS(RADIANS('School Profile'!$K$4))*COS(RADIANS(F876))*SIN(RADIANS(G876-'School Profile'!$K$5)/2)^2))))</x:f>
      </x:c>
      <x:c r="N876" s="1" t="str">
        <x:f>IF(AND(H876="Yes",ISNUMBER(M876),M876&lt;=1),COUNTIFS($H$511:$H$1010,"Yes",$M$511:$M$1010,"&lt;"&amp;M876)+COUNTIFS($H$511:H876,"Yes",$M$511:M876,M876),"")</x:f>
      </x:c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</x:row>
    <x:row r="877" ht="22" customHeight="1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 t="str">
        <x:f>IF(OR(NOT(ISNUMBER('School Profile'!$K$4)),NOT(ISNUMBER('School Profile'!$K$5)),NOT(ISNUMBER(F877)),NOT(ISNUMBER(G877))),"",3958.7613*2*ASIN(MIN(1,SQRT(SIN(RADIANS(F877-'School Profile'!$K$4)/2)^2+COS(RADIANS('School Profile'!$K$4))*COS(RADIANS(F877))*SIN(RADIANS(G877-'School Profile'!$K$5)/2)^2))))</x:f>
      </x:c>
      <x:c r="N877" s="1" t="str">
        <x:f>IF(AND(H877="Yes",ISNUMBER(M877),M877&lt;=1),COUNTIFS($H$511:$H$1010,"Yes",$M$511:$M$1010,"&lt;"&amp;M877)+COUNTIFS($H$511:H877,"Yes",$M$511:M877,M877),"")</x:f>
      </x:c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</x:row>
    <x:row r="878" ht="22" customHeight="1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 t="str">
        <x:f>IF(OR(NOT(ISNUMBER('School Profile'!$K$4)),NOT(ISNUMBER('School Profile'!$K$5)),NOT(ISNUMBER(F878)),NOT(ISNUMBER(G878))),"",3958.7613*2*ASIN(MIN(1,SQRT(SIN(RADIANS(F878-'School Profile'!$K$4)/2)^2+COS(RADIANS('School Profile'!$K$4))*COS(RADIANS(F878))*SIN(RADIANS(G878-'School Profile'!$K$5)/2)^2))))</x:f>
      </x:c>
      <x:c r="N878" s="1" t="str">
        <x:f>IF(AND(H878="Yes",ISNUMBER(M878),M878&lt;=1),COUNTIFS($H$511:$H$1010,"Yes",$M$511:$M$1010,"&lt;"&amp;M878)+COUNTIFS($H$511:H878,"Yes",$M$511:M878,M878),"")</x:f>
      </x:c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</x:row>
    <x:row r="879" ht="22" customHeight="1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 t="str">
        <x:f>IF(OR(NOT(ISNUMBER('School Profile'!$K$4)),NOT(ISNUMBER('School Profile'!$K$5)),NOT(ISNUMBER(F879)),NOT(ISNUMBER(G879))),"",3958.7613*2*ASIN(MIN(1,SQRT(SIN(RADIANS(F879-'School Profile'!$K$4)/2)^2+COS(RADIANS('School Profile'!$K$4))*COS(RADIANS(F879))*SIN(RADIANS(G879-'School Profile'!$K$5)/2)^2))))</x:f>
      </x:c>
      <x:c r="N879" s="1" t="str">
        <x:f>IF(AND(H879="Yes",ISNUMBER(M879),M879&lt;=1),COUNTIFS($H$511:$H$1010,"Yes",$M$511:$M$1010,"&lt;"&amp;M879)+COUNTIFS($H$511:H879,"Yes",$M$511:M879,M879),"")</x:f>
      </x:c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</x:row>
    <x:row r="880" ht="22" customHeight="1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 t="str">
        <x:f>IF(OR(NOT(ISNUMBER('School Profile'!$K$4)),NOT(ISNUMBER('School Profile'!$K$5)),NOT(ISNUMBER(F880)),NOT(ISNUMBER(G880))),"",3958.7613*2*ASIN(MIN(1,SQRT(SIN(RADIANS(F880-'School Profile'!$K$4)/2)^2+COS(RADIANS('School Profile'!$K$4))*COS(RADIANS(F880))*SIN(RADIANS(G880-'School Profile'!$K$5)/2)^2))))</x:f>
      </x:c>
      <x:c r="N880" s="1" t="str">
        <x:f>IF(AND(H880="Yes",ISNUMBER(M880),M880&lt;=1),COUNTIFS($H$511:$H$1010,"Yes",$M$511:$M$1010,"&lt;"&amp;M880)+COUNTIFS($H$511:H880,"Yes",$M$511:M880,M880),"")</x:f>
      </x:c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</x:row>
    <x:row r="881" ht="22" customHeight="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 t="str">
        <x:f>IF(OR(NOT(ISNUMBER('School Profile'!$K$4)),NOT(ISNUMBER('School Profile'!$K$5)),NOT(ISNUMBER(F881)),NOT(ISNUMBER(G881))),"",3958.7613*2*ASIN(MIN(1,SQRT(SIN(RADIANS(F881-'School Profile'!$K$4)/2)^2+COS(RADIANS('School Profile'!$K$4))*COS(RADIANS(F881))*SIN(RADIANS(G881-'School Profile'!$K$5)/2)^2))))</x:f>
      </x:c>
      <x:c r="N881" s="1" t="str">
        <x:f>IF(AND(H881="Yes",ISNUMBER(M881),M881&lt;=1),COUNTIFS($H$511:$H$1010,"Yes",$M$511:$M$1010,"&lt;"&amp;M881)+COUNTIFS($H$511:H881,"Yes",$M$511:M881,M881),"")</x:f>
      </x:c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</x:row>
    <x:row r="882" ht="22" customHeight="1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 t="str">
        <x:f>IF(OR(NOT(ISNUMBER('School Profile'!$K$4)),NOT(ISNUMBER('School Profile'!$K$5)),NOT(ISNUMBER(F882)),NOT(ISNUMBER(G882))),"",3958.7613*2*ASIN(MIN(1,SQRT(SIN(RADIANS(F882-'School Profile'!$K$4)/2)^2+COS(RADIANS('School Profile'!$K$4))*COS(RADIANS(F882))*SIN(RADIANS(G882-'School Profile'!$K$5)/2)^2))))</x:f>
      </x:c>
      <x:c r="N882" s="1" t="str">
        <x:f>IF(AND(H882="Yes",ISNUMBER(M882),M882&lt;=1),COUNTIFS($H$511:$H$1010,"Yes",$M$511:$M$1010,"&lt;"&amp;M882)+COUNTIFS($H$511:H882,"Yes",$M$511:M882,M882),"")</x:f>
      </x:c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</x:row>
    <x:row r="883" ht="22" customHeight="1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 t="str">
        <x:f>IF(OR(NOT(ISNUMBER('School Profile'!$K$4)),NOT(ISNUMBER('School Profile'!$K$5)),NOT(ISNUMBER(F883)),NOT(ISNUMBER(G883))),"",3958.7613*2*ASIN(MIN(1,SQRT(SIN(RADIANS(F883-'School Profile'!$K$4)/2)^2+COS(RADIANS('School Profile'!$K$4))*COS(RADIANS(F883))*SIN(RADIANS(G883-'School Profile'!$K$5)/2)^2))))</x:f>
      </x:c>
      <x:c r="N883" s="1" t="str">
        <x:f>IF(AND(H883="Yes",ISNUMBER(M883),M883&lt;=1),COUNTIFS($H$511:$H$1010,"Yes",$M$511:$M$1010,"&lt;"&amp;M883)+COUNTIFS($H$511:H883,"Yes",$M$511:M883,M883),"")</x:f>
      </x:c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</x:row>
    <x:row r="884" ht="22" customHeight="1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 t="str">
        <x:f>IF(OR(NOT(ISNUMBER('School Profile'!$K$4)),NOT(ISNUMBER('School Profile'!$K$5)),NOT(ISNUMBER(F884)),NOT(ISNUMBER(G884))),"",3958.7613*2*ASIN(MIN(1,SQRT(SIN(RADIANS(F884-'School Profile'!$K$4)/2)^2+COS(RADIANS('School Profile'!$K$4))*COS(RADIANS(F884))*SIN(RADIANS(G884-'School Profile'!$K$5)/2)^2))))</x:f>
      </x:c>
      <x:c r="N884" s="1" t="str">
        <x:f>IF(AND(H884="Yes",ISNUMBER(M884),M884&lt;=1),COUNTIFS($H$511:$H$1010,"Yes",$M$511:$M$1010,"&lt;"&amp;M884)+COUNTIFS($H$511:H884,"Yes",$M$511:M884,M884),"")</x:f>
      </x:c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</x:row>
    <x:row r="885" ht="22" customHeight="1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 t="str">
        <x:f>IF(OR(NOT(ISNUMBER('School Profile'!$K$4)),NOT(ISNUMBER('School Profile'!$K$5)),NOT(ISNUMBER(F885)),NOT(ISNUMBER(G885))),"",3958.7613*2*ASIN(MIN(1,SQRT(SIN(RADIANS(F885-'School Profile'!$K$4)/2)^2+COS(RADIANS('School Profile'!$K$4))*COS(RADIANS(F885))*SIN(RADIANS(G885-'School Profile'!$K$5)/2)^2))))</x:f>
      </x:c>
      <x:c r="N885" s="1" t="str">
        <x:f>IF(AND(H885="Yes",ISNUMBER(M885),M885&lt;=1),COUNTIFS($H$511:$H$1010,"Yes",$M$511:$M$1010,"&lt;"&amp;M885)+COUNTIFS($H$511:H885,"Yes",$M$511:M885,M885),"")</x:f>
      </x:c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</x:row>
    <x:row r="886" ht="22" customHeight="1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 t="str">
        <x:f>IF(OR(NOT(ISNUMBER('School Profile'!$K$4)),NOT(ISNUMBER('School Profile'!$K$5)),NOT(ISNUMBER(F886)),NOT(ISNUMBER(G886))),"",3958.7613*2*ASIN(MIN(1,SQRT(SIN(RADIANS(F886-'School Profile'!$K$4)/2)^2+COS(RADIANS('School Profile'!$K$4))*COS(RADIANS(F886))*SIN(RADIANS(G886-'School Profile'!$K$5)/2)^2))))</x:f>
      </x:c>
      <x:c r="N886" s="1" t="str">
        <x:f>IF(AND(H886="Yes",ISNUMBER(M886),M886&lt;=1),COUNTIFS($H$511:$H$1010,"Yes",$M$511:$M$1010,"&lt;"&amp;M886)+COUNTIFS($H$511:H886,"Yes",$M$511:M886,M886),"")</x:f>
      </x:c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</x:row>
    <x:row r="887" ht="22" customHeight="1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 t="str">
        <x:f>IF(OR(NOT(ISNUMBER('School Profile'!$K$4)),NOT(ISNUMBER('School Profile'!$K$5)),NOT(ISNUMBER(F887)),NOT(ISNUMBER(G887))),"",3958.7613*2*ASIN(MIN(1,SQRT(SIN(RADIANS(F887-'School Profile'!$K$4)/2)^2+COS(RADIANS('School Profile'!$K$4))*COS(RADIANS(F887))*SIN(RADIANS(G887-'School Profile'!$K$5)/2)^2))))</x:f>
      </x:c>
      <x:c r="N887" s="1" t="str">
        <x:f>IF(AND(H887="Yes",ISNUMBER(M887),M887&lt;=1),COUNTIFS($H$511:$H$1010,"Yes",$M$511:$M$1010,"&lt;"&amp;M887)+COUNTIFS($H$511:H887,"Yes",$M$511:M887,M887),"")</x:f>
      </x:c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</x:row>
    <x:row r="888" ht="22" customHeight="1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 t="str">
        <x:f>IF(OR(NOT(ISNUMBER('School Profile'!$K$4)),NOT(ISNUMBER('School Profile'!$K$5)),NOT(ISNUMBER(F888)),NOT(ISNUMBER(G888))),"",3958.7613*2*ASIN(MIN(1,SQRT(SIN(RADIANS(F888-'School Profile'!$K$4)/2)^2+COS(RADIANS('School Profile'!$K$4))*COS(RADIANS(F888))*SIN(RADIANS(G888-'School Profile'!$K$5)/2)^2))))</x:f>
      </x:c>
      <x:c r="N888" s="1" t="str">
        <x:f>IF(AND(H888="Yes",ISNUMBER(M888),M888&lt;=1),COUNTIFS($H$511:$H$1010,"Yes",$M$511:$M$1010,"&lt;"&amp;M888)+COUNTIFS($H$511:H888,"Yes",$M$511:M888,M888),"")</x:f>
      </x:c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</x:row>
    <x:row r="889" ht="22" customHeight="1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 t="str">
        <x:f>IF(OR(NOT(ISNUMBER('School Profile'!$K$4)),NOT(ISNUMBER('School Profile'!$K$5)),NOT(ISNUMBER(F889)),NOT(ISNUMBER(G889))),"",3958.7613*2*ASIN(MIN(1,SQRT(SIN(RADIANS(F889-'School Profile'!$K$4)/2)^2+COS(RADIANS('School Profile'!$K$4))*COS(RADIANS(F889))*SIN(RADIANS(G889-'School Profile'!$K$5)/2)^2))))</x:f>
      </x:c>
      <x:c r="N889" s="1" t="str">
        <x:f>IF(AND(H889="Yes",ISNUMBER(M889),M889&lt;=1),COUNTIFS($H$511:$H$1010,"Yes",$M$511:$M$1010,"&lt;"&amp;M889)+COUNTIFS($H$511:H889,"Yes",$M$511:M889,M889),"")</x:f>
      </x:c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</x:row>
    <x:row r="890" ht="22" customHeight="1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 t="str">
        <x:f>IF(OR(NOT(ISNUMBER('School Profile'!$K$4)),NOT(ISNUMBER('School Profile'!$K$5)),NOT(ISNUMBER(F890)),NOT(ISNUMBER(G890))),"",3958.7613*2*ASIN(MIN(1,SQRT(SIN(RADIANS(F890-'School Profile'!$K$4)/2)^2+COS(RADIANS('School Profile'!$K$4))*COS(RADIANS(F890))*SIN(RADIANS(G890-'School Profile'!$K$5)/2)^2))))</x:f>
      </x:c>
      <x:c r="N890" s="1" t="str">
        <x:f>IF(AND(H890="Yes",ISNUMBER(M890),M890&lt;=1),COUNTIFS($H$511:$H$1010,"Yes",$M$511:$M$1010,"&lt;"&amp;M890)+COUNTIFS($H$511:H890,"Yes",$M$511:M890,M890),"")</x:f>
      </x:c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</x:row>
    <x:row r="891" ht="22" customHeight="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 t="str">
        <x:f>IF(OR(NOT(ISNUMBER('School Profile'!$K$4)),NOT(ISNUMBER('School Profile'!$K$5)),NOT(ISNUMBER(F891)),NOT(ISNUMBER(G891))),"",3958.7613*2*ASIN(MIN(1,SQRT(SIN(RADIANS(F891-'School Profile'!$K$4)/2)^2+COS(RADIANS('School Profile'!$K$4))*COS(RADIANS(F891))*SIN(RADIANS(G891-'School Profile'!$K$5)/2)^2))))</x:f>
      </x:c>
      <x:c r="N891" s="1" t="str">
        <x:f>IF(AND(H891="Yes",ISNUMBER(M891),M891&lt;=1),COUNTIFS($H$511:$H$1010,"Yes",$M$511:$M$1010,"&lt;"&amp;M891)+COUNTIFS($H$511:H891,"Yes",$M$511:M891,M891),"")</x:f>
      </x:c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</x:row>
    <x:row r="892" ht="22" customHeight="1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 t="str">
        <x:f>IF(OR(NOT(ISNUMBER('School Profile'!$K$4)),NOT(ISNUMBER('School Profile'!$K$5)),NOT(ISNUMBER(F892)),NOT(ISNUMBER(G892))),"",3958.7613*2*ASIN(MIN(1,SQRT(SIN(RADIANS(F892-'School Profile'!$K$4)/2)^2+COS(RADIANS('School Profile'!$K$4))*COS(RADIANS(F892))*SIN(RADIANS(G892-'School Profile'!$K$5)/2)^2))))</x:f>
      </x:c>
      <x:c r="N892" s="1" t="str">
        <x:f>IF(AND(H892="Yes",ISNUMBER(M892),M892&lt;=1),COUNTIFS($H$511:$H$1010,"Yes",$M$511:$M$1010,"&lt;"&amp;M892)+COUNTIFS($H$511:H892,"Yes",$M$511:M892,M892),"")</x:f>
      </x:c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</x:row>
    <x:row r="893" ht="22" customHeight="1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 t="str">
        <x:f>IF(OR(NOT(ISNUMBER('School Profile'!$K$4)),NOT(ISNUMBER('School Profile'!$K$5)),NOT(ISNUMBER(F893)),NOT(ISNUMBER(G893))),"",3958.7613*2*ASIN(MIN(1,SQRT(SIN(RADIANS(F893-'School Profile'!$K$4)/2)^2+COS(RADIANS('School Profile'!$K$4))*COS(RADIANS(F893))*SIN(RADIANS(G893-'School Profile'!$K$5)/2)^2))))</x:f>
      </x:c>
      <x:c r="N893" s="1" t="str">
        <x:f>IF(AND(H893="Yes",ISNUMBER(M893),M893&lt;=1),COUNTIFS($H$511:$H$1010,"Yes",$M$511:$M$1010,"&lt;"&amp;M893)+COUNTIFS($H$511:H893,"Yes",$M$511:M893,M893),"")</x:f>
      </x:c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</x:row>
    <x:row r="894" ht="22" customHeight="1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 t="str">
        <x:f>IF(OR(NOT(ISNUMBER('School Profile'!$K$4)),NOT(ISNUMBER('School Profile'!$K$5)),NOT(ISNUMBER(F894)),NOT(ISNUMBER(G894))),"",3958.7613*2*ASIN(MIN(1,SQRT(SIN(RADIANS(F894-'School Profile'!$K$4)/2)^2+COS(RADIANS('School Profile'!$K$4))*COS(RADIANS(F894))*SIN(RADIANS(G894-'School Profile'!$K$5)/2)^2))))</x:f>
      </x:c>
      <x:c r="N894" s="1" t="str">
        <x:f>IF(AND(H894="Yes",ISNUMBER(M894),M894&lt;=1),COUNTIFS($H$511:$H$1010,"Yes",$M$511:$M$1010,"&lt;"&amp;M894)+COUNTIFS($H$511:H894,"Yes",$M$511:M894,M894),"")</x:f>
      </x:c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</x:row>
    <x:row r="895" ht="22" customHeight="1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 t="str">
        <x:f>IF(OR(NOT(ISNUMBER('School Profile'!$K$4)),NOT(ISNUMBER('School Profile'!$K$5)),NOT(ISNUMBER(F895)),NOT(ISNUMBER(G895))),"",3958.7613*2*ASIN(MIN(1,SQRT(SIN(RADIANS(F895-'School Profile'!$K$4)/2)^2+COS(RADIANS('School Profile'!$K$4))*COS(RADIANS(F895))*SIN(RADIANS(G895-'School Profile'!$K$5)/2)^2))))</x:f>
      </x:c>
      <x:c r="N895" s="1" t="str">
        <x:f>IF(AND(H895="Yes",ISNUMBER(M895),M895&lt;=1),COUNTIFS($H$511:$H$1010,"Yes",$M$511:$M$1010,"&lt;"&amp;M895)+COUNTIFS($H$511:H895,"Yes",$M$511:M895,M895),"")</x:f>
      </x:c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</x:row>
    <x:row r="896" ht="22" customHeight="1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 t="str">
        <x:f>IF(OR(NOT(ISNUMBER('School Profile'!$K$4)),NOT(ISNUMBER('School Profile'!$K$5)),NOT(ISNUMBER(F896)),NOT(ISNUMBER(G896))),"",3958.7613*2*ASIN(MIN(1,SQRT(SIN(RADIANS(F896-'School Profile'!$K$4)/2)^2+COS(RADIANS('School Profile'!$K$4))*COS(RADIANS(F896))*SIN(RADIANS(G896-'School Profile'!$K$5)/2)^2))))</x:f>
      </x:c>
      <x:c r="N896" s="1" t="str">
        <x:f>IF(AND(H896="Yes",ISNUMBER(M896),M896&lt;=1),COUNTIFS($H$511:$H$1010,"Yes",$M$511:$M$1010,"&lt;"&amp;M896)+COUNTIFS($H$511:H896,"Yes",$M$511:M896,M896),"")</x:f>
      </x:c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</x:row>
    <x:row r="897" ht="22" customHeight="1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 t="str">
        <x:f>IF(OR(NOT(ISNUMBER('School Profile'!$K$4)),NOT(ISNUMBER('School Profile'!$K$5)),NOT(ISNUMBER(F897)),NOT(ISNUMBER(G897))),"",3958.7613*2*ASIN(MIN(1,SQRT(SIN(RADIANS(F897-'School Profile'!$K$4)/2)^2+COS(RADIANS('School Profile'!$K$4))*COS(RADIANS(F897))*SIN(RADIANS(G897-'School Profile'!$K$5)/2)^2))))</x:f>
      </x:c>
      <x:c r="N897" s="1" t="str">
        <x:f>IF(AND(H897="Yes",ISNUMBER(M897),M897&lt;=1),COUNTIFS($H$511:$H$1010,"Yes",$M$511:$M$1010,"&lt;"&amp;M897)+COUNTIFS($H$511:H897,"Yes",$M$511:M897,M897),"")</x:f>
      </x:c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</x:row>
    <x:row r="898" ht="22" customHeight="1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 t="str">
        <x:f>IF(OR(NOT(ISNUMBER('School Profile'!$K$4)),NOT(ISNUMBER('School Profile'!$K$5)),NOT(ISNUMBER(F898)),NOT(ISNUMBER(G898))),"",3958.7613*2*ASIN(MIN(1,SQRT(SIN(RADIANS(F898-'School Profile'!$K$4)/2)^2+COS(RADIANS('School Profile'!$K$4))*COS(RADIANS(F898))*SIN(RADIANS(G898-'School Profile'!$K$5)/2)^2))))</x:f>
      </x:c>
      <x:c r="N898" s="1" t="str">
        <x:f>IF(AND(H898="Yes",ISNUMBER(M898),M898&lt;=1),COUNTIFS($H$511:$H$1010,"Yes",$M$511:$M$1010,"&lt;"&amp;M898)+COUNTIFS($H$511:H898,"Yes",$M$511:M898,M898),"")</x:f>
      </x:c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</x:row>
    <x:row r="899" ht="22" customHeight="1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 t="str">
        <x:f>IF(OR(NOT(ISNUMBER('School Profile'!$K$4)),NOT(ISNUMBER('School Profile'!$K$5)),NOT(ISNUMBER(F899)),NOT(ISNUMBER(G899))),"",3958.7613*2*ASIN(MIN(1,SQRT(SIN(RADIANS(F899-'School Profile'!$K$4)/2)^2+COS(RADIANS('School Profile'!$K$4))*COS(RADIANS(F899))*SIN(RADIANS(G899-'School Profile'!$K$5)/2)^2))))</x:f>
      </x:c>
      <x:c r="N899" s="1" t="str">
        <x:f>IF(AND(H899="Yes",ISNUMBER(M899),M899&lt;=1),COUNTIFS($H$511:$H$1010,"Yes",$M$511:$M$1010,"&lt;"&amp;M899)+COUNTIFS($H$511:H899,"Yes",$M$511:M899,M899),"")</x:f>
      </x:c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</x:row>
    <x:row r="900" ht="22" customHeight="1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 t="str">
        <x:f>IF(OR(NOT(ISNUMBER('School Profile'!$K$4)),NOT(ISNUMBER('School Profile'!$K$5)),NOT(ISNUMBER(F900)),NOT(ISNUMBER(G900))),"",3958.7613*2*ASIN(MIN(1,SQRT(SIN(RADIANS(F900-'School Profile'!$K$4)/2)^2+COS(RADIANS('School Profile'!$K$4))*COS(RADIANS(F900))*SIN(RADIANS(G900-'School Profile'!$K$5)/2)^2))))</x:f>
      </x:c>
      <x:c r="N900" s="1" t="str">
        <x:f>IF(AND(H900="Yes",ISNUMBER(M900),M900&lt;=1),COUNTIFS($H$511:$H$1010,"Yes",$M$511:$M$1010,"&lt;"&amp;M900)+COUNTIFS($H$511:H900,"Yes",$M$511:M900,M900),"")</x:f>
      </x:c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</x:row>
    <x:row r="901" ht="22" customHeight="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 t="str">
        <x:f>IF(OR(NOT(ISNUMBER('School Profile'!$K$4)),NOT(ISNUMBER('School Profile'!$K$5)),NOT(ISNUMBER(F901)),NOT(ISNUMBER(G901))),"",3958.7613*2*ASIN(MIN(1,SQRT(SIN(RADIANS(F901-'School Profile'!$K$4)/2)^2+COS(RADIANS('School Profile'!$K$4))*COS(RADIANS(F901))*SIN(RADIANS(G901-'School Profile'!$K$5)/2)^2))))</x:f>
      </x:c>
      <x:c r="N901" s="1" t="str">
        <x:f>IF(AND(H901="Yes",ISNUMBER(M901),M901&lt;=1),COUNTIFS($H$511:$H$1010,"Yes",$M$511:$M$1010,"&lt;"&amp;M901)+COUNTIFS($H$511:H901,"Yes",$M$511:M901,M901),"")</x:f>
      </x:c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</x:row>
    <x:row r="902" ht="22" customHeight="1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 t="str">
        <x:f>IF(OR(NOT(ISNUMBER('School Profile'!$K$4)),NOT(ISNUMBER('School Profile'!$K$5)),NOT(ISNUMBER(F902)),NOT(ISNUMBER(G902))),"",3958.7613*2*ASIN(MIN(1,SQRT(SIN(RADIANS(F902-'School Profile'!$K$4)/2)^2+COS(RADIANS('School Profile'!$K$4))*COS(RADIANS(F902))*SIN(RADIANS(G902-'School Profile'!$K$5)/2)^2))))</x:f>
      </x:c>
      <x:c r="N902" s="1" t="str">
        <x:f>IF(AND(H902="Yes",ISNUMBER(M902),M902&lt;=1),COUNTIFS($H$511:$H$1010,"Yes",$M$511:$M$1010,"&lt;"&amp;M902)+COUNTIFS($H$511:H902,"Yes",$M$511:M902,M902),"")</x:f>
      </x:c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</x:row>
    <x:row r="903" ht="22" customHeight="1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 t="str">
        <x:f>IF(OR(NOT(ISNUMBER('School Profile'!$K$4)),NOT(ISNUMBER('School Profile'!$K$5)),NOT(ISNUMBER(F903)),NOT(ISNUMBER(G903))),"",3958.7613*2*ASIN(MIN(1,SQRT(SIN(RADIANS(F903-'School Profile'!$K$4)/2)^2+COS(RADIANS('School Profile'!$K$4))*COS(RADIANS(F903))*SIN(RADIANS(G903-'School Profile'!$K$5)/2)^2))))</x:f>
      </x:c>
      <x:c r="N903" s="1" t="str">
        <x:f>IF(AND(H903="Yes",ISNUMBER(M903),M903&lt;=1),COUNTIFS($H$511:$H$1010,"Yes",$M$511:$M$1010,"&lt;"&amp;M903)+COUNTIFS($H$511:H903,"Yes",$M$511:M903,M903),"")</x:f>
      </x:c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</x:row>
    <x:row r="904" ht="22" customHeight="1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 t="str">
        <x:f>IF(OR(NOT(ISNUMBER('School Profile'!$K$4)),NOT(ISNUMBER('School Profile'!$K$5)),NOT(ISNUMBER(F904)),NOT(ISNUMBER(G904))),"",3958.7613*2*ASIN(MIN(1,SQRT(SIN(RADIANS(F904-'School Profile'!$K$4)/2)^2+COS(RADIANS('School Profile'!$K$4))*COS(RADIANS(F904))*SIN(RADIANS(G904-'School Profile'!$K$5)/2)^2))))</x:f>
      </x:c>
      <x:c r="N904" s="1" t="str">
        <x:f>IF(AND(H904="Yes",ISNUMBER(M904),M904&lt;=1),COUNTIFS($H$511:$H$1010,"Yes",$M$511:$M$1010,"&lt;"&amp;M904)+COUNTIFS($H$511:H904,"Yes",$M$511:M904,M904),"")</x:f>
      </x:c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</x:row>
    <x:row r="905" ht="22" customHeight="1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 t="str">
        <x:f>IF(OR(NOT(ISNUMBER('School Profile'!$K$4)),NOT(ISNUMBER('School Profile'!$K$5)),NOT(ISNUMBER(F905)),NOT(ISNUMBER(G905))),"",3958.7613*2*ASIN(MIN(1,SQRT(SIN(RADIANS(F905-'School Profile'!$K$4)/2)^2+COS(RADIANS('School Profile'!$K$4))*COS(RADIANS(F905))*SIN(RADIANS(G905-'School Profile'!$K$5)/2)^2))))</x:f>
      </x:c>
      <x:c r="N905" s="1" t="str">
        <x:f>IF(AND(H905="Yes",ISNUMBER(M905),M905&lt;=1),COUNTIFS($H$511:$H$1010,"Yes",$M$511:$M$1010,"&lt;"&amp;M905)+COUNTIFS($H$511:H905,"Yes",$M$511:M905,M905),"")</x:f>
      </x:c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</x:row>
    <x:row r="906" ht="22" customHeight="1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 t="str">
        <x:f>IF(OR(NOT(ISNUMBER('School Profile'!$K$4)),NOT(ISNUMBER('School Profile'!$K$5)),NOT(ISNUMBER(F906)),NOT(ISNUMBER(G906))),"",3958.7613*2*ASIN(MIN(1,SQRT(SIN(RADIANS(F906-'School Profile'!$K$4)/2)^2+COS(RADIANS('School Profile'!$K$4))*COS(RADIANS(F906))*SIN(RADIANS(G906-'School Profile'!$K$5)/2)^2))))</x:f>
      </x:c>
      <x:c r="N906" s="1" t="str">
        <x:f>IF(AND(H906="Yes",ISNUMBER(M906),M906&lt;=1),COUNTIFS($H$511:$H$1010,"Yes",$M$511:$M$1010,"&lt;"&amp;M906)+COUNTIFS($H$511:H906,"Yes",$M$511:M906,M906),"")</x:f>
      </x:c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</x:row>
    <x:row r="907" ht="22" customHeight="1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 t="str">
        <x:f>IF(OR(NOT(ISNUMBER('School Profile'!$K$4)),NOT(ISNUMBER('School Profile'!$K$5)),NOT(ISNUMBER(F907)),NOT(ISNUMBER(G907))),"",3958.7613*2*ASIN(MIN(1,SQRT(SIN(RADIANS(F907-'School Profile'!$K$4)/2)^2+COS(RADIANS('School Profile'!$K$4))*COS(RADIANS(F907))*SIN(RADIANS(G907-'School Profile'!$K$5)/2)^2))))</x:f>
      </x:c>
      <x:c r="N907" s="1" t="str">
        <x:f>IF(AND(H907="Yes",ISNUMBER(M907),M907&lt;=1),COUNTIFS($H$511:$H$1010,"Yes",$M$511:$M$1010,"&lt;"&amp;M907)+COUNTIFS($H$511:H907,"Yes",$M$511:M907,M907),"")</x:f>
      </x:c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</x:row>
    <x:row r="908" ht="22" customHeight="1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 t="str">
        <x:f>IF(OR(NOT(ISNUMBER('School Profile'!$K$4)),NOT(ISNUMBER('School Profile'!$K$5)),NOT(ISNUMBER(F908)),NOT(ISNUMBER(G908))),"",3958.7613*2*ASIN(MIN(1,SQRT(SIN(RADIANS(F908-'School Profile'!$K$4)/2)^2+COS(RADIANS('School Profile'!$K$4))*COS(RADIANS(F908))*SIN(RADIANS(G908-'School Profile'!$K$5)/2)^2))))</x:f>
      </x:c>
      <x:c r="N908" s="1" t="str">
        <x:f>IF(AND(H908="Yes",ISNUMBER(M908),M908&lt;=1),COUNTIFS($H$511:$H$1010,"Yes",$M$511:$M$1010,"&lt;"&amp;M908)+COUNTIFS($H$511:H908,"Yes",$M$511:M908,M908),"")</x:f>
      </x:c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</x:row>
    <x:row r="909" ht="22" customHeight="1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 t="str">
        <x:f>IF(OR(NOT(ISNUMBER('School Profile'!$K$4)),NOT(ISNUMBER('School Profile'!$K$5)),NOT(ISNUMBER(F909)),NOT(ISNUMBER(G909))),"",3958.7613*2*ASIN(MIN(1,SQRT(SIN(RADIANS(F909-'School Profile'!$K$4)/2)^2+COS(RADIANS('School Profile'!$K$4))*COS(RADIANS(F909))*SIN(RADIANS(G909-'School Profile'!$K$5)/2)^2))))</x:f>
      </x:c>
      <x:c r="N909" s="1" t="str">
        <x:f>IF(AND(H909="Yes",ISNUMBER(M909),M909&lt;=1),COUNTIFS($H$511:$H$1010,"Yes",$M$511:$M$1010,"&lt;"&amp;M909)+COUNTIFS($H$511:H909,"Yes",$M$511:M909,M909),"")</x:f>
      </x:c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</x:row>
    <x:row r="910" ht="22" customHeight="1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 t="str">
        <x:f>IF(OR(NOT(ISNUMBER('School Profile'!$K$4)),NOT(ISNUMBER('School Profile'!$K$5)),NOT(ISNUMBER(F910)),NOT(ISNUMBER(G910))),"",3958.7613*2*ASIN(MIN(1,SQRT(SIN(RADIANS(F910-'School Profile'!$K$4)/2)^2+COS(RADIANS('School Profile'!$K$4))*COS(RADIANS(F910))*SIN(RADIANS(G910-'School Profile'!$K$5)/2)^2))))</x:f>
      </x:c>
      <x:c r="N910" s="1" t="str">
        <x:f>IF(AND(H910="Yes",ISNUMBER(M910),M910&lt;=1),COUNTIFS($H$511:$H$1010,"Yes",$M$511:$M$1010,"&lt;"&amp;M910)+COUNTIFS($H$511:H910,"Yes",$M$511:M910,M910),"")</x:f>
      </x:c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</x:row>
    <x:row r="911" ht="22" customHeight="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 t="str">
        <x:f>IF(OR(NOT(ISNUMBER('School Profile'!$K$4)),NOT(ISNUMBER('School Profile'!$K$5)),NOT(ISNUMBER(F911)),NOT(ISNUMBER(G911))),"",3958.7613*2*ASIN(MIN(1,SQRT(SIN(RADIANS(F911-'School Profile'!$K$4)/2)^2+COS(RADIANS('School Profile'!$K$4))*COS(RADIANS(F911))*SIN(RADIANS(G911-'School Profile'!$K$5)/2)^2))))</x:f>
      </x:c>
      <x:c r="N911" s="1" t="str">
        <x:f>IF(AND(H911="Yes",ISNUMBER(M911),M911&lt;=1),COUNTIFS($H$511:$H$1010,"Yes",$M$511:$M$1010,"&lt;"&amp;M911)+COUNTIFS($H$511:H911,"Yes",$M$511:M911,M911),"")</x:f>
      </x:c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</x:row>
    <x:row r="912" ht="22" customHeight="1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 t="str">
        <x:f>IF(OR(NOT(ISNUMBER('School Profile'!$K$4)),NOT(ISNUMBER('School Profile'!$K$5)),NOT(ISNUMBER(F912)),NOT(ISNUMBER(G912))),"",3958.7613*2*ASIN(MIN(1,SQRT(SIN(RADIANS(F912-'School Profile'!$K$4)/2)^2+COS(RADIANS('School Profile'!$K$4))*COS(RADIANS(F912))*SIN(RADIANS(G912-'School Profile'!$K$5)/2)^2))))</x:f>
      </x:c>
      <x:c r="N912" s="1" t="str">
        <x:f>IF(AND(H912="Yes",ISNUMBER(M912),M912&lt;=1),COUNTIFS($H$511:$H$1010,"Yes",$M$511:$M$1010,"&lt;"&amp;M912)+COUNTIFS($H$511:H912,"Yes",$M$511:M912,M912),"")</x:f>
      </x:c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</x:row>
    <x:row r="913" ht="22" customHeight="1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 t="str">
        <x:f>IF(OR(NOT(ISNUMBER('School Profile'!$K$4)),NOT(ISNUMBER('School Profile'!$K$5)),NOT(ISNUMBER(F913)),NOT(ISNUMBER(G913))),"",3958.7613*2*ASIN(MIN(1,SQRT(SIN(RADIANS(F913-'School Profile'!$K$4)/2)^2+COS(RADIANS('School Profile'!$K$4))*COS(RADIANS(F913))*SIN(RADIANS(G913-'School Profile'!$K$5)/2)^2))))</x:f>
      </x:c>
      <x:c r="N913" s="1" t="str">
        <x:f>IF(AND(H913="Yes",ISNUMBER(M913),M913&lt;=1),COUNTIFS($H$511:$H$1010,"Yes",$M$511:$M$1010,"&lt;"&amp;M913)+COUNTIFS($H$511:H913,"Yes",$M$511:M913,M913),"")</x:f>
      </x:c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</x:row>
    <x:row r="914" ht="22" customHeight="1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 t="str">
        <x:f>IF(OR(NOT(ISNUMBER('School Profile'!$K$4)),NOT(ISNUMBER('School Profile'!$K$5)),NOT(ISNUMBER(F914)),NOT(ISNUMBER(G914))),"",3958.7613*2*ASIN(MIN(1,SQRT(SIN(RADIANS(F914-'School Profile'!$K$4)/2)^2+COS(RADIANS('School Profile'!$K$4))*COS(RADIANS(F914))*SIN(RADIANS(G914-'School Profile'!$K$5)/2)^2))))</x:f>
      </x:c>
      <x:c r="N914" s="1" t="str">
        <x:f>IF(AND(H914="Yes",ISNUMBER(M914),M914&lt;=1),COUNTIFS($H$511:$H$1010,"Yes",$M$511:$M$1010,"&lt;"&amp;M914)+COUNTIFS($H$511:H914,"Yes",$M$511:M914,M914),"")</x:f>
      </x:c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</x:row>
    <x:row r="915" ht="22" customHeight="1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 t="str">
        <x:f>IF(OR(NOT(ISNUMBER('School Profile'!$K$4)),NOT(ISNUMBER('School Profile'!$K$5)),NOT(ISNUMBER(F915)),NOT(ISNUMBER(G915))),"",3958.7613*2*ASIN(MIN(1,SQRT(SIN(RADIANS(F915-'School Profile'!$K$4)/2)^2+COS(RADIANS('School Profile'!$K$4))*COS(RADIANS(F915))*SIN(RADIANS(G915-'School Profile'!$K$5)/2)^2))))</x:f>
      </x:c>
      <x:c r="N915" s="1" t="str">
        <x:f>IF(AND(H915="Yes",ISNUMBER(M915),M915&lt;=1),COUNTIFS($H$511:$H$1010,"Yes",$M$511:$M$1010,"&lt;"&amp;M915)+COUNTIFS($H$511:H915,"Yes",$M$511:M915,M915),"")</x:f>
      </x:c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</x:row>
    <x:row r="916" ht="22" customHeight="1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 t="str">
        <x:f>IF(OR(NOT(ISNUMBER('School Profile'!$K$4)),NOT(ISNUMBER('School Profile'!$K$5)),NOT(ISNUMBER(F916)),NOT(ISNUMBER(G916))),"",3958.7613*2*ASIN(MIN(1,SQRT(SIN(RADIANS(F916-'School Profile'!$K$4)/2)^2+COS(RADIANS('School Profile'!$K$4))*COS(RADIANS(F916))*SIN(RADIANS(G916-'School Profile'!$K$5)/2)^2))))</x:f>
      </x:c>
      <x:c r="N916" s="1" t="str">
        <x:f>IF(AND(H916="Yes",ISNUMBER(M916),M916&lt;=1),COUNTIFS($H$511:$H$1010,"Yes",$M$511:$M$1010,"&lt;"&amp;M916)+COUNTIFS($H$511:H916,"Yes",$M$511:M916,M916),"")</x:f>
      </x:c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</x:row>
    <x:row r="917" ht="22" customHeight="1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 t="str">
        <x:f>IF(OR(NOT(ISNUMBER('School Profile'!$K$4)),NOT(ISNUMBER('School Profile'!$K$5)),NOT(ISNUMBER(F917)),NOT(ISNUMBER(G917))),"",3958.7613*2*ASIN(MIN(1,SQRT(SIN(RADIANS(F917-'School Profile'!$K$4)/2)^2+COS(RADIANS('School Profile'!$K$4))*COS(RADIANS(F917))*SIN(RADIANS(G917-'School Profile'!$K$5)/2)^2))))</x:f>
      </x:c>
      <x:c r="N917" s="1" t="str">
        <x:f>IF(AND(H917="Yes",ISNUMBER(M917),M917&lt;=1),COUNTIFS($H$511:$H$1010,"Yes",$M$511:$M$1010,"&lt;"&amp;M917)+COUNTIFS($H$511:H917,"Yes",$M$511:M917,M917),"")</x:f>
      </x:c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</x:row>
    <x:row r="918" ht="22" customHeight="1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 t="str">
        <x:f>IF(OR(NOT(ISNUMBER('School Profile'!$K$4)),NOT(ISNUMBER('School Profile'!$K$5)),NOT(ISNUMBER(F918)),NOT(ISNUMBER(G918))),"",3958.7613*2*ASIN(MIN(1,SQRT(SIN(RADIANS(F918-'School Profile'!$K$4)/2)^2+COS(RADIANS('School Profile'!$K$4))*COS(RADIANS(F918))*SIN(RADIANS(G918-'School Profile'!$K$5)/2)^2))))</x:f>
      </x:c>
      <x:c r="N918" s="1" t="str">
        <x:f>IF(AND(H918="Yes",ISNUMBER(M918),M918&lt;=1),COUNTIFS($H$511:$H$1010,"Yes",$M$511:$M$1010,"&lt;"&amp;M918)+COUNTIFS($H$511:H918,"Yes",$M$511:M918,M918),"")</x:f>
      </x:c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</x:row>
    <x:row r="919" ht="22" customHeight="1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 t="str">
        <x:f>IF(OR(NOT(ISNUMBER('School Profile'!$K$4)),NOT(ISNUMBER('School Profile'!$K$5)),NOT(ISNUMBER(F919)),NOT(ISNUMBER(G919))),"",3958.7613*2*ASIN(MIN(1,SQRT(SIN(RADIANS(F919-'School Profile'!$K$4)/2)^2+COS(RADIANS('School Profile'!$K$4))*COS(RADIANS(F919))*SIN(RADIANS(G919-'School Profile'!$K$5)/2)^2))))</x:f>
      </x:c>
      <x:c r="N919" s="1" t="str">
        <x:f>IF(AND(H919="Yes",ISNUMBER(M919),M919&lt;=1),COUNTIFS($H$511:$H$1010,"Yes",$M$511:$M$1010,"&lt;"&amp;M919)+COUNTIFS($H$511:H919,"Yes",$M$511:M919,M919),"")</x:f>
      </x:c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</x:row>
    <x:row r="920" ht="22" customHeight="1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 t="str">
        <x:f>IF(OR(NOT(ISNUMBER('School Profile'!$K$4)),NOT(ISNUMBER('School Profile'!$K$5)),NOT(ISNUMBER(F920)),NOT(ISNUMBER(G920))),"",3958.7613*2*ASIN(MIN(1,SQRT(SIN(RADIANS(F920-'School Profile'!$K$4)/2)^2+COS(RADIANS('School Profile'!$K$4))*COS(RADIANS(F920))*SIN(RADIANS(G920-'School Profile'!$K$5)/2)^2))))</x:f>
      </x:c>
      <x:c r="N920" s="1" t="str">
        <x:f>IF(AND(H920="Yes",ISNUMBER(M920),M920&lt;=1),COUNTIFS($H$511:$H$1010,"Yes",$M$511:$M$1010,"&lt;"&amp;M920)+COUNTIFS($H$511:H920,"Yes",$M$511:M920,M920),"")</x:f>
      </x:c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</x:row>
    <x:row r="921" ht="22" customHeight="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 t="str">
        <x:f>IF(OR(NOT(ISNUMBER('School Profile'!$K$4)),NOT(ISNUMBER('School Profile'!$K$5)),NOT(ISNUMBER(F921)),NOT(ISNUMBER(G921))),"",3958.7613*2*ASIN(MIN(1,SQRT(SIN(RADIANS(F921-'School Profile'!$K$4)/2)^2+COS(RADIANS('School Profile'!$K$4))*COS(RADIANS(F921))*SIN(RADIANS(G921-'School Profile'!$K$5)/2)^2))))</x:f>
      </x:c>
      <x:c r="N921" s="1" t="str">
        <x:f>IF(AND(H921="Yes",ISNUMBER(M921),M921&lt;=1),COUNTIFS($H$511:$H$1010,"Yes",$M$511:$M$1010,"&lt;"&amp;M921)+COUNTIFS($H$511:H921,"Yes",$M$511:M921,M921),"")</x:f>
      </x:c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</x:row>
    <x:row r="922" ht="22" customHeight="1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 t="str">
        <x:f>IF(OR(NOT(ISNUMBER('School Profile'!$K$4)),NOT(ISNUMBER('School Profile'!$K$5)),NOT(ISNUMBER(F922)),NOT(ISNUMBER(G922))),"",3958.7613*2*ASIN(MIN(1,SQRT(SIN(RADIANS(F922-'School Profile'!$K$4)/2)^2+COS(RADIANS('School Profile'!$K$4))*COS(RADIANS(F922))*SIN(RADIANS(G922-'School Profile'!$K$5)/2)^2))))</x:f>
      </x:c>
      <x:c r="N922" s="1" t="str">
        <x:f>IF(AND(H922="Yes",ISNUMBER(M922),M922&lt;=1),COUNTIFS($H$511:$H$1010,"Yes",$M$511:$M$1010,"&lt;"&amp;M922)+COUNTIFS($H$511:H922,"Yes",$M$511:M922,M922),"")</x:f>
      </x:c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</x:row>
    <x:row r="923" ht="22" customHeight="1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 t="str">
        <x:f>IF(OR(NOT(ISNUMBER('School Profile'!$K$4)),NOT(ISNUMBER('School Profile'!$K$5)),NOT(ISNUMBER(F923)),NOT(ISNUMBER(G923))),"",3958.7613*2*ASIN(MIN(1,SQRT(SIN(RADIANS(F923-'School Profile'!$K$4)/2)^2+COS(RADIANS('School Profile'!$K$4))*COS(RADIANS(F923))*SIN(RADIANS(G923-'School Profile'!$K$5)/2)^2))))</x:f>
      </x:c>
      <x:c r="N923" s="1" t="str">
        <x:f>IF(AND(H923="Yes",ISNUMBER(M923),M923&lt;=1),COUNTIFS($H$511:$H$1010,"Yes",$M$511:$M$1010,"&lt;"&amp;M923)+COUNTIFS($H$511:H923,"Yes",$M$511:M923,M923),"")</x:f>
      </x:c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</x:row>
    <x:row r="924" ht="22" customHeight="1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 t="str">
        <x:f>IF(OR(NOT(ISNUMBER('School Profile'!$K$4)),NOT(ISNUMBER('School Profile'!$K$5)),NOT(ISNUMBER(F924)),NOT(ISNUMBER(G924))),"",3958.7613*2*ASIN(MIN(1,SQRT(SIN(RADIANS(F924-'School Profile'!$K$4)/2)^2+COS(RADIANS('School Profile'!$K$4))*COS(RADIANS(F924))*SIN(RADIANS(G924-'School Profile'!$K$5)/2)^2))))</x:f>
      </x:c>
      <x:c r="N924" s="1" t="str">
        <x:f>IF(AND(H924="Yes",ISNUMBER(M924),M924&lt;=1),COUNTIFS($H$511:$H$1010,"Yes",$M$511:$M$1010,"&lt;"&amp;M924)+COUNTIFS($H$511:H924,"Yes",$M$511:M924,M924),"")</x:f>
      </x:c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</x:row>
    <x:row r="925" ht="22" customHeight="1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 t="str">
        <x:f>IF(OR(NOT(ISNUMBER('School Profile'!$K$4)),NOT(ISNUMBER('School Profile'!$K$5)),NOT(ISNUMBER(F925)),NOT(ISNUMBER(G925))),"",3958.7613*2*ASIN(MIN(1,SQRT(SIN(RADIANS(F925-'School Profile'!$K$4)/2)^2+COS(RADIANS('School Profile'!$K$4))*COS(RADIANS(F925))*SIN(RADIANS(G925-'School Profile'!$K$5)/2)^2))))</x:f>
      </x:c>
      <x:c r="N925" s="1" t="str">
        <x:f>IF(AND(H925="Yes",ISNUMBER(M925),M925&lt;=1),COUNTIFS($H$511:$H$1010,"Yes",$M$511:$M$1010,"&lt;"&amp;M925)+COUNTIFS($H$511:H925,"Yes",$M$511:M925,M925),"")</x:f>
      </x:c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</x:row>
    <x:row r="926" ht="22" customHeight="1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 t="str">
        <x:f>IF(OR(NOT(ISNUMBER('School Profile'!$K$4)),NOT(ISNUMBER('School Profile'!$K$5)),NOT(ISNUMBER(F926)),NOT(ISNUMBER(G926))),"",3958.7613*2*ASIN(MIN(1,SQRT(SIN(RADIANS(F926-'School Profile'!$K$4)/2)^2+COS(RADIANS('School Profile'!$K$4))*COS(RADIANS(F926))*SIN(RADIANS(G926-'School Profile'!$K$5)/2)^2))))</x:f>
      </x:c>
      <x:c r="N926" s="1" t="str">
        <x:f>IF(AND(H926="Yes",ISNUMBER(M926),M926&lt;=1),COUNTIFS($H$511:$H$1010,"Yes",$M$511:$M$1010,"&lt;"&amp;M926)+COUNTIFS($H$511:H926,"Yes",$M$511:M926,M926),"")</x:f>
      </x:c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</x:row>
    <x:row r="927" ht="22" customHeight="1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 t="str">
        <x:f>IF(OR(NOT(ISNUMBER('School Profile'!$K$4)),NOT(ISNUMBER('School Profile'!$K$5)),NOT(ISNUMBER(F927)),NOT(ISNUMBER(G927))),"",3958.7613*2*ASIN(MIN(1,SQRT(SIN(RADIANS(F927-'School Profile'!$K$4)/2)^2+COS(RADIANS('School Profile'!$K$4))*COS(RADIANS(F927))*SIN(RADIANS(G927-'School Profile'!$K$5)/2)^2))))</x:f>
      </x:c>
      <x:c r="N927" s="1" t="str">
        <x:f>IF(AND(H927="Yes",ISNUMBER(M927),M927&lt;=1),COUNTIFS($H$511:$H$1010,"Yes",$M$511:$M$1010,"&lt;"&amp;M927)+COUNTIFS($H$511:H927,"Yes",$M$511:M927,M927),"")</x:f>
      </x:c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</x:row>
    <x:row r="928" ht="22" customHeight="1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 t="str">
        <x:f>IF(OR(NOT(ISNUMBER('School Profile'!$K$4)),NOT(ISNUMBER('School Profile'!$K$5)),NOT(ISNUMBER(F928)),NOT(ISNUMBER(G928))),"",3958.7613*2*ASIN(MIN(1,SQRT(SIN(RADIANS(F928-'School Profile'!$K$4)/2)^2+COS(RADIANS('School Profile'!$K$4))*COS(RADIANS(F928))*SIN(RADIANS(G928-'School Profile'!$K$5)/2)^2))))</x:f>
      </x:c>
      <x:c r="N928" s="1" t="str">
        <x:f>IF(AND(H928="Yes",ISNUMBER(M928),M928&lt;=1),COUNTIFS($H$511:$H$1010,"Yes",$M$511:$M$1010,"&lt;"&amp;M928)+COUNTIFS($H$511:H928,"Yes",$M$511:M928,M928),"")</x:f>
      </x:c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</x:row>
    <x:row r="929" ht="22" customHeight="1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 t="str">
        <x:f>IF(OR(NOT(ISNUMBER('School Profile'!$K$4)),NOT(ISNUMBER('School Profile'!$K$5)),NOT(ISNUMBER(F929)),NOT(ISNUMBER(G929))),"",3958.7613*2*ASIN(MIN(1,SQRT(SIN(RADIANS(F929-'School Profile'!$K$4)/2)^2+COS(RADIANS('School Profile'!$K$4))*COS(RADIANS(F929))*SIN(RADIANS(G929-'School Profile'!$K$5)/2)^2))))</x:f>
      </x:c>
      <x:c r="N929" s="1" t="str">
        <x:f>IF(AND(H929="Yes",ISNUMBER(M929),M929&lt;=1),COUNTIFS($H$511:$H$1010,"Yes",$M$511:$M$1010,"&lt;"&amp;M929)+COUNTIFS($H$511:H929,"Yes",$M$511:M929,M929),"")</x:f>
      </x:c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</x:row>
    <x:row r="930" ht="22" customHeight="1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 t="str">
        <x:f>IF(OR(NOT(ISNUMBER('School Profile'!$K$4)),NOT(ISNUMBER('School Profile'!$K$5)),NOT(ISNUMBER(F930)),NOT(ISNUMBER(G930))),"",3958.7613*2*ASIN(MIN(1,SQRT(SIN(RADIANS(F930-'School Profile'!$K$4)/2)^2+COS(RADIANS('School Profile'!$K$4))*COS(RADIANS(F930))*SIN(RADIANS(G930-'School Profile'!$K$5)/2)^2))))</x:f>
      </x:c>
      <x:c r="N930" s="1" t="str">
        <x:f>IF(AND(H930="Yes",ISNUMBER(M930),M930&lt;=1),COUNTIFS($H$511:$H$1010,"Yes",$M$511:$M$1010,"&lt;"&amp;M930)+COUNTIFS($H$511:H930,"Yes",$M$511:M930,M930),"")</x:f>
      </x:c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</x:row>
    <x:row r="931" ht="22" customHeight="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 t="str">
        <x:f>IF(OR(NOT(ISNUMBER('School Profile'!$K$4)),NOT(ISNUMBER('School Profile'!$K$5)),NOT(ISNUMBER(F931)),NOT(ISNUMBER(G931))),"",3958.7613*2*ASIN(MIN(1,SQRT(SIN(RADIANS(F931-'School Profile'!$K$4)/2)^2+COS(RADIANS('School Profile'!$K$4))*COS(RADIANS(F931))*SIN(RADIANS(G931-'School Profile'!$K$5)/2)^2))))</x:f>
      </x:c>
      <x:c r="N931" s="1" t="str">
        <x:f>IF(AND(H931="Yes",ISNUMBER(M931),M931&lt;=1),COUNTIFS($H$511:$H$1010,"Yes",$M$511:$M$1010,"&lt;"&amp;M931)+COUNTIFS($H$511:H931,"Yes",$M$511:M931,M931),"")</x:f>
      </x:c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</x:row>
    <x:row r="932" ht="22" customHeight="1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 t="str">
        <x:f>IF(OR(NOT(ISNUMBER('School Profile'!$K$4)),NOT(ISNUMBER('School Profile'!$K$5)),NOT(ISNUMBER(F932)),NOT(ISNUMBER(G932))),"",3958.7613*2*ASIN(MIN(1,SQRT(SIN(RADIANS(F932-'School Profile'!$K$4)/2)^2+COS(RADIANS('School Profile'!$K$4))*COS(RADIANS(F932))*SIN(RADIANS(G932-'School Profile'!$K$5)/2)^2))))</x:f>
      </x:c>
      <x:c r="N932" s="1" t="str">
        <x:f>IF(AND(H932="Yes",ISNUMBER(M932),M932&lt;=1),COUNTIFS($H$511:$H$1010,"Yes",$M$511:$M$1010,"&lt;"&amp;M932)+COUNTIFS($H$511:H932,"Yes",$M$511:M932,M932),"")</x:f>
      </x:c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</x:row>
    <x:row r="933" ht="22" customHeight="1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 t="str">
        <x:f>IF(OR(NOT(ISNUMBER('School Profile'!$K$4)),NOT(ISNUMBER('School Profile'!$K$5)),NOT(ISNUMBER(F933)),NOT(ISNUMBER(G933))),"",3958.7613*2*ASIN(MIN(1,SQRT(SIN(RADIANS(F933-'School Profile'!$K$4)/2)^2+COS(RADIANS('School Profile'!$K$4))*COS(RADIANS(F933))*SIN(RADIANS(G933-'School Profile'!$K$5)/2)^2))))</x:f>
      </x:c>
      <x:c r="N933" s="1" t="str">
        <x:f>IF(AND(H933="Yes",ISNUMBER(M933),M933&lt;=1),COUNTIFS($H$511:$H$1010,"Yes",$M$511:$M$1010,"&lt;"&amp;M933)+COUNTIFS($H$511:H933,"Yes",$M$511:M933,M933),"")</x:f>
      </x:c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</x:row>
    <x:row r="934" ht="22" customHeight="1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 t="str">
        <x:f>IF(OR(NOT(ISNUMBER('School Profile'!$K$4)),NOT(ISNUMBER('School Profile'!$K$5)),NOT(ISNUMBER(F934)),NOT(ISNUMBER(G934))),"",3958.7613*2*ASIN(MIN(1,SQRT(SIN(RADIANS(F934-'School Profile'!$K$4)/2)^2+COS(RADIANS('School Profile'!$K$4))*COS(RADIANS(F934))*SIN(RADIANS(G934-'School Profile'!$K$5)/2)^2))))</x:f>
      </x:c>
      <x:c r="N934" s="1" t="str">
        <x:f>IF(AND(H934="Yes",ISNUMBER(M934),M934&lt;=1),COUNTIFS($H$511:$H$1010,"Yes",$M$511:$M$1010,"&lt;"&amp;M934)+COUNTIFS($H$511:H934,"Yes",$M$511:M934,M934),"")</x:f>
      </x:c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</x:row>
    <x:row r="935" ht="22" customHeight="1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 t="str">
        <x:f>IF(OR(NOT(ISNUMBER('School Profile'!$K$4)),NOT(ISNUMBER('School Profile'!$K$5)),NOT(ISNUMBER(F935)),NOT(ISNUMBER(G935))),"",3958.7613*2*ASIN(MIN(1,SQRT(SIN(RADIANS(F935-'School Profile'!$K$4)/2)^2+COS(RADIANS('School Profile'!$K$4))*COS(RADIANS(F935))*SIN(RADIANS(G935-'School Profile'!$K$5)/2)^2))))</x:f>
      </x:c>
      <x:c r="N935" s="1" t="str">
        <x:f>IF(AND(H935="Yes",ISNUMBER(M935),M935&lt;=1),COUNTIFS($H$511:$H$1010,"Yes",$M$511:$M$1010,"&lt;"&amp;M935)+COUNTIFS($H$511:H935,"Yes",$M$511:M935,M935),"")</x:f>
      </x:c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</x:row>
    <x:row r="936" ht="22" customHeight="1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 t="str">
        <x:f>IF(OR(NOT(ISNUMBER('School Profile'!$K$4)),NOT(ISNUMBER('School Profile'!$K$5)),NOT(ISNUMBER(F936)),NOT(ISNUMBER(G936))),"",3958.7613*2*ASIN(MIN(1,SQRT(SIN(RADIANS(F936-'School Profile'!$K$4)/2)^2+COS(RADIANS('School Profile'!$K$4))*COS(RADIANS(F936))*SIN(RADIANS(G936-'School Profile'!$K$5)/2)^2))))</x:f>
      </x:c>
      <x:c r="N936" s="1" t="str">
        <x:f>IF(AND(H936="Yes",ISNUMBER(M936),M936&lt;=1),COUNTIFS($H$511:$H$1010,"Yes",$M$511:$M$1010,"&lt;"&amp;M936)+COUNTIFS($H$511:H936,"Yes",$M$511:M936,M936),"")</x:f>
      </x:c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</x:row>
    <x:row r="937" ht="22" customHeight="1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 t="str">
        <x:f>IF(OR(NOT(ISNUMBER('School Profile'!$K$4)),NOT(ISNUMBER('School Profile'!$K$5)),NOT(ISNUMBER(F937)),NOT(ISNUMBER(G937))),"",3958.7613*2*ASIN(MIN(1,SQRT(SIN(RADIANS(F937-'School Profile'!$K$4)/2)^2+COS(RADIANS('School Profile'!$K$4))*COS(RADIANS(F937))*SIN(RADIANS(G937-'School Profile'!$K$5)/2)^2))))</x:f>
      </x:c>
      <x:c r="N937" s="1" t="str">
        <x:f>IF(AND(H937="Yes",ISNUMBER(M937),M937&lt;=1),COUNTIFS($H$511:$H$1010,"Yes",$M$511:$M$1010,"&lt;"&amp;M937)+COUNTIFS($H$511:H937,"Yes",$M$511:M937,M937),"")</x:f>
      </x:c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</x:row>
    <x:row r="938" ht="22" customHeight="1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 t="str">
        <x:f>IF(OR(NOT(ISNUMBER('School Profile'!$K$4)),NOT(ISNUMBER('School Profile'!$K$5)),NOT(ISNUMBER(F938)),NOT(ISNUMBER(G938))),"",3958.7613*2*ASIN(MIN(1,SQRT(SIN(RADIANS(F938-'School Profile'!$K$4)/2)^2+COS(RADIANS('School Profile'!$K$4))*COS(RADIANS(F938))*SIN(RADIANS(G938-'School Profile'!$K$5)/2)^2))))</x:f>
      </x:c>
      <x:c r="N938" s="1" t="str">
        <x:f>IF(AND(H938="Yes",ISNUMBER(M938),M938&lt;=1),COUNTIFS($H$511:$H$1010,"Yes",$M$511:$M$1010,"&lt;"&amp;M938)+COUNTIFS($H$511:H938,"Yes",$M$511:M938,M938),"")</x:f>
      </x:c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</x:row>
    <x:row r="939" ht="22" customHeight="1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 t="str">
        <x:f>IF(OR(NOT(ISNUMBER('School Profile'!$K$4)),NOT(ISNUMBER('School Profile'!$K$5)),NOT(ISNUMBER(F939)),NOT(ISNUMBER(G939))),"",3958.7613*2*ASIN(MIN(1,SQRT(SIN(RADIANS(F939-'School Profile'!$K$4)/2)^2+COS(RADIANS('School Profile'!$K$4))*COS(RADIANS(F939))*SIN(RADIANS(G939-'School Profile'!$K$5)/2)^2))))</x:f>
      </x:c>
      <x:c r="N939" s="1" t="str">
        <x:f>IF(AND(H939="Yes",ISNUMBER(M939),M939&lt;=1),COUNTIFS($H$511:$H$1010,"Yes",$M$511:$M$1010,"&lt;"&amp;M939)+COUNTIFS($H$511:H939,"Yes",$M$511:M939,M939),"")</x:f>
      </x:c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</x:row>
    <x:row r="940" ht="22" customHeight="1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 t="str">
        <x:f>IF(OR(NOT(ISNUMBER('School Profile'!$K$4)),NOT(ISNUMBER('School Profile'!$K$5)),NOT(ISNUMBER(F940)),NOT(ISNUMBER(G940))),"",3958.7613*2*ASIN(MIN(1,SQRT(SIN(RADIANS(F940-'School Profile'!$K$4)/2)^2+COS(RADIANS('School Profile'!$K$4))*COS(RADIANS(F940))*SIN(RADIANS(G940-'School Profile'!$K$5)/2)^2))))</x:f>
      </x:c>
      <x:c r="N940" s="1" t="str">
        <x:f>IF(AND(H940="Yes",ISNUMBER(M940),M940&lt;=1),COUNTIFS($H$511:$H$1010,"Yes",$M$511:$M$1010,"&lt;"&amp;M940)+COUNTIFS($H$511:H940,"Yes",$M$511:M940,M940),"")</x:f>
      </x:c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</x:row>
    <x:row r="941" ht="22" customHeight="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 t="str">
        <x:f>IF(OR(NOT(ISNUMBER('School Profile'!$K$4)),NOT(ISNUMBER('School Profile'!$K$5)),NOT(ISNUMBER(F941)),NOT(ISNUMBER(G941))),"",3958.7613*2*ASIN(MIN(1,SQRT(SIN(RADIANS(F941-'School Profile'!$K$4)/2)^2+COS(RADIANS('School Profile'!$K$4))*COS(RADIANS(F941))*SIN(RADIANS(G941-'School Profile'!$K$5)/2)^2))))</x:f>
      </x:c>
      <x:c r="N941" s="1" t="str">
        <x:f>IF(AND(H941="Yes",ISNUMBER(M941),M941&lt;=1),COUNTIFS($H$511:$H$1010,"Yes",$M$511:$M$1010,"&lt;"&amp;M941)+COUNTIFS($H$511:H941,"Yes",$M$511:M941,M941),"")</x:f>
      </x:c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</x:row>
    <x:row r="942" ht="22" customHeight="1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 t="str">
        <x:f>IF(OR(NOT(ISNUMBER('School Profile'!$K$4)),NOT(ISNUMBER('School Profile'!$K$5)),NOT(ISNUMBER(F942)),NOT(ISNUMBER(G942))),"",3958.7613*2*ASIN(MIN(1,SQRT(SIN(RADIANS(F942-'School Profile'!$K$4)/2)^2+COS(RADIANS('School Profile'!$K$4))*COS(RADIANS(F942))*SIN(RADIANS(G942-'School Profile'!$K$5)/2)^2))))</x:f>
      </x:c>
      <x:c r="N942" s="1" t="str">
        <x:f>IF(AND(H942="Yes",ISNUMBER(M942),M942&lt;=1),COUNTIFS($H$511:$H$1010,"Yes",$M$511:$M$1010,"&lt;"&amp;M942)+COUNTIFS($H$511:H942,"Yes",$M$511:M942,M942),"")</x:f>
      </x:c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</x:row>
    <x:row r="943" ht="22" customHeight="1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 t="str">
        <x:f>IF(OR(NOT(ISNUMBER('School Profile'!$K$4)),NOT(ISNUMBER('School Profile'!$K$5)),NOT(ISNUMBER(F943)),NOT(ISNUMBER(G943))),"",3958.7613*2*ASIN(MIN(1,SQRT(SIN(RADIANS(F943-'School Profile'!$K$4)/2)^2+COS(RADIANS('School Profile'!$K$4))*COS(RADIANS(F943))*SIN(RADIANS(G943-'School Profile'!$K$5)/2)^2))))</x:f>
      </x:c>
      <x:c r="N943" s="1" t="str">
        <x:f>IF(AND(H943="Yes",ISNUMBER(M943),M943&lt;=1),COUNTIFS($H$511:$H$1010,"Yes",$M$511:$M$1010,"&lt;"&amp;M943)+COUNTIFS($H$511:H943,"Yes",$M$511:M943,M943),"")</x:f>
      </x:c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</x:row>
    <x:row r="944" ht="22" customHeight="1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 t="str">
        <x:f>IF(OR(NOT(ISNUMBER('School Profile'!$K$4)),NOT(ISNUMBER('School Profile'!$K$5)),NOT(ISNUMBER(F944)),NOT(ISNUMBER(G944))),"",3958.7613*2*ASIN(MIN(1,SQRT(SIN(RADIANS(F944-'School Profile'!$K$4)/2)^2+COS(RADIANS('School Profile'!$K$4))*COS(RADIANS(F944))*SIN(RADIANS(G944-'School Profile'!$K$5)/2)^2))))</x:f>
      </x:c>
      <x:c r="N944" s="1" t="str">
        <x:f>IF(AND(H944="Yes",ISNUMBER(M944),M944&lt;=1),COUNTIFS($H$511:$H$1010,"Yes",$M$511:$M$1010,"&lt;"&amp;M944)+COUNTIFS($H$511:H944,"Yes",$M$511:M944,M944),"")</x:f>
      </x:c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</x:row>
    <x:row r="945" ht="22" customHeight="1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 t="str">
        <x:f>IF(OR(NOT(ISNUMBER('School Profile'!$K$4)),NOT(ISNUMBER('School Profile'!$K$5)),NOT(ISNUMBER(F945)),NOT(ISNUMBER(G945))),"",3958.7613*2*ASIN(MIN(1,SQRT(SIN(RADIANS(F945-'School Profile'!$K$4)/2)^2+COS(RADIANS('School Profile'!$K$4))*COS(RADIANS(F945))*SIN(RADIANS(G945-'School Profile'!$K$5)/2)^2))))</x:f>
      </x:c>
      <x:c r="N945" s="1" t="str">
        <x:f>IF(AND(H945="Yes",ISNUMBER(M945),M945&lt;=1),COUNTIFS($H$511:$H$1010,"Yes",$M$511:$M$1010,"&lt;"&amp;M945)+COUNTIFS($H$511:H945,"Yes",$M$511:M945,M945),"")</x:f>
      </x:c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</x:row>
    <x:row r="946" ht="22" customHeight="1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 t="str">
        <x:f>IF(OR(NOT(ISNUMBER('School Profile'!$K$4)),NOT(ISNUMBER('School Profile'!$K$5)),NOT(ISNUMBER(F946)),NOT(ISNUMBER(G946))),"",3958.7613*2*ASIN(MIN(1,SQRT(SIN(RADIANS(F946-'School Profile'!$K$4)/2)^2+COS(RADIANS('School Profile'!$K$4))*COS(RADIANS(F946))*SIN(RADIANS(G946-'School Profile'!$K$5)/2)^2))))</x:f>
      </x:c>
      <x:c r="N946" s="1" t="str">
        <x:f>IF(AND(H946="Yes",ISNUMBER(M946),M946&lt;=1),COUNTIFS($H$511:$H$1010,"Yes",$M$511:$M$1010,"&lt;"&amp;M946)+COUNTIFS($H$511:H946,"Yes",$M$511:M946,M946),"")</x:f>
      </x:c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</x:row>
    <x:row r="947" ht="22" customHeight="1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 t="str">
        <x:f>IF(OR(NOT(ISNUMBER('School Profile'!$K$4)),NOT(ISNUMBER('School Profile'!$K$5)),NOT(ISNUMBER(F947)),NOT(ISNUMBER(G947))),"",3958.7613*2*ASIN(MIN(1,SQRT(SIN(RADIANS(F947-'School Profile'!$K$4)/2)^2+COS(RADIANS('School Profile'!$K$4))*COS(RADIANS(F947))*SIN(RADIANS(G947-'School Profile'!$K$5)/2)^2))))</x:f>
      </x:c>
      <x:c r="N947" s="1" t="str">
        <x:f>IF(AND(H947="Yes",ISNUMBER(M947),M947&lt;=1),COUNTIFS($H$511:$H$1010,"Yes",$M$511:$M$1010,"&lt;"&amp;M947)+COUNTIFS($H$511:H947,"Yes",$M$511:M947,M947),"")</x:f>
      </x:c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</x:row>
    <x:row r="948" ht="22" customHeight="1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 t="str">
        <x:f>IF(OR(NOT(ISNUMBER('School Profile'!$K$4)),NOT(ISNUMBER('School Profile'!$K$5)),NOT(ISNUMBER(F948)),NOT(ISNUMBER(G948))),"",3958.7613*2*ASIN(MIN(1,SQRT(SIN(RADIANS(F948-'School Profile'!$K$4)/2)^2+COS(RADIANS('School Profile'!$K$4))*COS(RADIANS(F948))*SIN(RADIANS(G948-'School Profile'!$K$5)/2)^2))))</x:f>
      </x:c>
      <x:c r="N948" s="1" t="str">
        <x:f>IF(AND(H948="Yes",ISNUMBER(M948),M948&lt;=1),COUNTIFS($H$511:$H$1010,"Yes",$M$511:$M$1010,"&lt;"&amp;M948)+COUNTIFS($H$511:H948,"Yes",$M$511:M948,M948),"")</x:f>
      </x:c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</x:row>
    <x:row r="949" ht="22" customHeight="1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 t="str">
        <x:f>IF(OR(NOT(ISNUMBER('School Profile'!$K$4)),NOT(ISNUMBER('School Profile'!$K$5)),NOT(ISNUMBER(F949)),NOT(ISNUMBER(G949))),"",3958.7613*2*ASIN(MIN(1,SQRT(SIN(RADIANS(F949-'School Profile'!$K$4)/2)^2+COS(RADIANS('School Profile'!$K$4))*COS(RADIANS(F949))*SIN(RADIANS(G949-'School Profile'!$K$5)/2)^2))))</x:f>
      </x:c>
      <x:c r="N949" s="1" t="str">
        <x:f>IF(AND(H949="Yes",ISNUMBER(M949),M949&lt;=1),COUNTIFS($H$511:$H$1010,"Yes",$M$511:$M$1010,"&lt;"&amp;M949)+COUNTIFS($H$511:H949,"Yes",$M$511:M949,M949),"")</x:f>
      </x:c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</x:row>
    <x:row r="950" ht="22" customHeight="1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 t="str">
        <x:f>IF(OR(NOT(ISNUMBER('School Profile'!$K$4)),NOT(ISNUMBER('School Profile'!$K$5)),NOT(ISNUMBER(F950)),NOT(ISNUMBER(G950))),"",3958.7613*2*ASIN(MIN(1,SQRT(SIN(RADIANS(F950-'School Profile'!$K$4)/2)^2+COS(RADIANS('School Profile'!$K$4))*COS(RADIANS(F950))*SIN(RADIANS(G950-'School Profile'!$K$5)/2)^2))))</x:f>
      </x:c>
      <x:c r="N950" s="1" t="str">
        <x:f>IF(AND(H950="Yes",ISNUMBER(M950),M950&lt;=1),COUNTIFS($H$511:$H$1010,"Yes",$M$511:$M$1010,"&lt;"&amp;M950)+COUNTIFS($H$511:H950,"Yes",$M$511:M950,M950),"")</x:f>
      </x:c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</x:row>
    <x:row r="951" ht="22" customHeight="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 t="str">
        <x:f>IF(OR(NOT(ISNUMBER('School Profile'!$K$4)),NOT(ISNUMBER('School Profile'!$K$5)),NOT(ISNUMBER(F951)),NOT(ISNUMBER(G951))),"",3958.7613*2*ASIN(MIN(1,SQRT(SIN(RADIANS(F951-'School Profile'!$K$4)/2)^2+COS(RADIANS('School Profile'!$K$4))*COS(RADIANS(F951))*SIN(RADIANS(G951-'School Profile'!$K$5)/2)^2))))</x:f>
      </x:c>
      <x:c r="N951" s="1" t="str">
        <x:f>IF(AND(H951="Yes",ISNUMBER(M951),M951&lt;=1),COUNTIFS($H$511:$H$1010,"Yes",$M$511:$M$1010,"&lt;"&amp;M951)+COUNTIFS($H$511:H951,"Yes",$M$511:M951,M951),"")</x:f>
      </x:c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</x:row>
    <x:row r="952" ht="22" customHeight="1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 t="str">
        <x:f>IF(OR(NOT(ISNUMBER('School Profile'!$K$4)),NOT(ISNUMBER('School Profile'!$K$5)),NOT(ISNUMBER(F952)),NOT(ISNUMBER(G952))),"",3958.7613*2*ASIN(MIN(1,SQRT(SIN(RADIANS(F952-'School Profile'!$K$4)/2)^2+COS(RADIANS('School Profile'!$K$4))*COS(RADIANS(F952))*SIN(RADIANS(G952-'School Profile'!$K$5)/2)^2))))</x:f>
      </x:c>
      <x:c r="N952" s="1" t="str">
        <x:f>IF(AND(H952="Yes",ISNUMBER(M952),M952&lt;=1),COUNTIFS($H$511:$H$1010,"Yes",$M$511:$M$1010,"&lt;"&amp;M952)+COUNTIFS($H$511:H952,"Yes",$M$511:M952,M952),"")</x:f>
      </x:c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</x:row>
    <x:row r="953" ht="22" customHeight="1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 t="str">
        <x:f>IF(OR(NOT(ISNUMBER('School Profile'!$K$4)),NOT(ISNUMBER('School Profile'!$K$5)),NOT(ISNUMBER(F953)),NOT(ISNUMBER(G953))),"",3958.7613*2*ASIN(MIN(1,SQRT(SIN(RADIANS(F953-'School Profile'!$K$4)/2)^2+COS(RADIANS('School Profile'!$K$4))*COS(RADIANS(F953))*SIN(RADIANS(G953-'School Profile'!$K$5)/2)^2))))</x:f>
      </x:c>
      <x:c r="N953" s="1" t="str">
        <x:f>IF(AND(H953="Yes",ISNUMBER(M953),M953&lt;=1),COUNTIFS($H$511:$H$1010,"Yes",$M$511:$M$1010,"&lt;"&amp;M953)+COUNTIFS($H$511:H953,"Yes",$M$511:M953,M953),"")</x:f>
      </x:c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</x:row>
    <x:row r="954" ht="22" customHeight="1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 t="str">
        <x:f>IF(OR(NOT(ISNUMBER('School Profile'!$K$4)),NOT(ISNUMBER('School Profile'!$K$5)),NOT(ISNUMBER(F954)),NOT(ISNUMBER(G954))),"",3958.7613*2*ASIN(MIN(1,SQRT(SIN(RADIANS(F954-'School Profile'!$K$4)/2)^2+COS(RADIANS('School Profile'!$K$4))*COS(RADIANS(F954))*SIN(RADIANS(G954-'School Profile'!$K$5)/2)^2))))</x:f>
      </x:c>
      <x:c r="N954" s="1" t="str">
        <x:f>IF(AND(H954="Yes",ISNUMBER(M954),M954&lt;=1),COUNTIFS($H$511:$H$1010,"Yes",$M$511:$M$1010,"&lt;"&amp;M954)+COUNTIFS($H$511:H954,"Yes",$M$511:M954,M954),"")</x:f>
      </x:c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</x:row>
    <x:row r="955" ht="22" customHeight="1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 t="str">
        <x:f>IF(OR(NOT(ISNUMBER('School Profile'!$K$4)),NOT(ISNUMBER('School Profile'!$K$5)),NOT(ISNUMBER(F955)),NOT(ISNUMBER(G955))),"",3958.7613*2*ASIN(MIN(1,SQRT(SIN(RADIANS(F955-'School Profile'!$K$4)/2)^2+COS(RADIANS('School Profile'!$K$4))*COS(RADIANS(F955))*SIN(RADIANS(G955-'School Profile'!$K$5)/2)^2))))</x:f>
      </x:c>
      <x:c r="N955" s="1" t="str">
        <x:f>IF(AND(H955="Yes",ISNUMBER(M955),M955&lt;=1),COUNTIFS($H$511:$H$1010,"Yes",$M$511:$M$1010,"&lt;"&amp;M955)+COUNTIFS($H$511:H955,"Yes",$M$511:M955,M955),"")</x:f>
      </x:c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</x:row>
    <x:row r="956" ht="22" customHeight="1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 t="str">
        <x:f>IF(OR(NOT(ISNUMBER('School Profile'!$K$4)),NOT(ISNUMBER('School Profile'!$K$5)),NOT(ISNUMBER(F956)),NOT(ISNUMBER(G956))),"",3958.7613*2*ASIN(MIN(1,SQRT(SIN(RADIANS(F956-'School Profile'!$K$4)/2)^2+COS(RADIANS('School Profile'!$K$4))*COS(RADIANS(F956))*SIN(RADIANS(G956-'School Profile'!$K$5)/2)^2))))</x:f>
      </x:c>
      <x:c r="N956" s="1" t="str">
        <x:f>IF(AND(H956="Yes",ISNUMBER(M956),M956&lt;=1),COUNTIFS($H$511:$H$1010,"Yes",$M$511:$M$1010,"&lt;"&amp;M956)+COUNTIFS($H$511:H956,"Yes",$M$511:M956,M956),"")</x:f>
      </x:c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</x:row>
    <x:row r="957" ht="22" customHeight="1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 t="str">
        <x:f>IF(OR(NOT(ISNUMBER('School Profile'!$K$4)),NOT(ISNUMBER('School Profile'!$K$5)),NOT(ISNUMBER(F957)),NOT(ISNUMBER(G957))),"",3958.7613*2*ASIN(MIN(1,SQRT(SIN(RADIANS(F957-'School Profile'!$K$4)/2)^2+COS(RADIANS('School Profile'!$K$4))*COS(RADIANS(F957))*SIN(RADIANS(G957-'School Profile'!$K$5)/2)^2))))</x:f>
      </x:c>
      <x:c r="N957" s="1" t="str">
        <x:f>IF(AND(H957="Yes",ISNUMBER(M957),M957&lt;=1),COUNTIFS($H$511:$H$1010,"Yes",$M$511:$M$1010,"&lt;"&amp;M957)+COUNTIFS($H$511:H957,"Yes",$M$511:M957,M957),"")</x:f>
      </x:c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</x:row>
    <x:row r="958" ht="22" customHeight="1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 t="str">
        <x:f>IF(OR(NOT(ISNUMBER('School Profile'!$K$4)),NOT(ISNUMBER('School Profile'!$K$5)),NOT(ISNUMBER(F958)),NOT(ISNUMBER(G958))),"",3958.7613*2*ASIN(MIN(1,SQRT(SIN(RADIANS(F958-'School Profile'!$K$4)/2)^2+COS(RADIANS('School Profile'!$K$4))*COS(RADIANS(F958))*SIN(RADIANS(G958-'School Profile'!$K$5)/2)^2))))</x:f>
      </x:c>
      <x:c r="N958" s="1" t="str">
        <x:f>IF(AND(H958="Yes",ISNUMBER(M958),M958&lt;=1),COUNTIFS($H$511:$H$1010,"Yes",$M$511:$M$1010,"&lt;"&amp;M958)+COUNTIFS($H$511:H958,"Yes",$M$511:M958,M958),"")</x:f>
      </x:c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</x:row>
    <x:row r="959" ht="22" customHeight="1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 t="str">
        <x:f>IF(OR(NOT(ISNUMBER('School Profile'!$K$4)),NOT(ISNUMBER('School Profile'!$K$5)),NOT(ISNUMBER(F959)),NOT(ISNUMBER(G959))),"",3958.7613*2*ASIN(MIN(1,SQRT(SIN(RADIANS(F959-'School Profile'!$K$4)/2)^2+COS(RADIANS('School Profile'!$K$4))*COS(RADIANS(F959))*SIN(RADIANS(G959-'School Profile'!$K$5)/2)^2))))</x:f>
      </x:c>
      <x:c r="N959" s="1" t="str">
        <x:f>IF(AND(H959="Yes",ISNUMBER(M959),M959&lt;=1),COUNTIFS($H$511:$H$1010,"Yes",$M$511:$M$1010,"&lt;"&amp;M959)+COUNTIFS($H$511:H959,"Yes",$M$511:M959,M959),"")</x:f>
      </x:c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</x:row>
    <x:row r="960" ht="22" customHeight="1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 t="str">
        <x:f>IF(OR(NOT(ISNUMBER('School Profile'!$K$4)),NOT(ISNUMBER('School Profile'!$K$5)),NOT(ISNUMBER(F960)),NOT(ISNUMBER(G960))),"",3958.7613*2*ASIN(MIN(1,SQRT(SIN(RADIANS(F960-'School Profile'!$K$4)/2)^2+COS(RADIANS('School Profile'!$K$4))*COS(RADIANS(F960))*SIN(RADIANS(G960-'School Profile'!$K$5)/2)^2))))</x:f>
      </x:c>
      <x:c r="N960" s="1" t="str">
        <x:f>IF(AND(H960="Yes",ISNUMBER(M960),M960&lt;=1),COUNTIFS($H$511:$H$1010,"Yes",$M$511:$M$1010,"&lt;"&amp;M960)+COUNTIFS($H$511:H960,"Yes",$M$511:M960,M960),"")</x:f>
      </x:c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</x:row>
    <x:row r="961" ht="22" customHeight="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 t="str">
        <x:f>IF(OR(NOT(ISNUMBER('School Profile'!$K$4)),NOT(ISNUMBER('School Profile'!$K$5)),NOT(ISNUMBER(F961)),NOT(ISNUMBER(G961))),"",3958.7613*2*ASIN(MIN(1,SQRT(SIN(RADIANS(F961-'School Profile'!$K$4)/2)^2+COS(RADIANS('School Profile'!$K$4))*COS(RADIANS(F961))*SIN(RADIANS(G961-'School Profile'!$K$5)/2)^2))))</x:f>
      </x:c>
      <x:c r="N961" s="1" t="str">
        <x:f>IF(AND(H961="Yes",ISNUMBER(M961),M961&lt;=1),COUNTIFS($H$511:$H$1010,"Yes",$M$511:$M$1010,"&lt;"&amp;M961)+COUNTIFS($H$511:H961,"Yes",$M$511:M961,M961),"")</x:f>
      </x:c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</x:row>
    <x:row r="962" ht="22" customHeight="1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 t="str">
        <x:f>IF(OR(NOT(ISNUMBER('School Profile'!$K$4)),NOT(ISNUMBER('School Profile'!$K$5)),NOT(ISNUMBER(F962)),NOT(ISNUMBER(G962))),"",3958.7613*2*ASIN(MIN(1,SQRT(SIN(RADIANS(F962-'School Profile'!$K$4)/2)^2+COS(RADIANS('School Profile'!$K$4))*COS(RADIANS(F962))*SIN(RADIANS(G962-'School Profile'!$K$5)/2)^2))))</x:f>
      </x:c>
      <x:c r="N962" s="1" t="str">
        <x:f>IF(AND(H962="Yes",ISNUMBER(M962),M962&lt;=1),COUNTIFS($H$511:$H$1010,"Yes",$M$511:$M$1010,"&lt;"&amp;M962)+COUNTIFS($H$511:H962,"Yes",$M$511:M962,M962),"")</x:f>
      </x:c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</x:row>
    <x:row r="963" ht="22" customHeight="1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 t="str">
        <x:f>IF(OR(NOT(ISNUMBER('School Profile'!$K$4)),NOT(ISNUMBER('School Profile'!$K$5)),NOT(ISNUMBER(F963)),NOT(ISNUMBER(G963))),"",3958.7613*2*ASIN(MIN(1,SQRT(SIN(RADIANS(F963-'School Profile'!$K$4)/2)^2+COS(RADIANS('School Profile'!$K$4))*COS(RADIANS(F963))*SIN(RADIANS(G963-'School Profile'!$K$5)/2)^2))))</x:f>
      </x:c>
      <x:c r="N963" s="1" t="str">
        <x:f>IF(AND(H963="Yes",ISNUMBER(M963),M963&lt;=1),COUNTIFS($H$511:$H$1010,"Yes",$M$511:$M$1010,"&lt;"&amp;M963)+COUNTIFS($H$511:H963,"Yes",$M$511:M963,M963),"")</x:f>
      </x:c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</x:row>
    <x:row r="964" ht="22" customHeight="1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 t="str">
        <x:f>IF(OR(NOT(ISNUMBER('School Profile'!$K$4)),NOT(ISNUMBER('School Profile'!$K$5)),NOT(ISNUMBER(F964)),NOT(ISNUMBER(G964))),"",3958.7613*2*ASIN(MIN(1,SQRT(SIN(RADIANS(F964-'School Profile'!$K$4)/2)^2+COS(RADIANS('School Profile'!$K$4))*COS(RADIANS(F964))*SIN(RADIANS(G964-'School Profile'!$K$5)/2)^2))))</x:f>
      </x:c>
      <x:c r="N964" s="1" t="str">
        <x:f>IF(AND(H964="Yes",ISNUMBER(M964),M964&lt;=1),COUNTIFS($H$511:$H$1010,"Yes",$M$511:$M$1010,"&lt;"&amp;M964)+COUNTIFS($H$511:H964,"Yes",$M$511:M964,M964),"")</x:f>
      </x:c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</x:row>
    <x:row r="965" ht="22" customHeight="1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 t="str">
        <x:f>IF(OR(NOT(ISNUMBER('School Profile'!$K$4)),NOT(ISNUMBER('School Profile'!$K$5)),NOT(ISNUMBER(F965)),NOT(ISNUMBER(G965))),"",3958.7613*2*ASIN(MIN(1,SQRT(SIN(RADIANS(F965-'School Profile'!$K$4)/2)^2+COS(RADIANS('School Profile'!$K$4))*COS(RADIANS(F965))*SIN(RADIANS(G965-'School Profile'!$K$5)/2)^2))))</x:f>
      </x:c>
      <x:c r="N965" s="1" t="str">
        <x:f>IF(AND(H965="Yes",ISNUMBER(M965),M965&lt;=1),COUNTIFS($H$511:$H$1010,"Yes",$M$511:$M$1010,"&lt;"&amp;M965)+COUNTIFS($H$511:H965,"Yes",$M$511:M965,M965),"")</x:f>
      </x:c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</x:row>
    <x:row r="966" ht="22" customHeight="1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 t="str">
        <x:f>IF(OR(NOT(ISNUMBER('School Profile'!$K$4)),NOT(ISNUMBER('School Profile'!$K$5)),NOT(ISNUMBER(F966)),NOT(ISNUMBER(G966))),"",3958.7613*2*ASIN(MIN(1,SQRT(SIN(RADIANS(F966-'School Profile'!$K$4)/2)^2+COS(RADIANS('School Profile'!$K$4))*COS(RADIANS(F966))*SIN(RADIANS(G966-'School Profile'!$K$5)/2)^2))))</x:f>
      </x:c>
      <x:c r="N966" s="1" t="str">
        <x:f>IF(AND(H966="Yes",ISNUMBER(M966),M966&lt;=1),COUNTIFS($H$511:$H$1010,"Yes",$M$511:$M$1010,"&lt;"&amp;M966)+COUNTIFS($H$511:H966,"Yes",$M$511:M966,M966),"")</x:f>
      </x:c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</x:row>
    <x:row r="967" ht="22" customHeight="1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 t="str">
        <x:f>IF(OR(NOT(ISNUMBER('School Profile'!$K$4)),NOT(ISNUMBER('School Profile'!$K$5)),NOT(ISNUMBER(F967)),NOT(ISNUMBER(G967))),"",3958.7613*2*ASIN(MIN(1,SQRT(SIN(RADIANS(F967-'School Profile'!$K$4)/2)^2+COS(RADIANS('School Profile'!$K$4))*COS(RADIANS(F967))*SIN(RADIANS(G967-'School Profile'!$K$5)/2)^2))))</x:f>
      </x:c>
      <x:c r="N967" s="1" t="str">
        <x:f>IF(AND(H967="Yes",ISNUMBER(M967),M967&lt;=1),COUNTIFS($H$511:$H$1010,"Yes",$M$511:$M$1010,"&lt;"&amp;M967)+COUNTIFS($H$511:H967,"Yes",$M$511:M967,M967),"")</x:f>
      </x:c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</x:row>
    <x:row r="968" ht="22" customHeight="1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 t="str">
        <x:f>IF(OR(NOT(ISNUMBER('School Profile'!$K$4)),NOT(ISNUMBER('School Profile'!$K$5)),NOT(ISNUMBER(F968)),NOT(ISNUMBER(G968))),"",3958.7613*2*ASIN(MIN(1,SQRT(SIN(RADIANS(F968-'School Profile'!$K$4)/2)^2+COS(RADIANS('School Profile'!$K$4))*COS(RADIANS(F968))*SIN(RADIANS(G968-'School Profile'!$K$5)/2)^2))))</x:f>
      </x:c>
      <x:c r="N968" s="1" t="str">
        <x:f>IF(AND(H968="Yes",ISNUMBER(M968),M968&lt;=1),COUNTIFS($H$511:$H$1010,"Yes",$M$511:$M$1010,"&lt;"&amp;M968)+COUNTIFS($H$511:H968,"Yes",$M$511:M968,M968),"")</x:f>
      </x:c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</x:row>
    <x:row r="969" ht="22" customHeight="1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 t="str">
        <x:f>IF(OR(NOT(ISNUMBER('School Profile'!$K$4)),NOT(ISNUMBER('School Profile'!$K$5)),NOT(ISNUMBER(F969)),NOT(ISNUMBER(G969))),"",3958.7613*2*ASIN(MIN(1,SQRT(SIN(RADIANS(F969-'School Profile'!$K$4)/2)^2+COS(RADIANS('School Profile'!$K$4))*COS(RADIANS(F969))*SIN(RADIANS(G969-'School Profile'!$K$5)/2)^2))))</x:f>
      </x:c>
      <x:c r="N969" s="1" t="str">
        <x:f>IF(AND(H969="Yes",ISNUMBER(M969),M969&lt;=1),COUNTIFS($H$511:$H$1010,"Yes",$M$511:$M$1010,"&lt;"&amp;M969)+COUNTIFS($H$511:H969,"Yes",$M$511:M969,M969),"")</x:f>
      </x:c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</x:row>
    <x:row r="970" ht="22" customHeight="1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 t="str">
        <x:f>IF(OR(NOT(ISNUMBER('School Profile'!$K$4)),NOT(ISNUMBER('School Profile'!$K$5)),NOT(ISNUMBER(F970)),NOT(ISNUMBER(G970))),"",3958.7613*2*ASIN(MIN(1,SQRT(SIN(RADIANS(F970-'School Profile'!$K$4)/2)^2+COS(RADIANS('School Profile'!$K$4))*COS(RADIANS(F970))*SIN(RADIANS(G970-'School Profile'!$K$5)/2)^2))))</x:f>
      </x:c>
      <x:c r="N970" s="1" t="str">
        <x:f>IF(AND(H970="Yes",ISNUMBER(M970),M970&lt;=1),COUNTIFS($H$511:$H$1010,"Yes",$M$511:$M$1010,"&lt;"&amp;M970)+COUNTIFS($H$511:H970,"Yes",$M$511:M970,M970),"")</x:f>
      </x:c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</x:row>
    <x:row r="971" ht="22" customHeight="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 t="str">
        <x:f>IF(OR(NOT(ISNUMBER('School Profile'!$K$4)),NOT(ISNUMBER('School Profile'!$K$5)),NOT(ISNUMBER(F971)),NOT(ISNUMBER(G971))),"",3958.7613*2*ASIN(MIN(1,SQRT(SIN(RADIANS(F971-'School Profile'!$K$4)/2)^2+COS(RADIANS('School Profile'!$K$4))*COS(RADIANS(F971))*SIN(RADIANS(G971-'School Profile'!$K$5)/2)^2))))</x:f>
      </x:c>
      <x:c r="N971" s="1" t="str">
        <x:f>IF(AND(H971="Yes",ISNUMBER(M971),M971&lt;=1),COUNTIFS($H$511:$H$1010,"Yes",$M$511:$M$1010,"&lt;"&amp;M971)+COUNTIFS($H$511:H971,"Yes",$M$511:M971,M971),"")</x:f>
      </x:c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</x:row>
    <x:row r="972" ht="22" customHeight="1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 t="str">
        <x:f>IF(OR(NOT(ISNUMBER('School Profile'!$K$4)),NOT(ISNUMBER('School Profile'!$K$5)),NOT(ISNUMBER(F972)),NOT(ISNUMBER(G972))),"",3958.7613*2*ASIN(MIN(1,SQRT(SIN(RADIANS(F972-'School Profile'!$K$4)/2)^2+COS(RADIANS('School Profile'!$K$4))*COS(RADIANS(F972))*SIN(RADIANS(G972-'School Profile'!$K$5)/2)^2))))</x:f>
      </x:c>
      <x:c r="N972" s="1" t="str">
        <x:f>IF(AND(H972="Yes",ISNUMBER(M972),M972&lt;=1),COUNTIFS($H$511:$H$1010,"Yes",$M$511:$M$1010,"&lt;"&amp;M972)+COUNTIFS($H$511:H972,"Yes",$M$511:M972,M972),"")</x:f>
      </x:c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</x:row>
    <x:row r="973" ht="22" customHeight="1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 t="str">
        <x:f>IF(OR(NOT(ISNUMBER('School Profile'!$K$4)),NOT(ISNUMBER('School Profile'!$K$5)),NOT(ISNUMBER(F973)),NOT(ISNUMBER(G973))),"",3958.7613*2*ASIN(MIN(1,SQRT(SIN(RADIANS(F973-'School Profile'!$K$4)/2)^2+COS(RADIANS('School Profile'!$K$4))*COS(RADIANS(F973))*SIN(RADIANS(G973-'School Profile'!$K$5)/2)^2))))</x:f>
      </x:c>
      <x:c r="N973" s="1" t="str">
        <x:f>IF(AND(H973="Yes",ISNUMBER(M973),M973&lt;=1),COUNTIFS($H$511:$H$1010,"Yes",$M$511:$M$1010,"&lt;"&amp;M973)+COUNTIFS($H$511:H973,"Yes",$M$511:M973,M973),"")</x:f>
      </x:c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</x:row>
    <x:row r="974" ht="22" customHeight="1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 t="str">
        <x:f>IF(OR(NOT(ISNUMBER('School Profile'!$K$4)),NOT(ISNUMBER('School Profile'!$K$5)),NOT(ISNUMBER(F974)),NOT(ISNUMBER(G974))),"",3958.7613*2*ASIN(MIN(1,SQRT(SIN(RADIANS(F974-'School Profile'!$K$4)/2)^2+COS(RADIANS('School Profile'!$K$4))*COS(RADIANS(F974))*SIN(RADIANS(G974-'School Profile'!$K$5)/2)^2))))</x:f>
      </x:c>
      <x:c r="N974" s="1" t="str">
        <x:f>IF(AND(H974="Yes",ISNUMBER(M974),M974&lt;=1),COUNTIFS($H$511:$H$1010,"Yes",$M$511:$M$1010,"&lt;"&amp;M974)+COUNTIFS($H$511:H974,"Yes",$M$511:M974,M974),"")</x:f>
      </x:c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</x:row>
    <x:row r="975" ht="22" customHeight="1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 t="str">
        <x:f>IF(OR(NOT(ISNUMBER('School Profile'!$K$4)),NOT(ISNUMBER('School Profile'!$K$5)),NOT(ISNUMBER(F975)),NOT(ISNUMBER(G975))),"",3958.7613*2*ASIN(MIN(1,SQRT(SIN(RADIANS(F975-'School Profile'!$K$4)/2)^2+COS(RADIANS('School Profile'!$K$4))*COS(RADIANS(F975))*SIN(RADIANS(G975-'School Profile'!$K$5)/2)^2))))</x:f>
      </x:c>
      <x:c r="N975" s="1" t="str">
        <x:f>IF(AND(H975="Yes",ISNUMBER(M975),M975&lt;=1),COUNTIFS($H$511:$H$1010,"Yes",$M$511:$M$1010,"&lt;"&amp;M975)+COUNTIFS($H$511:H975,"Yes",$M$511:M975,M975),"")</x:f>
      </x:c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</x:row>
    <x:row r="976" ht="22" customHeight="1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 t="str">
        <x:f>IF(OR(NOT(ISNUMBER('School Profile'!$K$4)),NOT(ISNUMBER('School Profile'!$K$5)),NOT(ISNUMBER(F976)),NOT(ISNUMBER(G976))),"",3958.7613*2*ASIN(MIN(1,SQRT(SIN(RADIANS(F976-'School Profile'!$K$4)/2)^2+COS(RADIANS('School Profile'!$K$4))*COS(RADIANS(F976))*SIN(RADIANS(G976-'School Profile'!$K$5)/2)^2))))</x:f>
      </x:c>
      <x:c r="N976" s="1" t="str">
        <x:f>IF(AND(H976="Yes",ISNUMBER(M976),M976&lt;=1),COUNTIFS($H$511:$H$1010,"Yes",$M$511:$M$1010,"&lt;"&amp;M976)+COUNTIFS($H$511:H976,"Yes",$M$511:M976,M976),"")</x:f>
      </x:c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</x:row>
    <x:row r="977" ht="22" customHeight="1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 t="str">
        <x:f>IF(OR(NOT(ISNUMBER('School Profile'!$K$4)),NOT(ISNUMBER('School Profile'!$K$5)),NOT(ISNUMBER(F977)),NOT(ISNUMBER(G977))),"",3958.7613*2*ASIN(MIN(1,SQRT(SIN(RADIANS(F977-'School Profile'!$K$4)/2)^2+COS(RADIANS('School Profile'!$K$4))*COS(RADIANS(F977))*SIN(RADIANS(G977-'School Profile'!$K$5)/2)^2))))</x:f>
      </x:c>
      <x:c r="N977" s="1" t="str">
        <x:f>IF(AND(H977="Yes",ISNUMBER(M977),M977&lt;=1),COUNTIFS($H$511:$H$1010,"Yes",$M$511:$M$1010,"&lt;"&amp;M977)+COUNTIFS($H$511:H977,"Yes",$M$511:M977,M977),"")</x:f>
      </x:c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</x:row>
    <x:row r="978" ht="22" customHeight="1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 t="str">
        <x:f>IF(OR(NOT(ISNUMBER('School Profile'!$K$4)),NOT(ISNUMBER('School Profile'!$K$5)),NOT(ISNUMBER(F978)),NOT(ISNUMBER(G978))),"",3958.7613*2*ASIN(MIN(1,SQRT(SIN(RADIANS(F978-'School Profile'!$K$4)/2)^2+COS(RADIANS('School Profile'!$K$4))*COS(RADIANS(F978))*SIN(RADIANS(G978-'School Profile'!$K$5)/2)^2))))</x:f>
      </x:c>
      <x:c r="N978" s="1" t="str">
        <x:f>IF(AND(H978="Yes",ISNUMBER(M978),M978&lt;=1),COUNTIFS($H$511:$H$1010,"Yes",$M$511:$M$1010,"&lt;"&amp;M978)+COUNTIFS($H$511:H978,"Yes",$M$511:M978,M978),"")</x:f>
      </x:c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</x:row>
    <x:row r="979" ht="22" customHeight="1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 t="str">
        <x:f>IF(OR(NOT(ISNUMBER('School Profile'!$K$4)),NOT(ISNUMBER('School Profile'!$K$5)),NOT(ISNUMBER(F979)),NOT(ISNUMBER(G979))),"",3958.7613*2*ASIN(MIN(1,SQRT(SIN(RADIANS(F979-'School Profile'!$K$4)/2)^2+COS(RADIANS('School Profile'!$K$4))*COS(RADIANS(F979))*SIN(RADIANS(G979-'School Profile'!$K$5)/2)^2))))</x:f>
      </x:c>
      <x:c r="N979" s="1" t="str">
        <x:f>IF(AND(H979="Yes",ISNUMBER(M979),M979&lt;=1),COUNTIFS($H$511:$H$1010,"Yes",$M$511:$M$1010,"&lt;"&amp;M979)+COUNTIFS($H$511:H979,"Yes",$M$511:M979,M979),"")</x:f>
      </x:c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</x:row>
    <x:row r="980" ht="22" customHeight="1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 t="str">
        <x:f>IF(OR(NOT(ISNUMBER('School Profile'!$K$4)),NOT(ISNUMBER('School Profile'!$K$5)),NOT(ISNUMBER(F980)),NOT(ISNUMBER(G980))),"",3958.7613*2*ASIN(MIN(1,SQRT(SIN(RADIANS(F980-'School Profile'!$K$4)/2)^2+COS(RADIANS('School Profile'!$K$4))*COS(RADIANS(F980))*SIN(RADIANS(G980-'School Profile'!$K$5)/2)^2))))</x:f>
      </x:c>
      <x:c r="N980" s="1" t="str">
        <x:f>IF(AND(H980="Yes",ISNUMBER(M980),M980&lt;=1),COUNTIFS($H$511:$H$1010,"Yes",$M$511:$M$1010,"&lt;"&amp;M980)+COUNTIFS($H$511:H980,"Yes",$M$511:M980,M980),"")</x:f>
      </x:c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</x:row>
    <x:row r="981" ht="22" customHeight="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 t="str">
        <x:f>IF(OR(NOT(ISNUMBER('School Profile'!$K$4)),NOT(ISNUMBER('School Profile'!$K$5)),NOT(ISNUMBER(F981)),NOT(ISNUMBER(G981))),"",3958.7613*2*ASIN(MIN(1,SQRT(SIN(RADIANS(F981-'School Profile'!$K$4)/2)^2+COS(RADIANS('School Profile'!$K$4))*COS(RADIANS(F981))*SIN(RADIANS(G981-'School Profile'!$K$5)/2)^2))))</x:f>
      </x:c>
      <x:c r="N981" s="1" t="str">
        <x:f>IF(AND(H981="Yes",ISNUMBER(M981),M981&lt;=1),COUNTIFS($H$511:$H$1010,"Yes",$M$511:$M$1010,"&lt;"&amp;M981)+COUNTIFS($H$511:H981,"Yes",$M$511:M981,M981),"")</x:f>
      </x:c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</x:row>
    <x:row r="982" ht="22" customHeight="1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 t="str">
        <x:f>IF(OR(NOT(ISNUMBER('School Profile'!$K$4)),NOT(ISNUMBER('School Profile'!$K$5)),NOT(ISNUMBER(F982)),NOT(ISNUMBER(G982))),"",3958.7613*2*ASIN(MIN(1,SQRT(SIN(RADIANS(F982-'School Profile'!$K$4)/2)^2+COS(RADIANS('School Profile'!$K$4))*COS(RADIANS(F982))*SIN(RADIANS(G982-'School Profile'!$K$5)/2)^2))))</x:f>
      </x:c>
      <x:c r="N982" s="1" t="str">
        <x:f>IF(AND(H982="Yes",ISNUMBER(M982),M982&lt;=1),COUNTIFS($H$511:$H$1010,"Yes",$M$511:$M$1010,"&lt;"&amp;M982)+COUNTIFS($H$511:H982,"Yes",$M$511:M982,M982),"")</x:f>
      </x:c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</x:row>
    <x:row r="983" ht="22" customHeight="1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 t="str">
        <x:f>IF(OR(NOT(ISNUMBER('School Profile'!$K$4)),NOT(ISNUMBER('School Profile'!$K$5)),NOT(ISNUMBER(F983)),NOT(ISNUMBER(G983))),"",3958.7613*2*ASIN(MIN(1,SQRT(SIN(RADIANS(F983-'School Profile'!$K$4)/2)^2+COS(RADIANS('School Profile'!$K$4))*COS(RADIANS(F983))*SIN(RADIANS(G983-'School Profile'!$K$5)/2)^2))))</x:f>
      </x:c>
      <x:c r="N983" s="1" t="str">
        <x:f>IF(AND(H983="Yes",ISNUMBER(M983),M983&lt;=1),COUNTIFS($H$511:$H$1010,"Yes",$M$511:$M$1010,"&lt;"&amp;M983)+COUNTIFS($H$511:H983,"Yes",$M$511:M983,M983),"")</x:f>
      </x:c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</x:row>
    <x:row r="984" ht="22" customHeight="1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 t="str">
        <x:f>IF(OR(NOT(ISNUMBER('School Profile'!$K$4)),NOT(ISNUMBER('School Profile'!$K$5)),NOT(ISNUMBER(F984)),NOT(ISNUMBER(G984))),"",3958.7613*2*ASIN(MIN(1,SQRT(SIN(RADIANS(F984-'School Profile'!$K$4)/2)^2+COS(RADIANS('School Profile'!$K$4))*COS(RADIANS(F984))*SIN(RADIANS(G984-'School Profile'!$K$5)/2)^2))))</x:f>
      </x:c>
      <x:c r="N984" s="1" t="str">
        <x:f>IF(AND(H984="Yes",ISNUMBER(M984),M984&lt;=1),COUNTIFS($H$511:$H$1010,"Yes",$M$511:$M$1010,"&lt;"&amp;M984)+COUNTIFS($H$511:H984,"Yes",$M$511:M984,M984),"")</x:f>
      </x:c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</x:row>
    <x:row r="985" ht="22" customHeight="1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 t="str">
        <x:f>IF(OR(NOT(ISNUMBER('School Profile'!$K$4)),NOT(ISNUMBER('School Profile'!$K$5)),NOT(ISNUMBER(F985)),NOT(ISNUMBER(G985))),"",3958.7613*2*ASIN(MIN(1,SQRT(SIN(RADIANS(F985-'School Profile'!$K$4)/2)^2+COS(RADIANS('School Profile'!$K$4))*COS(RADIANS(F985))*SIN(RADIANS(G985-'School Profile'!$K$5)/2)^2))))</x:f>
      </x:c>
      <x:c r="N985" s="1" t="str">
        <x:f>IF(AND(H985="Yes",ISNUMBER(M985),M985&lt;=1),COUNTIFS($H$511:$H$1010,"Yes",$M$511:$M$1010,"&lt;"&amp;M985)+COUNTIFS($H$511:H985,"Yes",$M$511:M985,M985),"")</x:f>
      </x:c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</x:row>
    <x:row r="986" ht="22" customHeight="1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 t="str">
        <x:f>IF(OR(NOT(ISNUMBER('School Profile'!$K$4)),NOT(ISNUMBER('School Profile'!$K$5)),NOT(ISNUMBER(F986)),NOT(ISNUMBER(G986))),"",3958.7613*2*ASIN(MIN(1,SQRT(SIN(RADIANS(F986-'School Profile'!$K$4)/2)^2+COS(RADIANS('School Profile'!$K$4))*COS(RADIANS(F986))*SIN(RADIANS(G986-'School Profile'!$K$5)/2)^2))))</x:f>
      </x:c>
      <x:c r="N986" s="1" t="str">
        <x:f>IF(AND(H986="Yes",ISNUMBER(M986),M986&lt;=1),COUNTIFS($H$511:$H$1010,"Yes",$M$511:$M$1010,"&lt;"&amp;M986)+COUNTIFS($H$511:H986,"Yes",$M$511:M986,M986),"")</x:f>
      </x:c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</x:row>
    <x:row r="987" ht="22" customHeight="1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 t="str">
        <x:f>IF(OR(NOT(ISNUMBER('School Profile'!$K$4)),NOT(ISNUMBER('School Profile'!$K$5)),NOT(ISNUMBER(F987)),NOT(ISNUMBER(G987))),"",3958.7613*2*ASIN(MIN(1,SQRT(SIN(RADIANS(F987-'School Profile'!$K$4)/2)^2+COS(RADIANS('School Profile'!$K$4))*COS(RADIANS(F987))*SIN(RADIANS(G987-'School Profile'!$K$5)/2)^2))))</x:f>
      </x:c>
      <x:c r="N987" s="1" t="str">
        <x:f>IF(AND(H987="Yes",ISNUMBER(M987),M987&lt;=1),COUNTIFS($H$511:$H$1010,"Yes",$M$511:$M$1010,"&lt;"&amp;M987)+COUNTIFS($H$511:H987,"Yes",$M$511:M987,M987),"")</x:f>
      </x:c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</x:row>
    <x:row r="988" ht="22" customHeight="1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 t="str">
        <x:f>IF(OR(NOT(ISNUMBER('School Profile'!$K$4)),NOT(ISNUMBER('School Profile'!$K$5)),NOT(ISNUMBER(F988)),NOT(ISNUMBER(G988))),"",3958.7613*2*ASIN(MIN(1,SQRT(SIN(RADIANS(F988-'School Profile'!$K$4)/2)^2+COS(RADIANS('School Profile'!$K$4))*COS(RADIANS(F988))*SIN(RADIANS(G988-'School Profile'!$K$5)/2)^2))))</x:f>
      </x:c>
      <x:c r="N988" s="1" t="str">
        <x:f>IF(AND(H988="Yes",ISNUMBER(M988),M988&lt;=1),COUNTIFS($H$511:$H$1010,"Yes",$M$511:$M$1010,"&lt;"&amp;M988)+COUNTIFS($H$511:H988,"Yes",$M$511:M988,M988),"")</x:f>
      </x:c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</x:row>
    <x:row r="989" ht="22" customHeight="1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 t="str">
        <x:f>IF(OR(NOT(ISNUMBER('School Profile'!$K$4)),NOT(ISNUMBER('School Profile'!$K$5)),NOT(ISNUMBER(F989)),NOT(ISNUMBER(G989))),"",3958.7613*2*ASIN(MIN(1,SQRT(SIN(RADIANS(F989-'School Profile'!$K$4)/2)^2+COS(RADIANS('School Profile'!$K$4))*COS(RADIANS(F989))*SIN(RADIANS(G989-'School Profile'!$K$5)/2)^2))))</x:f>
      </x:c>
      <x:c r="N989" s="1" t="str">
        <x:f>IF(AND(H989="Yes",ISNUMBER(M989),M989&lt;=1),COUNTIFS($H$511:$H$1010,"Yes",$M$511:$M$1010,"&lt;"&amp;M989)+COUNTIFS($H$511:H989,"Yes",$M$511:M989,M989),"")</x:f>
      </x:c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</x:row>
    <x:row r="990" ht="22" customHeight="1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 t="str">
        <x:f>IF(OR(NOT(ISNUMBER('School Profile'!$K$4)),NOT(ISNUMBER('School Profile'!$K$5)),NOT(ISNUMBER(F990)),NOT(ISNUMBER(G990))),"",3958.7613*2*ASIN(MIN(1,SQRT(SIN(RADIANS(F990-'School Profile'!$K$4)/2)^2+COS(RADIANS('School Profile'!$K$4))*COS(RADIANS(F990))*SIN(RADIANS(G990-'School Profile'!$K$5)/2)^2))))</x:f>
      </x:c>
      <x:c r="N990" s="1" t="str">
        <x:f>IF(AND(H990="Yes",ISNUMBER(M990),M990&lt;=1),COUNTIFS($H$511:$H$1010,"Yes",$M$511:$M$1010,"&lt;"&amp;M990)+COUNTIFS($H$511:H990,"Yes",$M$511:M990,M990),"")</x:f>
      </x:c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</x:row>
    <x:row r="991" ht="22" customHeight="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 t="str">
        <x:f>IF(OR(NOT(ISNUMBER('School Profile'!$K$4)),NOT(ISNUMBER('School Profile'!$K$5)),NOT(ISNUMBER(F991)),NOT(ISNUMBER(G991))),"",3958.7613*2*ASIN(MIN(1,SQRT(SIN(RADIANS(F991-'School Profile'!$K$4)/2)^2+COS(RADIANS('School Profile'!$K$4))*COS(RADIANS(F991))*SIN(RADIANS(G991-'School Profile'!$K$5)/2)^2))))</x:f>
      </x:c>
      <x:c r="N991" s="1" t="str">
        <x:f>IF(AND(H991="Yes",ISNUMBER(M991),M991&lt;=1),COUNTIFS($H$511:$H$1010,"Yes",$M$511:$M$1010,"&lt;"&amp;M991)+COUNTIFS($H$511:H991,"Yes",$M$511:M991,M991),"")</x:f>
      </x:c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</x:row>
    <x:row r="992" ht="22" customHeight="1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 t="str">
        <x:f>IF(OR(NOT(ISNUMBER('School Profile'!$K$4)),NOT(ISNUMBER('School Profile'!$K$5)),NOT(ISNUMBER(F992)),NOT(ISNUMBER(G992))),"",3958.7613*2*ASIN(MIN(1,SQRT(SIN(RADIANS(F992-'School Profile'!$K$4)/2)^2+COS(RADIANS('School Profile'!$K$4))*COS(RADIANS(F992))*SIN(RADIANS(G992-'School Profile'!$K$5)/2)^2))))</x:f>
      </x:c>
      <x:c r="N992" s="1" t="str">
        <x:f>IF(AND(H992="Yes",ISNUMBER(M992),M992&lt;=1),COUNTIFS($H$511:$H$1010,"Yes",$M$511:$M$1010,"&lt;"&amp;M992)+COUNTIFS($H$511:H992,"Yes",$M$511:M992,M992),"")</x:f>
      </x:c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</x:row>
    <x:row r="993" ht="22" customHeight="1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 t="str">
        <x:f>IF(OR(NOT(ISNUMBER('School Profile'!$K$4)),NOT(ISNUMBER('School Profile'!$K$5)),NOT(ISNUMBER(F993)),NOT(ISNUMBER(G993))),"",3958.7613*2*ASIN(MIN(1,SQRT(SIN(RADIANS(F993-'School Profile'!$K$4)/2)^2+COS(RADIANS('School Profile'!$K$4))*COS(RADIANS(F993))*SIN(RADIANS(G993-'School Profile'!$K$5)/2)^2))))</x:f>
      </x:c>
      <x:c r="N993" s="1" t="str">
        <x:f>IF(AND(H993="Yes",ISNUMBER(M993),M993&lt;=1),COUNTIFS($H$511:$H$1010,"Yes",$M$511:$M$1010,"&lt;"&amp;M993)+COUNTIFS($H$511:H993,"Yes",$M$511:M993,M993),"")</x:f>
      </x:c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</x:row>
    <x:row r="994" ht="22" customHeight="1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 t="str">
        <x:f>IF(OR(NOT(ISNUMBER('School Profile'!$K$4)),NOT(ISNUMBER('School Profile'!$K$5)),NOT(ISNUMBER(F994)),NOT(ISNUMBER(G994))),"",3958.7613*2*ASIN(MIN(1,SQRT(SIN(RADIANS(F994-'School Profile'!$K$4)/2)^2+COS(RADIANS('School Profile'!$K$4))*COS(RADIANS(F994))*SIN(RADIANS(G994-'School Profile'!$K$5)/2)^2))))</x:f>
      </x:c>
      <x:c r="N994" s="1" t="str">
        <x:f>IF(AND(H994="Yes",ISNUMBER(M994),M994&lt;=1),COUNTIFS($H$511:$H$1010,"Yes",$M$511:$M$1010,"&lt;"&amp;M994)+COUNTIFS($H$511:H994,"Yes",$M$511:M994,M994),"")</x:f>
      </x:c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</x:row>
    <x:row r="995" ht="22" customHeight="1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 t="str">
        <x:f>IF(OR(NOT(ISNUMBER('School Profile'!$K$4)),NOT(ISNUMBER('School Profile'!$K$5)),NOT(ISNUMBER(F995)),NOT(ISNUMBER(G995))),"",3958.7613*2*ASIN(MIN(1,SQRT(SIN(RADIANS(F995-'School Profile'!$K$4)/2)^2+COS(RADIANS('School Profile'!$K$4))*COS(RADIANS(F995))*SIN(RADIANS(G995-'School Profile'!$K$5)/2)^2))))</x:f>
      </x:c>
      <x:c r="N995" s="1" t="str">
        <x:f>IF(AND(H995="Yes",ISNUMBER(M995),M995&lt;=1),COUNTIFS($H$511:$H$1010,"Yes",$M$511:$M$1010,"&lt;"&amp;M995)+COUNTIFS($H$511:H995,"Yes",$M$511:M995,M995),"")</x:f>
      </x:c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</x:row>
    <x:row r="996" ht="22" customHeight="1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 t="str">
        <x:f>IF(OR(NOT(ISNUMBER('School Profile'!$K$4)),NOT(ISNUMBER('School Profile'!$K$5)),NOT(ISNUMBER(F996)),NOT(ISNUMBER(G996))),"",3958.7613*2*ASIN(MIN(1,SQRT(SIN(RADIANS(F996-'School Profile'!$K$4)/2)^2+COS(RADIANS('School Profile'!$K$4))*COS(RADIANS(F996))*SIN(RADIANS(G996-'School Profile'!$K$5)/2)^2))))</x:f>
      </x:c>
      <x:c r="N996" s="1" t="str">
        <x:f>IF(AND(H996="Yes",ISNUMBER(M996),M996&lt;=1),COUNTIFS($H$511:$H$1010,"Yes",$M$511:$M$1010,"&lt;"&amp;M996)+COUNTIFS($H$511:H996,"Yes",$M$511:M996,M996),"")</x:f>
      </x:c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</x:row>
    <x:row r="997" ht="22" customHeight="1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 t="str">
        <x:f>IF(OR(NOT(ISNUMBER('School Profile'!$K$4)),NOT(ISNUMBER('School Profile'!$K$5)),NOT(ISNUMBER(F997)),NOT(ISNUMBER(G997))),"",3958.7613*2*ASIN(MIN(1,SQRT(SIN(RADIANS(F997-'School Profile'!$K$4)/2)^2+COS(RADIANS('School Profile'!$K$4))*COS(RADIANS(F997))*SIN(RADIANS(G997-'School Profile'!$K$5)/2)^2))))</x:f>
      </x:c>
      <x:c r="N997" s="1" t="str">
        <x:f>IF(AND(H997="Yes",ISNUMBER(M997),M997&lt;=1),COUNTIFS($H$511:$H$1010,"Yes",$M$511:$M$1010,"&lt;"&amp;M997)+COUNTIFS($H$511:H997,"Yes",$M$511:M997,M997),"")</x:f>
      </x:c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</x:row>
    <x:row r="998" ht="22" customHeight="1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 t="str">
        <x:f>IF(OR(NOT(ISNUMBER('School Profile'!$K$4)),NOT(ISNUMBER('School Profile'!$K$5)),NOT(ISNUMBER(F998)),NOT(ISNUMBER(G998))),"",3958.7613*2*ASIN(MIN(1,SQRT(SIN(RADIANS(F998-'School Profile'!$K$4)/2)^2+COS(RADIANS('School Profile'!$K$4))*COS(RADIANS(F998))*SIN(RADIANS(G998-'School Profile'!$K$5)/2)^2))))</x:f>
      </x:c>
      <x:c r="N998" s="1" t="str">
        <x:f>IF(AND(H998="Yes",ISNUMBER(M998),M998&lt;=1),COUNTIFS($H$511:$H$1010,"Yes",$M$511:$M$1010,"&lt;"&amp;M998)+COUNTIFS($H$511:H998,"Yes",$M$511:M998,M998),"")</x:f>
      </x:c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</x:row>
    <x:row r="999" ht="22" customHeight="1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 t="str">
        <x:f>IF(OR(NOT(ISNUMBER('School Profile'!$K$4)),NOT(ISNUMBER('School Profile'!$K$5)),NOT(ISNUMBER(F999)),NOT(ISNUMBER(G999))),"",3958.7613*2*ASIN(MIN(1,SQRT(SIN(RADIANS(F999-'School Profile'!$K$4)/2)^2+COS(RADIANS('School Profile'!$K$4))*COS(RADIANS(F999))*SIN(RADIANS(G999-'School Profile'!$K$5)/2)^2))))</x:f>
      </x:c>
      <x:c r="N999" s="1" t="str">
        <x:f>IF(AND(H999="Yes",ISNUMBER(M999),M999&lt;=1),COUNTIFS($H$511:$H$1010,"Yes",$M$511:$M$1010,"&lt;"&amp;M999)+COUNTIFS($H$511:H999,"Yes",$M$511:M999,M999),"")</x:f>
      </x:c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</x:row>
    <x:row r="1000" ht="22" customHeight="1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 t="str">
        <x:f>IF(OR(NOT(ISNUMBER('School Profile'!$K$4)),NOT(ISNUMBER('School Profile'!$K$5)),NOT(ISNUMBER(F1000)),NOT(ISNUMBER(G1000))),"",3958.7613*2*ASIN(MIN(1,SQRT(SIN(RADIANS(F1000-'School Profile'!$K$4)/2)^2+COS(RADIANS('School Profile'!$K$4))*COS(RADIANS(F1000))*SIN(RADIANS(G1000-'School Profile'!$K$5)/2)^2))))</x:f>
      </x:c>
      <x:c r="N1000" s="1" t="str">
        <x:f>IF(AND(H1000="Yes",ISNUMBER(M1000),M1000&lt;=1),COUNTIFS($H$511:$H$1010,"Yes",$M$511:$M$1010,"&lt;"&amp;M1000)+COUNTIFS($H$511:H1000,"Yes",$M$511:M1000,M1000),"")</x:f>
      </x:c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</x:row>
    <x:row r="1001" ht="22" customHeight="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 t="str">
        <x:f>IF(OR(NOT(ISNUMBER('School Profile'!$K$4)),NOT(ISNUMBER('School Profile'!$K$5)),NOT(ISNUMBER(F1001)),NOT(ISNUMBER(G1001))),"",3958.7613*2*ASIN(MIN(1,SQRT(SIN(RADIANS(F1001-'School Profile'!$K$4)/2)^2+COS(RADIANS('School Profile'!$K$4))*COS(RADIANS(F1001))*SIN(RADIANS(G1001-'School Profile'!$K$5)/2)^2))))</x:f>
      </x:c>
      <x:c r="N1001" s="1" t="str">
        <x:f>IF(AND(H1001="Yes",ISNUMBER(M1001),M1001&lt;=1),COUNTIFS($H$511:$H$1010,"Yes",$M$511:$M$1010,"&lt;"&amp;M1001)+COUNTIFS($H$511:H1001,"Yes",$M$511:M1001,M1001),"")</x:f>
      </x:c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  <x:c r="AA1001" s="1"/>
      <x:c r="AB1001" s="1"/>
      <x:c r="AC1001" s="1"/>
      <x:c r="AD1001" s="1"/>
      <x:c r="AE1001" s="1"/>
      <x:c r="AF1001" s="1"/>
      <x:c r="AG1001" s="1"/>
      <x:c r="AH1001" s="1"/>
      <x:c r="AI1001" s="1"/>
      <x:c r="AJ1001" s="1"/>
      <x:c r="AK1001" s="1"/>
      <x:c r="AL1001" s="1"/>
      <x:c r="AM1001" s="1"/>
      <x:c r="AN1001" s="1"/>
    </x:row>
    <x:row r="1002" ht="22" customHeight="1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 t="str">
        <x:f>IF(OR(NOT(ISNUMBER('School Profile'!$K$4)),NOT(ISNUMBER('School Profile'!$K$5)),NOT(ISNUMBER(F1002)),NOT(ISNUMBER(G1002))),"",3958.7613*2*ASIN(MIN(1,SQRT(SIN(RADIANS(F1002-'School Profile'!$K$4)/2)^2+COS(RADIANS('School Profile'!$K$4))*COS(RADIANS(F1002))*SIN(RADIANS(G1002-'School Profile'!$K$5)/2)^2))))</x:f>
      </x:c>
      <x:c r="N1002" s="1" t="str">
        <x:f>IF(AND(H1002="Yes",ISNUMBER(M1002),M1002&lt;=1),COUNTIFS($H$511:$H$1010,"Yes",$M$511:$M$1010,"&lt;"&amp;M1002)+COUNTIFS($H$511:H1002,"Yes",$M$511:M1002,M1002),"")</x:f>
      </x:c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  <x:c r="AA1002" s="1"/>
      <x:c r="AB1002" s="1"/>
      <x:c r="AC1002" s="1"/>
      <x:c r="AD1002" s="1"/>
      <x:c r="AE1002" s="1"/>
      <x:c r="AF1002" s="1"/>
      <x:c r="AG1002" s="1"/>
      <x:c r="AH1002" s="1"/>
      <x:c r="AI1002" s="1"/>
      <x:c r="AJ1002" s="1"/>
      <x:c r="AK1002" s="1"/>
      <x:c r="AL1002" s="1"/>
      <x:c r="AM1002" s="1"/>
      <x:c r="AN1002" s="1"/>
    </x:row>
    <x:row r="1003" ht="22" customHeight="1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 t="str">
        <x:f>IF(OR(NOT(ISNUMBER('School Profile'!$K$4)),NOT(ISNUMBER('School Profile'!$K$5)),NOT(ISNUMBER(F1003)),NOT(ISNUMBER(G1003))),"",3958.7613*2*ASIN(MIN(1,SQRT(SIN(RADIANS(F1003-'School Profile'!$K$4)/2)^2+COS(RADIANS('School Profile'!$K$4))*COS(RADIANS(F1003))*SIN(RADIANS(G1003-'School Profile'!$K$5)/2)^2))))</x:f>
      </x:c>
      <x:c r="N1003" s="1" t="str">
        <x:f>IF(AND(H1003="Yes",ISNUMBER(M1003),M1003&lt;=1),COUNTIFS($H$511:$H$1010,"Yes",$M$511:$M$1010,"&lt;"&amp;M1003)+COUNTIFS($H$511:H1003,"Yes",$M$511:M1003,M1003),"")</x:f>
      </x:c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  <x:c r="AA1003" s="1"/>
      <x:c r="AB1003" s="1"/>
      <x:c r="AC1003" s="1"/>
      <x:c r="AD1003" s="1"/>
      <x:c r="AE1003" s="1"/>
      <x:c r="AF1003" s="1"/>
      <x:c r="AG1003" s="1"/>
      <x:c r="AH1003" s="1"/>
      <x:c r="AI1003" s="1"/>
      <x:c r="AJ1003" s="1"/>
      <x:c r="AK1003" s="1"/>
      <x:c r="AL1003" s="1"/>
      <x:c r="AM1003" s="1"/>
      <x:c r="AN1003" s="1"/>
    </x:row>
    <x:row r="1004" ht="22" customHeight="1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 t="str">
        <x:f>IF(OR(NOT(ISNUMBER('School Profile'!$K$4)),NOT(ISNUMBER('School Profile'!$K$5)),NOT(ISNUMBER(F1004)),NOT(ISNUMBER(G1004))),"",3958.7613*2*ASIN(MIN(1,SQRT(SIN(RADIANS(F1004-'School Profile'!$K$4)/2)^2+COS(RADIANS('School Profile'!$K$4))*COS(RADIANS(F1004))*SIN(RADIANS(G1004-'School Profile'!$K$5)/2)^2))))</x:f>
      </x:c>
      <x:c r="N1004" s="1" t="str">
        <x:f>IF(AND(H1004="Yes",ISNUMBER(M1004),M1004&lt;=1),COUNTIFS($H$511:$H$1010,"Yes",$M$511:$M$1010,"&lt;"&amp;M1004)+COUNTIFS($H$511:H1004,"Yes",$M$511:M1004,M1004),"")</x:f>
      </x:c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  <x:c r="AA1004" s="1"/>
      <x:c r="AB1004" s="1"/>
      <x:c r="AC1004" s="1"/>
      <x:c r="AD1004" s="1"/>
      <x:c r="AE1004" s="1"/>
      <x:c r="AF1004" s="1"/>
      <x:c r="AG1004" s="1"/>
      <x:c r="AH1004" s="1"/>
      <x:c r="AI1004" s="1"/>
      <x:c r="AJ1004" s="1"/>
      <x:c r="AK1004" s="1"/>
      <x:c r="AL1004" s="1"/>
      <x:c r="AM1004" s="1"/>
      <x:c r="AN1004" s="1"/>
    </x:row>
    <x:row r="1005" ht="22" customHeight="1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 t="str">
        <x:f>IF(OR(NOT(ISNUMBER('School Profile'!$K$4)),NOT(ISNUMBER('School Profile'!$K$5)),NOT(ISNUMBER(F1005)),NOT(ISNUMBER(G1005))),"",3958.7613*2*ASIN(MIN(1,SQRT(SIN(RADIANS(F1005-'School Profile'!$K$4)/2)^2+COS(RADIANS('School Profile'!$K$4))*COS(RADIANS(F1005))*SIN(RADIANS(G1005-'School Profile'!$K$5)/2)^2))))</x:f>
      </x:c>
      <x:c r="N1005" s="1" t="str">
        <x:f>IF(AND(H1005="Yes",ISNUMBER(M1005),M1005&lt;=1),COUNTIFS($H$511:$H$1010,"Yes",$M$511:$M$1010,"&lt;"&amp;M1005)+COUNTIFS($H$511:H1005,"Yes",$M$511:M1005,M1005),"")</x:f>
      </x:c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  <x:c r="AA1005" s="1"/>
      <x:c r="AB1005" s="1"/>
      <x:c r="AC1005" s="1"/>
      <x:c r="AD1005" s="1"/>
      <x:c r="AE1005" s="1"/>
      <x:c r="AF1005" s="1"/>
      <x:c r="AG1005" s="1"/>
      <x:c r="AH1005" s="1"/>
      <x:c r="AI1005" s="1"/>
      <x:c r="AJ1005" s="1"/>
      <x:c r="AK1005" s="1"/>
      <x:c r="AL1005" s="1"/>
      <x:c r="AM1005" s="1"/>
      <x:c r="AN1005" s="1"/>
    </x:row>
    <x:row r="1006" ht="22" customHeight="1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 t="str">
        <x:f>IF(OR(NOT(ISNUMBER('School Profile'!$K$4)),NOT(ISNUMBER('School Profile'!$K$5)),NOT(ISNUMBER(F1006)),NOT(ISNUMBER(G1006))),"",3958.7613*2*ASIN(MIN(1,SQRT(SIN(RADIANS(F1006-'School Profile'!$K$4)/2)^2+COS(RADIANS('School Profile'!$K$4))*COS(RADIANS(F1006))*SIN(RADIANS(G1006-'School Profile'!$K$5)/2)^2))))</x:f>
      </x:c>
      <x:c r="N1006" s="1" t="str">
        <x:f>IF(AND(H1006="Yes",ISNUMBER(M1006),M1006&lt;=1),COUNTIFS($H$511:$H$1010,"Yes",$M$511:$M$1010,"&lt;"&amp;M1006)+COUNTIFS($H$511:H1006,"Yes",$M$511:M1006,M1006),"")</x:f>
      </x:c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  <x:c r="AA1006" s="1"/>
      <x:c r="AB1006" s="1"/>
      <x:c r="AC1006" s="1"/>
      <x:c r="AD1006" s="1"/>
      <x:c r="AE1006" s="1"/>
      <x:c r="AF1006" s="1"/>
      <x:c r="AG1006" s="1"/>
      <x:c r="AH1006" s="1"/>
      <x:c r="AI1006" s="1"/>
      <x:c r="AJ1006" s="1"/>
      <x:c r="AK1006" s="1"/>
      <x:c r="AL1006" s="1"/>
      <x:c r="AM1006" s="1"/>
      <x:c r="AN1006" s="1"/>
    </x:row>
    <x:row r="1007" ht="22" customHeight="1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 t="str">
        <x:f>IF(OR(NOT(ISNUMBER('School Profile'!$K$4)),NOT(ISNUMBER('School Profile'!$K$5)),NOT(ISNUMBER(F1007)),NOT(ISNUMBER(G1007))),"",3958.7613*2*ASIN(MIN(1,SQRT(SIN(RADIANS(F1007-'School Profile'!$K$4)/2)^2+COS(RADIANS('School Profile'!$K$4))*COS(RADIANS(F1007))*SIN(RADIANS(G1007-'School Profile'!$K$5)/2)^2))))</x:f>
      </x:c>
      <x:c r="N1007" s="1" t="str">
        <x:f>IF(AND(H1007="Yes",ISNUMBER(M1007),M1007&lt;=1),COUNTIFS($H$511:$H$1010,"Yes",$M$511:$M$1010,"&lt;"&amp;M1007)+COUNTIFS($H$511:H1007,"Yes",$M$511:M1007,M1007),"")</x:f>
      </x:c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  <x:c r="AA1007" s="1"/>
      <x:c r="AB1007" s="1"/>
      <x:c r="AC1007" s="1"/>
      <x:c r="AD1007" s="1"/>
      <x:c r="AE1007" s="1"/>
      <x:c r="AF1007" s="1"/>
      <x:c r="AG1007" s="1"/>
      <x:c r="AH1007" s="1"/>
      <x:c r="AI1007" s="1"/>
      <x:c r="AJ1007" s="1"/>
      <x:c r="AK1007" s="1"/>
      <x:c r="AL1007" s="1"/>
      <x:c r="AM1007" s="1"/>
      <x:c r="AN1007" s="1"/>
    </x:row>
    <x:row r="1008" ht="22" customHeight="1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 t="str">
        <x:f>IF(OR(NOT(ISNUMBER('School Profile'!$K$4)),NOT(ISNUMBER('School Profile'!$K$5)),NOT(ISNUMBER(F1008)),NOT(ISNUMBER(G1008))),"",3958.7613*2*ASIN(MIN(1,SQRT(SIN(RADIANS(F1008-'School Profile'!$K$4)/2)^2+COS(RADIANS('School Profile'!$K$4))*COS(RADIANS(F1008))*SIN(RADIANS(G1008-'School Profile'!$K$5)/2)^2))))</x:f>
      </x:c>
      <x:c r="N1008" s="1" t="str">
        <x:f>IF(AND(H1008="Yes",ISNUMBER(M1008),M1008&lt;=1),COUNTIFS($H$511:$H$1010,"Yes",$M$511:$M$1010,"&lt;"&amp;M1008)+COUNTIFS($H$511:H1008,"Yes",$M$511:M1008,M1008),"")</x:f>
      </x:c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  <x:c r="AA1008" s="1"/>
      <x:c r="AB1008" s="1"/>
      <x:c r="AC1008" s="1"/>
      <x:c r="AD1008" s="1"/>
      <x:c r="AE1008" s="1"/>
      <x:c r="AF1008" s="1"/>
      <x:c r="AG1008" s="1"/>
      <x:c r="AH1008" s="1"/>
      <x:c r="AI1008" s="1"/>
      <x:c r="AJ1008" s="1"/>
      <x:c r="AK1008" s="1"/>
      <x:c r="AL1008" s="1"/>
      <x:c r="AM1008" s="1"/>
      <x:c r="AN1008" s="1"/>
    </x:row>
    <x:row r="1009" ht="22" customHeight="1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 t="str">
        <x:f>IF(OR(NOT(ISNUMBER('School Profile'!$K$4)),NOT(ISNUMBER('School Profile'!$K$5)),NOT(ISNUMBER(F1009)),NOT(ISNUMBER(G1009))),"",3958.7613*2*ASIN(MIN(1,SQRT(SIN(RADIANS(F1009-'School Profile'!$K$4)/2)^2+COS(RADIANS('School Profile'!$K$4))*COS(RADIANS(F1009))*SIN(RADIANS(G1009-'School Profile'!$K$5)/2)^2))))</x:f>
      </x:c>
      <x:c r="N1009" s="1" t="str">
        <x:f>IF(AND(H1009="Yes",ISNUMBER(M1009),M1009&lt;=1),COUNTIFS($H$511:$H$1010,"Yes",$M$511:$M$1010,"&lt;"&amp;M1009)+COUNTIFS($H$511:H1009,"Yes",$M$511:M1009,M1009),"")</x:f>
      </x:c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  <x:c r="AA1009" s="1"/>
      <x:c r="AB1009" s="1"/>
      <x:c r="AC1009" s="1"/>
      <x:c r="AD1009" s="1"/>
      <x:c r="AE1009" s="1"/>
      <x:c r="AF1009" s="1"/>
      <x:c r="AG1009" s="1"/>
      <x:c r="AH1009" s="1"/>
      <x:c r="AI1009" s="1"/>
      <x:c r="AJ1009" s="1"/>
      <x:c r="AK1009" s="1"/>
      <x:c r="AL1009" s="1"/>
      <x:c r="AM1009" s="1"/>
      <x:c r="AN1009" s="1"/>
    </x:row>
    <x:row r="1010" ht="22" customHeight="1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 t="str">
        <x:f>IF(OR(NOT(ISNUMBER('School Profile'!$K$4)),NOT(ISNUMBER('School Profile'!$K$5)),NOT(ISNUMBER(F1010)),NOT(ISNUMBER(G1010))),"",3958.7613*2*ASIN(MIN(1,SQRT(SIN(RADIANS(F1010-'School Profile'!$K$4)/2)^2+COS(RADIANS('School Profile'!$K$4))*COS(RADIANS(F1010))*SIN(RADIANS(G1010-'School Profile'!$K$5)/2)^2))))</x:f>
      </x:c>
      <x:c r="N1010" s="1" t="str">
        <x:f>IF(AND(H1010="Yes",ISNUMBER(M1010),M1010&lt;=1),COUNTIFS($H$511:$H$1010,"Yes",$M$511:$M$1010,"&lt;"&amp;M1010)+COUNTIFS($H$511:H1010,"Yes",$M$511:M1010,M1010),"")</x:f>
      </x:c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  <x:c r="AA1010" s="1"/>
      <x:c r="AB1010" s="1"/>
      <x:c r="AC1010" s="1"/>
      <x:c r="AD1010" s="1"/>
      <x:c r="AE1010" s="1"/>
      <x:c r="AF1010" s="1"/>
      <x:c r="AG1010" s="1"/>
      <x:c r="AH1010" s="1"/>
      <x:c r="AI1010" s="1"/>
      <x:c r="AJ1010" s="1"/>
      <x:c r="AK1010" s="1"/>
      <x:c r="AL1010" s="1"/>
      <x:c r="AM1010" s="1"/>
      <x:c r="AN1010" s="1"/>
    </x:row>
    <x:row r="1011" ht="22" customHeight="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  <x:c r="AA1011" s="1"/>
      <x:c r="AB1011" s="1"/>
      <x:c r="AC1011" s="1"/>
      <x:c r="AD1011" s="1"/>
      <x:c r="AE1011" s="1"/>
      <x:c r="AF1011" s="1"/>
      <x:c r="AG1011" s="1"/>
      <x:c r="AH1011" s="1"/>
      <x:c r="AI1011" s="1"/>
      <x:c r="AJ1011" s="1"/>
      <x:c r="AK1011" s="1"/>
      <x:c r="AL1011" s="1"/>
      <x:c r="AM1011" s="1"/>
      <x:c r="AN1011" s="1"/>
    </x:row>
    <x:row r="1012" ht="22" customHeight="1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</x:row>
    <x:row r="1013" ht="22" customHeight="1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</x:row>
    <x:row r="1014" ht="22" customHeight="1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</x:row>
    <x:row r="1015" ht="22" customHeight="1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  <x:c r="AA1015" s="1"/>
      <x:c r="AB1015" s="1"/>
      <x:c r="AC1015" s="1"/>
      <x:c r="AD1015" s="1"/>
      <x:c r="AE1015" s="1"/>
      <x:c r="AF1015" s="1"/>
      <x:c r="AG1015" s="1"/>
      <x:c r="AH1015" s="1"/>
      <x:c r="AI1015" s="1"/>
      <x:c r="AJ1015" s="1"/>
      <x:c r="AK1015" s="1"/>
      <x:c r="AL1015" s="1"/>
      <x:c r="AM1015" s="1"/>
      <x:c r="AN1015" s="1"/>
    </x:row>
    <x:row r="1016" ht="22" customHeight="1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</x:row>
    <x:row r="1017" ht="22" customHeight="1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</x:row>
    <x:row r="1018" ht="22" customHeight="1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  <x:c r="AA1018" s="1"/>
      <x:c r="AB1018" s="1"/>
      <x:c r="AC1018" s="1"/>
      <x:c r="AD1018" s="1"/>
      <x:c r="AE1018" s="1"/>
      <x:c r="AF1018" s="1"/>
      <x:c r="AG1018" s="1"/>
      <x:c r="AH1018" s="1"/>
      <x:c r="AI1018" s="1"/>
      <x:c r="AJ1018" s="1"/>
      <x:c r="AK1018" s="1"/>
      <x:c r="AL1018" s="1"/>
      <x:c r="AM1018" s="1"/>
      <x:c r="AN1018" s="1"/>
    </x:row>
    <x:row r="1019" ht="22" customHeight="1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  <x:c r="AA1019" s="1"/>
      <x:c r="AB1019" s="1"/>
      <x:c r="AC1019" s="1"/>
      <x:c r="AD1019" s="1"/>
      <x:c r="AE1019" s="1"/>
      <x:c r="AF1019" s="1"/>
      <x:c r="AG1019" s="1"/>
      <x:c r="AH1019" s="1"/>
      <x:c r="AI1019" s="1"/>
      <x:c r="AJ1019" s="1"/>
      <x:c r="AK1019" s="1"/>
      <x:c r="AL1019" s="1"/>
      <x:c r="AM1019" s="1"/>
      <x:c r="AN1019" s="1"/>
    </x:row>
    <x:row r="1020" ht="34" customHeight="1">
      <x:c r="A1020" s="12" t="str">
        <x:v>Retailer ID</x:v>
      </x:c>
      <x:c r="B1020" s="12" t="str">
        <x:v>Retailer name</x:v>
      </x:c>
      <x:c r="C1020" s="12" t="str">
        <x:v>Store type</x:v>
      </x:c>
      <x:c r="D1020" s="12" t="str">
        <x:v>Address</x:v>
      </x:c>
      <x:c r="E1020" s="12" t="str">
        <x:v>City</x:v>
      </x:c>
      <x:c r="F1020" s="12" t="str">
        <x:v>State</x:v>
      </x:c>
      <x:c r="G1020" s="12" t="str">
        <x:v>ZIP</x:v>
      </x:c>
      <x:c r="H1020" s="12" t="str">
        <x:v>Latitude</x:v>
      </x:c>
      <x:c r="I1020" s="12" t="str">
        <x:v>Longitude</x:v>
      </x:c>
      <x:c r="J1020" s="12" t="str">
        <x:v>Source</x:v>
      </x:c>
      <x:c r="K1020" s="12" t="str">
        <x:v>Retrieved</x:v>
      </x:c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  <x:c r="AA1020" s="1"/>
      <x:c r="AB1020" s="1"/>
      <x:c r="AC1020" s="1"/>
      <x:c r="AD1020" s="1"/>
      <x:c r="AE1020" s="1"/>
      <x:c r="AF1020" s="1"/>
      <x:c r="AG1020" s="1"/>
      <x:c r="AH1020" s="1"/>
      <x:c r="AI1020" s="1"/>
      <x:c r="AJ1020" s="1"/>
      <x:c r="AK1020" s="1"/>
      <x:c r="AL1020" s="1"/>
      <x:c r="AM1020" s="1"/>
      <x:c r="AN1020" s="1"/>
    </x:row>
    <x:row r="1021" ht="22" customHeight="1">
      <x:c r="A1021" s="1" t="str">
        <x:v>1712831</x:v>
      </x:c>
      <x:c r="B1021" s="1" t="str">
        <x:v>Sharswood Grocery Outlet 731</x:v>
      </x:c>
      <x:c r="C1021" s="1" t="str">
        <x:v>Supermarket</x:v>
      </x:c>
      <x:c r="D1021" s="1" t="str">
        <x:v>2077 Ridge Ave</x:v>
      </x:c>
      <x:c r="E1021" s="1" t="str">
        <x:v>Philadelphia</x:v>
      </x:c>
      <x:c r="F1021" s="1" t="str">
        <x:v>PA</x:v>
      </x:c>
      <x:c r="G1021" s="1" t="str">
        <x:v>19121</x:v>
      </x:c>
      <x:c r="H1021" s="1" t="n">
        <x:v>39.977982</x:v>
      </x:c>
      <x:c r="I1021" s="1" t="n">
        <x:v>-75.169548</x:v>
      </x:c>
      <x:c r="J1021" s="1" t="str">
        <x:v>USDA SNAP retailer list</x:v>
      </x:c>
      <x:c r="K1021" s="1" t="str">
        <x:v>2026-10-09</x:v>
      </x:c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  <x:c r="AA1021" s="1"/>
      <x:c r="AB1021" s="1"/>
      <x:c r="AC1021" s="1"/>
      <x:c r="AD1021" s="1"/>
      <x:c r="AE1021" s="1"/>
      <x:c r="AF1021" s="1"/>
      <x:c r="AG1021" s="1"/>
      <x:c r="AH1021" s="1"/>
      <x:c r="AI1021" s="1"/>
      <x:c r="AJ1021" s="1"/>
      <x:c r="AK1021" s="1"/>
      <x:c r="AL1021" s="1"/>
      <x:c r="AM1021" s="1"/>
      <x:c r="AN1021" s="1"/>
    </x:row>
    <x:row r="1022" ht="22" customHeight="1">
      <x:c r="A1022" s="1" t="str">
        <x:v>1708511</x:v>
      </x:c>
      <x:c r="B1022" s="1" t="str">
        <x:v>Citimart</x:v>
      </x:c>
      <x:c r="C1022" s="1" t="str">
        <x:v>Super Store</x:v>
      </x:c>
      <x:c r="D1022" s="1" t="str">
        <x:v>2743 S 3rd St</x:v>
      </x:c>
      <x:c r="E1022" s="1" t="str">
        <x:v>Philadelphia</x:v>
      </x:c>
      <x:c r="F1022" s="1" t="str">
        <x:v>PA</x:v>
      </x:c>
      <x:c r="G1022" s="1" t="str">
        <x:v>19148</x:v>
      </x:c>
      <x:c r="H1022" s="1" t="n">
        <x:v>39.913116</x:v>
      </x:c>
      <x:c r="I1022" s="1" t="n">
        <x:v>-75.152069</x:v>
      </x:c>
      <x:c r="J1022" s="1" t="str">
        <x:v>USDA SNAP retailer list</x:v>
      </x:c>
      <x:c r="K1022" s="1" t="str">
        <x:v>2026-10-09</x:v>
      </x:c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  <x:c r="AA1022" s="1"/>
      <x:c r="AB1022" s="1"/>
      <x:c r="AC1022" s="1"/>
      <x:c r="AD1022" s="1"/>
      <x:c r="AE1022" s="1"/>
      <x:c r="AF1022" s="1"/>
      <x:c r="AG1022" s="1"/>
      <x:c r="AH1022" s="1"/>
      <x:c r="AI1022" s="1"/>
      <x:c r="AJ1022" s="1"/>
      <x:c r="AK1022" s="1"/>
      <x:c r="AL1022" s="1"/>
      <x:c r="AM1022" s="1"/>
      <x:c r="AN1022" s="1"/>
    </x:row>
    <x:row r="1023" ht="22" customHeight="1">
      <x:c r="A1023" s="1" t="str">
        <x:v>1714128</x:v>
      </x:c>
      <x:c r="B1023" s="1" t="str">
        <x:v>New Oregon Market Inc</x:v>
      </x:c>
      <x:c r="C1023" s="1" t="str">
        <x:v>Super Store</x:v>
      </x:c>
      <x:c r="D1023" s="1" t="str">
        <x:v>320 W Oregon Ave</x:v>
      </x:c>
      <x:c r="E1023" s="1" t="str">
        <x:v>Philadelphia</x:v>
      </x:c>
      <x:c r="F1023" s="1" t="str">
        <x:v>PA</x:v>
      </x:c>
      <x:c r="G1023" s="1" t="str">
        <x:v>19148</x:v>
      </x:c>
      <x:c r="H1023" s="1" t="n">
        <x:v>39.91291</x:v>
      </x:c>
      <x:c r="I1023" s="1" t="n">
        <x:v>-75.153618</x:v>
      </x:c>
      <x:c r="J1023" s="1" t="str">
        <x:v>USDA SNAP retailer list</x:v>
      </x:c>
      <x:c r="K1023" s="1" t="str">
        <x:v>2026-10-09</x:v>
      </x:c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  <x:c r="AA1023" s="1"/>
      <x:c r="AB1023" s="1"/>
      <x:c r="AC1023" s="1"/>
      <x:c r="AD1023" s="1"/>
      <x:c r="AE1023" s="1"/>
      <x:c r="AF1023" s="1"/>
      <x:c r="AG1023" s="1"/>
      <x:c r="AH1023" s="1"/>
      <x:c r="AI1023" s="1"/>
      <x:c r="AJ1023" s="1"/>
      <x:c r="AK1023" s="1"/>
      <x:c r="AL1023" s="1"/>
      <x:c r="AM1023" s="1"/>
      <x:c r="AN1023" s="1"/>
    </x:row>
    <x:row r="1024" ht="22" customHeight="1">
      <x:c r="A1024" s="1" t="str">
        <x:v>1715195</x:v>
      </x:c>
      <x:c r="B1024" s="1" t="str">
        <x:v>722 Adams Meat Corp/Ideal Food Basket</x:v>
      </x:c>
      <x:c r="C1024" s="1" t="str">
        <x:v>Supermarket</x:v>
      </x:c>
      <x:c r="D1024" s="1" t="str">
        <x:v>722 Adams Ave</x:v>
      </x:c>
      <x:c r="E1024" s="1" t="str">
        <x:v>Philadelphia</x:v>
      </x:c>
      <x:c r="F1024" s="1" t="str">
        <x:v>PA</x:v>
      </x:c>
      <x:c r="G1024" s="1" t="str">
        <x:v>19124</x:v>
      </x:c>
      <x:c r="H1024" s="1" t="n">
        <x:v>40.032185</x:v>
      </x:c>
      <x:c r="I1024" s="1" t="n">
        <x:v>-75.107094</x:v>
      </x:c>
      <x:c r="J1024" s="1" t="str">
        <x:v>USDA SNAP retailer list</x:v>
      </x:c>
      <x:c r="K1024" s="1" t="str">
        <x:v>2026-10-09</x:v>
      </x:c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  <x:c r="AA1024" s="1"/>
      <x:c r="AB1024" s="1"/>
      <x:c r="AC1024" s="1"/>
      <x:c r="AD1024" s="1"/>
      <x:c r="AE1024" s="1"/>
      <x:c r="AF1024" s="1"/>
      <x:c r="AG1024" s="1"/>
      <x:c r="AH1024" s="1"/>
      <x:c r="AI1024" s="1"/>
      <x:c r="AJ1024" s="1"/>
      <x:c r="AK1024" s="1"/>
      <x:c r="AL1024" s="1"/>
      <x:c r="AM1024" s="1"/>
      <x:c r="AN1024" s="1"/>
    </x:row>
    <x:row r="1025" ht="22" customHeight="1">
      <x:c r="A1025" s="1" t="str">
        <x:v>1697893</x:v>
      </x:c>
      <x:c r="B1025" s="1" t="str">
        <x:v>B Js Wholesale Club 92</x:v>
      </x:c>
      <x:c r="C1025" s="1" t="str">
        <x:v>Super Store</x:v>
      </x:c>
      <x:c r="D1025" s="1" t="str">
        <x:v>300 Alan Wood Rd</x:v>
      </x:c>
      <x:c r="E1025" s="1" t="str">
        <x:v>Conshohocken</x:v>
      </x:c>
      <x:c r="F1025" s="1" t="str">
        <x:v>PA</x:v>
      </x:c>
      <x:c r="G1025" s="1" t="str">
        <x:v>19428</x:v>
      </x:c>
      <x:c r="H1025" s="1" t="n">
        <x:v>40.096432</x:v>
      </x:c>
      <x:c r="I1025" s="1" t="n">
        <x:v>-75.304779</x:v>
      </x:c>
      <x:c r="J1025" s="1" t="str">
        <x:v>USDA SNAP retailer list</x:v>
      </x:c>
      <x:c r="K1025" s="1" t="str">
        <x:v>2026-10-09</x:v>
      </x:c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  <x:c r="AA1025" s="1"/>
      <x:c r="AB1025" s="1"/>
      <x:c r="AC1025" s="1"/>
      <x:c r="AD1025" s="1"/>
      <x:c r="AE1025" s="1"/>
      <x:c r="AF1025" s="1"/>
      <x:c r="AG1025" s="1"/>
      <x:c r="AH1025" s="1"/>
      <x:c r="AI1025" s="1"/>
      <x:c r="AJ1025" s="1"/>
      <x:c r="AK1025" s="1"/>
      <x:c r="AL1025" s="1"/>
      <x:c r="AM1025" s="1"/>
      <x:c r="AN1025" s="1"/>
    </x:row>
    <x:row r="1026" ht="22" customHeight="1">
      <x:c r="A1026" s="1" t="str">
        <x:v>1699087</x:v>
      </x:c>
      <x:c r="B1026" s="1" t="str">
        <x:v>Giant Food Store 6581</x:v>
      </x:c>
      <x:c r="C1026" s="1" t="str">
        <x:v>Supermarket</x:v>
      </x:c>
      <x:c r="D1026" s="1" t="str">
        <x:v>701 Cathedral Road</x:v>
      </x:c>
      <x:c r="E1026" s="1" t="str">
        <x:v>Philadelphia</x:v>
      </x:c>
      <x:c r="F1026" s="1" t="str">
        <x:v>PA</x:v>
      </x:c>
      <x:c r="G1026" s="1" t="str">
        <x:v>19128</x:v>
      </x:c>
      <x:c r="H1026" s="1" t="n">
        <x:v>40.063358</x:v>
      </x:c>
      <x:c r="I1026" s="1" t="n">
        <x:v>-75.236732</x:v>
      </x:c>
      <x:c r="J1026" s="1" t="str">
        <x:v>USDA SNAP retailer list</x:v>
      </x:c>
      <x:c r="K1026" s="1" t="str">
        <x:v>2026-10-09</x:v>
      </x:c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  <x:c r="AA1026" s="1"/>
      <x:c r="AB1026" s="1"/>
      <x:c r="AC1026" s="1"/>
      <x:c r="AD1026" s="1"/>
      <x:c r="AE1026" s="1"/>
      <x:c r="AF1026" s="1"/>
      <x:c r="AG1026" s="1"/>
      <x:c r="AH1026" s="1"/>
      <x:c r="AI1026" s="1"/>
      <x:c r="AJ1026" s="1"/>
      <x:c r="AK1026" s="1"/>
      <x:c r="AL1026" s="1"/>
      <x:c r="AM1026" s="1"/>
      <x:c r="AN1026" s="1"/>
    </x:row>
    <x:row r="1027" ht="22" customHeight="1">
      <x:c r="A1027" s="1" t="str">
        <x:v>1695974</x:v>
      </x:c>
      <x:c r="B1027" s="1" t="str">
        <x:v>Grocery Outlet Of Sharon Hill 718</x:v>
      </x:c>
      <x:c r="C1027" s="1" t="str">
        <x:v>Supermarket</x:v>
      </x:c>
      <x:c r="D1027" s="1" t="str">
        <x:v>1130 Chester Pike</x:v>
      </x:c>
      <x:c r="E1027" s="1" t="str">
        <x:v>Sharon Hill</x:v>
      </x:c>
      <x:c r="F1027" s="1" t="str">
        <x:v>PA</x:v>
      </x:c>
      <x:c r="G1027" s="1" t="str">
        <x:v>19079</x:v>
      </x:c>
      <x:c r="H1027" s="1" t="n">
        <x:v>39.90847</x:v>
      </x:c>
      <x:c r="I1027" s="1" t="n">
        <x:v>-75.274231</x:v>
      </x:c>
      <x:c r="J1027" s="1" t="str">
        <x:v>USDA SNAP retailer list</x:v>
      </x:c>
      <x:c r="K1027" s="1" t="str">
        <x:v>2026-10-09</x:v>
      </x:c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  <x:c r="AA1027" s="1"/>
      <x:c r="AB1027" s="1"/>
      <x:c r="AC1027" s="1"/>
      <x:c r="AD1027" s="1"/>
      <x:c r="AE1027" s="1"/>
      <x:c r="AF1027" s="1"/>
      <x:c r="AG1027" s="1"/>
      <x:c r="AH1027" s="1"/>
      <x:c r="AI1027" s="1"/>
      <x:c r="AJ1027" s="1"/>
      <x:c r="AK1027" s="1"/>
      <x:c r="AL1027" s="1"/>
      <x:c r="AM1027" s="1"/>
      <x:c r="AN1027" s="1"/>
    </x:row>
    <x:row r="1028" ht="22" customHeight="1">
      <x:c r="A1028" s="1" t="str">
        <x:v>1698197</x:v>
      </x:c>
      <x:c r="B1028" s="1" t="str">
        <x:v>Shoprite of Drexeline</x:v>
      </x:c>
      <x:c r="C1028" s="1" t="str">
        <x:v>Super Store</x:v>
      </x:c>
      <x:c r="D1028" s="1" t="str">
        <x:v>5000 State Rd</x:v>
      </x:c>
      <x:c r="E1028" s="1" t="str">
        <x:v>Drexel Hill</x:v>
      </x:c>
      <x:c r="F1028" s="1" t="str">
        <x:v>PA</x:v>
      </x:c>
      <x:c r="G1028" s="1" t="str">
        <x:v>19026</x:v>
      </x:c>
      <x:c r="H1028" s="1" t="n">
        <x:v>39.945358</x:v>
      </x:c>
      <x:c r="I1028" s="1" t="n">
        <x:v>-75.323456</x:v>
      </x:c>
      <x:c r="J1028" s="1" t="str">
        <x:v>USDA SNAP retailer list</x:v>
      </x:c>
      <x:c r="K1028" s="1" t="str">
        <x:v>2026-10-09</x:v>
      </x:c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  <x:c r="AA1028" s="1"/>
      <x:c r="AB1028" s="1"/>
      <x:c r="AC1028" s="1"/>
      <x:c r="AD1028" s="1"/>
      <x:c r="AE1028" s="1"/>
      <x:c r="AF1028" s="1"/>
      <x:c r="AG1028" s="1"/>
      <x:c r="AH1028" s="1"/>
      <x:c r="AI1028" s="1"/>
      <x:c r="AJ1028" s="1"/>
      <x:c r="AK1028" s="1"/>
      <x:c r="AL1028" s="1"/>
      <x:c r="AM1028" s="1"/>
      <x:c r="AN1028" s="1"/>
    </x:row>
    <x:row r="1029" ht="22" customHeight="1">
      <x:c r="A1029" s="1" t="str">
        <x:v>1698963</x:v>
      </x:c>
      <x:c r="B1029" s="1" t="str">
        <x:v>Walmart 3564</x:v>
      </x:c>
      <x:c r="C1029" s="1" t="str">
        <x:v>Super Store</x:v>
      </x:c>
      <x:c r="D1029" s="1" t="str">
        <x:v>2101 Blair Mill Rd</x:v>
      </x:c>
      <x:c r="E1029" s="1" t="str">
        <x:v>Willow Grove</x:v>
      </x:c>
      <x:c r="F1029" s="1" t="str">
        <x:v>PA</x:v>
      </x:c>
      <x:c r="G1029" s="1" t="str">
        <x:v>19090</x:v>
      </x:c>
      <x:c r="H1029" s="1" t="n">
        <x:v>40.158577</x:v>
      </x:c>
      <x:c r="I1029" s="1" t="n">
        <x:v>-75.139198</x:v>
      </x:c>
      <x:c r="J1029" s="1" t="str">
        <x:v>USDA SNAP retailer list</x:v>
      </x:c>
      <x:c r="K1029" s="1" t="str">
        <x:v>2026-10-09</x:v>
      </x:c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  <x:c r="AA1029" s="1"/>
      <x:c r="AB1029" s="1"/>
      <x:c r="AC1029" s="1"/>
      <x:c r="AD1029" s="1"/>
      <x:c r="AE1029" s="1"/>
      <x:c r="AF1029" s="1"/>
      <x:c r="AG1029" s="1"/>
      <x:c r="AH1029" s="1"/>
      <x:c r="AI1029" s="1"/>
      <x:c r="AJ1029" s="1"/>
      <x:c r="AK1029" s="1"/>
      <x:c r="AL1029" s="1"/>
      <x:c r="AM1029" s="1"/>
      <x:c r="AN1029" s="1"/>
    </x:row>
    <x:row r="1030" ht="22" customHeight="1">
      <x:c r="A1030" s="1" t="str">
        <x:v>1697681</x:v>
      </x:c>
      <x:c r="B1030" s="1" t="str">
        <x:v>Giant Food Store 6464</x:v>
      </x:c>
      <x:c r="C1030" s="1" t="str">
        <x:v>Supermarket</x:v>
      </x:c>
      <x:c r="D1030" s="1" t="str">
        <x:v>721 W Sproul Rd</x:v>
      </x:c>
      <x:c r="E1030" s="1" t="str">
        <x:v>Springfield</x:v>
      </x:c>
      <x:c r="F1030" s="1" t="str">
        <x:v>PA</x:v>
      </x:c>
      <x:c r="G1030" s="1" t="str">
        <x:v>19064</x:v>
      </x:c>
      <x:c r="H1030" s="1" t="n">
        <x:v>39.934303</x:v>
      </x:c>
      <x:c r="I1030" s="1" t="n">
        <x:v>-75.351311</x:v>
      </x:c>
      <x:c r="J1030" s="1" t="str">
        <x:v>USDA SNAP retailer list</x:v>
      </x:c>
      <x:c r="K1030" s="1" t="str">
        <x:v>2026-10-09</x:v>
      </x:c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  <x:c r="AA1030" s="1"/>
      <x:c r="AB1030" s="1"/>
      <x:c r="AC1030" s="1"/>
      <x:c r="AD1030" s="1"/>
      <x:c r="AE1030" s="1"/>
      <x:c r="AF1030" s="1"/>
      <x:c r="AG1030" s="1"/>
      <x:c r="AH1030" s="1"/>
      <x:c r="AI1030" s="1"/>
      <x:c r="AJ1030" s="1"/>
      <x:c r="AK1030" s="1"/>
      <x:c r="AL1030" s="1"/>
      <x:c r="AM1030" s="1"/>
      <x:c r="AN1030" s="1"/>
    </x:row>
    <x:row r="1031" ht="22" customHeight="1">
      <x:c r="A1031" s="1" t="str">
        <x:v>1697685</x:v>
      </x:c>
      <x:c r="B1031" s="1" t="str">
        <x:v>Sprouts Farmers Market 855</x:v>
      </x:c>
      <x:c r="C1031" s="1" t="str">
        <x:v>Supermarket</x:v>
      </x:c>
      <x:c r="D1031" s="1" t="str">
        <x:v>2370 W Oregon Ave</x:v>
      </x:c>
      <x:c r="E1031" s="1" t="str">
        <x:v>Philadelphia</x:v>
      </x:c>
      <x:c r="F1031" s="1" t="str">
        <x:v>PA</x:v>
      </x:c>
      <x:c r="G1031" s="1" t="str">
        <x:v>19145</x:v>
      </x:c>
      <x:c r="H1031" s="1" t="n">
        <x:v>39.917652</x:v>
      </x:c>
      <x:c r="I1031" s="1" t="n">
        <x:v>-75.188698</x:v>
      </x:c>
      <x:c r="J1031" s="1" t="str">
        <x:v>USDA SNAP retailer list</x:v>
      </x:c>
      <x:c r="K1031" s="1" t="str">
        <x:v>2026-10-09</x:v>
      </x:c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  <x:c r="AA1031" s="1"/>
      <x:c r="AB1031" s="1"/>
      <x:c r="AC1031" s="1"/>
      <x:c r="AD1031" s="1"/>
      <x:c r="AE1031" s="1"/>
      <x:c r="AF1031" s="1"/>
      <x:c r="AG1031" s="1"/>
      <x:c r="AH1031" s="1"/>
      <x:c r="AI1031" s="1"/>
      <x:c r="AJ1031" s="1"/>
      <x:c r="AK1031" s="1"/>
      <x:c r="AL1031" s="1"/>
      <x:c r="AM1031" s="1"/>
      <x:c r="AN1031" s="1"/>
    </x:row>
    <x:row r="1032" ht="22" customHeight="1">
      <x:c r="A1032" s="1" t="str">
        <x:v>1699976</x:v>
      </x:c>
      <x:c r="B1032" s="1" t="str">
        <x:v>Cousin's Fresh Market 3 Llc</x:v>
      </x:c>
      <x:c r="C1032" s="1" t="str">
        <x:v>Supermarket</x:v>
      </x:c>
      <x:c r="D1032" s="1" t="str">
        <x:v>5704 Baltimore Ave</x:v>
      </x:c>
      <x:c r="E1032" s="1" t="str">
        <x:v>Philadelphia</x:v>
      </x:c>
      <x:c r="F1032" s="1" t="str">
        <x:v>PA</x:v>
      </x:c>
      <x:c r="G1032" s="1" t="str">
        <x:v>19143</x:v>
      </x:c>
      <x:c r="H1032" s="1" t="n">
        <x:v>39.946091</x:v>
      </x:c>
      <x:c r="I1032" s="1" t="n">
        <x:v>-75.237572</x:v>
      </x:c>
      <x:c r="J1032" s="1" t="str">
        <x:v>USDA SNAP retailer list</x:v>
      </x:c>
      <x:c r="K1032" s="1" t="str">
        <x:v>2026-10-09</x:v>
      </x:c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  <x:c r="AA1032" s="1"/>
      <x:c r="AB1032" s="1"/>
      <x:c r="AC1032" s="1"/>
      <x:c r="AD1032" s="1"/>
      <x:c r="AE1032" s="1"/>
      <x:c r="AF1032" s="1"/>
      <x:c r="AG1032" s="1"/>
      <x:c r="AH1032" s="1"/>
      <x:c r="AI1032" s="1"/>
      <x:c r="AJ1032" s="1"/>
      <x:c r="AK1032" s="1"/>
      <x:c r="AL1032" s="1"/>
      <x:c r="AM1032" s="1"/>
      <x:c r="AN1032" s="1"/>
    </x:row>
    <x:row r="1033" ht="22" customHeight="1">
      <x:c r="A1033" s="1" t="str">
        <x:v>1693617</x:v>
      </x:c>
      <x:c r="B1033" s="1" t="str">
        <x:v>Delco Farmers Market </x:v>
      </x:c>
      <x:c r="C1033" s="1" t="str">
        <x:v>Supermarket</x:v>
      </x:c>
      <x:c r="D1033" s="1" t="str">
        <x:v>1850 Delmar Dr</x:v>
      </x:c>
      <x:c r="E1033" s="1" t="str">
        <x:v>Folcroft</x:v>
      </x:c>
      <x:c r="F1033" s="1" t="str">
        <x:v>PA</x:v>
      </x:c>
      <x:c r="G1033" s="1" t="str">
        <x:v>19032</x:v>
      </x:c>
      <x:c r="H1033" s="1" t="n">
        <x:v>39.893108</x:v>
      </x:c>
      <x:c r="I1033" s="1" t="n">
        <x:v>-75.281471</x:v>
      </x:c>
      <x:c r="J1033" s="1" t="str">
        <x:v>USDA SNAP retailer list</x:v>
      </x:c>
      <x:c r="K1033" s="1" t="str">
        <x:v>2026-10-09</x:v>
      </x:c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  <x:c r="AA1033" s="1"/>
      <x:c r="AB1033" s="1"/>
      <x:c r="AC1033" s="1"/>
      <x:c r="AD1033" s="1"/>
      <x:c r="AE1033" s="1"/>
      <x:c r="AF1033" s="1"/>
      <x:c r="AG1033" s="1"/>
      <x:c r="AH1033" s="1"/>
      <x:c r="AI1033" s="1"/>
      <x:c r="AJ1033" s="1"/>
      <x:c r="AK1033" s="1"/>
      <x:c r="AL1033" s="1"/>
      <x:c r="AM1033" s="1"/>
      <x:c r="AN1033" s="1"/>
    </x:row>
    <x:row r="1034" ht="22" customHeight="1">
      <x:c r="A1034" s="1" t="str">
        <x:v>1700077</x:v>
      </x:c>
      <x:c r="B1034" s="1" t="str">
        <x:v>Grocery Outlet Of University City 744</x:v>
      </x:c>
      <x:c r="C1034" s="1" t="str">
        <x:v>Supermarket</x:v>
      </x:c>
      <x:c r="D1034" s="1" t="str">
        <x:v>4301 Chestnut St</x:v>
      </x:c>
      <x:c r="E1034" s="1" t="str">
        <x:v>Philadelphia</x:v>
      </x:c>
      <x:c r="F1034" s="1" t="str">
        <x:v>PA</x:v>
      </x:c>
      <x:c r="G1034" s="1" t="str">
        <x:v>19104</x:v>
      </x:c>
      <x:c r="H1034" s="1" t="n">
        <x:v>39.956749</x:v>
      </x:c>
      <x:c r="I1034" s="1" t="n">
        <x:v>-75.208916</x:v>
      </x:c>
      <x:c r="J1034" s="1" t="str">
        <x:v>USDA SNAP retailer list</x:v>
      </x:c>
      <x:c r="K1034" s="1" t="str">
        <x:v>2026-10-09</x:v>
      </x:c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  <x:c r="AA1034" s="1"/>
      <x:c r="AB1034" s="1"/>
      <x:c r="AC1034" s="1"/>
      <x:c r="AD1034" s="1"/>
      <x:c r="AE1034" s="1"/>
      <x:c r="AF1034" s="1"/>
      <x:c r="AG1034" s="1"/>
      <x:c r="AH1034" s="1"/>
      <x:c r="AI1034" s="1"/>
      <x:c r="AJ1034" s="1"/>
      <x:c r="AK1034" s="1"/>
      <x:c r="AL1034" s="1"/>
      <x:c r="AM1034" s="1"/>
      <x:c r="AN1034" s="1"/>
    </x:row>
    <x:row r="1035" ht="22" customHeight="1">
      <x:c r="A1035" s="1" t="str">
        <x:v>1640725</x:v>
      </x:c>
      <x:c r="B1035" s="1" t="str">
        <x:v>ShopRite of Aramingo 482</x:v>
      </x:c>
      <x:c r="C1035" s="1" t="str">
        <x:v>Super Store</x:v>
      </x:c>
      <x:c r="D1035" s="1" t="str">
        <x:v>3745 Aramingo Ave</x:v>
      </x:c>
      <x:c r="E1035" s="1" t="str">
        <x:v>Philadelphia</x:v>
      </x:c>
      <x:c r="F1035" s="1" t="str">
        <x:v>PA</x:v>
      </x:c>
      <x:c r="G1035" s="1" t="str">
        <x:v>19137</x:v>
      </x:c>
      <x:c r="H1035" s="1" t="n">
        <x:v>39.994587</x:v>
      </x:c>
      <x:c r="I1035" s="1" t="n">
        <x:v>-75.091698</x:v>
      </x:c>
      <x:c r="J1035" s="1" t="str">
        <x:v>USDA SNAP retailer list</x:v>
      </x:c>
      <x:c r="K1035" s="1" t="str">
        <x:v>2026-10-09</x:v>
      </x:c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  <x:c r="AA1035" s="1"/>
      <x:c r="AB1035" s="1"/>
      <x:c r="AC1035" s="1"/>
      <x:c r="AD1035" s="1"/>
      <x:c r="AE1035" s="1"/>
      <x:c r="AF1035" s="1"/>
      <x:c r="AG1035" s="1"/>
      <x:c r="AH1035" s="1"/>
      <x:c r="AI1035" s="1"/>
      <x:c r="AJ1035" s="1"/>
      <x:c r="AK1035" s="1"/>
      <x:c r="AL1035" s="1"/>
      <x:c r="AM1035" s="1"/>
      <x:c r="AN1035" s="1"/>
    </x:row>
    <x:row r="1036" ht="22" customHeight="1">
      <x:c r="A1036" s="1" t="str">
        <x:v>250975</x:v>
      </x:c>
      <x:c r="B1036" s="1" t="str">
        <x:v>ACME 4727</x:v>
      </x:c>
      <x:c r="C1036" s="1" t="str">
        <x:v>Supermarket</x:v>
      </x:c>
      <x:c r="D1036" s="1" t="str">
        <x:v>2761 W Ridge Pike</x:v>
      </x:c>
      <x:c r="E1036" s="1" t="str">
        <x:v>Norristown</x:v>
      </x:c>
      <x:c r="F1036" s="1" t="str">
        <x:v>PA</x:v>
      </x:c>
      <x:c r="G1036" s="1" t="str">
        <x:v>19403</x:v>
      </x:c>
      <x:c r="H1036" s="1" t="n">
        <x:v>40.146198</x:v>
      </x:c>
      <x:c r="I1036" s="1" t="n">
        <x:v>-75.394585</x:v>
      </x:c>
      <x:c r="J1036" s="1" t="str">
        <x:v>USDA SNAP retailer list</x:v>
      </x:c>
      <x:c r="K1036" s="1" t="str">
        <x:v>2026-10-09</x:v>
      </x:c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  <x:c r="AA1036" s="1"/>
      <x:c r="AB1036" s="1"/>
      <x:c r="AC1036" s="1"/>
      <x:c r="AD1036" s="1"/>
      <x:c r="AE1036" s="1"/>
      <x:c r="AF1036" s="1"/>
      <x:c r="AG1036" s="1"/>
      <x:c r="AH1036" s="1"/>
      <x:c r="AI1036" s="1"/>
      <x:c r="AJ1036" s="1"/>
      <x:c r="AK1036" s="1"/>
      <x:c r="AL1036" s="1"/>
      <x:c r="AM1036" s="1"/>
      <x:c r="AN1036" s="1"/>
    </x:row>
    <x:row r="1037" ht="22" customHeight="1">
      <x:c r="A1037" s="1" t="str">
        <x:v>1640730</x:v>
      </x:c>
      <x:c r="B1037" s="1" t="str">
        <x:v>ShopRite of Bridge and Harbison 495</x:v>
      </x:c>
      <x:c r="C1037" s="1" t="str">
        <x:v>Super Store</x:v>
      </x:c>
      <x:c r="D1037" s="1" t="str">
        <x:v>5597 Tulip St</x:v>
      </x:c>
      <x:c r="E1037" s="1" t="str">
        <x:v>Philadelphia</x:v>
      </x:c>
      <x:c r="F1037" s="1" t="str">
        <x:v>PA</x:v>
      </x:c>
      <x:c r="G1037" s="1" t="str">
        <x:v>19124</x:v>
      </x:c>
      <x:c r="H1037" s="1" t="n">
        <x:v>40.01173</x:v>
      </x:c>
      <x:c r="I1037" s="1" t="n">
        <x:v>-75.067223</x:v>
      </x:c>
      <x:c r="J1037" s="1" t="str">
        <x:v>USDA SNAP retailer list</x:v>
      </x:c>
      <x:c r="K1037" s="1" t="str">
        <x:v>2026-10-09</x:v>
      </x:c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  <x:c r="AA1037" s="1"/>
      <x:c r="AB1037" s="1"/>
      <x:c r="AC1037" s="1"/>
      <x:c r="AD1037" s="1"/>
      <x:c r="AE1037" s="1"/>
      <x:c r="AF1037" s="1"/>
      <x:c r="AG1037" s="1"/>
      <x:c r="AH1037" s="1"/>
      <x:c r="AI1037" s="1"/>
      <x:c r="AJ1037" s="1"/>
      <x:c r="AK1037" s="1"/>
      <x:c r="AL1037" s="1"/>
      <x:c r="AM1037" s="1"/>
      <x:c r="AN1037" s="1"/>
    </x:row>
    <x:row r="1038" ht="22" customHeight="1">
      <x:c r="A1038" s="1" t="str">
        <x:v>1637652</x:v>
      </x:c>
      <x:c r="B1038" s="1" t="str">
        <x:v>Kleins Supermarket </x:v>
      </x:c>
      <x:c r="C1038" s="1" t="str">
        <x:v>Supermarket</x:v>
      </x:c>
      <x:c r="D1038" s="1" t="str">
        <x:v>2401 Pennsylvania Ave</x:v>
      </x:c>
      <x:c r="E1038" s="1" t="str">
        <x:v>Philadelphia</x:v>
      </x:c>
      <x:c r="F1038" s="1" t="str">
        <x:v>PA</x:v>
      </x:c>
      <x:c r="G1038" s="1" t="str">
        <x:v>19130</x:v>
      </x:c>
      <x:c r="H1038" s="1" t="n">
        <x:v>39.966736</x:v>
      </x:c>
      <x:c r="I1038" s="1" t="n">
        <x:v>-75.17794</x:v>
      </x:c>
      <x:c r="J1038" s="1" t="str">
        <x:v>USDA SNAP retailer list</x:v>
      </x:c>
      <x:c r="K1038" s="1" t="str">
        <x:v>2026-10-09</x:v>
      </x:c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  <x:c r="AA1038" s="1"/>
      <x:c r="AB1038" s="1"/>
      <x:c r="AC1038" s="1"/>
      <x:c r="AD1038" s="1"/>
      <x:c r="AE1038" s="1"/>
      <x:c r="AF1038" s="1"/>
      <x:c r="AG1038" s="1"/>
      <x:c r="AH1038" s="1"/>
      <x:c r="AI1038" s="1"/>
      <x:c r="AJ1038" s="1"/>
      <x:c r="AK1038" s="1"/>
      <x:c r="AL1038" s="1"/>
      <x:c r="AM1038" s="1"/>
      <x:c r="AN1038" s="1"/>
    </x:row>
    <x:row r="1039" ht="22" customHeight="1">
      <x:c r="A1039" s="1" t="str">
        <x:v>1641080</x:v>
      </x:c>
      <x:c r="B1039" s="1" t="str">
        <x:v>Giant Food Store 6577</x:v>
      </x:c>
      <x:c r="C1039" s="1" t="str">
        <x:v>Supermarket</x:v>
      </x:c>
      <x:c r="D1039" s="1" t="str">
        <x:v>93 Old York Rd</x:v>
      </x:c>
      <x:c r="E1039" s="1" t="str">
        <x:v>Jenkintown</x:v>
      </x:c>
      <x:c r="F1039" s="1" t="str">
        <x:v>PA</x:v>
      </x:c>
      <x:c r="G1039" s="1" t="str">
        <x:v>19046</x:v>
      </x:c>
      <x:c r="H1039" s="1" t="n">
        <x:v>40.090553</x:v>
      </x:c>
      <x:c r="I1039" s="1" t="n">
        <x:v>-75.126701</x:v>
      </x:c>
      <x:c r="J1039" s="1" t="str">
        <x:v>USDA SNAP retailer list</x:v>
      </x:c>
      <x:c r="K1039" s="1" t="str">
        <x:v>2026-10-09</x:v>
      </x:c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  <x:c r="AA1039" s="1"/>
      <x:c r="AB1039" s="1"/>
      <x:c r="AC1039" s="1"/>
      <x:c r="AD1039" s="1"/>
      <x:c r="AE1039" s="1"/>
      <x:c r="AF1039" s="1"/>
      <x:c r="AG1039" s="1"/>
      <x:c r="AH1039" s="1"/>
      <x:c r="AI1039" s="1"/>
      <x:c r="AJ1039" s="1"/>
      <x:c r="AK1039" s="1"/>
      <x:c r="AL1039" s="1"/>
      <x:c r="AM1039" s="1"/>
      <x:c r="AN1039" s="1"/>
    </x:row>
    <x:row r="1040" ht="22" customHeight="1">
      <x:c r="A1040" s="1" t="str">
        <x:v>251965</x:v>
      </x:c>
      <x:c r="B1040" s="1" t="str">
        <x:v>ACME 2931</x:v>
      </x:c>
      <x:c r="C1040" s="1" t="str">
        <x:v>Supermarket</x:v>
      </x:c>
      <x:c r="D1040" s="1" t="str">
        <x:v>100 Blackhorse Pike</x:v>
      </x:c>
      <x:c r="E1040" s="1" t="str">
        <x:v>Audubon</x:v>
      </x:c>
      <x:c r="F1040" s="1" t="str">
        <x:v>NJ</x:v>
      </x:c>
      <x:c r="G1040" s="1" t="str">
        <x:v>08106</x:v>
      </x:c>
      <x:c r="H1040" s="1" t="n">
        <x:v>39.89246</x:v>
      </x:c>
      <x:c r="I1040" s="1" t="n">
        <x:v>-75.0905</x:v>
      </x:c>
      <x:c r="J1040" s="1" t="str">
        <x:v>USDA SNAP retailer list</x:v>
      </x:c>
      <x:c r="K1040" s="1" t="str">
        <x:v>2026-10-09</x:v>
      </x:c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  <x:c r="AA1040" s="1"/>
      <x:c r="AB1040" s="1"/>
      <x:c r="AC1040" s="1"/>
      <x:c r="AD1040" s="1"/>
      <x:c r="AE1040" s="1"/>
      <x:c r="AF1040" s="1"/>
      <x:c r="AG1040" s="1"/>
      <x:c r="AH1040" s="1"/>
      <x:c r="AI1040" s="1"/>
      <x:c r="AJ1040" s="1"/>
      <x:c r="AK1040" s="1"/>
      <x:c r="AL1040" s="1"/>
      <x:c r="AM1040" s="1"/>
      <x:c r="AN1040" s="1"/>
    </x:row>
    <x:row r="1041" ht="22" customHeight="1">
      <x:c r="A1041" s="1" t="str">
        <x:v>252982</x:v>
      </x:c>
      <x:c r="B1041" s="1" t="str">
        <x:v>ACME 787</x:v>
      </x:c>
      <x:c r="C1041" s="1" t="str">
        <x:v>Supermarket</x:v>
      </x:c>
      <x:c r="D1041" s="1" t="str">
        <x:v>6640 Oxford Ave</x:v>
      </x:c>
      <x:c r="E1041" s="1" t="str">
        <x:v>Philadelphia</x:v>
      </x:c>
      <x:c r="F1041" s="1" t="str">
        <x:v>PA</x:v>
      </x:c>
      <x:c r="G1041" s="1" t="str">
        <x:v>19111</x:v>
      </x:c>
      <x:c r="H1041" s="1" t="n">
        <x:v>40.050224</x:v>
      </x:c>
      <x:c r="I1041" s="1" t="n">
        <x:v>-75.086853</x:v>
      </x:c>
      <x:c r="J1041" s="1" t="str">
        <x:v>USDA SNAP retailer list</x:v>
      </x:c>
      <x:c r="K1041" s="1" t="str">
        <x:v>2026-10-09</x:v>
      </x:c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  <x:c r="AA1041" s="1"/>
      <x:c r="AB1041" s="1"/>
      <x:c r="AC1041" s="1"/>
      <x:c r="AD1041" s="1"/>
      <x:c r="AE1041" s="1"/>
      <x:c r="AF1041" s="1"/>
      <x:c r="AG1041" s="1"/>
      <x:c r="AH1041" s="1"/>
      <x:c r="AI1041" s="1"/>
      <x:c r="AJ1041" s="1"/>
      <x:c r="AK1041" s="1"/>
      <x:c r="AL1041" s="1"/>
      <x:c r="AM1041" s="1"/>
      <x:c r="AN1041" s="1"/>
    </x:row>
    <x:row r="1042" ht="22" customHeight="1">
      <x:c r="A1042" s="1" t="str">
        <x:v>243509</x:v>
      </x:c>
      <x:c r="B1042" s="1" t="str">
        <x:v>ACME 1945</x:v>
      </x:c>
      <x:c r="C1042" s="1" t="str">
        <x:v>Supermarket</x:v>
      </x:c>
      <x:c r="D1042" s="1" t="str">
        <x:v>40 Ellis St</x:v>
      </x:c>
      <x:c r="E1042" s="1" t="str">
        <x:v>Haddonfield</x:v>
      </x:c>
      <x:c r="F1042" s="1" t="str">
        <x:v>NJ</x:v>
      </x:c>
      <x:c r="G1042" s="1" t="str">
        <x:v>08033</x:v>
      </x:c>
      <x:c r="H1042" s="1" t="n">
        <x:v>39.897003</x:v>
      </x:c>
      <x:c r="I1042" s="1" t="n">
        <x:v>-75.030991</x:v>
      </x:c>
      <x:c r="J1042" s="1" t="str">
        <x:v>USDA SNAP retailer list</x:v>
      </x:c>
      <x:c r="K1042" s="1" t="str">
        <x:v>2026-10-09</x:v>
      </x:c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  <x:c r="AA1042" s="1"/>
      <x:c r="AB1042" s="1"/>
      <x:c r="AC1042" s="1"/>
      <x:c r="AD1042" s="1"/>
      <x:c r="AE1042" s="1"/>
      <x:c r="AF1042" s="1"/>
      <x:c r="AG1042" s="1"/>
      <x:c r="AH1042" s="1"/>
      <x:c r="AI1042" s="1"/>
      <x:c r="AJ1042" s="1"/>
      <x:c r="AK1042" s="1"/>
      <x:c r="AL1042" s="1"/>
      <x:c r="AM1042" s="1"/>
      <x:c r="AN1042" s="1"/>
    </x:row>
    <x:row r="1043" ht="22" customHeight="1">
      <x:c r="A1043" s="1" t="str">
        <x:v>267446</x:v>
      </x:c>
      <x:c r="B1043" s="1" t="str">
        <x:v>Whole Foods Market 10100</x:v>
      </x:c>
      <x:c r="C1043" s="1" t="str">
        <x:v>Super Store</x:v>
      </x:c>
      <x:c r="D1043" s="1" t="str">
        <x:v>1575 The Fairway</x:v>
      </x:c>
      <x:c r="E1043" s="1" t="str">
        <x:v>Jenkintown</x:v>
      </x:c>
      <x:c r="F1043" s="1" t="str">
        <x:v>PA</x:v>
      </x:c>
      <x:c r="G1043" s="1" t="str">
        <x:v>19046</x:v>
      </x:c>
      <x:c r="H1043" s="1" t="n">
        <x:v>40.107887</x:v>
      </x:c>
      <x:c r="I1043" s="1" t="n">
        <x:v>-75.116066</x:v>
      </x:c>
      <x:c r="J1043" s="1" t="str">
        <x:v>USDA SNAP retailer list</x:v>
      </x:c>
      <x:c r="K1043" s="1" t="str">
        <x:v>2026-10-09</x:v>
      </x:c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  <x:c r="AA1043" s="1"/>
      <x:c r="AB1043" s="1"/>
      <x:c r="AC1043" s="1"/>
      <x:c r="AD1043" s="1"/>
      <x:c r="AE1043" s="1"/>
      <x:c r="AF1043" s="1"/>
      <x:c r="AG1043" s="1"/>
      <x:c r="AH1043" s="1"/>
      <x:c r="AI1043" s="1"/>
      <x:c r="AJ1043" s="1"/>
      <x:c r="AK1043" s="1"/>
      <x:c r="AL1043" s="1"/>
      <x:c r="AM1043" s="1"/>
      <x:c r="AN1043" s="1"/>
    </x:row>
    <x:row r="1044" ht="22" customHeight="1">
      <x:c r="A1044" s="1" t="str">
        <x:v>254407</x:v>
      </x:c>
      <x:c r="B1044" s="1" t="str">
        <x:v>Norristown ThriftwayInc</x:v>
      </x:c>
      <x:c r="C1044" s="1" t="str">
        <x:v>Super Store</x:v>
      </x:c>
      <x:c r="D1044" s="1" t="str">
        <x:v>815 Dekalb St</x:v>
      </x:c>
      <x:c r="E1044" s="1" t="str">
        <x:v>Norristown</x:v>
      </x:c>
      <x:c r="F1044" s="1" t="str">
        <x:v>PA</x:v>
      </x:c>
      <x:c r="G1044" s="1" t="str">
        <x:v>19401</x:v>
      </x:c>
      <x:c r="H1044" s="1" t="n">
        <x:v>40.11853</x:v>
      </x:c>
      <x:c r="I1044" s="1" t="n">
        <x:v>-75.339302</x:v>
      </x:c>
      <x:c r="J1044" s="1" t="str">
        <x:v>USDA SNAP retailer list</x:v>
      </x:c>
      <x:c r="K1044" s="1" t="str">
        <x:v>2026-10-09</x:v>
      </x:c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  <x:c r="AA1044" s="1"/>
      <x:c r="AB1044" s="1"/>
      <x:c r="AC1044" s="1"/>
      <x:c r="AD1044" s="1"/>
      <x:c r="AE1044" s="1"/>
      <x:c r="AF1044" s="1"/>
      <x:c r="AG1044" s="1"/>
      <x:c r="AH1044" s="1"/>
      <x:c r="AI1044" s="1"/>
      <x:c r="AJ1044" s="1"/>
      <x:c r="AK1044" s="1"/>
      <x:c r="AL1044" s="1"/>
      <x:c r="AM1044" s="1"/>
      <x:c r="AN1044" s="1"/>
    </x:row>
    <x:row r="1045" ht="22" customHeight="1">
      <x:c r="A1045" s="1" t="str">
        <x:v>254504</x:v>
      </x:c>
      <x:c r="B1045" s="1" t="str">
        <x:v>FRESH GROCER</x:v>
      </x:c>
      <x:c r="C1045" s="1" t="str">
        <x:v>Super Store</x:v>
      </x:c>
      <x:c r="D1045" s="1" t="str">
        <x:v>5601 Chestnut St</x:v>
      </x:c>
      <x:c r="E1045" s="1" t="str">
        <x:v>Philadelphia</x:v>
      </x:c>
      <x:c r="F1045" s="1" t="str">
        <x:v>PA</x:v>
      </x:c>
      <x:c r="G1045" s="1" t="str">
        <x:v>19139</x:v>
      </x:c>
      <x:c r="H1045" s="1" t="n">
        <x:v>39.959587</x:v>
      </x:c>
      <x:c r="I1045" s="1" t="n">
        <x:v>-75.233696</x:v>
      </x:c>
      <x:c r="J1045" s="1" t="str">
        <x:v>USDA SNAP retailer list</x:v>
      </x:c>
      <x:c r="K1045" s="1" t="str">
        <x:v>2026-10-09</x:v>
      </x:c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  <x:c r="AA1045" s="1"/>
      <x:c r="AB1045" s="1"/>
      <x:c r="AC1045" s="1"/>
      <x:c r="AD1045" s="1"/>
      <x:c r="AE1045" s="1"/>
      <x:c r="AF1045" s="1"/>
      <x:c r="AG1045" s="1"/>
      <x:c r="AH1045" s="1"/>
      <x:c r="AI1045" s="1"/>
      <x:c r="AJ1045" s="1"/>
      <x:c r="AK1045" s="1"/>
      <x:c r="AL1045" s="1"/>
      <x:c r="AM1045" s="1"/>
      <x:c r="AN1045" s="1"/>
    </x:row>
    <x:row r="1046" ht="22" customHeight="1">
      <x:c r="A1046" s="1" t="str">
        <x:v>226136</x:v>
      </x:c>
      <x:c r="B1046" s="1" t="str">
        <x:v>ACME 769</x:v>
      </x:c>
      <x:c r="C1046" s="1" t="str">
        <x:v>Supermarket</x:v>
      </x:c>
      <x:c r="D1046" s="1" t="str">
        <x:v>323 Old York Rd</x:v>
      </x:c>
      <x:c r="E1046" s="1" t="str">
        <x:v>Jenkintown</x:v>
      </x:c>
      <x:c r="F1046" s="1" t="str">
        <x:v>PA</x:v>
      </x:c>
      <x:c r="G1046" s="1" t="str">
        <x:v>19046</x:v>
      </x:c>
      <x:c r="H1046" s="1" t="n">
        <x:v>40.091694</x:v>
      </x:c>
      <x:c r="I1046" s="1" t="n">
        <x:v>-75.125092</x:v>
      </x:c>
      <x:c r="J1046" s="1" t="str">
        <x:v>USDA SNAP retailer list</x:v>
      </x:c>
      <x:c r="K1046" s="1" t="str">
        <x:v>2026-10-09</x:v>
      </x:c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  <x:c r="AA1046" s="1"/>
      <x:c r="AB1046" s="1"/>
      <x:c r="AC1046" s="1"/>
      <x:c r="AD1046" s="1"/>
      <x:c r="AE1046" s="1"/>
      <x:c r="AF1046" s="1"/>
      <x:c r="AG1046" s="1"/>
      <x:c r="AH1046" s="1"/>
      <x:c r="AI1046" s="1"/>
      <x:c r="AJ1046" s="1"/>
      <x:c r="AK1046" s="1"/>
      <x:c r="AL1046" s="1"/>
      <x:c r="AM1046" s="1"/>
      <x:c r="AN1046" s="1"/>
    </x:row>
    <x:row r="1047" ht="22" customHeight="1">
      <x:c r="A1047" s="1" t="str">
        <x:v>261374</x:v>
      </x:c>
      <x:c r="B1047" s="1" t="str">
        <x:v>HAN AH REUM</x:v>
      </x:c>
      <x:c r="C1047" s="1" t="str">
        <x:v>Super Store</x:v>
      </x:c>
      <x:c r="D1047" s="1" t="str">
        <x:v>1720 RT. 70E./marlton pike east</x:v>
      </x:c>
      <x:c r="E1047" s="1" t="str">
        <x:v>CHERRY HILL</x:v>
      </x:c>
      <x:c r="F1047" s="1" t="str">
        <x:v>NJ</x:v>
      </x:c>
      <x:c r="G1047" s="1" t="str">
        <x:v>08003</x:v>
      </x:c>
      <x:c r="H1047" s="1" t="n">
        <x:v>39.905537</x:v>
      </x:c>
      <x:c r="I1047" s="1" t="n">
        <x:v>-74.974014</x:v>
      </x:c>
      <x:c r="J1047" s="1" t="str">
        <x:v>USDA SNAP retailer list</x:v>
      </x:c>
      <x:c r="K1047" s="1" t="str">
        <x:v>2026-10-09</x:v>
      </x:c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  <x:c r="AA1047" s="1"/>
      <x:c r="AB1047" s="1"/>
      <x:c r="AC1047" s="1"/>
      <x:c r="AD1047" s="1"/>
      <x:c r="AE1047" s="1"/>
      <x:c r="AF1047" s="1"/>
      <x:c r="AG1047" s="1"/>
      <x:c r="AH1047" s="1"/>
      <x:c r="AI1047" s="1"/>
      <x:c r="AJ1047" s="1"/>
      <x:c r="AK1047" s="1"/>
      <x:c r="AL1047" s="1"/>
      <x:c r="AM1047" s="1"/>
      <x:c r="AN1047" s="1"/>
    </x:row>
    <x:row r="1048" ht="22" customHeight="1">
      <x:c r="A1048" s="1" t="str">
        <x:v>261385</x:v>
      </x:c>
      <x:c r="B1048" s="1" t="str">
        <x:v>Trader Joe's 631</x:v>
      </x:c>
      <x:c r="C1048" s="1" t="str">
        <x:v>Supermarket</x:v>
      </x:c>
      <x:c r="D1048" s="1" t="str">
        <x:v>300 Route 73 S Ste P</x:v>
      </x:c>
      <x:c r="E1048" s="1" t="str">
        <x:v>Marlton</x:v>
      </x:c>
      <x:c r="F1048" s="1" t="str">
        <x:v>NJ</x:v>
      </x:c>
      <x:c r="G1048" s="1" t="str">
        <x:v>08053</x:v>
      </x:c>
      <x:c r="H1048" s="1" t="n">
        <x:v>39.89035</x:v>
      </x:c>
      <x:c r="I1048" s="1" t="n">
        <x:v>-74.925163</x:v>
      </x:c>
      <x:c r="J1048" s="1" t="str">
        <x:v>USDA SNAP retailer list</x:v>
      </x:c>
      <x:c r="K1048" s="1" t="str">
        <x:v>2026-10-09</x:v>
      </x:c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  <x:c r="AA1048" s="1"/>
      <x:c r="AB1048" s="1"/>
      <x:c r="AC1048" s="1"/>
      <x:c r="AD1048" s="1"/>
      <x:c r="AE1048" s="1"/>
      <x:c r="AF1048" s="1"/>
      <x:c r="AG1048" s="1"/>
      <x:c r="AH1048" s="1"/>
      <x:c r="AI1048" s="1"/>
      <x:c r="AJ1048" s="1"/>
      <x:c r="AK1048" s="1"/>
      <x:c r="AL1048" s="1"/>
      <x:c r="AM1048" s="1"/>
      <x:c r="AN1048" s="1"/>
    </x:row>
    <x:row r="1049" ht="22" customHeight="1">
      <x:c r="A1049" s="1" t="str">
        <x:v>262598</x:v>
      </x:c>
      <x:c r="B1049" s="1" t="str">
        <x:v>SHOPRITE OF BERLIN</x:v>
      </x:c>
      <x:c r="C1049" s="1" t="str">
        <x:v>Super Store</x:v>
      </x:c>
      <x:c r="D1049" s="1" t="str">
        <x:v>RTE 73 &amp; MINCK AVE</x:v>
      </x:c>
      <x:c r="E1049" s="1" t="str">
        <x:v>WEST BERLIN</x:v>
      </x:c>
      <x:c r="F1049" s="1" t="str">
        <x:v>NJ</x:v>
      </x:c>
      <x:c r="G1049" s="1" t="str">
        <x:v>08091</x:v>
      </x:c>
      <x:c r="H1049" s="1" t="n">
        <x:v>39.807594</x:v>
      </x:c>
      <x:c r="I1049" s="1" t="n">
        <x:v>-74.931114</x:v>
      </x:c>
      <x:c r="J1049" s="1" t="str">
        <x:v>USDA SNAP retailer list</x:v>
      </x:c>
      <x:c r="K1049" s="1" t="str">
        <x:v>2026-10-09</x:v>
      </x:c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  <x:c r="AA1049" s="1"/>
      <x:c r="AB1049" s="1"/>
      <x:c r="AC1049" s="1"/>
      <x:c r="AD1049" s="1"/>
      <x:c r="AE1049" s="1"/>
      <x:c r="AF1049" s="1"/>
      <x:c r="AG1049" s="1"/>
      <x:c r="AH1049" s="1"/>
      <x:c r="AI1049" s="1"/>
      <x:c r="AJ1049" s="1"/>
      <x:c r="AK1049" s="1"/>
      <x:c r="AL1049" s="1"/>
      <x:c r="AM1049" s="1"/>
      <x:c r="AN1049" s="1"/>
    </x:row>
    <x:row r="1050" ht="22" customHeight="1">
      <x:c r="A1050" s="1" t="str">
        <x:v>278558</x:v>
      </x:c>
      <x:c r="B1050" s="1" t="str">
        <x:v>ACME 2774</x:v>
      </x:c>
      <x:c r="C1050" s="1" t="str">
        <x:v>Supermarket</x:v>
      </x:c>
      <x:c r="D1050" s="1" t="str">
        <x:v>200 Blair Mill Rd</x:v>
      </x:c>
      <x:c r="E1050" s="1" t="str">
        <x:v>Horsham</x:v>
      </x:c>
      <x:c r="F1050" s="1" t="str">
        <x:v>PA</x:v>
      </x:c>
      <x:c r="G1050" s="1" t="str">
        <x:v>19044</x:v>
      </x:c>
      <x:c r="H1050" s="1" t="n">
        <x:v>40.182995</x:v>
      </x:c>
      <x:c r="I1050" s="1" t="n">
        <x:v>-75.11853</x:v>
      </x:c>
      <x:c r="J1050" s="1" t="str">
        <x:v>USDA SNAP retailer list</x:v>
      </x:c>
      <x:c r="K1050" s="1" t="str">
        <x:v>2026-10-09</x:v>
      </x:c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  <x:c r="AA1050" s="1"/>
      <x:c r="AB1050" s="1"/>
      <x:c r="AC1050" s="1"/>
      <x:c r="AD1050" s="1"/>
      <x:c r="AE1050" s="1"/>
      <x:c r="AF1050" s="1"/>
      <x:c r="AG1050" s="1"/>
      <x:c r="AH1050" s="1"/>
      <x:c r="AI1050" s="1"/>
      <x:c r="AJ1050" s="1"/>
      <x:c r="AK1050" s="1"/>
      <x:c r="AL1050" s="1"/>
      <x:c r="AM1050" s="1"/>
      <x:c r="AN1050" s="1"/>
    </x:row>
    <x:row r="1051" ht="22" customHeight="1">
      <x:c r="A1051" s="1" t="str">
        <x:v>259997</x:v>
      </x:c>
      <x:c r="B1051" s="1" t="str">
        <x:v>Giant Food Store 6089</x:v>
      </x:c>
      <x:c r="C1051" s="1" t="str">
        <x:v>Supermarket</x:v>
      </x:c>
      <x:c r="D1051" s="1" t="str">
        <x:v>314 HORSHAM ROAD</x:v>
      </x:c>
      <x:c r="E1051" s="1" t="str">
        <x:v>HORSHAM</x:v>
      </x:c>
      <x:c r="F1051" s="1" t="str">
        <x:v>PA</x:v>
      </x:c>
      <x:c r="G1051" s="1" t="str">
        <x:v>19044</x:v>
      </x:c>
      <x:c r="H1051" s="1" t="n">
        <x:v>40.181961</x:v>
      </x:c>
      <x:c r="I1051" s="1" t="n">
        <x:v>-75.133621</x:v>
      </x:c>
      <x:c r="J1051" s="1" t="str">
        <x:v>USDA SNAP retailer list</x:v>
      </x:c>
      <x:c r="K1051" s="1" t="str">
        <x:v>2026-10-09</x:v>
      </x:c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  <x:c r="AA1051" s="1"/>
      <x:c r="AB1051" s="1"/>
      <x:c r="AC1051" s="1"/>
      <x:c r="AD1051" s="1"/>
      <x:c r="AE1051" s="1"/>
      <x:c r="AF1051" s="1"/>
      <x:c r="AG1051" s="1"/>
      <x:c r="AH1051" s="1"/>
      <x:c r="AI1051" s="1"/>
      <x:c r="AJ1051" s="1"/>
      <x:c r="AK1051" s="1"/>
      <x:c r="AL1051" s="1"/>
      <x:c r="AM1051" s="1"/>
      <x:c r="AN1051" s="1"/>
    </x:row>
    <x:row r="1052" ht="22" customHeight="1">
      <x:c r="A1052" s="1" t="str">
        <x:v>309275</x:v>
      </x:c>
      <x:c r="B1052" s="1" t="str">
        <x:v>Trader Joe's 633</x:v>
      </x:c>
      <x:c r="C1052" s="1" t="str">
        <x:v>Supermarket</x:v>
      </x:c>
      <x:c r="D1052" s="1" t="str">
        <x:v>933 Old York Rd</x:v>
      </x:c>
      <x:c r="E1052" s="1" t="str">
        <x:v>Jenkintown</x:v>
      </x:c>
      <x:c r="F1052" s="1" t="str">
        <x:v>PA</x:v>
      </x:c>
      <x:c r="G1052" s="1" t="str">
        <x:v>19046</x:v>
      </x:c>
      <x:c r="H1052" s="1" t="n">
        <x:v>40.107521</x:v>
      </x:c>
      <x:c r="I1052" s="1" t="n">
        <x:v>-75.123329</x:v>
      </x:c>
      <x:c r="J1052" s="1" t="str">
        <x:v>USDA SNAP retailer list</x:v>
      </x:c>
      <x:c r="K1052" s="1" t="str">
        <x:v>2026-10-09</x:v>
      </x:c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  <x:c r="AA1052" s="1"/>
      <x:c r="AB1052" s="1"/>
      <x:c r="AC1052" s="1"/>
      <x:c r="AD1052" s="1"/>
      <x:c r="AE1052" s="1"/>
      <x:c r="AF1052" s="1"/>
      <x:c r="AG1052" s="1"/>
      <x:c r="AH1052" s="1"/>
      <x:c r="AI1052" s="1"/>
      <x:c r="AJ1052" s="1"/>
      <x:c r="AK1052" s="1"/>
      <x:c r="AL1052" s="1"/>
      <x:c r="AM1052" s="1"/>
      <x:c r="AN1052" s="1"/>
    </x:row>
    <x:row r="1053" ht="22" customHeight="1">
      <x:c r="A1053" s="1" t="str">
        <x:v>291554</x:v>
      </x:c>
      <x:c r="B1053" s="1" t="str">
        <x:v>ACME 114</x:v>
      </x:c>
      <x:c r="C1053" s="1" t="str">
        <x:v>Supermarket</x:v>
      </x:c>
      <x:c r="D1053" s="1" t="str">
        <x:v>7010 Germantown Ave</x:v>
      </x:c>
      <x:c r="E1053" s="1" t="str">
        <x:v>Philadelphia</x:v>
      </x:c>
      <x:c r="F1053" s="1" t="str">
        <x:v>PA</x:v>
      </x:c>
      <x:c r="G1053" s="1" t="str">
        <x:v>19119</x:v>
      </x:c>
      <x:c r="H1053" s="1" t="n">
        <x:v>40.057671</x:v>
      </x:c>
      <x:c r="I1053" s="1" t="n">
        <x:v>-75.188637</x:v>
      </x:c>
      <x:c r="J1053" s="1" t="str">
        <x:v>USDA SNAP retailer list</x:v>
      </x:c>
      <x:c r="K1053" s="1" t="str">
        <x:v>2026-10-09</x:v>
      </x:c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  <x:c r="AA1053" s="1"/>
      <x:c r="AB1053" s="1"/>
      <x:c r="AC1053" s="1"/>
      <x:c r="AD1053" s="1"/>
      <x:c r="AE1053" s="1"/>
      <x:c r="AF1053" s="1"/>
      <x:c r="AG1053" s="1"/>
      <x:c r="AH1053" s="1"/>
      <x:c r="AI1053" s="1"/>
      <x:c r="AJ1053" s="1"/>
      <x:c r="AK1053" s="1"/>
      <x:c r="AL1053" s="1"/>
      <x:c r="AM1053" s="1"/>
      <x:c r="AN1053" s="1"/>
    </x:row>
    <x:row r="1054" ht="22" customHeight="1">
      <x:c r="A1054" s="1" t="str">
        <x:v>310277</x:v>
      </x:c>
      <x:c r="B1054" s="1" t="str">
        <x:v>ACME 726</x:v>
      </x:c>
      <x:c r="C1054" s="1" t="str">
        <x:v>Supermarket</x:v>
      </x:c>
      <x:c r="D1054" s="1" t="str">
        <x:v>1400 E Passyunk Ave</x:v>
      </x:c>
      <x:c r="E1054" s="1" t="str">
        <x:v>Philadelphia</x:v>
      </x:c>
      <x:c r="F1054" s="1" t="str">
        <x:v>PA</x:v>
      </x:c>
      <x:c r="G1054" s="1" t="str">
        <x:v>19147</x:v>
      </x:c>
      <x:c r="H1054" s="1" t="n">
        <x:v>39.932281</x:v>
      </x:c>
      <x:c r="I1054" s="1" t="n">
        <x:v>-75.162384</x:v>
      </x:c>
      <x:c r="J1054" s="1" t="str">
        <x:v>USDA SNAP retailer list</x:v>
      </x:c>
      <x:c r="K1054" s="1" t="str">
        <x:v>2026-10-09</x:v>
      </x:c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  <x:c r="AA1054" s="1"/>
      <x:c r="AB1054" s="1"/>
      <x:c r="AC1054" s="1"/>
      <x:c r="AD1054" s="1"/>
      <x:c r="AE1054" s="1"/>
      <x:c r="AF1054" s="1"/>
      <x:c r="AG1054" s="1"/>
      <x:c r="AH1054" s="1"/>
      <x:c r="AI1054" s="1"/>
      <x:c r="AJ1054" s="1"/>
      <x:c r="AK1054" s="1"/>
      <x:c r="AL1054" s="1"/>
      <x:c r="AM1054" s="1"/>
      <x:c r="AN1054" s="1"/>
    </x:row>
    <x:row r="1055" ht="22" customHeight="1">
      <x:c r="A1055" s="1" t="str">
        <x:v>381716</x:v>
      </x:c>
      <x:c r="B1055" s="1" t="str">
        <x:v>Walmart Supercenter 2096</x:v>
      </x:c>
      <x:c r="C1055" s="1" t="str">
        <x:v>Super Store</x:v>
      </x:c>
      <x:c r="D1055" s="1" t="str">
        <x:v>100 E Street Rd</x:v>
      </x:c>
      <x:c r="E1055" s="1" t="str">
        <x:v>Warminster</x:v>
      </x:c>
      <x:c r="F1055" s="1" t="str">
        <x:v>PA</x:v>
      </x:c>
      <x:c r="G1055" s="1" t="str">
        <x:v>18974</x:v>
      </x:c>
      <x:c r="H1055" s="1" t="n">
        <x:v>40.194843</x:v>
      </x:c>
      <x:c r="I1055" s="1" t="n">
        <x:v>-75.080894</x:v>
      </x:c>
      <x:c r="J1055" s="1" t="str">
        <x:v>USDA SNAP retailer list</x:v>
      </x:c>
      <x:c r="K1055" s="1" t="str">
        <x:v>2026-10-09</x:v>
      </x:c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  <x:c r="AA1055" s="1"/>
      <x:c r="AB1055" s="1"/>
      <x:c r="AC1055" s="1"/>
      <x:c r="AD1055" s="1"/>
      <x:c r="AE1055" s="1"/>
      <x:c r="AF1055" s="1"/>
      <x:c r="AG1055" s="1"/>
      <x:c r="AH1055" s="1"/>
      <x:c r="AI1055" s="1"/>
      <x:c r="AJ1055" s="1"/>
      <x:c r="AK1055" s="1"/>
      <x:c r="AL1055" s="1"/>
      <x:c r="AM1055" s="1"/>
      <x:c r="AN1055" s="1"/>
    </x:row>
    <x:row r="1056" ht="22" customHeight="1">
      <x:c r="A1056" s="1" t="str">
        <x:v>347128</x:v>
      </x:c>
      <x:c r="B1056" s="1" t="str">
        <x:v>ACME 3963</x:v>
      </x:c>
      <x:c r="C1056" s="1" t="str">
        <x:v>Supermarket</x:v>
      </x:c>
      <x:c r="D1056" s="1" t="str">
        <x:v>300 S Lenola Rd</x:v>
      </x:c>
      <x:c r="E1056" s="1" t="str">
        <x:v>Maple Shade</x:v>
      </x:c>
      <x:c r="F1056" s="1" t="str">
        <x:v>NJ</x:v>
      </x:c>
      <x:c r="G1056" s="1" t="str">
        <x:v>08052</x:v>
      </x:c>
      <x:c r="H1056" s="1" t="n">
        <x:v>39.947361</x:v>
      </x:c>
      <x:c r="I1056" s="1" t="n">
        <x:v>-74.970245</x:v>
      </x:c>
      <x:c r="J1056" s="1" t="str">
        <x:v>USDA SNAP retailer list</x:v>
      </x:c>
      <x:c r="K1056" s="1" t="str">
        <x:v>2026-10-09</x:v>
      </x:c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  <x:c r="AA1056" s="1"/>
      <x:c r="AB1056" s="1"/>
      <x:c r="AC1056" s="1"/>
      <x:c r="AD1056" s="1"/>
      <x:c r="AE1056" s="1"/>
      <x:c r="AF1056" s="1"/>
      <x:c r="AG1056" s="1"/>
      <x:c r="AH1056" s="1"/>
      <x:c r="AI1056" s="1"/>
      <x:c r="AJ1056" s="1"/>
      <x:c r="AK1056" s="1"/>
      <x:c r="AL1056" s="1"/>
      <x:c r="AM1056" s="1"/>
      <x:c r="AN1056" s="1"/>
    </x:row>
    <x:row r="1057" ht="22" customHeight="1">
      <x:c r="A1057" s="1" t="str">
        <x:v>347713</x:v>
      </x:c>
      <x:c r="B1057" s="1" t="str">
        <x:v>Walmart 2830</x:v>
      </x:c>
      <x:c r="C1057" s="1" t="str">
        <x:v>Super Store</x:v>
      </x:c>
      <x:c r="D1057" s="1" t="str">
        <x:v>1570 Chester Pike</x:v>
      </x:c>
      <x:c r="E1057" s="1" t="str">
        <x:v>Eddystone</x:v>
      </x:c>
      <x:c r="F1057" s="1" t="str">
        <x:v>PA</x:v>
      </x:c>
      <x:c r="G1057" s="1" t="str">
        <x:v>19022</x:v>
      </x:c>
      <x:c r="H1057" s="1" t="n">
        <x:v>39.865932</x:v>
      </x:c>
      <x:c r="I1057" s="1" t="n">
        <x:v>-75.342491</x:v>
      </x:c>
      <x:c r="J1057" s="1" t="str">
        <x:v>USDA SNAP retailer list</x:v>
      </x:c>
      <x:c r="K1057" s="1" t="str">
        <x:v>2026-10-09</x:v>
      </x:c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  <x:c r="AA1057" s="1"/>
      <x:c r="AB1057" s="1"/>
      <x:c r="AC1057" s="1"/>
      <x:c r="AD1057" s="1"/>
      <x:c r="AE1057" s="1"/>
      <x:c r="AF1057" s="1"/>
      <x:c r="AG1057" s="1"/>
      <x:c r="AH1057" s="1"/>
      <x:c r="AI1057" s="1"/>
      <x:c r="AJ1057" s="1"/>
      <x:c r="AK1057" s="1"/>
      <x:c r="AL1057" s="1"/>
      <x:c r="AM1057" s="1"/>
      <x:c r="AN1057" s="1"/>
    </x:row>
    <x:row r="1058" ht="22" customHeight="1">
      <x:c r="A1058" s="1" t="str">
        <x:v>451568</x:v>
      </x:c>
      <x:c r="B1058" s="1" t="str">
        <x:v>Walmart Supercenter 2871</x:v>
      </x:c>
      <x:c r="C1058" s="1" t="str">
        <x:v>Super Store</x:v>
      </x:c>
      <x:c r="D1058" s="1" t="str">
        <x:v>2501 Rt 130 S</x:v>
      </x:c>
      <x:c r="E1058" s="1" t="str">
        <x:v>Cinnaminson</x:v>
      </x:c>
      <x:c r="F1058" s="1" t="str">
        <x:v>NJ</x:v>
      </x:c>
      <x:c r="G1058" s="1" t="str">
        <x:v>08077</x:v>
      </x:c>
      <x:c r="H1058" s="1" t="n">
        <x:v>40.007912</x:v>
      </x:c>
      <x:c r="I1058" s="1" t="n">
        <x:v>-74.98069</x:v>
      </x:c>
      <x:c r="J1058" s="1" t="str">
        <x:v>USDA SNAP retailer list</x:v>
      </x:c>
      <x:c r="K1058" s="1" t="str">
        <x:v>2026-10-09</x:v>
      </x:c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  <x:c r="AA1058" s="1"/>
      <x:c r="AB1058" s="1"/>
      <x:c r="AC1058" s="1"/>
      <x:c r="AD1058" s="1"/>
      <x:c r="AE1058" s="1"/>
      <x:c r="AF1058" s="1"/>
      <x:c r="AG1058" s="1"/>
      <x:c r="AH1058" s="1"/>
      <x:c r="AI1058" s="1"/>
      <x:c r="AJ1058" s="1"/>
      <x:c r="AK1058" s="1"/>
      <x:c r="AL1058" s="1"/>
      <x:c r="AM1058" s="1"/>
      <x:c r="AN1058" s="1"/>
    </x:row>
    <x:row r="1059" ht="22" customHeight="1">
      <x:c r="A1059" s="1" t="str">
        <x:v>1590749</x:v>
      </x:c>
      <x:c r="B1059" s="1" t="str">
        <x:v>First Oriental Market Inc</x:v>
      </x:c>
      <x:c r="C1059" s="1" t="str">
        <x:v>Super Store</x:v>
      </x:c>
      <x:c r="D1059" s="1" t="str">
        <x:v>1111 S 6th St</x:v>
      </x:c>
      <x:c r="E1059" s="1" t="str">
        <x:v>Philadelphia</x:v>
      </x:c>
      <x:c r="F1059" s="1" t="str">
        <x:v>PA</x:v>
      </x:c>
      <x:c r="G1059" s="1" t="str">
        <x:v>19147</x:v>
      </x:c>
      <x:c r="H1059" s="1" t="n">
        <x:v>39.934013</x:v>
      </x:c>
      <x:c r="I1059" s="1" t="n">
        <x:v>-75.153702</x:v>
      </x:c>
      <x:c r="J1059" s="1" t="str">
        <x:v>USDA SNAP retailer list</x:v>
      </x:c>
      <x:c r="K1059" s="1" t="str">
        <x:v>2026-10-09</x:v>
      </x:c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  <x:c r="AA1059" s="1"/>
      <x:c r="AB1059" s="1"/>
      <x:c r="AC1059" s="1"/>
      <x:c r="AD1059" s="1"/>
      <x:c r="AE1059" s="1"/>
      <x:c r="AF1059" s="1"/>
      <x:c r="AG1059" s="1"/>
      <x:c r="AH1059" s="1"/>
      <x:c r="AI1059" s="1"/>
      <x:c r="AJ1059" s="1"/>
      <x:c r="AK1059" s="1"/>
      <x:c r="AL1059" s="1"/>
      <x:c r="AM1059" s="1"/>
      <x:c r="AN1059" s="1"/>
    </x:row>
    <x:row r="1060" ht="22" customHeight="1">
      <x:c r="A1060" s="1" t="str">
        <x:v>351281</x:v>
      </x:c>
      <x:c r="B1060" s="1" t="str">
        <x:v>Whole Foods Market 10086</x:v>
      </x:c>
      <x:c r="C1060" s="1" t="str">
        <x:v>Super Store</x:v>
      </x:c>
      <x:c r="D1060" s="1" t="str">
        <x:v>940 Route 73 N</x:v>
      </x:c>
      <x:c r="E1060" s="1" t="str">
        <x:v>Marlton</x:v>
      </x:c>
      <x:c r="F1060" s="1" t="str">
        <x:v>NJ</x:v>
      </x:c>
      <x:c r="G1060" s="1" t="str">
        <x:v>08053</x:v>
      </x:c>
      <x:c r="H1060" s="1" t="n">
        <x:v>39.907665</x:v>
      </x:c>
      <x:c r="I1060" s="1" t="n">
        <x:v>-74.938774</x:v>
      </x:c>
      <x:c r="J1060" s="1" t="str">
        <x:v>USDA SNAP retailer list</x:v>
      </x:c>
      <x:c r="K1060" s="1" t="str">
        <x:v>2026-10-09</x:v>
      </x:c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  <x:c r="AA1060" s="1"/>
      <x:c r="AB1060" s="1"/>
      <x:c r="AC1060" s="1"/>
      <x:c r="AD1060" s="1"/>
      <x:c r="AE1060" s="1"/>
      <x:c r="AF1060" s="1"/>
      <x:c r="AG1060" s="1"/>
      <x:c r="AH1060" s="1"/>
      <x:c r="AI1060" s="1"/>
      <x:c r="AJ1060" s="1"/>
      <x:c r="AK1060" s="1"/>
      <x:c r="AL1060" s="1"/>
      <x:c r="AM1060" s="1"/>
      <x:c r="AN1060" s="1"/>
    </x:row>
    <x:row r="1061" ht="22" customHeight="1">
      <x:c r="A1061" s="1" t="str">
        <x:v>281428</x:v>
      </x:c>
      <x:c r="B1061" s="1" t="str">
        <x:v>ACME 3739</x:v>
      </x:c>
      <x:c r="C1061" s="1" t="str">
        <x:v>Supermarket</x:v>
      </x:c>
      <x:c r="D1061" s="1" t="str">
        <x:v>105 E Street Rd</x:v>
      </x:c>
      <x:c r="E1061" s="1" t="str">
        <x:v>Feasterville Trevose</x:v>
      </x:c>
      <x:c r="F1061" s="1" t="str">
        <x:v>PA</x:v>
      </x:c>
      <x:c r="G1061" s="1" t="str">
        <x:v>19053</x:v>
      </x:c>
      <x:c r="H1061" s="1" t="n">
        <x:v>40.147141</x:v>
      </x:c>
      <x:c r="I1061" s="1" t="n">
        <x:v>-74.999603</x:v>
      </x:c>
      <x:c r="J1061" s="1" t="str">
        <x:v>USDA SNAP retailer list</x:v>
      </x:c>
      <x:c r="K1061" s="1" t="str">
        <x:v>2026-10-09</x:v>
      </x:c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  <x:c r="AA1061" s="1"/>
      <x:c r="AB1061" s="1"/>
      <x:c r="AC1061" s="1"/>
      <x:c r="AD1061" s="1"/>
      <x:c r="AE1061" s="1"/>
      <x:c r="AF1061" s="1"/>
      <x:c r="AG1061" s="1"/>
      <x:c r="AH1061" s="1"/>
      <x:c r="AI1061" s="1"/>
      <x:c r="AJ1061" s="1"/>
      <x:c r="AK1061" s="1"/>
      <x:c r="AL1061" s="1"/>
      <x:c r="AM1061" s="1"/>
      <x:c r="AN1061" s="1"/>
    </x:row>
    <x:row r="1062" ht="22" customHeight="1">
      <x:c r="A1062" s="1" t="str">
        <x:v>240825</x:v>
      </x:c>
      <x:c r="B1062" s="1" t="str">
        <x:v>ACME 4723</x:v>
      </x:c>
      <x:c r="C1062" s="1" t="str">
        <x:v>Supermarket</x:v>
      </x:c>
      <x:c r="D1062" s="1" t="str">
        <x:v>1640 Bethlehem Pike</x:v>
      </x:c>
      <x:c r="E1062" s="1" t="str">
        <x:v>Flourtown</x:v>
      </x:c>
      <x:c r="F1062" s="1" t="str">
        <x:v>PA</x:v>
      </x:c>
      <x:c r="G1062" s="1" t="str">
        <x:v>19031</x:v>
      </x:c>
      <x:c r="H1062" s="1" t="n">
        <x:v>40.106716</x:v>
      </x:c>
      <x:c r="I1062" s="1" t="n">
        <x:v>-75.213478</x:v>
      </x:c>
      <x:c r="J1062" s="1" t="str">
        <x:v>USDA SNAP retailer list</x:v>
      </x:c>
      <x:c r="K1062" s="1" t="str">
        <x:v>2026-10-09</x:v>
      </x:c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  <x:c r="AA1062" s="1"/>
      <x:c r="AB1062" s="1"/>
      <x:c r="AC1062" s="1"/>
      <x:c r="AD1062" s="1"/>
      <x:c r="AE1062" s="1"/>
      <x:c r="AF1062" s="1"/>
      <x:c r="AG1062" s="1"/>
      <x:c r="AH1062" s="1"/>
      <x:c r="AI1062" s="1"/>
      <x:c r="AJ1062" s="1"/>
      <x:c r="AK1062" s="1"/>
      <x:c r="AL1062" s="1"/>
      <x:c r="AM1062" s="1"/>
      <x:c r="AN1062" s="1"/>
    </x:row>
    <x:row r="1063" ht="22" customHeight="1">
      <x:c r="A1063" s="1" t="str">
        <x:v>455463</x:v>
      </x:c>
      <x:c r="B1063" s="1" t="str">
        <x:v>ACME 2998</x:v>
      </x:c>
      <x:c r="C1063" s="1" t="str">
        <x:v>Supermarket</x:v>
      </x:c>
      <x:c r="D1063" s="1" t="str">
        <x:v>501 E Evesham Rd</x:v>
      </x:c>
      <x:c r="E1063" s="1" t="str">
        <x:v>Runnemede</x:v>
      </x:c>
      <x:c r="F1063" s="1" t="str">
        <x:v>NJ</x:v>
      </x:c>
      <x:c r="G1063" s="1" t="str">
        <x:v>08078</x:v>
      </x:c>
      <x:c r="H1063" s="1" t="n">
        <x:v>39.847687</x:v>
      </x:c>
      <x:c r="I1063" s="1" t="n">
        <x:v>-75.060081</x:v>
      </x:c>
      <x:c r="J1063" s="1" t="str">
        <x:v>USDA SNAP retailer list</x:v>
      </x:c>
      <x:c r="K1063" s="1" t="str">
        <x:v>2026-10-09</x:v>
      </x:c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  <x:c r="AA1063" s="1"/>
      <x:c r="AB1063" s="1"/>
      <x:c r="AC1063" s="1"/>
      <x:c r="AD1063" s="1"/>
      <x:c r="AE1063" s="1"/>
      <x:c r="AF1063" s="1"/>
      <x:c r="AG1063" s="1"/>
      <x:c r="AH1063" s="1"/>
      <x:c r="AI1063" s="1"/>
      <x:c r="AJ1063" s="1"/>
      <x:c r="AK1063" s="1"/>
      <x:c r="AL1063" s="1"/>
      <x:c r="AM1063" s="1"/>
      <x:c r="AN1063" s="1"/>
    </x:row>
    <x:row r="1064" ht="22" customHeight="1">
      <x:c r="A1064" s="1" t="str">
        <x:v>454729</x:v>
      </x:c>
      <x:c r="B1064" s="1" t="str">
        <x:v>SHOP RITE OF MARLTON</x:v>
      </x:c>
      <x:c r="C1064" s="1" t="str">
        <x:v>Super Store</x:v>
      </x:c>
      <x:c r="D1064" s="1" t="str">
        <x:v>307 Route 70 W</x:v>
      </x:c>
      <x:c r="E1064" s="1" t="str">
        <x:v>Marlton</x:v>
      </x:c>
      <x:c r="F1064" s="1" t="str">
        <x:v>NJ</x:v>
      </x:c>
      <x:c r="G1064" s="1" t="str">
        <x:v>08053</x:v>
      </x:c>
      <x:c r="H1064" s="1" t="n">
        <x:v>39.894707</x:v>
      </x:c>
      <x:c r="I1064" s="1" t="n">
        <x:v>-74.9328</x:v>
      </x:c>
      <x:c r="J1064" s="1" t="str">
        <x:v>USDA SNAP retailer list</x:v>
      </x:c>
      <x:c r="K1064" s="1" t="str">
        <x:v>2026-10-09</x:v>
      </x:c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  <x:c r="AA1064" s="1"/>
      <x:c r="AB1064" s="1"/>
      <x:c r="AC1064" s="1"/>
      <x:c r="AD1064" s="1"/>
      <x:c r="AE1064" s="1"/>
      <x:c r="AF1064" s="1"/>
      <x:c r="AG1064" s="1"/>
      <x:c r="AH1064" s="1"/>
      <x:c r="AI1064" s="1"/>
      <x:c r="AJ1064" s="1"/>
      <x:c r="AK1064" s="1"/>
      <x:c r="AL1064" s="1"/>
      <x:c r="AM1064" s="1"/>
      <x:c r="AN1064" s="1"/>
    </x:row>
    <x:row r="1065" ht="22" customHeight="1">
      <x:c r="A1065" s="1" t="str">
        <x:v>265461</x:v>
      </x:c>
      <x:c r="B1065" s="1" t="str">
        <x:v>ACME 3970</x:v>
      </x:c>
      <x:c r="C1065" s="1" t="str">
        <x:v>Supermarket</x:v>
      </x:c>
      <x:c r="D1065" s="1" t="str">
        <x:v>631 Mantua Ave</x:v>
      </x:c>
      <x:c r="E1065" s="1" t="str">
        <x:v>Woodbury</x:v>
      </x:c>
      <x:c r="F1065" s="1" t="str">
        <x:v>NJ</x:v>
      </x:c>
      <x:c r="G1065" s="1" t="str">
        <x:v>08096</x:v>
      </x:c>
      <x:c r="H1065" s="1" t="n">
        <x:v>39.827023</x:v>
      </x:c>
      <x:c r="I1065" s="1" t="n">
        <x:v>-75.15963</x:v>
      </x:c>
      <x:c r="J1065" s="1" t="str">
        <x:v>USDA SNAP retailer list</x:v>
      </x:c>
      <x:c r="K1065" s="1" t="str">
        <x:v>2026-10-09</x:v>
      </x:c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  <x:c r="AA1065" s="1"/>
      <x:c r="AB1065" s="1"/>
      <x:c r="AC1065" s="1"/>
      <x:c r="AD1065" s="1"/>
      <x:c r="AE1065" s="1"/>
      <x:c r="AF1065" s="1"/>
      <x:c r="AG1065" s="1"/>
      <x:c r="AH1065" s="1"/>
      <x:c r="AI1065" s="1"/>
      <x:c r="AJ1065" s="1"/>
      <x:c r="AK1065" s="1"/>
      <x:c r="AL1065" s="1"/>
      <x:c r="AM1065" s="1"/>
      <x:c r="AN1065" s="1"/>
    </x:row>
    <x:row r="1066" ht="22" customHeight="1">
      <x:c r="A1066" s="1" t="str">
        <x:v>359402</x:v>
      </x:c>
      <x:c r="B1066" s="1" t="str">
        <x:v>Walmart 5229</x:v>
      </x:c>
      <x:c r="C1066" s="1" t="str">
        <x:v>Super Store</x:v>
      </x:c>
      <x:c r="D1066" s="1" t="str">
        <x:v>1000 Easton Rd</x:v>
      </x:c>
      <x:c r="E1066" s="1" t="str">
        <x:v>Wyncote</x:v>
      </x:c>
      <x:c r="F1066" s="1" t="str">
        <x:v>PA</x:v>
      </x:c>
      <x:c r="G1066" s="1" t="str">
        <x:v>19095</x:v>
      </x:c>
      <x:c r="H1066" s="1" t="n">
        <x:v>40.08289</x:v>
      </x:c>
      <x:c r="I1066" s="1" t="n">
        <x:v>-75.170715</x:v>
      </x:c>
      <x:c r="J1066" s="1" t="str">
        <x:v>USDA SNAP retailer list</x:v>
      </x:c>
      <x:c r="K1066" s="1" t="str">
        <x:v>2026-10-09</x:v>
      </x:c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  <x:c r="AA1066" s="1"/>
      <x:c r="AB1066" s="1"/>
      <x:c r="AC1066" s="1"/>
      <x:c r="AD1066" s="1"/>
      <x:c r="AE1066" s="1"/>
      <x:c r="AF1066" s="1"/>
      <x:c r="AG1066" s="1"/>
      <x:c r="AH1066" s="1"/>
      <x:c r="AI1066" s="1"/>
      <x:c r="AJ1066" s="1"/>
      <x:c r="AK1066" s="1"/>
      <x:c r="AL1066" s="1"/>
      <x:c r="AM1066" s="1"/>
      <x:c r="AN1066" s="1"/>
    </x:row>
    <x:row r="1067" ht="22" customHeight="1">
      <x:c r="A1067" s="1" t="str">
        <x:v>413071</x:v>
      </x:c>
      <x:c r="B1067" s="1" t="str">
        <x:v>ACME 893</x:v>
      </x:c>
      <x:c r="C1067" s="1" t="str">
        <x:v>Supermarket</x:v>
      </x:c>
      <x:c r="D1067" s="1" t="str">
        <x:v>124 Morton Ave</x:v>
      </x:c>
      <x:c r="E1067" s="1" t="str">
        <x:v>Folsom</x:v>
      </x:c>
      <x:c r="F1067" s="1" t="str">
        <x:v>PA</x:v>
      </x:c>
      <x:c r="G1067" s="1" t="str">
        <x:v>19033</x:v>
      </x:c>
      <x:c r="H1067" s="1" t="n">
        <x:v>39.883835</x:v>
      </x:c>
      <x:c r="I1067" s="1" t="n">
        <x:v>-75.329277</x:v>
      </x:c>
      <x:c r="J1067" s="1" t="str">
        <x:v>USDA SNAP retailer list</x:v>
      </x:c>
      <x:c r="K1067" s="1" t="str">
        <x:v>2026-10-09</x:v>
      </x:c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  <x:c r="AA1067" s="1"/>
      <x:c r="AB1067" s="1"/>
      <x:c r="AC1067" s="1"/>
      <x:c r="AD1067" s="1"/>
      <x:c r="AE1067" s="1"/>
      <x:c r="AF1067" s="1"/>
      <x:c r="AG1067" s="1"/>
      <x:c r="AH1067" s="1"/>
      <x:c r="AI1067" s="1"/>
      <x:c r="AJ1067" s="1"/>
      <x:c r="AK1067" s="1"/>
      <x:c r="AL1067" s="1"/>
      <x:c r="AM1067" s="1"/>
      <x:c r="AN1067" s="1"/>
    </x:row>
    <x:row r="1068" ht="22" customHeight="1">
      <x:c r="A1068" s="1" t="str">
        <x:v>327601</x:v>
      </x:c>
      <x:c r="B1068" s="1" t="str">
        <x:v>ACME 3719</x:v>
      </x:c>
      <x:c r="C1068" s="1" t="str">
        <x:v>Supermarket</x:v>
      </x:c>
      <x:c r="D1068" s="1" t="str">
        <x:v>2301 Pasqualone Blvd</x:v>
      </x:c>
      <x:c r="E1068" s="1" t="str">
        <x:v>Bensalem</x:v>
      </x:c>
      <x:c r="F1068" s="1" t="str">
        <x:v>PA</x:v>
      </x:c>
      <x:c r="G1068" s="1" t="str">
        <x:v>19020</x:v>
      </x:c>
      <x:c r="H1068" s="1" t="n">
        <x:v>40.132225</x:v>
      </x:c>
      <x:c r="I1068" s="1" t="n">
        <x:v>-74.924126</x:v>
      </x:c>
      <x:c r="J1068" s="1" t="str">
        <x:v>USDA SNAP retailer list</x:v>
      </x:c>
      <x:c r="K1068" s="1" t="str">
        <x:v>2026-10-09</x:v>
      </x:c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  <x:c r="AA1068" s="1"/>
      <x:c r="AB1068" s="1"/>
      <x:c r="AC1068" s="1"/>
      <x:c r="AD1068" s="1"/>
      <x:c r="AE1068" s="1"/>
      <x:c r="AF1068" s="1"/>
      <x:c r="AG1068" s="1"/>
      <x:c r="AH1068" s="1"/>
      <x:c r="AI1068" s="1"/>
      <x:c r="AJ1068" s="1"/>
      <x:c r="AK1068" s="1"/>
      <x:c r="AL1068" s="1"/>
      <x:c r="AM1068" s="1"/>
      <x:c r="AN1068" s="1"/>
    </x:row>
    <x:row r="1069" ht="22" customHeight="1">
      <x:c r="A1069" s="1" t="str">
        <x:v>415816</x:v>
      </x:c>
      <x:c r="B1069" s="1" t="str">
        <x:v>Save A Lot 61354</x:v>
      </x:c>
      <x:c r="C1069" s="1" t="str">
        <x:v>Supermarket</x:v>
      </x:c>
      <x:c r="D1069" s="1" t="str">
        <x:v>2881 Mount Ephraim Ave</x:v>
      </x:c>
      <x:c r="E1069" s="1" t="str">
        <x:v>Camden</x:v>
      </x:c>
      <x:c r="F1069" s="1" t="str">
        <x:v>NJ</x:v>
      </x:c>
      <x:c r="G1069" s="1" t="str">
        <x:v>08104</x:v>
      </x:c>
      <x:c r="H1069" s="1" t="n">
        <x:v>39.908474</x:v>
      </x:c>
      <x:c r="I1069" s="1" t="n">
        <x:v>-75.099457</x:v>
      </x:c>
      <x:c r="J1069" s="1" t="str">
        <x:v>USDA SNAP retailer list</x:v>
      </x:c>
      <x:c r="K1069" s="1" t="str">
        <x:v>2026-10-09</x:v>
      </x:c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  <x:c r="AA1069" s="1"/>
      <x:c r="AB1069" s="1"/>
      <x:c r="AC1069" s="1"/>
      <x:c r="AD1069" s="1"/>
      <x:c r="AE1069" s="1"/>
      <x:c r="AF1069" s="1"/>
      <x:c r="AG1069" s="1"/>
      <x:c r="AH1069" s="1"/>
      <x:c r="AI1069" s="1"/>
      <x:c r="AJ1069" s="1"/>
      <x:c r="AK1069" s="1"/>
      <x:c r="AL1069" s="1"/>
      <x:c r="AM1069" s="1"/>
      <x:c r="AN1069" s="1"/>
    </x:row>
    <x:row r="1070" ht="22" customHeight="1">
      <x:c r="A1070" s="1" t="str">
        <x:v>501384</x:v>
      </x:c>
      <x:c r="B1070" s="1" t="str">
        <x:v>Whole Foods Market 10112</x:v>
      </x:c>
      <x:c r="C1070" s="1" t="str">
        <x:v>Super Store</x:v>
      </x:c>
      <x:c r="D1070" s="1" t="str">
        <x:v>929 South St</x:v>
      </x:c>
      <x:c r="E1070" s="1" t="str">
        <x:v>Philadelphia</x:v>
      </x:c>
      <x:c r="F1070" s="1" t="str">
        <x:v>PA</x:v>
      </x:c>
      <x:c r="G1070" s="1" t="str">
        <x:v>19147</x:v>
      </x:c>
      <x:c r="H1070" s="1" t="n">
        <x:v>39.942707</x:v>
      </x:c>
      <x:c r="I1070" s="1" t="n">
        <x:v>-75.157684</x:v>
      </x:c>
      <x:c r="J1070" s="1" t="str">
        <x:v>USDA SNAP retailer list</x:v>
      </x:c>
      <x:c r="K1070" s="1" t="str">
        <x:v>2026-10-09</x:v>
      </x:c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  <x:c r="AA1070" s="1"/>
      <x:c r="AB1070" s="1"/>
      <x:c r="AC1070" s="1"/>
      <x:c r="AD1070" s="1"/>
      <x:c r="AE1070" s="1"/>
      <x:c r="AF1070" s="1"/>
      <x:c r="AG1070" s="1"/>
      <x:c r="AH1070" s="1"/>
      <x:c r="AI1070" s="1"/>
      <x:c r="AJ1070" s="1"/>
      <x:c r="AK1070" s="1"/>
      <x:c r="AL1070" s="1"/>
      <x:c r="AM1070" s="1"/>
      <x:c r="AN1070" s="1"/>
    </x:row>
    <x:row r="1071" ht="22" customHeight="1">
      <x:c r="A1071" s="1" t="str">
        <x:v>506241</x:v>
      </x:c>
      <x:c r="B1071" s="1" t="str">
        <x:v>ALDI 50</x:v>
      </x:c>
      <x:c r="C1071" s="1" t="str">
        <x:v>Supermarket</x:v>
      </x:c>
      <x:c r="D1071" s="1" t="str">
        <x:v>2603 S Front St</x:v>
      </x:c>
      <x:c r="E1071" s="1" t="str">
        <x:v>Philadelphia</x:v>
      </x:c>
      <x:c r="F1071" s="1" t="str">
        <x:v>PA</x:v>
      </x:c>
      <x:c r="G1071" s="1" t="str">
        <x:v>19148</x:v>
      </x:c>
      <x:c r="H1071" s="1" t="n">
        <x:v>39.915276</x:v>
      </x:c>
      <x:c r="I1071" s="1" t="n">
        <x:v>-75.149696</x:v>
      </x:c>
      <x:c r="J1071" s="1" t="str">
        <x:v>USDA SNAP retailer list</x:v>
      </x:c>
      <x:c r="K1071" s="1" t="str">
        <x:v>2026-10-09</x:v>
      </x:c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  <x:c r="AA1071" s="1"/>
      <x:c r="AB1071" s="1"/>
      <x:c r="AC1071" s="1"/>
      <x:c r="AD1071" s="1"/>
      <x:c r="AE1071" s="1"/>
      <x:c r="AF1071" s="1"/>
      <x:c r="AG1071" s="1"/>
      <x:c r="AH1071" s="1"/>
      <x:c r="AI1071" s="1"/>
      <x:c r="AJ1071" s="1"/>
      <x:c r="AK1071" s="1"/>
      <x:c r="AL1071" s="1"/>
      <x:c r="AM1071" s="1"/>
      <x:c r="AN1071" s="1"/>
    </x:row>
    <x:row r="1072" ht="22" customHeight="1">
      <x:c r="A1072" s="1" t="str">
        <x:v>500749</x:v>
      </x:c>
      <x:c r="B1072" s="1" t="str">
        <x:v>ACME 3711</x:v>
      </x:c>
      <x:c r="C1072" s="1" t="str">
        <x:v>Supermarket</x:v>
      </x:c>
      <x:c r="D1072" s="1" t="str">
        <x:v>121 E City Ave</x:v>
      </x:c>
      <x:c r="E1072" s="1" t="str">
        <x:v>Bala Cynwyd</x:v>
      </x:c>
      <x:c r="F1072" s="1" t="str">
        <x:v>PA</x:v>
      </x:c>
      <x:c r="G1072" s="1" t="str">
        <x:v>19004</x:v>
      </x:c>
      <x:c r="H1072" s="1" t="n">
        <x:v>40.003922</x:v>
      </x:c>
      <x:c r="I1072" s="1" t="n">
        <x:v>-75.22377</x:v>
      </x:c>
      <x:c r="J1072" s="1" t="str">
        <x:v>USDA SNAP retailer list</x:v>
      </x:c>
      <x:c r="K1072" s="1" t="str">
        <x:v>2026-10-09</x:v>
      </x:c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  <x:c r="AA1072" s="1"/>
      <x:c r="AB1072" s="1"/>
      <x:c r="AC1072" s="1"/>
      <x:c r="AD1072" s="1"/>
      <x:c r="AE1072" s="1"/>
      <x:c r="AF1072" s="1"/>
      <x:c r="AG1072" s="1"/>
      <x:c r="AH1072" s="1"/>
      <x:c r="AI1072" s="1"/>
      <x:c r="AJ1072" s="1"/>
      <x:c r="AK1072" s="1"/>
      <x:c r="AL1072" s="1"/>
      <x:c r="AM1072" s="1"/>
      <x:c r="AN1072" s="1"/>
    </x:row>
    <x:row r="1073" ht="22" customHeight="1">
      <x:c r="A1073" s="1" t="str">
        <x:v>477159</x:v>
      </x:c>
      <x:c r="B1073" s="1" t="str">
        <x:v>SHOPRITE OF CHERRYWOOD 586</x:v>
      </x:c>
      <x:c r="C1073" s="1" t="str">
        <x:v>Super Store</x:v>
      </x:c>
      <x:c r="D1073" s="1" t="str">
        <x:v>1468 Blackwood Clementon Rd</x:v>
      </x:c>
      <x:c r="E1073" s="1" t="str">
        <x:v>Clementon</x:v>
      </x:c>
      <x:c r="F1073" s="1" t="str">
        <x:v>NJ</x:v>
      </x:c>
      <x:c r="G1073" s="1" t="str">
        <x:v>08021</x:v>
      </x:c>
      <x:c r="H1073" s="1" t="n">
        <x:v>39.801781</x:v>
      </x:c>
      <x:c r="I1073" s="1" t="n">
        <x:v>-75.039673</x:v>
      </x:c>
      <x:c r="J1073" s="1" t="str">
        <x:v>USDA SNAP retailer list</x:v>
      </x:c>
      <x:c r="K1073" s="1" t="str">
        <x:v>2026-10-09</x:v>
      </x:c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  <x:c r="AA1073" s="1"/>
      <x:c r="AB1073" s="1"/>
      <x:c r="AC1073" s="1"/>
      <x:c r="AD1073" s="1"/>
      <x:c r="AE1073" s="1"/>
      <x:c r="AF1073" s="1"/>
      <x:c r="AG1073" s="1"/>
      <x:c r="AH1073" s="1"/>
      <x:c r="AI1073" s="1"/>
      <x:c r="AJ1073" s="1"/>
      <x:c r="AK1073" s="1"/>
      <x:c r="AL1073" s="1"/>
      <x:c r="AM1073" s="1"/>
      <x:c r="AN1073" s="1"/>
    </x:row>
    <x:row r="1074" ht="22" customHeight="1">
      <x:c r="A1074" s="1" t="str">
        <x:v>481374</x:v>
      </x:c>
      <x:c r="B1074" s="1" t="str">
        <x:v>SHOPRITE OF WEST DEPTFORD</x:v>
      </x:c>
      <x:c r="C1074" s="1" t="str">
        <x:v>Super Store</x:v>
      </x:c>
      <x:c r="D1074" s="1" t="str">
        <x:v>1077 Mantua Pike</x:v>
      </x:c>
      <x:c r="E1074" s="1" t="str">
        <x:v>West Deptford</x:v>
      </x:c>
      <x:c r="F1074" s="1" t="str">
        <x:v>NJ</x:v>
      </x:c>
      <x:c r="G1074" s="1" t="str">
        <x:v>08096</x:v>
      </x:c>
      <x:c r="H1074" s="1" t="n">
        <x:v>39.804623</x:v>
      </x:c>
      <x:c r="I1074" s="1" t="n">
        <x:v>-75.168365</x:v>
      </x:c>
      <x:c r="J1074" s="1" t="str">
        <x:v>USDA SNAP retailer list</x:v>
      </x:c>
      <x:c r="K1074" s="1" t="str">
        <x:v>2026-10-09</x:v>
      </x:c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  <x:c r="AA1074" s="1"/>
      <x:c r="AB1074" s="1"/>
      <x:c r="AC1074" s="1"/>
      <x:c r="AD1074" s="1"/>
      <x:c r="AE1074" s="1"/>
      <x:c r="AF1074" s="1"/>
      <x:c r="AG1074" s="1"/>
      <x:c r="AH1074" s="1"/>
      <x:c r="AI1074" s="1"/>
      <x:c r="AJ1074" s="1"/>
      <x:c r="AK1074" s="1"/>
      <x:c r="AL1074" s="1"/>
      <x:c r="AM1074" s="1"/>
      <x:c r="AN1074" s="1"/>
    </x:row>
    <x:row r="1075" ht="22" customHeight="1">
      <x:c r="A1075" s="1" t="str">
        <x:v>478868</x:v>
      </x:c>
      <x:c r="B1075" s="1" t="str">
        <x:v>SHOPRITE OF GARDENSTATE RACETRACK</x:v>
      </x:c>
      <x:c r="C1075" s="1" t="str">
        <x:v>Super Store</x:v>
      </x:c>
      <x:c r="D1075" s="1" t="str">
        <x:v>2240 Route 70 W</x:v>
      </x:c>
      <x:c r="E1075" s="1" t="str">
        <x:v>Cherry Hill</x:v>
      </x:c>
      <x:c r="F1075" s="1" t="str">
        <x:v>NJ</x:v>
      </x:c>
      <x:c r="G1075" s="1" t="str">
        <x:v>08002</x:v>
      </x:c>
      <x:c r="H1075" s="1" t="n">
        <x:v>39.923515</x:v>
      </x:c>
      <x:c r="I1075" s="1" t="n">
        <x:v>-75.043884</x:v>
      </x:c>
      <x:c r="J1075" s="1" t="str">
        <x:v>USDA SNAP retailer list</x:v>
      </x:c>
      <x:c r="K1075" s="1" t="str">
        <x:v>2026-10-09</x:v>
      </x:c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  <x:c r="AA1075" s="1"/>
      <x:c r="AB1075" s="1"/>
      <x:c r="AC1075" s="1"/>
      <x:c r="AD1075" s="1"/>
      <x:c r="AE1075" s="1"/>
      <x:c r="AF1075" s="1"/>
      <x:c r="AG1075" s="1"/>
      <x:c r="AH1075" s="1"/>
      <x:c r="AI1075" s="1"/>
      <x:c r="AJ1075" s="1"/>
      <x:c r="AK1075" s="1"/>
      <x:c r="AL1075" s="1"/>
      <x:c r="AM1075" s="1"/>
      <x:c r="AN1075" s="1"/>
    </x:row>
    <x:row r="1076" ht="22" customHeight="1">
      <x:c r="A1076" s="1" t="str">
        <x:v>543716</x:v>
      </x:c>
      <x:c r="B1076" s="1" t="str">
        <x:v>ALDI 60095</x:v>
      </x:c>
      <x:c r="C1076" s="1" t="str">
        <x:v>Supermarket</x:v>
      </x:c>
      <x:c r="D1076" s="1" t="str">
        <x:v>1102 White Horse Pike</x:v>
      </x:c>
      <x:c r="E1076" s="1" t="str">
        <x:v>Stratford</x:v>
      </x:c>
      <x:c r="F1076" s="1" t="str">
        <x:v>NJ</x:v>
      </x:c>
      <x:c r="G1076" s="1" t="str">
        <x:v>08084</x:v>
      </x:c>
      <x:c r="H1076" s="1" t="n">
        <x:v>39.840851</x:v>
      </x:c>
      <x:c r="I1076" s="1" t="n">
        <x:v>-75.014084</x:v>
      </x:c>
      <x:c r="J1076" s="1" t="str">
        <x:v>USDA SNAP retailer list</x:v>
      </x:c>
      <x:c r="K1076" s="1" t="str">
        <x:v>2026-10-09</x:v>
      </x:c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  <x:c r="AA1076" s="1"/>
      <x:c r="AB1076" s="1"/>
      <x:c r="AC1076" s="1"/>
      <x:c r="AD1076" s="1"/>
      <x:c r="AE1076" s="1"/>
      <x:c r="AF1076" s="1"/>
      <x:c r="AG1076" s="1"/>
      <x:c r="AH1076" s="1"/>
      <x:c r="AI1076" s="1"/>
      <x:c r="AJ1076" s="1"/>
      <x:c r="AK1076" s="1"/>
      <x:c r="AL1076" s="1"/>
      <x:c r="AM1076" s="1"/>
      <x:c r="AN1076" s="1"/>
    </x:row>
    <x:row r="1077" ht="22" customHeight="1">
      <x:c r="A1077" s="1" t="str">
        <x:v>389853</x:v>
      </x:c>
      <x:c r="B1077" s="1" t="str">
        <x:v>Verchio Produce Outlet</x:v>
      </x:c>
      <x:c r="C1077" s="1" t="str">
        <x:v>Super Store</x:v>
      </x:c>
      <x:c r="D1077" s="1" t="str">
        <x:v>1 West Brooklawn Circle</x:v>
      </x:c>
      <x:c r="E1077" s="1" t="str">
        <x:v>Brooklawn</x:v>
      </x:c>
      <x:c r="F1077" s="1" t="str">
        <x:v>NJ</x:v>
      </x:c>
      <x:c r="G1077" s="1" t="str">
        <x:v>08030</x:v>
      </x:c>
      <x:c r="H1077" s="1" t="n">
        <x:v>39.8755</x:v>
      </x:c>
      <x:c r="I1077" s="1" t="n">
        <x:v>-75.122887</x:v>
      </x:c>
      <x:c r="J1077" s="1" t="str">
        <x:v>USDA SNAP retailer list</x:v>
      </x:c>
      <x:c r="K1077" s="1" t="str">
        <x:v>2026-10-09</x:v>
      </x:c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  <x:c r="AA1077" s="1"/>
      <x:c r="AB1077" s="1"/>
      <x:c r="AC1077" s="1"/>
      <x:c r="AD1077" s="1"/>
      <x:c r="AE1077" s="1"/>
      <x:c r="AF1077" s="1"/>
      <x:c r="AG1077" s="1"/>
      <x:c r="AH1077" s="1"/>
      <x:c r="AI1077" s="1"/>
      <x:c r="AJ1077" s="1"/>
      <x:c r="AK1077" s="1"/>
      <x:c r="AL1077" s="1"/>
      <x:c r="AM1077" s="1"/>
      <x:c r="AN1077" s="1"/>
    </x:row>
    <x:row r="1078" ht="22" customHeight="1">
      <x:c r="A1078" s="1" t="str">
        <x:v>1693059</x:v>
      </x:c>
      <x:c r="B1078" s="1" t="str">
        <x:v>Giant Food Store 6561</x:v>
      </x:c>
      <x:c r="C1078" s="1" t="str">
        <x:v>Supermarket</x:v>
      </x:c>
      <x:c r="D1078" s="1" t="str">
        <x:v>60 N 23rd St</x:v>
      </x:c>
      <x:c r="E1078" s="1" t="str">
        <x:v>Philadelphia</x:v>
      </x:c>
      <x:c r="F1078" s="1" t="str">
        <x:v>PA</x:v>
      </x:c>
      <x:c r="G1078" s="1" t="str">
        <x:v>19103</x:v>
      </x:c>
      <x:c r="H1078" s="1" t="n">
        <x:v>39.95665</x:v>
      </x:c>
      <x:c r="I1078" s="1" t="n">
        <x:v>-75.177917</x:v>
      </x:c>
      <x:c r="J1078" s="1" t="str">
        <x:v>USDA SNAP retailer list</x:v>
      </x:c>
      <x:c r="K1078" s="1" t="str">
        <x:v>2026-10-09</x:v>
      </x:c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  <x:c r="AA1078" s="1"/>
      <x:c r="AB1078" s="1"/>
      <x:c r="AC1078" s="1"/>
      <x:c r="AD1078" s="1"/>
      <x:c r="AE1078" s="1"/>
      <x:c r="AF1078" s="1"/>
      <x:c r="AG1078" s="1"/>
      <x:c r="AH1078" s="1"/>
      <x:c r="AI1078" s="1"/>
      <x:c r="AJ1078" s="1"/>
      <x:c r="AK1078" s="1"/>
      <x:c r="AL1078" s="1"/>
      <x:c r="AM1078" s="1"/>
      <x:c r="AN1078" s="1"/>
    </x:row>
    <x:row r="1079" ht="22" customHeight="1">
      <x:c r="A1079" s="1" t="str">
        <x:v>398230</x:v>
      </x:c>
      <x:c r="B1079" s="1" t="str">
        <x:v>ACME 3742</x:v>
      </x:c>
      <x:c r="C1079" s="1" t="str">
        <x:v>Supermarket</x:v>
      </x:c>
      <x:c r="D1079" s="1" t="str">
        <x:v>3200-09 Red Lion Rd</x:v>
      </x:c>
      <x:c r="E1079" s="1" t="str">
        <x:v>Philadelphia</x:v>
      </x:c>
      <x:c r="F1079" s="1" t="str">
        <x:v>PA</x:v>
      </x:c>
      <x:c r="G1079" s="1" t="str">
        <x:v>19114</x:v>
      </x:c>
      <x:c r="H1079" s="1" t="n">
        <x:v>40.080223</x:v>
      </x:c>
      <x:c r="I1079" s="1" t="n">
        <x:v>-74.993752</x:v>
      </x:c>
      <x:c r="J1079" s="1" t="str">
        <x:v>USDA SNAP retailer list</x:v>
      </x:c>
      <x:c r="K1079" s="1" t="str">
        <x:v>2026-10-09</x:v>
      </x:c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  <x:c r="AA1079" s="1"/>
      <x:c r="AB1079" s="1"/>
      <x:c r="AC1079" s="1"/>
      <x:c r="AD1079" s="1"/>
      <x:c r="AE1079" s="1"/>
      <x:c r="AF1079" s="1"/>
      <x:c r="AG1079" s="1"/>
      <x:c r="AH1079" s="1"/>
      <x:c r="AI1079" s="1"/>
      <x:c r="AJ1079" s="1"/>
      <x:c r="AK1079" s="1"/>
      <x:c r="AL1079" s="1"/>
      <x:c r="AM1079" s="1"/>
      <x:c r="AN1079" s="1"/>
    </x:row>
    <x:row r="1080" ht="22" customHeight="1">
      <x:c r="A1080" s="1" t="str">
        <x:v>408249</x:v>
      </x:c>
      <x:c r="B1080" s="1" t="str">
        <x:v>Mariposa Food Coop</x:v>
      </x:c>
      <x:c r="C1080" s="1" t="str">
        <x:v>Supermarket</x:v>
      </x:c>
      <x:c r="D1080" s="1" t="str">
        <x:v>4824 Baltimore Ave</x:v>
      </x:c>
      <x:c r="E1080" s="1" t="str">
        <x:v>Philadelphia</x:v>
      </x:c>
      <x:c r="F1080" s="1" t="str">
        <x:v>PA</x:v>
      </x:c>
      <x:c r="G1080" s="1" t="str">
        <x:v>19143</x:v>
      </x:c>
      <x:c r="H1080" s="1" t="n">
        <x:v>39.947994</x:v>
      </x:c>
      <x:c r="I1080" s="1" t="n">
        <x:v>-75.220596</x:v>
      </x:c>
      <x:c r="J1080" s="1" t="str">
        <x:v>USDA SNAP retailer list</x:v>
      </x:c>
      <x:c r="K1080" s="1" t="str">
        <x:v>2026-10-09</x:v>
      </x:c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  <x:c r="AA1080" s="1"/>
      <x:c r="AB1080" s="1"/>
      <x:c r="AC1080" s="1"/>
      <x:c r="AD1080" s="1"/>
      <x:c r="AE1080" s="1"/>
      <x:c r="AF1080" s="1"/>
      <x:c r="AG1080" s="1"/>
      <x:c r="AH1080" s="1"/>
      <x:c r="AI1080" s="1"/>
      <x:c r="AJ1080" s="1"/>
      <x:c r="AK1080" s="1"/>
      <x:c r="AL1080" s="1"/>
      <x:c r="AM1080" s="1"/>
      <x:c r="AN1080" s="1"/>
    </x:row>
    <x:row r="1081" ht="22" customHeight="1">
      <x:c r="A1081" s="1" t="str">
        <x:v>405773</x:v>
      </x:c>
      <x:c r="B1081" s="1" t="str">
        <x:v>ACME 779</x:v>
      </x:c>
      <x:c r="C1081" s="1" t="str">
        <x:v>Supermarket</x:v>
      </x:c>
      <x:c r="D1081" s="1" t="str">
        <x:v>1336 Bristol Pike</x:v>
      </x:c>
      <x:c r="E1081" s="1" t="str">
        <x:v>Bensalem</x:v>
      </x:c>
      <x:c r="F1081" s="1" t="str">
        <x:v>PA</x:v>
      </x:c>
      <x:c r="G1081" s="1" t="str">
        <x:v>19020</x:v>
      </x:c>
      <x:c r="H1081" s="1" t="n">
        <x:v>40.073872</x:v>
      </x:c>
      <x:c r="I1081" s="1" t="n">
        <x:v>-74.96637</x:v>
      </x:c>
      <x:c r="J1081" s="1" t="str">
        <x:v>USDA SNAP retailer list</x:v>
      </x:c>
      <x:c r="K1081" s="1" t="str">
        <x:v>2026-10-09</x:v>
      </x:c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  <x:c r="AA1081" s="1"/>
      <x:c r="AB1081" s="1"/>
      <x:c r="AC1081" s="1"/>
      <x:c r="AD1081" s="1"/>
      <x:c r="AE1081" s="1"/>
      <x:c r="AF1081" s="1"/>
      <x:c r="AG1081" s="1"/>
      <x:c r="AH1081" s="1"/>
      <x:c r="AI1081" s="1"/>
      <x:c r="AJ1081" s="1"/>
      <x:c r="AK1081" s="1"/>
      <x:c r="AL1081" s="1"/>
      <x:c r="AM1081" s="1"/>
      <x:c r="AN1081" s="1"/>
    </x:row>
    <x:row r="1082" ht="22" customHeight="1">
      <x:c r="A1082" s="1" t="str">
        <x:v>406146</x:v>
      </x:c>
      <x:c r="B1082" s="1" t="str">
        <x:v>ACME 2762</x:v>
      </x:c>
      <x:c r="C1082" s="1" t="str">
        <x:v>Supermarket</x:v>
      </x:c>
      <x:c r="D1082" s="1" t="str">
        <x:v>5927-59 Ridge Ave</x:v>
      </x:c>
      <x:c r="E1082" s="1" t="str">
        <x:v>Philadelphia</x:v>
      </x:c>
      <x:c r="F1082" s="1" t="str">
        <x:v>PA</x:v>
      </x:c>
      <x:c r="G1082" s="1" t="str">
        <x:v>19128</x:v>
      </x:c>
      <x:c r="H1082" s="1" t="n">
        <x:v>40.030903</x:v>
      </x:c>
      <x:c r="I1082" s="1" t="n">
        <x:v>-75.211998</x:v>
      </x:c>
      <x:c r="J1082" s="1" t="str">
        <x:v>USDA SNAP retailer list</x:v>
      </x:c>
      <x:c r="K1082" s="1" t="str">
        <x:v>2026-10-09</x:v>
      </x:c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  <x:c r="AA1082" s="1"/>
      <x:c r="AB1082" s="1"/>
      <x:c r="AC1082" s="1"/>
      <x:c r="AD1082" s="1"/>
      <x:c r="AE1082" s="1"/>
      <x:c r="AF1082" s="1"/>
      <x:c r="AG1082" s="1"/>
      <x:c r="AH1082" s="1"/>
      <x:c r="AI1082" s="1"/>
      <x:c r="AJ1082" s="1"/>
      <x:c r="AK1082" s="1"/>
      <x:c r="AL1082" s="1"/>
      <x:c r="AM1082" s="1"/>
      <x:c r="AN1082" s="1"/>
    </x:row>
    <x:row r="1083" ht="22" customHeight="1">
      <x:c r="A1083" s="1" t="str">
        <x:v>407692</x:v>
      </x:c>
      <x:c r="B1083" s="1" t="str">
        <x:v>ACME 2974</x:v>
      </x:c>
      <x:c r="C1083" s="1" t="str">
        <x:v>Supermarket</x:v>
      </x:c>
      <x:c r="D1083" s="1" t="str">
        <x:v>400 W Cuthbert Blvd</x:v>
      </x:c>
      <x:c r="E1083" s="1" t="str">
        <x:v>Haddon Township</x:v>
      </x:c>
      <x:c r="F1083" s="1" t="str">
        <x:v>NJ</x:v>
      </x:c>
      <x:c r="G1083" s="1" t="str">
        <x:v>08108</x:v>
      </x:c>
      <x:c r="H1083" s="1" t="n">
        <x:v>39.907421</x:v>
      </x:c>
      <x:c r="I1083" s="1" t="n">
        <x:v>-75.058823</x:v>
      </x:c>
      <x:c r="J1083" s="1" t="str">
        <x:v>USDA SNAP retailer list</x:v>
      </x:c>
      <x:c r="K1083" s="1" t="str">
        <x:v>2026-10-09</x:v>
      </x:c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  <x:c r="AA1083" s="1"/>
      <x:c r="AB1083" s="1"/>
      <x:c r="AC1083" s="1"/>
      <x:c r="AD1083" s="1"/>
      <x:c r="AE1083" s="1"/>
      <x:c r="AF1083" s="1"/>
      <x:c r="AG1083" s="1"/>
      <x:c r="AH1083" s="1"/>
      <x:c r="AI1083" s="1"/>
      <x:c r="AJ1083" s="1"/>
      <x:c r="AK1083" s="1"/>
      <x:c r="AL1083" s="1"/>
      <x:c r="AM1083" s="1"/>
      <x:c r="AN1083" s="1"/>
    </x:row>
    <x:row r="1084" ht="22" customHeight="1">
      <x:c r="A1084" s="1" t="str">
        <x:v>304309</x:v>
      </x:c>
      <x:c r="B1084" s="1" t="str">
        <x:v>Trader Joe's 634</x:v>
      </x:c>
      <x:c r="C1084" s="1" t="str">
        <x:v>Supermarket</x:v>
      </x:c>
      <x:c r="D1084" s="1" t="str">
        <x:v>2121 Market St</x:v>
      </x:c>
      <x:c r="E1084" s="1" t="str">
        <x:v>Philadelphia</x:v>
      </x:c>
      <x:c r="F1084" s="1" t="str">
        <x:v>PA</x:v>
      </x:c>
      <x:c r="G1084" s="1" t="str">
        <x:v>19103</x:v>
      </x:c>
      <x:c r="H1084" s="1" t="n">
        <x:v>39.953968</x:v>
      </x:c>
      <x:c r="I1084" s="1" t="n">
        <x:v>-75.17617</x:v>
      </x:c>
      <x:c r="J1084" s="1" t="str">
        <x:v>USDA SNAP retailer list</x:v>
      </x:c>
      <x:c r="K1084" s="1" t="str">
        <x:v>2026-10-09</x:v>
      </x:c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  <x:c r="AA1084" s="1"/>
      <x:c r="AB1084" s="1"/>
      <x:c r="AC1084" s="1"/>
      <x:c r="AD1084" s="1"/>
      <x:c r="AE1084" s="1"/>
      <x:c r="AF1084" s="1"/>
      <x:c r="AG1084" s="1"/>
      <x:c r="AH1084" s="1"/>
      <x:c r="AI1084" s="1"/>
      <x:c r="AJ1084" s="1"/>
      <x:c r="AK1084" s="1"/>
      <x:c r="AL1084" s="1"/>
      <x:c r="AM1084" s="1"/>
      <x:c r="AN1084" s="1"/>
    </x:row>
    <x:row r="1085" ht="22" customHeight="1">
      <x:c r="A1085" s="1" t="str">
        <x:v>392528</x:v>
      </x:c>
      <x:c r="B1085" s="1" t="str">
        <x:v>ALDI 2</x:v>
      </x:c>
      <x:c r="C1085" s="1" t="str">
        <x:v>Supermarket</x:v>
      </x:c>
      <x:c r="D1085" s="1" t="str">
        <x:v>1205 MacDade Blvd</x:v>
      </x:c>
      <x:c r="E1085" s="1" t="str">
        <x:v>Collingdale</x:v>
      </x:c>
      <x:c r="F1085" s="1" t="str">
        <x:v>PA</x:v>
      </x:c>
      <x:c r="G1085" s="1" t="str">
        <x:v>19023</x:v>
      </x:c>
      <x:c r="H1085" s="1" t="n">
        <x:v>39.909138</x:v>
      </x:c>
      <x:c r="I1085" s="1" t="n">
        <x:v>-75.284157</x:v>
      </x:c>
      <x:c r="J1085" s="1" t="str">
        <x:v>USDA SNAP retailer list</x:v>
      </x:c>
      <x:c r="K1085" s="1" t="str">
        <x:v>2026-10-09</x:v>
      </x:c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  <x:c r="AA1085" s="1"/>
      <x:c r="AB1085" s="1"/>
      <x:c r="AC1085" s="1"/>
      <x:c r="AD1085" s="1"/>
      <x:c r="AE1085" s="1"/>
      <x:c r="AF1085" s="1"/>
      <x:c r="AG1085" s="1"/>
      <x:c r="AH1085" s="1"/>
      <x:c r="AI1085" s="1"/>
      <x:c r="AJ1085" s="1"/>
      <x:c r="AK1085" s="1"/>
      <x:c r="AL1085" s="1"/>
      <x:c r="AM1085" s="1"/>
      <x:c r="AN1085" s="1"/>
    </x:row>
    <x:row r="1086" ht="22" customHeight="1">
      <x:c r="A1086" s="1" t="str">
        <x:v>597868</x:v>
      </x:c>
      <x:c r="B1086" s="1" t="str">
        <x:v>Giant Food Store 6091</x:v>
      </x:c>
      <x:c r="C1086" s="1" t="str">
        <x:v>Supermarket</x:v>
      </x:c>
      <x:c r="D1086" s="1" t="str">
        <x:v>1760 Dekalb Pike</x:v>
      </x:c>
      <x:c r="E1086" s="1" t="str">
        <x:v>Blue Bell</x:v>
      </x:c>
      <x:c r="F1086" s="1" t="str">
        <x:v>PA</x:v>
      </x:c>
      <x:c r="G1086" s="1" t="str">
        <x:v>19422</x:v>
      </x:c>
      <x:c r="H1086" s="1" t="n">
        <x:v>40.149261</x:v>
      </x:c>
      <x:c r="I1086" s="1" t="n">
        <x:v>-75.307091</x:v>
      </x:c>
      <x:c r="J1086" s="1" t="str">
        <x:v>USDA SNAP retailer list</x:v>
      </x:c>
      <x:c r="K1086" s="1" t="str">
        <x:v>2026-10-09</x:v>
      </x:c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  <x:c r="AA1086" s="1"/>
      <x:c r="AB1086" s="1"/>
      <x:c r="AC1086" s="1"/>
      <x:c r="AD1086" s="1"/>
      <x:c r="AE1086" s="1"/>
      <x:c r="AF1086" s="1"/>
      <x:c r="AG1086" s="1"/>
      <x:c r="AH1086" s="1"/>
      <x:c r="AI1086" s="1"/>
      <x:c r="AJ1086" s="1"/>
      <x:c r="AK1086" s="1"/>
      <x:c r="AL1086" s="1"/>
      <x:c r="AM1086" s="1"/>
      <x:c r="AN1086" s="1"/>
    </x:row>
    <x:row r="1087" ht="22" customHeight="1">
      <x:c r="A1087" s="1" t="str">
        <x:v>450520</x:v>
      </x:c>
      <x:c r="B1087" s="1" t="str">
        <x:v>PriceRite of Secane 401</x:v>
      </x:c>
      <x:c r="C1087" s="1" t="str">
        <x:v>Super Store</x:v>
      </x:c>
      <x:c r="D1087" s="1" t="str">
        <x:v>923 Providence Rd</x:v>
      </x:c>
      <x:c r="E1087" s="1" t="str">
        <x:v>Secane</x:v>
      </x:c>
      <x:c r="F1087" s="1" t="str">
        <x:v>PA</x:v>
      </x:c>
      <x:c r="G1087" s="1" t="str">
        <x:v>19018</x:v>
      </x:c>
      <x:c r="H1087" s="1" t="n">
        <x:v>39.917797</x:v>
      </x:c>
      <x:c r="I1087" s="1" t="n">
        <x:v>-75.301773</x:v>
      </x:c>
      <x:c r="J1087" s="1" t="str">
        <x:v>USDA SNAP retailer list</x:v>
      </x:c>
      <x:c r="K1087" s="1" t="str">
        <x:v>2026-10-09</x:v>
      </x:c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  <x:c r="AA1087" s="1"/>
      <x:c r="AB1087" s="1"/>
      <x:c r="AC1087" s="1"/>
      <x:c r="AD1087" s="1"/>
      <x:c r="AE1087" s="1"/>
      <x:c r="AF1087" s="1"/>
      <x:c r="AG1087" s="1"/>
      <x:c r="AH1087" s="1"/>
      <x:c r="AI1087" s="1"/>
      <x:c r="AJ1087" s="1"/>
      <x:c r="AK1087" s="1"/>
      <x:c r="AL1087" s="1"/>
      <x:c r="AM1087" s="1"/>
      <x:c r="AN1087" s="1"/>
    </x:row>
    <x:row r="1088" ht="22" customHeight="1">
      <x:c r="A1088" s="1" t="str">
        <x:v>631322</x:v>
      </x:c>
      <x:c r="B1088" s="1" t="str">
        <x:v>Walmart 1869</x:v>
      </x:c>
      <x:c r="C1088" s="1" t="str">
        <x:v>Super Store</x:v>
      </x:c>
      <x:c r="D1088" s="1" t="str">
        <x:v>150 E Route 70</x:v>
      </x:c>
      <x:c r="E1088" s="1" t="str">
        <x:v>Marlton</x:v>
      </x:c>
      <x:c r="F1088" s="1" t="str">
        <x:v>NJ</x:v>
      </x:c>
      <x:c r="G1088" s="1" t="str">
        <x:v>08053</x:v>
      </x:c>
      <x:c r="H1088" s="1" t="n">
        <x:v>39.896221</x:v>
      </x:c>
      <x:c r="I1088" s="1" t="n">
        <x:v>-74.915443</x:v>
      </x:c>
      <x:c r="J1088" s="1" t="str">
        <x:v>USDA SNAP retailer list</x:v>
      </x:c>
      <x:c r="K1088" s="1" t="str">
        <x:v>2026-10-09</x:v>
      </x:c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  <x:c r="AA1088" s="1"/>
      <x:c r="AB1088" s="1"/>
      <x:c r="AC1088" s="1"/>
      <x:c r="AD1088" s="1"/>
      <x:c r="AE1088" s="1"/>
      <x:c r="AF1088" s="1"/>
      <x:c r="AG1088" s="1"/>
      <x:c r="AH1088" s="1"/>
      <x:c r="AI1088" s="1"/>
      <x:c r="AJ1088" s="1"/>
      <x:c r="AK1088" s="1"/>
      <x:c r="AL1088" s="1"/>
      <x:c r="AM1088" s="1"/>
      <x:c r="AN1088" s="1"/>
    </x:row>
    <x:row r="1089" ht="22" customHeight="1">
      <x:c r="A1089" s="1" t="str">
        <x:v>434063</x:v>
      </x:c>
      <x:c r="B1089" s="1" t="str">
        <x:v>HONG KONG SUPERMARKET OF PA INC</x:v>
      </x:c>
      <x:c r="C1089" s="1" t="str">
        <x:v>Super Store</x:v>
      </x:c>
      <x:c r="D1089" s="1" t="str">
        <x:v>571 ADAMS AVE</x:v>
      </x:c>
      <x:c r="E1089" s="1" t="str">
        <x:v>Philadelphia</x:v>
      </x:c>
      <x:c r="F1089" s="1" t="str">
        <x:v>PA</x:v>
      </x:c>
      <x:c r="G1089" s="1" t="str">
        <x:v>19120</x:v>
      </x:c>
      <x:c r="H1089" s="1" t="n">
        <x:v>40.036003</x:v>
      </x:c>
      <x:c r="I1089" s="1" t="n">
        <x:v>-75.108582</x:v>
      </x:c>
      <x:c r="J1089" s="1" t="str">
        <x:v>USDA SNAP retailer list</x:v>
      </x:c>
      <x:c r="K1089" s="1" t="str">
        <x:v>2026-10-09</x:v>
      </x:c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  <x:c r="AA1089" s="1"/>
      <x:c r="AB1089" s="1"/>
      <x:c r="AC1089" s="1"/>
      <x:c r="AD1089" s="1"/>
      <x:c r="AE1089" s="1"/>
      <x:c r="AF1089" s="1"/>
      <x:c r="AG1089" s="1"/>
      <x:c r="AH1089" s="1"/>
      <x:c r="AI1089" s="1"/>
      <x:c r="AJ1089" s="1"/>
      <x:c r="AK1089" s="1"/>
      <x:c r="AL1089" s="1"/>
      <x:c r="AM1089" s="1"/>
      <x:c r="AN1089" s="1"/>
    </x:row>
    <x:row r="1090" ht="22" customHeight="1">
      <x:c r="A1090" s="1" t="str">
        <x:v>483058</x:v>
      </x:c>
      <x:c r="B1090" s="1" t="str">
        <x:v>F S FOODS SOUTH INC</x:v>
      </x:c>
      <x:c r="C1090" s="1" t="str">
        <x:v>Supermarket</x:v>
      </x:c>
      <x:c r="D1090" s="1" t="str">
        <x:v>2221 South St</x:v>
      </x:c>
      <x:c r="E1090" s="1" t="str">
        <x:v>Philadelphia</x:v>
      </x:c>
      <x:c r="F1090" s="1" t="str">
        <x:v>PA</x:v>
      </x:c>
      <x:c r="G1090" s="1" t="str">
        <x:v>19146</x:v>
      </x:c>
      <x:c r="H1090" s="1" t="n">
        <x:v>39.945671</x:v>
      </x:c>
      <x:c r="I1090" s="1" t="n">
        <x:v>-75.17942</x:v>
      </x:c>
      <x:c r="J1090" s="1" t="str">
        <x:v>USDA SNAP retailer list</x:v>
      </x:c>
      <x:c r="K1090" s="1" t="str">
        <x:v>2026-10-09</x:v>
      </x:c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  <x:c r="AA1090" s="1"/>
      <x:c r="AB1090" s="1"/>
      <x:c r="AC1090" s="1"/>
      <x:c r="AD1090" s="1"/>
      <x:c r="AE1090" s="1"/>
      <x:c r="AF1090" s="1"/>
      <x:c r="AG1090" s="1"/>
      <x:c r="AH1090" s="1"/>
      <x:c r="AI1090" s="1"/>
      <x:c r="AJ1090" s="1"/>
      <x:c r="AK1090" s="1"/>
      <x:c r="AL1090" s="1"/>
      <x:c r="AM1090" s="1"/>
      <x:c r="AN1090" s="1"/>
    </x:row>
    <x:row r="1091" ht="22" customHeight="1">
      <x:c r="A1091" s="1" t="str">
        <x:v>720000</x:v>
      </x:c>
      <x:c r="B1091" s="1" t="str">
        <x:v>ACME 3798</x:v>
      </x:c>
      <x:c r="C1091" s="1" t="str">
        <x:v>Supermarket</x:v>
      </x:c>
      <x:c r="D1091" s="1" t="str">
        <x:v>1991 Sproul Rd</x:v>
      </x:c>
      <x:c r="E1091" s="1" t="str">
        <x:v>Broomall</x:v>
      </x:c>
      <x:c r="F1091" s="1" t="str">
        <x:v>PA</x:v>
      </x:c>
      <x:c r="G1091" s="1" t="str">
        <x:v>19008</x:v>
      </x:c>
      <x:c r="H1091" s="1" t="n">
        <x:v>39.961098</x:v>
      </x:c>
      <x:c r="I1091" s="1" t="n">
        <x:v>-75.354416</x:v>
      </x:c>
      <x:c r="J1091" s="1" t="str">
        <x:v>USDA SNAP retailer list</x:v>
      </x:c>
      <x:c r="K1091" s="1" t="str">
        <x:v>2026-10-09</x:v>
      </x:c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  <x:c r="AA1091" s="1"/>
      <x:c r="AB1091" s="1"/>
      <x:c r="AC1091" s="1"/>
      <x:c r="AD1091" s="1"/>
      <x:c r="AE1091" s="1"/>
      <x:c r="AF1091" s="1"/>
      <x:c r="AG1091" s="1"/>
      <x:c r="AH1091" s="1"/>
      <x:c r="AI1091" s="1"/>
      <x:c r="AJ1091" s="1"/>
      <x:c r="AK1091" s="1"/>
      <x:c r="AL1091" s="1"/>
      <x:c r="AM1091" s="1"/>
      <x:c r="AN1091" s="1"/>
    </x:row>
    <x:row r="1092" ht="22" customHeight="1">
      <x:c r="A1092" s="1" t="str">
        <x:v>512561</x:v>
      </x:c>
      <x:c r="B1092" s="1" t="str">
        <x:v>Shoprite of Brooklawn 471</x:v>
      </x:c>
      <x:c r="C1092" s="1" t="str">
        <x:v>Super Store</x:v>
      </x:c>
      <x:c r="D1092" s="1" t="str">
        <x:v>130 Browning Ln</x:v>
      </x:c>
      <x:c r="E1092" s="1" t="str">
        <x:v>Brooklawn</x:v>
      </x:c>
      <x:c r="F1092" s="1" t="str">
        <x:v>NJ</x:v>
      </x:c>
      <x:c r="G1092" s="1" t="str">
        <x:v>08030</x:v>
      </x:c>
      <x:c r="H1092" s="1" t="n">
        <x:v>39.879856</x:v>
      </x:c>
      <x:c r="I1092" s="1" t="n">
        <x:v>-75.120193</x:v>
      </x:c>
      <x:c r="J1092" s="1" t="str">
        <x:v>USDA SNAP retailer list</x:v>
      </x:c>
      <x:c r="K1092" s="1" t="str">
        <x:v>2026-10-09</x:v>
      </x:c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  <x:c r="AA1092" s="1"/>
      <x:c r="AB1092" s="1"/>
      <x:c r="AC1092" s="1"/>
      <x:c r="AD1092" s="1"/>
      <x:c r="AE1092" s="1"/>
      <x:c r="AF1092" s="1"/>
      <x:c r="AG1092" s="1"/>
      <x:c r="AH1092" s="1"/>
      <x:c r="AI1092" s="1"/>
      <x:c r="AJ1092" s="1"/>
      <x:c r="AK1092" s="1"/>
      <x:c r="AL1092" s="1"/>
      <x:c r="AM1092" s="1"/>
      <x:c r="AN1092" s="1"/>
    </x:row>
    <x:row r="1093" ht="22" customHeight="1">
      <x:c r="A1093" s="1" t="str">
        <x:v>426717</x:v>
      </x:c>
      <x:c r="B1093" s="1" t="str">
        <x:v>ACME 4715</x:v>
      </x:c>
      <x:c r="C1093" s="1" t="str">
        <x:v>Supermarket</x:v>
      </x:c>
      <x:c r="D1093" s="1" t="str">
        <x:v>1901 Johnston St</x:v>
      </x:c>
      <x:c r="E1093" s="1" t="str">
        <x:v>Philadelphia</x:v>
      </x:c>
      <x:c r="F1093" s="1" t="str">
        <x:v>PA</x:v>
      </x:c>
      <x:c r="G1093" s="1" t="str">
        <x:v>19145</x:v>
      </x:c>
      <x:c r="H1093" s="1" t="n">
        <x:v>39.916962</x:v>
      </x:c>
      <x:c r="I1093" s="1" t="n">
        <x:v>-75.180328</x:v>
      </x:c>
      <x:c r="J1093" s="1" t="str">
        <x:v>USDA SNAP retailer list</x:v>
      </x:c>
      <x:c r="K1093" s="1" t="str">
        <x:v>2026-10-09</x:v>
      </x:c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  <x:c r="AA1093" s="1"/>
      <x:c r="AB1093" s="1"/>
      <x:c r="AC1093" s="1"/>
      <x:c r="AD1093" s="1"/>
      <x:c r="AE1093" s="1"/>
      <x:c r="AF1093" s="1"/>
      <x:c r="AG1093" s="1"/>
      <x:c r="AH1093" s="1"/>
      <x:c r="AI1093" s="1"/>
      <x:c r="AJ1093" s="1"/>
      <x:c r="AK1093" s="1"/>
      <x:c r="AL1093" s="1"/>
      <x:c r="AM1093" s="1"/>
      <x:c r="AN1093" s="1"/>
    </x:row>
    <x:row r="1094" ht="22" customHeight="1">
      <x:c r="A1094" s="1" t="str">
        <x:v>687579</x:v>
      </x:c>
      <x:c r="B1094" s="1" t="str">
        <x:v>ACME 2789</x:v>
      </x:c>
      <x:c r="C1094" s="1" t="str">
        <x:v>Supermarket</x:v>
      </x:c>
      <x:c r="D1094" s="1" t="str">
        <x:v>815 Lansdowne Ave</x:v>
      </x:c>
      <x:c r="E1094" s="1" t="str">
        <x:v>Upper Darby</x:v>
      </x:c>
      <x:c r="F1094" s="1" t="str">
        <x:v>PA</x:v>
      </x:c>
      <x:c r="G1094" s="1" t="str">
        <x:v>19082</x:v>
      </x:c>
      <x:c r="H1094" s="1" t="n">
        <x:v>39.960735</x:v>
      </x:c>
      <x:c r="I1094" s="1" t="n">
        <x:v>-75.287018</x:v>
      </x:c>
      <x:c r="J1094" s="1" t="str">
        <x:v>USDA SNAP retailer list</x:v>
      </x:c>
      <x:c r="K1094" s="1" t="str">
        <x:v>2026-10-09</x:v>
      </x:c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  <x:c r="AA1094" s="1"/>
      <x:c r="AB1094" s="1"/>
      <x:c r="AC1094" s="1"/>
      <x:c r="AD1094" s="1"/>
      <x:c r="AE1094" s="1"/>
      <x:c r="AF1094" s="1"/>
      <x:c r="AG1094" s="1"/>
      <x:c r="AH1094" s="1"/>
      <x:c r="AI1094" s="1"/>
      <x:c r="AJ1094" s="1"/>
      <x:c r="AK1094" s="1"/>
      <x:c r="AL1094" s="1"/>
      <x:c r="AM1094" s="1"/>
      <x:c r="AN1094" s="1"/>
    </x:row>
    <x:row r="1095" ht="22" customHeight="1">
      <x:c r="A1095" s="1" t="str">
        <x:v>493829</x:v>
      </x:c>
      <x:c r="B1095" s="1" t="str">
        <x:v>ALDI 42R</x:v>
      </x:c>
      <x:c r="C1095" s="1" t="str">
        <x:v>Supermarket</x:v>
      </x:c>
      <x:c r="D1095" s="1" t="str">
        <x:v>930 Dekalb Pike</x:v>
      </x:c>
      <x:c r="E1095" s="1" t="str">
        <x:v>Blue Bell</x:v>
      </x:c>
      <x:c r="F1095" s="1" t="str">
        <x:v>PA</x:v>
      </x:c>
      <x:c r="G1095" s="1" t="str">
        <x:v>19422</x:v>
      </x:c>
      <x:c r="H1095" s="1" t="n">
        <x:v>40.16621</x:v>
      </x:c>
      <x:c r="I1095" s="1" t="n">
        <x:v>-75.290932</x:v>
      </x:c>
      <x:c r="J1095" s="1" t="str">
        <x:v>USDA SNAP retailer list</x:v>
      </x:c>
      <x:c r="K1095" s="1" t="str">
        <x:v>2026-10-09</x:v>
      </x:c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  <x:c r="AA1095" s="1"/>
      <x:c r="AB1095" s="1"/>
      <x:c r="AC1095" s="1"/>
      <x:c r="AD1095" s="1"/>
      <x:c r="AE1095" s="1"/>
      <x:c r="AF1095" s="1"/>
      <x:c r="AG1095" s="1"/>
      <x:c r="AH1095" s="1"/>
      <x:c r="AI1095" s="1"/>
      <x:c r="AJ1095" s="1"/>
      <x:c r="AK1095" s="1"/>
      <x:c r="AL1095" s="1"/>
      <x:c r="AM1095" s="1"/>
      <x:c r="AN1095" s="1"/>
    </x:row>
    <x:row r="1096" ht="22" customHeight="1">
      <x:c r="A1096" s="1" t="str">
        <x:v>837205</x:v>
      </x:c>
      <x:c r="B1096" s="1" t="str">
        <x:v>SAVE-A-LOT 60146</x:v>
      </x:c>
      <x:c r="C1096" s="1" t="str">
        <x:v>Supermarket</x:v>
      </x:c>
      <x:c r="D1096" s="1" t="str">
        <x:v>2801 W Dauphin St</x:v>
      </x:c>
      <x:c r="E1096" s="1" t="str">
        <x:v>Philadelphia</x:v>
      </x:c>
      <x:c r="F1096" s="1" t="str">
        <x:v>PA</x:v>
      </x:c>
      <x:c r="G1096" s="1" t="str">
        <x:v>19132</x:v>
      </x:c>
      <x:c r="H1096" s="1" t="n">
        <x:v>39.990776</x:v>
      </x:c>
      <x:c r="I1096" s="1" t="n">
        <x:v>-75.177872</x:v>
      </x:c>
      <x:c r="J1096" s="1" t="str">
        <x:v>USDA SNAP retailer list</x:v>
      </x:c>
      <x:c r="K1096" s="1" t="str">
        <x:v>2026-10-09</x:v>
      </x:c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  <x:c r="AA1096" s="1"/>
      <x:c r="AB1096" s="1"/>
      <x:c r="AC1096" s="1"/>
      <x:c r="AD1096" s="1"/>
      <x:c r="AE1096" s="1"/>
      <x:c r="AF1096" s="1"/>
      <x:c r="AG1096" s="1"/>
      <x:c r="AH1096" s="1"/>
      <x:c r="AI1096" s="1"/>
      <x:c r="AJ1096" s="1"/>
      <x:c r="AK1096" s="1"/>
      <x:c r="AL1096" s="1"/>
      <x:c r="AM1096" s="1"/>
      <x:c r="AN1096" s="1"/>
    </x:row>
    <x:row r="1097" ht="22" customHeight="1">
      <x:c r="A1097" s="1" t="str">
        <x:v>465336</x:v>
      </x:c>
      <x:c r="B1097" s="1" t="str">
        <x:v>ALDI 60018 60018</x:v>
      </x:c>
      <x:c r="C1097" s="1" t="str">
        <x:v>Supermarket</x:v>
      </x:c>
      <x:c r="D1097" s="1" t="str">
        <x:v>3320 Grant Ave</x:v>
      </x:c>
      <x:c r="E1097" s="1" t="str">
        <x:v>Philadelphia</x:v>
      </x:c>
      <x:c r="F1097" s="1" t="str">
        <x:v>PA</x:v>
      </x:c>
      <x:c r="G1097" s="1" t="str">
        <x:v>19114</x:v>
      </x:c>
      <x:c r="H1097" s="1" t="n">
        <x:v>40.068794</x:v>
      </x:c>
      <x:c r="I1097" s="1" t="n">
        <x:v>-75.006721</x:v>
      </x:c>
      <x:c r="J1097" s="1" t="str">
        <x:v>USDA SNAP retailer list</x:v>
      </x:c>
      <x:c r="K1097" s="1" t="str">
        <x:v>2026-10-09</x:v>
      </x:c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  <x:c r="AA1097" s="1"/>
      <x:c r="AB1097" s="1"/>
      <x:c r="AC1097" s="1"/>
      <x:c r="AD1097" s="1"/>
      <x:c r="AE1097" s="1"/>
      <x:c r="AF1097" s="1"/>
      <x:c r="AG1097" s="1"/>
      <x:c r="AH1097" s="1"/>
      <x:c r="AI1097" s="1"/>
      <x:c r="AJ1097" s="1"/>
      <x:c r="AK1097" s="1"/>
      <x:c r="AL1097" s="1"/>
      <x:c r="AM1097" s="1"/>
      <x:c r="AN1097" s="1"/>
    </x:row>
    <x:row r="1098" ht="22" customHeight="1">
      <x:c r="A1098" s="1" t="str">
        <x:v>603807</x:v>
      </x:c>
      <x:c r="B1098" s="1" t="str">
        <x:v>ACME 992</x:v>
      </x:c>
      <x:c r="C1098" s="1" t="str">
        <x:v>Supermarket</x:v>
      </x:c>
      <x:c r="D1098" s="1" t="str">
        <x:v>700 Haddonfield  Berlin</x:v>
      </x:c>
      <x:c r="E1098" s="1" t="str">
        <x:v>Voorhees</x:v>
      </x:c>
      <x:c r="F1098" s="1" t="str">
        <x:v>NJ</x:v>
      </x:c>
      <x:c r="G1098" s="1" t="str">
        <x:v>08043</x:v>
      </x:c>
      <x:c r="H1098" s="1" t="n">
        <x:v>39.853367</x:v>
      </x:c>
      <x:c r="I1098" s="1" t="n">
        <x:v>-74.98204</x:v>
      </x:c>
      <x:c r="J1098" s="1" t="str">
        <x:v>USDA SNAP retailer list</x:v>
      </x:c>
      <x:c r="K1098" s="1" t="str">
        <x:v>2026-10-09</x:v>
      </x:c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  <x:c r="AA1098" s="1"/>
      <x:c r="AB1098" s="1"/>
      <x:c r="AC1098" s="1"/>
      <x:c r="AD1098" s="1"/>
      <x:c r="AE1098" s="1"/>
      <x:c r="AF1098" s="1"/>
      <x:c r="AG1098" s="1"/>
      <x:c r="AH1098" s="1"/>
      <x:c r="AI1098" s="1"/>
      <x:c r="AJ1098" s="1"/>
      <x:c r="AK1098" s="1"/>
      <x:c r="AL1098" s="1"/>
      <x:c r="AM1098" s="1"/>
      <x:c r="AN1098" s="1"/>
    </x:row>
    <x:row r="1099" ht="22" customHeight="1">
      <x:c r="A1099" s="1" t="str">
        <x:v>838487</x:v>
      </x:c>
      <x:c r="B1099" s="1" t="str">
        <x:v>Cramer Hill Supermarket</x:v>
      </x:c>
      <x:c r="C1099" s="1" t="str">
        <x:v>Supermarket</x:v>
      </x:c>
      <x:c r="D1099" s="1" t="str">
        <x:v>3201 River Rd</x:v>
      </x:c>
      <x:c r="E1099" s="1" t="str">
        <x:v>Camden</x:v>
      </x:c>
      <x:c r="F1099" s="1" t="str">
        <x:v>NJ</x:v>
      </x:c>
      <x:c r="G1099" s="1" t="str">
        <x:v>08105</x:v>
      </x:c>
      <x:c r="H1099" s="1" t="n">
        <x:v>39.960224</x:v>
      </x:c>
      <x:c r="I1099" s="1" t="n">
        <x:v>-75.086349</x:v>
      </x:c>
      <x:c r="J1099" s="1" t="str">
        <x:v>USDA SNAP retailer list</x:v>
      </x:c>
      <x:c r="K1099" s="1" t="str">
        <x:v>2026-10-09</x:v>
      </x:c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  <x:c r="AA1099" s="1"/>
      <x:c r="AB1099" s="1"/>
      <x:c r="AC1099" s="1"/>
      <x:c r="AD1099" s="1"/>
      <x:c r="AE1099" s="1"/>
      <x:c r="AF1099" s="1"/>
      <x:c r="AG1099" s="1"/>
      <x:c r="AH1099" s="1"/>
      <x:c r="AI1099" s="1"/>
      <x:c r="AJ1099" s="1"/>
      <x:c r="AK1099" s="1"/>
      <x:c r="AL1099" s="1"/>
      <x:c r="AM1099" s="1"/>
      <x:c r="AN1099" s="1"/>
    </x:row>
    <x:row r="1100" ht="22" customHeight="1">
      <x:c r="A1100" s="1" t="str">
        <x:v>603482</x:v>
      </x:c>
      <x:c r="B1100" s="1" t="str">
        <x:v>COLONIAL VILLAGE MEAT MARKET</x:v>
      </x:c>
      <x:c r="C1100" s="1" t="str">
        <x:v>Supermarket</x:v>
      </x:c>
      <x:c r="D1100" s="1" t="str">
        <x:v>253 MacDade Blvd</x:v>
      </x:c>
      <x:c r="E1100" s="1" t="str">
        <x:v>Folsom</x:v>
      </x:c>
      <x:c r="F1100" s="1" t="str">
        <x:v>PA</x:v>
      </x:c>
      <x:c r="G1100" s="1" t="str">
        <x:v>19033</x:v>
      </x:c>
      <x:c r="H1100" s="1" t="n">
        <x:v>39.888012</x:v>
      </x:c>
      <x:c r="I1100" s="1" t="n">
        <x:v>-75.328529</x:v>
      </x:c>
      <x:c r="J1100" s="1" t="str">
        <x:v>USDA SNAP retailer list</x:v>
      </x:c>
      <x:c r="K1100" s="1" t="str">
        <x:v>2026-10-09</x:v>
      </x:c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  <x:c r="AA1100" s="1"/>
      <x:c r="AB1100" s="1"/>
      <x:c r="AC1100" s="1"/>
      <x:c r="AD1100" s="1"/>
      <x:c r="AE1100" s="1"/>
      <x:c r="AF1100" s="1"/>
      <x:c r="AG1100" s="1"/>
      <x:c r="AH1100" s="1"/>
      <x:c r="AI1100" s="1"/>
      <x:c r="AJ1100" s="1"/>
      <x:c r="AK1100" s="1"/>
      <x:c r="AL1100" s="1"/>
      <x:c r="AM1100" s="1"/>
      <x:c r="AN1100" s="1"/>
    </x:row>
    <x:row r="1101" ht="22" customHeight="1">
      <x:c r="A1101" s="1" t="str">
        <x:v>471848</x:v>
      </x:c>
      <x:c r="B1101" s="1" t="str">
        <x:v>Shop Rite of Roxborough 519</x:v>
      </x:c>
      <x:c r="C1101" s="1" t="str">
        <x:v>Super Store</x:v>
      </x:c>
      <x:c r="D1101" s="1" t="str">
        <x:v>6901 Ridge Ave</x:v>
      </x:c>
      <x:c r="E1101" s="1" t="str">
        <x:v>Philadelphia</x:v>
      </x:c>
      <x:c r="F1101" s="1" t="str">
        <x:v>PA</x:v>
      </x:c>
      <x:c r="G1101" s="1" t="str">
        <x:v>19128</x:v>
      </x:c>
      <x:c r="H1101" s="1" t="n">
        <x:v>40.043316</x:v>
      </x:c>
      <x:c r="I1101" s="1" t="n">
        <x:v>-75.227577</x:v>
      </x:c>
      <x:c r="J1101" s="1" t="str">
        <x:v>USDA SNAP retailer list</x:v>
      </x:c>
      <x:c r="K1101" s="1" t="str">
        <x:v>2026-10-09</x:v>
      </x:c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  <x:c r="AA1101" s="1"/>
      <x:c r="AB1101" s="1"/>
      <x:c r="AC1101" s="1"/>
      <x:c r="AD1101" s="1"/>
      <x:c r="AE1101" s="1"/>
      <x:c r="AF1101" s="1"/>
      <x:c r="AG1101" s="1"/>
      <x:c r="AH1101" s="1"/>
      <x:c r="AI1101" s="1"/>
      <x:c r="AJ1101" s="1"/>
      <x:c r="AK1101" s="1"/>
      <x:c r="AL1101" s="1"/>
      <x:c r="AM1101" s="1"/>
      <x:c r="AN1101" s="1"/>
    </x:row>
    <x:row r="1102" ht="22" customHeight="1">
      <x:c r="A1102" s="1" t="str">
        <x:v>472798</x:v>
      </x:c>
      <x:c r="B1102" s="1" t="str">
        <x:v>ALDI 49</x:v>
      </x:c>
      <x:c r="C1102" s="1" t="str">
        <x:v>Supermarket</x:v>
      </x:c>
      <x:c r="D1102" s="1" t="str">
        <x:v>5200 Whitaker Ave</x:v>
      </x:c>
      <x:c r="E1102" s="1" t="str">
        <x:v>Philadelphia</x:v>
      </x:c>
      <x:c r="F1102" s="1" t="str">
        <x:v>PA</x:v>
      </x:c>
      <x:c r="G1102" s="1" t="str">
        <x:v>19124</x:v>
      </x:c>
      <x:c r="H1102" s="1" t="n">
        <x:v>40.028271</x:v>
      </x:c>
      <x:c r="I1102" s="1" t="n">
        <x:v>-75.106186</x:v>
      </x:c>
      <x:c r="J1102" s="1" t="str">
        <x:v>USDA SNAP retailer list</x:v>
      </x:c>
      <x:c r="K1102" s="1" t="str">
        <x:v>2026-10-09</x:v>
      </x:c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  <x:c r="AA1102" s="1"/>
      <x:c r="AB1102" s="1"/>
      <x:c r="AC1102" s="1"/>
      <x:c r="AD1102" s="1"/>
      <x:c r="AE1102" s="1"/>
      <x:c r="AF1102" s="1"/>
      <x:c r="AG1102" s="1"/>
      <x:c r="AH1102" s="1"/>
      <x:c r="AI1102" s="1"/>
      <x:c r="AJ1102" s="1"/>
      <x:c r="AK1102" s="1"/>
      <x:c r="AL1102" s="1"/>
      <x:c r="AM1102" s="1"/>
      <x:c r="AN1102" s="1"/>
    </x:row>
    <x:row r="1103" ht="22" customHeight="1">
      <x:c r="A1103" s="1" t="str">
        <x:v>497673</x:v>
      </x:c>
      <x:c r="B1103" s="1" t="str">
        <x:v>ACME 3788</x:v>
      </x:c>
      <x:c r="C1103" s="1" t="str">
        <x:v>Supermarket</x:v>
      </x:c>
      <x:c r="D1103" s="1" t="str">
        <x:v>601 W Lancaster Ave</x:v>
      </x:c>
      <x:c r="E1103" s="1" t="str">
        <x:v>Bryn Mawr</x:v>
      </x:c>
      <x:c r="F1103" s="1" t="str">
        <x:v>PA</x:v>
      </x:c>
      <x:c r="G1103" s="1" t="str">
        <x:v>19010</x:v>
      </x:c>
      <x:c r="H1103" s="1" t="n">
        <x:v>40.018215</x:v>
      </x:c>
      <x:c r="I1103" s="1" t="n">
        <x:v>-75.311661</x:v>
      </x:c>
      <x:c r="J1103" s="1" t="str">
        <x:v>USDA SNAP retailer list</x:v>
      </x:c>
      <x:c r="K1103" s="1" t="str">
        <x:v>2026-10-09</x:v>
      </x:c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  <x:c r="AA1103" s="1"/>
      <x:c r="AB1103" s="1"/>
      <x:c r="AC1103" s="1"/>
      <x:c r="AD1103" s="1"/>
      <x:c r="AE1103" s="1"/>
      <x:c r="AF1103" s="1"/>
      <x:c r="AG1103" s="1"/>
      <x:c r="AH1103" s="1"/>
      <x:c r="AI1103" s="1"/>
      <x:c r="AJ1103" s="1"/>
      <x:c r="AK1103" s="1"/>
      <x:c r="AL1103" s="1"/>
      <x:c r="AM1103" s="1"/>
      <x:c r="AN1103" s="1"/>
    </x:row>
    <x:row r="1104" ht="22" customHeight="1">
      <x:c r="A1104" s="1" t="str">
        <x:v>497084</x:v>
      </x:c>
      <x:c r="B1104" s="1" t="str">
        <x:v>COUSINS SUPERMARKET INC. #2</x:v>
      </x:c>
      <x:c r="C1104" s="1" t="str">
        <x:v>Super Store</x:v>
      </x:c>
      <x:c r="D1104" s="1" t="str">
        <x:v>4037 N 5th St</x:v>
      </x:c>
      <x:c r="E1104" s="1" t="str">
        <x:v>Philadelphia</x:v>
      </x:c>
      <x:c r="F1104" s="1" t="str">
        <x:v>PA</x:v>
      </x:c>
      <x:c r="G1104" s="1" t="str">
        <x:v>19140</x:v>
      </x:c>
      <x:c r="H1104" s="1" t="n">
        <x:v>40.012779</x:v>
      </x:c>
      <x:c r="I1104" s="1" t="n">
        <x:v>-75.135597</x:v>
      </x:c>
      <x:c r="J1104" s="1" t="str">
        <x:v>USDA SNAP retailer list</x:v>
      </x:c>
      <x:c r="K1104" s="1" t="str">
        <x:v>2026-10-09</x:v>
      </x:c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  <x:c r="AA1104" s="1"/>
      <x:c r="AB1104" s="1"/>
      <x:c r="AC1104" s="1"/>
      <x:c r="AD1104" s="1"/>
      <x:c r="AE1104" s="1"/>
      <x:c r="AF1104" s="1"/>
      <x:c r="AG1104" s="1"/>
      <x:c r="AH1104" s="1"/>
      <x:c r="AI1104" s="1"/>
      <x:c r="AJ1104" s="1"/>
      <x:c r="AK1104" s="1"/>
      <x:c r="AL1104" s="1"/>
      <x:c r="AM1104" s="1"/>
      <x:c r="AN1104" s="1"/>
    </x:row>
    <x:row r="1105" ht="22" customHeight="1">
      <x:c r="A1105" s="1" t="str">
        <x:v>571493</x:v>
      </x:c>
      <x:c r="B1105" s="1" t="str">
        <x:v>MEAT STOP PLUS</x:v>
      </x:c>
      <x:c r="C1105" s="1" t="str">
        <x:v>Supermarket</x:v>
      </x:c>
      <x:c r="D1105" s="1" t="str">
        <x:v>320 BEVERLY RANCOCAS RD</x:v>
      </x:c>
      <x:c r="E1105" s="1" t="str">
        <x:v>WILLINGBORO</x:v>
      </x:c>
      <x:c r="F1105" s="1" t="str">
        <x:v>NJ</x:v>
      </x:c>
      <x:c r="G1105" s="1" t="str">
        <x:v>08046</x:v>
      </x:c>
      <x:c r="H1105" s="1" t="n">
        <x:v>40.027565</x:v>
      </x:c>
      <x:c r="I1105" s="1" t="n">
        <x:v>-74.907059</x:v>
      </x:c>
      <x:c r="J1105" s="1" t="str">
        <x:v>USDA SNAP retailer list</x:v>
      </x:c>
      <x:c r="K1105" s="1" t="str">
        <x:v>2026-10-09</x:v>
      </x:c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  <x:c r="AA1105" s="1"/>
      <x:c r="AB1105" s="1"/>
      <x:c r="AC1105" s="1"/>
      <x:c r="AD1105" s="1"/>
      <x:c r="AE1105" s="1"/>
      <x:c r="AF1105" s="1"/>
      <x:c r="AG1105" s="1"/>
      <x:c r="AH1105" s="1"/>
      <x:c r="AI1105" s="1"/>
      <x:c r="AJ1105" s="1"/>
      <x:c r="AK1105" s="1"/>
      <x:c r="AL1105" s="1"/>
      <x:c r="AM1105" s="1"/>
      <x:c r="AN1105" s="1"/>
    </x:row>
    <x:row r="1106" ht="22" customHeight="1">
      <x:c r="A1106" s="1" t="str">
        <x:v>607908</x:v>
      </x:c>
      <x:c r="B1106" s="1" t="str">
        <x:v>ALDI 58</x:v>
      </x:c>
      <x:c r="C1106" s="1" t="str">
        <x:v>Supermarket</x:v>
      </x:c>
      <x:c r="D1106" s="1" t="str">
        <x:v>8200 Ogontz Ave</x:v>
      </x:c>
      <x:c r="E1106" s="1" t="str">
        <x:v>Wyncote</x:v>
      </x:c>
      <x:c r="F1106" s="1" t="str">
        <x:v>PA</x:v>
      </x:c>
      <x:c r="G1106" s="1" t="str">
        <x:v>19095</x:v>
      </x:c>
      <x:c r="H1106" s="1" t="n">
        <x:v>40.080406</x:v>
      </x:c>
      <x:c r="I1106" s="1" t="n">
        <x:v>-75.160385</x:v>
      </x:c>
      <x:c r="J1106" s="1" t="str">
        <x:v>USDA SNAP retailer list</x:v>
      </x:c>
      <x:c r="K1106" s="1" t="str">
        <x:v>2026-10-09</x:v>
      </x:c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  <x:c r="AA1106" s="1"/>
      <x:c r="AB1106" s="1"/>
      <x:c r="AC1106" s="1"/>
      <x:c r="AD1106" s="1"/>
      <x:c r="AE1106" s="1"/>
      <x:c r="AF1106" s="1"/>
      <x:c r="AG1106" s="1"/>
      <x:c r="AH1106" s="1"/>
      <x:c r="AI1106" s="1"/>
      <x:c r="AJ1106" s="1"/>
      <x:c r="AK1106" s="1"/>
      <x:c r="AL1106" s="1"/>
      <x:c r="AM1106" s="1"/>
      <x:c r="AN1106" s="1"/>
    </x:row>
    <x:row r="1107" ht="22" customHeight="1">
      <x:c r="A1107" s="1" t="str">
        <x:v>841139</x:v>
      </x:c>
      <x:c r="B1107" s="1" t="str">
        <x:v>Nanak Subzi Mandi Of Cherry Hill</x:v>
      </x:c>
      <x:c r="C1107" s="1" t="str">
        <x:v>Supermarket</x:v>
      </x:c>
      <x:c r="D1107" s="1" t="str">
        <x:v>1400 Berlin Rd</x:v>
      </x:c>
      <x:c r="E1107" s="1" t="str">
        <x:v>Cherry Hill</x:v>
      </x:c>
      <x:c r="F1107" s="1" t="str">
        <x:v>NJ</x:v>
      </x:c>
      <x:c r="G1107" s="1" t="str">
        <x:v>08003</x:v>
      </x:c>
      <x:c r="H1107" s="1" t="n">
        <x:v>39.878777</x:v>
      </x:c>
      <x:c r="I1107" s="1" t="n">
        <x:v>-75.007332</x:v>
      </x:c>
      <x:c r="J1107" s="1" t="str">
        <x:v>USDA SNAP retailer list</x:v>
      </x:c>
      <x:c r="K1107" s="1" t="str">
        <x:v>2026-10-09</x:v>
      </x:c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  <x:c r="AA1107" s="1"/>
      <x:c r="AB1107" s="1"/>
      <x:c r="AC1107" s="1"/>
      <x:c r="AD1107" s="1"/>
      <x:c r="AE1107" s="1"/>
      <x:c r="AF1107" s="1"/>
      <x:c r="AG1107" s="1"/>
      <x:c r="AH1107" s="1"/>
      <x:c r="AI1107" s="1"/>
      <x:c r="AJ1107" s="1"/>
      <x:c r="AK1107" s="1"/>
      <x:c r="AL1107" s="1"/>
      <x:c r="AM1107" s="1"/>
      <x:c r="AN1107" s="1"/>
    </x:row>
    <x:row r="1108" ht="22" customHeight="1">
      <x:c r="A1108" s="1" t="str">
        <x:v>613930</x:v>
      </x:c>
      <x:c r="B1108" s="1" t="str">
        <x:v>Trader Joe's 637</x:v>
      </x:c>
      <x:c r="C1108" s="1" t="str">
        <x:v>Supermarket</x:v>
      </x:c>
      <x:c r="D1108" s="1" t="str">
        <x:v>12 E State St</x:v>
      </x:c>
      <x:c r="E1108" s="1" t="str">
        <x:v>Media</x:v>
      </x:c>
      <x:c r="F1108" s="1" t="str">
        <x:v>PA</x:v>
      </x:c>
      <x:c r="G1108" s="1" t="str">
        <x:v>19063</x:v>
      </x:c>
      <x:c r="H1108" s="1" t="n">
        <x:v>39.917793</x:v>
      </x:c>
      <x:c r="I1108" s="1" t="n">
        <x:v>-75.388786</x:v>
      </x:c>
      <x:c r="J1108" s="1" t="str">
        <x:v>USDA SNAP retailer list</x:v>
      </x:c>
      <x:c r="K1108" s="1" t="str">
        <x:v>2026-10-09</x:v>
      </x:c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  <x:c r="AA1108" s="1"/>
      <x:c r="AB1108" s="1"/>
      <x:c r="AC1108" s="1"/>
      <x:c r="AD1108" s="1"/>
      <x:c r="AE1108" s="1"/>
      <x:c r="AF1108" s="1"/>
      <x:c r="AG1108" s="1"/>
      <x:c r="AH1108" s="1"/>
      <x:c r="AI1108" s="1"/>
      <x:c r="AJ1108" s="1"/>
      <x:c r="AK1108" s="1"/>
      <x:c r="AL1108" s="1"/>
      <x:c r="AM1108" s="1"/>
      <x:c r="AN1108" s="1"/>
    </x:row>
    <x:row r="1109" ht="22" customHeight="1">
      <x:c r="A1109" s="1" t="str">
        <x:v>473586</x:v>
      </x:c>
      <x:c r="B1109" s="1" t="str">
        <x:v>SAVE-A-LOT FOOD STORE 60145</x:v>
      </x:c>
      <x:c r="C1109" s="1" t="str">
        <x:v>Supermarket</x:v>
      </x:c>
      <x:c r="D1109" s="1" t="str">
        <x:v>3949 Federal St</x:v>
      </x:c>
      <x:c r="E1109" s="1" t="str">
        <x:v>Pennsauken</x:v>
      </x:c>
      <x:c r="F1109" s="1" t="str">
        <x:v>NJ</x:v>
      </x:c>
      <x:c r="G1109" s="1" t="str">
        <x:v>08110</x:v>
      </x:c>
      <x:c r="H1109" s="1" t="n">
        <x:v>39.948425</x:v>
      </x:c>
      <x:c r="I1109" s="1" t="n">
        <x:v>-75.068069</x:v>
      </x:c>
      <x:c r="J1109" s="1" t="str">
        <x:v>USDA SNAP retailer list</x:v>
      </x:c>
      <x:c r="K1109" s="1" t="str">
        <x:v>2026-10-09</x:v>
      </x:c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  <x:c r="AA1109" s="1"/>
      <x:c r="AB1109" s="1"/>
      <x:c r="AC1109" s="1"/>
      <x:c r="AD1109" s="1"/>
      <x:c r="AE1109" s="1"/>
      <x:c r="AF1109" s="1"/>
      <x:c r="AG1109" s="1"/>
      <x:c r="AH1109" s="1"/>
      <x:c r="AI1109" s="1"/>
      <x:c r="AJ1109" s="1"/>
      <x:c r="AK1109" s="1"/>
      <x:c r="AL1109" s="1"/>
      <x:c r="AM1109" s="1"/>
      <x:c r="AN1109" s="1"/>
    </x:row>
    <x:row r="1110" ht="22" customHeight="1">
      <x:c r="A1110" s="1" t="str">
        <x:v>613705</x:v>
      </x:c>
      <x:c r="B1110" s="1" t="str">
        <x:v>ACME 3722</x:v>
      </x:c>
      <x:c r="C1110" s="1" t="str">
        <x:v>Supermarket</x:v>
      </x:c>
      <x:c r="D1110" s="1" t="str">
        <x:v>1825 Limekiln Pike</x:v>
      </x:c>
      <x:c r="E1110" s="1" t="str">
        <x:v>Dresher</x:v>
      </x:c>
      <x:c r="F1110" s="1" t="str">
        <x:v>PA</x:v>
      </x:c>
      <x:c r="G1110" s="1" t="str">
        <x:v>19025</x:v>
      </x:c>
      <x:c r="H1110" s="1" t="n">
        <x:v>40.130619</x:v>
      </x:c>
      <x:c r="I1110" s="1" t="n">
        <x:v>-75.166039</x:v>
      </x:c>
      <x:c r="J1110" s="1" t="str">
        <x:v>USDA SNAP retailer list</x:v>
      </x:c>
      <x:c r="K1110" s="1" t="str">
        <x:v>2026-10-09</x:v>
      </x:c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  <x:c r="AA1110" s="1"/>
      <x:c r="AB1110" s="1"/>
      <x:c r="AC1110" s="1"/>
      <x:c r="AD1110" s="1"/>
      <x:c r="AE1110" s="1"/>
      <x:c r="AF1110" s="1"/>
      <x:c r="AG1110" s="1"/>
      <x:c r="AH1110" s="1"/>
      <x:c r="AI1110" s="1"/>
      <x:c r="AJ1110" s="1"/>
      <x:c r="AK1110" s="1"/>
      <x:c r="AL1110" s="1"/>
      <x:c r="AM1110" s="1"/>
      <x:c r="AN1110" s="1"/>
    </x:row>
    <x:row r="1111" ht="22" customHeight="1">
      <x:c r="A1111" s="1" t="str">
        <x:v>528830</x:v>
      </x:c>
      <x:c r="B1111" s="1" t="str">
        <x:v>Walmart Supercenter 1807</x:v>
      </x:c>
      <x:c r="C1111" s="1" t="str">
        <x:v>Super Store</x:v>
      </x:c>
      <x:c r="D1111" s="1" t="str">
        <x:v>265 N Route 73</x:v>
      </x:c>
      <x:c r="E1111" s="1" t="str">
        <x:v>West Berlin</x:v>
      </x:c>
      <x:c r="F1111" s="1" t="str">
        <x:v>NJ</x:v>
      </x:c>
      <x:c r="G1111" s="1" t="str">
        <x:v>08091</x:v>
      </x:c>
      <x:c r="H1111" s="1" t="n">
        <x:v>39.808388</x:v>
      </x:c>
      <x:c r="I1111" s="1" t="n">
        <x:v>-74.930939</x:v>
      </x:c>
      <x:c r="J1111" s="1" t="str">
        <x:v>USDA SNAP retailer list</x:v>
      </x:c>
      <x:c r="K1111" s="1" t="str">
        <x:v>2026-10-09</x:v>
      </x:c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  <x:c r="AA1111" s="1"/>
      <x:c r="AB1111" s="1"/>
      <x:c r="AC1111" s="1"/>
      <x:c r="AD1111" s="1"/>
      <x:c r="AE1111" s="1"/>
      <x:c r="AF1111" s="1"/>
      <x:c r="AG1111" s="1"/>
      <x:c r="AH1111" s="1"/>
      <x:c r="AI1111" s="1"/>
      <x:c r="AJ1111" s="1"/>
      <x:c r="AK1111" s="1"/>
      <x:c r="AL1111" s="1"/>
      <x:c r="AM1111" s="1"/>
      <x:c r="AN1111" s="1"/>
    </x:row>
    <x:row r="1112" ht="22" customHeight="1">
      <x:c r="A1112" s="1" t="str">
        <x:v>536486</x:v>
      </x:c>
      <x:c r="B1112" s="1" t="str">
        <x:v>Net Cost Market 4</x:v>
      </x:c>
      <x:c r="C1112" s="1" t="str">
        <x:v>Super Store</x:v>
      </x:c>
      <x:c r="D1112" s="1" t="str">
        <x:v>11701 Bustleton Ave</x:v>
      </x:c>
      <x:c r="E1112" s="1" t="str">
        <x:v>Philadelphia</x:v>
      </x:c>
      <x:c r="F1112" s="1" t="str">
        <x:v>PA</x:v>
      </x:c>
      <x:c r="G1112" s="1" t="str">
        <x:v>19116</x:v>
      </x:c>
      <x:c r="H1112" s="1" t="n">
        <x:v>40.118992</x:v>
      </x:c>
      <x:c r="I1112" s="1" t="n">
        <x:v>-75.016762</x:v>
      </x:c>
      <x:c r="J1112" s="1" t="str">
        <x:v>USDA SNAP retailer list</x:v>
      </x:c>
      <x:c r="K1112" s="1" t="str">
        <x:v>2026-10-09</x:v>
      </x:c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  <x:c r="AA1112" s="1"/>
      <x:c r="AB1112" s="1"/>
      <x:c r="AC1112" s="1"/>
      <x:c r="AD1112" s="1"/>
      <x:c r="AE1112" s="1"/>
      <x:c r="AF1112" s="1"/>
      <x:c r="AG1112" s="1"/>
      <x:c r="AH1112" s="1"/>
      <x:c r="AI1112" s="1"/>
      <x:c r="AJ1112" s="1"/>
      <x:c r="AK1112" s="1"/>
      <x:c r="AL1112" s="1"/>
      <x:c r="AM1112" s="1"/>
      <x:c r="AN1112" s="1"/>
    </x:row>
    <x:row r="1113" ht="22" customHeight="1">
      <x:c r="A1113" s="1" t="str">
        <x:v>536570</x:v>
      </x:c>
      <x:c r="B1113" s="1" t="str">
        <x:v>ARKADY DVOR T/A A&amp;N HOUSE OF PROD</x:v>
      </x:c>
      <x:c r="C1113" s="1" t="str">
        <x:v>Supermarket</x:v>
      </x:c>
      <x:c r="D1113" s="1" t="str">
        <x:v>5929 Greene St</x:v>
      </x:c>
      <x:c r="E1113" s="1" t="str">
        <x:v>Philadelphia</x:v>
      </x:c>
      <x:c r="F1113" s="1" t="str">
        <x:v>PA</x:v>
      </x:c>
      <x:c r="G1113" s="1" t="str">
        <x:v>19144</x:v>
      </x:c>
      <x:c r="H1113" s="1" t="n">
        <x:v>40.036335</x:v>
      </x:c>
      <x:c r="I1113" s="1" t="n">
        <x:v>-75.180038</x:v>
      </x:c>
      <x:c r="J1113" s="1" t="str">
        <x:v>USDA SNAP retailer list</x:v>
      </x:c>
      <x:c r="K1113" s="1" t="str">
        <x:v>2026-10-09</x:v>
      </x:c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  <x:c r="AA1113" s="1"/>
      <x:c r="AB1113" s="1"/>
      <x:c r="AC1113" s="1"/>
      <x:c r="AD1113" s="1"/>
      <x:c r="AE1113" s="1"/>
      <x:c r="AF1113" s="1"/>
      <x:c r="AG1113" s="1"/>
      <x:c r="AH1113" s="1"/>
      <x:c r="AI1113" s="1"/>
      <x:c r="AJ1113" s="1"/>
      <x:c r="AK1113" s="1"/>
      <x:c r="AL1113" s="1"/>
      <x:c r="AM1113" s="1"/>
      <x:c r="AN1113" s="1"/>
    </x:row>
    <x:row r="1114" ht="22" customHeight="1">
      <x:c r="A1114" s="1" t="str">
        <x:v>537272</x:v>
      </x:c>
      <x:c r="B1114" s="1" t="str">
        <x:v>ACME 2704</x:v>
      </x:c>
      <x:c r="C1114" s="1" t="str">
        <x:v>Supermarket</x:v>
      </x:c>
      <x:c r="D1114" s="1" t="str">
        <x:v>6601 Roosevelt Blvd</x:v>
      </x:c>
      <x:c r="E1114" s="1" t="str">
        <x:v>Philadelphia</x:v>
      </x:c>
      <x:c r="F1114" s="1" t="str">
        <x:v>PA</x:v>
      </x:c>
      <x:c r="G1114" s="1" t="str">
        <x:v>19149</x:v>
      </x:c>
      <x:c r="H1114" s="1" t="n">
        <x:v>40.036304</x:v>
      </x:c>
      <x:c r="I1114" s="1" t="n">
        <x:v>-75.063683</x:v>
      </x:c>
      <x:c r="J1114" s="1" t="str">
        <x:v>USDA SNAP retailer list</x:v>
      </x:c>
      <x:c r="K1114" s="1" t="str">
        <x:v>2026-10-09</x:v>
      </x:c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  <x:c r="AA1114" s="1"/>
      <x:c r="AB1114" s="1"/>
      <x:c r="AC1114" s="1"/>
      <x:c r="AD1114" s="1"/>
      <x:c r="AE1114" s="1"/>
      <x:c r="AF1114" s="1"/>
      <x:c r="AG1114" s="1"/>
      <x:c r="AH1114" s="1"/>
      <x:c r="AI1114" s="1"/>
      <x:c r="AJ1114" s="1"/>
      <x:c r="AK1114" s="1"/>
      <x:c r="AL1114" s="1"/>
      <x:c r="AM1114" s="1"/>
      <x:c r="AN1114" s="1"/>
    </x:row>
    <x:row r="1115" ht="22" customHeight="1">
      <x:c r="A1115" s="1" t="str">
        <x:v>706467</x:v>
      </x:c>
      <x:c r="B1115" s="1" t="str">
        <x:v>Giant Food Store 6011</x:v>
      </x:c>
      <x:c r="C1115" s="1" t="str">
        <x:v>Supermarket</x:v>
      </x:c>
      <x:c r="D1115" s="1" t="str">
        <x:v>2450 Chemical Rd</x:v>
      </x:c>
      <x:c r="E1115" s="1" t="str">
        <x:v>Plymouth Meeting</x:v>
      </x:c>
      <x:c r="F1115" s="1" t="str">
        <x:v>PA</x:v>
      </x:c>
      <x:c r="G1115" s="1" t="str">
        <x:v>19462</x:v>
      </x:c>
      <x:c r="H1115" s="1" t="n">
        <x:v>40.101902</x:v>
      </x:c>
      <x:c r="I1115" s="1" t="n">
        <x:v>-75.292282</x:v>
      </x:c>
      <x:c r="J1115" s="1" t="str">
        <x:v>USDA SNAP retailer list</x:v>
      </x:c>
      <x:c r="K1115" s="1" t="str">
        <x:v>2026-10-09</x:v>
      </x:c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  <x:c r="AA1115" s="1"/>
      <x:c r="AB1115" s="1"/>
      <x:c r="AC1115" s="1"/>
      <x:c r="AD1115" s="1"/>
      <x:c r="AE1115" s="1"/>
      <x:c r="AF1115" s="1"/>
      <x:c r="AG1115" s="1"/>
      <x:c r="AH1115" s="1"/>
      <x:c r="AI1115" s="1"/>
      <x:c r="AJ1115" s="1"/>
      <x:c r="AK1115" s="1"/>
      <x:c r="AL1115" s="1"/>
      <x:c r="AM1115" s="1"/>
      <x:c r="AN1115" s="1"/>
    </x:row>
    <x:row r="1116" ht="22" customHeight="1">
      <x:c r="A1116" s="1" t="str">
        <x:v>702563</x:v>
      </x:c>
      <x:c r="B1116" s="1" t="str">
        <x:v>ACME 809</x:v>
      </x:c>
      <x:c r="C1116" s="1" t="str">
        <x:v>Supermarket</x:v>
      </x:c>
      <x:c r="D1116" s="1" t="str">
        <x:v>527 E Baltimore Pike</x:v>
      </x:c>
      <x:c r="E1116" s="1" t="str">
        <x:v>Media</x:v>
      </x:c>
      <x:c r="F1116" s="1" t="str">
        <x:v>PA</x:v>
      </x:c>
      <x:c r="G1116" s="1" t="str">
        <x:v>19063</x:v>
      </x:c>
      <x:c r="H1116" s="1" t="n">
        <x:v>39.915421</x:v>
      </x:c>
      <x:c r="I1116" s="1" t="n">
        <x:v>-75.379852</x:v>
      </x:c>
      <x:c r="J1116" s="1" t="str">
        <x:v>USDA SNAP retailer list</x:v>
      </x:c>
      <x:c r="K1116" s="1" t="str">
        <x:v>2026-10-09</x:v>
      </x:c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  <x:c r="AA1116" s="1"/>
      <x:c r="AB1116" s="1"/>
      <x:c r="AC1116" s="1"/>
      <x:c r="AD1116" s="1"/>
      <x:c r="AE1116" s="1"/>
      <x:c r="AF1116" s="1"/>
      <x:c r="AG1116" s="1"/>
      <x:c r="AH1116" s="1"/>
      <x:c r="AI1116" s="1"/>
      <x:c r="AJ1116" s="1"/>
      <x:c r="AK1116" s="1"/>
      <x:c r="AL1116" s="1"/>
      <x:c r="AM1116" s="1"/>
      <x:c r="AN1116" s="1"/>
    </x:row>
    <x:row r="1117" ht="22" customHeight="1">
      <x:c r="A1117" s="1" t="str">
        <x:v>580777</x:v>
      </x:c>
      <x:c r="B1117" s="1" t="str">
        <x:v>ALDI 75</x:v>
      </x:c>
      <x:c r="C1117" s="1" t="str">
        <x:v>Supermarket</x:v>
      </x:c>
      <x:c r="D1117" s="1" t="str">
        <x:v>203 S Broad St</x:v>
      </x:c>
      <x:c r="E1117" s="1" t="str">
        <x:v>Woodbury</x:v>
      </x:c>
      <x:c r="F1117" s="1" t="str">
        <x:v>NJ</x:v>
      </x:c>
      <x:c r="G1117" s="1" t="str">
        <x:v>08096</x:v>
      </x:c>
      <x:c r="H1117" s="1" t="n">
        <x:v>39.835239</x:v>
      </x:c>
      <x:c r="I1117" s="1" t="n">
        <x:v>-75.155426</x:v>
      </x:c>
      <x:c r="J1117" s="1" t="str">
        <x:v>USDA SNAP retailer list</x:v>
      </x:c>
      <x:c r="K1117" s="1" t="str">
        <x:v>2026-10-09</x:v>
      </x:c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  <x:c r="AA1117" s="1"/>
      <x:c r="AB1117" s="1"/>
      <x:c r="AC1117" s="1"/>
      <x:c r="AD1117" s="1"/>
      <x:c r="AE1117" s="1"/>
      <x:c r="AF1117" s="1"/>
      <x:c r="AG1117" s="1"/>
      <x:c r="AH1117" s="1"/>
      <x:c r="AI1117" s="1"/>
      <x:c r="AJ1117" s="1"/>
      <x:c r="AK1117" s="1"/>
      <x:c r="AL1117" s="1"/>
      <x:c r="AM1117" s="1"/>
      <x:c r="AN1117" s="1"/>
    </x:row>
    <x:row r="1118" ht="22" customHeight="1">
      <x:c r="A1118" s="1" t="str">
        <x:v>580877</x:v>
      </x:c>
      <x:c r="B1118" s="1" t="str">
        <x:v>ACME 1910</x:v>
      </x:c>
      <x:c r="C1118" s="1" t="str">
        <x:v>Supermarket</x:v>
      </x:c>
      <x:c r="D1118" s="1" t="str">
        <x:v>41 W Main St</x:v>
      </x:c>
      <x:c r="E1118" s="1" t="str">
        <x:v>Maple Shade</x:v>
      </x:c>
      <x:c r="F1118" s="1" t="str">
        <x:v>NJ</x:v>
      </x:c>
      <x:c r="G1118" s="1" t="str">
        <x:v>08052</x:v>
      </x:c>
      <x:c r="H1118" s="1" t="n">
        <x:v>39.955494</x:v>
      </x:c>
      <x:c r="I1118" s="1" t="n">
        <x:v>-75.003754</x:v>
      </x:c>
      <x:c r="J1118" s="1" t="str">
        <x:v>USDA SNAP retailer list</x:v>
      </x:c>
      <x:c r="K1118" s="1" t="str">
        <x:v>2026-10-09</x:v>
      </x:c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  <x:c r="AA1118" s="1"/>
      <x:c r="AB1118" s="1"/>
      <x:c r="AC1118" s="1"/>
      <x:c r="AD1118" s="1"/>
      <x:c r="AE1118" s="1"/>
      <x:c r="AF1118" s="1"/>
      <x:c r="AG1118" s="1"/>
      <x:c r="AH1118" s="1"/>
      <x:c r="AI1118" s="1"/>
      <x:c r="AJ1118" s="1"/>
      <x:c r="AK1118" s="1"/>
      <x:c r="AL1118" s="1"/>
      <x:c r="AM1118" s="1"/>
      <x:c r="AN1118" s="1"/>
    </x:row>
    <x:row r="1119" ht="22" customHeight="1">
      <x:c r="A1119" s="1" t="str">
        <x:v>623219</x:v>
      </x:c>
      <x:c r="B1119" s="1" t="str">
        <x:v>O'NEILL'S FOOD MARKET</x:v>
      </x:c>
      <x:c r="C1119" s="1" t="str">
        <x:v>Supermarket</x:v>
      </x:c>
      <x:c r="D1119" s="1" t="str">
        <x:v>347 N Easton Rd</x:v>
      </x:c>
      <x:c r="E1119" s="1" t="str">
        <x:v>Glenside</x:v>
      </x:c>
      <x:c r="F1119" s="1" t="str">
        <x:v>PA</x:v>
      </x:c>
      <x:c r="G1119" s="1" t="str">
        <x:v>19038</x:v>
      </x:c>
      <x:c r="H1119" s="1" t="n">
        <x:v>40.106815</x:v>
      </x:c>
      <x:c r="I1119" s="1" t="n">
        <x:v>-75.14743</x:v>
      </x:c>
      <x:c r="J1119" s="1" t="str">
        <x:v>USDA SNAP retailer list</x:v>
      </x:c>
      <x:c r="K1119" s="1" t="str">
        <x:v>2026-10-09</x:v>
      </x:c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  <x:c r="AA1119" s="1"/>
      <x:c r="AB1119" s="1"/>
      <x:c r="AC1119" s="1"/>
      <x:c r="AD1119" s="1"/>
      <x:c r="AE1119" s="1"/>
      <x:c r="AF1119" s="1"/>
      <x:c r="AG1119" s="1"/>
      <x:c r="AH1119" s="1"/>
      <x:c r="AI1119" s="1"/>
      <x:c r="AJ1119" s="1"/>
      <x:c r="AK1119" s="1"/>
      <x:c r="AL1119" s="1"/>
      <x:c r="AM1119" s="1"/>
      <x:c r="AN1119" s="1"/>
    </x:row>
    <x:row r="1120" ht="22" customHeight="1">
      <x:c r="A1120" s="1" t="str">
        <x:v>710867</x:v>
      </x:c>
      <x:c r="B1120" s="1" t="str">
        <x:v>MELROSE PARK HAR INC DBA HAN AH R</x:v>
      </x:c>
      <x:c r="C1120" s="1" t="str">
        <x:v>Super Store</x:v>
      </x:c>
      <x:c r="D1120" s="1" t="str">
        <x:v>7320 Old York Rd</x:v>
      </x:c>
      <x:c r="E1120" s="1" t="str">
        <x:v>Elkins Park</x:v>
      </x:c>
      <x:c r="F1120" s="1" t="str">
        <x:v>PA</x:v>
      </x:c>
      <x:c r="G1120" s="1" t="str">
        <x:v>19027</x:v>
      </x:c>
      <x:c r="H1120" s="1" t="n">
        <x:v>40.062687</x:v>
      </x:c>
      <x:c r="I1120" s="1" t="n">
        <x:v>-75.136253</x:v>
      </x:c>
      <x:c r="J1120" s="1" t="str">
        <x:v>USDA SNAP retailer list</x:v>
      </x:c>
      <x:c r="K1120" s="1" t="str">
        <x:v>2026-10-09</x:v>
      </x:c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  <x:c r="AA1120" s="1"/>
      <x:c r="AB1120" s="1"/>
      <x:c r="AC1120" s="1"/>
      <x:c r="AD1120" s="1"/>
      <x:c r="AE1120" s="1"/>
      <x:c r="AF1120" s="1"/>
      <x:c r="AG1120" s="1"/>
      <x:c r="AH1120" s="1"/>
      <x:c r="AI1120" s="1"/>
      <x:c r="AJ1120" s="1"/>
      <x:c r="AK1120" s="1"/>
      <x:c r="AL1120" s="1"/>
      <x:c r="AM1120" s="1"/>
      <x:c r="AN1120" s="1"/>
    </x:row>
    <x:row r="1121" ht="22" customHeight="1">
      <x:c r="A1121" s="1" t="str">
        <x:v>710967</x:v>
      </x:c>
      <x:c r="B1121" s="1" t="str">
        <x:v>Shoprite of Delran</x:v>
      </x:c>
      <x:c r="C1121" s="1" t="str">
        <x:v>Super Store</x:v>
      </x:c>
      <x:c r="D1121" s="1" t="str">
        <x:v>1310 Fairview Blvd</x:v>
      </x:c>
      <x:c r="E1121" s="1" t="str">
        <x:v>Delran</x:v>
      </x:c>
      <x:c r="F1121" s="1" t="str">
        <x:v>NJ</x:v>
      </x:c>
      <x:c r="G1121" s="1" t="str">
        <x:v>08075</x:v>
      </x:c>
      <x:c r="H1121" s="1" t="n">
        <x:v>40.019753</x:v>
      </x:c>
      <x:c r="I1121" s="1" t="n">
        <x:v>-74.945107</x:v>
      </x:c>
      <x:c r="J1121" s="1" t="str">
        <x:v>USDA SNAP retailer list</x:v>
      </x:c>
      <x:c r="K1121" s="1" t="str">
        <x:v>2026-10-09</x:v>
      </x:c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  <x:c r="AA1121" s="1"/>
      <x:c r="AB1121" s="1"/>
      <x:c r="AC1121" s="1"/>
      <x:c r="AD1121" s="1"/>
      <x:c r="AE1121" s="1"/>
      <x:c r="AF1121" s="1"/>
      <x:c r="AG1121" s="1"/>
      <x:c r="AH1121" s="1"/>
      <x:c r="AI1121" s="1"/>
      <x:c r="AJ1121" s="1"/>
      <x:c r="AK1121" s="1"/>
      <x:c r="AL1121" s="1"/>
      <x:c r="AM1121" s="1"/>
      <x:c r="AN1121" s="1"/>
    </x:row>
    <x:row r="1122" ht="22" customHeight="1">
      <x:c r="A1122" s="1" t="str">
        <x:v>662451</x:v>
      </x:c>
      <x:c r="B1122" s="1" t="str">
        <x:v>PETROVSKY MARKET</x:v>
      </x:c>
      <x:c r="C1122" s="1" t="str">
        <x:v>Supermarket</x:v>
      </x:c>
      <x:c r="D1122" s="1" t="str">
        <x:v>9808 Bustleton Ave</x:v>
      </x:c>
      <x:c r="E1122" s="1" t="str">
        <x:v>Philadelphia</x:v>
      </x:c>
      <x:c r="F1122" s="1" t="str">
        <x:v>PA</x:v>
      </x:c>
      <x:c r="G1122" s="1" t="str">
        <x:v>19115</x:v>
      </x:c>
      <x:c r="H1122" s="1" t="n">
        <x:v>40.093487</x:v>
      </x:c>
      <x:c r="I1122" s="1" t="n">
        <x:v>-75.032196</x:v>
      </x:c>
      <x:c r="J1122" s="1" t="str">
        <x:v>USDA SNAP retailer list</x:v>
      </x:c>
      <x:c r="K1122" s="1" t="str">
        <x:v>2026-10-09</x:v>
      </x:c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  <x:c r="AA1122" s="1"/>
      <x:c r="AB1122" s="1"/>
      <x:c r="AC1122" s="1"/>
      <x:c r="AD1122" s="1"/>
      <x:c r="AE1122" s="1"/>
      <x:c r="AF1122" s="1"/>
      <x:c r="AG1122" s="1"/>
      <x:c r="AH1122" s="1"/>
      <x:c r="AI1122" s="1"/>
      <x:c r="AJ1122" s="1"/>
      <x:c r="AK1122" s="1"/>
      <x:c r="AL1122" s="1"/>
      <x:c r="AM1122" s="1"/>
      <x:c r="AN1122" s="1"/>
    </x:row>
    <x:row r="1123" ht="22" customHeight="1">
      <x:c r="A1123" s="1" t="str">
        <x:v>764737</x:v>
      </x:c>
      <x:c r="B1123" s="1" t="str">
        <x:v>Target Store 1183</x:v>
      </x:c>
      <x:c r="C1123" s="1" t="str">
        <x:v>Super Store</x:v>
      </x:c>
      <x:c r="D1123" s="1" t="str">
        <x:v>800 Rock Hill Dr</x:v>
      </x:c>
      <x:c r="E1123" s="1" t="str">
        <x:v>Bensalem</x:v>
      </x:c>
      <x:c r="F1123" s="1" t="str">
        <x:v>PA</x:v>
      </x:c>
      <x:c r="G1123" s="1" t="str">
        <x:v>19020</x:v>
      </x:c>
      <x:c r="H1123" s="1" t="n">
        <x:v>40.137554</x:v>
      </x:c>
      <x:c r="I1123" s="1" t="n">
        <x:v>-74.958076</x:v>
      </x:c>
      <x:c r="J1123" s="1" t="str">
        <x:v>USDA SNAP retailer list</x:v>
      </x:c>
      <x:c r="K1123" s="1" t="str">
        <x:v>2026-10-09</x:v>
      </x:c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  <x:c r="AA1123" s="1"/>
      <x:c r="AB1123" s="1"/>
      <x:c r="AC1123" s="1"/>
      <x:c r="AD1123" s="1"/>
      <x:c r="AE1123" s="1"/>
      <x:c r="AF1123" s="1"/>
      <x:c r="AG1123" s="1"/>
      <x:c r="AH1123" s="1"/>
      <x:c r="AI1123" s="1"/>
      <x:c r="AJ1123" s="1"/>
      <x:c r="AK1123" s="1"/>
      <x:c r="AL1123" s="1"/>
      <x:c r="AM1123" s="1"/>
      <x:c r="AN1123" s="1"/>
    </x:row>
    <x:row r="1124" ht="22" customHeight="1">
      <x:c r="A1124" s="1" t="str">
        <x:v>764923</x:v>
      </x:c>
      <x:c r="B1124" s="1" t="str">
        <x:v>Target Store 1917</x:v>
      </x:c>
      <x:c r="C1124" s="1" t="str">
        <x:v>Super Store</x:v>
      </x:c>
      <x:c r="D1124" s="1" t="str">
        <x:v>4 Centerton Rd</x:v>
      </x:c>
      <x:c r="E1124" s="1" t="str">
        <x:v>Mount Laurel</x:v>
      </x:c>
      <x:c r="F1124" s="1" t="str">
        <x:v>NJ</x:v>
      </x:c>
      <x:c r="G1124" s="1" t="str">
        <x:v>08054</x:v>
      </x:c>
      <x:c r="H1124" s="1" t="n">
        <x:v>39.967789</x:v>
      </x:c>
      <x:c r="I1124" s="1" t="n">
        <x:v>-74.91465</x:v>
      </x:c>
      <x:c r="J1124" s="1" t="str">
        <x:v>USDA SNAP retailer list</x:v>
      </x:c>
      <x:c r="K1124" s="1" t="str">
        <x:v>2026-10-09</x:v>
      </x:c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  <x:c r="AA1124" s="1"/>
      <x:c r="AB1124" s="1"/>
      <x:c r="AC1124" s="1"/>
      <x:c r="AD1124" s="1"/>
      <x:c r="AE1124" s="1"/>
      <x:c r="AF1124" s="1"/>
      <x:c r="AG1124" s="1"/>
      <x:c r="AH1124" s="1"/>
      <x:c r="AI1124" s="1"/>
      <x:c r="AJ1124" s="1"/>
      <x:c r="AK1124" s="1"/>
      <x:c r="AL1124" s="1"/>
      <x:c r="AM1124" s="1"/>
      <x:c r="AN1124" s="1"/>
    </x:row>
    <x:row r="1125" ht="22" customHeight="1">
      <x:c r="A1125" s="1" t="str">
        <x:v>764928</x:v>
      </x:c>
      <x:c r="B1125" s="1" t="str">
        <x:v>Target Store 1085</x:v>
      </x:c>
      <x:c r="C1125" s="1" t="str">
        <x:v>Super Store</x:v>
      </x:c>
      <x:c r="D1125" s="1" t="str">
        <x:v>2137 Route 38</x:v>
      </x:c>
      <x:c r="E1125" s="1" t="str">
        <x:v>Cherry Hill</x:v>
      </x:c>
      <x:c r="F1125" s="1" t="str">
        <x:v>NJ</x:v>
      </x:c>
      <x:c r="G1125" s="1" t="str">
        <x:v>08002</x:v>
      </x:c>
      <x:c r="H1125" s="1" t="n">
        <x:v>39.934361</x:v>
      </x:c>
      <x:c r="I1125" s="1" t="n">
        <x:v>-75.025322</x:v>
      </x:c>
      <x:c r="J1125" s="1" t="str">
        <x:v>USDA SNAP retailer list</x:v>
      </x:c>
      <x:c r="K1125" s="1" t="str">
        <x:v>2026-10-09</x:v>
      </x:c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  <x:c r="AA1125" s="1"/>
      <x:c r="AB1125" s="1"/>
      <x:c r="AC1125" s="1"/>
      <x:c r="AD1125" s="1"/>
      <x:c r="AE1125" s="1"/>
      <x:c r="AF1125" s="1"/>
      <x:c r="AG1125" s="1"/>
      <x:c r="AH1125" s="1"/>
      <x:c r="AI1125" s="1"/>
      <x:c r="AJ1125" s="1"/>
      <x:c r="AK1125" s="1"/>
      <x:c r="AL1125" s="1"/>
      <x:c r="AM1125" s="1"/>
      <x:c r="AN1125" s="1"/>
    </x:row>
    <x:row r="1126" ht="22" customHeight="1">
      <x:c r="A1126" s="1" t="str">
        <x:v>764929</x:v>
      </x:c>
      <x:c r="B1126" s="1" t="str">
        <x:v>Target Store 1269</x:v>
      </x:c>
      <x:c r="C1126" s="1" t="str">
        <x:v>Super Store</x:v>
      </x:c>
      <x:c r="D1126" s="1" t="str">
        <x:v>2250 Chemical Rd</x:v>
      </x:c>
      <x:c r="E1126" s="1" t="str">
        <x:v>Plymouth Meeting</x:v>
      </x:c>
      <x:c r="F1126" s="1" t="str">
        <x:v>PA</x:v>
      </x:c>
      <x:c r="G1126" s="1" t="str">
        <x:v>19462</x:v>
      </x:c>
      <x:c r="H1126" s="1" t="n">
        <x:v>40.101162</x:v>
      </x:c>
      <x:c r="I1126" s="1" t="n">
        <x:v>-75.293106</x:v>
      </x:c>
      <x:c r="J1126" s="1" t="str">
        <x:v>USDA SNAP retailer list</x:v>
      </x:c>
      <x:c r="K1126" s="1" t="str">
        <x:v>2026-10-09</x:v>
      </x:c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  <x:c r="AA1126" s="1"/>
      <x:c r="AB1126" s="1"/>
      <x:c r="AC1126" s="1"/>
      <x:c r="AD1126" s="1"/>
      <x:c r="AE1126" s="1"/>
      <x:c r="AF1126" s="1"/>
      <x:c r="AG1126" s="1"/>
      <x:c r="AH1126" s="1"/>
      <x:c r="AI1126" s="1"/>
      <x:c r="AJ1126" s="1"/>
      <x:c r="AK1126" s="1"/>
      <x:c r="AL1126" s="1"/>
      <x:c r="AM1126" s="1"/>
      <x:c r="AN1126" s="1"/>
    </x:row>
    <x:row r="1127" ht="22" customHeight="1">
      <x:c r="A1127" s="1" t="str">
        <x:v>764930</x:v>
      </x:c>
      <x:c r="B1127" s="1" t="str">
        <x:v>Target Store 1133</x:v>
      </x:c>
      <x:c r="C1127" s="1" t="str">
        <x:v>Super Store</x:v>
      </x:c>
      <x:c r="D1127" s="1" t="str">
        <x:v>1139 White Horse Rd</x:v>
      </x:c>
      <x:c r="E1127" s="1" t="str">
        <x:v>Voorhees</x:v>
      </x:c>
      <x:c r="F1127" s="1" t="str">
        <x:v>NJ</x:v>
      </x:c>
      <x:c r="G1127" s="1" t="str">
        <x:v>08043</x:v>
      </x:c>
      <x:c r="H1127" s="1" t="n">
        <x:v>39.851379</x:v>
      </x:c>
      <x:c r="I1127" s="1" t="n">
        <x:v>-74.985008</x:v>
      </x:c>
      <x:c r="J1127" s="1" t="str">
        <x:v>USDA SNAP retailer list</x:v>
      </x:c>
      <x:c r="K1127" s="1" t="str">
        <x:v>2026-10-09</x:v>
      </x:c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  <x:c r="AA1127" s="1"/>
      <x:c r="AB1127" s="1"/>
      <x:c r="AC1127" s="1"/>
      <x:c r="AD1127" s="1"/>
      <x:c r="AE1127" s="1"/>
      <x:c r="AF1127" s="1"/>
      <x:c r="AG1127" s="1"/>
      <x:c r="AH1127" s="1"/>
      <x:c r="AI1127" s="1"/>
      <x:c r="AJ1127" s="1"/>
      <x:c r="AK1127" s="1"/>
      <x:c r="AL1127" s="1"/>
      <x:c r="AM1127" s="1"/>
      <x:c r="AN1127" s="1"/>
    </x:row>
    <x:row r="1128" ht="22" customHeight="1">
      <x:c r="A1128" s="1" t="str">
        <x:v>764937</x:v>
      </x:c>
      <x:c r="B1128" s="1" t="str">
        <x:v>Target Store 1809</x:v>
      </x:c>
      <x:c r="C1128" s="1" t="str">
        <x:v>Super Store</x:v>
      </x:c>
      <x:c r="D1128" s="1" t="str">
        <x:v>11000 Roosevelt Blvd</x:v>
      </x:c>
      <x:c r="E1128" s="1" t="str">
        <x:v>Philadelphia</x:v>
      </x:c>
      <x:c r="F1128" s="1" t="str">
        <x:v>PA</x:v>
      </x:c>
      <x:c r="G1128" s="1" t="str">
        <x:v>19116</x:v>
      </x:c>
      <x:c r="H1128" s="1" t="n">
        <x:v>40.10524</x:v>
      </x:c>
      <x:c r="I1128" s="1" t="n">
        <x:v>-75.001404</x:v>
      </x:c>
      <x:c r="J1128" s="1" t="str">
        <x:v>USDA SNAP retailer list</x:v>
      </x:c>
      <x:c r="K1128" s="1" t="str">
        <x:v>2026-10-09</x:v>
      </x:c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  <x:c r="AA1128" s="1"/>
      <x:c r="AB1128" s="1"/>
      <x:c r="AC1128" s="1"/>
      <x:c r="AD1128" s="1"/>
      <x:c r="AE1128" s="1"/>
      <x:c r="AF1128" s="1"/>
      <x:c r="AG1128" s="1"/>
      <x:c r="AH1128" s="1"/>
      <x:c r="AI1128" s="1"/>
      <x:c r="AJ1128" s="1"/>
      <x:c r="AK1128" s="1"/>
      <x:c r="AL1128" s="1"/>
      <x:c r="AM1128" s="1"/>
      <x:c r="AN1128" s="1"/>
    </x:row>
    <x:row r="1129" ht="22" customHeight="1">
      <x:c r="A1129" s="1" t="str">
        <x:v>647200</x:v>
      </x:c>
      <x:c r="B1129" s="1" t="str">
        <x:v>ALDI 54</x:v>
      </x:c>
      <x:c r="C1129" s="1" t="str">
        <x:v>Supermarket</x:v>
      </x:c>
      <x:c r="D1129" s="1" t="str">
        <x:v>4421 Market St</x:v>
      </x:c>
      <x:c r="E1129" s="1" t="str">
        <x:v>Philadelphia</x:v>
      </x:c>
      <x:c r="F1129" s="1" t="str">
        <x:v>PA</x:v>
      </x:c>
      <x:c r="G1129" s="1" t="str">
        <x:v>19104</x:v>
      </x:c>
      <x:c r="H1129" s="1" t="n">
        <x:v>39.959282</x:v>
      </x:c>
      <x:c r="I1129" s="1" t="n">
        <x:v>-75.213013</x:v>
      </x:c>
      <x:c r="J1129" s="1" t="str">
        <x:v>USDA SNAP retailer list</x:v>
      </x:c>
      <x:c r="K1129" s="1" t="str">
        <x:v>2026-10-09</x:v>
      </x:c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  <x:c r="AA1129" s="1"/>
      <x:c r="AB1129" s="1"/>
      <x:c r="AC1129" s="1"/>
      <x:c r="AD1129" s="1"/>
      <x:c r="AE1129" s="1"/>
      <x:c r="AF1129" s="1"/>
      <x:c r="AG1129" s="1"/>
      <x:c r="AH1129" s="1"/>
      <x:c r="AI1129" s="1"/>
      <x:c r="AJ1129" s="1"/>
      <x:c r="AK1129" s="1"/>
      <x:c r="AL1129" s="1"/>
      <x:c r="AM1129" s="1"/>
      <x:c r="AN1129" s="1"/>
    </x:row>
    <x:row r="1130" ht="22" customHeight="1">
      <x:c r="A1130" s="1" t="str">
        <x:v>647481</x:v>
      </x:c>
      <x:c r="B1130" s="1" t="str">
        <x:v>George's Market at Dreshertown</x:v>
      </x:c>
      <x:c r="C1130" s="1" t="str">
        <x:v>Super Store</x:v>
      </x:c>
      <x:c r="D1130" s="1" t="str">
        <x:v>1650 Limekiln Pike</x:v>
      </x:c>
      <x:c r="E1130" s="1" t="str">
        <x:v>Dresher</x:v>
      </x:c>
      <x:c r="F1130" s="1" t="str">
        <x:v>PA</x:v>
      </x:c>
      <x:c r="G1130" s="1" t="str">
        <x:v>19025</x:v>
      </x:c>
      <x:c r="H1130" s="1" t="n">
        <x:v>40.146339</x:v>
      </x:c>
      <x:c r="I1130" s="1" t="n">
        <x:v>-75.167145</x:v>
      </x:c>
      <x:c r="J1130" s="1" t="str">
        <x:v>USDA SNAP retailer list</x:v>
      </x:c>
      <x:c r="K1130" s="1" t="str">
        <x:v>2026-10-09</x:v>
      </x:c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  <x:c r="AA1130" s="1"/>
      <x:c r="AB1130" s="1"/>
      <x:c r="AC1130" s="1"/>
      <x:c r="AD1130" s="1"/>
      <x:c r="AE1130" s="1"/>
      <x:c r="AF1130" s="1"/>
      <x:c r="AG1130" s="1"/>
      <x:c r="AH1130" s="1"/>
      <x:c r="AI1130" s="1"/>
      <x:c r="AJ1130" s="1"/>
      <x:c r="AK1130" s="1"/>
      <x:c r="AL1130" s="1"/>
      <x:c r="AM1130" s="1"/>
      <x:c r="AN1130" s="1"/>
    </x:row>
    <x:row r="1131" ht="22" customHeight="1">
      <x:c r="A1131" s="1" t="str">
        <x:v>729356</x:v>
      </x:c>
      <x:c r="B1131" s="1" t="str">
        <x:v>ALDI 60052 60052</x:v>
      </x:c>
      <x:c r="C1131" s="1" t="str">
        <x:v>Supermarket</x:v>
      </x:c>
      <x:c r="D1131" s="1" t="str">
        <x:v>30 White Horse Pike</x:v>
      </x:c>
      <x:c r="E1131" s="1" t="str">
        <x:v>Collingswood</x:v>
      </x:c>
      <x:c r="F1131" s="1" t="str">
        <x:v>NJ</x:v>
      </x:c>
      <x:c r="G1131" s="1" t="str">
        <x:v>08107</x:v>
      </x:c>
      <x:c r="H1131" s="1" t="n">
        <x:v>39.921021</x:v>
      </x:c>
      <x:c r="I1131" s="1" t="n">
        <x:v>-75.089729</x:v>
      </x:c>
      <x:c r="J1131" s="1" t="str">
        <x:v>USDA SNAP retailer list</x:v>
      </x:c>
      <x:c r="K1131" s="1" t="str">
        <x:v>2026-10-09</x:v>
      </x:c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  <x:c r="AA1131" s="1"/>
      <x:c r="AB1131" s="1"/>
      <x:c r="AC1131" s="1"/>
      <x:c r="AD1131" s="1"/>
      <x:c r="AE1131" s="1"/>
      <x:c r="AF1131" s="1"/>
      <x:c r="AG1131" s="1"/>
      <x:c r="AH1131" s="1"/>
      <x:c r="AI1131" s="1"/>
      <x:c r="AJ1131" s="1"/>
      <x:c r="AK1131" s="1"/>
      <x:c r="AL1131" s="1"/>
      <x:c r="AM1131" s="1"/>
      <x:c r="AN1131" s="1"/>
    </x:row>
    <x:row r="1132" ht="22" customHeight="1">
      <x:c r="A1132" s="1" t="str">
        <x:v>590804</x:v>
      </x:c>
      <x:c r="B1132" s="1" t="str">
        <x:v>Aldi 60056</x:v>
      </x:c>
      <x:c r="C1132" s="1" t="str">
        <x:v>Supermarket</x:v>
      </x:c>
      <x:c r="D1132" s="1" t="str">
        <x:v>4225 Route 130</x:v>
      </x:c>
      <x:c r="E1132" s="1" t="str">
        <x:v>Edgewater Park</x:v>
      </x:c>
      <x:c r="F1132" s="1" t="str">
        <x:v>NJ</x:v>
      </x:c>
      <x:c r="G1132" s="1" t="str">
        <x:v>08010</x:v>
      </x:c>
      <x:c r="H1132" s="1" t="n">
        <x:v>40.039345</x:v>
      </x:c>
      <x:c r="I1132" s="1" t="n">
        <x:v>-74.914848</x:v>
      </x:c>
      <x:c r="J1132" s="1" t="str">
        <x:v>USDA SNAP retailer list</x:v>
      </x:c>
      <x:c r="K1132" s="1" t="str">
        <x:v>2026-10-09</x:v>
      </x:c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  <x:c r="AA1132" s="1"/>
      <x:c r="AB1132" s="1"/>
      <x:c r="AC1132" s="1"/>
      <x:c r="AD1132" s="1"/>
      <x:c r="AE1132" s="1"/>
      <x:c r="AF1132" s="1"/>
      <x:c r="AG1132" s="1"/>
      <x:c r="AH1132" s="1"/>
      <x:c r="AI1132" s="1"/>
      <x:c r="AJ1132" s="1"/>
      <x:c r="AK1132" s="1"/>
      <x:c r="AL1132" s="1"/>
      <x:c r="AM1132" s="1"/>
      <x:c r="AN1132" s="1"/>
    </x:row>
    <x:row r="1133" ht="22" customHeight="1">
      <x:c r="A1133" s="1" t="str">
        <x:v>825088</x:v>
      </x:c>
      <x:c r="B1133" s="1" t="str">
        <x:v>Target Stores 2124</x:v>
      </x:c>
      <x:c r="C1133" s="1" t="str">
        <x:v>Super Store</x:v>
      </x:c>
      <x:c r="D1133" s="1" t="str">
        <x:v>4000 Monument Rd</x:v>
      </x:c>
      <x:c r="E1133" s="1" t="str">
        <x:v>Philadelphia</x:v>
      </x:c>
      <x:c r="F1133" s="1" t="str">
        <x:v>PA</x:v>
      </x:c>
      <x:c r="G1133" s="1" t="str">
        <x:v>19131</x:v>
      </x:c>
      <x:c r="H1133" s="1" t="n">
        <x:v>40.006557</x:v>
      </x:c>
      <x:c r="I1133" s="1" t="n">
        <x:v>-75.211861</x:v>
      </x:c>
      <x:c r="J1133" s="1" t="str">
        <x:v>USDA SNAP retailer list</x:v>
      </x:c>
      <x:c r="K1133" s="1" t="str">
        <x:v>2026-10-09</x:v>
      </x:c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  <x:c r="AA1133" s="1"/>
      <x:c r="AB1133" s="1"/>
      <x:c r="AC1133" s="1"/>
      <x:c r="AD1133" s="1"/>
      <x:c r="AE1133" s="1"/>
      <x:c r="AF1133" s="1"/>
      <x:c r="AG1133" s="1"/>
      <x:c r="AH1133" s="1"/>
      <x:c r="AI1133" s="1"/>
      <x:c r="AJ1133" s="1"/>
      <x:c r="AK1133" s="1"/>
      <x:c r="AL1133" s="1"/>
      <x:c r="AM1133" s="1"/>
      <x:c r="AN1133" s="1"/>
    </x:row>
    <x:row r="1134" ht="22" customHeight="1">
      <x:c r="A1134" s="1" t="str">
        <x:v>694560</x:v>
      </x:c>
      <x:c r="B1134" s="1" t="str">
        <x:v>Trader Joe's 635</x:v>
      </x:c>
      <x:c r="C1134" s="1" t="str">
        <x:v>Supermarket</x:v>
      </x:c>
      <x:c r="D1134" s="1" t="str">
        <x:v>112 Coulter Ave</x:v>
      </x:c>
      <x:c r="E1134" s="1" t="str">
        <x:v>Ardmore</x:v>
      </x:c>
      <x:c r="F1134" s="1" t="str">
        <x:v>PA</x:v>
      </x:c>
      <x:c r="G1134" s="1" t="str">
        <x:v>19003</x:v>
      </x:c>
      <x:c r="H1134" s="1" t="n">
        <x:v>40.007862</x:v>
      </x:c>
      <x:c r="I1134" s="1" t="n">
        <x:v>-75.286171</x:v>
      </x:c>
      <x:c r="J1134" s="1" t="str">
        <x:v>USDA SNAP retailer list</x:v>
      </x:c>
      <x:c r="K1134" s="1" t="str">
        <x:v>2026-10-09</x:v>
      </x:c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  <x:c r="AA1134" s="1"/>
      <x:c r="AB1134" s="1"/>
      <x:c r="AC1134" s="1"/>
      <x:c r="AD1134" s="1"/>
      <x:c r="AE1134" s="1"/>
      <x:c r="AF1134" s="1"/>
      <x:c r="AG1134" s="1"/>
      <x:c r="AH1134" s="1"/>
      <x:c r="AI1134" s="1"/>
      <x:c r="AJ1134" s="1"/>
      <x:c r="AK1134" s="1"/>
      <x:c r="AL1134" s="1"/>
      <x:c r="AM1134" s="1"/>
      <x:c r="AN1134" s="1"/>
    </x:row>
    <x:row r="1135" ht="22" customHeight="1">
      <x:c r="A1135" s="1" t="str">
        <x:v>682428</x:v>
      </x:c>
      <x:c r="B1135" s="1" t="str">
        <x:v>ACME 613</x:v>
      </x:c>
      <x:c r="C1135" s="1" t="str">
        <x:v>Supermarket</x:v>
      </x:c>
      <x:c r="D1135" s="1" t="str">
        <x:v>829 Montgomery Ave</x:v>
      </x:c>
      <x:c r="E1135" s="1" t="str">
        <x:v>Penn Valley</x:v>
      </x:c>
      <x:c r="F1135" s="1" t="str">
        <x:v>PA</x:v>
      </x:c>
      <x:c r="G1135" s="1" t="str">
        <x:v>19072</x:v>
      </x:c>
      <x:c r="H1135" s="1" t="n">
        <x:v>40.010571</x:v>
      </x:c>
      <x:c r="I1135" s="1" t="n">
        <x:v>-75.257729</x:v>
      </x:c>
      <x:c r="J1135" s="1" t="str">
        <x:v>USDA SNAP retailer list</x:v>
      </x:c>
      <x:c r="K1135" s="1" t="str">
        <x:v>2026-10-09</x:v>
      </x:c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  <x:c r="AA1135" s="1"/>
      <x:c r="AB1135" s="1"/>
      <x:c r="AC1135" s="1"/>
      <x:c r="AD1135" s="1"/>
      <x:c r="AE1135" s="1"/>
      <x:c r="AF1135" s="1"/>
      <x:c r="AG1135" s="1"/>
      <x:c r="AH1135" s="1"/>
      <x:c r="AI1135" s="1"/>
      <x:c r="AJ1135" s="1"/>
      <x:c r="AK1135" s="1"/>
      <x:c r="AL1135" s="1"/>
      <x:c r="AM1135" s="1"/>
      <x:c r="AN1135" s="1"/>
    </x:row>
    <x:row r="1136" ht="22" customHeight="1">
      <x:c r="A1136" s="1" t="str">
        <x:v>776083</x:v>
      </x:c>
      <x:c r="B1136" s="1" t="str">
        <x:v>Walmart 5131</x:v>
      </x:c>
      <x:c r="C1136" s="1" t="str">
        <x:v>Super Store</x:v>
      </x:c>
      <x:c r="D1136" s="1" t="str">
        <x:v>3461 Horizon Blvd</x:v>
      </x:c>
      <x:c r="E1136" s="1" t="str">
        <x:v>Feasterville Trevose</x:v>
      </x:c>
      <x:c r="F1136" s="1" t="str">
        <x:v>PA</x:v>
      </x:c>
      <x:c r="G1136" s="1" t="str">
        <x:v>19053</x:v>
      </x:c>
      <x:c r="H1136" s="1" t="n">
        <x:v>40.136551</x:v>
      </x:c>
      <x:c r="I1136" s="1" t="n">
        <x:v>-74.967537</x:v>
      </x:c>
      <x:c r="J1136" s="1" t="str">
        <x:v>USDA SNAP retailer list</x:v>
      </x:c>
      <x:c r="K1136" s="1" t="str">
        <x:v>2026-10-09</x:v>
      </x:c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  <x:c r="AA1136" s="1"/>
      <x:c r="AB1136" s="1"/>
      <x:c r="AC1136" s="1"/>
      <x:c r="AD1136" s="1"/>
      <x:c r="AE1136" s="1"/>
      <x:c r="AF1136" s="1"/>
      <x:c r="AG1136" s="1"/>
      <x:c r="AH1136" s="1"/>
      <x:c r="AI1136" s="1"/>
      <x:c r="AJ1136" s="1"/>
      <x:c r="AK1136" s="1"/>
      <x:c r="AL1136" s="1"/>
      <x:c r="AM1136" s="1"/>
      <x:c r="AN1136" s="1"/>
    </x:row>
    <x:row r="1137" ht="22" customHeight="1">
      <x:c r="A1137" s="1" t="str">
        <x:v>778898</x:v>
      </x:c>
      <x:c r="B1137" s="1" t="str">
        <x:v>Target 2075</x:v>
      </x:c>
      <x:c r="C1137" s="1" t="str">
        <x:v>Super Store</x:v>
      </x:c>
      <x:c r="D1137" s="1" t="str">
        <x:v>2701 Castor Ave</x:v>
      </x:c>
      <x:c r="E1137" s="1" t="str">
        <x:v>Philadelphia</x:v>
      </x:c>
      <x:c r="F1137" s="1" t="str">
        <x:v>PA</x:v>
      </x:c>
      <x:c r="G1137" s="1" t="str">
        <x:v>19134</x:v>
      </x:c>
      <x:c r="H1137" s="1" t="n">
        <x:v>39.990051</x:v>
      </x:c>
      <x:c r="I1137" s="1" t="n">
        <x:v>-75.090446</x:v>
      </x:c>
      <x:c r="J1137" s="1" t="str">
        <x:v>USDA SNAP retailer list</x:v>
      </x:c>
      <x:c r="K1137" s="1" t="str">
        <x:v>2026-10-09</x:v>
      </x:c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  <x:c r="AA1137" s="1"/>
      <x:c r="AB1137" s="1"/>
      <x:c r="AC1137" s="1"/>
      <x:c r="AD1137" s="1"/>
      <x:c r="AE1137" s="1"/>
      <x:c r="AF1137" s="1"/>
      <x:c r="AG1137" s="1"/>
      <x:c r="AH1137" s="1"/>
      <x:c r="AI1137" s="1"/>
      <x:c r="AJ1137" s="1"/>
      <x:c r="AK1137" s="1"/>
      <x:c r="AL1137" s="1"/>
      <x:c r="AM1137" s="1"/>
      <x:c r="AN1137" s="1"/>
    </x:row>
    <x:row r="1138" ht="22" customHeight="1">
      <x:c r="A1138" s="1" t="str">
        <x:v>779292</x:v>
      </x:c>
      <x:c r="B1138" s="1" t="str">
        <x:v>FAYERS MARKET</x:v>
      </x:c>
      <x:c r="C1138" s="1" t="str">
        <x:v>Supermarket</x:v>
      </x:c>
      <x:c r="D1138" s="1" t="str">
        <x:v>1400 Haddon Ave</x:v>
      </x:c>
      <x:c r="E1138" s="1" t="str">
        <x:v>Camden</x:v>
      </x:c>
      <x:c r="F1138" s="1" t="str">
        <x:v>NJ</x:v>
      </x:c>
      <x:c r="G1138" s="1" t="str">
        <x:v>08103</x:v>
      </x:c>
      <x:c r="H1138" s="1" t="n">
        <x:v>39.930569</x:v>
      </x:c>
      <x:c r="I1138" s="1" t="n">
        <x:v>-75.100166</x:v>
      </x:c>
      <x:c r="J1138" s="1" t="str">
        <x:v>USDA SNAP retailer list</x:v>
      </x:c>
      <x:c r="K1138" s="1" t="str">
        <x:v>2026-10-09</x:v>
      </x:c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  <x:c r="AA1138" s="1"/>
      <x:c r="AB1138" s="1"/>
      <x:c r="AC1138" s="1"/>
      <x:c r="AD1138" s="1"/>
      <x:c r="AE1138" s="1"/>
      <x:c r="AF1138" s="1"/>
      <x:c r="AG1138" s="1"/>
      <x:c r="AH1138" s="1"/>
      <x:c r="AI1138" s="1"/>
      <x:c r="AJ1138" s="1"/>
      <x:c r="AK1138" s="1"/>
      <x:c r="AL1138" s="1"/>
      <x:c r="AM1138" s="1"/>
      <x:c r="AN1138" s="1"/>
    </x:row>
    <x:row r="1139" ht="22" customHeight="1">
      <x:c r="A1139" s="1" t="str">
        <x:v>779942</x:v>
      </x:c>
      <x:c r="B1139" s="1" t="str">
        <x:v>Target 2104</x:v>
      </x:c>
      <x:c r="C1139" s="1" t="str">
        <x:v>Super Store</x:v>
      </x:c>
      <x:c r="D1139" s="1" t="str">
        <x:v>4004 ROUTE 130 N</x:v>
      </x:c>
      <x:c r="E1139" s="1" t="str">
        <x:v>Delran</x:v>
      </x:c>
      <x:c r="F1139" s="1" t="str">
        <x:v>NJ</x:v>
      </x:c>
      <x:c r="G1139" s="1" t="str">
        <x:v>08075</x:v>
      </x:c>
      <x:c r="H1139" s="1" t="n">
        <x:v>40.013386</x:v>
      </x:c>
      <x:c r="I1139" s="1" t="n">
        <x:v>-74.959122</x:v>
      </x:c>
      <x:c r="J1139" s="1" t="str">
        <x:v>USDA SNAP retailer list</x:v>
      </x:c>
      <x:c r="K1139" s="1" t="str">
        <x:v>2026-10-09</x:v>
      </x:c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  <x:c r="AA1139" s="1"/>
      <x:c r="AB1139" s="1"/>
      <x:c r="AC1139" s="1"/>
      <x:c r="AD1139" s="1"/>
      <x:c r="AE1139" s="1"/>
      <x:c r="AF1139" s="1"/>
      <x:c r="AG1139" s="1"/>
      <x:c r="AH1139" s="1"/>
      <x:c r="AI1139" s="1"/>
      <x:c r="AJ1139" s="1"/>
      <x:c r="AK1139" s="1"/>
      <x:c r="AL1139" s="1"/>
      <x:c r="AM1139" s="1"/>
      <x:c r="AN1139" s="1"/>
    </x:row>
    <x:row r="1140" ht="22" customHeight="1">
      <x:c r="A1140" s="1" t="str">
        <x:v>671704</x:v>
      </x:c>
      <x:c r="B1140" s="1" t="str">
        <x:v>SAVE-A-LOT 248</x:v>
      </x:c>
      <x:c r="C1140" s="1" t="str">
        <x:v>Supermarket</x:v>
      </x:c>
      <x:c r="D1140" s="1" t="str">
        <x:v>3520 Edgmont Ave</x:v>
      </x:c>
      <x:c r="E1140" s="1" t="str">
        <x:v>Brookhaven</x:v>
      </x:c>
      <x:c r="F1140" s="1" t="str">
        <x:v>PA</x:v>
      </x:c>
      <x:c r="G1140" s="1" t="str">
        <x:v>19015</x:v>
      </x:c>
      <x:c r="H1140" s="1" t="n">
        <x:v>39.87101</x:v>
      </x:c>
      <x:c r="I1140" s="1" t="n">
        <x:v>-75.384705</x:v>
      </x:c>
      <x:c r="J1140" s="1" t="str">
        <x:v>USDA SNAP retailer list</x:v>
      </x:c>
      <x:c r="K1140" s="1" t="str">
        <x:v>2026-10-09</x:v>
      </x:c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  <x:c r="AA1140" s="1"/>
      <x:c r="AB1140" s="1"/>
      <x:c r="AC1140" s="1"/>
      <x:c r="AD1140" s="1"/>
      <x:c r="AE1140" s="1"/>
      <x:c r="AF1140" s="1"/>
      <x:c r="AG1140" s="1"/>
      <x:c r="AH1140" s="1"/>
      <x:c r="AI1140" s="1"/>
      <x:c r="AJ1140" s="1"/>
      <x:c r="AK1140" s="1"/>
      <x:c r="AL1140" s="1"/>
      <x:c r="AM1140" s="1"/>
      <x:c r="AN1140" s="1"/>
    </x:row>
    <x:row r="1141" ht="22" customHeight="1">
      <x:c r="A1141" s="1" t="str">
        <x:v>878092</x:v>
      </x:c>
      <x:c r="B1141" s="1" t="str">
        <x:v>Sam's Club 6670</x:v>
      </x:c>
      <x:c r="C1141" s="1" t="str">
        <x:v>Super Store</x:v>
      </x:c>
      <x:c r="D1141" s="1" t="str">
        <x:v>2000 Clements Bridge Rd</x:v>
      </x:c>
      <x:c r="E1141" s="1" t="str">
        <x:v>Woodbury</x:v>
      </x:c>
      <x:c r="F1141" s="1" t="str">
        <x:v>NJ</x:v>
      </x:c>
      <x:c r="G1141" s="1" t="str">
        <x:v>08096</x:v>
      </x:c>
      <x:c r="H1141" s="1" t="n">
        <x:v>39.837616</x:v>
      </x:c>
      <x:c r="I1141" s="1" t="n">
        <x:v>-75.089951</x:v>
      </x:c>
      <x:c r="J1141" s="1" t="str">
        <x:v>USDA SNAP retailer list</x:v>
      </x:c>
      <x:c r="K1141" s="1" t="str">
        <x:v>2026-10-09</x:v>
      </x:c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  <x:c r="AA1141" s="1"/>
      <x:c r="AB1141" s="1"/>
      <x:c r="AC1141" s="1"/>
      <x:c r="AD1141" s="1"/>
      <x:c r="AE1141" s="1"/>
      <x:c r="AF1141" s="1"/>
      <x:c r="AG1141" s="1"/>
      <x:c r="AH1141" s="1"/>
      <x:c r="AI1141" s="1"/>
      <x:c r="AJ1141" s="1"/>
      <x:c r="AK1141" s="1"/>
      <x:c r="AL1141" s="1"/>
      <x:c r="AM1141" s="1"/>
      <x:c r="AN1141" s="1"/>
    </x:row>
    <x:row r="1142" ht="22" customHeight="1">
      <x:c r="A1142" s="1" t="str">
        <x:v>1603131</x:v>
      </x:c>
      <x:c r="B1142" s="1" t="str">
        <x:v>Walmart 5130</x:v>
      </x:c>
      <x:c r="C1142" s="1" t="str">
        <x:v>Super Store</x:v>
      </x:c>
      <x:c r="D1142" s="1" t="str">
        <x:v>9745 Roosevelt Blvd</x:v>
      </x:c>
      <x:c r="E1142" s="1" t="str">
        <x:v>Philadelphia</x:v>
      </x:c>
      <x:c r="F1142" s="1" t="str">
        <x:v>PA</x:v>
      </x:c>
      <x:c r="G1142" s="1" t="str">
        <x:v>19114</x:v>
      </x:c>
      <x:c r="H1142" s="1" t="n">
        <x:v>40.083366</x:v>
      </x:c>
      <x:c r="I1142" s="1" t="n">
        <x:v>-75.022995</x:v>
      </x:c>
      <x:c r="J1142" s="1" t="str">
        <x:v>USDA SNAP retailer list</x:v>
      </x:c>
      <x:c r="K1142" s="1" t="str">
        <x:v>2026-10-09</x:v>
      </x:c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  <x:c r="AA1142" s="1"/>
      <x:c r="AB1142" s="1"/>
      <x:c r="AC1142" s="1"/>
      <x:c r="AD1142" s="1"/>
      <x:c r="AE1142" s="1"/>
      <x:c r="AF1142" s="1"/>
      <x:c r="AG1142" s="1"/>
      <x:c r="AH1142" s="1"/>
      <x:c r="AI1142" s="1"/>
      <x:c r="AJ1142" s="1"/>
      <x:c r="AK1142" s="1"/>
      <x:c r="AL1142" s="1"/>
      <x:c r="AM1142" s="1"/>
      <x:c r="AN1142" s="1"/>
    </x:row>
    <x:row r="1143" ht="22" customHeight="1">
      <x:c r="A1143" s="1" t="str">
        <x:v>1012862</x:v>
      </x:c>
      <x:c r="B1143" s="1" t="str">
        <x:v>Shop Mark Supermarket</x:v>
      </x:c>
      <x:c r="C1143" s="1" t="str">
        <x:v>Supermarket</x:v>
      </x:c>
      <x:c r="D1143" s="1" t="str">
        <x:v>2522 W Lehigh Ave</x:v>
      </x:c>
      <x:c r="E1143" s="1" t="str">
        <x:v>Philadelphia</x:v>
      </x:c>
      <x:c r="F1143" s="1" t="str">
        <x:v>PA</x:v>
      </x:c>
      <x:c r="G1143" s="1" t="str">
        <x:v>19132</x:v>
      </x:c>
      <x:c r="H1143" s="1" t="n">
        <x:v>39.99612</x:v>
      </x:c>
      <x:c r="I1143" s="1" t="n">
        <x:v>-75.17321</x:v>
      </x:c>
      <x:c r="J1143" s="1" t="str">
        <x:v>USDA SNAP retailer list</x:v>
      </x:c>
      <x:c r="K1143" s="1" t="str">
        <x:v>2026-10-09</x:v>
      </x:c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  <x:c r="AA1143" s="1"/>
      <x:c r="AB1143" s="1"/>
      <x:c r="AC1143" s="1"/>
      <x:c r="AD1143" s="1"/>
      <x:c r="AE1143" s="1"/>
      <x:c r="AF1143" s="1"/>
      <x:c r="AG1143" s="1"/>
      <x:c r="AH1143" s="1"/>
      <x:c r="AI1143" s="1"/>
      <x:c r="AJ1143" s="1"/>
      <x:c r="AK1143" s="1"/>
      <x:c r="AL1143" s="1"/>
      <x:c r="AM1143" s="1"/>
      <x:c r="AN1143" s="1"/>
    </x:row>
    <x:row r="1144" ht="22" customHeight="1">
      <x:c r="A1144" s="1" t="str">
        <x:v>675478</x:v>
      </x:c>
      <x:c r="B1144" s="1" t="str">
        <x:v>ACME 3786</x:v>
      </x:c>
      <x:c r="C1144" s="1" t="str">
        <x:v>Supermarket</x:v>
      </x:c>
      <x:c r="D1144" s="1" t="str">
        <x:v>3590 West Chester Pike</x:v>
      </x:c>
      <x:c r="E1144" s="1" t="str">
        <x:v>Newtown Square</x:v>
      </x:c>
      <x:c r="F1144" s="1" t="str">
        <x:v>PA</x:v>
      </x:c>
      <x:c r="G1144" s="1" t="str">
        <x:v>19073</x:v>
      </x:c>
      <x:c r="H1144" s="1" t="n">
        <x:v>39.986019</x:v>
      </x:c>
      <x:c r="I1144" s="1" t="n">
        <x:v>-75.398399</x:v>
      </x:c>
      <x:c r="J1144" s="1" t="str">
        <x:v>USDA SNAP retailer list</x:v>
      </x:c>
      <x:c r="K1144" s="1" t="str">
        <x:v>2026-10-09</x:v>
      </x:c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  <x:c r="AA1144" s="1"/>
      <x:c r="AB1144" s="1"/>
      <x:c r="AC1144" s="1"/>
      <x:c r="AD1144" s="1"/>
      <x:c r="AE1144" s="1"/>
      <x:c r="AF1144" s="1"/>
      <x:c r="AG1144" s="1"/>
      <x:c r="AH1144" s="1"/>
      <x:c r="AI1144" s="1"/>
      <x:c r="AJ1144" s="1"/>
      <x:c r="AK1144" s="1"/>
      <x:c r="AL1144" s="1"/>
      <x:c r="AM1144" s="1"/>
      <x:c r="AN1144" s="1"/>
    </x:row>
    <x:row r="1145" ht="22" customHeight="1">
      <x:c r="A1145" s="1" t="str">
        <x:v>749238</x:v>
      </x:c>
      <x:c r="B1145" s="1" t="str">
        <x:v>SHOPRITE OF EDDYSTONE</x:v>
      </x:c>
      <x:c r="C1145" s="1" t="str">
        <x:v>Super Store</x:v>
      </x:c>
      <x:c r="D1145" s="1" t="str">
        <x:v>1568 Chester Pike</x:v>
      </x:c>
      <x:c r="E1145" s="1" t="str">
        <x:v>Eddystone</x:v>
      </x:c>
      <x:c r="F1145" s="1" t="str">
        <x:v>PA</x:v>
      </x:c>
      <x:c r="G1145" s="1" t="str">
        <x:v>19022</x:v>
      </x:c>
      <x:c r="H1145" s="1" t="n">
        <x:v>39.865932</x:v>
      </x:c>
      <x:c r="I1145" s="1" t="n">
        <x:v>-75.342491</x:v>
      </x:c>
      <x:c r="J1145" s="1" t="str">
        <x:v>USDA SNAP retailer list</x:v>
      </x:c>
      <x:c r="K1145" s="1" t="str">
        <x:v>2026-10-09</x:v>
      </x:c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  <x:c r="AA1145" s="1"/>
      <x:c r="AB1145" s="1"/>
      <x:c r="AC1145" s="1"/>
      <x:c r="AD1145" s="1"/>
      <x:c r="AE1145" s="1"/>
      <x:c r="AF1145" s="1"/>
      <x:c r="AG1145" s="1"/>
      <x:c r="AH1145" s="1"/>
      <x:c r="AI1145" s="1"/>
      <x:c r="AJ1145" s="1"/>
      <x:c r="AK1145" s="1"/>
      <x:c r="AL1145" s="1"/>
      <x:c r="AM1145" s="1"/>
      <x:c r="AN1145" s="1"/>
    </x:row>
    <x:row r="1146" ht="22" customHeight="1">
      <x:c r="A1146" s="1" t="str">
        <x:v>880839</x:v>
      </x:c>
      <x:c r="B1146" s="1" t="str">
        <x:v>B Js Wholesale Club 162</x:v>
      </x:c>
      <x:c r="C1146" s="1" t="str">
        <x:v>Super Store</x:v>
      </x:c>
      <x:c r="D1146" s="1" t="str">
        <x:v>2300A W Oregon Ave</x:v>
      </x:c>
      <x:c r="E1146" s="1" t="str">
        <x:v>Philadelphia</x:v>
      </x:c>
      <x:c r="F1146" s="1" t="str">
        <x:v>PA</x:v>
      </x:c>
      <x:c r="G1146" s="1" t="str">
        <x:v>19145</x:v>
      </x:c>
      <x:c r="H1146" s="1" t="n">
        <x:v>39.91861</x:v>
      </x:c>
      <x:c r="I1146" s="1" t="n">
        <x:v>-75.186104</x:v>
      </x:c>
      <x:c r="J1146" s="1" t="str">
        <x:v>USDA SNAP retailer list</x:v>
      </x:c>
      <x:c r="K1146" s="1" t="str">
        <x:v>2026-10-09</x:v>
      </x:c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  <x:c r="AA1146" s="1"/>
      <x:c r="AB1146" s="1"/>
      <x:c r="AC1146" s="1"/>
      <x:c r="AD1146" s="1"/>
      <x:c r="AE1146" s="1"/>
      <x:c r="AF1146" s="1"/>
      <x:c r="AG1146" s="1"/>
      <x:c r="AH1146" s="1"/>
      <x:c r="AI1146" s="1"/>
      <x:c r="AJ1146" s="1"/>
      <x:c r="AK1146" s="1"/>
      <x:c r="AL1146" s="1"/>
      <x:c r="AM1146" s="1"/>
      <x:c r="AN1146" s="1"/>
    </x:row>
    <x:row r="1147" ht="22" customHeight="1">
      <x:c r="A1147" s="1" t="str">
        <x:v>1286448</x:v>
      </x:c>
      <x:c r="B1147" s="1" t="str">
        <x:v>Save-A-Lot 60142</x:v>
      </x:c>
      <x:c r="C1147" s="1" t="str">
        <x:v>Supermarket</x:v>
      </x:c>
      <x:c r="D1147" s="1" t="str">
        <x:v>2101 W Lehigh Ave</x:v>
      </x:c>
      <x:c r="E1147" s="1" t="str">
        <x:v>Philadelphia</x:v>
      </x:c>
      <x:c r="F1147" s="1" t="str">
        <x:v>PA</x:v>
      </x:c>
      <x:c r="G1147" s="1" t="str">
        <x:v>19132</x:v>
      </x:c>
      <x:c r="H1147" s="1" t="n">
        <x:v>39.995457</x:v>
      </x:c>
      <x:c r="I1147" s="1" t="n">
        <x:v>-75.165947</x:v>
      </x:c>
      <x:c r="J1147" s="1" t="str">
        <x:v>USDA SNAP retailer list</x:v>
      </x:c>
      <x:c r="K1147" s="1" t="str">
        <x:v>2026-10-09</x:v>
      </x:c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  <x:c r="AA1147" s="1"/>
      <x:c r="AB1147" s="1"/>
      <x:c r="AC1147" s="1"/>
      <x:c r="AD1147" s="1"/>
      <x:c r="AE1147" s="1"/>
      <x:c r="AF1147" s="1"/>
      <x:c r="AG1147" s="1"/>
      <x:c r="AH1147" s="1"/>
      <x:c r="AI1147" s="1"/>
      <x:c r="AJ1147" s="1"/>
      <x:c r="AK1147" s="1"/>
      <x:c r="AL1147" s="1"/>
      <x:c r="AM1147" s="1"/>
      <x:c r="AN1147" s="1"/>
    </x:row>
    <x:row r="1148" ht="22" customHeight="1">
      <x:c r="A1148" s="1" t="str">
        <x:v>880831</x:v>
      </x:c>
      <x:c r="B1148" s="1" t="str">
        <x:v>B Js Wholesale Club 153</x:v>
      </x:c>
      <x:c r="C1148" s="1" t="str">
        <x:v>Super Store</x:v>
      </x:c>
      <x:c r="D1148" s="1" t="str">
        <x:v>152 Rt 73</x:v>
      </x:c>
      <x:c r="E1148" s="1" t="str">
        <x:v>Voorhees</x:v>
      </x:c>
      <x:c r="F1148" s="1" t="str">
        <x:v>NJ</x:v>
      </x:c>
      <x:c r="G1148" s="1" t="str">
        <x:v>08043</x:v>
      </x:c>
      <x:c r="H1148" s="1" t="n">
        <x:v>39.835262</x:v>
      </x:c>
      <x:c r="I1148" s="1" t="n">
        <x:v>-74.922859</x:v>
      </x:c>
      <x:c r="J1148" s="1" t="str">
        <x:v>USDA SNAP retailer list</x:v>
      </x:c>
      <x:c r="K1148" s="1" t="str">
        <x:v>2026-10-09</x:v>
      </x:c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  <x:c r="AA1148" s="1"/>
      <x:c r="AB1148" s="1"/>
      <x:c r="AC1148" s="1"/>
      <x:c r="AD1148" s="1"/>
      <x:c r="AE1148" s="1"/>
      <x:c r="AF1148" s="1"/>
      <x:c r="AG1148" s="1"/>
      <x:c r="AH1148" s="1"/>
      <x:c r="AI1148" s="1"/>
      <x:c r="AJ1148" s="1"/>
      <x:c r="AK1148" s="1"/>
      <x:c r="AL1148" s="1"/>
      <x:c r="AM1148" s="1"/>
      <x:c r="AN1148" s="1"/>
    </x:row>
    <x:row r="1149" ht="22" customHeight="1">
      <x:c r="A1149" s="1" t="str">
        <x:v>744178</x:v>
      </x:c>
      <x:c r="B1149" s="1" t="str">
        <x:v>Save A Lot 60131</x:v>
      </x:c>
      <x:c r="C1149" s="1" t="str">
        <x:v>Supermarket</x:v>
      </x:c>
      <x:c r="D1149" s="1" t="str">
        <x:v>6412 Castor Ave</x:v>
      </x:c>
      <x:c r="E1149" s="1" t="str">
        <x:v>Philadelphia</x:v>
      </x:c>
      <x:c r="F1149" s="1" t="str">
        <x:v>PA</x:v>
      </x:c>
      <x:c r="G1149" s="1" t="str">
        <x:v>19149</x:v>
      </x:c>
      <x:c r="H1149" s="1" t="n">
        <x:v>40.040028</x:v>
      </x:c>
      <x:c r="I1149" s="1" t="n">
        <x:v>-75.076973</x:v>
      </x:c>
      <x:c r="J1149" s="1" t="str">
        <x:v>USDA SNAP retailer list</x:v>
      </x:c>
      <x:c r="K1149" s="1" t="str">
        <x:v>2026-10-09</x:v>
      </x:c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  <x:c r="AA1149" s="1"/>
      <x:c r="AB1149" s="1"/>
      <x:c r="AC1149" s="1"/>
      <x:c r="AD1149" s="1"/>
      <x:c r="AE1149" s="1"/>
      <x:c r="AF1149" s="1"/>
      <x:c r="AG1149" s="1"/>
      <x:c r="AH1149" s="1"/>
      <x:c r="AI1149" s="1"/>
      <x:c r="AJ1149" s="1"/>
      <x:c r="AK1149" s="1"/>
      <x:c r="AL1149" s="1"/>
      <x:c r="AM1149" s="1"/>
      <x:c r="AN1149" s="1"/>
    </x:row>
    <x:row r="1150" ht="22" customHeight="1">
      <x:c r="A1150" s="1" t="str">
        <x:v>931961</x:v>
      </x:c>
      <x:c r="B1150" s="1" t="str">
        <x:v>Whole Foods Market 10249</x:v>
      </x:c>
      <x:c r="C1150" s="1" t="str">
        <x:v>Super Store</x:v>
      </x:c>
      <x:c r="D1150" s="1" t="str">
        <x:v>500 W. Germantown Pike</x:v>
      </x:c>
      <x:c r="E1150" s="1" t="str">
        <x:v>Plymouth Meeting</x:v>
      </x:c>
      <x:c r="F1150" s="1" t="str">
        <x:v>PA</x:v>
      </x:c>
      <x:c r="G1150" s="1" t="str">
        <x:v>19462</x:v>
      </x:c>
      <x:c r="H1150" s="1" t="n">
        <x:v>40.115318</x:v>
      </x:c>
      <x:c r="I1150" s="1" t="n">
        <x:v>-75.285568</x:v>
      </x:c>
      <x:c r="J1150" s="1" t="str">
        <x:v>USDA SNAP retailer list</x:v>
      </x:c>
      <x:c r="K1150" s="1" t="str">
        <x:v>2026-10-09</x:v>
      </x:c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  <x:c r="AA1150" s="1"/>
      <x:c r="AB1150" s="1"/>
      <x:c r="AC1150" s="1"/>
      <x:c r="AD1150" s="1"/>
      <x:c r="AE1150" s="1"/>
      <x:c r="AF1150" s="1"/>
      <x:c r="AG1150" s="1"/>
      <x:c r="AH1150" s="1"/>
      <x:c r="AI1150" s="1"/>
      <x:c r="AJ1150" s="1"/>
      <x:c r="AK1150" s="1"/>
      <x:c r="AL1150" s="1"/>
      <x:c r="AM1150" s="1"/>
      <x:c r="AN1150" s="1"/>
    </x:row>
    <x:row r="1151" ht="22" customHeight="1">
      <x:c r="A1151" s="1" t="str">
        <x:v>946643</x:v>
      </x:c>
      <x:c r="B1151" s="1" t="str">
        <x:v>Save A Lot 24712</x:v>
      </x:c>
      <x:c r="C1151" s="1" t="str">
        <x:v>Supermarket</x:v>
      </x:c>
      <x:c r="D1151" s="1" t="str">
        <x:v>5601 Vine St</x:v>
      </x:c>
      <x:c r="E1151" s="1" t="str">
        <x:v>Philadelphia</x:v>
      </x:c>
      <x:c r="F1151" s="1" t="str">
        <x:v>PA</x:v>
      </x:c>
      <x:c r="G1151" s="1" t="str">
        <x:v>19139</x:v>
      </x:c>
      <x:c r="H1151" s="1" t="n">
        <x:v>39.965656</x:v>
      </x:c>
      <x:c r="I1151" s="1" t="n">
        <x:v>-75.232117</x:v>
      </x:c>
      <x:c r="J1151" s="1" t="str">
        <x:v>USDA SNAP retailer list</x:v>
      </x:c>
      <x:c r="K1151" s="1" t="str">
        <x:v>2026-10-09</x:v>
      </x:c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  <x:c r="AA1151" s="1"/>
      <x:c r="AB1151" s="1"/>
      <x:c r="AC1151" s="1"/>
      <x:c r="AD1151" s="1"/>
      <x:c r="AE1151" s="1"/>
      <x:c r="AF1151" s="1"/>
      <x:c r="AG1151" s="1"/>
      <x:c r="AH1151" s="1"/>
      <x:c r="AI1151" s="1"/>
      <x:c r="AJ1151" s="1"/>
      <x:c r="AK1151" s="1"/>
      <x:c r="AL1151" s="1"/>
      <x:c r="AM1151" s="1"/>
      <x:c r="AN1151" s="1"/>
    </x:row>
    <x:row r="1152" ht="22" customHeight="1">
      <x:c r="A1152" s="1" t="str">
        <x:v>903503</x:v>
      </x:c>
      <x:c r="B1152" s="1" t="str">
        <x:v>Walmart Supercenter 5476</x:v>
      </x:c>
      <x:c r="C1152" s="1" t="str">
        <x:v>Super Store</x:v>
      </x:c>
      <x:c r="D1152" s="1" t="str">
        <x:v>820 Cooper St</x:v>
      </x:c>
      <x:c r="E1152" s="1" t="str">
        <x:v>Woodbury</x:v>
      </x:c>
      <x:c r="F1152" s="1" t="str">
        <x:v>NJ</x:v>
      </x:c>
      <x:c r="G1152" s="1" t="str">
        <x:v>08096</x:v>
      </x:c>
      <x:c r="H1152" s="1" t="n">
        <x:v>39.830151</x:v>
      </x:c>
      <x:c r="I1152" s="1" t="n">
        <x:v>-75.129105</x:v>
      </x:c>
      <x:c r="J1152" s="1" t="str">
        <x:v>USDA SNAP retailer list</x:v>
      </x:c>
      <x:c r="K1152" s="1" t="str">
        <x:v>2026-10-09</x:v>
      </x:c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  <x:c r="AA1152" s="1"/>
      <x:c r="AB1152" s="1"/>
      <x:c r="AC1152" s="1"/>
      <x:c r="AD1152" s="1"/>
      <x:c r="AE1152" s="1"/>
      <x:c r="AF1152" s="1"/>
      <x:c r="AG1152" s="1"/>
      <x:c r="AH1152" s="1"/>
      <x:c r="AI1152" s="1"/>
      <x:c r="AJ1152" s="1"/>
      <x:c r="AK1152" s="1"/>
      <x:c r="AL1152" s="1"/>
      <x:c r="AM1152" s="1"/>
      <x:c r="AN1152" s="1"/>
    </x:row>
    <x:row r="1153" ht="22" customHeight="1">
      <x:c r="A1153" s="1" t="str">
        <x:v>923784</x:v>
      </x:c>
      <x:c r="B1153" s="1" t="str">
        <x:v>Costco Wholesale 0749</x:v>
      </x:c>
      <x:c r="C1153" s="1" t="str">
        <x:v>Super Store</x:v>
      </x:c>
      <x:c r="D1153" s="1" t="str">
        <x:v>100 Centerton Rd</x:v>
      </x:c>
      <x:c r="E1153" s="1" t="str">
        <x:v>Mount Laurel</x:v>
      </x:c>
      <x:c r="F1153" s="1" t="str">
        <x:v>NJ</x:v>
      </x:c>
      <x:c r="G1153" s="1" t="str">
        <x:v>08054</x:v>
      </x:c>
      <x:c r="H1153" s="1" t="n">
        <x:v>39.971821</x:v>
      </x:c>
      <x:c r="I1153" s="1" t="n">
        <x:v>-74.907005</x:v>
      </x:c>
      <x:c r="J1153" s="1" t="str">
        <x:v>USDA SNAP retailer list</x:v>
      </x:c>
      <x:c r="K1153" s="1" t="str">
        <x:v>2026-10-09</x:v>
      </x:c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  <x:c r="AA1153" s="1"/>
      <x:c r="AB1153" s="1"/>
      <x:c r="AC1153" s="1"/>
      <x:c r="AD1153" s="1"/>
      <x:c r="AE1153" s="1"/>
      <x:c r="AF1153" s="1"/>
      <x:c r="AG1153" s="1"/>
      <x:c r="AH1153" s="1"/>
      <x:c r="AI1153" s="1"/>
      <x:c r="AJ1153" s="1"/>
      <x:c r="AK1153" s="1"/>
      <x:c r="AL1153" s="1"/>
      <x:c r="AM1153" s="1"/>
      <x:c r="AN1153" s="1"/>
    </x:row>
    <x:row r="1154" ht="22" customHeight="1">
      <x:c r="A1154" s="1" t="str">
        <x:v>906753</x:v>
      </x:c>
      <x:c r="B1154" s="1" t="str">
        <x:v>THE FRESH GROCER</x:v>
      </x:c>
      <x:c r="C1154" s="1" t="str">
        <x:v>Super Store</x:v>
      </x:c>
      <x:c r="D1154" s="1" t="str">
        <x:v>5301 Chew Ave</x:v>
      </x:c>
      <x:c r="E1154" s="1" t="str">
        <x:v>Philadelphia</x:v>
      </x:c>
      <x:c r="F1154" s="1" t="str">
        <x:v>PA</x:v>
      </x:c>
      <x:c r="G1154" s="1" t="str">
        <x:v>19138</x:v>
      </x:c>
      <x:c r="H1154" s="1" t="n">
        <x:v>40.041813</x:v>
      </x:c>
      <x:c r="I1154" s="1" t="n">
        <x:v>-75.158714</x:v>
      </x:c>
      <x:c r="J1154" s="1" t="str">
        <x:v>USDA SNAP retailer list</x:v>
      </x:c>
      <x:c r="K1154" s="1" t="str">
        <x:v>2026-10-09</x:v>
      </x:c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  <x:c r="AA1154" s="1"/>
      <x:c r="AB1154" s="1"/>
      <x:c r="AC1154" s="1"/>
      <x:c r="AD1154" s="1"/>
      <x:c r="AE1154" s="1"/>
      <x:c r="AF1154" s="1"/>
      <x:c r="AG1154" s="1"/>
      <x:c r="AH1154" s="1"/>
      <x:c r="AI1154" s="1"/>
      <x:c r="AJ1154" s="1"/>
      <x:c r="AK1154" s="1"/>
      <x:c r="AL1154" s="1"/>
      <x:c r="AM1154" s="1"/>
      <x:c r="AN1154" s="1"/>
    </x:row>
    <x:row r="1155" ht="22" customHeight="1">
      <x:c r="A1155" s="1" t="str">
        <x:v>1294972</x:v>
      </x:c>
      <x:c r="B1155" s="1" t="str">
        <x:v>ACME 2771</x:v>
      </x:c>
      <x:c r="C1155" s="1" t="str">
        <x:v>Supermarket</x:v>
      </x:c>
      <x:c r="D1155" s="1" t="str">
        <x:v>29 Snyder Ave</x:v>
      </x:c>
      <x:c r="E1155" s="1" t="str">
        <x:v>Philadelphia</x:v>
      </x:c>
      <x:c r="F1155" s="1" t="str">
        <x:v>PA</x:v>
      </x:c>
      <x:c r="G1155" s="1" t="str">
        <x:v>19148</x:v>
      </x:c>
      <x:c r="H1155" s="1" t="n">
        <x:v>39.921513</x:v>
      </x:c>
      <x:c r="I1155" s="1" t="n">
        <x:v>-75.146774</x:v>
      </x:c>
      <x:c r="J1155" s="1" t="str">
        <x:v>USDA SNAP retailer list</x:v>
      </x:c>
      <x:c r="K1155" s="1" t="str">
        <x:v>2026-10-09</x:v>
      </x:c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  <x:c r="AA1155" s="1"/>
      <x:c r="AB1155" s="1"/>
      <x:c r="AC1155" s="1"/>
      <x:c r="AD1155" s="1"/>
      <x:c r="AE1155" s="1"/>
      <x:c r="AF1155" s="1"/>
      <x:c r="AG1155" s="1"/>
      <x:c r="AH1155" s="1"/>
      <x:c r="AI1155" s="1"/>
      <x:c r="AJ1155" s="1"/>
      <x:c r="AK1155" s="1"/>
      <x:c r="AL1155" s="1"/>
      <x:c r="AM1155" s="1"/>
      <x:c r="AN1155" s="1"/>
    </x:row>
    <x:row r="1156" ht="22" customHeight="1">
      <x:c r="A1156" s="1" t="str">
        <x:v>1041845</x:v>
      </x:c>
      <x:c r="B1156" s="1" t="str">
        <x:v>Giant Food Store 6510</x:v>
      </x:c>
      <x:c r="C1156" s="1" t="str">
        <x:v>Supermarket</x:v>
      </x:c>
      <x:c r="D1156" s="1" t="str">
        <x:v>1121 Bethlehem Pike</x:v>
      </x:c>
      <x:c r="E1156" s="1" t="str">
        <x:v>Spring House</x:v>
      </x:c>
      <x:c r="F1156" s="1" t="str">
        <x:v>PA</x:v>
      </x:c>
      <x:c r="G1156" s="1" t="str">
        <x:v>19477</x:v>
      </x:c>
      <x:c r="H1156" s="1" t="n">
        <x:v>40.185654</x:v>
      </x:c>
      <x:c r="I1156" s="1" t="n">
        <x:v>-75.227821</x:v>
      </x:c>
      <x:c r="J1156" s="1" t="str">
        <x:v>USDA SNAP retailer list</x:v>
      </x:c>
      <x:c r="K1156" s="1" t="str">
        <x:v>2026-10-09</x:v>
      </x:c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  <x:c r="AA1156" s="1"/>
      <x:c r="AB1156" s="1"/>
      <x:c r="AC1156" s="1"/>
      <x:c r="AD1156" s="1"/>
      <x:c r="AE1156" s="1"/>
      <x:c r="AF1156" s="1"/>
      <x:c r="AG1156" s="1"/>
      <x:c r="AH1156" s="1"/>
      <x:c r="AI1156" s="1"/>
      <x:c r="AJ1156" s="1"/>
      <x:c r="AK1156" s="1"/>
      <x:c r="AL1156" s="1"/>
      <x:c r="AM1156" s="1"/>
      <x:c r="AN1156" s="1"/>
    </x:row>
    <x:row r="1157" ht="22" customHeight="1">
      <x:c r="A1157" s="1" t="str">
        <x:v>1041977</x:v>
      </x:c>
      <x:c r="B1157" s="1" t="str">
        <x:v>Giant Food Store 6507</x:v>
      </x:c>
      <x:c r="C1157" s="1" t="str">
        <x:v>Supermarket</x:v>
      </x:c>
      <x:c r="D1157" s="1" t="str">
        <x:v>550 E Lancaster Ave</x:v>
      </x:c>
      <x:c r="E1157" s="1" t="str">
        <x:v>St Davids</x:v>
      </x:c>
      <x:c r="F1157" s="1" t="str">
        <x:v>PA</x:v>
      </x:c>
      <x:c r="G1157" s="1" t="str">
        <x:v>19087</x:v>
      </x:c>
      <x:c r="H1157" s="1" t="n">
        <x:v>40.040573</x:v>
      </x:c>
      <x:c r="I1157" s="1" t="n">
        <x:v>-75.367943</x:v>
      </x:c>
      <x:c r="J1157" s="1" t="str">
        <x:v>USDA SNAP retailer list</x:v>
      </x:c>
      <x:c r="K1157" s="1" t="str">
        <x:v>2026-10-09</x:v>
      </x:c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  <x:c r="AA1157" s="1"/>
      <x:c r="AB1157" s="1"/>
      <x:c r="AC1157" s="1"/>
      <x:c r="AD1157" s="1"/>
      <x:c r="AE1157" s="1"/>
      <x:c r="AF1157" s="1"/>
      <x:c r="AG1157" s="1"/>
      <x:c r="AH1157" s="1"/>
      <x:c r="AI1157" s="1"/>
      <x:c r="AJ1157" s="1"/>
      <x:c r="AK1157" s="1"/>
      <x:c r="AL1157" s="1"/>
      <x:c r="AM1157" s="1"/>
      <x:c r="AN1157" s="1"/>
    </x:row>
    <x:row r="1158" ht="22" customHeight="1">
      <x:c r="A1158" s="1" t="str">
        <x:v>1041992</x:v>
      </x:c>
      <x:c r="B1158" s="1" t="str">
        <x:v>Giant Food Store 6517</x:v>
      </x:c>
      <x:c r="C1158" s="1" t="str">
        <x:v>Supermarket</x:v>
      </x:c>
      <x:c r="D1158" s="1" t="str">
        <x:v>168 N Flowers Mill Rd</x:v>
      </x:c>
      <x:c r="E1158" s="1" t="str">
        <x:v>Langhorne</x:v>
      </x:c>
      <x:c r="F1158" s="1" t="str">
        <x:v>PA</x:v>
      </x:c>
      <x:c r="G1158" s="1" t="str">
        <x:v>19047</x:v>
      </x:c>
      <x:c r="H1158" s="1" t="n">
        <x:v>40.181622</x:v>
      </x:c>
      <x:c r="I1158" s="1" t="n">
        <x:v>-74.907425</x:v>
      </x:c>
      <x:c r="J1158" s="1" t="str">
        <x:v>USDA SNAP retailer list</x:v>
      </x:c>
      <x:c r="K1158" s="1" t="str">
        <x:v>2026-10-09</x:v>
      </x:c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  <x:c r="AA1158" s="1"/>
      <x:c r="AB1158" s="1"/>
      <x:c r="AC1158" s="1"/>
      <x:c r="AD1158" s="1"/>
      <x:c r="AE1158" s="1"/>
      <x:c r="AF1158" s="1"/>
      <x:c r="AG1158" s="1"/>
      <x:c r="AH1158" s="1"/>
      <x:c r="AI1158" s="1"/>
      <x:c r="AJ1158" s="1"/>
      <x:c r="AK1158" s="1"/>
      <x:c r="AL1158" s="1"/>
      <x:c r="AM1158" s="1"/>
      <x:c r="AN1158" s="1"/>
    </x:row>
    <x:row r="1159" ht="22" customHeight="1">
      <x:c r="A1159" s="1" t="str">
        <x:v>862106</x:v>
      </x:c>
      <x:c r="B1159" s="1" t="str">
        <x:v>Walmart 3422</x:v>
      </x:c>
      <x:c r="C1159" s="1" t="str">
        <x:v>Super Store</x:v>
      </x:c>
      <x:c r="D1159" s="1" t="str">
        <x:v>2000 Clements Bridge Rd</x:v>
      </x:c>
      <x:c r="E1159" s="1" t="str">
        <x:v>Deptford</x:v>
      </x:c>
      <x:c r="F1159" s="1" t="str">
        <x:v>NJ</x:v>
      </x:c>
      <x:c r="G1159" s="1" t="str">
        <x:v>08096</x:v>
      </x:c>
      <x:c r="H1159" s="1" t="n">
        <x:v>39.837608</x:v>
      </x:c>
      <x:c r="I1159" s="1" t="n">
        <x:v>-75.089859</x:v>
      </x:c>
      <x:c r="J1159" s="1" t="str">
        <x:v>USDA SNAP retailer list</x:v>
      </x:c>
      <x:c r="K1159" s="1" t="str">
        <x:v>2026-10-09</x:v>
      </x:c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  <x:c r="AA1159" s="1"/>
      <x:c r="AB1159" s="1"/>
      <x:c r="AC1159" s="1"/>
      <x:c r="AD1159" s="1"/>
      <x:c r="AE1159" s="1"/>
      <x:c r="AF1159" s="1"/>
      <x:c r="AG1159" s="1"/>
      <x:c r="AH1159" s="1"/>
      <x:c r="AI1159" s="1"/>
      <x:c r="AJ1159" s="1"/>
      <x:c r="AK1159" s="1"/>
      <x:c r="AL1159" s="1"/>
      <x:c r="AM1159" s="1"/>
      <x:c r="AN1159" s="1"/>
    </x:row>
    <x:row r="1160" ht="22" customHeight="1">
      <x:c r="A1160" s="1" t="str">
        <x:v>1298051</x:v>
      </x:c>
      <x:c r="B1160" s="1" t="str">
        <x:v>MOM's Organic Market 17</x:v>
      </x:c>
      <x:c r="C1160" s="1" t="str">
        <x:v>Super Store</x:v>
      </x:c>
      <x:c r="D1160" s="1" t="str">
        <x:v>34 S 11th St</x:v>
      </x:c>
      <x:c r="E1160" s="1" t="str">
        <x:v>Philadelphia</x:v>
      </x:c>
      <x:c r="F1160" s="1" t="str">
        <x:v>PA</x:v>
      </x:c>
      <x:c r="G1160" s="1" t="str">
        <x:v>19107</x:v>
      </x:c>
      <x:c r="H1160" s="1" t="n">
        <x:v>39.950554</x:v>
      </x:c>
      <x:c r="I1160" s="1" t="n">
        <x:v>-75.158585</x:v>
      </x:c>
      <x:c r="J1160" s="1" t="str">
        <x:v>USDA SNAP retailer list</x:v>
      </x:c>
      <x:c r="K1160" s="1" t="str">
        <x:v>2026-10-09</x:v>
      </x:c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  <x:c r="AA1160" s="1"/>
      <x:c r="AB1160" s="1"/>
      <x:c r="AC1160" s="1"/>
      <x:c r="AD1160" s="1"/>
      <x:c r="AE1160" s="1"/>
      <x:c r="AF1160" s="1"/>
      <x:c r="AG1160" s="1"/>
      <x:c r="AH1160" s="1"/>
      <x:c r="AI1160" s="1"/>
      <x:c r="AJ1160" s="1"/>
      <x:c r="AK1160" s="1"/>
      <x:c r="AL1160" s="1"/>
      <x:c r="AM1160" s="1"/>
      <x:c r="AN1160" s="1"/>
    </x:row>
    <x:row r="1161" ht="22" customHeight="1">
      <x:c r="A1161" s="1" t="str">
        <x:v>1049038</x:v>
      </x:c>
      <x:c r="B1161" s="1" t="str">
        <x:v>Walmart 5891</x:v>
      </x:c>
      <x:c r="C1161" s="1" t="str">
        <x:v>Super Store</x:v>
      </x:c>
      <x:c r="D1161" s="1" t="str">
        <x:v>2200 Wheatsheaf Ln</x:v>
      </x:c>
      <x:c r="E1161" s="1" t="str">
        <x:v>Philadelphia</x:v>
      </x:c>
      <x:c r="F1161" s="1" t="str">
        <x:v>PA</x:v>
      </x:c>
      <x:c r="G1161" s="1" t="str">
        <x:v>19137</x:v>
      </x:c>
      <x:c r="H1161" s="1" t="n">
        <x:v>39.999031</x:v>
      </x:c>
      <x:c r="I1161" s="1" t="n">
        <x:v>-75.091789</x:v>
      </x:c>
      <x:c r="J1161" s="1" t="str">
        <x:v>USDA SNAP retailer list</x:v>
      </x:c>
      <x:c r="K1161" s="1" t="str">
        <x:v>2026-10-09</x:v>
      </x:c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  <x:c r="AA1161" s="1"/>
      <x:c r="AB1161" s="1"/>
      <x:c r="AC1161" s="1"/>
      <x:c r="AD1161" s="1"/>
      <x:c r="AE1161" s="1"/>
      <x:c r="AF1161" s="1"/>
      <x:c r="AG1161" s="1"/>
      <x:c r="AH1161" s="1"/>
      <x:c r="AI1161" s="1"/>
      <x:c r="AJ1161" s="1"/>
      <x:c r="AK1161" s="1"/>
      <x:c r="AL1161" s="1"/>
      <x:c r="AM1161" s="1"/>
      <x:c r="AN1161" s="1"/>
    </x:row>
    <x:row r="1162" ht="22" customHeight="1">
      <x:c r="A1162" s="1" t="str">
        <x:v>1098245</x:v>
      </x:c>
      <x:c r="B1162" s="1" t="str">
        <x:v>5 Lee Brothers Corp</x:v>
      </x:c>
      <x:c r="C1162" s="1" t="str">
        <x:v>Super Store</x:v>
      </x:c>
      <x:c r="D1162" s="1" t="str">
        <x:v>1930 W Main St</x:v>
      </x:c>
      <x:c r="E1162" s="1" t="str">
        <x:v>Norristown</x:v>
      </x:c>
      <x:c r="F1162" s="1" t="str">
        <x:v>PA</x:v>
      </x:c>
      <x:c r="G1162" s="1" t="str">
        <x:v>19403</x:v>
      </x:c>
      <x:c r="H1162" s="1" t="n">
        <x:v>40.131355</x:v>
      </x:c>
      <x:c r="I1162" s="1" t="n">
        <x:v>-75.376236</x:v>
      </x:c>
      <x:c r="J1162" s="1" t="str">
        <x:v>USDA SNAP retailer list</x:v>
      </x:c>
      <x:c r="K1162" s="1" t="str">
        <x:v>2026-10-09</x:v>
      </x:c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  <x:c r="AA1162" s="1"/>
      <x:c r="AB1162" s="1"/>
      <x:c r="AC1162" s="1"/>
      <x:c r="AD1162" s="1"/>
      <x:c r="AE1162" s="1"/>
      <x:c r="AF1162" s="1"/>
      <x:c r="AG1162" s="1"/>
      <x:c r="AH1162" s="1"/>
      <x:c r="AI1162" s="1"/>
      <x:c r="AJ1162" s="1"/>
      <x:c r="AK1162" s="1"/>
      <x:c r="AL1162" s="1"/>
      <x:c r="AM1162" s="1"/>
      <x:c r="AN1162" s="1"/>
    </x:row>
    <x:row r="1163" ht="22" customHeight="1">
      <x:c r="A1163" s="1" t="str">
        <x:v>1112130</x:v>
      </x:c>
      <x:c r="B1163" s="1" t="str">
        <x:v>SAVE-A-LOT 60132</x:v>
      </x:c>
      <x:c r="C1163" s="1" t="str">
        <x:v>Supermarket</x:v>
      </x:c>
      <x:c r="D1163" s="1" t="str">
        <x:v>6801 Frankford Ave</x:v>
      </x:c>
      <x:c r="E1163" s="1" t="str">
        <x:v>Philadelphia</x:v>
      </x:c>
      <x:c r="F1163" s="1" t="str">
        <x:v>PA</x:v>
      </x:c>
      <x:c r="G1163" s="1" t="str">
        <x:v>19135</x:v>
      </x:c>
      <x:c r="H1163" s="1" t="n">
        <x:v>40.032036</x:v>
      </x:c>
      <x:c r="I1163" s="1" t="n">
        <x:v>-75.05011</x:v>
      </x:c>
      <x:c r="J1163" s="1" t="str">
        <x:v>USDA SNAP retailer list</x:v>
      </x:c>
      <x:c r="K1163" s="1" t="str">
        <x:v>2026-10-09</x:v>
      </x:c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  <x:c r="AA1163" s="1"/>
      <x:c r="AB1163" s="1"/>
      <x:c r="AC1163" s="1"/>
      <x:c r="AD1163" s="1"/>
      <x:c r="AE1163" s="1"/>
      <x:c r="AF1163" s="1"/>
      <x:c r="AG1163" s="1"/>
      <x:c r="AH1163" s="1"/>
      <x:c r="AI1163" s="1"/>
      <x:c r="AJ1163" s="1"/>
      <x:c r="AK1163" s="1"/>
      <x:c r="AL1163" s="1"/>
      <x:c r="AM1163" s="1"/>
      <x:c r="AN1163" s="1"/>
    </x:row>
    <x:row r="1164" ht="22" customHeight="1">
      <x:c r="A1164" s="1" t="str">
        <x:v>1103774</x:v>
      </x:c>
      <x:c r="B1164" s="1" t="str">
        <x:v>Aldi 60029</x:v>
      </x:c>
      <x:c r="C1164" s="1" t="str">
        <x:v>Supermarket</x:v>
      </x:c>
      <x:c r="D1164" s="1" t="str">
        <x:v>651 Rt 70 West</x:v>
      </x:c>
      <x:c r="E1164" s="1" t="str">
        <x:v>Marlton</x:v>
      </x:c>
      <x:c r="F1164" s="1" t="str">
        <x:v>NJ</x:v>
      </x:c>
      <x:c r="G1164" s="1" t="str">
        <x:v>08053</x:v>
      </x:c>
      <x:c r="H1164" s="1" t="n">
        <x:v>39.895668</x:v>
      </x:c>
      <x:c r="I1164" s="1" t="n">
        <x:v>-74.938927</x:v>
      </x:c>
      <x:c r="J1164" s="1" t="str">
        <x:v>USDA SNAP retailer list</x:v>
      </x:c>
      <x:c r="K1164" s="1" t="str">
        <x:v>2026-10-09</x:v>
      </x:c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  <x:c r="AA1164" s="1"/>
      <x:c r="AB1164" s="1"/>
      <x:c r="AC1164" s="1"/>
      <x:c r="AD1164" s="1"/>
      <x:c r="AE1164" s="1"/>
      <x:c r="AF1164" s="1"/>
      <x:c r="AG1164" s="1"/>
      <x:c r="AH1164" s="1"/>
      <x:c r="AI1164" s="1"/>
      <x:c r="AJ1164" s="1"/>
      <x:c r="AK1164" s="1"/>
      <x:c r="AL1164" s="1"/>
      <x:c r="AM1164" s="1"/>
      <x:c r="AN1164" s="1"/>
    </x:row>
    <x:row r="1165" ht="22" customHeight="1">
      <x:c r="A1165" s="1" t="str">
        <x:v>1059013</x:v>
      </x:c>
      <x:c r="B1165" s="1" t="str">
        <x:v>Weis Markets 231</x:v>
      </x:c>
      <x:c r="C1165" s="1" t="str">
        <x:v>Supermarket</x:v>
      </x:c>
      <x:c r="D1165" s="1" t="str">
        <x:v>200 W Ridge Pike</x:v>
      </x:c>
      <x:c r="E1165" s="1" t="str">
        <x:v>Conshohocken</x:v>
      </x:c>
      <x:c r="F1165" s="1" t="str">
        <x:v>PA</x:v>
      </x:c>
      <x:c r="G1165" s="1" t="str">
        <x:v>19428</x:v>
      </x:c>
      <x:c r="H1165" s="1" t="n">
        <x:v>40.09557</x:v>
      </x:c>
      <x:c r="I1165" s="1" t="n">
        <x:v>-75.287605</x:v>
      </x:c>
      <x:c r="J1165" s="1" t="str">
        <x:v>USDA SNAP retailer list</x:v>
      </x:c>
      <x:c r="K1165" s="1" t="str">
        <x:v>2026-10-09</x:v>
      </x:c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  <x:c r="AA1165" s="1"/>
      <x:c r="AB1165" s="1"/>
      <x:c r="AC1165" s="1"/>
      <x:c r="AD1165" s="1"/>
      <x:c r="AE1165" s="1"/>
      <x:c r="AF1165" s="1"/>
      <x:c r="AG1165" s="1"/>
      <x:c r="AH1165" s="1"/>
      <x:c r="AI1165" s="1"/>
      <x:c r="AJ1165" s="1"/>
      <x:c r="AK1165" s="1"/>
      <x:c r="AL1165" s="1"/>
      <x:c r="AM1165" s="1"/>
      <x:c r="AN1165" s="1"/>
    </x:row>
    <x:row r="1166" ht="22" customHeight="1">
      <x:c r="A1166" s="1" t="str">
        <x:v>1059038</x:v>
      </x:c>
      <x:c r="B1166" s="1" t="str">
        <x:v>Weis Markets 233</x:v>
      </x:c>
      <x:c r="C1166" s="1" t="str">
        <x:v>Supermarket</x:v>
      </x:c>
      <x:c r="D1166" s="1" t="str">
        <x:v>25 W Germantown Pike</x:v>
      </x:c>
      <x:c r="E1166" s="1" t="str">
        <x:v>Norristown</x:v>
      </x:c>
      <x:c r="F1166" s="1" t="str">
        <x:v>PA</x:v>
      </x:c>
      <x:c r="G1166" s="1" t="str">
        <x:v>19401</x:v>
      </x:c>
      <x:c r="H1166" s="1" t="n">
        <x:v>40.142807</x:v>
      </x:c>
      <x:c r="I1166" s="1" t="n">
        <x:v>-75.313858</x:v>
      </x:c>
      <x:c r="J1166" s="1" t="str">
        <x:v>USDA SNAP retailer list</x:v>
      </x:c>
      <x:c r="K1166" s="1" t="str">
        <x:v>2026-10-09</x:v>
      </x:c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  <x:c r="AA1166" s="1"/>
      <x:c r="AB1166" s="1"/>
      <x:c r="AC1166" s="1"/>
      <x:c r="AD1166" s="1"/>
      <x:c r="AE1166" s="1"/>
      <x:c r="AF1166" s="1"/>
      <x:c r="AG1166" s="1"/>
      <x:c r="AH1166" s="1"/>
      <x:c r="AI1166" s="1"/>
      <x:c r="AJ1166" s="1"/>
      <x:c r="AK1166" s="1"/>
      <x:c r="AL1166" s="1"/>
      <x:c r="AM1166" s="1"/>
      <x:c r="AN1166" s="1"/>
    </x:row>
    <x:row r="1167" ht="22" customHeight="1">
      <x:c r="A1167" s="1" t="str">
        <x:v>1685699</x:v>
      </x:c>
      <x:c r="B1167" s="1" t="str">
        <x:v>Costco Wholesale 1103</x:v>
      </x:c>
      <x:c r="C1167" s="1" t="str">
        <x:v>Super Store</x:v>
      </x:c>
      <x:c r="D1167" s="1" t="str">
        <x:v>100 Veterans Way</x:v>
      </x:c>
      <x:c r="E1167" s="1" t="str">
        <x:v>Warminster</x:v>
      </x:c>
      <x:c r="F1167" s="1" t="str">
        <x:v>PA</x:v>
      </x:c>
      <x:c r="G1167" s="1" t="str">
        <x:v>18974</x:v>
      </x:c>
      <x:c r="H1167" s="1" t="n">
        <x:v>40.196732</x:v>
      </x:c>
      <x:c r="I1167" s="1" t="n">
        <x:v>-75.080017</x:v>
      </x:c>
      <x:c r="J1167" s="1" t="str">
        <x:v>USDA SNAP retailer list</x:v>
      </x:c>
      <x:c r="K1167" s="1" t="str">
        <x:v>2026-10-09</x:v>
      </x:c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  <x:c r="AA1167" s="1"/>
      <x:c r="AB1167" s="1"/>
      <x:c r="AC1167" s="1"/>
      <x:c r="AD1167" s="1"/>
      <x:c r="AE1167" s="1"/>
      <x:c r="AF1167" s="1"/>
      <x:c r="AG1167" s="1"/>
      <x:c r="AH1167" s="1"/>
      <x:c r="AI1167" s="1"/>
      <x:c r="AJ1167" s="1"/>
      <x:c r="AK1167" s="1"/>
      <x:c r="AL1167" s="1"/>
      <x:c r="AM1167" s="1"/>
      <x:c r="AN1167" s="1"/>
    </x:row>
    <x:row r="1168" ht="22" customHeight="1">
      <x:c r="A1168" s="1" t="str">
        <x:v>1443900</x:v>
      </x:c>
      <x:c r="B1168" s="1" t="str">
        <x:v>Walmart 5103</x:v>
      </x:c>
      <x:c r="C1168" s="1" t="str">
        <x:v>Super Store</x:v>
      </x:c>
      <x:c r="D1168" s="1" t="str">
        <x:v>4600 E Roosevelt Blvd</x:v>
      </x:c>
      <x:c r="E1168" s="1" t="str">
        <x:v>Philadelphia</x:v>
      </x:c>
      <x:c r="F1168" s="1" t="str">
        <x:v>PA</x:v>
      </x:c>
      <x:c r="G1168" s="1" t="str">
        <x:v>19124</x:v>
      </x:c>
      <x:c r="H1168" s="1" t="n">
        <x:v>40.02845</x:v>
      </x:c>
      <x:c r="I1168" s="1" t="n">
        <x:v>-75.09951</x:v>
      </x:c>
      <x:c r="J1168" s="1" t="str">
        <x:v>USDA SNAP retailer list</x:v>
      </x:c>
      <x:c r="K1168" s="1" t="str">
        <x:v>2026-10-09</x:v>
      </x:c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  <x:c r="AA1168" s="1"/>
      <x:c r="AB1168" s="1"/>
      <x:c r="AC1168" s="1"/>
      <x:c r="AD1168" s="1"/>
      <x:c r="AE1168" s="1"/>
      <x:c r="AF1168" s="1"/>
      <x:c r="AG1168" s="1"/>
      <x:c r="AH1168" s="1"/>
      <x:c r="AI1168" s="1"/>
      <x:c r="AJ1168" s="1"/>
      <x:c r="AK1168" s="1"/>
      <x:c r="AL1168" s="1"/>
      <x:c r="AM1168" s="1"/>
      <x:c r="AN1168" s="1"/>
    </x:row>
    <x:row r="1169" ht="22" customHeight="1">
      <x:c r="A1169" s="1" t="str">
        <x:v>1443903</x:v>
      </x:c>
      <x:c r="B1169" s="1" t="str">
        <x:v>ACME MARKETS LLC 1725</x:v>
      </x:c>
      <x:c r="C1169" s="1" t="str">
        <x:v>Supermarket</x:v>
      </x:c>
      <x:c r="D1169" s="1" t="str">
        <x:v>8200 Roosevelt Blvd</x:v>
      </x:c>
      <x:c r="E1169" s="1" t="str">
        <x:v>Philadelphia</x:v>
      </x:c>
      <x:c r="F1169" s="1" t="str">
        <x:v>PA</x:v>
      </x:c>
      <x:c r="G1169" s="1" t="str">
        <x:v>19152</x:v>
      </x:c>
      <x:c r="H1169" s="1" t="n">
        <x:v>40.06044</x:v>
      </x:c>
      <x:c r="I1169" s="1" t="n">
        <x:v>-75.045105</x:v>
      </x:c>
      <x:c r="J1169" s="1" t="str">
        <x:v>USDA SNAP retailer list</x:v>
      </x:c>
      <x:c r="K1169" s="1" t="str">
        <x:v>2026-10-09</x:v>
      </x:c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  <x:c r="AA1169" s="1"/>
      <x:c r="AB1169" s="1"/>
      <x:c r="AC1169" s="1"/>
      <x:c r="AD1169" s="1"/>
      <x:c r="AE1169" s="1"/>
      <x:c r="AF1169" s="1"/>
      <x:c r="AG1169" s="1"/>
      <x:c r="AH1169" s="1"/>
      <x:c r="AI1169" s="1"/>
      <x:c r="AJ1169" s="1"/>
      <x:c r="AK1169" s="1"/>
      <x:c r="AL1169" s="1"/>
      <x:c r="AM1169" s="1"/>
      <x:c r="AN1169" s="1"/>
    </x:row>
    <x:row r="1170" ht="22" customHeight="1">
      <x:c r="A1170" s="1" t="str">
        <x:v>1443916</x:v>
      </x:c>
      <x:c r="B1170" s="1" t="str">
        <x:v>Save A Lot 60143</x:v>
      </x:c>
      <x:c r="C1170" s="1" t="str">
        <x:v>Supermarket</x:v>
      </x:c>
      <x:c r="D1170" s="1" t="str">
        <x:v>101 W Cheltenham Ave</x:v>
      </x:c>
      <x:c r="E1170" s="1" t="str">
        <x:v>Cheltenham</x:v>
      </x:c>
      <x:c r="F1170" s="1" t="str">
        <x:v>PA</x:v>
      </x:c>
      <x:c r="G1170" s="1" t="str">
        <x:v>19012</x:v>
      </x:c>
      <x:c r="H1170" s="1" t="n">
        <x:v>40.051224</x:v>
      </x:c>
      <x:c r="I1170" s="1" t="n">
        <x:v>-75.118629</x:v>
      </x:c>
      <x:c r="J1170" s="1" t="str">
        <x:v>USDA SNAP retailer list</x:v>
      </x:c>
      <x:c r="K1170" s="1" t="str">
        <x:v>2026-10-09</x:v>
      </x:c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  <x:c r="AA1170" s="1"/>
      <x:c r="AB1170" s="1"/>
      <x:c r="AC1170" s="1"/>
      <x:c r="AD1170" s="1"/>
      <x:c r="AE1170" s="1"/>
      <x:c r="AF1170" s="1"/>
      <x:c r="AG1170" s="1"/>
      <x:c r="AH1170" s="1"/>
      <x:c r="AI1170" s="1"/>
      <x:c r="AJ1170" s="1"/>
      <x:c r="AK1170" s="1"/>
      <x:c r="AL1170" s="1"/>
      <x:c r="AM1170" s="1"/>
      <x:c r="AN1170" s="1"/>
    </x:row>
    <x:row r="1171" ht="22" customHeight="1">
      <x:c r="A1171" s="1" t="str">
        <x:v>1443919</x:v>
      </x:c>
      <x:c r="B1171" s="1" t="str">
        <x:v>Save A Lot 60136</x:v>
      </x:c>
      <x:c r="C1171" s="1" t="str">
        <x:v>Supermarket</x:v>
      </x:c>
      <x:c r="D1171" s="1" t="str">
        <x:v>400 W Allegheny Ave</x:v>
      </x:c>
      <x:c r="E1171" s="1" t="str">
        <x:v>Philadelphia</x:v>
      </x:c>
      <x:c r="F1171" s="1" t="str">
        <x:v>PA</x:v>
      </x:c>
      <x:c r="G1171" s="1" t="str">
        <x:v>19133</x:v>
      </x:c>
      <x:c r="H1171" s="1" t="n">
        <x:v>39.999096</x:v>
      </x:c>
      <x:c r="I1171" s="1" t="n">
        <x:v>-75.136856</x:v>
      </x:c>
      <x:c r="J1171" s="1" t="str">
        <x:v>USDA SNAP retailer list</x:v>
      </x:c>
      <x:c r="K1171" s="1" t="str">
        <x:v>2026-10-09</x:v>
      </x:c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  <x:c r="AA1171" s="1"/>
      <x:c r="AB1171" s="1"/>
      <x:c r="AC1171" s="1"/>
      <x:c r="AD1171" s="1"/>
      <x:c r="AE1171" s="1"/>
      <x:c r="AF1171" s="1"/>
      <x:c r="AG1171" s="1"/>
      <x:c r="AH1171" s="1"/>
      <x:c r="AI1171" s="1"/>
      <x:c r="AJ1171" s="1"/>
      <x:c r="AK1171" s="1"/>
      <x:c r="AL1171" s="1"/>
      <x:c r="AM1171" s="1"/>
      <x:c r="AN1171" s="1"/>
    </x:row>
    <x:row r="1172" ht="22" customHeight="1">
      <x:c r="A1172" s="1" t="str">
        <x:v>1443921</x:v>
      </x:c>
      <x:c r="B1172" s="1" t="str">
        <x:v>Shoprite of Parkside 419</x:v>
      </x:c>
      <x:c r="C1172" s="1" t="str">
        <x:v>Super Store</x:v>
      </x:c>
      <x:c r="D1172" s="1" t="str">
        <x:v>1575 N 52nd St</x:v>
      </x:c>
      <x:c r="E1172" s="1" t="str">
        <x:v>Philadelphia</x:v>
      </x:c>
      <x:c r="F1172" s="1" t="str">
        <x:v>PA</x:v>
      </x:c>
      <x:c r="G1172" s="1" t="str">
        <x:v>19131</x:v>
      </x:c>
      <x:c r="H1172" s="1" t="n">
        <x:v>39.978737</x:v>
      </x:c>
      <x:c r="I1172" s="1" t="n">
        <x:v>-75.225105</x:v>
      </x:c>
      <x:c r="J1172" s="1" t="str">
        <x:v>USDA SNAP retailer list</x:v>
      </x:c>
      <x:c r="K1172" s="1" t="str">
        <x:v>2026-10-09</x:v>
      </x:c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  <x:c r="AA1172" s="1"/>
      <x:c r="AB1172" s="1"/>
      <x:c r="AC1172" s="1"/>
      <x:c r="AD1172" s="1"/>
      <x:c r="AE1172" s="1"/>
      <x:c r="AF1172" s="1"/>
      <x:c r="AG1172" s="1"/>
      <x:c r="AH1172" s="1"/>
      <x:c r="AI1172" s="1"/>
      <x:c r="AJ1172" s="1"/>
      <x:c r="AK1172" s="1"/>
      <x:c r="AL1172" s="1"/>
      <x:c r="AM1172" s="1"/>
      <x:c r="AN1172" s="1"/>
    </x:row>
    <x:row r="1173" ht="22" customHeight="1">
      <x:c r="A1173" s="1" t="str">
        <x:v>1443923</x:v>
      </x:c>
      <x:c r="B1173" s="1" t="str">
        <x:v>Shoprite of Island Ave 423</x:v>
      </x:c>
      <x:c r="C1173" s="1" t="str">
        <x:v>Super Store</x:v>
      </x:c>
      <x:c r="D1173" s="1" t="str">
        <x:v>2946 Island Ave</x:v>
      </x:c>
      <x:c r="E1173" s="1" t="str">
        <x:v>Philadelphia</x:v>
      </x:c>
      <x:c r="F1173" s="1" t="str">
        <x:v>PA</x:v>
      </x:c>
      <x:c r="G1173" s="1" t="str">
        <x:v>19153</x:v>
      </x:c>
      <x:c r="H1173" s="1" t="n">
        <x:v>39.903366</x:v>
      </x:c>
      <x:c r="I1173" s="1" t="n">
        <x:v>-75.24041</x:v>
      </x:c>
      <x:c r="J1173" s="1" t="str">
        <x:v>USDA SNAP retailer list</x:v>
      </x:c>
      <x:c r="K1173" s="1" t="str">
        <x:v>2026-10-09</x:v>
      </x:c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  <x:c r="AA1173" s="1"/>
      <x:c r="AB1173" s="1"/>
      <x:c r="AC1173" s="1"/>
      <x:c r="AD1173" s="1"/>
      <x:c r="AE1173" s="1"/>
      <x:c r="AF1173" s="1"/>
      <x:c r="AG1173" s="1"/>
      <x:c r="AH1173" s="1"/>
      <x:c r="AI1173" s="1"/>
      <x:c r="AJ1173" s="1"/>
      <x:c r="AK1173" s="1"/>
      <x:c r="AL1173" s="1"/>
      <x:c r="AM1173" s="1"/>
      <x:c r="AN1173" s="1"/>
    </x:row>
    <x:row r="1174" ht="22" customHeight="1">
      <x:c r="A1174" s="1" t="str">
        <x:v>1443924</x:v>
      </x:c>
      <x:c r="B1174" s="1" t="str">
        <x:v>SHOP RITE OF OXFORD &amp; LEVICK</x:v>
      </x:c>
      <x:c r="C1174" s="1" t="str">
        <x:v>Super Store</x:v>
      </x:c>
      <x:c r="D1174" s="1" t="str">
        <x:v>6301 Oxford Ave</x:v>
      </x:c>
      <x:c r="E1174" s="1" t="str">
        <x:v>Philadelphia</x:v>
      </x:c>
      <x:c r="F1174" s="1" t="str">
        <x:v>PA</x:v>
      </x:c>
      <x:c r="G1174" s="1" t="str">
        <x:v>19111</x:v>
      </x:c>
      <x:c r="H1174" s="1" t="n">
        <x:v>40.044029</x:v>
      </x:c>
      <x:c r="I1174" s="1" t="n">
        <x:v>-75.087845</x:v>
      </x:c>
      <x:c r="J1174" s="1" t="str">
        <x:v>USDA SNAP retailer list</x:v>
      </x:c>
      <x:c r="K1174" s="1" t="str">
        <x:v>2026-10-09</x:v>
      </x:c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  <x:c r="AA1174" s="1"/>
      <x:c r="AB1174" s="1"/>
      <x:c r="AC1174" s="1"/>
      <x:c r="AD1174" s="1"/>
      <x:c r="AE1174" s="1"/>
      <x:c r="AF1174" s="1"/>
      <x:c r="AG1174" s="1"/>
      <x:c r="AH1174" s="1"/>
      <x:c r="AI1174" s="1"/>
      <x:c r="AJ1174" s="1"/>
      <x:c r="AK1174" s="1"/>
      <x:c r="AL1174" s="1"/>
      <x:c r="AM1174" s="1"/>
      <x:c r="AN1174" s="1"/>
    </x:row>
    <x:row r="1175" ht="22" customHeight="1">
      <x:c r="A1175" s="1" t="str">
        <x:v>1443927</x:v>
      </x:c>
      <x:c r="B1175" s="1" t="str">
        <x:v>SHOPRITE 537</x:v>
      </x:c>
      <x:c r="C1175" s="1" t="str">
        <x:v>Supermarket</x:v>
      </x:c>
      <x:c r="D1175" s="1" t="str">
        <x:v>101 E Olney Ave</x:v>
      </x:c>
      <x:c r="E1175" s="1" t="str">
        <x:v>Philadelphia</x:v>
      </x:c>
      <x:c r="F1175" s="1" t="str">
        <x:v>PA</x:v>
      </x:c>
      <x:c r="G1175" s="1" t="str">
        <x:v>19120</x:v>
      </x:c>
      <x:c r="H1175" s="1" t="n">
        <x:v>40.035343</x:v>
      </x:c>
      <x:c r="I1175" s="1" t="n">
        <x:v>-75.121353</x:v>
      </x:c>
      <x:c r="J1175" s="1" t="str">
        <x:v>USDA SNAP retailer list</x:v>
      </x:c>
      <x:c r="K1175" s="1" t="str">
        <x:v>2026-10-09</x:v>
      </x:c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  <x:c r="AA1175" s="1"/>
      <x:c r="AB1175" s="1"/>
      <x:c r="AC1175" s="1"/>
      <x:c r="AD1175" s="1"/>
      <x:c r="AE1175" s="1"/>
      <x:c r="AF1175" s="1"/>
      <x:c r="AG1175" s="1"/>
      <x:c r="AH1175" s="1"/>
      <x:c r="AI1175" s="1"/>
      <x:c r="AJ1175" s="1"/>
      <x:c r="AK1175" s="1"/>
      <x:c r="AL1175" s="1"/>
      <x:c r="AM1175" s="1"/>
      <x:c r="AN1175" s="1"/>
    </x:row>
    <x:row r="1176" ht="22" customHeight="1">
      <x:c r="A1176" s="1" t="str">
        <x:v>1443994</x:v>
      </x:c>
      <x:c r="B1176" s="1" t="str">
        <x:v>SAVE-A-LOT 60133</x:v>
      </x:c>
      <x:c r="C1176" s="1" t="str">
        <x:v>Supermarket</x:v>
      </x:c>
      <x:c r="D1176" s="1" t="str">
        <x:v>3901-29 M St</x:v>
      </x:c>
      <x:c r="E1176" s="1" t="str">
        <x:v>Philadelphia</x:v>
      </x:c>
      <x:c r="F1176" s="1" t="str">
        <x:v>PA</x:v>
      </x:c>
      <x:c r="G1176" s="1" t="str">
        <x:v>19124</x:v>
      </x:c>
      <x:c r="H1176" s="1" t="n">
        <x:v>40.006489</x:v>
      </x:c>
      <x:c r="I1176" s="1" t="n">
        <x:v>-75.10041</x:v>
      </x:c>
      <x:c r="J1176" s="1" t="str">
        <x:v>USDA SNAP retailer list</x:v>
      </x:c>
      <x:c r="K1176" s="1" t="str">
        <x:v>2026-10-09</x:v>
      </x:c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  <x:c r="AA1176" s="1"/>
      <x:c r="AB1176" s="1"/>
      <x:c r="AC1176" s="1"/>
      <x:c r="AD1176" s="1"/>
      <x:c r="AE1176" s="1"/>
      <x:c r="AF1176" s="1"/>
      <x:c r="AG1176" s="1"/>
      <x:c r="AH1176" s="1"/>
      <x:c r="AI1176" s="1"/>
      <x:c r="AJ1176" s="1"/>
      <x:c r="AK1176" s="1"/>
      <x:c r="AL1176" s="1"/>
      <x:c r="AM1176" s="1"/>
      <x:c r="AN1176" s="1"/>
    </x:row>
    <x:row r="1177" ht="22" customHeight="1">
      <x:c r="A1177" s="1" t="str">
        <x:v>1232656</x:v>
      </x:c>
      <x:c r="B1177" s="1" t="str">
        <x:v>Save-A-Lot 60138</x:v>
      </x:c>
      <x:c r="C1177" s="1" t="str">
        <x:v>Supermarket</x:v>
      </x:c>
      <x:c r="D1177" s="1" t="str">
        <x:v>4424 N Broad St</x:v>
      </x:c>
      <x:c r="E1177" s="1" t="str">
        <x:v>Philadelphia</x:v>
      </x:c>
      <x:c r="F1177" s="1" t="str">
        <x:v>PA</x:v>
      </x:c>
      <x:c r="G1177" s="1" t="str">
        <x:v>19140</x:v>
      </x:c>
      <x:c r="H1177" s="1" t="n">
        <x:v>40.021107</x:v>
      </x:c>
      <x:c r="I1177" s="1" t="n">
        <x:v>-75.148659</x:v>
      </x:c>
      <x:c r="J1177" s="1" t="str">
        <x:v>USDA SNAP retailer list</x:v>
      </x:c>
      <x:c r="K1177" s="1" t="str">
        <x:v>2026-10-09</x:v>
      </x:c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  <x:c r="AA1177" s="1"/>
      <x:c r="AB1177" s="1"/>
      <x:c r="AC1177" s="1"/>
      <x:c r="AD1177" s="1"/>
      <x:c r="AE1177" s="1"/>
      <x:c r="AF1177" s="1"/>
      <x:c r="AG1177" s="1"/>
      <x:c r="AH1177" s="1"/>
      <x:c r="AI1177" s="1"/>
      <x:c r="AJ1177" s="1"/>
      <x:c r="AK1177" s="1"/>
      <x:c r="AL1177" s="1"/>
      <x:c r="AM1177" s="1"/>
      <x:c r="AN1177" s="1"/>
    </x:row>
    <x:row r="1178" ht="22" customHeight="1">
      <x:c r="A1178" s="1" t="str">
        <x:v>1690031</x:v>
      </x:c>
      <x:c r="B1178" s="1" t="str">
        <x:v>ShopRite of Whitman Plaza 411</x:v>
      </x:c>
      <x:c r="C1178" s="1" t="str">
        <x:v>Supermarket</x:v>
      </x:c>
      <x:c r="D1178" s="1" t="str">
        <x:v>330 W Oregon Ave</x:v>
      </x:c>
      <x:c r="E1178" s="1" t="str">
        <x:v>Philadelphia</x:v>
      </x:c>
      <x:c r="F1178" s="1" t="str">
        <x:v>PA</x:v>
      </x:c>
      <x:c r="G1178" s="1" t="str">
        <x:v>19148</x:v>
      </x:c>
      <x:c r="H1178" s="1" t="n">
        <x:v>39.913013</x:v>
      </x:c>
      <x:c r="I1178" s="1" t="n">
        <x:v>-75.155655</x:v>
      </x:c>
      <x:c r="J1178" s="1" t="str">
        <x:v>USDA SNAP retailer list</x:v>
      </x:c>
      <x:c r="K1178" s="1" t="str">
        <x:v>2026-10-09</x:v>
      </x:c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  <x:c r="AA1178" s="1"/>
      <x:c r="AB1178" s="1"/>
      <x:c r="AC1178" s="1"/>
      <x:c r="AD1178" s="1"/>
      <x:c r="AE1178" s="1"/>
      <x:c r="AF1178" s="1"/>
      <x:c r="AG1178" s="1"/>
      <x:c r="AH1178" s="1"/>
      <x:c r="AI1178" s="1"/>
      <x:c r="AJ1178" s="1"/>
      <x:c r="AK1178" s="1"/>
      <x:c r="AL1178" s="1"/>
      <x:c r="AM1178" s="1"/>
      <x:c r="AN1178" s="1"/>
    </x:row>
    <x:row r="1179" ht="22" customHeight="1">
      <x:c r="A1179" s="1" t="str">
        <x:v>1689452</x:v>
      </x:c>
      <x:c r="B1179" s="1" t="str">
        <x:v>PJP Marketplace</x:v>
      </x:c>
      <x:c r="C1179" s="1" t="str">
        <x:v>Super Store</x:v>
      </x:c>
      <x:c r="D1179" s="1" t="str">
        <x:v>8960 Frankford Avenue</x:v>
      </x:c>
      <x:c r="E1179" s="1" t="str">
        <x:v>Philadelphia</x:v>
      </x:c>
      <x:c r="F1179" s="1" t="str">
        <x:v>PA</x:v>
      </x:c>
      <x:c r="G1179" s="1" t="str">
        <x:v>19136</x:v>
      </x:c>
      <x:c r="H1179" s="1" t="n">
        <x:v>40.051933</x:v>
      </x:c>
      <x:c r="I1179" s="1" t="n">
        <x:v>-75.008987</x:v>
      </x:c>
      <x:c r="J1179" s="1" t="str">
        <x:v>USDA SNAP retailer list</x:v>
      </x:c>
      <x:c r="K1179" s="1" t="str">
        <x:v>2026-10-09</x:v>
      </x:c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  <x:c r="AA1179" s="1"/>
      <x:c r="AB1179" s="1"/>
      <x:c r="AC1179" s="1"/>
      <x:c r="AD1179" s="1"/>
      <x:c r="AE1179" s="1"/>
      <x:c r="AF1179" s="1"/>
      <x:c r="AG1179" s="1"/>
      <x:c r="AH1179" s="1"/>
      <x:c r="AI1179" s="1"/>
      <x:c r="AJ1179" s="1"/>
      <x:c r="AK1179" s="1"/>
      <x:c r="AL1179" s="1"/>
      <x:c r="AM1179" s="1"/>
      <x:c r="AN1179" s="1"/>
    </x:row>
    <x:row r="1180" ht="22" customHeight="1">
      <x:c r="A1180" s="1" t="str">
        <x:v>1447825</x:v>
      </x:c>
      <x:c r="B1180" s="1" t="str">
        <x:v>Grocery Outlet 728</x:v>
      </x:c>
      <x:c r="C1180" s="1" t="str">
        <x:v>Supermarket</x:v>
      </x:c>
      <x:c r="D1180" s="1" t="str">
        <x:v>25 W Hortter St</x:v>
      </x:c>
      <x:c r="E1180" s="1" t="str">
        <x:v>Philadelphia</x:v>
      </x:c>
      <x:c r="F1180" s="1" t="str">
        <x:v>PA</x:v>
      </x:c>
      <x:c r="G1180" s="1" t="str">
        <x:v>19119</x:v>
      </x:c>
      <x:c r="H1180" s="1" t="n">
        <x:v>40.050053</x:v>
      </x:c>
      <x:c r="I1180" s="1" t="n">
        <x:v>-75.185349</x:v>
      </x:c>
      <x:c r="J1180" s="1" t="str">
        <x:v>USDA SNAP retailer list</x:v>
      </x:c>
      <x:c r="K1180" s="1" t="str">
        <x:v>2026-10-09</x:v>
      </x:c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  <x:c r="AA1180" s="1"/>
      <x:c r="AB1180" s="1"/>
      <x:c r="AC1180" s="1"/>
      <x:c r="AD1180" s="1"/>
      <x:c r="AE1180" s="1"/>
      <x:c r="AF1180" s="1"/>
      <x:c r="AG1180" s="1"/>
      <x:c r="AH1180" s="1"/>
      <x:c r="AI1180" s="1"/>
      <x:c r="AJ1180" s="1"/>
      <x:c r="AK1180" s="1"/>
      <x:c r="AL1180" s="1"/>
      <x:c r="AM1180" s="1"/>
      <x:c r="AN1180" s="1"/>
    </x:row>
    <x:row r="1181" ht="22" customHeight="1">
      <x:c r="A1181" s="1" t="str">
        <x:v>1154279</x:v>
      </x:c>
      <x:c r="B1181" s="1" t="str">
        <x:v>Whole Foods Market 10526</x:v>
      </x:c>
      <x:c r="C1181" s="1" t="str">
        <x:v>Super Store</x:v>
      </x:c>
      <x:c r="D1181" s="1" t="str">
        <x:v>1558 Kings Hwy N</x:v>
      </x:c>
      <x:c r="E1181" s="1" t="str">
        <x:v>Cherry Hill</x:v>
      </x:c>
      <x:c r="F1181" s="1" t="str">
        <x:v>NJ</x:v>
      </x:c>
      <x:c r="G1181" s="1" t="str">
        <x:v>08034</x:v>
      </x:c>
      <x:c r="H1181" s="1" t="n">
        <x:v>39.915733</x:v>
      </x:c>
      <x:c r="I1181" s="1" t="n">
        <x:v>-75.008415</x:v>
      </x:c>
      <x:c r="J1181" s="1" t="str">
        <x:v>USDA SNAP retailer list</x:v>
      </x:c>
      <x:c r="K1181" s="1" t="str">
        <x:v>2026-10-09</x:v>
      </x:c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  <x:c r="AA1181" s="1"/>
      <x:c r="AB1181" s="1"/>
      <x:c r="AC1181" s="1"/>
      <x:c r="AD1181" s="1"/>
      <x:c r="AE1181" s="1"/>
      <x:c r="AF1181" s="1"/>
      <x:c r="AG1181" s="1"/>
      <x:c r="AH1181" s="1"/>
      <x:c r="AI1181" s="1"/>
      <x:c r="AJ1181" s="1"/>
      <x:c r="AK1181" s="1"/>
      <x:c r="AL1181" s="1"/>
      <x:c r="AM1181" s="1"/>
      <x:c r="AN1181" s="1"/>
    </x:row>
    <x:row r="1182" ht="22" customHeight="1">
      <x:c r="A1182" s="1" t="str">
        <x:v>1071633</x:v>
      </x:c>
      <x:c r="B1182" s="1" t="str">
        <x:v>The Fresh Market 108</x:v>
      </x:c>
      <x:c r="C1182" s="1" t="str">
        <x:v>Supermarket</x:v>
      </x:c>
      <x:c r="D1182" s="1" t="str">
        <x:v>100 Welsh Rd</x:v>
      </x:c>
      <x:c r="E1182" s="1" t="str">
        <x:v>Horsham</x:v>
      </x:c>
      <x:c r="F1182" s="1" t="str">
        <x:v>PA</x:v>
      </x:c>
      <x:c r="G1182" s="1" t="str">
        <x:v>19044</x:v>
      </x:c>
      <x:c r="H1182" s="1" t="n">
        <x:v>40.159122</x:v>
      </x:c>
      <x:c r="I1182" s="1" t="n">
        <x:v>-75.144005</x:v>
      </x:c>
      <x:c r="J1182" s="1" t="str">
        <x:v>USDA SNAP retailer list</x:v>
      </x:c>
      <x:c r="K1182" s="1" t="str">
        <x:v>2026-10-09</x:v>
      </x:c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  <x:c r="AA1182" s="1"/>
      <x:c r="AB1182" s="1"/>
      <x:c r="AC1182" s="1"/>
      <x:c r="AD1182" s="1"/>
      <x:c r="AE1182" s="1"/>
      <x:c r="AF1182" s="1"/>
      <x:c r="AG1182" s="1"/>
      <x:c r="AH1182" s="1"/>
      <x:c r="AI1182" s="1"/>
      <x:c r="AJ1182" s="1"/>
      <x:c r="AK1182" s="1"/>
      <x:c r="AL1182" s="1"/>
      <x:c r="AM1182" s="1"/>
      <x:c r="AN1182" s="1"/>
    </x:row>
    <x:row r="1183" ht="22" customHeight="1">
      <x:c r="A1183" s="1" t="str">
        <x:v>1120710</x:v>
      </x:c>
      <x:c r="B1183" s="1" t="str">
        <x:v>Weis Markets 237</x:v>
      </x:c>
      <x:c r="C1183" s="1" t="str">
        <x:v>Supermarket</x:v>
      </x:c>
      <x:c r="D1183" s="1" t="str">
        <x:v>2100 County Line Rd</x:v>
      </x:c>
      <x:c r="E1183" s="1" t="str">
        <x:v>Huntingdon Valley</x:v>
      </x:c>
      <x:c r="F1183" s="1" t="str">
        <x:v>PA</x:v>
      </x:c>
      <x:c r="G1183" s="1" t="str">
        <x:v>19006</x:v>
      </x:c>
      <x:c r="H1183" s="1" t="n">
        <x:v>40.170998</x:v>
      </x:c>
      <x:c r="I1183" s="1" t="n">
        <x:v>-75.07132</x:v>
      </x:c>
      <x:c r="J1183" s="1" t="str">
        <x:v>USDA SNAP retailer list</x:v>
      </x:c>
      <x:c r="K1183" s="1" t="str">
        <x:v>2026-10-09</x:v>
      </x:c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  <x:c r="AA1183" s="1"/>
      <x:c r="AB1183" s="1"/>
      <x:c r="AC1183" s="1"/>
      <x:c r="AD1183" s="1"/>
      <x:c r="AE1183" s="1"/>
      <x:c r="AF1183" s="1"/>
      <x:c r="AG1183" s="1"/>
      <x:c r="AH1183" s="1"/>
      <x:c r="AI1183" s="1"/>
      <x:c r="AJ1183" s="1"/>
      <x:c r="AK1183" s="1"/>
      <x:c r="AL1183" s="1"/>
      <x:c r="AM1183" s="1"/>
      <x:c r="AN1183" s="1"/>
    </x:row>
    <x:row r="1184" ht="22" customHeight="1">
      <x:c r="A1184" s="1" t="str">
        <x:v>1088409</x:v>
      </x:c>
      <x:c r="B1184" s="1" t="str">
        <x:v>Rittenhouse Market</x:v>
      </x:c>
      <x:c r="C1184" s="1" t="str">
        <x:v>Super Store</x:v>
      </x:c>
      <x:c r="D1184" s="1" t="str">
        <x:v>1733 Spruce St</x:v>
      </x:c>
      <x:c r="E1184" s="1" t="str">
        <x:v>Philadelphia</x:v>
      </x:c>
      <x:c r="F1184" s="1" t="str">
        <x:v>PA</x:v>
      </x:c>
      <x:c r="G1184" s="1" t="str">
        <x:v>19103</x:v>
      </x:c>
      <x:c r="H1184" s="1" t="n">
        <x:v>39.947704</x:v>
      </x:c>
      <x:c r="I1184" s="1" t="n">
        <x:v>-75.170135</x:v>
      </x:c>
      <x:c r="J1184" s="1" t="str">
        <x:v>USDA SNAP retailer list</x:v>
      </x:c>
      <x:c r="K1184" s="1" t="str">
        <x:v>2026-10-09</x:v>
      </x:c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  <x:c r="AA1184" s="1"/>
      <x:c r="AB1184" s="1"/>
      <x:c r="AC1184" s="1"/>
      <x:c r="AD1184" s="1"/>
      <x:c r="AE1184" s="1"/>
      <x:c r="AF1184" s="1"/>
      <x:c r="AG1184" s="1"/>
      <x:c r="AH1184" s="1"/>
      <x:c r="AI1184" s="1"/>
      <x:c r="AJ1184" s="1"/>
      <x:c r="AK1184" s="1"/>
      <x:c r="AL1184" s="1"/>
      <x:c r="AM1184" s="1"/>
      <x:c r="AN1184" s="1"/>
    </x:row>
    <x:row r="1185" ht="22" customHeight="1">
      <x:c r="A1185" s="1" t="str">
        <x:v>1650472</x:v>
      </x:c>
      <x:c r="B1185" s="1" t="str">
        <x:v>ALDI 60161</x:v>
      </x:c>
      <x:c r="C1185" s="1" t="str">
        <x:v>Supermarket</x:v>
      </x:c>
      <x:c r="D1185" s="1" t="str">
        <x:v>2101 Washington Ave</x:v>
      </x:c>
      <x:c r="E1185" s="1" t="str">
        <x:v>Philadelphia</x:v>
      </x:c>
      <x:c r="F1185" s="1" t="str">
        <x:v>PA</x:v>
      </x:c>
      <x:c r="G1185" s="1" t="str">
        <x:v>19146</x:v>
      </x:c>
      <x:c r="H1185" s="1" t="n">
        <x:v>39.939732</x:v>
      </x:c>
      <x:c r="I1185" s="1" t="n">
        <x:v>-75.178963</x:v>
      </x:c>
      <x:c r="J1185" s="1" t="str">
        <x:v>USDA SNAP retailer list</x:v>
      </x:c>
      <x:c r="K1185" s="1" t="str">
        <x:v>2026-10-09</x:v>
      </x:c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  <x:c r="AA1185" s="1"/>
      <x:c r="AB1185" s="1"/>
      <x:c r="AC1185" s="1"/>
      <x:c r="AD1185" s="1"/>
      <x:c r="AE1185" s="1"/>
      <x:c r="AF1185" s="1"/>
      <x:c r="AG1185" s="1"/>
      <x:c r="AH1185" s="1"/>
      <x:c r="AI1185" s="1"/>
      <x:c r="AJ1185" s="1"/>
      <x:c r="AK1185" s="1"/>
      <x:c r="AL1185" s="1"/>
      <x:c r="AM1185" s="1"/>
      <x:c r="AN1185" s="1"/>
    </x:row>
    <x:row r="1186" ht="22" customHeight="1">
      <x:c r="A1186" s="1" t="str">
        <x:v>1215658</x:v>
      </x:c>
      <x:c r="B1186" s="1" t="str">
        <x:v>Acme 0291</x:v>
      </x:c>
      <x:c r="C1186" s="1" t="str">
        <x:v>Supermarket</x:v>
      </x:c>
      <x:c r="D1186" s="1" t="str">
        <x:v>180 W Girard Ave</x:v>
      </x:c>
      <x:c r="E1186" s="1" t="str">
        <x:v>Philadelphia</x:v>
      </x:c>
      <x:c r="F1186" s="1" t="str">
        <x:v>PA</x:v>
      </x:c>
      <x:c r="G1186" s="1" t="str">
        <x:v>19123</x:v>
      </x:c>
      <x:c r="H1186" s="1" t="n">
        <x:v>39.969414</x:v>
      </x:c>
      <x:c r="I1186" s="1" t="n">
        <x:v>-75.139206</x:v>
      </x:c>
      <x:c r="J1186" s="1" t="str">
        <x:v>USDA SNAP retailer list</x:v>
      </x:c>
      <x:c r="K1186" s="1" t="str">
        <x:v>2026-10-09</x:v>
      </x:c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  <x:c r="AA1186" s="1"/>
      <x:c r="AB1186" s="1"/>
      <x:c r="AC1186" s="1"/>
      <x:c r="AD1186" s="1"/>
      <x:c r="AE1186" s="1"/>
      <x:c r="AF1186" s="1"/>
      <x:c r="AG1186" s="1"/>
      <x:c r="AH1186" s="1"/>
      <x:c r="AI1186" s="1"/>
      <x:c r="AJ1186" s="1"/>
      <x:c r="AK1186" s="1"/>
      <x:c r="AL1186" s="1"/>
      <x:c r="AM1186" s="1"/>
      <x:c r="AN1186" s="1"/>
    </x:row>
    <x:row r="1187" ht="22" customHeight="1">
      <x:c r="A1187" s="1" t="str">
        <x:v>1214355</x:v>
      </x:c>
      <x:c r="B1187" s="1" t="str">
        <x:v>Aldi 12</x:v>
      </x:c>
      <x:c r="C1187" s="1" t="str">
        <x:v>Supermarket</x:v>
      </x:c>
      <x:c r="D1187" s="1" t="str">
        <x:v>7900 Roosevelt Blvd</x:v>
      </x:c>
      <x:c r="E1187" s="1" t="str">
        <x:v>Philadelphia</x:v>
      </x:c>
      <x:c r="F1187" s="1" t="str">
        <x:v>PA</x:v>
      </x:c>
      <x:c r="G1187" s="1" t="str">
        <x:v>19152</x:v>
      </x:c>
      <x:c r="H1187" s="1" t="n">
        <x:v>40.05563</x:v>
      </x:c>
      <x:c r="I1187" s="1" t="n">
        <x:v>-75.048248</x:v>
      </x:c>
      <x:c r="J1187" s="1" t="str">
        <x:v>USDA SNAP retailer list</x:v>
      </x:c>
      <x:c r="K1187" s="1" t="str">
        <x:v>2026-10-09</x:v>
      </x:c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  <x:c r="AA1187" s="1"/>
      <x:c r="AB1187" s="1"/>
      <x:c r="AC1187" s="1"/>
      <x:c r="AD1187" s="1"/>
      <x:c r="AE1187" s="1"/>
      <x:c r="AF1187" s="1"/>
      <x:c r="AG1187" s="1"/>
      <x:c r="AH1187" s="1"/>
      <x:c r="AI1187" s="1"/>
      <x:c r="AJ1187" s="1"/>
      <x:c r="AK1187" s="1"/>
      <x:c r="AL1187" s="1"/>
      <x:c r="AM1187" s="1"/>
      <x:c r="AN1187" s="1"/>
    </x:row>
    <x:row r="1188" ht="22" customHeight="1">
      <x:c r="A1188" s="1" t="str">
        <x:v>1212873</x:v>
      </x:c>
      <x:c r="B1188" s="1" t="str">
        <x:v>6100 Westfield Food Corp/Associated</x:v>
      </x:c>
      <x:c r="C1188" s="1" t="str">
        <x:v>Super Store</x:v>
      </x:c>
      <x:c r="D1188" s="1" t="str">
        <x:v>6100 Westfield Ave</x:v>
      </x:c>
      <x:c r="E1188" s="1" t="str">
        <x:v>Pennsauken</x:v>
      </x:c>
      <x:c r="F1188" s="1" t="str">
        <x:v>NJ</x:v>
      </x:c>
      <x:c r="G1188" s="1" t="str">
        <x:v>08110</x:v>
      </x:c>
      <x:c r="H1188" s="1" t="n">
        <x:v>39.962662</x:v>
      </x:c>
      <x:c r="I1188" s="1" t="n">
        <x:v>-75.059006</x:v>
      </x:c>
      <x:c r="J1188" s="1" t="str">
        <x:v>USDA SNAP retailer list</x:v>
      </x:c>
      <x:c r="K1188" s="1" t="str">
        <x:v>2026-10-09</x:v>
      </x:c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  <x:c r="AA1188" s="1"/>
      <x:c r="AB1188" s="1"/>
      <x:c r="AC1188" s="1"/>
      <x:c r="AD1188" s="1"/>
      <x:c r="AE1188" s="1"/>
      <x:c r="AF1188" s="1"/>
      <x:c r="AG1188" s="1"/>
      <x:c r="AH1188" s="1"/>
      <x:c r="AI1188" s="1"/>
      <x:c r="AJ1188" s="1"/>
      <x:c r="AK1188" s="1"/>
      <x:c r="AL1188" s="1"/>
      <x:c r="AM1188" s="1"/>
      <x:c r="AN1188" s="1"/>
    </x:row>
    <x:row r="1189" ht="22" customHeight="1">
      <x:c r="A1189" s="1" t="str">
        <x:v>1208927</x:v>
      </x:c>
      <x:c r="B1189" s="1" t="str">
        <x:v>Aldi 43</x:v>
      </x:c>
      <x:c r="C1189" s="1" t="str">
        <x:v>Supermarket</x:v>
      </x:c>
      <x:c r="D1189" s="1" t="str">
        <x:v>3101 W Girard Ave</x:v>
      </x:c>
      <x:c r="E1189" s="1" t="str">
        <x:v>Philadelphia</x:v>
      </x:c>
      <x:c r="F1189" s="1" t="str">
        <x:v>PA</x:v>
      </x:c>
      <x:c r="G1189" s="1" t="str">
        <x:v>19130</x:v>
      </x:c>
      <x:c r="H1189" s="1" t="n">
        <x:v>39.975094</x:v>
      </x:c>
      <x:c r="I1189" s="1" t="n">
        <x:v>-75.187256</x:v>
      </x:c>
      <x:c r="J1189" s="1" t="str">
        <x:v>USDA SNAP retailer list</x:v>
      </x:c>
      <x:c r="K1189" s="1" t="str">
        <x:v>2026-10-09</x:v>
      </x:c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  <x:c r="AA1189" s="1"/>
      <x:c r="AB1189" s="1"/>
      <x:c r="AC1189" s="1"/>
      <x:c r="AD1189" s="1"/>
      <x:c r="AE1189" s="1"/>
      <x:c r="AF1189" s="1"/>
      <x:c r="AG1189" s="1"/>
      <x:c r="AH1189" s="1"/>
      <x:c r="AI1189" s="1"/>
      <x:c r="AJ1189" s="1"/>
      <x:c r="AK1189" s="1"/>
      <x:c r="AL1189" s="1"/>
      <x:c r="AM1189" s="1"/>
      <x:c r="AN1189" s="1"/>
    </x:row>
    <x:row r="1190" ht="22" customHeight="1">
      <x:c r="A1190" s="1" t="str">
        <x:v>1210565</x:v>
      </x:c>
      <x:c r="B1190" s="1" t="str">
        <x:v>ALDI 60008</x:v>
      </x:c>
      <x:c r="C1190" s="1" t="str">
        <x:v>Supermarket</x:v>
      </x:c>
      <x:c r="D1190" s="1" t="str">
        <x:v>9303 Krewstown Rd</x:v>
      </x:c>
      <x:c r="E1190" s="1" t="str">
        <x:v>Philadelphia</x:v>
      </x:c>
      <x:c r="F1190" s="1" t="str">
        <x:v>PA</x:v>
      </x:c>
      <x:c r="G1190" s="1" t="str">
        <x:v>19115</x:v>
      </x:c>
      <x:c r="H1190" s="1" t="n">
        <x:v>40.085346</x:v>
      </x:c>
      <x:c r="I1190" s="1" t="n">
        <x:v>-75.045601</x:v>
      </x:c>
      <x:c r="J1190" s="1" t="str">
        <x:v>USDA SNAP retailer list</x:v>
      </x:c>
      <x:c r="K1190" s="1" t="str">
        <x:v>2026-10-09</x:v>
      </x:c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  <x:c r="AA1190" s="1"/>
      <x:c r="AB1190" s="1"/>
      <x:c r="AC1190" s="1"/>
      <x:c r="AD1190" s="1"/>
      <x:c r="AE1190" s="1"/>
      <x:c r="AF1190" s="1"/>
      <x:c r="AG1190" s="1"/>
      <x:c r="AH1190" s="1"/>
      <x:c r="AI1190" s="1"/>
      <x:c r="AJ1190" s="1"/>
      <x:c r="AK1190" s="1"/>
      <x:c r="AL1190" s="1"/>
      <x:c r="AM1190" s="1"/>
      <x:c r="AN1190" s="1"/>
    </x:row>
    <x:row r="1191" ht="22" customHeight="1">
      <x:c r="A1191" s="1" t="str">
        <x:v>1211685</x:v>
      </x:c>
      <x:c r="B1191" s="1" t="str">
        <x:v>Aldi 10</x:v>
      </x:c>
      <x:c r="C1191" s="1" t="str">
        <x:v>Supermarket</x:v>
      </x:c>
      <x:c r="D1191" s="1" t="str">
        <x:v>48 W Baltimore Ave</x:v>
      </x:c>
      <x:c r="E1191" s="1" t="str">
        <x:v>Lansdowne</x:v>
      </x:c>
      <x:c r="F1191" s="1" t="str">
        <x:v>PA</x:v>
      </x:c>
      <x:c r="G1191" s="1" t="str">
        <x:v>19050</x:v>
      </x:c>
      <x:c r="H1191" s="1" t="n">
        <x:v>39.93782</x:v>
      </x:c>
      <x:c r="I1191" s="1" t="n">
        <x:v>-75.274162</x:v>
      </x:c>
      <x:c r="J1191" s="1" t="str">
        <x:v>USDA SNAP retailer list</x:v>
      </x:c>
      <x:c r="K1191" s="1" t="str">
        <x:v>2026-10-09</x:v>
      </x:c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  <x:c r="AA1191" s="1"/>
      <x:c r="AB1191" s="1"/>
      <x:c r="AC1191" s="1"/>
      <x:c r="AD1191" s="1"/>
      <x:c r="AE1191" s="1"/>
      <x:c r="AF1191" s="1"/>
      <x:c r="AG1191" s="1"/>
      <x:c r="AH1191" s="1"/>
      <x:c r="AI1191" s="1"/>
      <x:c r="AJ1191" s="1"/>
      <x:c r="AK1191" s="1"/>
      <x:c r="AL1191" s="1"/>
      <x:c r="AM1191" s="1"/>
      <x:c r="AN1191" s="1"/>
    </x:row>
    <x:row r="1192" ht="22" customHeight="1">
      <x:c r="A1192" s="1" t="str">
        <x:v>1211687</x:v>
      </x:c>
      <x:c r="B1192" s="1" t="str">
        <x:v>Aldi 19</x:v>
      </x:c>
      <x:c r="C1192" s="1" t="str">
        <x:v>Supermarket</x:v>
      </x:c>
      <x:c r="D1192" s="1" t="str">
        <x:v>156 W Browning Rd</x:v>
      </x:c>
      <x:c r="E1192" s="1" t="str">
        <x:v>Bellmawr</x:v>
      </x:c>
      <x:c r="F1192" s="1" t="str">
        <x:v>NJ</x:v>
      </x:c>
      <x:c r="G1192" s="1" t="str">
        <x:v>08031</x:v>
      </x:c>
      <x:c r="H1192" s="1" t="n">
        <x:v>39.866611</x:v>
      </x:c>
      <x:c r="I1192" s="1" t="n">
        <x:v>-75.086845</x:v>
      </x:c>
      <x:c r="J1192" s="1" t="str">
        <x:v>USDA SNAP retailer list</x:v>
      </x:c>
      <x:c r="K1192" s="1" t="str">
        <x:v>2026-10-09</x:v>
      </x:c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  <x:c r="AA1192" s="1"/>
      <x:c r="AB1192" s="1"/>
      <x:c r="AC1192" s="1"/>
      <x:c r="AD1192" s="1"/>
      <x:c r="AE1192" s="1"/>
      <x:c r="AF1192" s="1"/>
      <x:c r="AG1192" s="1"/>
      <x:c r="AH1192" s="1"/>
      <x:c r="AI1192" s="1"/>
      <x:c r="AJ1192" s="1"/>
      <x:c r="AK1192" s="1"/>
      <x:c r="AL1192" s="1"/>
      <x:c r="AM1192" s="1"/>
      <x:c r="AN1192" s="1"/>
    </x:row>
    <x:row r="1193" ht="22" customHeight="1">
      <x:c r="A1193" s="1" t="str">
        <x:v>1215798</x:v>
      </x:c>
      <x:c r="B1193" s="1" t="str">
        <x:v>ALDI 60039 60039</x:v>
      </x:c>
      <x:c r="C1193" s="1" t="str">
        <x:v>Supermarket</x:v>
      </x:c>
      <x:c r="D1193" s="1" t="str">
        <x:v>3975 Castor Ave</x:v>
      </x:c>
      <x:c r="E1193" s="1" t="str">
        <x:v>Philadelphia</x:v>
      </x:c>
      <x:c r="F1193" s="1" t="str">
        <x:v>PA</x:v>
      </x:c>
      <x:c r="G1193" s="1" t="str">
        <x:v>19124</x:v>
      </x:c>
      <x:c r="H1193" s="1" t="n">
        <x:v>40.006931</x:v>
      </x:c>
      <x:c r="I1193" s="1" t="n">
        <x:v>-75.09877</x:v>
      </x:c>
      <x:c r="J1193" s="1" t="str">
        <x:v>USDA SNAP retailer list</x:v>
      </x:c>
      <x:c r="K1193" s="1" t="str">
        <x:v>2026-10-09</x:v>
      </x:c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  <x:c r="AA1193" s="1"/>
      <x:c r="AB1193" s="1"/>
      <x:c r="AC1193" s="1"/>
      <x:c r="AD1193" s="1"/>
      <x:c r="AE1193" s="1"/>
      <x:c r="AF1193" s="1"/>
      <x:c r="AG1193" s="1"/>
      <x:c r="AH1193" s="1"/>
      <x:c r="AI1193" s="1"/>
      <x:c r="AJ1193" s="1"/>
      <x:c r="AK1193" s="1"/>
      <x:c r="AL1193" s="1"/>
      <x:c r="AM1193" s="1"/>
      <x:c r="AN1193" s="1"/>
    </x:row>
    <x:row r="1194" ht="22" customHeight="1">
      <x:c r="A1194" s="1" t="str">
        <x:v>1215799</x:v>
      </x:c>
      <x:c r="B1194" s="1" t="str">
        <x:v>ALDI 60011 60011</x:v>
      </x:c>
      <x:c r="C1194" s="1" t="str">
        <x:v>Supermarket</x:v>
      </x:c>
      <x:c r="D1194" s="1" t="str">
        <x:v>6119 N Broad St</x:v>
      </x:c>
      <x:c r="E1194" s="1" t="str">
        <x:v>Philadelphia</x:v>
      </x:c>
      <x:c r="F1194" s="1" t="str">
        <x:v>PA</x:v>
      </x:c>
      <x:c r="G1194" s="1" t="str">
        <x:v>19141</x:v>
      </x:c>
      <x:c r="H1194" s="1" t="n">
        <x:v>40.046883</x:v>
      </x:c>
      <x:c r="I1194" s="1" t="n">
        <x:v>-75.14296</x:v>
      </x:c>
      <x:c r="J1194" s="1" t="str">
        <x:v>USDA SNAP retailer list</x:v>
      </x:c>
      <x:c r="K1194" s="1" t="str">
        <x:v>2026-10-09</x:v>
      </x:c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  <x:c r="AA1194" s="1"/>
      <x:c r="AB1194" s="1"/>
      <x:c r="AC1194" s="1"/>
      <x:c r="AD1194" s="1"/>
      <x:c r="AE1194" s="1"/>
      <x:c r="AF1194" s="1"/>
      <x:c r="AG1194" s="1"/>
      <x:c r="AH1194" s="1"/>
      <x:c r="AI1194" s="1"/>
      <x:c r="AJ1194" s="1"/>
      <x:c r="AK1194" s="1"/>
      <x:c r="AL1194" s="1"/>
      <x:c r="AM1194" s="1"/>
      <x:c r="AN1194" s="1"/>
    </x:row>
    <x:row r="1195" ht="22" customHeight="1">
      <x:c r="A1195" s="1" t="str">
        <x:v>1220175</x:v>
      </x:c>
      <x:c r="B1195" s="1" t="str">
        <x:v>Acme 0773</x:v>
      </x:c>
      <x:c r="C1195" s="1" t="str">
        <x:v>Supermarket</x:v>
      </x:c>
      <x:c r="D1195" s="1" t="str">
        <x:v>1305 W Chester Pike</x:v>
      </x:c>
      <x:c r="E1195" s="1" t="str">
        <x:v>Havertown</x:v>
      </x:c>
      <x:c r="F1195" s="1" t="str">
        <x:v>PA</x:v>
      </x:c>
      <x:c r="G1195" s="1" t="str">
        <x:v>19083</x:v>
      </x:c>
      <x:c r="H1195" s="1" t="n">
        <x:v>39.973289</x:v>
      </x:c>
      <x:c r="I1195" s="1" t="n">
        <x:v>-75.32016</x:v>
      </x:c>
      <x:c r="J1195" s="1" t="str">
        <x:v>USDA SNAP retailer list</x:v>
      </x:c>
      <x:c r="K1195" s="1" t="str">
        <x:v>2026-10-09</x:v>
      </x:c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  <x:c r="AA1195" s="1"/>
      <x:c r="AB1195" s="1"/>
      <x:c r="AC1195" s="1"/>
      <x:c r="AD1195" s="1"/>
      <x:c r="AE1195" s="1"/>
      <x:c r="AF1195" s="1"/>
      <x:c r="AG1195" s="1"/>
      <x:c r="AH1195" s="1"/>
      <x:c r="AI1195" s="1"/>
      <x:c r="AJ1195" s="1"/>
      <x:c r="AK1195" s="1"/>
      <x:c r="AL1195" s="1"/>
      <x:c r="AM1195" s="1"/>
      <x:c r="AN1195" s="1"/>
    </x:row>
    <x:row r="1196" ht="22" customHeight="1">
      <x:c r="A1196" s="1" t="str">
        <x:v>1220176</x:v>
      </x:c>
      <x:c r="B1196" s="1" t="str">
        <x:v>Acme 2638</x:v>
      </x:c>
      <x:c r="C1196" s="1" t="str">
        <x:v>Supermarket</x:v>
      </x:c>
      <x:c r="D1196" s="1" t="str">
        <x:v>309 S 5th St</x:v>
      </x:c>
      <x:c r="E1196" s="1" t="str">
        <x:v>Philadelphia</x:v>
      </x:c>
      <x:c r="F1196" s="1" t="str">
        <x:v>PA</x:v>
      </x:c>
      <x:c r="G1196" s="1" t="str">
        <x:v>19106</x:v>
      </x:c>
      <x:c r="H1196" s="1" t="n">
        <x:v>39.944874</x:v>
      </x:c>
      <x:c r="I1196" s="1" t="n">
        <x:v>-75.150108</x:v>
      </x:c>
      <x:c r="J1196" s="1" t="str">
        <x:v>USDA SNAP retailer list</x:v>
      </x:c>
      <x:c r="K1196" s="1" t="str">
        <x:v>2026-10-09</x:v>
      </x:c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  <x:c r="AA1196" s="1"/>
      <x:c r="AB1196" s="1"/>
      <x:c r="AC1196" s="1"/>
      <x:c r="AD1196" s="1"/>
      <x:c r="AE1196" s="1"/>
      <x:c r="AF1196" s="1"/>
      <x:c r="AG1196" s="1"/>
      <x:c r="AH1196" s="1"/>
      <x:c r="AI1196" s="1"/>
      <x:c r="AJ1196" s="1"/>
      <x:c r="AK1196" s="1"/>
      <x:c r="AL1196" s="1"/>
      <x:c r="AM1196" s="1"/>
      <x:c r="AN1196" s="1"/>
    </x:row>
    <x:row r="1197" ht="22" customHeight="1">
      <x:c r="A1197" s="1" t="str">
        <x:v>1220177</x:v>
      </x:c>
      <x:c r="B1197" s="1" t="str">
        <x:v>Acme 2668</x:v>
      </x:c>
      <x:c r="C1197" s="1" t="str">
        <x:v>Supermarket</x:v>
      </x:c>
      <x:c r="D1197" s="1" t="str">
        <x:v>1001 South St</x:v>
      </x:c>
      <x:c r="E1197" s="1" t="str">
        <x:v>Philadelphia</x:v>
      </x:c>
      <x:c r="F1197" s="1" t="str">
        <x:v>PA</x:v>
      </x:c>
      <x:c r="G1197" s="1" t="str">
        <x:v>19147</x:v>
      </x:c>
      <x:c r="H1197" s="1" t="n">
        <x:v>39.943115</x:v>
      </x:c>
      <x:c r="I1197" s="1" t="n">
        <x:v>-75.159378</x:v>
      </x:c>
      <x:c r="J1197" s="1" t="str">
        <x:v>USDA SNAP retailer list</x:v>
      </x:c>
      <x:c r="K1197" s="1" t="str">
        <x:v>2026-10-09</x:v>
      </x:c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  <x:c r="AA1197" s="1"/>
      <x:c r="AB1197" s="1"/>
      <x:c r="AC1197" s="1"/>
      <x:c r="AD1197" s="1"/>
      <x:c r="AE1197" s="1"/>
      <x:c r="AF1197" s="1"/>
      <x:c r="AG1197" s="1"/>
      <x:c r="AH1197" s="1"/>
      <x:c r="AI1197" s="1"/>
      <x:c r="AJ1197" s="1"/>
      <x:c r="AK1197" s="1"/>
      <x:c r="AL1197" s="1"/>
      <x:c r="AM1197" s="1"/>
      <x:c r="AN1197" s="1"/>
    </x:row>
    <x:row r="1198" ht="22" customHeight="1">
      <x:c r="A1198" s="1" t="str">
        <x:v>1219811</x:v>
      </x:c>
      <x:c r="B1198" s="1" t="str">
        <x:v>Acme 2833</x:v>
      </x:c>
      <x:c r="C1198" s="1" t="str">
        <x:v>Supermarket</x:v>
      </x:c>
      <x:c r="D1198" s="1" t="str">
        <x:v>7700 Crittenden Ave</x:v>
      </x:c>
      <x:c r="E1198" s="1" t="str">
        <x:v>Philadelphia</x:v>
      </x:c>
      <x:c r="F1198" s="1" t="str">
        <x:v>PA</x:v>
      </x:c>
      <x:c r="G1198" s="1" t="str">
        <x:v>19118</x:v>
      </x:c>
      <x:c r="H1198" s="1" t="n">
        <x:v>40.072876</x:v>
      </x:c>
      <x:c r="I1198" s="1" t="n">
        <x:v>-75.193619</x:v>
      </x:c>
      <x:c r="J1198" s="1" t="str">
        <x:v>USDA SNAP retailer list</x:v>
      </x:c>
      <x:c r="K1198" s="1" t="str">
        <x:v>2026-10-09</x:v>
      </x:c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  <x:c r="AA1198" s="1"/>
      <x:c r="AB1198" s="1"/>
      <x:c r="AC1198" s="1"/>
      <x:c r="AD1198" s="1"/>
      <x:c r="AE1198" s="1"/>
      <x:c r="AF1198" s="1"/>
      <x:c r="AG1198" s="1"/>
      <x:c r="AH1198" s="1"/>
      <x:c r="AI1198" s="1"/>
      <x:c r="AJ1198" s="1"/>
      <x:c r="AK1198" s="1"/>
      <x:c r="AL1198" s="1"/>
      <x:c r="AM1198" s="1"/>
      <x:c r="AN1198" s="1"/>
    </x:row>
    <x:row r="1199" ht="22" customHeight="1">
      <x:c r="A1199" s="1" t="str">
        <x:v>1219825</x:v>
      </x:c>
      <x:c r="B1199" s="1" t="str">
        <x:v>Acme 0299</x:v>
      </x:c>
      <x:c r="C1199" s="1" t="str">
        <x:v>Supermarket</x:v>
      </x:c>
      <x:c r="D1199" s="1" t="str">
        <x:v>2101 Cottman Ave</x:v>
      </x:c>
      <x:c r="E1199" s="1" t="str">
        <x:v>Philadelphia</x:v>
      </x:c>
      <x:c r="F1199" s="1" t="str">
        <x:v>PA</x:v>
      </x:c>
      <x:c r="G1199" s="1" t="str">
        <x:v>19149</x:v>
      </x:c>
      <x:c r="H1199" s="1" t="n">
        <x:v>40.049835</x:v>
      </x:c>
      <x:c r="I1199" s="1" t="n">
        <x:v>-75.06356</x:v>
      </x:c>
      <x:c r="J1199" s="1" t="str">
        <x:v>USDA SNAP retailer list</x:v>
      </x:c>
      <x:c r="K1199" s="1" t="str">
        <x:v>2026-10-09</x:v>
      </x:c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  <x:c r="AA1199" s="1"/>
      <x:c r="AB1199" s="1"/>
      <x:c r="AC1199" s="1"/>
      <x:c r="AD1199" s="1"/>
      <x:c r="AE1199" s="1"/>
      <x:c r="AF1199" s="1"/>
      <x:c r="AG1199" s="1"/>
      <x:c r="AH1199" s="1"/>
      <x:c r="AI1199" s="1"/>
      <x:c r="AJ1199" s="1"/>
      <x:c r="AK1199" s="1"/>
      <x:c r="AL1199" s="1"/>
      <x:c r="AM1199" s="1"/>
      <x:c r="AN1199" s="1"/>
    </x:row>
    <x:row r="1200" ht="22" customHeight="1">
      <x:c r="A1200" s="1" t="str">
        <x:v>1522661</x:v>
      </x:c>
      <x:c r="B1200" s="1" t="str">
        <x:v>Asr Food Market</x:v>
      </x:c>
      <x:c r="C1200" s="1" t="str">
        <x:v>Supermarket</x:v>
      </x:c>
      <x:c r="D1200" s="1" t="str">
        <x:v>14101 Bustleton Ave</x:v>
      </x:c>
      <x:c r="E1200" s="1" t="str">
        <x:v>Philadelphia</x:v>
      </x:c>
      <x:c r="F1200" s="1" t="str">
        <x:v>PA</x:v>
      </x:c>
      <x:c r="G1200" s="1" t="str">
        <x:v>19116</x:v>
      </x:c>
      <x:c r="H1200" s="1" t="n">
        <x:v>40.131966</x:v>
      </x:c>
      <x:c r="I1200" s="1" t="n">
        <x:v>-75.011505</x:v>
      </x:c>
      <x:c r="J1200" s="1" t="str">
        <x:v>USDA SNAP retailer list</x:v>
      </x:c>
      <x:c r="K1200" s="1" t="str">
        <x:v>2026-10-09</x:v>
      </x:c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  <x:c r="AA1200" s="1"/>
      <x:c r="AB1200" s="1"/>
      <x:c r="AC1200" s="1"/>
      <x:c r="AD1200" s="1"/>
      <x:c r="AE1200" s="1"/>
      <x:c r="AF1200" s="1"/>
      <x:c r="AG1200" s="1"/>
      <x:c r="AH1200" s="1"/>
      <x:c r="AI1200" s="1"/>
      <x:c r="AJ1200" s="1"/>
      <x:c r="AK1200" s="1"/>
      <x:c r="AL1200" s="1"/>
      <x:c r="AM1200" s="1"/>
      <x:c r="AN1200" s="1"/>
    </x:row>
    <x:row r="1201" ht="22" customHeight="1">
      <x:c r="A1201" s="1" t="str">
        <x:v>1158050</x:v>
      </x:c>
      <x:c r="B1201" s="1" t="str">
        <x:v>Target Store 2596</x:v>
      </x:c>
      <x:c r="C1201" s="1" t="str">
        <x:v>Super Store</x:v>
      </x:c>
      <x:c r="D1201" s="1" t="str">
        <x:v>160 W Dekalb Pike</x:v>
      </x:c>
      <x:c r="E1201" s="1" t="str">
        <x:v>King of Prussia</x:v>
      </x:c>
      <x:c r="F1201" s="1" t="str">
        <x:v>PA</x:v>
      </x:c>
      <x:c r="G1201" s="1" t="str">
        <x:v>19406</x:v>
      </x:c>
      <x:c r="H1201" s="1" t="n">
        <x:v>40.094131</x:v>
      </x:c>
      <x:c r="I1201" s="1" t="n">
        <x:v>-75.365028</x:v>
      </x:c>
      <x:c r="J1201" s="1" t="str">
        <x:v>USDA SNAP retailer list</x:v>
      </x:c>
      <x:c r="K1201" s="1" t="str">
        <x:v>2026-10-09</x:v>
      </x:c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  <x:c r="AA1201" s="1"/>
      <x:c r="AB1201" s="1"/>
      <x:c r="AC1201" s="1"/>
      <x:c r="AD1201" s="1"/>
      <x:c r="AE1201" s="1"/>
      <x:c r="AF1201" s="1"/>
      <x:c r="AG1201" s="1"/>
      <x:c r="AH1201" s="1"/>
      <x:c r="AI1201" s="1"/>
      <x:c r="AJ1201" s="1"/>
      <x:c r="AK1201" s="1"/>
      <x:c r="AL1201" s="1"/>
      <x:c r="AM1201" s="1"/>
      <x:c r="AN1201" s="1"/>
    </x:row>
    <x:row r="1202" ht="22" customHeight="1">
      <x:c r="A1202" s="1" t="str">
        <x:v>1128347</x:v>
      </x:c>
      <x:c r="B1202" s="1" t="str">
        <x:v>Apna Bazar Cash &amp; Carry</x:v>
      </x:c>
      <x:c r="C1202" s="1" t="str">
        <x:v>Supermarket</x:v>
      </x:c>
      <x:c r="D1202" s="1" t="str">
        <x:v>2631 Street Rd</x:v>
      </x:c>
      <x:c r="E1202" s="1" t="str">
        <x:v>Bensalem</x:v>
      </x:c>
      <x:c r="F1202" s="1" t="str">
        <x:v>PA</x:v>
      </x:c>
      <x:c r="G1202" s="1" t="str">
        <x:v>19020</x:v>
      </x:c>
      <x:c r="H1202" s="1" t="n">
        <x:v>40.108845</x:v>
      </x:c>
      <x:c r="I1202" s="1" t="n">
        <x:v>-74.952469</x:v>
      </x:c>
      <x:c r="J1202" s="1" t="str">
        <x:v>USDA SNAP retailer list</x:v>
      </x:c>
      <x:c r="K1202" s="1" t="str">
        <x:v>2026-10-09</x:v>
      </x:c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  <x:c r="AA1202" s="1"/>
      <x:c r="AB1202" s="1"/>
      <x:c r="AC1202" s="1"/>
      <x:c r="AD1202" s="1"/>
      <x:c r="AE1202" s="1"/>
      <x:c r="AF1202" s="1"/>
      <x:c r="AG1202" s="1"/>
      <x:c r="AH1202" s="1"/>
      <x:c r="AI1202" s="1"/>
      <x:c r="AJ1202" s="1"/>
      <x:c r="AK1202" s="1"/>
      <x:c r="AL1202" s="1"/>
      <x:c r="AM1202" s="1"/>
      <x:c r="AN1202" s="1"/>
    </x:row>
    <x:row r="1203" ht="22" customHeight="1">
      <x:c r="A1203" s="1" t="str">
        <x:v>1028690</x:v>
      </x:c>
      <x:c r="B1203" s="1" t="str">
        <x:v>Save A Lot 24854</x:v>
      </x:c>
      <x:c r="C1203" s="1" t="str">
        <x:v>Supermarket</x:v>
      </x:c>
      <x:c r="D1203" s="1" t="str">
        <x:v>1500 Garrett Rd</x:v>
      </x:c>
      <x:c r="E1203" s="1" t="str">
        <x:v>Upper Darby</x:v>
      </x:c>
      <x:c r="F1203" s="1" t="str">
        <x:v>PA</x:v>
      </x:c>
      <x:c r="G1203" s="1" t="str">
        <x:v>19082</x:v>
      </x:c>
      <x:c r="H1203" s="1" t="n">
        <x:v>39.95533</x:v>
      </x:c>
      <x:c r="I1203" s="1" t="n">
        <x:v>-75.273758</x:v>
      </x:c>
      <x:c r="J1203" s="1" t="str">
        <x:v>USDA SNAP retailer list</x:v>
      </x:c>
      <x:c r="K1203" s="1" t="str">
        <x:v>2026-10-09</x:v>
      </x:c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  <x:c r="AA1203" s="1"/>
      <x:c r="AB1203" s="1"/>
      <x:c r="AC1203" s="1"/>
      <x:c r="AD1203" s="1"/>
      <x:c r="AE1203" s="1"/>
      <x:c r="AF1203" s="1"/>
      <x:c r="AG1203" s="1"/>
      <x:c r="AH1203" s="1"/>
      <x:c r="AI1203" s="1"/>
      <x:c r="AJ1203" s="1"/>
      <x:c r="AK1203" s="1"/>
      <x:c r="AL1203" s="1"/>
      <x:c r="AM1203" s="1"/>
      <x:c r="AN1203" s="1"/>
    </x:row>
    <x:row r="1204" ht="22" customHeight="1">
      <x:c r="A1204" s="1" t="str">
        <x:v>1702054</x:v>
      </x:c>
      <x:c r="B1204" s="1" t="str">
        <x:v>Sam's Club 8145</x:v>
      </x:c>
      <x:c r="C1204" s="1" t="str">
        <x:v>Super Store</x:v>
      </x:c>
      <x:c r="D1204" s="1" t="str">
        <x:v>2521 Route 130 S</x:v>
      </x:c>
      <x:c r="E1204" s="1" t="str">
        <x:v>Cinnaminson</x:v>
      </x:c>
      <x:c r="F1204" s="1" t="str">
        <x:v>NJ</x:v>
      </x:c>
      <x:c r="G1204" s="1" t="str">
        <x:v>08077</x:v>
      </x:c>
      <x:c r="H1204" s="1" t="n">
        <x:v>40.006996</x:v>
      </x:c>
      <x:c r="I1204" s="1" t="n">
        <x:v>-74.976906</x:v>
      </x:c>
      <x:c r="J1204" s="1" t="str">
        <x:v>USDA SNAP retailer list</x:v>
      </x:c>
      <x:c r="K1204" s="1" t="str">
        <x:v>2026-10-09</x:v>
      </x:c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  <x:c r="AA1204" s="1"/>
      <x:c r="AB1204" s="1"/>
      <x:c r="AC1204" s="1"/>
      <x:c r="AD1204" s="1"/>
      <x:c r="AE1204" s="1"/>
      <x:c r="AF1204" s="1"/>
      <x:c r="AG1204" s="1"/>
      <x:c r="AH1204" s="1"/>
      <x:c r="AI1204" s="1"/>
      <x:c r="AJ1204" s="1"/>
      <x:c r="AK1204" s="1"/>
      <x:c r="AL1204" s="1"/>
      <x:c r="AM1204" s="1"/>
      <x:c r="AN1204" s="1"/>
    </x:row>
    <x:row r="1205" ht="22" customHeight="1">
      <x:c r="A1205" s="1" t="str">
        <x:v>974341</x:v>
      </x:c>
      <x:c r="B1205" s="1" t="str">
        <x:v>Walmart Supercenter 4456</x:v>
      </x:c>
      <x:c r="C1205" s="1" t="str">
        <x:v>Super Store</x:v>
      </x:c>
      <x:c r="D1205" s="1" t="str">
        <x:v>1 Coopertowne Blvd</x:v>
      </x:c>
      <x:c r="E1205" s="1" t="str">
        <x:v>Somerdale</x:v>
      </x:c>
      <x:c r="F1205" s="1" t="str">
        <x:v>NJ</x:v>
      </x:c>
      <x:c r="G1205" s="1" t="str">
        <x:v>08083</x:v>
      </x:c>
      <x:c r="H1205" s="1" t="n">
        <x:v>39.853806</x:v>
      </x:c>
      <x:c r="I1205" s="1" t="n">
        <x:v>-75.023514</x:v>
      </x:c>
      <x:c r="J1205" s="1" t="str">
        <x:v>USDA SNAP retailer list</x:v>
      </x:c>
      <x:c r="K1205" s="1" t="str">
        <x:v>2026-10-09</x:v>
      </x:c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  <x:c r="AA1205" s="1"/>
      <x:c r="AB1205" s="1"/>
      <x:c r="AC1205" s="1"/>
      <x:c r="AD1205" s="1"/>
      <x:c r="AE1205" s="1"/>
      <x:c r="AF1205" s="1"/>
      <x:c r="AG1205" s="1"/>
      <x:c r="AH1205" s="1"/>
      <x:c r="AI1205" s="1"/>
      <x:c r="AJ1205" s="1"/>
      <x:c r="AK1205" s="1"/>
      <x:c r="AL1205" s="1"/>
      <x:c r="AM1205" s="1"/>
      <x:c r="AN1205" s="1"/>
    </x:row>
    <x:row r="1206" ht="22" customHeight="1">
      <x:c r="A1206" s="1" t="str">
        <x:v>1230435</x:v>
      </x:c>
      <x:c r="B1206" s="1" t="str">
        <x:v>69 Marshall Foods LLC-Fresh Grocer Of Upper Darby 438</x:v>
      </x:c>
      <x:c r="C1206" s="1" t="str">
        <x:v>Super Store</x:v>
      </x:c>
      <x:c r="D1206" s="1" t="str">
        <x:v>421 S 69th St</x:v>
      </x:c>
      <x:c r="E1206" s="1" t="str">
        <x:v>Upper Darby</x:v>
      </x:c>
      <x:c r="F1206" s="1" t="str">
        <x:v>PA</x:v>
      </x:c>
      <x:c r="G1206" s="1" t="str">
        <x:v>19082</x:v>
      </x:c>
      <x:c r="H1206" s="1" t="n">
        <x:v>39.953262</x:v>
      </x:c>
      <x:c r="I1206" s="1" t="n">
        <x:v>-75.257858</x:v>
      </x:c>
      <x:c r="J1206" s="1" t="str">
        <x:v>USDA SNAP retailer list</x:v>
      </x:c>
      <x:c r="K1206" s="1" t="str">
        <x:v>2026-10-09</x:v>
      </x:c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  <x:c r="AA1206" s="1"/>
      <x:c r="AB1206" s="1"/>
      <x:c r="AC1206" s="1"/>
      <x:c r="AD1206" s="1"/>
      <x:c r="AE1206" s="1"/>
      <x:c r="AF1206" s="1"/>
      <x:c r="AG1206" s="1"/>
      <x:c r="AH1206" s="1"/>
      <x:c r="AI1206" s="1"/>
      <x:c r="AJ1206" s="1"/>
      <x:c r="AK1206" s="1"/>
      <x:c r="AL1206" s="1"/>
      <x:c r="AM1206" s="1"/>
      <x:c r="AN1206" s="1"/>
    </x:row>
    <x:row r="1207" ht="22" customHeight="1">
      <x:c r="A1207" s="1" t="str">
        <x:v>1224275</x:v>
      </x:c>
      <x:c r="B1207" s="1" t="str">
        <x:v>ALDI 60024 60024</x:v>
      </x:c>
      <x:c r="C1207" s="1" t="str">
        <x:v>Supermarket</x:v>
      </x:c>
      <x:c r="D1207" s="1" t="str">
        <x:v>1911 N 76th St</x:v>
      </x:c>
      <x:c r="E1207" s="1" t="str">
        <x:v>Philadelphia</x:v>
      </x:c>
      <x:c r="F1207" s="1" t="str">
        <x:v>PA</x:v>
      </x:c>
      <x:c r="G1207" s="1" t="str">
        <x:v>19151</x:v>
      </x:c>
      <x:c r="H1207" s="1" t="n">
        <x:v>39.978592</x:v>
      </x:c>
      <x:c r="I1207" s="1" t="n">
        <x:v>-75.27076</x:v>
      </x:c>
      <x:c r="J1207" s="1" t="str">
        <x:v>USDA SNAP retailer list</x:v>
      </x:c>
      <x:c r="K1207" s="1" t="str">
        <x:v>2026-10-09</x:v>
      </x:c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  <x:c r="AA1207" s="1"/>
      <x:c r="AB1207" s="1"/>
      <x:c r="AC1207" s="1"/>
      <x:c r="AD1207" s="1"/>
      <x:c r="AE1207" s="1"/>
      <x:c r="AF1207" s="1"/>
      <x:c r="AG1207" s="1"/>
      <x:c r="AH1207" s="1"/>
      <x:c r="AI1207" s="1"/>
      <x:c r="AJ1207" s="1"/>
      <x:c r="AK1207" s="1"/>
      <x:c r="AL1207" s="1"/>
      <x:c r="AM1207" s="1"/>
      <x:c r="AN1207" s="1"/>
    </x:row>
    <x:row r="1208" ht="22" customHeight="1">
      <x:c r="A1208" s="1" t="str">
        <x:v>1031743</x:v>
      </x:c>
      <x:c r="B1208" s="1" t="str">
        <x:v>Save A Lot 24858</x:v>
      </x:c>
      <x:c r="C1208" s="1" t="str">
        <x:v>Supermarket</x:v>
      </x:c>
      <x:c r="D1208" s="1" t="str">
        <x:v>5834 Pulaski Ave</x:v>
      </x:c>
      <x:c r="E1208" s="1" t="str">
        <x:v>Philadelphia</x:v>
      </x:c>
      <x:c r="F1208" s="1" t="str">
        <x:v>PA</x:v>
      </x:c>
      <x:c r="G1208" s="1" t="str">
        <x:v>19144</x:v>
      </x:c>
      <x:c r="H1208" s="1" t="n">
        <x:v>40.031597</x:v>
      </x:c>
      <x:c r="I1208" s="1" t="n">
        <x:v>-75.182274</x:v>
      </x:c>
      <x:c r="J1208" s="1" t="str">
        <x:v>USDA SNAP retailer list</x:v>
      </x:c>
      <x:c r="K1208" s="1" t="str">
        <x:v>2026-10-09</x:v>
      </x:c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  <x:c r="AA1208" s="1"/>
      <x:c r="AB1208" s="1"/>
      <x:c r="AC1208" s="1"/>
      <x:c r="AD1208" s="1"/>
      <x:c r="AE1208" s="1"/>
      <x:c r="AF1208" s="1"/>
      <x:c r="AG1208" s="1"/>
      <x:c r="AH1208" s="1"/>
      <x:c r="AI1208" s="1"/>
      <x:c r="AJ1208" s="1"/>
      <x:c r="AK1208" s="1"/>
      <x:c r="AL1208" s="1"/>
      <x:c r="AM1208" s="1"/>
      <x:c r="AN1208" s="1"/>
    </x:row>
    <x:row r="1209" ht="22" customHeight="1">
      <x:c r="A1209" s="1" t="str">
        <x:v>1270964</x:v>
      </x:c>
      <x:c r="B1209" s="1" t="str">
        <x:v>Save A Lot 45141</x:v>
      </x:c>
      <x:c r="C1209" s="1" t="str">
        <x:v>Supermarket</x:v>
      </x:c>
      <x:c r="D1209" s="1" t="str">
        <x:v>6301 Chew Ave</x:v>
      </x:c>
      <x:c r="E1209" s="1" t="str">
        <x:v>Philadelphia</x:v>
      </x:c>
      <x:c r="F1209" s="1" t="str">
        <x:v>PA</x:v>
      </x:c>
      <x:c r="G1209" s="1" t="str">
        <x:v>19138</x:v>
      </x:c>
      <x:c r="H1209" s="1" t="n">
        <x:v>40.050827</x:v>
      </x:c>
      <x:c r="I1209" s="1" t="n">
        <x:v>-75.173515</x:v>
      </x:c>
      <x:c r="J1209" s="1" t="str">
        <x:v>USDA SNAP retailer list</x:v>
      </x:c>
      <x:c r="K1209" s="1" t="str">
        <x:v>2026-10-09</x:v>
      </x:c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  <x:c r="AA1209" s="1"/>
      <x:c r="AB1209" s="1"/>
      <x:c r="AC1209" s="1"/>
      <x:c r="AD1209" s="1"/>
      <x:c r="AE1209" s="1"/>
      <x:c r="AF1209" s="1"/>
      <x:c r="AG1209" s="1"/>
      <x:c r="AH1209" s="1"/>
      <x:c r="AI1209" s="1"/>
      <x:c r="AJ1209" s="1"/>
      <x:c r="AK1209" s="1"/>
      <x:c r="AL1209" s="1"/>
      <x:c r="AM1209" s="1"/>
      <x:c r="AN1209" s="1"/>
    </x:row>
    <x:row r="1210" ht="22" customHeight="1">
      <x:c r="A1210" s="1" t="str">
        <x:v>1275288</x:v>
      </x:c>
      <x:c r="B1210" s="1" t="str">
        <x:v>Target 3247</x:v>
      </x:c>
      <x:c r="C1210" s="1" t="str">
        <x:v>Super Store</x:v>
      </x:c>
      <x:c r="D1210" s="1" t="str">
        <x:v>7162 Ridge Ave</x:v>
      </x:c>
      <x:c r="E1210" s="1" t="str">
        <x:v>Philadelphia</x:v>
      </x:c>
      <x:c r="F1210" s="1" t="str">
        <x:v>PA</x:v>
      </x:c>
      <x:c r="G1210" s="1" t="str">
        <x:v>19128</x:v>
      </x:c>
      <x:c r="H1210" s="1" t="n">
        <x:v>40.045139</x:v>
      </x:c>
      <x:c r="I1210" s="1" t="n">
        <x:v>-75.231621</x:v>
      </x:c>
      <x:c r="J1210" s="1" t="str">
        <x:v>USDA SNAP retailer list</x:v>
      </x:c>
      <x:c r="K1210" s="1" t="str">
        <x:v>2026-10-09</x:v>
      </x:c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  <x:c r="AA1210" s="1"/>
      <x:c r="AB1210" s="1"/>
      <x:c r="AC1210" s="1"/>
      <x:c r="AD1210" s="1"/>
      <x:c r="AE1210" s="1"/>
      <x:c r="AF1210" s="1"/>
      <x:c r="AG1210" s="1"/>
      <x:c r="AH1210" s="1"/>
      <x:c r="AI1210" s="1"/>
      <x:c r="AJ1210" s="1"/>
      <x:c r="AK1210" s="1"/>
      <x:c r="AL1210" s="1"/>
      <x:c r="AM1210" s="1"/>
      <x:c r="AN1210" s="1"/>
    </x:row>
    <x:row r="1211" ht="22" customHeight="1">
      <x:c r="A1211" s="1" t="str">
        <x:v>1171179</x:v>
      </x:c>
      <x:c r="B1211" s="1" t="str">
        <x:v>Save A Lot 60139</x:v>
      </x:c>
      <x:c r="C1211" s="1" t="str">
        <x:v>Supermarket</x:v>
      </x:c>
      <x:c r="D1211" s="1" t="str">
        <x:v>701 W Lehigh Ave</x:v>
      </x:c>
      <x:c r="E1211" s="1" t="str">
        <x:v>Philadelphia</x:v>
      </x:c>
      <x:c r="F1211" s="1" t="str">
        <x:v>PA</x:v>
      </x:c>
      <x:c r="G1211" s="1" t="str">
        <x:v>19133</x:v>
      </x:c>
      <x:c r="H1211" s="1" t="n">
        <x:v>39.993595</x:v>
      </x:c>
      <x:c r="I1211" s="1" t="n">
        <x:v>-75.143967</x:v>
      </x:c>
      <x:c r="J1211" s="1" t="str">
        <x:v>USDA SNAP retailer list</x:v>
      </x:c>
      <x:c r="K1211" s="1" t="str">
        <x:v>2026-10-09</x:v>
      </x:c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  <x:c r="AA1211" s="1"/>
      <x:c r="AB1211" s="1"/>
      <x:c r="AC1211" s="1"/>
      <x:c r="AD1211" s="1"/>
      <x:c r="AE1211" s="1"/>
      <x:c r="AF1211" s="1"/>
      <x:c r="AG1211" s="1"/>
      <x:c r="AH1211" s="1"/>
      <x:c r="AI1211" s="1"/>
      <x:c r="AJ1211" s="1"/>
      <x:c r="AK1211" s="1"/>
      <x:c r="AL1211" s="1"/>
      <x:c r="AM1211" s="1"/>
      <x:c r="AN1211" s="1"/>
    </x:row>
    <x:row r="1212" ht="22" customHeight="1">
      <x:c r="A1212" s="1" t="str">
        <x:v>1687064</x:v>
      </x:c>
      <x:c r="B1212" s="1" t="str">
        <x:v>Wegmans 08</x:v>
      </x:c>
      <x:c r="C1212" s="1" t="str">
        <x:v>Supermarket</x:v>
      </x:c>
      <x:c r="D1212" s="1" t="str">
        <x:v>2 Centerton Rd</x:v>
      </x:c>
      <x:c r="E1212" s="1" t="str">
        <x:v>Mount Laurel</x:v>
      </x:c>
      <x:c r="F1212" s="1" t="str">
        <x:v>NJ</x:v>
      </x:c>
      <x:c r="G1212" s="1" t="str">
        <x:v>08054</x:v>
      </x:c>
      <x:c r="H1212" s="1" t="n">
        <x:v>39.967632</x:v>
      </x:c>
      <x:c r="I1212" s="1" t="n">
        <x:v>-74.916077</x:v>
      </x:c>
      <x:c r="J1212" s="1" t="str">
        <x:v>USDA SNAP retailer list</x:v>
      </x:c>
      <x:c r="K1212" s="1" t="str">
        <x:v>2026-10-09</x:v>
      </x:c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  <x:c r="AA1212" s="1"/>
      <x:c r="AB1212" s="1"/>
      <x:c r="AC1212" s="1"/>
      <x:c r="AD1212" s="1"/>
      <x:c r="AE1212" s="1"/>
      <x:c r="AF1212" s="1"/>
      <x:c r="AG1212" s="1"/>
      <x:c r="AH1212" s="1"/>
      <x:c r="AI1212" s="1"/>
      <x:c r="AJ1212" s="1"/>
      <x:c r="AK1212" s="1"/>
      <x:c r="AL1212" s="1"/>
      <x:c r="AM1212" s="1"/>
      <x:c r="AN1212" s="1"/>
    </x:row>
    <x:row r="1213" ht="22" customHeight="1">
      <x:c r="A1213" s="1" t="str">
        <x:v>1689247</x:v>
      </x:c>
      <x:c r="B1213" s="1" t="str">
        <x:v>PJP Marketplace</x:v>
      </x:c>
      <x:c r="C1213" s="1" t="str">
        <x:v>Super Store</x:v>
      </x:c>
      <x:c r="D1213" s="1" t="str">
        <x:v>537 Adams Ave</x:v>
      </x:c>
      <x:c r="E1213" s="1" t="str">
        <x:v>Philadelphia</x:v>
      </x:c>
      <x:c r="F1213" s="1" t="str">
        <x:v>PA</x:v>
      </x:c>
      <x:c r="G1213" s="1" t="str">
        <x:v>19120</x:v>
      </x:c>
      <x:c r="H1213" s="1" t="n">
        <x:v>40.039448</x:v>
      </x:c>
      <x:c r="I1213" s="1" t="n">
        <x:v>-75.108185</x:v>
      </x:c>
      <x:c r="J1213" s="1" t="str">
        <x:v>USDA SNAP retailer list</x:v>
      </x:c>
      <x:c r="K1213" s="1" t="str">
        <x:v>2026-10-09</x:v>
      </x:c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  <x:c r="AA1213" s="1"/>
      <x:c r="AB1213" s="1"/>
      <x:c r="AC1213" s="1"/>
      <x:c r="AD1213" s="1"/>
      <x:c r="AE1213" s="1"/>
      <x:c r="AF1213" s="1"/>
      <x:c r="AG1213" s="1"/>
      <x:c r="AH1213" s="1"/>
      <x:c r="AI1213" s="1"/>
      <x:c r="AJ1213" s="1"/>
      <x:c r="AK1213" s="1"/>
      <x:c r="AL1213" s="1"/>
      <x:c r="AM1213" s="1"/>
      <x:c r="AN1213" s="1"/>
    </x:row>
    <x:row r="1214" ht="22" customHeight="1">
      <x:c r="A1214" s="1" t="str">
        <x:v>1672971</x:v>
      </x:c>
      <x:c r="B1214" s="1" t="str">
        <x:v>Giant Food Store 6513</x:v>
      </x:c>
      <x:c r="C1214" s="1" t="str">
        <x:v>Supermarket</x:v>
      </x:c>
      <x:c r="D1214" s="1" t="str">
        <x:v>1925 Norristown Rd</x:v>
      </x:c>
      <x:c r="E1214" s="1" t="str">
        <x:v>Ambler</x:v>
      </x:c>
      <x:c r="F1214" s="1" t="str">
        <x:v>PA</x:v>
      </x:c>
      <x:c r="G1214" s="1" t="str">
        <x:v>19002</x:v>
      </x:c>
      <x:c r="H1214" s="1" t="n">
        <x:v>40.178528</x:v>
      </x:c>
      <x:c r="I1214" s="1" t="n">
        <x:v>-75.181976</x:v>
      </x:c>
      <x:c r="J1214" s="1" t="str">
        <x:v>USDA SNAP retailer list</x:v>
      </x:c>
      <x:c r="K1214" s="1" t="str">
        <x:v>2026-10-09</x:v>
      </x:c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  <x:c r="AA1214" s="1"/>
      <x:c r="AB1214" s="1"/>
      <x:c r="AC1214" s="1"/>
      <x:c r="AD1214" s="1"/>
      <x:c r="AE1214" s="1"/>
      <x:c r="AF1214" s="1"/>
      <x:c r="AG1214" s="1"/>
      <x:c r="AH1214" s="1"/>
      <x:c r="AI1214" s="1"/>
      <x:c r="AJ1214" s="1"/>
      <x:c r="AK1214" s="1"/>
      <x:c r="AL1214" s="1"/>
      <x:c r="AM1214" s="1"/>
      <x:c r="AN1214" s="1"/>
    </x:row>
    <x:row r="1215" ht="22" customHeight="1">
      <x:c r="A1215" s="1" t="str">
        <x:v>1231350</x:v>
      </x:c>
      <x:c r="B1215" s="1" t="str">
        <x:v>The Fresh Market 133</x:v>
      </x:c>
      <x:c r="C1215" s="1" t="str">
        <x:v>Supermarket</x:v>
      </x:c>
      <x:c r="D1215" s="1" t="str">
        <x:v>8208 Germantown Ave</x:v>
      </x:c>
      <x:c r="E1215" s="1" t="str">
        <x:v>Philadelphia</x:v>
      </x:c>
      <x:c r="F1215" s="1" t="str">
        <x:v>PA</x:v>
      </x:c>
      <x:c r="G1215" s="1" t="str">
        <x:v>19118</x:v>
      </x:c>
      <x:c r="H1215" s="1" t="n">
        <x:v>40.073475</x:v>
      </x:c>
      <x:c r="I1215" s="1" t="n">
        <x:v>-75.202957</x:v>
      </x:c>
      <x:c r="J1215" s="1" t="str">
        <x:v>USDA SNAP retailer list</x:v>
      </x:c>
      <x:c r="K1215" s="1" t="str">
        <x:v>2026-10-09</x:v>
      </x:c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  <x:c r="AA1215" s="1"/>
      <x:c r="AB1215" s="1"/>
      <x:c r="AC1215" s="1"/>
      <x:c r="AD1215" s="1"/>
      <x:c r="AE1215" s="1"/>
      <x:c r="AF1215" s="1"/>
      <x:c r="AG1215" s="1"/>
      <x:c r="AH1215" s="1"/>
      <x:c r="AI1215" s="1"/>
      <x:c r="AJ1215" s="1"/>
      <x:c r="AK1215" s="1"/>
      <x:c r="AL1215" s="1"/>
      <x:c r="AM1215" s="1"/>
      <x:c r="AN1215" s="1"/>
    </x:row>
    <x:row r="1216" ht="22" customHeight="1">
      <x:c r="A1216" s="1" t="str">
        <x:v>1314836</x:v>
      </x:c>
      <x:c r="B1216" s="1" t="str">
        <x:v>Whole Foods Market 10599</x:v>
      </x:c>
      <x:c r="C1216" s="1" t="str">
        <x:v>Super Store</x:v>
      </x:c>
      <x:c r="D1216" s="1" t="str">
        <x:v>111 North Bethlehem Pike</x:v>
      </x:c>
      <x:c r="E1216" s="1" t="str">
        <x:v>Springhouse</x:v>
      </x:c>
      <x:c r="F1216" s="1" t="str">
        <x:v>PA</x:v>
      </x:c>
      <x:c r="G1216" s="1" t="str">
        <x:v>19477</x:v>
      </x:c>
      <x:c r="H1216" s="1" t="n">
        <x:v>40.185654</x:v>
      </x:c>
      <x:c r="I1216" s="1" t="n">
        <x:v>-75.227821</x:v>
      </x:c>
      <x:c r="J1216" s="1" t="str">
        <x:v>USDA SNAP retailer list</x:v>
      </x:c>
      <x:c r="K1216" s="1" t="str">
        <x:v>2026-10-09</x:v>
      </x:c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  <x:c r="AA1216" s="1"/>
      <x:c r="AB1216" s="1"/>
      <x:c r="AC1216" s="1"/>
      <x:c r="AD1216" s="1"/>
      <x:c r="AE1216" s="1"/>
      <x:c r="AF1216" s="1"/>
      <x:c r="AG1216" s="1"/>
      <x:c r="AH1216" s="1"/>
      <x:c r="AI1216" s="1"/>
      <x:c r="AJ1216" s="1"/>
      <x:c r="AK1216" s="1"/>
      <x:c r="AL1216" s="1"/>
      <x:c r="AM1216" s="1"/>
      <x:c r="AN1216" s="1"/>
    </x:row>
    <x:row r="1217" ht="22" customHeight="1">
      <x:c r="A1217" s="1" t="str">
        <x:v>1345626</x:v>
      </x:c>
      <x:c r="B1217" s="1" t="str">
        <x:v>ALDI 60014</x:v>
      </x:c>
      <x:c r="C1217" s="1" t="str">
        <x:v>Supermarket</x:v>
      </x:c>
      <x:c r="D1217" s="1" t="str">
        <x:v>620 Rockhill Dr</x:v>
      </x:c>
      <x:c r="E1217" s="1" t="str">
        <x:v>Bensalem</x:v>
      </x:c>
      <x:c r="F1217" s="1" t="str">
        <x:v>PA</x:v>
      </x:c>
      <x:c r="G1217" s="1" t="str">
        <x:v>19020</x:v>
      </x:c>
      <x:c r="H1217" s="1" t="n">
        <x:v>40.137245</x:v>
      </x:c>
      <x:c r="I1217" s="1" t="n">
        <x:v>-74.957771</x:v>
      </x:c>
      <x:c r="J1217" s="1" t="str">
        <x:v>USDA SNAP retailer list</x:v>
      </x:c>
      <x:c r="K1217" s="1" t="str">
        <x:v>2026-10-09</x:v>
      </x:c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  <x:c r="AA1217" s="1"/>
      <x:c r="AB1217" s="1"/>
      <x:c r="AC1217" s="1"/>
      <x:c r="AD1217" s="1"/>
      <x:c r="AE1217" s="1"/>
      <x:c r="AF1217" s="1"/>
      <x:c r="AG1217" s="1"/>
      <x:c r="AH1217" s="1"/>
      <x:c r="AI1217" s="1"/>
      <x:c r="AJ1217" s="1"/>
      <x:c r="AK1217" s="1"/>
      <x:c r="AL1217" s="1"/>
      <x:c r="AM1217" s="1"/>
      <x:c r="AN1217" s="1"/>
    </x:row>
    <x:row r="1218" ht="22" customHeight="1">
      <x:c r="A1218" s="1" t="str">
        <x:v>1600223</x:v>
      </x:c>
      <x:c r="B1218" s="1" t="str">
        <x:v>Sprouts Farmers Market 854</x:v>
      </x:c>
      <x:c r="C1218" s="1" t="str">
        <x:v>Supermarket</x:v>
      </x:c>
      <x:c r="D1218" s="1" t="str">
        <x:v>2327 Cottman Ave</x:v>
      </x:c>
      <x:c r="E1218" s="1" t="str">
        <x:v>Philadelphia</x:v>
      </x:c>
      <x:c r="F1218" s="1" t="str">
        <x:v>PA</x:v>
      </x:c>
      <x:c r="G1218" s="1" t="str">
        <x:v>19149</x:v>
      </x:c>
      <x:c r="H1218" s="1" t="n">
        <x:v>40.047714</x:v>
      </x:c>
      <x:c r="I1218" s="1" t="n">
        <x:v>-75.056862</x:v>
      </x:c>
      <x:c r="J1218" s="1" t="str">
        <x:v>USDA SNAP retailer list</x:v>
      </x:c>
      <x:c r="K1218" s="1" t="str">
        <x:v>2026-10-09</x:v>
      </x:c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  <x:c r="AA1218" s="1"/>
      <x:c r="AB1218" s="1"/>
      <x:c r="AC1218" s="1"/>
      <x:c r="AD1218" s="1"/>
      <x:c r="AE1218" s="1"/>
      <x:c r="AF1218" s="1"/>
      <x:c r="AG1218" s="1"/>
      <x:c r="AH1218" s="1"/>
      <x:c r="AI1218" s="1"/>
      <x:c r="AJ1218" s="1"/>
      <x:c r="AK1218" s="1"/>
      <x:c r="AL1218" s="1"/>
      <x:c r="AM1218" s="1"/>
      <x:c r="AN1218" s="1"/>
    </x:row>
    <x:row r="1219" ht="22" customHeight="1">
      <x:c r="A1219" s="1" t="str">
        <x:v>1345364</x:v>
      </x:c>
      <x:c r="B1219" s="1" t="str">
        <x:v>Giant Heirloom Market 6553</x:v>
      </x:c>
      <x:c r="C1219" s="1" t="str">
        <x:v>Supermarket</x:v>
      </x:c>
      <x:c r="D1219" s="1" t="str">
        <x:v>2303 Bainbridge St</x:v>
      </x:c>
      <x:c r="E1219" s="1" t="str">
        <x:v>Philadelphia</x:v>
      </x:c>
      <x:c r="F1219" s="1" t="str">
        <x:v>PA</x:v>
      </x:c>
      <x:c r="G1219" s="1" t="str">
        <x:v>19146</x:v>
      </x:c>
      <x:c r="H1219" s="1" t="n">
        <x:v>39.944702</x:v>
      </x:c>
      <x:c r="I1219" s="1" t="n">
        <x:v>-75.18071</x:v>
      </x:c>
      <x:c r="J1219" s="1" t="str">
        <x:v>USDA SNAP retailer list</x:v>
      </x:c>
      <x:c r="K1219" s="1" t="str">
        <x:v>2026-10-09</x:v>
      </x:c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  <x:c r="AA1219" s="1"/>
      <x:c r="AB1219" s="1"/>
      <x:c r="AC1219" s="1"/>
      <x:c r="AD1219" s="1"/>
      <x:c r="AE1219" s="1"/>
      <x:c r="AF1219" s="1"/>
      <x:c r="AG1219" s="1"/>
      <x:c r="AH1219" s="1"/>
      <x:c r="AI1219" s="1"/>
      <x:c r="AJ1219" s="1"/>
      <x:c r="AK1219" s="1"/>
      <x:c r="AL1219" s="1"/>
      <x:c r="AM1219" s="1"/>
      <x:c r="AN1219" s="1"/>
    </x:row>
    <x:row r="1220" ht="22" customHeight="1">
      <x:c r="A1220" s="1" t="str">
        <x:v>1344997</x:v>
      </x:c>
      <x:c r="B1220" s="1" t="str">
        <x:v>Wilson's Meat</x:v>
      </x:c>
      <x:c r="C1220" s="1" t="str">
        <x:v>Super Store</x:v>
      </x:c>
      <x:c r="D1220" s="1" t="str">
        <x:v>2325 E Venango St</x:v>
      </x:c>
      <x:c r="E1220" s="1" t="str">
        <x:v>Philadelphia</x:v>
      </x:c>
      <x:c r="F1220" s="1" t="str">
        <x:v>PA</x:v>
      </x:c>
      <x:c r="G1220" s="1" t="str">
        <x:v>19134</x:v>
      </x:c>
      <x:c r="H1220" s="1" t="n">
        <x:v>39.993843</x:v>
      </x:c>
      <x:c r="I1220" s="1" t="n">
        <x:v>-75.097298</x:v>
      </x:c>
      <x:c r="J1220" s="1" t="str">
        <x:v>USDA SNAP retailer list</x:v>
      </x:c>
      <x:c r="K1220" s="1" t="str">
        <x:v>2026-10-09</x:v>
      </x:c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  <x:c r="AA1220" s="1"/>
      <x:c r="AB1220" s="1"/>
      <x:c r="AC1220" s="1"/>
      <x:c r="AD1220" s="1"/>
      <x:c r="AE1220" s="1"/>
      <x:c r="AF1220" s="1"/>
      <x:c r="AG1220" s="1"/>
      <x:c r="AH1220" s="1"/>
      <x:c r="AI1220" s="1"/>
      <x:c r="AJ1220" s="1"/>
      <x:c r="AK1220" s="1"/>
      <x:c r="AL1220" s="1"/>
      <x:c r="AM1220" s="1"/>
      <x:c r="AN1220" s="1"/>
    </x:row>
    <x:row r="1221" ht="22" customHeight="1">
      <x:c r="A1221" s="1" t="str">
        <x:v>1673015</x:v>
      </x:c>
      <x:c r="B1221" s="1" t="str">
        <x:v>Giant Martins 6570</x:v>
      </x:c>
      <x:c r="C1221" s="1" t="str">
        <x:v>Supermarket</x:v>
      </x:c>
      <x:c r="D1221" s="1" t="str">
        <x:v>1403 S Christopher Columbus Blvd</x:v>
      </x:c>
      <x:c r="E1221" s="1" t="str">
        <x:v>Philadelphia</x:v>
      </x:c>
      <x:c r="F1221" s="1" t="str">
        <x:v>PA</x:v>
      </x:c>
      <x:c r="G1221" s="1" t="str">
        <x:v>19147</x:v>
      </x:c>
      <x:c r="H1221" s="1" t="n">
        <x:v>39.929092</x:v>
      </x:c>
      <x:c r="I1221" s="1" t="n">
        <x:v>-75.143471</x:v>
      </x:c>
      <x:c r="J1221" s="1" t="str">
        <x:v>USDA SNAP retailer list</x:v>
      </x:c>
      <x:c r="K1221" s="1" t="str">
        <x:v>2026-10-09</x:v>
      </x:c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  <x:c r="AA1221" s="1"/>
      <x:c r="AB1221" s="1"/>
      <x:c r="AC1221" s="1"/>
      <x:c r="AD1221" s="1"/>
      <x:c r="AE1221" s="1"/>
      <x:c r="AF1221" s="1"/>
      <x:c r="AG1221" s="1"/>
      <x:c r="AH1221" s="1"/>
      <x:c r="AI1221" s="1"/>
      <x:c r="AJ1221" s="1"/>
      <x:c r="AK1221" s="1"/>
      <x:c r="AL1221" s="1"/>
      <x:c r="AM1221" s="1"/>
      <x:c r="AN1221" s="1"/>
    </x:row>
    <x:row r="1222" ht="22" customHeight="1">
      <x:c r="A1222" s="1" t="str">
        <x:v>1673265</x:v>
      </x:c>
      <x:c r="B1222" s="1" t="str">
        <x:v>Giant Food Store 6549</x:v>
      </x:c>
      <x:c r="C1222" s="1" t="str">
        <x:v>Supermarket</x:v>
      </x:c>
      <x:c r="D1222" s="1" t="str">
        <x:v>1001 S Broad St</x:v>
      </x:c>
      <x:c r="E1222" s="1" t="str">
        <x:v>Philadelphia</x:v>
      </x:c>
      <x:c r="F1222" s="1" t="str">
        <x:v>PA</x:v>
      </x:c>
      <x:c r="G1222" s="1" t="str">
        <x:v>19147</x:v>
      </x:c>
      <x:c r="H1222" s="1" t="n">
        <x:v>39.938335</x:v>
      </x:c>
      <x:c r="I1222" s="1" t="n">
        <x:v>-75.166153</x:v>
      </x:c>
      <x:c r="J1222" s="1" t="str">
        <x:v>USDA SNAP retailer list</x:v>
      </x:c>
      <x:c r="K1222" s="1" t="str">
        <x:v>2026-10-09</x:v>
      </x:c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  <x:c r="AA1222" s="1"/>
      <x:c r="AB1222" s="1"/>
      <x:c r="AC1222" s="1"/>
      <x:c r="AD1222" s="1"/>
      <x:c r="AE1222" s="1"/>
      <x:c r="AF1222" s="1"/>
      <x:c r="AG1222" s="1"/>
      <x:c r="AH1222" s="1"/>
      <x:c r="AI1222" s="1"/>
      <x:c r="AJ1222" s="1"/>
      <x:c r="AK1222" s="1"/>
      <x:c r="AL1222" s="1"/>
      <x:c r="AM1222" s="1"/>
      <x:c r="AN1222" s="1"/>
    </x:row>
    <x:row r="1223" ht="22" customHeight="1">
      <x:c r="A1223" s="1" t="str">
        <x:v>1712142</x:v>
      </x:c>
      <x:c r="B1223" s="1" t="str">
        <x:v>6327 Meat Corp DBA Food Town</x:v>
      </x:c>
      <x:c r="C1223" s="1" t="str">
        <x:v>Super Store</x:v>
      </x:c>
      <x:c r="D1223" s="1" t="str">
        <x:v>6327 Torresdale Ave</x:v>
      </x:c>
      <x:c r="E1223" s="1" t="str">
        <x:v>Philadelphia</x:v>
      </x:c>
      <x:c r="F1223" s="1" t="str">
        <x:v>PA</x:v>
      </x:c>
      <x:c r="G1223" s="1" t="str">
        <x:v>19135</x:v>
      </x:c>
      <x:c r="H1223" s="1" t="n">
        <x:v>40.020996</x:v>
      </x:c>
      <x:c r="I1223" s="1" t="n">
        <x:v>-75.052071</x:v>
      </x:c>
      <x:c r="J1223" s="1" t="str">
        <x:v>USDA SNAP retailer list</x:v>
      </x:c>
      <x:c r="K1223" s="1" t="str">
        <x:v>2026-10-09</x:v>
      </x:c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  <x:c r="AA1223" s="1"/>
      <x:c r="AB1223" s="1"/>
      <x:c r="AC1223" s="1"/>
      <x:c r="AD1223" s="1"/>
      <x:c r="AE1223" s="1"/>
      <x:c r="AF1223" s="1"/>
      <x:c r="AG1223" s="1"/>
      <x:c r="AH1223" s="1"/>
      <x:c r="AI1223" s="1"/>
      <x:c r="AJ1223" s="1"/>
      <x:c r="AK1223" s="1"/>
      <x:c r="AL1223" s="1"/>
      <x:c r="AM1223" s="1"/>
      <x:c r="AN1223" s="1"/>
    </x:row>
    <x:row r="1224" ht="22" customHeight="1">
      <x:c r="A1224" s="1" t="str">
        <x:v>1320080</x:v>
      </x:c>
      <x:c r="B1224" s="1" t="str">
        <x:v>Walmart Supercenter 5944</x:v>
      </x:c>
      <x:c r="C1224" s="1" t="str">
        <x:v>Super Store</x:v>
      </x:c>
      <x:c r="D1224" s="1" t="str">
        <x:v>934 Route 73</x:v>
      </x:c>
      <x:c r="E1224" s="1" t="str">
        <x:v>Mount Laurel</x:v>
      </x:c>
      <x:c r="F1224" s="1" t="str">
        <x:v>NJ</x:v>
      </x:c>
      <x:c r="G1224" s="1" t="str">
        <x:v>08054</x:v>
      </x:c>
      <x:c r="H1224" s="1" t="n">
        <x:v>39.932194</x:v>
      </x:c>
      <x:c r="I1224" s="1" t="n">
        <x:v>-74.96212</x:v>
      </x:c>
      <x:c r="J1224" s="1" t="str">
        <x:v>USDA SNAP retailer list</x:v>
      </x:c>
      <x:c r="K1224" s="1" t="str">
        <x:v>2026-10-09</x:v>
      </x:c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  <x:c r="AA1224" s="1"/>
      <x:c r="AB1224" s="1"/>
      <x:c r="AC1224" s="1"/>
      <x:c r="AD1224" s="1"/>
      <x:c r="AE1224" s="1"/>
      <x:c r="AF1224" s="1"/>
      <x:c r="AG1224" s="1"/>
      <x:c r="AH1224" s="1"/>
      <x:c r="AI1224" s="1"/>
      <x:c r="AJ1224" s="1"/>
      <x:c r="AK1224" s="1"/>
      <x:c r="AL1224" s="1"/>
      <x:c r="AM1224" s="1"/>
      <x:c r="AN1224" s="1"/>
    </x:row>
    <x:row r="1225" ht="22" customHeight="1">
      <x:c r="A1225" s="1" t="str">
        <x:v>1206344</x:v>
      </x:c>
      <x:c r="B1225" s="1" t="str">
        <x:v>Aldi 47</x:v>
      </x:c>
      <x:c r="C1225" s="1" t="str">
        <x:v>Supermarket</x:v>
      </x:c>
      <x:c r="D1225" s="1" t="str">
        <x:v>1955 Davisville Rd</x:v>
      </x:c>
      <x:c r="E1225" s="1" t="str">
        <x:v>Willow Grove</x:v>
      </x:c>
      <x:c r="F1225" s="1" t="str">
        <x:v>PA</x:v>
      </x:c>
      <x:c r="G1225" s="1" t="str">
        <x:v>19090</x:v>
      </x:c>
      <x:c r="H1225" s="1" t="n">
        <x:v>40.140949</x:v>
      </x:c>
      <x:c r="I1225" s="1" t="n">
        <x:v>-75.11657</x:v>
      </x:c>
      <x:c r="J1225" s="1" t="str">
        <x:v>USDA SNAP retailer list</x:v>
      </x:c>
      <x:c r="K1225" s="1" t="str">
        <x:v>2026-10-09</x:v>
      </x:c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  <x:c r="AA1225" s="1"/>
      <x:c r="AB1225" s="1"/>
      <x:c r="AC1225" s="1"/>
      <x:c r="AD1225" s="1"/>
      <x:c r="AE1225" s="1"/>
      <x:c r="AF1225" s="1"/>
      <x:c r="AG1225" s="1"/>
      <x:c r="AH1225" s="1"/>
      <x:c r="AI1225" s="1"/>
      <x:c r="AJ1225" s="1"/>
      <x:c r="AK1225" s="1"/>
      <x:c r="AL1225" s="1"/>
      <x:c r="AM1225" s="1"/>
      <x:c r="AN1225" s="1"/>
    </x:row>
    <x:row r="1226" ht="22" customHeight="1">
      <x:c r="A1226" s="1" t="str">
        <x:v>1207094</x:v>
      </x:c>
      <x:c r="B1226" s="1" t="str">
        <x:v>Aldi 67</x:v>
      </x:c>
      <x:c r="C1226" s="1" t="str">
        <x:v>Supermarket</x:v>
      </x:c>
      <x:c r="D1226" s="1" t="str">
        <x:v>2110 Route 38</x:v>
      </x:c>
      <x:c r="E1226" s="1" t="str">
        <x:v>Cherry Hill</x:v>
      </x:c>
      <x:c r="F1226" s="1" t="str">
        <x:v>NJ</x:v>
      </x:c>
      <x:c r="G1226" s="1" t="str">
        <x:v>08002</x:v>
      </x:c>
      <x:c r="H1226" s="1" t="n">
        <x:v>39.939468</x:v>
      </x:c>
      <x:c r="I1226" s="1" t="n">
        <x:v>-75.019257</x:v>
      </x:c>
      <x:c r="J1226" s="1" t="str">
        <x:v>USDA SNAP retailer list</x:v>
      </x:c>
      <x:c r="K1226" s="1" t="str">
        <x:v>2026-10-09</x:v>
      </x:c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  <x:c r="AA1226" s="1"/>
      <x:c r="AB1226" s="1"/>
      <x:c r="AC1226" s="1"/>
      <x:c r="AD1226" s="1"/>
      <x:c r="AE1226" s="1"/>
      <x:c r="AF1226" s="1"/>
      <x:c r="AG1226" s="1"/>
      <x:c r="AH1226" s="1"/>
      <x:c r="AI1226" s="1"/>
      <x:c r="AJ1226" s="1"/>
      <x:c r="AK1226" s="1"/>
      <x:c r="AL1226" s="1"/>
      <x:c r="AM1226" s="1"/>
      <x:c r="AN1226" s="1"/>
    </x:row>
    <x:row r="1227" ht="22" customHeight="1">
      <x:c r="A1227" s="1" t="str">
        <x:v>1321192</x:v>
      </x:c>
      <x:c r="B1227" s="1" t="str">
        <x:v>Cousins Fresh Market 4</x:v>
      </x:c>
      <x:c r="C1227" s="1" t="str">
        <x:v>Supermarket</x:v>
      </x:c>
      <x:c r="D1227" s="1" t="str">
        <x:v>3117 W 9th St</x:v>
      </x:c>
      <x:c r="E1227" s="1" t="str">
        <x:v>Chester</x:v>
      </x:c>
      <x:c r="F1227" s="1" t="str">
        <x:v>PA</x:v>
      </x:c>
      <x:c r="G1227" s="1" t="str">
        <x:v>19013</x:v>
      </x:c>
      <x:c r="H1227" s="1" t="n">
        <x:v>39.834175</x:v>
      </x:c>
      <x:c r="I1227" s="1" t="n">
        <x:v>-75.398064</x:v>
      </x:c>
      <x:c r="J1227" s="1" t="str">
        <x:v>USDA SNAP retailer list</x:v>
      </x:c>
      <x:c r="K1227" s="1" t="str">
        <x:v>2026-10-09</x:v>
      </x:c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  <x:c r="AA1227" s="1"/>
      <x:c r="AB1227" s="1"/>
      <x:c r="AC1227" s="1"/>
      <x:c r="AD1227" s="1"/>
      <x:c r="AE1227" s="1"/>
      <x:c r="AF1227" s="1"/>
      <x:c r="AG1227" s="1"/>
      <x:c r="AH1227" s="1"/>
      <x:c r="AI1227" s="1"/>
      <x:c r="AJ1227" s="1"/>
      <x:c r="AK1227" s="1"/>
      <x:c r="AL1227" s="1"/>
      <x:c r="AM1227" s="1"/>
      <x:c r="AN1227" s="1"/>
    </x:row>
    <x:row r="1228" ht="22" customHeight="1">
      <x:c r="A1228" s="1" t="str">
        <x:v>1321664</x:v>
      </x:c>
      <x:c r="B1228" s="1" t="str">
        <x:v>House Of Kosher Inc</x:v>
      </x:c>
      <x:c r="C1228" s="1" t="str">
        <x:v>Supermarket</x:v>
      </x:c>
      <x:c r="D1228" s="1" t="str">
        <x:v>9806 Bustleton Ave</x:v>
      </x:c>
      <x:c r="E1228" s="1" t="str">
        <x:v>Philadelphia</x:v>
      </x:c>
      <x:c r="F1228" s="1" t="str">
        <x:v>PA</x:v>
      </x:c>
      <x:c r="G1228" s="1" t="str">
        <x:v>19115</x:v>
      </x:c>
      <x:c r="H1228" s="1" t="n">
        <x:v>40.091797</x:v>
      </x:c>
      <x:c r="I1228" s="1" t="n">
        <x:v>-75.032341</x:v>
      </x:c>
      <x:c r="J1228" s="1" t="str">
        <x:v>USDA SNAP retailer list</x:v>
      </x:c>
      <x:c r="K1228" s="1" t="str">
        <x:v>2026-10-09</x:v>
      </x:c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  <x:c r="AA1228" s="1"/>
      <x:c r="AB1228" s="1"/>
      <x:c r="AC1228" s="1"/>
      <x:c r="AD1228" s="1"/>
      <x:c r="AE1228" s="1"/>
      <x:c r="AF1228" s="1"/>
      <x:c r="AG1228" s="1"/>
      <x:c r="AH1228" s="1"/>
      <x:c r="AI1228" s="1"/>
      <x:c r="AJ1228" s="1"/>
      <x:c r="AK1228" s="1"/>
      <x:c r="AL1228" s="1"/>
      <x:c r="AM1228" s="1"/>
      <x:c r="AN1228" s="1"/>
    </x:row>
    <x:row r="1229" ht="22" customHeight="1">
      <x:c r="A1229" s="1" t="str">
        <x:v>1322731</x:v>
      </x:c>
      <x:c r="B1229" s="1" t="str">
        <x:v>Aldi 60104</x:v>
      </x:c>
      <x:c r="C1229" s="1" t="str">
        <x:v>Supermarket</x:v>
      </x:c>
      <x:c r="D1229" s="1" t="str">
        <x:v>142 Route 73</x:v>
      </x:c>
      <x:c r="E1229" s="1" t="str">
        <x:v>Voorhees</x:v>
      </x:c>
      <x:c r="F1229" s="1" t="str">
        <x:v>NJ</x:v>
      </x:c>
      <x:c r="G1229" s="1" t="str">
        <x:v>08043</x:v>
      </x:c>
      <x:c r="H1229" s="1" t="n">
        <x:v>39.837284</x:v>
      </x:c>
      <x:c r="I1229" s="1" t="n">
        <x:v>-74.923355</x:v>
      </x:c>
      <x:c r="J1229" s="1" t="str">
        <x:v>USDA SNAP retailer list</x:v>
      </x:c>
      <x:c r="K1229" s="1" t="str">
        <x:v>2026-10-09</x:v>
      </x:c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  <x:c r="AA1229" s="1"/>
      <x:c r="AB1229" s="1"/>
      <x:c r="AC1229" s="1"/>
      <x:c r="AD1229" s="1"/>
      <x:c r="AE1229" s="1"/>
      <x:c r="AF1229" s="1"/>
      <x:c r="AG1229" s="1"/>
      <x:c r="AH1229" s="1"/>
      <x:c r="AI1229" s="1"/>
      <x:c r="AJ1229" s="1"/>
      <x:c r="AK1229" s="1"/>
      <x:c r="AL1229" s="1"/>
      <x:c r="AM1229" s="1"/>
      <x:c r="AN1229" s="1"/>
    </x:row>
    <x:row r="1230" ht="22" customHeight="1">
      <x:c r="A1230" s="1" t="str">
        <x:v>1673273</x:v>
      </x:c>
      <x:c r="B1230" s="1" t="str">
        <x:v>Save A Lot 24775</x:v>
      </x:c>
      <x:c r="C1230" s="1" t="str">
        <x:v>Supermarket</x:v>
      </x:c>
      <x:c r="D1230" s="1" t="str">
        <x:v>150 MacDade Blvd</x:v>
      </x:c>
      <x:c r="E1230" s="1" t="str">
        <x:v>Darby</x:v>
      </x:c>
      <x:c r="F1230" s="1" t="str">
        <x:v>PA</x:v>
      </x:c>
      <x:c r="G1230" s="1" t="str">
        <x:v>19023</x:v>
      </x:c>
      <x:c r="H1230" s="1" t="n">
        <x:v>39.920059</x:v>
      </x:c>
      <x:c r="I1230" s="1" t="n">
        <x:v>-75.266304</x:v>
      </x:c>
      <x:c r="J1230" s="1" t="str">
        <x:v>USDA SNAP retailer list</x:v>
      </x:c>
      <x:c r="K1230" s="1" t="str">
        <x:v>2026-10-09</x:v>
      </x:c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  <x:c r="AA1230" s="1"/>
      <x:c r="AB1230" s="1"/>
      <x:c r="AC1230" s="1"/>
      <x:c r="AD1230" s="1"/>
      <x:c r="AE1230" s="1"/>
      <x:c r="AF1230" s="1"/>
      <x:c r="AG1230" s="1"/>
      <x:c r="AH1230" s="1"/>
      <x:c r="AI1230" s="1"/>
      <x:c r="AJ1230" s="1"/>
      <x:c r="AK1230" s="1"/>
      <x:c r="AL1230" s="1"/>
      <x:c r="AM1230" s="1"/>
      <x:c r="AN1230" s="1"/>
    </x:row>
    <x:row r="1231" ht="22" customHeight="1">
      <x:c r="A1231" s="1" t="str">
        <x:v>1348369</x:v>
      </x:c>
      <x:c r="B1231" s="1" t="str">
        <x:v>Knorr Street Shoprite Inc. 462</x:v>
      </x:c>
      <x:c r="C1231" s="1" t="str">
        <x:v>Super Store</x:v>
      </x:c>
      <x:c r="D1231" s="1" t="str">
        <x:v>6725 Frankford Ave</x:v>
      </x:c>
      <x:c r="E1231" s="1" t="str">
        <x:v>Philadelphia</x:v>
      </x:c>
      <x:c r="F1231" s="1" t="str">
        <x:v>PA</x:v>
      </x:c>
      <x:c r="G1231" s="1" t="str">
        <x:v>19135</x:v>
      </x:c>
      <x:c r="H1231" s="1" t="n">
        <x:v>40.031994</x:v>
      </x:c>
      <x:c r="I1231" s="1" t="n">
        <x:v>-75.052124</x:v>
      </x:c>
      <x:c r="J1231" s="1" t="str">
        <x:v>USDA SNAP retailer list</x:v>
      </x:c>
      <x:c r="K1231" s="1" t="str">
        <x:v>2026-10-09</x:v>
      </x:c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  <x:c r="AA1231" s="1"/>
      <x:c r="AB1231" s="1"/>
      <x:c r="AC1231" s="1"/>
      <x:c r="AD1231" s="1"/>
      <x:c r="AE1231" s="1"/>
      <x:c r="AF1231" s="1"/>
      <x:c r="AG1231" s="1"/>
      <x:c r="AH1231" s="1"/>
      <x:c r="AI1231" s="1"/>
      <x:c r="AJ1231" s="1"/>
      <x:c r="AK1231" s="1"/>
      <x:c r="AL1231" s="1"/>
      <x:c r="AM1231" s="1"/>
      <x:c r="AN1231" s="1"/>
    </x:row>
    <x:row r="1232" ht="22" customHeight="1">
      <x:c r="A1232" s="1" t="str">
        <x:v>1325066</x:v>
      </x:c>
      <x:c r="B1232" s="1" t="str">
        <x:v>Aldi 60159</x:v>
      </x:c>
      <x:c r="C1232" s="1" t="str">
        <x:v>Supermarket</x:v>
      </x:c>
      <x:c r="D1232" s="1" t="str">
        <x:v>4801 Edgmont Ave</x:v>
      </x:c>
      <x:c r="E1232" s="1" t="str">
        <x:v>Brookhaven</x:v>
      </x:c>
      <x:c r="F1232" s="1" t="str">
        <x:v>PA</x:v>
      </x:c>
      <x:c r="G1232" s="1" t="str">
        <x:v>19015</x:v>
      </x:c>
      <x:c r="H1232" s="1" t="n">
        <x:v>39.876717</x:v>
      </x:c>
      <x:c r="I1232" s="1" t="n">
        <x:v>-75.394936</x:v>
      </x:c>
      <x:c r="J1232" s="1" t="str">
        <x:v>USDA SNAP retailer list</x:v>
      </x:c>
      <x:c r="K1232" s="1" t="str">
        <x:v>2026-10-09</x:v>
      </x:c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  <x:c r="AA1232" s="1"/>
      <x:c r="AB1232" s="1"/>
      <x:c r="AC1232" s="1"/>
      <x:c r="AD1232" s="1"/>
      <x:c r="AE1232" s="1"/>
      <x:c r="AF1232" s="1"/>
      <x:c r="AG1232" s="1"/>
      <x:c r="AH1232" s="1"/>
      <x:c r="AI1232" s="1"/>
      <x:c r="AJ1232" s="1"/>
      <x:c r="AK1232" s="1"/>
      <x:c r="AL1232" s="1"/>
      <x:c r="AM1232" s="1"/>
      <x:c r="AN1232" s="1"/>
    </x:row>
    <x:row r="1233" ht="22" customHeight="1">
      <x:c r="A1233" s="1" t="str">
        <x:v>1070373</x:v>
      </x:c>
      <x:c r="B1233" s="1" t="str">
        <x:v>Kashmir Garden Super Market Inc</x:v>
      </x:c>
      <x:c r="C1233" s="1" t="str">
        <x:v>Supermarket</x:v>
      </x:c>
      <x:c r="D1233" s="1" t="str">
        <x:v>9325 Krewstown Rd</x:v>
      </x:c>
      <x:c r="E1233" s="1" t="str">
        <x:v>Philadelphia</x:v>
      </x:c>
      <x:c r="F1233" s="1" t="str">
        <x:v>PA</x:v>
      </x:c>
      <x:c r="G1233" s="1" t="str">
        <x:v>19115</x:v>
      </x:c>
      <x:c r="H1233" s="1" t="n">
        <x:v>40.087231</x:v>
      </x:c>
      <x:c r="I1233" s="1" t="n">
        <x:v>-75.045074</x:v>
      </x:c>
      <x:c r="J1233" s="1" t="str">
        <x:v>USDA SNAP retailer list</x:v>
      </x:c>
      <x:c r="K1233" s="1" t="str">
        <x:v>2026-10-09</x:v>
      </x:c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  <x:c r="AA1233" s="1"/>
      <x:c r="AB1233" s="1"/>
      <x:c r="AC1233" s="1"/>
      <x:c r="AD1233" s="1"/>
      <x:c r="AE1233" s="1"/>
      <x:c r="AF1233" s="1"/>
      <x:c r="AG1233" s="1"/>
      <x:c r="AH1233" s="1"/>
      <x:c r="AI1233" s="1"/>
      <x:c r="AJ1233" s="1"/>
      <x:c r="AK1233" s="1"/>
      <x:c r="AL1233" s="1"/>
      <x:c r="AM1233" s="1"/>
      <x:c r="AN1233" s="1"/>
    </x:row>
    <x:row r="1234" ht="22" customHeight="1">
      <x:c r="A1234" s="1" t="str">
        <x:v>1393870</x:v>
      </x:c>
      <x:c r="B1234" s="1" t="str">
        <x:v>Hung Vuong Food Market</x:v>
      </x:c>
      <x:c r="C1234" s="1" t="str">
        <x:v>Super Store</x:v>
      </x:c>
      <x:c r="D1234" s="1" t="str">
        <x:v>1445 Brace Rd</x:v>
      </x:c>
      <x:c r="E1234" s="1" t="str">
        <x:v>Cherry Hill</x:v>
      </x:c>
      <x:c r="F1234" s="1" t="str">
        <x:v>NJ</x:v>
      </x:c>
      <x:c r="G1234" s="1" t="str">
        <x:v>08034</x:v>
      </x:c>
      <x:c r="H1234" s="1" t="n">
        <x:v>39.889339</x:v>
      </x:c>
      <x:c r="I1234" s="1" t="n">
        <x:v>-75.016594</x:v>
      </x:c>
      <x:c r="J1234" s="1" t="str">
        <x:v>USDA SNAP retailer list</x:v>
      </x:c>
      <x:c r="K1234" s="1" t="str">
        <x:v>2026-10-09</x:v>
      </x:c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  <x:c r="AA1234" s="1"/>
      <x:c r="AB1234" s="1"/>
      <x:c r="AC1234" s="1"/>
      <x:c r="AD1234" s="1"/>
      <x:c r="AE1234" s="1"/>
      <x:c r="AF1234" s="1"/>
      <x:c r="AG1234" s="1"/>
      <x:c r="AH1234" s="1"/>
      <x:c r="AI1234" s="1"/>
      <x:c r="AJ1234" s="1"/>
      <x:c r="AK1234" s="1"/>
      <x:c r="AL1234" s="1"/>
      <x:c r="AM1234" s="1"/>
      <x:c r="AN1234" s="1"/>
    </x:row>
    <x:row r="1235" ht="22" customHeight="1">
      <x:c r="A1235" s="1" t="str">
        <x:v>1657176</x:v>
      </x:c>
      <x:c r="B1235" s="1" t="str">
        <x:v>Super Foodtown 705</x:v>
      </x:c>
      <x:c r="C1235" s="1" t="str">
        <x:v>Super Store</x:v>
      </x:c>
      <x:c r="D1235" s="1" t="str">
        <x:v>3528 I St</x:v>
      </x:c>
      <x:c r="E1235" s="1" t="str">
        <x:v>Philadelphia</x:v>
      </x:c>
      <x:c r="F1235" s="1" t="str">
        <x:v>PA</x:v>
      </x:c>
      <x:c r="G1235" s="1" t="str">
        <x:v>19134</x:v>
      </x:c>
      <x:c r="H1235" s="1" t="n">
        <x:v>40.002792</x:v>
      </x:c>
      <x:c r="I1235" s="1" t="n">
        <x:v>-75.111664</x:v>
      </x:c>
      <x:c r="J1235" s="1" t="str">
        <x:v>USDA SNAP retailer list</x:v>
      </x:c>
      <x:c r="K1235" s="1" t="str">
        <x:v>2026-10-09</x:v>
      </x:c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  <x:c r="AA1235" s="1"/>
      <x:c r="AB1235" s="1"/>
      <x:c r="AC1235" s="1"/>
      <x:c r="AD1235" s="1"/>
      <x:c r="AE1235" s="1"/>
      <x:c r="AF1235" s="1"/>
      <x:c r="AG1235" s="1"/>
      <x:c r="AH1235" s="1"/>
      <x:c r="AI1235" s="1"/>
      <x:c r="AJ1235" s="1"/>
      <x:c r="AK1235" s="1"/>
      <x:c r="AL1235" s="1"/>
      <x:c r="AM1235" s="1"/>
      <x:c r="AN1235" s="1"/>
    </x:row>
    <x:row r="1236" ht="22" customHeight="1">
      <x:c r="A1236" s="1" t="str">
        <x:v>1300165</x:v>
      </x:c>
      <x:c r="B1236" s="1" t="str">
        <x:v>Target 3227</x:v>
      </x:c>
      <x:c r="C1236" s="1" t="str">
        <x:v>Super Store</x:v>
      </x:c>
      <x:c r="D1236" s="1" t="str">
        <x:v>2001 Pennsylvania Ave</x:v>
      </x:c>
      <x:c r="E1236" s="1" t="str">
        <x:v>Philadelphia</x:v>
      </x:c>
      <x:c r="F1236" s="1" t="str">
        <x:v>PA</x:v>
      </x:c>
      <x:c r="G1236" s="1" t="str">
        <x:v>19130</x:v>
      </x:c>
      <x:c r="H1236" s="1" t="n">
        <x:v>39.961159</x:v>
      </x:c>
      <x:c r="I1236" s="1" t="n">
        <x:v>-75.172226</x:v>
      </x:c>
      <x:c r="J1236" s="1" t="str">
        <x:v>USDA SNAP retailer list</x:v>
      </x:c>
      <x:c r="K1236" s="1" t="str">
        <x:v>2026-10-09</x:v>
      </x:c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  <x:c r="AA1236" s="1"/>
      <x:c r="AB1236" s="1"/>
      <x:c r="AC1236" s="1"/>
      <x:c r="AD1236" s="1"/>
      <x:c r="AE1236" s="1"/>
      <x:c r="AF1236" s="1"/>
      <x:c r="AG1236" s="1"/>
      <x:c r="AH1236" s="1"/>
      <x:c r="AI1236" s="1"/>
      <x:c r="AJ1236" s="1"/>
      <x:c r="AK1236" s="1"/>
      <x:c r="AL1236" s="1"/>
      <x:c r="AM1236" s="1"/>
      <x:c r="AN1236" s="1"/>
    </x:row>
    <x:row r="1237" ht="22" customHeight="1">
      <x:c r="A1237" s="1" t="str">
        <x:v>1372228</x:v>
      </x:c>
      <x:c r="B1237" s="1" t="str">
        <x:v>Giant Heirloom Market 6551</x:v>
      </x:c>
      <x:c r="C1237" s="1" t="str">
        <x:v>Supermarket</x:v>
      </x:c>
      <x:c r="D1237" s="1" t="str">
        <x:v>3401 Chestnut St</x:v>
      </x:c>
      <x:c r="E1237" s="1" t="str">
        <x:v>Philadelphia</x:v>
      </x:c>
      <x:c r="F1237" s="1" t="str">
        <x:v>PA</x:v>
      </x:c>
      <x:c r="G1237" s="1" t="str">
        <x:v>19104</x:v>
      </x:c>
      <x:c r="H1237" s="1" t="n">
        <x:v>39.954498</x:v>
      </x:c>
      <x:c r="I1237" s="1" t="n">
        <x:v>-75.192802</x:v>
      </x:c>
      <x:c r="J1237" s="1" t="str">
        <x:v>USDA SNAP retailer list</x:v>
      </x:c>
      <x:c r="K1237" s="1" t="str">
        <x:v>2026-10-09</x:v>
      </x:c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  <x:c r="AA1237" s="1"/>
      <x:c r="AB1237" s="1"/>
      <x:c r="AC1237" s="1"/>
      <x:c r="AD1237" s="1"/>
      <x:c r="AE1237" s="1"/>
      <x:c r="AF1237" s="1"/>
      <x:c r="AG1237" s="1"/>
      <x:c r="AH1237" s="1"/>
      <x:c r="AI1237" s="1"/>
      <x:c r="AJ1237" s="1"/>
      <x:c r="AK1237" s="1"/>
      <x:c r="AL1237" s="1"/>
      <x:c r="AM1237" s="1"/>
      <x:c r="AN1237" s="1"/>
    </x:row>
    <x:row r="1238" ht="22" customHeight="1">
      <x:c r="A1238" s="1" t="str">
        <x:v>1378015</x:v>
      </x:c>
      <x:c r="B1238" s="1" t="str">
        <x:v>Pa Fair Farm Food Corp/Fine Fare Supermarket</x:v>
      </x:c>
      <x:c r="C1238" s="1" t="str">
        <x:v>Super Store</x:v>
      </x:c>
      <x:c r="D1238" s="1" t="str">
        <x:v>1240 E Erie Ave</x:v>
      </x:c>
      <x:c r="E1238" s="1" t="str">
        <x:v>Philadelphia</x:v>
      </x:c>
      <x:c r="F1238" s="1" t="str">
        <x:v>PA</x:v>
      </x:c>
      <x:c r="G1238" s="1" t="str">
        <x:v>19124</x:v>
      </x:c>
      <x:c r="H1238" s="1" t="n">
        <x:v>40.004978</x:v>
      </x:c>
      <x:c r="I1238" s="1" t="n">
        <x:v>-75.104439</x:v>
      </x:c>
      <x:c r="J1238" s="1" t="str">
        <x:v>USDA SNAP retailer list</x:v>
      </x:c>
      <x:c r="K1238" s="1" t="str">
        <x:v>2026-10-09</x:v>
      </x:c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  <x:c r="AA1238" s="1"/>
      <x:c r="AB1238" s="1"/>
      <x:c r="AC1238" s="1"/>
      <x:c r="AD1238" s="1"/>
      <x:c r="AE1238" s="1"/>
      <x:c r="AF1238" s="1"/>
      <x:c r="AG1238" s="1"/>
      <x:c r="AH1238" s="1"/>
      <x:c r="AI1238" s="1"/>
      <x:c r="AJ1238" s="1"/>
      <x:c r="AK1238" s="1"/>
      <x:c r="AL1238" s="1"/>
      <x:c r="AM1238" s="1"/>
      <x:c r="AN1238" s="1"/>
    </x:row>
    <x:row r="1239" ht="22" customHeight="1">
      <x:c r="A1239" s="1" t="str">
        <x:v>1378202</x:v>
      </x:c>
      <x:c r="B1239" s="1" t="str">
        <x:v>Trader Joe's 618</x:v>
      </x:c>
      <x:c r="C1239" s="1" t="str">
        <x:v>Supermarket</x:v>
      </x:c>
      <x:c r="D1239" s="1" t="str">
        <x:v>1324 Arch St</x:v>
      </x:c>
      <x:c r="E1239" s="1" t="str">
        <x:v>Philadelphia</x:v>
      </x:c>
      <x:c r="F1239" s="1" t="str">
        <x:v>PA</x:v>
      </x:c>
      <x:c r="G1239" s="1" t="str">
        <x:v>19107</x:v>
      </x:c>
      <x:c r="H1239" s="1" t="n">
        <x:v>39.954277</x:v>
      </x:c>
      <x:c r="I1239" s="1" t="n">
        <x:v>-75.162384</x:v>
      </x:c>
      <x:c r="J1239" s="1" t="str">
        <x:v>USDA SNAP retailer list</x:v>
      </x:c>
      <x:c r="K1239" s="1" t="str">
        <x:v>2026-10-09</x:v>
      </x:c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  <x:c r="AA1239" s="1"/>
      <x:c r="AB1239" s="1"/>
      <x:c r="AC1239" s="1"/>
      <x:c r="AD1239" s="1"/>
      <x:c r="AE1239" s="1"/>
      <x:c r="AF1239" s="1"/>
      <x:c r="AG1239" s="1"/>
      <x:c r="AH1239" s="1"/>
      <x:c r="AI1239" s="1"/>
      <x:c r="AJ1239" s="1"/>
      <x:c r="AK1239" s="1"/>
      <x:c r="AL1239" s="1"/>
      <x:c r="AM1239" s="1"/>
      <x:c r="AN1239" s="1"/>
    </x:row>
    <x:row r="1240" ht="22" customHeight="1">
      <x:c r="A1240" s="1" t="str">
        <x:v>1398646</x:v>
      </x:c>
      <x:c r="B1240" s="1" t="str">
        <x:v>Trader Joe's 613</x:v>
      </x:c>
      <x:c r="C1240" s="1" t="str">
        <x:v>Supermarket</x:v>
      </x:c>
      <x:c r="D1240" s="1" t="str">
        <x:v>775 HADDONFIELD RD</x:v>
      </x:c>
      <x:c r="E1240" s="1" t="str">
        <x:v>CHERRY HILL</x:v>
      </x:c>
      <x:c r="F1240" s="1" t="str">
        <x:v>NJ</x:v>
      </x:c>
      <x:c r="G1240" s="1" t="str">
        <x:v>08002</x:v>
      </x:c>
      <x:c r="H1240" s="1" t="n">
        <x:v>39.929688</x:v>
      </x:c>
      <x:c r="I1240" s="1" t="n">
        <x:v>-75.031998</x:v>
      </x:c>
      <x:c r="J1240" s="1" t="str">
        <x:v>USDA SNAP retailer list</x:v>
      </x:c>
      <x:c r="K1240" s="1" t="str">
        <x:v>2026-10-09</x:v>
      </x:c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  <x:c r="AA1240" s="1"/>
      <x:c r="AB1240" s="1"/>
      <x:c r="AC1240" s="1"/>
      <x:c r="AD1240" s="1"/>
      <x:c r="AE1240" s="1"/>
      <x:c r="AF1240" s="1"/>
      <x:c r="AG1240" s="1"/>
      <x:c r="AH1240" s="1"/>
      <x:c r="AI1240" s="1"/>
      <x:c r="AJ1240" s="1"/>
      <x:c r="AK1240" s="1"/>
      <x:c r="AL1240" s="1"/>
      <x:c r="AM1240" s="1"/>
      <x:c r="AN1240" s="1"/>
    </x:row>
    <x:row r="1241" ht="22" customHeight="1">
      <x:c r="A1241" s="1" t="str">
        <x:v>1254911</x:v>
      </x:c>
      <x:c r="B1241" s="1" t="str">
        <x:v>Mccaffreys Markets 1619</x:v>
      </x:c>
      <x:c r="C1241" s="1" t="str">
        <x:v>Super Store</x:v>
      </x:c>
      <x:c r="D1241" s="1" t="str">
        <x:v>1301 Skippack Pike</x:v>
      </x:c>
      <x:c r="E1241" s="1" t="str">
        <x:v>Blue Bell</x:v>
      </x:c>
      <x:c r="F1241" s="1" t="str">
        <x:v>PA</x:v>
      </x:c>
      <x:c r="G1241" s="1" t="str">
        <x:v>19422</x:v>
      </x:c>
      <x:c r="H1241" s="1" t="n">
        <x:v>40.165443</x:v>
      </x:c>
      <x:c r="I1241" s="1" t="n">
        <x:v>-75.287598</x:v>
      </x:c>
      <x:c r="J1241" s="1" t="str">
        <x:v>USDA SNAP retailer list</x:v>
      </x:c>
      <x:c r="K1241" s="1" t="str">
        <x:v>2026-10-09</x:v>
      </x:c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  <x:c r="AA1241" s="1"/>
      <x:c r="AB1241" s="1"/>
      <x:c r="AC1241" s="1"/>
      <x:c r="AD1241" s="1"/>
      <x:c r="AE1241" s="1"/>
      <x:c r="AF1241" s="1"/>
      <x:c r="AG1241" s="1"/>
      <x:c r="AH1241" s="1"/>
      <x:c r="AI1241" s="1"/>
      <x:c r="AJ1241" s="1"/>
      <x:c r="AK1241" s="1"/>
      <x:c r="AL1241" s="1"/>
      <x:c r="AM1241" s="1"/>
      <x:c r="AN1241" s="1"/>
    </x:row>
    <x:row r="1242" ht="22" customHeight="1">
      <x:c r="A1242" s="1" t="str">
        <x:v>1258866</x:v>
      </x:c>
      <x:c r="B1242" s="1" t="str">
        <x:v>Whole Foods Market 10496</x:v>
      </x:c>
      <x:c r="C1242" s="1" t="str">
        <x:v>Super Store</x:v>
      </x:c>
      <x:c r="D1242" s="1" t="str">
        <x:v>15 E Wynnewood Rd</x:v>
      </x:c>
      <x:c r="E1242" s="1" t="str">
        <x:v>Wynnewood</x:v>
      </x:c>
      <x:c r="F1242" s="1" t="str">
        <x:v>PA</x:v>
      </x:c>
      <x:c r="G1242" s="1" t="str">
        <x:v>19096</x:v>
      </x:c>
      <x:c r="H1242" s="1" t="n">
        <x:v>40.001701</x:v>
      </x:c>
      <x:c r="I1242" s="1" t="n">
        <x:v>-75.275246</x:v>
      </x:c>
      <x:c r="J1242" s="1" t="str">
        <x:v>USDA SNAP retailer list</x:v>
      </x:c>
      <x:c r="K1242" s="1" t="str">
        <x:v>2026-10-09</x:v>
      </x:c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  <x:c r="AA1242" s="1"/>
      <x:c r="AB1242" s="1"/>
      <x:c r="AC1242" s="1"/>
      <x:c r="AD1242" s="1"/>
      <x:c r="AE1242" s="1"/>
      <x:c r="AF1242" s="1"/>
      <x:c r="AG1242" s="1"/>
      <x:c r="AH1242" s="1"/>
      <x:c r="AI1242" s="1"/>
      <x:c r="AJ1242" s="1"/>
      <x:c r="AK1242" s="1"/>
      <x:c r="AL1242" s="1"/>
      <x:c r="AM1242" s="1"/>
      <x:c r="AN1242" s="1"/>
    </x:row>
    <x:row r="1243" ht="22" customHeight="1">
      <x:c r="A1243" s="1" t="str">
        <x:v>1363720</x:v>
      </x:c>
      <x:c r="B1243" s="1" t="str">
        <x:v>ALDI 60141</x:v>
      </x:c>
      <x:c r="C1243" s="1" t="str">
        <x:v>Supermarket</x:v>
      </x:c>
      <x:c r="D1243" s="1" t="str">
        <x:v>197 E Dekalb Pike</x:v>
      </x:c>
      <x:c r="E1243" s="1" t="str">
        <x:v>King of Prussia</x:v>
      </x:c>
      <x:c r="F1243" s="1" t="str">
        <x:v>PA</x:v>
      </x:c>
      <x:c r="G1243" s="1" t="str">
        <x:v>19406</x:v>
      </x:c>
      <x:c r="H1243" s="1" t="n">
        <x:v>40.095684</x:v>
      </x:c>
      <x:c r="I1243" s="1" t="n">
        <x:v>-75.359276</x:v>
      </x:c>
      <x:c r="J1243" s="1" t="str">
        <x:v>USDA SNAP retailer list</x:v>
      </x:c>
      <x:c r="K1243" s="1" t="str">
        <x:v>2026-10-09</x:v>
      </x:c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  <x:c r="AA1243" s="1"/>
      <x:c r="AB1243" s="1"/>
      <x:c r="AC1243" s="1"/>
      <x:c r="AD1243" s="1"/>
      <x:c r="AE1243" s="1"/>
      <x:c r="AF1243" s="1"/>
      <x:c r="AG1243" s="1"/>
      <x:c r="AH1243" s="1"/>
      <x:c r="AI1243" s="1"/>
      <x:c r="AJ1243" s="1"/>
      <x:c r="AK1243" s="1"/>
      <x:c r="AL1243" s="1"/>
      <x:c r="AM1243" s="1"/>
      <x:c r="AN1243" s="1"/>
    </x:row>
    <x:row r="1244" ht="22" customHeight="1">
      <x:c r="A1244" s="1" t="str">
        <x:v>1259799</x:v>
      </x:c>
      <x:c r="B1244" s="1" t="str">
        <x:v>Target 3206</x:v>
      </x:c>
      <x:c r="C1244" s="1" t="str">
        <x:v>Super Store</x:v>
      </x:c>
      <x:c r="D1244" s="1" t="str">
        <x:v>1900 Chestnut St</x:v>
      </x:c>
      <x:c r="E1244" s="1" t="str">
        <x:v>Philadelphia</x:v>
      </x:c>
      <x:c r="F1244" s="1" t="str">
        <x:v>PA</x:v>
      </x:c>
      <x:c r="G1244" s="1" t="str">
        <x:v>19103</x:v>
      </x:c>
      <x:c r="H1244" s="1" t="n">
        <x:v>39.951855</x:v>
      </x:c>
      <x:c r="I1244" s="1" t="n">
        <x:v>-75.172058</x:v>
      </x:c>
      <x:c r="J1244" s="1" t="str">
        <x:v>USDA SNAP retailer list</x:v>
      </x:c>
      <x:c r="K1244" s="1" t="str">
        <x:v>2026-10-09</x:v>
      </x:c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  <x:c r="AA1244" s="1"/>
      <x:c r="AB1244" s="1"/>
      <x:c r="AC1244" s="1"/>
      <x:c r="AD1244" s="1"/>
      <x:c r="AE1244" s="1"/>
      <x:c r="AF1244" s="1"/>
      <x:c r="AG1244" s="1"/>
      <x:c r="AH1244" s="1"/>
      <x:c r="AI1244" s="1"/>
      <x:c r="AJ1244" s="1"/>
      <x:c r="AK1244" s="1"/>
      <x:c r="AL1244" s="1"/>
      <x:c r="AM1244" s="1"/>
      <x:c r="AN1244" s="1"/>
    </x:row>
    <x:row r="1245" ht="22" customHeight="1">
      <x:c r="A1245" s="1" t="str">
        <x:v>1262416</x:v>
      </x:c>
      <x:c r="B1245" s="1" t="str">
        <x:v>Whole Foods Market 10514</x:v>
      </x:c>
      <x:c r="C1245" s="1" t="str">
        <x:v>Super Store</x:v>
      </x:c>
      <x:c r="D1245" s="1" t="str">
        <x:v>2101 Pennsylvania Ave</x:v>
      </x:c>
      <x:c r="E1245" s="1" t="str">
        <x:v>Philadelphia</x:v>
      </x:c>
      <x:c r="F1245" s="1" t="str">
        <x:v>PA</x:v>
      </x:c>
      <x:c r="G1245" s="1" t="str">
        <x:v>19130</x:v>
      </x:c>
      <x:c r="H1245" s="1" t="n">
        <x:v>39.962696</x:v>
      </x:c>
      <x:c r="I1245" s="1" t="n">
        <x:v>-75.174088</x:v>
      </x:c>
      <x:c r="J1245" s="1" t="str">
        <x:v>USDA SNAP retailer list</x:v>
      </x:c>
      <x:c r="K1245" s="1" t="str">
        <x:v>2026-10-09</x:v>
      </x:c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  <x:c r="AA1245" s="1"/>
      <x:c r="AB1245" s="1"/>
      <x:c r="AC1245" s="1"/>
      <x:c r="AD1245" s="1"/>
      <x:c r="AE1245" s="1"/>
      <x:c r="AF1245" s="1"/>
      <x:c r="AG1245" s="1"/>
      <x:c r="AH1245" s="1"/>
      <x:c r="AI1245" s="1"/>
      <x:c r="AJ1245" s="1"/>
      <x:c r="AK1245" s="1"/>
      <x:c r="AL1245" s="1"/>
      <x:c r="AM1245" s="1"/>
      <x:c r="AN1245" s="1"/>
    </x:row>
    <x:row r="1246" ht="22" customHeight="1">
      <x:c r="A1246" s="1" t="str">
        <x:v>1265057</x:v>
      </x:c>
      <x:c r="B1246" s="1" t="str">
        <x:v>The Fresh Grocer Of Grays Ferry</x:v>
      </x:c>
      <x:c r="C1246" s="1" t="str">
        <x:v>Super Store</x:v>
      </x:c>
      <x:c r="D1246" s="1" t="str">
        <x:v>3021 Grays Ferry Ave</x:v>
      </x:c>
      <x:c r="E1246" s="1" t="str">
        <x:v>Philadelphia</x:v>
      </x:c>
      <x:c r="F1246" s="1" t="str">
        <x:v>PA</x:v>
      </x:c>
      <x:c r="G1246" s="1" t="str">
        <x:v>19146</x:v>
      </x:c>
      <x:c r="H1246" s="1" t="n">
        <x:v>39.939213</x:v>
      </x:c>
      <x:c r="I1246" s="1" t="n">
        <x:v>-75.193932</x:v>
      </x:c>
      <x:c r="J1246" s="1" t="str">
        <x:v>USDA SNAP retailer list</x:v>
      </x:c>
      <x:c r="K1246" s="1" t="str">
        <x:v>2026-10-09</x:v>
      </x:c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  <x:c r="AA1246" s="1"/>
      <x:c r="AB1246" s="1"/>
      <x:c r="AC1246" s="1"/>
      <x:c r="AD1246" s="1"/>
      <x:c r="AE1246" s="1"/>
      <x:c r="AF1246" s="1"/>
      <x:c r="AG1246" s="1"/>
      <x:c r="AH1246" s="1"/>
      <x:c r="AI1246" s="1"/>
      <x:c r="AJ1246" s="1"/>
      <x:c r="AK1246" s="1"/>
      <x:c r="AL1246" s="1"/>
      <x:c r="AM1246" s="1"/>
      <x:c r="AN1246" s="1"/>
    </x:row>
    <x:row r="1247" ht="22" customHeight="1">
      <x:c r="A1247" s="1" t="str">
        <x:v>1364284</x:v>
      </x:c>
      <x:c r="B1247" s="1" t="str">
        <x:v>Cousins Supermarket Inc 1</x:v>
      </x:c>
      <x:c r="C1247" s="1" t="str">
        <x:v>Super Store</x:v>
      </x:c>
      <x:c r="D1247" s="1" t="str">
        <x:v>1943 N 6th St</x:v>
      </x:c>
      <x:c r="E1247" s="1" t="str">
        <x:v>Philadelphia</x:v>
      </x:c>
      <x:c r="F1247" s="1" t="str">
        <x:v>PA</x:v>
      </x:c>
      <x:c r="G1247" s="1" t="str">
        <x:v>19122</x:v>
      </x:c>
      <x:c r="H1247" s="1" t="n">
        <x:v>39.981236</x:v>
      </x:c>
      <x:c r="I1247" s="1" t="n">
        <x:v>-75.144325</x:v>
      </x:c>
      <x:c r="J1247" s="1" t="str">
        <x:v>USDA SNAP retailer list</x:v>
      </x:c>
      <x:c r="K1247" s="1" t="str">
        <x:v>2026-10-09</x:v>
      </x:c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  <x:c r="AA1247" s="1"/>
      <x:c r="AB1247" s="1"/>
      <x:c r="AC1247" s="1"/>
      <x:c r="AD1247" s="1"/>
      <x:c r="AE1247" s="1"/>
      <x:c r="AF1247" s="1"/>
      <x:c r="AG1247" s="1"/>
      <x:c r="AH1247" s="1"/>
      <x:c r="AI1247" s="1"/>
      <x:c r="AJ1247" s="1"/>
      <x:c r="AK1247" s="1"/>
      <x:c r="AL1247" s="1"/>
      <x:c r="AM1247" s="1"/>
      <x:c r="AN1247" s="1"/>
    </x:row>
    <x:row r="1248" ht="22" customHeight="1">
      <x:c r="A1248" s="1" t="str">
        <x:v>1364922</x:v>
      </x:c>
      <x:c r="B1248" s="1" t="str">
        <x:v>Sprouts Farmers Market 945</x:v>
      </x:c>
      <x:c r="C1248" s="1" t="str">
        <x:v>Supermarket</x:v>
      </x:c>
      <x:c r="D1248" s="1" t="str">
        <x:v>227 Route 73 S</x:v>
      </x:c>
      <x:c r="E1248" s="1" t="str">
        <x:v>Marlton</x:v>
      </x:c>
      <x:c r="F1248" s="1" t="str">
        <x:v>NJ</x:v>
      </x:c>
      <x:c r="G1248" s="1" t="str">
        <x:v>08053</x:v>
      </x:c>
      <x:c r="H1248" s="1" t="n">
        <x:v>39.887989</x:v>
      </x:c>
      <x:c r="I1248" s="1" t="n">
        <x:v>-74.923828</x:v>
      </x:c>
      <x:c r="J1248" s="1" t="str">
        <x:v>USDA SNAP retailer list</x:v>
      </x:c>
      <x:c r="K1248" s="1" t="str">
        <x:v>2026-10-09</x:v>
      </x:c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  <x:c r="AA1248" s="1"/>
      <x:c r="AB1248" s="1"/>
      <x:c r="AC1248" s="1"/>
      <x:c r="AD1248" s="1"/>
      <x:c r="AE1248" s="1"/>
      <x:c r="AF1248" s="1"/>
      <x:c r="AG1248" s="1"/>
      <x:c r="AH1248" s="1"/>
      <x:c r="AI1248" s="1"/>
      <x:c r="AJ1248" s="1"/>
      <x:c r="AK1248" s="1"/>
      <x:c r="AL1248" s="1"/>
      <x:c r="AM1248" s="1"/>
      <x:c r="AN1248" s="1"/>
    </x:row>
    <x:row r="1249" ht="22" customHeight="1">
      <x:c r="A1249" s="1" t="str">
        <x:v>1389770</x:v>
      </x:c>
      <x:c r="B1249" s="1" t="str">
        <x:v>Asianfresh</x:v>
      </x:c>
      <x:c r="C1249" s="1" t="str">
        <x:v>Super Store</x:v>
      </x:c>
      <x:c r="D1249" s="1" t="str">
        <x:v>142 N 10th St</x:v>
      </x:c>
      <x:c r="E1249" s="1" t="str">
        <x:v>Philadelphia</x:v>
      </x:c>
      <x:c r="F1249" s="1" t="str">
        <x:v>PA</x:v>
      </x:c>
      <x:c r="G1249" s="1" t="str">
        <x:v>19107</x:v>
      </x:c>
      <x:c r="H1249" s="1" t="n">
        <x:v>39.954842</x:v>
      </x:c>
      <x:c r="I1249" s="1" t="n">
        <x:v>-75.156036</x:v>
      </x:c>
      <x:c r="J1249" s="1" t="str">
        <x:v>USDA SNAP retailer list</x:v>
      </x:c>
      <x:c r="K1249" s="1" t="str">
        <x:v>2026-10-09</x:v>
      </x:c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  <x:c r="AA1249" s="1"/>
      <x:c r="AB1249" s="1"/>
      <x:c r="AC1249" s="1"/>
      <x:c r="AD1249" s="1"/>
      <x:c r="AE1249" s="1"/>
      <x:c r="AF1249" s="1"/>
      <x:c r="AG1249" s="1"/>
      <x:c r="AH1249" s="1"/>
      <x:c r="AI1249" s="1"/>
      <x:c r="AJ1249" s="1"/>
      <x:c r="AK1249" s="1"/>
      <x:c r="AL1249" s="1"/>
      <x:c r="AM1249" s="1"/>
      <x:c r="AN1249" s="1"/>
    </x:row>
    <x:row r="1250" ht="22" customHeight="1">
      <x:c r="A1250" s="1" t="str">
        <x:v>1329953</x:v>
      </x:c>
      <x:c r="B1250" s="1" t="str">
        <x:v>Target T3285</x:v>
      </x:c>
      <x:c r="C1250" s="1" t="str">
        <x:v>Super Store</x:v>
      </x:c>
      <x:c r="D1250" s="1" t="str">
        <x:v>456 N 5th St</x:v>
      </x:c>
      <x:c r="E1250" s="1" t="str">
        <x:v>Philadelphia</x:v>
      </x:c>
      <x:c r="F1250" s="1" t="str">
        <x:v>PA</x:v>
      </x:c>
      <x:c r="G1250" s="1" t="str">
        <x:v>19123</x:v>
      </x:c>
      <x:c r="H1250" s="1" t="n">
        <x:v>39.959774</x:v>
      </x:c>
      <x:c r="I1250" s="1" t="n">
        <x:v>-75.14698</x:v>
      </x:c>
      <x:c r="J1250" s="1" t="str">
        <x:v>USDA SNAP retailer list</x:v>
      </x:c>
      <x:c r="K1250" s="1" t="str">
        <x:v>2026-10-09</x:v>
      </x:c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  <x:c r="AA1250" s="1"/>
      <x:c r="AB1250" s="1"/>
      <x:c r="AC1250" s="1"/>
      <x:c r="AD1250" s="1"/>
      <x:c r="AE1250" s="1"/>
      <x:c r="AF1250" s="1"/>
      <x:c r="AG1250" s="1"/>
      <x:c r="AH1250" s="1"/>
      <x:c r="AI1250" s="1"/>
      <x:c r="AJ1250" s="1"/>
      <x:c r="AK1250" s="1"/>
      <x:c r="AL1250" s="1"/>
      <x:c r="AM1250" s="1"/>
      <x:c r="AN1250" s="1"/>
    </x:row>
    <x:row r="1251" ht="22" customHeight="1">
      <x:c r="A1251" s="1" t="str">
        <x:v>1329956</x:v>
      </x:c>
      <x:c r="B1251" s="1" t="str">
        <x:v>Target T3296</x:v>
      </x:c>
      <x:c r="C1251" s="1" t="str">
        <x:v>Super Store</x:v>
      </x:c>
      <x:c r="D1251" s="1" t="str">
        <x:v>650 W Cuthbert Blvd</x:v>
      </x:c>
      <x:c r="E1251" s="1" t="str">
        <x:v>Haddon Township</x:v>
      </x:c>
      <x:c r="F1251" s="1" t="str">
        <x:v>NJ</x:v>
      </x:c>
      <x:c r="G1251" s="1" t="str">
        <x:v>08108</x:v>
      </x:c>
      <x:c r="H1251" s="1" t="n">
        <x:v>39.902348</x:v>
      </x:c>
      <x:c r="I1251" s="1" t="n">
        <x:v>-75.063324</x:v>
      </x:c>
      <x:c r="J1251" s="1" t="str">
        <x:v>USDA SNAP retailer list</x:v>
      </x:c>
      <x:c r="K1251" s="1" t="str">
        <x:v>2026-10-09</x:v>
      </x:c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  <x:c r="AA1251" s="1"/>
      <x:c r="AB1251" s="1"/>
      <x:c r="AC1251" s="1"/>
      <x:c r="AD1251" s="1"/>
      <x:c r="AE1251" s="1"/>
      <x:c r="AF1251" s="1"/>
      <x:c r="AG1251" s="1"/>
      <x:c r="AH1251" s="1"/>
      <x:c r="AI1251" s="1"/>
      <x:c r="AJ1251" s="1"/>
      <x:c r="AK1251" s="1"/>
      <x:c r="AL1251" s="1"/>
      <x:c r="AM1251" s="1"/>
      <x:c r="AN1251" s="1"/>
    </x:row>
    <x:row r="1252" ht="22" customHeight="1">
      <x:c r="A1252" s="1" t="str">
        <x:v>1354159</x:v>
      </x:c>
      <x:c r="B1252" s="1" t="str">
        <x:v>Al Rayyan Market Corporation 1</x:v>
      </x:c>
      <x:c r="C1252" s="1" t="str">
        <x:v>Supermarket</x:v>
      </x:c>
      <x:c r="D1252" s="1" t="str">
        <x:v>121 S 43rd St</x:v>
      </x:c>
      <x:c r="E1252" s="1" t="str">
        <x:v>Philadelphia</x:v>
      </x:c>
      <x:c r="F1252" s="1" t="str">
        <x:v>PA</x:v>
      </x:c>
      <x:c r="G1252" s="1" t="str">
        <x:v>19104</x:v>
      </x:c>
      <x:c r="H1252" s="1" t="n">
        <x:v>39.955406</x:v>
      </x:c>
      <x:c r="I1252" s="1" t="n">
        <x:v>-75.208626</x:v>
      </x:c>
      <x:c r="J1252" s="1" t="str">
        <x:v>USDA SNAP retailer list</x:v>
      </x:c>
      <x:c r="K1252" s="1" t="str">
        <x:v>2026-10-09</x:v>
      </x:c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  <x:c r="AA1252" s="1"/>
      <x:c r="AB1252" s="1"/>
      <x:c r="AC1252" s="1"/>
      <x:c r="AD1252" s="1"/>
      <x:c r="AE1252" s="1"/>
      <x:c r="AF1252" s="1"/>
      <x:c r="AG1252" s="1"/>
      <x:c r="AH1252" s="1"/>
      <x:c r="AI1252" s="1"/>
      <x:c r="AJ1252" s="1"/>
      <x:c r="AK1252" s="1"/>
      <x:c r="AL1252" s="1"/>
      <x:c r="AM1252" s="1"/>
      <x:c r="AN1252" s="1"/>
    </x:row>
    <x:row r="1253" ht="22" customHeight="1">
      <x:c r="A1253" s="1" t="str">
        <x:v>1575960</x:v>
      </x:c>
      <x:c r="B1253" s="1" t="str">
        <x:v>Shoprite of Oregon 420</x:v>
      </x:c>
      <x:c r="C1253" s="1" t="str">
        <x:v>Super Store</x:v>
      </x:c>
      <x:c r="D1253" s="1" t="str">
        <x:v>24th St &amp; Oregon Ave</x:v>
      </x:c>
      <x:c r="E1253" s="1" t="str">
        <x:v>Philadelphia</x:v>
      </x:c>
      <x:c r="F1253" s="1" t="str">
        <x:v>PA</x:v>
      </x:c>
      <x:c r="G1253" s="1" t="str">
        <x:v>19145</x:v>
      </x:c>
      <x:c r="H1253" s="1" t="n">
        <x:v>39.919701</x:v>
      </x:c>
      <x:c r="I1253" s="1" t="n">
        <x:v>-75.188362</x:v>
      </x:c>
      <x:c r="J1253" s="1" t="str">
        <x:v>USDA SNAP retailer list</x:v>
      </x:c>
      <x:c r="K1253" s="1" t="str">
        <x:v>2026-10-09</x:v>
      </x:c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  <x:c r="AA1253" s="1"/>
      <x:c r="AB1253" s="1"/>
      <x:c r="AC1253" s="1"/>
      <x:c r="AD1253" s="1"/>
      <x:c r="AE1253" s="1"/>
      <x:c r="AF1253" s="1"/>
      <x:c r="AG1253" s="1"/>
      <x:c r="AH1253" s="1"/>
      <x:c r="AI1253" s="1"/>
      <x:c r="AJ1253" s="1"/>
      <x:c r="AK1253" s="1"/>
      <x:c r="AL1253" s="1"/>
      <x:c r="AM1253" s="1"/>
      <x:c r="AN1253" s="1"/>
    </x:row>
    <x:row r="1254" ht="22" customHeight="1">
      <x:c r="A1254" s="1" t="str">
        <x:v>1710492</x:v>
      </x:c>
      <x:c r="B1254" s="1" t="str">
        <x:v>Grocery Outlet 744</x:v>
      </x:c>
      <x:c r="C1254" s="1" t="str">
        <x:v>Supermarket</x:v>
      </x:c>
      <x:c r="D1254" s="1" t="str">
        <x:v>4301 Chestnut St</x:v>
      </x:c>
      <x:c r="E1254" s="1" t="str">
        <x:v>Philadelphia</x:v>
      </x:c>
      <x:c r="F1254" s="1" t="str">
        <x:v>PA</x:v>
      </x:c>
      <x:c r="G1254" s="1" t="str">
        <x:v>19104</x:v>
      </x:c>
      <x:c r="H1254" s="1" t="n">
        <x:v>39.956764</x:v>
      </x:c>
      <x:c r="I1254" s="1" t="n">
        <x:v>-75.209038</x:v>
      </x:c>
      <x:c r="J1254" s="1" t="str">
        <x:v>USDA SNAP retailer list</x:v>
      </x:c>
      <x:c r="K1254" s="1" t="str">
        <x:v>2026-10-09</x:v>
      </x:c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  <x:c r="AA1254" s="1"/>
      <x:c r="AB1254" s="1"/>
      <x:c r="AC1254" s="1"/>
      <x:c r="AD1254" s="1"/>
      <x:c r="AE1254" s="1"/>
      <x:c r="AF1254" s="1"/>
      <x:c r="AG1254" s="1"/>
      <x:c r="AH1254" s="1"/>
      <x:c r="AI1254" s="1"/>
      <x:c r="AJ1254" s="1"/>
      <x:c r="AK1254" s="1"/>
      <x:c r="AL1254" s="1"/>
      <x:c r="AM1254" s="1"/>
      <x:c r="AN1254" s="1"/>
    </x:row>
    <x:row r="1255" ht="22" customHeight="1">
      <x:c r="A1255" s="1" t="str">
        <x:v>1421377</x:v>
      </x:c>
      <x:c r="B1255" s="1" t="str">
        <x:v>MOM's Organic Market AB 20</x:v>
      </x:c>
      <x:c r="C1255" s="1" t="str">
        <x:v>Super Store</x:v>
      </x:c>
      <x:c r="D1255" s="1" t="str">
        <x:v>925 Easton Rd</x:v>
      </x:c>
      <x:c r="E1255" s="1" t="str">
        <x:v>Abington</x:v>
      </x:c>
      <x:c r="F1255" s="1" t="str">
        <x:v>PA</x:v>
      </x:c>
      <x:c r="G1255" s="1" t="str">
        <x:v>19001</x:v>
      </x:c>
      <x:c r="H1255" s="1" t="n">
        <x:v>40.116993</x:v>
      </x:c>
      <x:c r="I1255" s="1" t="n">
        <x:v>-75.136017</x:v>
      </x:c>
      <x:c r="J1255" s="1" t="str">
        <x:v>USDA SNAP retailer list</x:v>
      </x:c>
      <x:c r="K1255" s="1" t="str">
        <x:v>2026-10-09</x:v>
      </x:c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  <x:c r="AA1255" s="1"/>
      <x:c r="AB1255" s="1"/>
      <x:c r="AC1255" s="1"/>
      <x:c r="AD1255" s="1"/>
      <x:c r="AE1255" s="1"/>
      <x:c r="AF1255" s="1"/>
      <x:c r="AG1255" s="1"/>
      <x:c r="AH1255" s="1"/>
      <x:c r="AI1255" s="1"/>
      <x:c r="AJ1255" s="1"/>
      <x:c r="AK1255" s="1"/>
      <x:c r="AL1255" s="1"/>
      <x:c r="AM1255" s="1"/>
      <x:c r="AN1255" s="1"/>
    </x:row>
    <x:row r="1256" ht="22" customHeight="1">
      <x:c r="A1256" s="1" t="str">
        <x:v>1337758</x:v>
      </x:c>
      <x:c r="B1256" s="1" t="str">
        <x:v>Sprouts Farmers Market 850</x:v>
      </x:c>
      <x:c r="C1256" s="1" t="str">
        <x:v>Supermarket</x:v>
      </x:c>
      <x:c r="D1256" s="1" t="str">
        <x:v>1000 S Broad St</x:v>
      </x:c>
      <x:c r="E1256" s="1" t="str">
        <x:v>Philadelphia</x:v>
      </x:c>
      <x:c r="F1256" s="1" t="str">
        <x:v>PA</x:v>
      </x:c>
      <x:c r="G1256" s="1" t="str">
        <x:v>19146</x:v>
      </x:c>
      <x:c r="H1256" s="1" t="n">
        <x:v>39.938763</x:v>
      </x:c>
      <x:c r="I1256" s="1" t="n">
        <x:v>-75.166611</x:v>
      </x:c>
      <x:c r="J1256" s="1" t="str">
        <x:v>USDA SNAP retailer list</x:v>
      </x:c>
      <x:c r="K1256" s="1" t="str">
        <x:v>2026-10-09</x:v>
      </x:c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  <x:c r="AA1256" s="1"/>
      <x:c r="AB1256" s="1"/>
      <x:c r="AC1256" s="1"/>
      <x:c r="AD1256" s="1"/>
      <x:c r="AE1256" s="1"/>
      <x:c r="AF1256" s="1"/>
      <x:c r="AG1256" s="1"/>
      <x:c r="AH1256" s="1"/>
      <x:c r="AI1256" s="1"/>
      <x:c r="AJ1256" s="1"/>
      <x:c r="AK1256" s="1"/>
      <x:c r="AL1256" s="1"/>
      <x:c r="AM1256" s="1"/>
      <x:c r="AN1256" s="1"/>
    </x:row>
    <x:row r="1257" ht="22" customHeight="1">
      <x:c r="A1257" s="1" t="str">
        <x:v>1338140</x:v>
      </x:c>
      <x:c r="B1257" s="1" t="str">
        <x:v>No.1 Asian Supermarket Inc</x:v>
      </x:c>
      <x:c r="C1257" s="1" t="str">
        <x:v>Supermarket</x:v>
      </x:c>
      <x:c r="D1257" s="1" t="str">
        <x:v>2842 Saint Vincent St</x:v>
      </x:c>
      <x:c r="E1257" s="1" t="str">
        <x:v>Philadelphia</x:v>
      </x:c>
      <x:c r="F1257" s="1" t="str">
        <x:v>PA</x:v>
      </x:c>
      <x:c r="G1257" s="1" t="str">
        <x:v>19149</x:v>
      </x:c>
      <x:c r="H1257" s="1" t="n">
        <x:v>40.041931</x:v>
      </x:c>
      <x:c r="I1257" s="1" t="n">
        <x:v>-75.05471</x:v>
      </x:c>
      <x:c r="J1257" s="1" t="str">
        <x:v>USDA SNAP retailer list</x:v>
      </x:c>
      <x:c r="K1257" s="1" t="str">
        <x:v>2026-10-09</x:v>
      </x:c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  <x:c r="AA1257" s="1"/>
      <x:c r="AB1257" s="1"/>
      <x:c r="AC1257" s="1"/>
      <x:c r="AD1257" s="1"/>
      <x:c r="AE1257" s="1"/>
      <x:c r="AF1257" s="1"/>
      <x:c r="AG1257" s="1"/>
      <x:c r="AH1257" s="1"/>
      <x:c r="AI1257" s="1"/>
      <x:c r="AJ1257" s="1"/>
      <x:c r="AK1257" s="1"/>
      <x:c r="AL1257" s="1"/>
      <x:c r="AM1257" s="1"/>
      <x:c r="AN1257" s="1"/>
    </x:row>
    <x:row r="1258" ht="22" customHeight="1">
      <x:c r="A1258" s="1" t="str">
        <x:v>1435146</x:v>
      </x:c>
      <x:c r="B1258" s="1" t="str">
        <x:v>Patel Brothers</x:v>
      </x:c>
      <x:c r="C1258" s="1" t="str">
        <x:v>Super Store</x:v>
      </x:c>
      <x:c r="D1258" s="1" t="str">
        <x:v>1907 Street Rd</x:v>
      </x:c>
      <x:c r="E1258" s="1" t="str">
        <x:v>Bensalem</x:v>
      </x:c>
      <x:c r="F1258" s="1" t="str">
        <x:v>PA</x:v>
      </x:c>
      <x:c r="G1258" s="1" t="str">
        <x:v>19020</x:v>
      </x:c>
      <x:c r="H1258" s="1" t="n">
        <x:v>40.098286</x:v>
      </x:c>
      <x:c r="I1258" s="1" t="n">
        <x:v>-74.944336</x:v>
      </x:c>
      <x:c r="J1258" s="1" t="str">
        <x:v>USDA SNAP retailer list</x:v>
      </x:c>
      <x:c r="K1258" s="1" t="str">
        <x:v>2026-10-09</x:v>
      </x:c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  <x:c r="AA1258" s="1"/>
      <x:c r="AB1258" s="1"/>
      <x:c r="AC1258" s="1"/>
      <x:c r="AD1258" s="1"/>
      <x:c r="AE1258" s="1"/>
      <x:c r="AF1258" s="1"/>
      <x:c r="AG1258" s="1"/>
      <x:c r="AH1258" s="1"/>
      <x:c r="AI1258" s="1"/>
      <x:c r="AJ1258" s="1"/>
      <x:c r="AK1258" s="1"/>
      <x:c r="AL1258" s="1"/>
      <x:c r="AM1258" s="1"/>
      <x:c r="AN1258" s="1"/>
    </x:row>
    <x:row r="1259" ht="22" customHeight="1">
      <x:c r="A1259" s="1" t="str">
        <x:v>1341352</x:v>
      </x:c>
      <x:c r="B1259" s="1" t="str">
        <x:v>Target T3263</x:v>
      </x:c>
      <x:c r="C1259" s="1" t="str">
        <x:v>Super Store</x:v>
      </x:c>
      <x:c r="D1259" s="1" t="str">
        <x:v>1020 S Broad St</x:v>
      </x:c>
      <x:c r="E1259" s="1" t="str">
        <x:v>Philadelphia</x:v>
      </x:c>
      <x:c r="F1259" s="1" t="str">
        <x:v>PA</x:v>
      </x:c>
      <x:c r="G1259" s="1" t="str">
        <x:v>19146</x:v>
      </x:c>
      <x:c r="H1259" s="1" t="n">
        <x:v>39.938641</x:v>
      </x:c>
      <x:c r="I1259" s="1" t="n">
        <x:v>-75.166656</x:v>
      </x:c>
      <x:c r="J1259" s="1" t="str">
        <x:v>USDA SNAP retailer list</x:v>
      </x:c>
      <x:c r="K1259" s="1" t="str">
        <x:v>2026-10-09</x:v>
      </x:c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  <x:c r="AA1259" s="1"/>
      <x:c r="AB1259" s="1"/>
      <x:c r="AC1259" s="1"/>
      <x:c r="AD1259" s="1"/>
      <x:c r="AE1259" s="1"/>
      <x:c r="AF1259" s="1"/>
      <x:c r="AG1259" s="1"/>
      <x:c r="AH1259" s="1"/>
      <x:c r="AI1259" s="1"/>
      <x:c r="AJ1259" s="1"/>
      <x:c r="AK1259" s="1"/>
      <x:c r="AL1259" s="1"/>
      <x:c r="AM1259" s="1"/>
      <x:c r="AN1259" s="1"/>
    </x:row>
    <x:row r="1260" ht="22" customHeight="1">
      <x:c r="A1260" s="1" t="str">
        <x:v>1476342</x:v>
      </x:c>
      <x:c r="B1260" s="1" t="str">
        <x:v>ALDI 60168</x:v>
      </x:c>
      <x:c r="C1260" s="1" t="str">
        <x:v>Supermarket</x:v>
      </x:c>
      <x:c r="D1260" s="1" t="str">
        <x:v>260 E Street Rd</x:v>
      </x:c>
      <x:c r="E1260" s="1" t="str">
        <x:v>Warminster</x:v>
      </x:c>
      <x:c r="F1260" s="1" t="str">
        <x:v>PA</x:v>
      </x:c>
      <x:c r="G1260" s="1" t="str">
        <x:v>18974</x:v>
      </x:c>
      <x:c r="H1260" s="1" t="n">
        <x:v>40.192379</x:v>
      </x:c>
      <x:c r="I1260" s="1" t="n">
        <x:v>-75.074669</x:v>
      </x:c>
      <x:c r="J1260" s="1" t="str">
        <x:v>USDA SNAP retailer list</x:v>
      </x:c>
      <x:c r="K1260" s="1" t="str">
        <x:v>2026-10-09</x:v>
      </x:c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  <x:c r="AA1260" s="1"/>
      <x:c r="AB1260" s="1"/>
      <x:c r="AC1260" s="1"/>
      <x:c r="AD1260" s="1"/>
      <x:c r="AE1260" s="1"/>
      <x:c r="AF1260" s="1"/>
      <x:c r="AG1260" s="1"/>
      <x:c r="AH1260" s="1"/>
      <x:c r="AI1260" s="1"/>
      <x:c r="AJ1260" s="1"/>
      <x:c r="AK1260" s="1"/>
      <x:c r="AL1260" s="1"/>
      <x:c r="AM1260" s="1"/>
      <x:c r="AN1260" s="1"/>
    </x:row>
    <x:row r="1261" ht="22" customHeight="1">
      <x:c r="A1261" s="1" t="str">
        <x:v>1423061</x:v>
      </x:c>
      <x:c r="B1261" s="1" t="str">
        <x:v>Acme 2397</x:v>
      </x:c>
      <x:c r="C1261" s="1" t="str">
        <x:v>Supermarket</x:v>
      </x:c>
      <x:c r="D1261" s="1" t="str">
        <x:v>4001 Walnut St</x:v>
      </x:c>
      <x:c r="E1261" s="1" t="str">
        <x:v>Philadelphia</x:v>
      </x:c>
      <x:c r="F1261" s="1" t="str">
        <x:v>PA</x:v>
      </x:c>
      <x:c r="G1261" s="1" t="str">
        <x:v>19104</x:v>
      </x:c>
      <x:c r="H1261" s="1" t="n">
        <x:v>39.954479</x:v>
      </x:c>
      <x:c r="I1261" s="1" t="n">
        <x:v>-75.203156</x:v>
      </x:c>
      <x:c r="J1261" s="1" t="str">
        <x:v>USDA SNAP retailer list</x:v>
      </x:c>
      <x:c r="K1261" s="1" t="str">
        <x:v>2026-10-09</x:v>
      </x:c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  <x:c r="AA1261" s="1"/>
      <x:c r="AB1261" s="1"/>
      <x:c r="AC1261" s="1"/>
      <x:c r="AD1261" s="1"/>
      <x:c r="AE1261" s="1"/>
      <x:c r="AF1261" s="1"/>
      <x:c r="AG1261" s="1"/>
      <x:c r="AH1261" s="1"/>
      <x:c r="AI1261" s="1"/>
      <x:c r="AJ1261" s="1"/>
      <x:c r="AK1261" s="1"/>
      <x:c r="AL1261" s="1"/>
      <x:c r="AM1261" s="1"/>
      <x:c r="AN1261" s="1"/>
    </x:row>
    <x:row r="1262" ht="22" customHeight="1">
      <x:c r="A1262" s="1" t="str">
        <x:v>1424011</x:v>
      </x:c>
      <x:c r="B1262" s="1" t="str">
        <x:v>Costco Wholesale 1415</x:v>
      </x:c>
      <x:c r="C1262" s="1" t="str">
        <x:v>Super Store</x:v>
      </x:c>
      <x:c r="D1262" s="1" t="str">
        <x:v>650 Garden Park Blvd</x:v>
      </x:c>
      <x:c r="E1262" s="1" t="str">
        <x:v>Cherry Hill</x:v>
      </x:c>
      <x:c r="F1262" s="1" t="str">
        <x:v>NJ</x:v>
      </x:c>
      <x:c r="G1262" s="1" t="str">
        <x:v>08002</x:v>
      </x:c>
      <x:c r="H1262" s="1" t="n">
        <x:v>39.924828</x:v>
      </x:c>
      <x:c r="I1262" s="1" t="n">
        <x:v>-75.039948</x:v>
      </x:c>
      <x:c r="J1262" s="1" t="str">
        <x:v>USDA SNAP retailer list</x:v>
      </x:c>
      <x:c r="K1262" s="1" t="str">
        <x:v>2026-10-09</x:v>
      </x:c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  <x:c r="AA1262" s="1"/>
      <x:c r="AB1262" s="1"/>
      <x:c r="AC1262" s="1"/>
      <x:c r="AD1262" s="1"/>
      <x:c r="AE1262" s="1"/>
      <x:c r="AF1262" s="1"/>
      <x:c r="AG1262" s="1"/>
      <x:c r="AH1262" s="1"/>
      <x:c r="AI1262" s="1"/>
      <x:c r="AJ1262" s="1"/>
      <x:c r="AK1262" s="1"/>
      <x:c r="AL1262" s="1"/>
      <x:c r="AM1262" s="1"/>
      <x:c r="AN1262" s="1"/>
    </x:row>
    <x:row r="1263" ht="22" customHeight="1">
      <x:c r="A1263" s="1" t="str">
        <x:v>1404719</x:v>
      </x:c>
      <x:c r="B1263" s="1" t="str">
        <x:v>Acme 0147</x:v>
      </x:c>
      <x:c r="C1263" s="1" t="str">
        <x:v>Supermarket</x:v>
      </x:c>
      <x:c r="D1263" s="1" t="str">
        <x:v>920 Red Lion Rd</x:v>
      </x:c>
      <x:c r="E1263" s="1" t="str">
        <x:v>Philadelphia</x:v>
      </x:c>
      <x:c r="F1263" s="1" t="str">
        <x:v>PA</x:v>
      </x:c>
      <x:c r="G1263" s="1" t="str">
        <x:v>19115</x:v>
      </x:c>
      <x:c r="H1263" s="1" t="n">
        <x:v>40.101337</x:v>
      </x:c>
      <x:c r="I1263" s="1" t="n">
        <x:v>-75.02755</x:v>
      </x:c>
      <x:c r="J1263" s="1" t="str">
        <x:v>USDA SNAP retailer list</x:v>
      </x:c>
      <x:c r="K1263" s="1" t="str">
        <x:v>2026-10-09</x:v>
      </x:c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  <x:c r="AA1263" s="1"/>
      <x:c r="AB1263" s="1"/>
      <x:c r="AC1263" s="1"/>
      <x:c r="AD1263" s="1"/>
      <x:c r="AE1263" s="1"/>
      <x:c r="AF1263" s="1"/>
      <x:c r="AG1263" s="1"/>
      <x:c r="AH1263" s="1"/>
      <x:c r="AI1263" s="1"/>
      <x:c r="AJ1263" s="1"/>
      <x:c r="AK1263" s="1"/>
      <x:c r="AL1263" s="1"/>
      <x:c r="AM1263" s="1"/>
      <x:c r="AN1263" s="1"/>
    </x:row>
    <x:row r="1264" ht="22" customHeight="1">
      <x:c r="A1264" s="1" t="str">
        <x:v>1685709</x:v>
      </x:c>
      <x:c r="B1264" s="1" t="str">
        <x:v>Sprouts Farmers Market 851</x:v>
      </x:c>
      <x:c r="C1264" s="1" t="str">
        <x:v>Supermarket</x:v>
      </x:c>
      <x:c r="D1264" s="1" t="str">
        <x:v>2001 Welsh Rd</x:v>
      </x:c>
      <x:c r="E1264" s="1" t="str">
        <x:v>Dresher</x:v>
      </x:c>
      <x:c r="F1264" s="1" t="str">
        <x:v>PA</x:v>
      </x:c>
      <x:c r="G1264" s="1" t="str">
        <x:v>19025</x:v>
      </x:c>
      <x:c r="H1264" s="1" t="n">
        <x:v>40.159554</x:v>
      </x:c>
      <x:c r="I1264" s="1" t="n">
        <x:v>-75.148163</x:v>
      </x:c>
      <x:c r="J1264" s="1" t="str">
        <x:v>USDA SNAP retailer list</x:v>
      </x:c>
      <x:c r="K1264" s="1" t="str">
        <x:v>2026-10-09</x:v>
      </x:c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  <x:c r="AA1264" s="1"/>
      <x:c r="AB1264" s="1"/>
      <x:c r="AC1264" s="1"/>
      <x:c r="AD1264" s="1"/>
      <x:c r="AE1264" s="1"/>
      <x:c r="AF1264" s="1"/>
      <x:c r="AG1264" s="1"/>
      <x:c r="AH1264" s="1"/>
      <x:c r="AI1264" s="1"/>
      <x:c r="AJ1264" s="1"/>
      <x:c r="AK1264" s="1"/>
      <x:c r="AL1264" s="1"/>
      <x:c r="AM1264" s="1"/>
      <x:c r="AN1264" s="1"/>
    </x:row>
    <x:row r="1265" ht="22" customHeight="1">
      <x:c r="A1265" s="1" t="str">
        <x:v>1687062</x:v>
      </x:c>
      <x:c r="B1265" s="1" t="str">
        <x:v>Lidl 1246</x:v>
      </x:c>
      <x:c r="C1265" s="1" t="str">
        <x:v>Super Store</x:v>
      </x:c>
      <x:c r="D1265" s="1" t="str">
        <x:v>2613 Ridge Pike</x:v>
      </x:c>
      <x:c r="E1265" s="1" t="str">
        <x:v>Norristown</x:v>
      </x:c>
      <x:c r="F1265" s="1" t="str">
        <x:v>PA</x:v>
      </x:c>
      <x:c r="G1265" s="1" t="str">
        <x:v>19403</x:v>
      </x:c>
      <x:c r="H1265" s="1" t="n">
        <x:v>40.14341</x:v>
      </x:c>
      <x:c r="I1265" s="1" t="n">
        <x:v>-75.389954</x:v>
      </x:c>
      <x:c r="J1265" s="1" t="str">
        <x:v>USDA SNAP retailer list</x:v>
      </x:c>
      <x:c r="K1265" s="1" t="str">
        <x:v>2026-10-09</x:v>
      </x:c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  <x:c r="AA1265" s="1"/>
      <x:c r="AB1265" s="1"/>
      <x:c r="AC1265" s="1"/>
      <x:c r="AD1265" s="1"/>
      <x:c r="AE1265" s="1"/>
      <x:c r="AF1265" s="1"/>
      <x:c r="AG1265" s="1"/>
      <x:c r="AH1265" s="1"/>
      <x:c r="AI1265" s="1"/>
      <x:c r="AJ1265" s="1"/>
      <x:c r="AK1265" s="1"/>
      <x:c r="AL1265" s="1"/>
      <x:c r="AM1265" s="1"/>
      <x:c r="AN1265" s="1"/>
    </x:row>
    <x:row r="1266" ht="22" customHeight="1">
      <x:c r="A1266" s="1" t="str">
        <x:v>1426195</x:v>
      </x:c>
      <x:c r="B1266" s="1" t="str">
        <x:v>H MART PHILADELPHIA LLC.</x:v>
      </x:c>
      <x:c r="C1266" s="1" t="str">
        <x:v>Super Store</x:v>
      </x:c>
      <x:c r="D1266" s="1" t="str">
        <x:v>6201 N Front St</x:v>
      </x:c>
      <x:c r="E1266" s="1" t="str">
        <x:v>Philadelphia</x:v>
      </x:c>
      <x:c r="F1266" s="1" t="str">
        <x:v>PA</x:v>
      </x:c>
      <x:c r="G1266" s="1" t="str">
        <x:v>19120</x:v>
      </x:c>
      <x:c r="H1266" s="1" t="n">
        <x:v>40.045132</x:v>
      </x:c>
      <x:c r="I1266" s="1" t="n">
        <x:v>-75.118042</x:v>
      </x:c>
      <x:c r="J1266" s="1" t="str">
        <x:v>USDA SNAP retailer list</x:v>
      </x:c>
      <x:c r="K1266" s="1" t="str">
        <x:v>2026-10-09</x:v>
      </x:c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  <x:c r="AA1266" s="1"/>
      <x:c r="AB1266" s="1"/>
      <x:c r="AC1266" s="1"/>
      <x:c r="AD1266" s="1"/>
      <x:c r="AE1266" s="1"/>
      <x:c r="AF1266" s="1"/>
      <x:c r="AG1266" s="1"/>
      <x:c r="AH1266" s="1"/>
      <x:c r="AI1266" s="1"/>
      <x:c r="AJ1266" s="1"/>
      <x:c r="AK1266" s="1"/>
      <x:c r="AL1266" s="1"/>
      <x:c r="AM1266" s="1"/>
      <x:c r="AN1266" s="1"/>
    </x:row>
    <x:row r="1267" ht="22" customHeight="1">
      <x:c r="A1267" s="1" t="str">
        <x:v>1425306</x:v>
      </x:c>
      <x:c r="B1267" s="1" t="str">
        <x:v>Aldi 60169</x:v>
      </x:c>
      <x:c r="C1267" s="1" t="str">
        <x:v>Supermarket</x:v>
      </x:c>
      <x:c r="D1267" s="1" t="str">
        <x:v>1300 Fairmount Ave</x:v>
      </x:c>
      <x:c r="E1267" s="1" t="str">
        <x:v>Philadelphia</x:v>
      </x:c>
      <x:c r="F1267" s="1" t="str">
        <x:v>PA</x:v>
      </x:c>
      <x:c r="G1267" s="1" t="str">
        <x:v>19123</x:v>
      </x:c>
      <x:c r="H1267" s="1" t="n">
        <x:v>39.966263</x:v>
      </x:c>
      <x:c r="I1267" s="1" t="n">
        <x:v>-75.159378</x:v>
      </x:c>
      <x:c r="J1267" s="1" t="str">
        <x:v>USDA SNAP retailer list</x:v>
      </x:c>
      <x:c r="K1267" s="1" t="str">
        <x:v>2026-10-09</x:v>
      </x:c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  <x:c r="AA1267" s="1"/>
      <x:c r="AB1267" s="1"/>
      <x:c r="AC1267" s="1"/>
      <x:c r="AD1267" s="1"/>
      <x:c r="AE1267" s="1"/>
      <x:c r="AF1267" s="1"/>
      <x:c r="AG1267" s="1"/>
      <x:c r="AH1267" s="1"/>
      <x:c r="AI1267" s="1"/>
      <x:c r="AJ1267" s="1"/>
      <x:c r="AK1267" s="1"/>
      <x:c r="AL1267" s="1"/>
      <x:c r="AM1267" s="1"/>
      <x:c r="AN1267" s="1"/>
    </x:row>
    <x:row r="1268" ht="22" customHeight="1">
      <x:c r="A1268" s="1" t="str">
        <x:v>1437536</x:v>
      </x:c>
      <x:c r="B1268" s="1" t="str">
        <x:v>South Philly Food Co-op</x:v>
      </x:c>
      <x:c r="C1268" s="1" t="str">
        <x:v>Supermarket</x:v>
      </x:c>
      <x:c r="D1268" s="1" t="str">
        <x:v>2031 S Juniper St</x:v>
      </x:c>
      <x:c r="E1268" s="1" t="str">
        <x:v>Philadelphia</x:v>
      </x:c>
      <x:c r="F1268" s="1" t="str">
        <x:v>PA</x:v>
      </x:c>
      <x:c r="G1268" s="1" t="str">
        <x:v>19148</x:v>
      </x:c>
      <x:c r="H1268" s="1" t="n">
        <x:v>39.92453</x:v>
      </x:c>
      <x:c r="I1268" s="1" t="n">
        <x:v>-75.168129</x:v>
      </x:c>
      <x:c r="J1268" s="1" t="str">
        <x:v>USDA SNAP retailer list</x:v>
      </x:c>
      <x:c r="K1268" s="1" t="str">
        <x:v>2026-10-09</x:v>
      </x:c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  <x:c r="AA1268" s="1"/>
      <x:c r="AB1268" s="1"/>
      <x:c r="AC1268" s="1"/>
      <x:c r="AD1268" s="1"/>
      <x:c r="AE1268" s="1"/>
      <x:c r="AF1268" s="1"/>
      <x:c r="AG1268" s="1"/>
      <x:c r="AH1268" s="1"/>
      <x:c r="AI1268" s="1"/>
      <x:c r="AJ1268" s="1"/>
      <x:c r="AK1268" s="1"/>
      <x:c r="AL1268" s="1"/>
      <x:c r="AM1268" s="1"/>
      <x:c r="AN1268" s="1"/>
    </x:row>
    <x:row r="1269" ht="22" customHeight="1">
      <x:c r="A1269" s="1" t="str">
        <x:v>1663868</x:v>
      </x:c>
      <x:c r="B1269" s="1" t="str">
        <x:v>Giant Heirloom Market 6552</x:v>
      </x:c>
      <x:c r="C1269" s="1" t="str">
        <x:v>Supermarket</x:v>
      </x:c>
      <x:c r="D1269" s="1" t="str">
        <x:v>1004 N 2nd St</x:v>
      </x:c>
      <x:c r="E1269" s="1" t="str">
        <x:v>Philadelphia</x:v>
      </x:c>
      <x:c r="F1269" s="1" t="str">
        <x:v>PA</x:v>
      </x:c>
      <x:c r="G1269" s="1" t="str">
        <x:v>19123</x:v>
      </x:c>
      <x:c r="H1269" s="1" t="n">
        <x:v>39.96653</x:v>
      </x:c>
      <x:c r="I1269" s="1" t="n">
        <x:v>-75.140495</x:v>
      </x:c>
      <x:c r="J1269" s="1" t="str">
        <x:v>USDA SNAP retailer list</x:v>
      </x:c>
      <x:c r="K1269" s="1" t="str">
        <x:v>2026-10-09</x:v>
      </x:c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  <x:c r="AA1269" s="1"/>
      <x:c r="AB1269" s="1"/>
      <x:c r="AC1269" s="1"/>
      <x:c r="AD1269" s="1"/>
      <x:c r="AE1269" s="1"/>
      <x:c r="AF1269" s="1"/>
      <x:c r="AG1269" s="1"/>
      <x:c r="AH1269" s="1"/>
      <x:c r="AI1269" s="1"/>
      <x:c r="AJ1269" s="1"/>
      <x:c r="AK1269" s="1"/>
      <x:c r="AL1269" s="1"/>
      <x:c r="AM1269" s="1"/>
      <x:c r="AN1269" s="1"/>
    </x:row>
    <x:row r="1270" ht="22" customHeight="1">
      <x:c r="A1270" s="1" t="str">
        <x:v>1681833</x:v>
      </x:c>
      <x:c r="B1270" s="1" t="str">
        <x:v>Bell's Market</x:v>
      </x:c>
      <x:c r="C1270" s="1" t="str">
        <x:v>Super Store</x:v>
      </x:c>
      <x:c r="D1270" s="1" t="str">
        <x:v>1055 Bustleton Pike</x:v>
      </x:c>
      <x:c r="E1270" s="1" t="str">
        <x:v>Feasterville Trevose</x:v>
      </x:c>
      <x:c r="F1270" s="1" t="str">
        <x:v>PA</x:v>
      </x:c>
      <x:c r="G1270" s="1" t="str">
        <x:v>19053</x:v>
      </x:c>
      <x:c r="H1270" s="1" t="n">
        <x:v>40.153076</x:v>
      </x:c>
      <x:c r="I1270" s="1" t="n">
        <x:v>-75.000435</x:v>
      </x:c>
      <x:c r="J1270" s="1" t="str">
        <x:v>USDA SNAP retailer list</x:v>
      </x:c>
      <x:c r="K1270" s="1" t="str">
        <x:v>2026-10-09</x:v>
      </x:c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  <x:c r="AA1270" s="1"/>
      <x:c r="AB1270" s="1"/>
      <x:c r="AC1270" s="1"/>
      <x:c r="AD1270" s="1"/>
      <x:c r="AE1270" s="1"/>
      <x:c r="AF1270" s="1"/>
      <x:c r="AG1270" s="1"/>
      <x:c r="AH1270" s="1"/>
      <x:c r="AI1270" s="1"/>
      <x:c r="AJ1270" s="1"/>
      <x:c r="AK1270" s="1"/>
      <x:c r="AL1270" s="1"/>
      <x:c r="AM1270" s="1"/>
      <x:c r="AN1270" s="1"/>
    </x:row>
    <x:row r="1271" ht="22" customHeight="1">
      <x:c r="A1271" s="1" t="str">
        <x:v>1483107</x:v>
      </x:c>
      <x:c r="B1271" s="1" t="str">
        <x:v>Sam's Club 6676</x:v>
      </x:c>
      <x:c r="C1271" s="1" t="str">
        <x:v>Super Store</x:v>
      </x:c>
      <x:c r="D1271" s="1" t="str">
        <x:v>3925 Welsh Rd</x:v>
      </x:c>
      <x:c r="E1271" s="1" t="str">
        <x:v>Willow Grove</x:v>
      </x:c>
      <x:c r="F1271" s="1" t="str">
        <x:v>PA</x:v>
      </x:c>
      <x:c r="G1271" s="1" t="str">
        <x:v>19090</x:v>
      </x:c>
      <x:c r="H1271" s="1" t="n">
        <x:v>40.157104</x:v>
      </x:c>
      <x:c r="I1271" s="1" t="n">
        <x:v>-75.139389</x:v>
      </x:c>
      <x:c r="J1271" s="1" t="str">
        <x:v>USDA SNAP retailer list</x:v>
      </x:c>
      <x:c r="K1271" s="1" t="str">
        <x:v>2026-10-09</x:v>
      </x:c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  <x:c r="AA1271" s="1"/>
      <x:c r="AB1271" s="1"/>
      <x:c r="AC1271" s="1"/>
      <x:c r="AD1271" s="1"/>
      <x:c r="AE1271" s="1"/>
      <x:c r="AF1271" s="1"/>
      <x:c r="AG1271" s="1"/>
      <x:c r="AH1271" s="1"/>
      <x:c r="AI1271" s="1"/>
      <x:c r="AJ1271" s="1"/>
      <x:c r="AK1271" s="1"/>
      <x:c r="AL1271" s="1"/>
      <x:c r="AM1271" s="1"/>
      <x:c r="AN1271" s="1"/>
    </x:row>
    <x:row r="1272" ht="22" customHeight="1">
      <x:c r="A1272" s="1" t="str">
        <x:v>1483390</x:v>
      </x:c>
      <x:c r="B1272" s="1" t="str">
        <x:v>PORT RICHMOND THRIFTWAY</x:v>
      </x:c>
      <x:c r="C1272" s="1" t="str">
        <x:v>Super Store</x:v>
      </x:c>
      <x:c r="D1272" s="1" t="str">
        <x:v>2497 Aramingo Ave</x:v>
      </x:c>
      <x:c r="E1272" s="1" t="str">
        <x:v>Philadelphia</x:v>
      </x:c>
      <x:c r="F1272" s="1" t="str">
        <x:v>PA</x:v>
      </x:c>
      <x:c r="G1272" s="1" t="str">
        <x:v>19125</x:v>
      </x:c>
      <x:c r="H1272" s="1" t="n">
        <x:v>39.976257</x:v>
      </x:c>
      <x:c r="I1272" s="1" t="n">
        <x:v>-75.11972</x:v>
      </x:c>
      <x:c r="J1272" s="1" t="str">
        <x:v>USDA SNAP retailer list</x:v>
      </x:c>
      <x:c r="K1272" s="1" t="str">
        <x:v>2026-10-09</x:v>
      </x:c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  <x:c r="AA1272" s="1"/>
      <x:c r="AB1272" s="1"/>
      <x:c r="AC1272" s="1"/>
      <x:c r="AD1272" s="1"/>
      <x:c r="AE1272" s="1"/>
      <x:c r="AF1272" s="1"/>
      <x:c r="AG1272" s="1"/>
      <x:c r="AH1272" s="1"/>
      <x:c r="AI1272" s="1"/>
      <x:c r="AJ1272" s="1"/>
      <x:c r="AK1272" s="1"/>
      <x:c r="AL1272" s="1"/>
      <x:c r="AM1272" s="1"/>
      <x:c r="AN1272" s="1"/>
    </x:row>
    <x:row r="1273" ht="22" customHeight="1">
      <x:c r="A1273" s="1" t="str">
        <x:v>1416214</x:v>
      </x:c>
      <x:c r="B1273" s="1" t="str">
        <x:v>Sam And Sam Meatsinc.</x:v>
      </x:c>
      <x:c r="C1273" s="1" t="str">
        <x:v>Super Store</x:v>
      </x:c>
      <x:c r="D1273" s="1" t="str">
        <x:v>851 Upland Ave</x:v>
      </x:c>
      <x:c r="E1273" s="1" t="str">
        <x:v>Chester</x:v>
      </x:c>
      <x:c r="F1273" s="1" t="str">
        <x:v>PA</x:v>
      </x:c>
      <x:c r="G1273" s="1" t="str">
        <x:v>19013</x:v>
      </x:c>
      <x:c r="H1273" s="1" t="n">
        <x:v>39.85709</x:v>
      </x:c>
      <x:c r="I1273" s="1" t="n">
        <x:v>-75.375038</x:v>
      </x:c>
      <x:c r="J1273" s="1" t="str">
        <x:v>USDA SNAP retailer list</x:v>
      </x:c>
      <x:c r="K1273" s="1" t="str">
        <x:v>2026-10-09</x:v>
      </x:c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  <x:c r="AA1273" s="1"/>
      <x:c r="AB1273" s="1"/>
      <x:c r="AC1273" s="1"/>
      <x:c r="AD1273" s="1"/>
      <x:c r="AE1273" s="1"/>
      <x:c r="AF1273" s="1"/>
      <x:c r="AG1273" s="1"/>
      <x:c r="AH1273" s="1"/>
      <x:c r="AI1273" s="1"/>
      <x:c r="AJ1273" s="1"/>
      <x:c r="AK1273" s="1"/>
      <x:c r="AL1273" s="1"/>
      <x:c r="AM1273" s="1"/>
      <x:c r="AN1273" s="1"/>
    </x:row>
    <x:row r="1274" ht="22" customHeight="1">
      <x:c r="A1274" s="1" t="str">
        <x:v>1501136</x:v>
      </x:c>
      <x:c r="B1274" s="1" t="str">
        <x:v>Acme Market</x:v>
      </x:c>
      <x:c r="C1274" s="1" t="str">
        <x:v>Supermarket</x:v>
      </x:c>
      <x:c r="D1274" s="1" t="str">
        <x:v>503 S Mac Dade Blvd</x:v>
      </x:c>
      <x:c r="E1274" s="1" t="str">
        <x:v>Holmes</x:v>
      </x:c>
      <x:c r="F1274" s="1" t="str">
        <x:v>PA</x:v>
      </x:c>
      <x:c r="G1274" s="1" t="str">
        <x:v>19043</x:v>
      </x:c>
      <x:c r="H1274" s="1" t="n">
        <x:v>39.89595</x:v>
      </x:c>
      <x:c r="I1274" s="1" t="n">
        <x:v>-75.315186</x:v>
      </x:c>
      <x:c r="J1274" s="1" t="str">
        <x:v>USDA SNAP retailer list</x:v>
      </x:c>
      <x:c r="K1274" s="1" t="str">
        <x:v>2026-10-09</x:v>
      </x:c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  <x:c r="AA1274" s="1"/>
      <x:c r="AB1274" s="1"/>
      <x:c r="AC1274" s="1"/>
      <x:c r="AD1274" s="1"/>
      <x:c r="AE1274" s="1"/>
      <x:c r="AF1274" s="1"/>
      <x:c r="AG1274" s="1"/>
      <x:c r="AH1274" s="1"/>
      <x:c r="AI1274" s="1"/>
      <x:c r="AJ1274" s="1"/>
      <x:c r="AK1274" s="1"/>
      <x:c r="AL1274" s="1"/>
      <x:c r="AM1274" s="1"/>
      <x:c r="AN1274" s="1"/>
    </x:row>
    <x:row r="1275" ht="22" customHeight="1">
      <x:c r="A1275" s="1" t="str">
        <x:v>1494726</x:v>
      </x:c>
      <x:c r="B1275" s="1" t="str">
        <x:v>Cousin's Fresh Market Inc</x:v>
      </x:c>
      <x:c r="C1275" s="1" t="str">
        <x:v>Supermarket</x:v>
      </x:c>
      <x:c r="D1275" s="1" t="str">
        <x:v>6411 Woodland Ave</x:v>
      </x:c>
      <x:c r="E1275" s="1" t="str">
        <x:v>Philadelphia</x:v>
      </x:c>
      <x:c r="F1275" s="1" t="str">
        <x:v>PA</x:v>
      </x:c>
      <x:c r="G1275" s="1" t="str">
        <x:v>19142</x:v>
      </x:c>
      <x:c r="H1275" s="1" t="n">
        <x:v>39.926407</x:v>
      </x:c>
      <x:c r="I1275" s="1" t="n">
        <x:v>-75.233688</x:v>
      </x:c>
      <x:c r="J1275" s="1" t="str">
        <x:v>USDA SNAP retailer list</x:v>
      </x:c>
      <x:c r="K1275" s="1" t="str">
        <x:v>2026-10-09</x:v>
      </x:c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  <x:c r="AA1275" s="1"/>
      <x:c r="AB1275" s="1"/>
      <x:c r="AC1275" s="1"/>
      <x:c r="AD1275" s="1"/>
      <x:c r="AE1275" s="1"/>
      <x:c r="AF1275" s="1"/>
      <x:c r="AG1275" s="1"/>
      <x:c r="AH1275" s="1"/>
      <x:c r="AI1275" s="1"/>
      <x:c r="AJ1275" s="1"/>
      <x:c r="AK1275" s="1"/>
      <x:c r="AL1275" s="1"/>
      <x:c r="AM1275" s="1"/>
      <x:c r="AN1275" s="1"/>
    </x:row>
    <x:row r="1276" ht="22" customHeight="1">
      <x:c r="A1276" s="1" t="str">
        <x:v>1506533</x:v>
      </x:c>
      <x:c r="B1276" s="1" t="str">
        <x:v>Grocery Outlet Of Welsh Road 732</x:v>
      </x:c>
      <x:c r="C1276" s="1" t="str">
        <x:v>Supermarket</x:v>
      </x:c>
      <x:c r="D1276" s="1" t="str">
        <x:v>2524 Welsh Rd</x:v>
      </x:c>
      <x:c r="E1276" s="1" t="str">
        <x:v>Philadelphia</x:v>
      </x:c>
      <x:c r="F1276" s="1" t="str">
        <x:v>PA</x:v>
      </x:c>
      <x:c r="G1276" s="1" t="str">
        <x:v>19152</x:v>
      </x:c>
      <x:c r="H1276" s="1" t="n">
        <x:v>40.072762</x:v>
      </x:c>
      <x:c r="I1276" s="1" t="n">
        <x:v>-75.033577</x:v>
      </x:c>
      <x:c r="J1276" s="1" t="str">
        <x:v>USDA SNAP retailer list</x:v>
      </x:c>
      <x:c r="K1276" s="1" t="str">
        <x:v>2026-10-09</x:v>
      </x:c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  <x:c r="AA1276" s="1"/>
      <x:c r="AB1276" s="1"/>
      <x:c r="AC1276" s="1"/>
      <x:c r="AD1276" s="1"/>
      <x:c r="AE1276" s="1"/>
      <x:c r="AF1276" s="1"/>
      <x:c r="AG1276" s="1"/>
      <x:c r="AH1276" s="1"/>
      <x:c r="AI1276" s="1"/>
      <x:c r="AJ1276" s="1"/>
      <x:c r="AK1276" s="1"/>
      <x:c r="AL1276" s="1"/>
      <x:c r="AM1276" s="1"/>
      <x:c r="AN1276" s="1"/>
    </x:row>
    <x:row r="1277" ht="22" customHeight="1">
      <x:c r="A1277" s="1" t="str">
        <x:v>1616813</x:v>
      </x:c>
      <x:c r="B1277" s="1" t="str">
        <x:v>Giant Food Store 6468</x:v>
      </x:c>
      <x:c r="C1277" s="1" t="str">
        <x:v>Supermarket</x:v>
      </x:c>
      <x:c r="D1277" s="1" t="str">
        <x:v>2550 Grant Ave</x:v>
      </x:c>
      <x:c r="E1277" s="1" t="str">
        <x:v>Philadelphia</x:v>
      </x:c>
      <x:c r="F1277" s="1" t="str">
        <x:v>PA</x:v>
      </x:c>
      <x:c r="G1277" s="1" t="str">
        <x:v>19114</x:v>
      </x:c>
      <x:c r="H1277" s="1" t="n">
        <x:v>40.078289</x:v>
      </x:c>
      <x:c r="I1277" s="1" t="n">
        <x:v>-75.027061</x:v>
      </x:c>
      <x:c r="J1277" s="1" t="str">
        <x:v>USDA SNAP retailer list</x:v>
      </x:c>
      <x:c r="K1277" s="1" t="str">
        <x:v>2026-10-09</x:v>
      </x:c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  <x:c r="AA1277" s="1"/>
      <x:c r="AB1277" s="1"/>
      <x:c r="AC1277" s="1"/>
      <x:c r="AD1277" s="1"/>
      <x:c r="AE1277" s="1"/>
      <x:c r="AF1277" s="1"/>
      <x:c r="AG1277" s="1"/>
      <x:c r="AH1277" s="1"/>
      <x:c r="AI1277" s="1"/>
      <x:c r="AJ1277" s="1"/>
      <x:c r="AK1277" s="1"/>
      <x:c r="AL1277" s="1"/>
      <x:c r="AM1277" s="1"/>
      <x:c r="AN1277" s="1"/>
    </x:row>
    <x:row r="1278" ht="22" customHeight="1">
      <x:c r="A1278" s="1" t="str">
        <x:v>1537996</x:v>
      </x:c>
      <x:c r="B1278" s="1" t="str">
        <x:v>ALDI 60192</x:v>
      </x:c>
      <x:c r="C1278" s="1" t="str">
        <x:v>Supermarket</x:v>
      </x:c>
      <x:c r="D1278" s="1" t="str">
        <x:v>1300 MacDade Blvd</x:v>
      </x:c>
      <x:c r="E1278" s="1" t="str">
        <x:v>Woodlyn</x:v>
      </x:c>
      <x:c r="F1278" s="1" t="str">
        <x:v>PA</x:v>
      </x:c>
      <x:c r="G1278" s="1" t="str">
        <x:v>19094</x:v>
      </x:c>
      <x:c r="H1278" s="1" t="n">
        <x:v>39.877567</x:v>
      </x:c>
      <x:c r="I1278" s="1" t="n">
        <x:v>-75.344872</x:v>
      </x:c>
      <x:c r="J1278" s="1" t="str">
        <x:v>USDA SNAP retailer list</x:v>
      </x:c>
      <x:c r="K1278" s="1" t="str">
        <x:v>2026-10-09</x:v>
      </x:c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  <x:c r="AA1278" s="1"/>
      <x:c r="AB1278" s="1"/>
      <x:c r="AC1278" s="1"/>
      <x:c r="AD1278" s="1"/>
      <x:c r="AE1278" s="1"/>
      <x:c r="AF1278" s="1"/>
      <x:c r="AG1278" s="1"/>
      <x:c r="AH1278" s="1"/>
      <x:c r="AI1278" s="1"/>
      <x:c r="AJ1278" s="1"/>
      <x:c r="AK1278" s="1"/>
      <x:c r="AL1278" s="1"/>
      <x:c r="AM1278" s="1"/>
      <x:c r="AN1278" s="1"/>
    </x:row>
    <x:row r="1279" ht="22" customHeight="1">
      <x:c r="A1279" s="1" t="str">
        <x:v>1537997</x:v>
      </x:c>
      <x:c r="B1279" s="1" t="str">
        <x:v>ALDI 60181</x:v>
      </x:c>
      <x:c r="C1279" s="1" t="str">
        <x:v>Supermarket</x:v>
      </x:c>
      <x:c r="D1279" s="1" t="str">
        <x:v>2810 S 20th St</x:v>
      </x:c>
      <x:c r="E1279" s="1" t="str">
        <x:v>Philadelphia</x:v>
      </x:c>
      <x:c r="F1279" s="1" t="str">
        <x:v>PA</x:v>
      </x:c>
      <x:c r="G1279" s="1" t="str">
        <x:v>19145</x:v>
      </x:c>
      <x:c r="H1279" s="1" t="n">
        <x:v>39.916447</x:v>
      </x:c>
      <x:c r="I1279" s="1" t="n">
        <x:v>-75.184166</x:v>
      </x:c>
      <x:c r="J1279" s="1" t="str">
        <x:v>USDA SNAP retailer list</x:v>
      </x:c>
      <x:c r="K1279" s="1" t="str">
        <x:v>2026-10-09</x:v>
      </x:c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  <x:c r="AA1279" s="1"/>
      <x:c r="AB1279" s="1"/>
      <x:c r="AC1279" s="1"/>
      <x:c r="AD1279" s="1"/>
      <x:c r="AE1279" s="1"/>
      <x:c r="AF1279" s="1"/>
      <x:c r="AG1279" s="1"/>
      <x:c r="AH1279" s="1"/>
      <x:c r="AI1279" s="1"/>
      <x:c r="AJ1279" s="1"/>
      <x:c r="AK1279" s="1"/>
      <x:c r="AL1279" s="1"/>
      <x:c r="AM1279" s="1"/>
      <x:c r="AN1279" s="1"/>
    </x:row>
    <x:row r="1280" ht="22" customHeight="1">
      <x:c r="A1280" s="1" t="str">
        <x:v>1472828</x:v>
      </x:c>
      <x:c r="B1280" s="1" t="str">
        <x:v>ALDI 60177</x:v>
      </x:c>
      <x:c r="C1280" s="1" t="str">
        <x:v>Supermarket</x:v>
      </x:c>
      <x:c r="D1280" s="1" t="str">
        <x:v>104 Alan Wood Rd</x:v>
      </x:c>
      <x:c r="E1280" s="1" t="str">
        <x:v>Conshohocken</x:v>
      </x:c>
      <x:c r="F1280" s="1" t="str">
        <x:v>PA</x:v>
      </x:c>
      <x:c r="G1280" s="1" t="str">
        <x:v>19428</x:v>
      </x:c>
      <x:c r="H1280" s="1" t="n">
        <x:v>40.098518</x:v>
      </x:c>
      <x:c r="I1280" s="1" t="n">
        <x:v>-75.302109</x:v>
      </x:c>
      <x:c r="J1280" s="1" t="str">
        <x:v>USDA SNAP retailer list</x:v>
      </x:c>
      <x:c r="K1280" s="1" t="str">
        <x:v>2026-10-09</x:v>
      </x:c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  <x:c r="AA1280" s="1"/>
      <x:c r="AB1280" s="1"/>
      <x:c r="AC1280" s="1"/>
      <x:c r="AD1280" s="1"/>
      <x:c r="AE1280" s="1"/>
      <x:c r="AF1280" s="1"/>
      <x:c r="AG1280" s="1"/>
      <x:c r="AH1280" s="1"/>
      <x:c r="AI1280" s="1"/>
      <x:c r="AJ1280" s="1"/>
      <x:c r="AK1280" s="1"/>
      <x:c r="AL1280" s="1"/>
      <x:c r="AM1280" s="1"/>
      <x:c r="AN1280" s="1"/>
    </x:row>
    <x:row r="1281" ht="22" customHeight="1">
      <x:c r="A1281" s="1" t="str">
        <x:v>1496799</x:v>
      </x:c>
      <x:c r="B1281" s="1" t="str">
        <x:v>Riverwards Produce</x:v>
      </x:c>
      <x:c r="C1281" s="1" t="str">
        <x:v>Supermarket</x:v>
      </x:c>
      <x:c r="D1281" s="1" t="str">
        <x:v>146 N Bread St</x:v>
      </x:c>
      <x:c r="E1281" s="1" t="str">
        <x:v>Philadelphia</x:v>
      </x:c>
      <x:c r="F1281" s="1" t="str">
        <x:v>PA</x:v>
      </x:c>
      <x:c r="G1281" s="1" t="str">
        <x:v>19106</x:v>
      </x:c>
      <x:c r="H1281" s="1" t="n">
        <x:v>39.953548</x:v>
      </x:c>
      <x:c r="I1281" s="1" t="n">
        <x:v>-75.144119</x:v>
      </x:c>
      <x:c r="J1281" s="1" t="str">
        <x:v>USDA SNAP retailer list</x:v>
      </x:c>
      <x:c r="K1281" s="1" t="str">
        <x:v>2026-10-09</x:v>
      </x:c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  <x:c r="AA1281" s="1"/>
      <x:c r="AB1281" s="1"/>
      <x:c r="AC1281" s="1"/>
      <x:c r="AD1281" s="1"/>
      <x:c r="AE1281" s="1"/>
      <x:c r="AF1281" s="1"/>
      <x:c r="AG1281" s="1"/>
      <x:c r="AH1281" s="1"/>
      <x:c r="AI1281" s="1"/>
      <x:c r="AJ1281" s="1"/>
      <x:c r="AK1281" s="1"/>
      <x:c r="AL1281" s="1"/>
      <x:c r="AM1281" s="1"/>
      <x:c r="AN1281" s="1"/>
    </x:row>
    <x:row r="1282" ht="22" customHeight="1">
      <x:c r="A1282" s="1" t="str">
        <x:v>1673063</x:v>
      </x:c>
      <x:c r="B1282" s="1" t="str">
        <x:v>Giant Food Store 6427</x:v>
      </x:c>
      <x:c r="C1282" s="1" t="str">
        <x:v>Supermarket</x:v>
      </x:c>
      <x:c r="D1282" s="1" t="str">
        <x:v>315 N York Rd</x:v>
      </x:c>
      <x:c r="E1282" s="1" t="str">
        <x:v>Willow Grove</x:v>
      </x:c>
      <x:c r="F1282" s="1" t="str">
        <x:v>PA</x:v>
      </x:c>
      <x:c r="G1282" s="1" t="str">
        <x:v>19090</x:v>
      </x:c>
      <x:c r="H1282" s="1" t="n">
        <x:v>40.146954</x:v>
      </x:c>
      <x:c r="I1282" s="1" t="n">
        <x:v>-75.114693</x:v>
      </x:c>
      <x:c r="J1282" s="1" t="str">
        <x:v>USDA SNAP retailer list</x:v>
      </x:c>
      <x:c r="K1282" s="1" t="str">
        <x:v>2026-10-09</x:v>
      </x:c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  <x:c r="AA1282" s="1"/>
      <x:c r="AB1282" s="1"/>
      <x:c r="AC1282" s="1"/>
      <x:c r="AD1282" s="1"/>
      <x:c r="AE1282" s="1"/>
      <x:c r="AF1282" s="1"/>
      <x:c r="AG1282" s="1"/>
      <x:c r="AH1282" s="1"/>
      <x:c r="AI1282" s="1"/>
      <x:c r="AJ1282" s="1"/>
      <x:c r="AK1282" s="1"/>
      <x:c r="AL1282" s="1"/>
      <x:c r="AM1282" s="1"/>
      <x:c r="AN1282" s="1"/>
    </x:row>
    <x:row r="1283" ht="22" customHeight="1">
      <x:c r="A1283" s="1" t="str">
        <x:v>1509327</x:v>
      </x:c>
      <x:c r="B1283" s="1" t="str">
        <x:v>ACME</x:v>
      </x:c>
      <x:c r="C1283" s="1" t="str">
        <x:v>Supermarket</x:v>
      </x:c>
      <x:c r="D1283" s="1" t="str">
        <x:v>5300 Baltimore Pike</x:v>
      </x:c>
      <x:c r="E1283" s="1" t="str">
        <x:v>Clifton Heights</x:v>
      </x:c>
      <x:c r="F1283" s="1" t="str">
        <x:v>PA</x:v>
      </x:c>
      <x:c r="G1283" s="1" t="str">
        <x:v>19018</x:v>
      </x:c>
      <x:c r="H1283" s="1" t="n">
        <x:v>39.925117</x:v>
      </x:c>
      <x:c r="I1283" s="1" t="n">
        <x:v>-75.309525</x:v>
      </x:c>
      <x:c r="J1283" s="1" t="str">
        <x:v>USDA SNAP retailer list</x:v>
      </x:c>
      <x:c r="K1283" s="1" t="str">
        <x:v>2026-10-09</x:v>
      </x:c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  <x:c r="AA1283" s="1"/>
      <x:c r="AB1283" s="1"/>
      <x:c r="AC1283" s="1"/>
      <x:c r="AD1283" s="1"/>
      <x:c r="AE1283" s="1"/>
      <x:c r="AF1283" s="1"/>
      <x:c r="AG1283" s="1"/>
      <x:c r="AH1283" s="1"/>
      <x:c r="AI1283" s="1"/>
      <x:c r="AJ1283" s="1"/>
      <x:c r="AK1283" s="1"/>
      <x:c r="AL1283" s="1"/>
      <x:c r="AM1283" s="1"/>
      <x:c r="AN1283" s="1"/>
    </x:row>
    <x:row r="1284" ht="22" customHeight="1">
      <x:c r="A1284" s="1" t="str">
        <x:v>1663029</x:v>
      </x:c>
      <x:c r="B1284" s="1" t="str">
        <x:v>Shoprite of Cheltenham 426</x:v>
      </x:c>
      <x:c r="C1284" s="1" t="str">
        <x:v>Super Store</x:v>
      </x:c>
      <x:c r="D1284" s="1" t="str">
        <x:v>2471 W Cheltenham Ave</x:v>
      </x:c>
      <x:c r="E1284" s="1" t="str">
        <x:v>Wyncote</x:v>
      </x:c>
      <x:c r="F1284" s="1" t="str">
        <x:v>PA</x:v>
      </x:c>
      <x:c r="G1284" s="1" t="str">
        <x:v>19095</x:v>
      </x:c>
      <x:c r="H1284" s="1" t="n">
        <x:v>40.075386</x:v>
      </x:c>
      <x:c r="I1284" s="1" t="n">
        <x:v>-75.156906</x:v>
      </x:c>
      <x:c r="J1284" s="1" t="str">
        <x:v>USDA SNAP retailer list</x:v>
      </x:c>
      <x:c r="K1284" s="1" t="str">
        <x:v>2026-10-09</x:v>
      </x:c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  <x:c r="AA1284" s="1"/>
      <x:c r="AB1284" s="1"/>
      <x:c r="AC1284" s="1"/>
      <x:c r="AD1284" s="1"/>
      <x:c r="AE1284" s="1"/>
      <x:c r="AF1284" s="1"/>
      <x:c r="AG1284" s="1"/>
      <x:c r="AH1284" s="1"/>
      <x:c r="AI1284" s="1"/>
      <x:c r="AJ1284" s="1"/>
      <x:c r="AK1284" s="1"/>
      <x:c r="AL1284" s="1"/>
      <x:c r="AM1284" s="1"/>
      <x:c r="AN1284" s="1"/>
    </x:row>
    <x:row r="1285" ht="22" customHeight="1">
      <x:c r="A1285" s="1" t="str">
        <x:v>1544244</x:v>
      </x:c>
      <x:c r="B1285" s="1" t="str">
        <x:v>LIDL 1203</x:v>
      </x:c>
      <x:c r="C1285" s="1" t="str">
        <x:v>Super Store</x:v>
      </x:c>
      <x:c r="D1285" s="1" t="str">
        <x:v>420 MacDade Blvd</x:v>
      </x:c>
      <x:c r="E1285" s="1" t="str">
        <x:v>Folsom</x:v>
      </x:c>
      <x:c r="F1285" s="1" t="str">
        <x:v>PA</x:v>
      </x:c>
      <x:c r="G1285" s="1" t="str">
        <x:v>19033</x:v>
      </x:c>
      <x:c r="H1285" s="1" t="n">
        <x:v>39.888172</x:v>
      </x:c>
      <x:c r="I1285" s="1" t="n">
        <x:v>-75.325951</x:v>
      </x:c>
      <x:c r="J1285" s="1" t="str">
        <x:v>USDA SNAP retailer list</x:v>
      </x:c>
      <x:c r="K1285" s="1" t="str">
        <x:v>2026-10-09</x:v>
      </x:c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  <x:c r="AA1285" s="1"/>
      <x:c r="AB1285" s="1"/>
      <x:c r="AC1285" s="1"/>
      <x:c r="AD1285" s="1"/>
      <x:c r="AE1285" s="1"/>
      <x:c r="AF1285" s="1"/>
      <x:c r="AG1285" s="1"/>
      <x:c r="AH1285" s="1"/>
      <x:c r="AI1285" s="1"/>
      <x:c r="AJ1285" s="1"/>
      <x:c r="AK1285" s="1"/>
      <x:c r="AL1285" s="1"/>
      <x:c r="AM1285" s="1"/>
      <x:c r="AN1285" s="1"/>
    </x:row>
    <x:row r="1286" ht="22" customHeight="1">
      <x:c r="A1286" s="1" t="str">
        <x:v>1544245</x:v>
      </x:c>
      <x:c r="B1286" s="1" t="str">
        <x:v>Sam's Club 6332</x:v>
      </x:c>
      <x:c r="C1286" s="1" t="str">
        <x:v>Super Store</x:v>
      </x:c>
      <x:c r="D1286" s="1" t="str">
        <x:v>1000 Franklin Mills Cir</x:v>
      </x:c>
      <x:c r="E1286" s="1" t="str">
        <x:v>Philadelphia</x:v>
      </x:c>
      <x:c r="F1286" s="1" t="str">
        <x:v>PA</x:v>
      </x:c>
      <x:c r="G1286" s="1" t="str">
        <x:v>19154</x:v>
      </x:c>
      <x:c r="H1286" s="1" t="n">
        <x:v>40.092934</x:v>
      </x:c>
      <x:c r="I1286" s="1" t="n">
        <x:v>-74.958626</x:v>
      </x:c>
      <x:c r="J1286" s="1" t="str">
        <x:v>USDA SNAP retailer list</x:v>
      </x:c>
      <x:c r="K1286" s="1" t="str">
        <x:v>2026-10-09</x:v>
      </x:c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  <x:c r="AA1286" s="1"/>
      <x:c r="AB1286" s="1"/>
      <x:c r="AC1286" s="1"/>
      <x:c r="AD1286" s="1"/>
      <x:c r="AE1286" s="1"/>
      <x:c r="AF1286" s="1"/>
      <x:c r="AG1286" s="1"/>
      <x:c r="AH1286" s="1"/>
      <x:c r="AI1286" s="1"/>
      <x:c r="AJ1286" s="1"/>
      <x:c r="AK1286" s="1"/>
      <x:c r="AL1286" s="1"/>
      <x:c r="AM1286" s="1"/>
      <x:c r="AN1286" s="1"/>
    </x:row>
    <x:row r="1287" ht="22" customHeight="1">
      <x:c r="A1287" s="1" t="str">
        <x:v>1673002</x:v>
      </x:c>
      <x:c r="B1287" s="1" t="str">
        <x:v>Walmart 4687</x:v>
      </x:c>
      <x:c r="C1287" s="1" t="str">
        <x:v>Super Store</x:v>
      </x:c>
      <x:c r="D1287" s="1" t="str">
        <x:v>275 N Gulph Rd</x:v>
      </x:c>
      <x:c r="E1287" s="1" t="str">
        <x:v>King of Prussia</x:v>
      </x:c>
      <x:c r="F1287" s="1" t="str">
        <x:v>PA</x:v>
      </x:c>
      <x:c r="G1287" s="1" t="str">
        <x:v>19406</x:v>
      </x:c>
      <x:c r="H1287" s="1" t="n">
        <x:v>40.083927</x:v>
      </x:c>
      <x:c r="I1287" s="1" t="n">
        <x:v>-75.398827</x:v>
      </x:c>
      <x:c r="J1287" s="1" t="str">
        <x:v>USDA SNAP retailer list</x:v>
      </x:c>
      <x:c r="K1287" s="1" t="str">
        <x:v>2026-10-09</x:v>
      </x:c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  <x:c r="AA1287" s="1"/>
      <x:c r="AB1287" s="1"/>
      <x:c r="AC1287" s="1"/>
      <x:c r="AD1287" s="1"/>
      <x:c r="AE1287" s="1"/>
      <x:c r="AF1287" s="1"/>
      <x:c r="AG1287" s="1"/>
      <x:c r="AH1287" s="1"/>
      <x:c r="AI1287" s="1"/>
      <x:c r="AJ1287" s="1"/>
      <x:c r="AK1287" s="1"/>
      <x:c r="AL1287" s="1"/>
      <x:c r="AM1287" s="1"/>
      <x:c r="AN1287" s="1"/>
    </x:row>
    <x:row r="1288" ht="22" customHeight="1">
      <x:c r="A1288" s="1" t="str">
        <x:v>1686557</x:v>
      </x:c>
      <x:c r="B1288" s="1" t="str">
        <x:v>Asr Food Market</x:v>
      </x:c>
      <x:c r="C1288" s="1" t="str">
        <x:v>Super Store</x:v>
      </x:c>
      <x:c r="D1288" s="1" t="str">
        <x:v>15501 Bustleton Ave</x:v>
      </x:c>
      <x:c r="E1288" s="1" t="str">
        <x:v>Philadelphia</x:v>
      </x:c>
      <x:c r="F1288" s="1" t="str">
        <x:v>PA</x:v>
      </x:c>
      <x:c r="G1288" s="1" t="str">
        <x:v>19116</x:v>
      </x:c>
      <x:c r="H1288" s="1" t="n">
        <x:v>40.132984</x:v>
      </x:c>
      <x:c r="I1288" s="1" t="n">
        <x:v>-75.009468</x:v>
      </x:c>
      <x:c r="J1288" s="1" t="str">
        <x:v>USDA SNAP retailer list</x:v>
      </x:c>
      <x:c r="K1288" s="1" t="str">
        <x:v>2026-10-09</x:v>
      </x:c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  <x:c r="AA1288" s="1"/>
      <x:c r="AB1288" s="1"/>
      <x:c r="AC1288" s="1"/>
      <x:c r="AD1288" s="1"/>
      <x:c r="AE1288" s="1"/>
      <x:c r="AF1288" s="1"/>
      <x:c r="AG1288" s="1"/>
      <x:c r="AH1288" s="1"/>
      <x:c r="AI1288" s="1"/>
      <x:c r="AJ1288" s="1"/>
      <x:c r="AK1288" s="1"/>
      <x:c r="AL1288" s="1"/>
      <x:c r="AM1288" s="1"/>
      <x:c r="AN1288" s="1"/>
    </x:row>
    <x:row r="1289" ht="22" customHeight="1">
      <x:c r="A1289" s="1" t="str">
        <x:v>1551026</x:v>
      </x:c>
      <x:c r="B1289" s="1" t="str">
        <x:v>Save A Lot 21637</x:v>
      </x:c>
      <x:c r="C1289" s="1" t="str">
        <x:v>Supermarket</x:v>
      </x:c>
      <x:c r="D1289" s="1" t="str">
        <x:v>545 W Broad St</x:v>
      </x:c>
      <x:c r="E1289" s="1" t="str">
        <x:v>Paulsboro</x:v>
      </x:c>
      <x:c r="F1289" s="1" t="str">
        <x:v>NJ</x:v>
      </x:c>
      <x:c r="G1289" s="1" t="str">
        <x:v>08066</x:v>
      </x:c>
      <x:c r="H1289" s="1" t="n">
        <x:v>39.827408</x:v>
      </x:c>
      <x:c r="I1289" s="1" t="n">
        <x:v>-75.252792</x:v>
      </x:c>
      <x:c r="J1289" s="1" t="str">
        <x:v>USDA SNAP retailer list</x:v>
      </x:c>
      <x:c r="K1289" s="1" t="str">
        <x:v>2026-10-09</x:v>
      </x:c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  <x:c r="AA1289" s="1"/>
      <x:c r="AB1289" s="1"/>
      <x:c r="AC1289" s="1"/>
      <x:c r="AD1289" s="1"/>
      <x:c r="AE1289" s="1"/>
      <x:c r="AF1289" s="1"/>
      <x:c r="AG1289" s="1"/>
      <x:c r="AH1289" s="1"/>
      <x:c r="AI1289" s="1"/>
      <x:c r="AJ1289" s="1"/>
      <x:c r="AK1289" s="1"/>
      <x:c r="AL1289" s="1"/>
      <x:c r="AM1289" s="1"/>
      <x:c r="AN1289" s="1"/>
    </x:row>
    <x:row r="1290" ht="22" customHeight="1">
      <x:c r="A1290" s="1" t="str">
        <x:v>1672967</x:v>
      </x:c>
      <x:c r="B1290" s="1" t="str">
        <x:v>Giant Food Store 6573</x:v>
      </x:c>
      <x:c r="C1290" s="1" t="str">
        <x:v>Supermarket</x:v>
      </x:c>
      <x:c r="D1290" s="1" t="str">
        <x:v>510 N Broad St</x:v>
      </x:c>
      <x:c r="E1290" s="1" t="str">
        <x:v>Philadelphia</x:v>
      </x:c>
      <x:c r="F1290" s="1" t="str">
        <x:v>PA</x:v>
      </x:c>
      <x:c r="G1290" s="1" t="str">
        <x:v>19130</x:v>
      </x:c>
      <x:c r="H1290" s="1" t="n">
        <x:v>39.962971</x:v>
      </x:c>
      <x:c r="I1290" s="1" t="n">
        <x:v>-75.162224</x:v>
      </x:c>
      <x:c r="J1290" s="1" t="str">
        <x:v>USDA SNAP retailer list</x:v>
      </x:c>
      <x:c r="K1290" s="1" t="str">
        <x:v>2026-10-09</x:v>
      </x:c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  <x:c r="AA1290" s="1"/>
      <x:c r="AB1290" s="1"/>
      <x:c r="AC1290" s="1"/>
      <x:c r="AD1290" s="1"/>
      <x:c r="AE1290" s="1"/>
      <x:c r="AF1290" s="1"/>
      <x:c r="AG1290" s="1"/>
      <x:c r="AH1290" s="1"/>
      <x:c r="AI1290" s="1"/>
      <x:c r="AJ1290" s="1"/>
      <x:c r="AK1290" s="1"/>
      <x:c r="AL1290" s="1"/>
      <x:c r="AM1290" s="1"/>
      <x:c r="AN1290" s="1"/>
    </x:row>
    <x:row r="1291" ht="22" customHeight="1">
      <x:c r="A1291" s="1" t="str">
        <x:v>1549061</x:v>
      </x:c>
      <x:c r="B1291" s="1" t="str">
        <x:v>ALDI 60191</x:v>
      </x:c>
      <x:c r="C1291" s="1" t="str">
        <x:v>Supermarket</x:v>
      </x:c>
      <x:c r="D1291" s="1" t="str">
        <x:v>12002 Roosevelt Blvd</x:v>
      </x:c>
      <x:c r="E1291" s="1" t="str">
        <x:v>Philadelphia</x:v>
      </x:c>
      <x:c r="F1291" s="1" t="str">
        <x:v>PA</x:v>
      </x:c>
      <x:c r="G1291" s="1" t="str">
        <x:v>19116</x:v>
      </x:c>
      <x:c r="H1291" s="1" t="n">
        <x:v>40.106979</x:v>
      </x:c>
      <x:c r="I1291" s="1" t="n">
        <x:v>-75.001823</x:v>
      </x:c>
      <x:c r="J1291" s="1" t="str">
        <x:v>USDA SNAP retailer list</x:v>
      </x:c>
      <x:c r="K1291" s="1" t="str">
        <x:v>2026-10-09</x:v>
      </x:c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  <x:c r="AA1291" s="1"/>
      <x:c r="AB1291" s="1"/>
      <x:c r="AC1291" s="1"/>
      <x:c r="AD1291" s="1"/>
      <x:c r="AE1291" s="1"/>
      <x:c r="AF1291" s="1"/>
      <x:c r="AG1291" s="1"/>
      <x:c r="AH1291" s="1"/>
      <x:c r="AI1291" s="1"/>
      <x:c r="AJ1291" s="1"/>
      <x:c r="AK1291" s="1"/>
      <x:c r="AL1291" s="1"/>
      <x:c r="AM1291" s="1"/>
      <x:c r="AN1291" s="1"/>
    </x:row>
    <x:row r="1292" ht="22" customHeight="1">
      <x:c r="A1292" s="1" t="str">
        <x:v>1658621</x:v>
      </x:c>
      <x:c r="B1292" s="1" t="str">
        <x:v>Grocery Outlet Of West Oregon Ave 0730</x:v>
      </x:c>
      <x:c r="C1292" s="1" t="str">
        <x:v>Supermarket</x:v>
      </x:c>
      <x:c r="D1292" s="1" t="str">
        <x:v>2017 W Oregon Ave</x:v>
      </x:c>
      <x:c r="E1292" s="1" t="str">
        <x:v>Philadelphia</x:v>
      </x:c>
      <x:c r="F1292" s="1" t="str">
        <x:v>PA</x:v>
      </x:c>
      <x:c r="G1292" s="1" t="str">
        <x:v>19145</x:v>
      </x:c>
      <x:c r="H1292" s="1" t="n">
        <x:v>39.91819</x:v>
      </x:c>
      <x:c r="I1292" s="1" t="n">
        <x:v>-75.181152</x:v>
      </x:c>
      <x:c r="J1292" s="1" t="str">
        <x:v>USDA SNAP retailer list</x:v>
      </x:c>
      <x:c r="K1292" s="1" t="str">
        <x:v>2026-10-09</x:v>
      </x:c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  <x:c r="AA1292" s="1"/>
      <x:c r="AB1292" s="1"/>
      <x:c r="AC1292" s="1"/>
      <x:c r="AD1292" s="1"/>
      <x:c r="AE1292" s="1"/>
      <x:c r="AF1292" s="1"/>
      <x:c r="AG1292" s="1"/>
      <x:c r="AH1292" s="1"/>
      <x:c r="AI1292" s="1"/>
      <x:c r="AJ1292" s="1"/>
      <x:c r="AK1292" s="1"/>
      <x:c r="AL1292" s="1"/>
      <x:c r="AM1292" s="1"/>
      <x:c r="AN1292" s="1"/>
    </x:row>
    <x:row r="1293" ht="22" customHeight="1">
      <x:c r="A1293" s="1" t="str">
        <x:v>1549007</x:v>
      </x:c>
      <x:c r="B1293" s="1" t="str">
        <x:v>Giant Food Store 6522</x:v>
      </x:c>
      <x:c r="C1293" s="1" t="str">
        <x:v>Supermarket</x:v>
      </x:c>
      <x:c r="D1293" s="1" t="str">
        <x:v>1874 Bethlehem Pike</x:v>
      </x:c>
      <x:c r="E1293" s="1" t="str">
        <x:v>Flourtown</x:v>
      </x:c>
      <x:c r="F1293" s="1" t="str">
        <x:v>PA</x:v>
      </x:c>
      <x:c r="G1293" s="1" t="str">
        <x:v>19031</x:v>
      </x:c>
      <x:c r="H1293" s="1" t="n">
        <x:v>40.111729</x:v>
      </x:c>
      <x:c r="I1293" s="1" t="n">
        <x:v>-75.210747</x:v>
      </x:c>
      <x:c r="J1293" s="1" t="str">
        <x:v>USDA SNAP retailer list</x:v>
      </x:c>
      <x:c r="K1293" s="1" t="str">
        <x:v>2026-10-09</x:v>
      </x:c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  <x:c r="AA1293" s="1"/>
      <x:c r="AB1293" s="1"/>
      <x:c r="AC1293" s="1"/>
      <x:c r="AD1293" s="1"/>
      <x:c r="AE1293" s="1"/>
      <x:c r="AF1293" s="1"/>
      <x:c r="AG1293" s="1"/>
      <x:c r="AH1293" s="1"/>
      <x:c r="AI1293" s="1"/>
      <x:c r="AJ1293" s="1"/>
      <x:c r="AK1293" s="1"/>
      <x:c r="AL1293" s="1"/>
      <x:c r="AM1293" s="1"/>
      <x:c r="AN1293" s="1"/>
    </x:row>
    <x:row r="1294" ht="22" customHeight="1">
      <x:c r="A1294" s="1" t="str">
        <x:v>841127</x:v>
      </x:c>
      <x:c r="B1294" s="1" t="str">
        <x:v>Sun Seng Supermarket</x:v>
      </x:c>
      <x:c r="C1294" s="1" t="str">
        <x:v>Super Store</x:v>
      </x:c>
      <x:c r="D1294" s="1" t="str">
        <x:v>5201 Route 38</x:v>
      </x:c>
      <x:c r="E1294" s="1" t="str">
        <x:v>Merchantville</x:v>
      </x:c>
      <x:c r="F1294" s="1" t="str">
        <x:v>NJ</x:v>
      </x:c>
      <x:c r="G1294" s="1" t="str">
        <x:v>08109</x:v>
      </x:c>
      <x:c r="H1294" s="1" t="n">
        <x:v>39.935429</x:v>
      </x:c>
      <x:c r="I1294" s="1" t="n">
        <x:v>-75.065788</x:v>
      </x:c>
      <x:c r="J1294" s="1" t="str">
        <x:v>USDA SNAP retailer list</x:v>
      </x:c>
      <x:c r="K1294" s="1" t="str">
        <x:v>2026-10-09</x:v>
      </x:c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  <x:c r="AA1294" s="1"/>
      <x:c r="AB1294" s="1"/>
      <x:c r="AC1294" s="1"/>
      <x:c r="AD1294" s="1"/>
      <x:c r="AE1294" s="1"/>
      <x:c r="AF1294" s="1"/>
      <x:c r="AG1294" s="1"/>
      <x:c r="AH1294" s="1"/>
      <x:c r="AI1294" s="1"/>
      <x:c r="AJ1294" s="1"/>
      <x:c r="AK1294" s="1"/>
      <x:c r="AL1294" s="1"/>
      <x:c r="AM1294" s="1"/>
      <x:c r="AN1294" s="1"/>
    </x:row>
    <x:row r="1295" ht="22" customHeight="1">
      <x:c r="A1295" s="1" t="str">
        <x:v>1550023</x:v>
      </x:c>
      <x:c r="B1295" s="1" t="str">
        <x:v>Mccaffreys Market Gladwyne 1621</x:v>
      </x:c>
      <x:c r="C1295" s="1" t="str">
        <x:v>Super Store</x:v>
      </x:c>
      <x:c r="D1295" s="1" t="str">
        <x:v>1025 Youngs Ford Rd</x:v>
      </x:c>
      <x:c r="E1295" s="1" t="str">
        <x:v>Gladwyne</x:v>
      </x:c>
      <x:c r="F1295" s="1" t="str">
        <x:v>PA</x:v>
      </x:c>
      <x:c r="G1295" s="1" t="str">
        <x:v>19035</x:v>
      </x:c>
      <x:c r="H1295" s="1" t="n">
        <x:v>40.037907</x:v>
      </x:c>
      <x:c r="I1295" s="1" t="n">
        <x:v>-75.279388</x:v>
      </x:c>
      <x:c r="J1295" s="1" t="str">
        <x:v>USDA SNAP retailer list</x:v>
      </x:c>
      <x:c r="K1295" s="1" t="str">
        <x:v>2026-10-09</x:v>
      </x:c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  <x:c r="AA1295" s="1"/>
      <x:c r="AB1295" s="1"/>
      <x:c r="AC1295" s="1"/>
      <x:c r="AD1295" s="1"/>
      <x:c r="AE1295" s="1"/>
      <x:c r="AF1295" s="1"/>
      <x:c r="AG1295" s="1"/>
      <x:c r="AH1295" s="1"/>
      <x:c r="AI1295" s="1"/>
      <x:c r="AJ1295" s="1"/>
      <x:c r="AK1295" s="1"/>
      <x:c r="AL1295" s="1"/>
      <x:c r="AM1295" s="1"/>
      <x:c r="AN1295" s="1"/>
    </x:row>
    <x:row r="1296" ht="22" customHeight="1">
      <x:c r="A1296" s="1" t="str">
        <x:v>1230432</x:v>
      </x:c>
      <x:c r="B1296" s="1" t="str">
        <x:v>Shoprite Of Brookhaven 452</x:v>
      </x:c>
      <x:c r="C1296" s="1" t="str">
        <x:v>Super Store</x:v>
      </x:c>
      <x:c r="D1296" s="1" t="str">
        <x:v>5005 Edgmont Ave</x:v>
      </x:c>
      <x:c r="E1296" s="1" t="str">
        <x:v>Brookhaven</x:v>
      </x:c>
      <x:c r="F1296" s="1" t="str">
        <x:v>PA</x:v>
      </x:c>
      <x:c r="G1296" s="1" t="str">
        <x:v>19015</x:v>
      </x:c>
      <x:c r="H1296" s="1" t="n">
        <x:v>39.879017</x:v>
      </x:c>
      <x:c r="I1296" s="1" t="n">
        <x:v>-75.397415</x:v>
      </x:c>
      <x:c r="J1296" s="1" t="str">
        <x:v>USDA SNAP retailer list</x:v>
      </x:c>
      <x:c r="K1296" s="1" t="str">
        <x:v>2026-10-09</x:v>
      </x:c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  <x:c r="AA1296" s="1"/>
      <x:c r="AB1296" s="1"/>
      <x:c r="AC1296" s="1"/>
      <x:c r="AD1296" s="1"/>
      <x:c r="AE1296" s="1"/>
      <x:c r="AF1296" s="1"/>
      <x:c r="AG1296" s="1"/>
      <x:c r="AH1296" s="1"/>
      <x:c r="AI1296" s="1"/>
      <x:c r="AJ1296" s="1"/>
      <x:c r="AK1296" s="1"/>
      <x:c r="AL1296" s="1"/>
      <x:c r="AM1296" s="1"/>
      <x:c r="AN1296" s="1"/>
    </x:row>
    <x:row r="1297" ht="22" customHeight="1">
      <x:c r="A1297" s="1" t="str">
        <x:v>1474863</x:v>
      </x:c>
      <x:c r="B1297" s="1" t="str">
        <x:v>Target Store T3389</x:v>
      </x:c>
      <x:c r="C1297" s="1" t="str">
        <x:v>Super Store</x:v>
      </x:c>
      <x:c r="D1297" s="1" t="str">
        <x:v>250 E Lancaster Ave</x:v>
      </x:c>
      <x:c r="E1297" s="1" t="str">
        <x:v>Wynnewood</x:v>
      </x:c>
      <x:c r="F1297" s="1" t="str">
        <x:v>PA</x:v>
      </x:c>
      <x:c r="G1297" s="1" t="str">
        <x:v>19096</x:v>
      </x:c>
      <x:c r="H1297" s="1" t="n">
        <x:v>40.004108</x:v>
      </x:c>
      <x:c r="I1297" s="1" t="n">
        <x:v>-75.283554</x:v>
      </x:c>
      <x:c r="J1297" s="1" t="str">
        <x:v>USDA SNAP retailer list</x:v>
      </x:c>
      <x:c r="K1297" s="1" t="str">
        <x:v>2026-10-09</x:v>
      </x:c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  <x:c r="AA1297" s="1"/>
      <x:c r="AB1297" s="1"/>
      <x:c r="AC1297" s="1"/>
      <x:c r="AD1297" s="1"/>
      <x:c r="AE1297" s="1"/>
      <x:c r="AF1297" s="1"/>
      <x:c r="AG1297" s="1"/>
      <x:c r="AH1297" s="1"/>
      <x:c r="AI1297" s="1"/>
      <x:c r="AJ1297" s="1"/>
      <x:c r="AK1297" s="1"/>
      <x:c r="AL1297" s="1"/>
      <x:c r="AM1297" s="1"/>
      <x:c r="AN1297" s="1"/>
    </x:row>
    <x:row r="1298" ht="22" customHeight="1">
      <x:c r="A1298" s="1" t="str">
        <x:v>1559115</x:v>
      </x:c>
      <x:c r="B1298" s="1" t="str">
        <x:v>Sprouts Farmers Market 946</x:v>
      </x:c>
      <x:c r="C1298" s="1" t="str">
        <x:v>Supermarket</x:v>
      </x:c>
      <x:c r="D1298" s="1" t="str">
        <x:v>640 W Cuthbert Blvd</x:v>
      </x:c>
      <x:c r="E1298" s="1" t="str">
        <x:v>Haddon Township</x:v>
      </x:c>
      <x:c r="F1298" s="1" t="str">
        <x:v>NJ</x:v>
      </x:c>
      <x:c r="G1298" s="1" t="str">
        <x:v>08108</x:v>
      </x:c>
      <x:c r="H1298" s="1" t="n">
        <x:v>39.902607</x:v>
      </x:c>
      <x:c r="I1298" s="1" t="n">
        <x:v>-75.063095</x:v>
      </x:c>
      <x:c r="J1298" s="1" t="str">
        <x:v>USDA SNAP retailer list</x:v>
      </x:c>
      <x:c r="K1298" s="1" t="str">
        <x:v>2026-10-09</x:v>
      </x:c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  <x:c r="AA1298" s="1"/>
      <x:c r="AB1298" s="1"/>
      <x:c r="AC1298" s="1"/>
      <x:c r="AD1298" s="1"/>
      <x:c r="AE1298" s="1"/>
      <x:c r="AF1298" s="1"/>
      <x:c r="AG1298" s="1"/>
      <x:c r="AH1298" s="1"/>
      <x:c r="AI1298" s="1"/>
      <x:c r="AJ1298" s="1"/>
      <x:c r="AK1298" s="1"/>
      <x:c r="AL1298" s="1"/>
      <x:c r="AM1298" s="1"/>
      <x:c r="AN1298" s="1"/>
    </x:row>
    <x:row r="1299" ht="22" customHeight="1">
      <x:c r="A1299" s="1" t="str">
        <x:v>1550384</x:v>
      </x:c>
      <x:c r="B1299" s="1" t="str">
        <x:v>Afor Market Philadelphia Llc</x:v>
      </x:c>
      <x:c r="C1299" s="1" t="str">
        <x:v>Supermarket</x:v>
      </x:c>
      <x:c r="D1299" s="1" t="str">
        <x:v>5228 Market St</x:v>
      </x:c>
      <x:c r="E1299" s="1" t="str">
        <x:v>Philadelphia</x:v>
      </x:c>
      <x:c r="F1299" s="1" t="str">
        <x:v>PA</x:v>
      </x:c>
      <x:c r="G1299" s="1" t="str">
        <x:v>19139</x:v>
      </x:c>
      <x:c r="H1299" s="1" t="n">
        <x:v>39.959728</x:v>
      </x:c>
      <x:c r="I1299" s="1" t="n">
        <x:v>-75.226051</x:v>
      </x:c>
      <x:c r="J1299" s="1" t="str">
        <x:v>USDA SNAP retailer list</x:v>
      </x:c>
      <x:c r="K1299" s="1" t="str">
        <x:v>2026-10-09</x:v>
      </x:c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  <x:c r="AA1299" s="1"/>
      <x:c r="AB1299" s="1"/>
      <x:c r="AC1299" s="1"/>
      <x:c r="AD1299" s="1"/>
      <x:c r="AE1299" s="1"/>
      <x:c r="AF1299" s="1"/>
      <x:c r="AG1299" s="1"/>
      <x:c r="AH1299" s="1"/>
      <x:c r="AI1299" s="1"/>
      <x:c r="AJ1299" s="1"/>
      <x:c r="AK1299" s="1"/>
      <x:c r="AL1299" s="1"/>
      <x:c r="AM1299" s="1"/>
      <x:c r="AN1299" s="1"/>
    </x:row>
    <x:row r="1300" ht="22" customHeight="1">
      <x:c r="A1300" s="1" t="str">
        <x:v>1687206</x:v>
      </x:c>
      <x:c r="B1300" s="1" t="str">
        <x:v>Pjp Marketplace</x:v>
      </x:c>
      <x:c r="C1300" s="1" t="str">
        <x:v>Super Store</x:v>
      </x:c>
      <x:c r="D1300" s="1" t="str">
        <x:v>3899 Aramingo Ave</x:v>
      </x:c>
      <x:c r="E1300" s="1" t="str">
        <x:v>Philadelphia</x:v>
      </x:c>
      <x:c r="F1300" s="1" t="str">
        <x:v>PA</x:v>
      </x:c>
      <x:c r="G1300" s="1" t="str">
        <x:v>19137</x:v>
      </x:c>
      <x:c r="H1300" s="1" t="n">
        <x:v>39.996746</x:v>
      </x:c>
      <x:c r="I1300" s="1" t="n">
        <x:v>-75.089905</x:v>
      </x:c>
      <x:c r="J1300" s="1" t="str">
        <x:v>USDA SNAP retailer list</x:v>
      </x:c>
      <x:c r="K1300" s="1" t="str">
        <x:v>2026-10-09</x:v>
      </x:c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  <x:c r="AA1300" s="1"/>
      <x:c r="AB1300" s="1"/>
      <x:c r="AC1300" s="1"/>
      <x:c r="AD1300" s="1"/>
      <x:c r="AE1300" s="1"/>
      <x:c r="AF1300" s="1"/>
      <x:c r="AG1300" s="1"/>
      <x:c r="AH1300" s="1"/>
      <x:c r="AI1300" s="1"/>
      <x:c r="AJ1300" s="1"/>
      <x:c r="AK1300" s="1"/>
      <x:c r="AL1300" s="1"/>
      <x:c r="AM1300" s="1"/>
      <x:c r="AN1300" s="1"/>
    </x:row>
    <x:row r="1301" ht="22" customHeight="1">
      <x:c r="A1301" s="1" t="str">
        <x:v>1551623</x:v>
      </x:c>
      <x:c r="B1301" s="1" t="str">
        <x:v>Grocery Outlet Of Woodhaven 750</x:v>
      </x:c>
      <x:c r="C1301" s="1" t="str">
        <x:v>Supermarket</x:v>
      </x:c>
      <x:c r="D1301" s="1" t="str">
        <x:v>4016 Woodhaven Rd</x:v>
      </x:c>
      <x:c r="E1301" s="1" t="str">
        <x:v>Philadelphia</x:v>
      </x:c>
      <x:c r="F1301" s="1" t="str">
        <x:v>PA</x:v>
      </x:c>
      <x:c r="G1301" s="1" t="str">
        <x:v>19154</x:v>
      </x:c>
      <x:c r="H1301" s="1" t="n">
        <x:v>40.085613</x:v>
      </x:c>
      <x:c r="I1301" s="1" t="n">
        <x:v>-74.970482</x:v>
      </x:c>
      <x:c r="J1301" s="1" t="str">
        <x:v>USDA SNAP retailer list</x:v>
      </x:c>
      <x:c r="K1301" s="1" t="str">
        <x:v>2026-10-09</x:v>
      </x:c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  <x:c r="AA1301" s="1"/>
      <x:c r="AB1301" s="1"/>
      <x:c r="AC1301" s="1"/>
      <x:c r="AD1301" s="1"/>
      <x:c r="AE1301" s="1"/>
      <x:c r="AF1301" s="1"/>
      <x:c r="AG1301" s="1"/>
      <x:c r="AH1301" s="1"/>
      <x:c r="AI1301" s="1"/>
      <x:c r="AJ1301" s="1"/>
      <x:c r="AK1301" s="1"/>
      <x:c r="AL1301" s="1"/>
      <x:c r="AM1301" s="1"/>
      <x:c r="AN1301" s="1"/>
    </x:row>
    <x:row r="1302" ht="22" customHeight="1">
      <x:c r="A1302" s="1" t="str">
        <x:v>1673279</x:v>
      </x:c>
      <x:c r="B1302" s="1" t="str">
        <x:v>ShopRite of Mt Laurel 594</x:v>
      </x:c>
      <x:c r="C1302" s="1" t="str">
        <x:v>Super Store</x:v>
      </x:c>
      <x:c r="D1302" s="1" t="str">
        <x:v>1000 Nixon Dr</x:v>
      </x:c>
      <x:c r="E1302" s="1" t="str">
        <x:v>Mount Laurel</x:v>
      </x:c>
      <x:c r="F1302" s="1" t="str">
        <x:v>NJ</x:v>
      </x:c>
      <x:c r="G1302" s="1" t="str">
        <x:v>08054</x:v>
      </x:c>
      <x:c r="H1302" s="1" t="n">
        <x:v>39.937901</x:v>
      </x:c>
      <x:c r="I1302" s="1" t="n">
        <x:v>-74.9645</x:v>
      </x:c>
      <x:c r="J1302" s="1" t="str">
        <x:v>USDA SNAP retailer list</x:v>
      </x:c>
      <x:c r="K1302" s="1" t="str">
        <x:v>2026-10-09</x:v>
      </x:c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  <x:c r="AA1302" s="1"/>
      <x:c r="AB1302" s="1"/>
      <x:c r="AC1302" s="1"/>
      <x:c r="AD1302" s="1"/>
      <x:c r="AE1302" s="1"/>
      <x:c r="AF1302" s="1"/>
      <x:c r="AG1302" s="1"/>
      <x:c r="AH1302" s="1"/>
      <x:c r="AI1302" s="1"/>
      <x:c r="AJ1302" s="1"/>
      <x:c r="AK1302" s="1"/>
      <x:c r="AL1302" s="1"/>
      <x:c r="AM1302" s="1"/>
      <x:c r="AN1302" s="1"/>
    </x:row>
    <x:row r="1303" ht="22" customHeight="1">
      <x:c r="A1303" s="1" t="str">
        <x:v>1673268</x:v>
      </x:c>
      <x:c r="B1303" s="1" t="str">
        <x:v>Giant Food Store 6523</x:v>
      </x:c>
      <x:c r="C1303" s="1" t="str">
        <x:v>Supermarket</x:v>
      </x:c>
      <x:c r="D1303" s="1" t="str">
        <x:v>2180 W Chester Pike</x:v>
      </x:c>
      <x:c r="E1303" s="1" t="str">
        <x:v>Broomall</x:v>
      </x:c>
      <x:c r="F1303" s="1" t="str">
        <x:v>PA</x:v>
      </x:c>
      <x:c r="G1303" s="1" t="str">
        <x:v>19008</x:v>
      </x:c>
      <x:c r="H1303" s="1" t="n">
        <x:v>39.976402</x:v>
      </x:c>
      <x:c r="I1303" s="1" t="n">
        <x:v>-75.344658</x:v>
      </x:c>
      <x:c r="J1303" s="1" t="str">
        <x:v>USDA SNAP retailer list</x:v>
      </x:c>
      <x:c r="K1303" s="1" t="str">
        <x:v>2026-10-09</x:v>
      </x:c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  <x:c r="AA1303" s="1"/>
      <x:c r="AB1303" s="1"/>
      <x:c r="AC1303" s="1"/>
      <x:c r="AD1303" s="1"/>
      <x:c r="AE1303" s="1"/>
      <x:c r="AF1303" s="1"/>
      <x:c r="AG1303" s="1"/>
      <x:c r="AH1303" s="1"/>
      <x:c r="AI1303" s="1"/>
      <x:c r="AJ1303" s="1"/>
      <x:c r="AK1303" s="1"/>
      <x:c r="AL1303" s="1"/>
      <x:c r="AM1303" s="1"/>
      <x:c r="AN1303" s="1"/>
    </x:row>
    <x:row r="1304" ht="22" customHeight="1">
      <x:c r="A1304" s="1" t="str">
        <x:v>1690952</x:v>
      </x:c>
      <x:c r="B1304" s="1" t="str">
        <x:v>Redners Warehouse Market 76</x:v>
      </x:c>
      <x:c r="C1304" s="1" t="str">
        <x:v>Supermarket</x:v>
      </x:c>
      <x:c r="D1304" s="1" t="str">
        <x:v>2506 Knights Rd</x:v>
      </x:c>
      <x:c r="E1304" s="1" t="str">
        <x:v>Bensalem</x:v>
      </x:c>
      <x:c r="F1304" s="1" t="str">
        <x:v>PA</x:v>
      </x:c>
      <x:c r="G1304" s="1" t="str">
        <x:v>19020</x:v>
      </x:c>
      <x:c r="H1304" s="1" t="n">
        <x:v>40.101421</x:v>
      </x:c>
      <x:c r="I1304" s="1" t="n">
        <x:v>-74.957153</x:v>
      </x:c>
      <x:c r="J1304" s="1" t="str">
        <x:v>USDA SNAP retailer list</x:v>
      </x:c>
      <x:c r="K1304" s="1" t="str">
        <x:v>2026-10-09</x:v>
      </x:c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  <x:c r="AA1304" s="1"/>
      <x:c r="AB1304" s="1"/>
      <x:c r="AC1304" s="1"/>
      <x:c r="AD1304" s="1"/>
      <x:c r="AE1304" s="1"/>
      <x:c r="AF1304" s="1"/>
      <x:c r="AG1304" s="1"/>
      <x:c r="AH1304" s="1"/>
      <x:c r="AI1304" s="1"/>
      <x:c r="AJ1304" s="1"/>
      <x:c r="AK1304" s="1"/>
      <x:c r="AL1304" s="1"/>
      <x:c r="AM1304" s="1"/>
      <x:c r="AN1304" s="1"/>
    </x:row>
    <x:row r="1305" ht="22" customHeight="1">
      <x:c r="A1305" s="1" t="str">
        <x:v>874209</x:v>
      </x:c>
      <x:c r="B1305" s="1" t="str">
        <x:v>ShopRite of Cinnaminson 0518</x:v>
      </x:c>
      <x:c r="C1305" s="1" t="str">
        <x:v>Super Store</x:v>
      </x:c>
      <x:c r="D1305" s="1" t="str">
        <x:v>141 Route 130 S</x:v>
      </x:c>
      <x:c r="E1305" s="1" t="str">
        <x:v>Cinnaminson</x:v>
      </x:c>
      <x:c r="F1305" s="1" t="str">
        <x:v>NJ</x:v>
      </x:c>
      <x:c r="G1305" s="1" t="str">
        <x:v>08077</x:v>
      </x:c>
      <x:c r="H1305" s="1" t="n">
        <x:v>39.98867</x:v>
      </x:c>
      <x:c r="I1305" s="1" t="n">
        <x:v>-75.008919</x:v>
      </x:c>
      <x:c r="J1305" s="1" t="str">
        <x:v>USDA SNAP retailer list</x:v>
      </x:c>
      <x:c r="K1305" s="1" t="str">
        <x:v>2026-10-09</x:v>
      </x:c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  <x:c r="AA1305" s="1"/>
      <x:c r="AB1305" s="1"/>
      <x:c r="AC1305" s="1"/>
      <x:c r="AD1305" s="1"/>
      <x:c r="AE1305" s="1"/>
      <x:c r="AF1305" s="1"/>
      <x:c r="AG1305" s="1"/>
      <x:c r="AH1305" s="1"/>
      <x:c r="AI1305" s="1"/>
      <x:c r="AJ1305" s="1"/>
      <x:c r="AK1305" s="1"/>
      <x:c r="AL1305" s="1"/>
      <x:c r="AM1305" s="1"/>
      <x:c r="AN1305" s="1"/>
    </x:row>
    <x:row r="1306" ht="22" customHeight="1">
      <x:c r="A1306" s="1" t="str">
        <x:v>898295</x:v>
      </x:c>
      <x:c r="B1306" s="1" t="str">
        <x:v>Target Store 1136</x:v>
      </x:c>
      <x:c r="C1306" s="1" t="str">
        <x:v>Super Store</x:v>
      </x:c>
      <x:c r="D1306" s="1" t="str">
        <x:v>857 Baltimore Pike</x:v>
      </x:c>
      <x:c r="E1306" s="1" t="str">
        <x:v>Springfield</x:v>
      </x:c>
      <x:c r="F1306" s="1" t="str">
        <x:v>PA</x:v>
      </x:c>
      <x:c r="G1306" s="1" t="str">
        <x:v>19064</x:v>
      </x:c>
      <x:c r="H1306" s="1" t="n">
        <x:v>39.916485</x:v>
      </x:c>
      <x:c r="I1306" s="1" t="n">
        <x:v>-75.334679</x:v>
      </x:c>
      <x:c r="J1306" s="1" t="str">
        <x:v>USDA SNAP retailer list</x:v>
      </x:c>
      <x:c r="K1306" s="1" t="str">
        <x:v>2026-10-09</x:v>
      </x:c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  <x:c r="AA1306" s="1"/>
      <x:c r="AB1306" s="1"/>
      <x:c r="AC1306" s="1"/>
      <x:c r="AD1306" s="1"/>
      <x:c r="AE1306" s="1"/>
      <x:c r="AF1306" s="1"/>
      <x:c r="AG1306" s="1"/>
      <x:c r="AH1306" s="1"/>
      <x:c r="AI1306" s="1"/>
      <x:c r="AJ1306" s="1"/>
      <x:c r="AK1306" s="1"/>
      <x:c r="AL1306" s="1"/>
      <x:c r="AM1306" s="1"/>
      <x:c r="AN1306" s="1"/>
    </x:row>
    <x:row r="1307" ht="22" customHeight="1">
      <x:c r="A1307" s="1" t="str">
        <x:v>1297817</x:v>
      </x:c>
      <x:c r="B1307" s="1" t="str">
        <x:v>Weavers Way Ambler</x:v>
      </x:c>
      <x:c r="C1307" s="1" t="str">
        <x:v>Super Store</x:v>
      </x:c>
      <x:c r="D1307" s="1" t="str">
        <x:v>217 E Butler Ave</x:v>
      </x:c>
      <x:c r="E1307" s="1" t="str">
        <x:v>Ambler</x:v>
      </x:c>
      <x:c r="F1307" s="1" t="str">
        <x:v>PA</x:v>
      </x:c>
      <x:c r="G1307" s="1" t="str">
        <x:v>19002</x:v>
      </x:c>
      <x:c r="H1307" s="1" t="n">
        <x:v>40.156284</x:v>
      </x:c>
      <x:c r="I1307" s="1" t="n">
        <x:v>-75.218323</x:v>
      </x:c>
      <x:c r="J1307" s="1" t="str">
        <x:v>USDA SNAP retailer list</x:v>
      </x:c>
      <x:c r="K1307" s="1" t="str">
        <x:v>2026-10-09</x:v>
      </x:c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  <x:c r="AA1307" s="1"/>
      <x:c r="AB1307" s="1"/>
      <x:c r="AC1307" s="1"/>
      <x:c r="AD1307" s="1"/>
      <x:c r="AE1307" s="1"/>
      <x:c r="AF1307" s="1"/>
      <x:c r="AG1307" s="1"/>
      <x:c r="AH1307" s="1"/>
      <x:c r="AI1307" s="1"/>
      <x:c r="AJ1307" s="1"/>
      <x:c r="AK1307" s="1"/>
      <x:c r="AL1307" s="1"/>
      <x:c r="AM1307" s="1"/>
      <x:c r="AN1307" s="1"/>
    </x:row>
    <x:row r="1308" ht="22" customHeight="1">
      <x:c r="A1308" s="1" t="str">
        <x:v>1120089</x:v>
      </x:c>
      <x:c r="B1308" s="1" t="str">
        <x:v>Fresh Supermarket Inc/ Cousins Family Market</x:v>
      </x:c>
      <x:c r="C1308" s="1" t="str">
        <x:v>Supermarket</x:v>
      </x:c>
      <x:c r="D1308" s="1" t="str">
        <x:v>203 E Allegheny Ave</x:v>
      </x:c>
      <x:c r="E1308" s="1" t="str">
        <x:v>Philadelphia</x:v>
      </x:c>
      <x:c r="F1308" s="1" t="str">
        <x:v>PA</x:v>
      </x:c>
      <x:c r="G1308" s="1" t="str">
        <x:v>19134</x:v>
      </x:c>
      <x:c r="H1308" s="1" t="n">
        <x:v>39.998329</x:v>
      </x:c>
      <x:c r="I1308" s="1" t="n">
        <x:v>-75.127213</x:v>
      </x:c>
      <x:c r="J1308" s="1" t="str">
        <x:v>USDA SNAP retailer list</x:v>
      </x:c>
      <x:c r="K1308" s="1" t="str">
        <x:v>2026-10-09</x:v>
      </x:c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  <x:c r="AA1308" s="1"/>
      <x:c r="AB1308" s="1"/>
      <x:c r="AC1308" s="1"/>
      <x:c r="AD1308" s="1"/>
      <x:c r="AE1308" s="1"/>
      <x:c r="AF1308" s="1"/>
      <x:c r="AG1308" s="1"/>
      <x:c r="AH1308" s="1"/>
      <x:c r="AI1308" s="1"/>
      <x:c r="AJ1308" s="1"/>
      <x:c r="AK1308" s="1"/>
      <x:c r="AL1308" s="1"/>
      <x:c r="AM1308" s="1"/>
      <x:c r="AN1308" s="1"/>
    </x:row>
    <x:row r="1309" ht="22" customHeight="1">
      <x:c r="A1309" s="1" t="str">
        <x:v>1562710</x:v>
      </x:c>
      <x:c r="B1309" s="1" t="str">
        <x:v>Acme 53</x:v>
      </x:c>
      <x:c r="C1309" s="1" t="str">
        <x:v>Supermarket</x:v>
      </x:c>
      <x:c r="D1309" s="1" t="str">
        <x:v>25 E Germantown Pike</x:v>
      </x:c>
      <x:c r="E1309" s="1" t="str">
        <x:v>Norristown</x:v>
      </x:c>
      <x:c r="F1309" s="1" t="str">
        <x:v>PA</x:v>
      </x:c>
      <x:c r="G1309" s="1" t="str">
        <x:v>19401</x:v>
      </x:c>
      <x:c r="H1309" s="1" t="n">
        <x:v>40.14016</x:v>
      </x:c>
      <x:c r="I1309" s="1" t="n">
        <x:v>-75.308556</x:v>
      </x:c>
      <x:c r="J1309" s="1" t="str">
        <x:v>USDA SNAP retailer list</x:v>
      </x:c>
      <x:c r="K1309" s="1" t="str">
        <x:v>2026-10-09</x:v>
      </x:c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  <x:c r="AA1309" s="1"/>
      <x:c r="AB1309" s="1"/>
      <x:c r="AC1309" s="1"/>
      <x:c r="AD1309" s="1"/>
      <x:c r="AE1309" s="1"/>
      <x:c r="AF1309" s="1"/>
      <x:c r="AG1309" s="1"/>
      <x:c r="AH1309" s="1"/>
      <x:c r="AI1309" s="1"/>
      <x:c r="AJ1309" s="1"/>
      <x:c r="AK1309" s="1"/>
      <x:c r="AL1309" s="1"/>
      <x:c r="AM1309" s="1"/>
      <x:c r="AN1309" s="1"/>
    </x:row>
    <x:row r="1310" ht="22" customHeight="1">
      <x:c r="A1310" s="1" t="str">
        <x:v>1657700</x:v>
      </x:c>
      <x:c r="B1310" s="1" t="str">
        <x:v>Associated Supermarket</x:v>
      </x:c>
      <x:c r="C1310" s="1" t="str">
        <x:v>Supermarket</x:v>
      </x:c>
      <x:c r="D1310" s="1" t="str">
        <x:v>803 Blackwood Clementon Rd</x:v>
      </x:c>
      <x:c r="E1310" s="1" t="str">
        <x:v>Lindenwold</x:v>
      </x:c>
      <x:c r="F1310" s="1" t="str">
        <x:v>NJ</x:v>
      </x:c>
      <x:c r="G1310" s="1" t="str">
        <x:v>08021</x:v>
      </x:c>
      <x:c r="H1310" s="1" t="n">
        <x:v>39.805252</x:v>
      </x:c>
      <x:c r="I1310" s="1" t="n">
        <x:v>-75.021423</x:v>
      </x:c>
      <x:c r="J1310" s="1" t="str">
        <x:v>USDA SNAP retailer list</x:v>
      </x:c>
      <x:c r="K1310" s="1" t="str">
        <x:v>2026-10-09</x:v>
      </x:c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  <x:c r="AA1310" s="1"/>
      <x:c r="AB1310" s="1"/>
      <x:c r="AC1310" s="1"/>
      <x:c r="AD1310" s="1"/>
      <x:c r="AE1310" s="1"/>
      <x:c r="AF1310" s="1"/>
      <x:c r="AG1310" s="1"/>
      <x:c r="AH1310" s="1"/>
      <x:c r="AI1310" s="1"/>
      <x:c r="AJ1310" s="1"/>
      <x:c r="AK1310" s="1"/>
      <x:c r="AL1310" s="1"/>
      <x:c r="AM1310" s="1"/>
      <x:c r="AN1310" s="1"/>
    </x:row>
    <x:row r="1311" ht="22" customHeight="1">
      <x:c r="A1311" s="1" t="str">
        <x:v>1249280</x:v>
      </x:c>
      <x:c r="B1311" s="1" t="str">
        <x:v>Chelten Market Inc</x:v>
      </x:c>
      <x:c r="C1311" s="1" t="str">
        <x:v>Supermarket</x:v>
      </x:c>
      <x:c r="D1311" s="1" t="str">
        <x:v>176-82 W Chelten Ave</x:v>
      </x:c>
      <x:c r="E1311" s="1" t="str">
        <x:v>Philadelphia</x:v>
      </x:c>
      <x:c r="F1311" s="1" t="str">
        <x:v>PA</x:v>
      </x:c>
      <x:c r="G1311" s="1" t="str">
        <x:v>19144</x:v>
      </x:c>
      <x:c r="H1311" s="1" t="n">
        <x:v>40.032089</x:v>
      </x:c>
      <x:c r="I1311" s="1" t="n">
        <x:v>-75.178497</x:v>
      </x:c>
      <x:c r="J1311" s="1" t="str">
        <x:v>USDA SNAP retailer list</x:v>
      </x:c>
      <x:c r="K1311" s="1" t="str">
        <x:v>2026-10-09</x:v>
      </x:c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  <x:c r="AA1311" s="1"/>
      <x:c r="AB1311" s="1"/>
      <x:c r="AC1311" s="1"/>
      <x:c r="AD1311" s="1"/>
      <x:c r="AE1311" s="1"/>
      <x:c r="AF1311" s="1"/>
      <x:c r="AG1311" s="1"/>
      <x:c r="AH1311" s="1"/>
      <x:c r="AI1311" s="1"/>
      <x:c r="AJ1311" s="1"/>
      <x:c r="AK1311" s="1"/>
      <x:c r="AL1311" s="1"/>
      <x:c r="AM1311" s="1"/>
      <x:c r="AN1311" s="1"/>
    </x:row>
    <x:row r="1312" ht="22" customHeight="1">
      <x:c r="A1312" s="1" t="str">
        <x:v>880531</x:v>
      </x:c>
      <x:c r="B1312" s="1" t="str">
        <x:v>B Js Wholesale Club 56</x:v>
      </x:c>
      <x:c r="C1312" s="1" t="str">
        <x:v>Super Store</x:v>
      </x:c>
      <x:c r="D1312" s="1" t="str">
        <x:v>1260 E Woodland Ave</x:v>
      </x:c>
      <x:c r="E1312" s="1" t="str">
        <x:v>Springfield</x:v>
      </x:c>
      <x:c r="F1312" s="1" t="str">
        <x:v>PA</x:v>
      </x:c>
      <x:c r="G1312" s="1" t="str">
        <x:v>19064</x:v>
      </x:c>
      <x:c r="H1312" s="1" t="n">
        <x:v>39.908974</x:v>
      </x:c>
      <x:c r="I1312" s="1" t="n">
        <x:v>-75.330223</x:v>
      </x:c>
      <x:c r="J1312" s="1" t="str">
        <x:v>USDA SNAP retailer list</x:v>
      </x:c>
      <x:c r="K1312" s="1" t="str">
        <x:v>2026-10-09</x:v>
      </x:c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  <x:c r="AA1312" s="1"/>
      <x:c r="AB1312" s="1"/>
      <x:c r="AC1312" s="1"/>
      <x:c r="AD1312" s="1"/>
      <x:c r="AE1312" s="1"/>
      <x:c r="AF1312" s="1"/>
      <x:c r="AG1312" s="1"/>
      <x:c r="AH1312" s="1"/>
      <x:c r="AI1312" s="1"/>
      <x:c r="AJ1312" s="1"/>
      <x:c r="AK1312" s="1"/>
      <x:c r="AL1312" s="1"/>
      <x:c r="AM1312" s="1"/>
      <x:c r="AN1312" s="1"/>
    </x:row>
    <x:row r="1313" ht="22" customHeight="1">
      <x:c r="A1313" s="1" t="str">
        <x:v>1064418</x:v>
      </x:c>
      <x:c r="B1313" s="1" t="str">
        <x:v>Deterding Family Market</x:v>
      </x:c>
      <x:c r="C1313" s="1" t="str">
        <x:v>Supermarket</x:v>
      </x:c>
      <x:c r="D1313" s="1" t="str">
        <x:v>506 E Gibbsboro Rd</x:v>
      </x:c>
      <x:c r="E1313" s="1" t="str">
        <x:v>Lindenwold</x:v>
      </x:c>
      <x:c r="F1313" s="1" t="str">
        <x:v>NJ</x:v>
      </x:c>
      <x:c r="G1313" s="1" t="str">
        <x:v>08021</x:v>
      </x:c>
      <x:c r="H1313" s="1" t="n">
        <x:v>39.820133</x:v>
      </x:c>
      <x:c r="I1313" s="1" t="n">
        <x:v>-74.980232</x:v>
      </x:c>
      <x:c r="J1313" s="1" t="str">
        <x:v>USDA SNAP retailer list</x:v>
      </x:c>
      <x:c r="K1313" s="1" t="str">
        <x:v>2026-10-09</x:v>
      </x:c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  <x:c r="AA1313" s="1"/>
      <x:c r="AB1313" s="1"/>
      <x:c r="AC1313" s="1"/>
      <x:c r="AD1313" s="1"/>
      <x:c r="AE1313" s="1"/>
      <x:c r="AF1313" s="1"/>
      <x:c r="AG1313" s="1"/>
      <x:c r="AH1313" s="1"/>
      <x:c r="AI1313" s="1"/>
      <x:c r="AJ1313" s="1"/>
      <x:c r="AK1313" s="1"/>
      <x:c r="AL1313" s="1"/>
      <x:c r="AM1313" s="1"/>
      <x:c r="AN1313" s="1"/>
    </x:row>
    <x:row r="1314" ht="22" customHeight="1">
      <x:c r="A1314" s="1" t="str">
        <x:v>880303</x:v>
      </x:c>
      <x:c r="B1314" s="1" t="str">
        <x:v>B Js Wholesale Club 13</x:v>
      </x:c>
      <x:c r="C1314" s="1" t="str">
        <x:v>Super Store</x:v>
      </x:c>
      <x:c r="D1314" s="1" t="str">
        <x:v>131 E Kings Hwy</x:v>
      </x:c>
      <x:c r="E1314" s="1" t="str">
        <x:v>Maple Shade</x:v>
      </x:c>
      <x:c r="F1314" s="1" t="str">
        <x:v>NJ</x:v>
      </x:c>
      <x:c r="G1314" s="1" t="str">
        <x:v>08052</x:v>
      </x:c>
      <x:c r="H1314" s="1" t="n">
        <x:v>39.94846</x:v>
      </x:c>
      <x:c r="I1314" s="1" t="n">
        <x:v>-74.972893</x:v>
      </x:c>
      <x:c r="J1314" s="1" t="str">
        <x:v>USDA SNAP retailer list</x:v>
      </x:c>
      <x:c r="K1314" s="1" t="str">
        <x:v>2026-10-09</x:v>
      </x:c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  <x:c r="AA1314" s="1"/>
      <x:c r="AB1314" s="1"/>
      <x:c r="AC1314" s="1"/>
      <x:c r="AD1314" s="1"/>
      <x:c r="AE1314" s="1"/>
      <x:c r="AF1314" s="1"/>
      <x:c r="AG1314" s="1"/>
      <x:c r="AH1314" s="1"/>
      <x:c r="AI1314" s="1"/>
      <x:c r="AJ1314" s="1"/>
      <x:c r="AK1314" s="1"/>
      <x:c r="AL1314" s="1"/>
      <x:c r="AM1314" s="1"/>
      <x:c r="AN1314" s="1"/>
    </x:row>
    <x:row r="1315" ht="22" customHeight="1">
      <x:c r="A1315" s="1" t="str">
        <x:v>829499</x:v>
      </x:c>
      <x:c r="B1315" s="1" t="str">
        <x:v>Shoprite of Chews Landing 507</x:v>
      </x:c>
      <x:c r="C1315" s="1" t="str">
        <x:v>Super Store</x:v>
      </x:c>
      <x:c r="D1315" s="1" t="str">
        <x:v>1200 Chews Landing Rd</x:v>
      </x:c>
      <x:c r="E1315" s="1" t="str">
        <x:v>Clementon</x:v>
      </x:c>
      <x:c r="F1315" s="1" t="str">
        <x:v>NJ</x:v>
      </x:c>
      <x:c r="G1315" s="1" t="str">
        <x:v>08021</x:v>
      </x:c>
      <x:c r="H1315" s="1" t="n">
        <x:v>39.819992</x:v>
      </x:c>
      <x:c r="I1315" s="1" t="n">
        <x:v>-75.038666</x:v>
      </x:c>
      <x:c r="J1315" s="1" t="str">
        <x:v>USDA SNAP retailer list</x:v>
      </x:c>
      <x:c r="K1315" s="1" t="str">
        <x:v>2026-10-09</x:v>
      </x:c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  <x:c r="AA1315" s="1"/>
      <x:c r="AB1315" s="1"/>
      <x:c r="AC1315" s="1"/>
      <x:c r="AD1315" s="1"/>
      <x:c r="AE1315" s="1"/>
      <x:c r="AF1315" s="1"/>
      <x:c r="AG1315" s="1"/>
      <x:c r="AH1315" s="1"/>
      <x:c r="AI1315" s="1"/>
      <x:c r="AJ1315" s="1"/>
      <x:c r="AK1315" s="1"/>
      <x:c r="AL1315" s="1"/>
      <x:c r="AM1315" s="1"/>
      <x:c r="AN1315" s="1"/>
    </x:row>
    <x:row r="1316" ht="22" customHeight="1">
      <x:c r="A1316" s="1" t="str">
        <x:v>865311</x:v>
      </x:c>
      <x:c r="B1316" s="1" t="str">
        <x:v>McMenamin Family Shop Rite 450</x:v>
      </x:c>
      <x:c r="C1316" s="1" t="str">
        <x:v>Super Store</x:v>
      </x:c>
      <x:c r="D1316" s="1" t="str">
        <x:v>9910 Frankford Avenue</x:v>
      </x:c>
      <x:c r="E1316" s="1" t="str">
        <x:v>Philadelphia</x:v>
      </x:c>
      <x:c r="F1316" s="1" t="str">
        <x:v>PA</x:v>
      </x:c>
      <x:c r="G1316" s="1" t="str">
        <x:v>19114</x:v>
      </x:c>
      <x:c r="H1316" s="1" t="n">
        <x:v>40.063385</x:v>
      </x:c>
      <x:c r="I1316" s="1" t="n">
        <x:v>-74.985573</x:v>
      </x:c>
      <x:c r="J1316" s="1" t="str">
        <x:v>USDA SNAP retailer list</x:v>
      </x:c>
      <x:c r="K1316" s="1" t="str">
        <x:v>2026-10-09</x:v>
      </x:c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  <x:c r="AA1316" s="1"/>
      <x:c r="AB1316" s="1"/>
      <x:c r="AC1316" s="1"/>
      <x:c r="AD1316" s="1"/>
      <x:c r="AE1316" s="1"/>
      <x:c r="AF1316" s="1"/>
      <x:c r="AG1316" s="1"/>
      <x:c r="AH1316" s="1"/>
      <x:c r="AI1316" s="1"/>
      <x:c r="AJ1316" s="1"/>
      <x:c r="AK1316" s="1"/>
      <x:c r="AL1316" s="1"/>
      <x:c r="AM1316" s="1"/>
      <x:c r="AN1316" s="1"/>
    </x:row>
    <x:row r="1317" ht="22" customHeight="1">
      <x:c r="A1317" s="1" t="str">
        <x:v>898275</x:v>
      </x:c>
      <x:c r="B1317" s="1" t="str">
        <x:v>Target Store 1389</x:v>
      </x:c>
      <x:c r="C1317" s="1" t="str">
        <x:v>Super Store</x:v>
      </x:c>
      <x:c r="D1317" s="1" t="str">
        <x:v>1900 Deptford Center Rd</x:v>
      </x:c>
      <x:c r="E1317" s="1" t="str">
        <x:v>Woodbury</x:v>
      </x:c>
      <x:c r="F1317" s="1" t="str">
        <x:v>NJ</x:v>
      </x:c>
      <x:c r="G1317" s="1" t="str">
        <x:v>08096</x:v>
      </x:c>
      <x:c r="H1317" s="1" t="n">
        <x:v>39.829796</x:v>
      </x:c>
      <x:c r="I1317" s="1" t="n">
        <x:v>-75.091179</x:v>
      </x:c>
      <x:c r="J1317" s="1" t="str">
        <x:v>USDA SNAP retailer list</x:v>
      </x:c>
      <x:c r="K1317" s="1" t="str">
        <x:v>2026-10-09</x:v>
      </x:c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  <x:c r="AA1317" s="1"/>
      <x:c r="AB1317" s="1"/>
      <x:c r="AC1317" s="1"/>
      <x:c r="AD1317" s="1"/>
      <x:c r="AE1317" s="1"/>
      <x:c r="AF1317" s="1"/>
      <x:c r="AG1317" s="1"/>
      <x:c r="AH1317" s="1"/>
      <x:c r="AI1317" s="1"/>
      <x:c r="AJ1317" s="1"/>
      <x:c r="AK1317" s="1"/>
      <x:c r="AL1317" s="1"/>
      <x:c r="AM1317" s="1"/>
      <x:c r="AN1317" s="1"/>
    </x:row>
    <x:row r="1318" ht="22" customHeight="1">
      <x:c r="A1318" s="1" t="str">
        <x:v>749124</x:v>
      </x:c>
      <x:c r="B1318" s="1" t="str">
        <x:v>Walmart 5495</x:v>
      </x:c>
      <x:c r="C1318" s="1" t="str">
        <x:v>Super Store</x:v>
      </x:c>
      <x:c r="D1318" s="1" t="str">
        <x:v>50 N MacDade Blvd</x:v>
      </x:c>
      <x:c r="E1318" s="1" t="str">
        <x:v>Glenolden</x:v>
      </x:c>
      <x:c r="F1318" s="1" t="str">
        <x:v>PA</x:v>
      </x:c>
      <x:c r="G1318" s="1" t="str">
        <x:v>19036</x:v>
      </x:c>
      <x:c r="H1318" s="1" t="n">
        <x:v>39.907166</x:v>
      </x:c>
      <x:c r="I1318" s="1" t="n">
        <x:v>-75.292076</x:v>
      </x:c>
      <x:c r="J1318" s="1" t="str">
        <x:v>USDA SNAP retailer list</x:v>
      </x:c>
      <x:c r="K1318" s="1" t="str">
        <x:v>2026-10-09</x:v>
      </x:c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  <x:c r="AA1318" s="1"/>
      <x:c r="AB1318" s="1"/>
      <x:c r="AC1318" s="1"/>
      <x:c r="AD1318" s="1"/>
      <x:c r="AE1318" s="1"/>
      <x:c r="AF1318" s="1"/>
      <x:c r="AG1318" s="1"/>
      <x:c r="AH1318" s="1"/>
      <x:c r="AI1318" s="1"/>
      <x:c r="AJ1318" s="1"/>
      <x:c r="AK1318" s="1"/>
      <x:c r="AL1318" s="1"/>
      <x:c r="AM1318" s="1"/>
      <x:c r="AN1318" s="1"/>
    </x:row>
    <x:row r="1319" ht="22" customHeight="1">
      <x:c r="A1319" s="1" t="str">
        <x:v>1702680</x:v>
      </x:c>
      <x:c r="B1319" s="1" t="str">
        <x:v>Juniata Supermarket Inc. 2</x:v>
      </x:c>
      <x:c r="C1319" s="1" t="str">
        <x:v>Super Store</x:v>
      </x:c>
      <x:c r="D1319" s="1" t="str">
        <x:v>901 E Luzerne St</x:v>
      </x:c>
      <x:c r="E1319" s="1" t="str">
        <x:v>Philadelphia</x:v>
      </x:c>
      <x:c r="F1319" s="1" t="str">
        <x:v>PA</x:v>
      </x:c>
      <x:c r="G1319" s="1" t="str">
        <x:v>19124</x:v>
      </x:c>
      <x:c r="H1319" s="1" t="n">
        <x:v>40.009083</x:v>
      </x:c>
      <x:c r="I1319" s="1" t="n">
        <x:v>-75.109909</x:v>
      </x:c>
      <x:c r="J1319" s="1" t="str">
        <x:v>USDA SNAP retailer list</x:v>
      </x:c>
      <x:c r="K1319" s="1" t="str">
        <x:v>2026-10-09</x:v>
      </x:c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  <x:c r="AA1319" s="1"/>
      <x:c r="AB1319" s="1"/>
      <x:c r="AC1319" s="1"/>
      <x:c r="AD1319" s="1"/>
      <x:c r="AE1319" s="1"/>
      <x:c r="AF1319" s="1"/>
      <x:c r="AG1319" s="1"/>
      <x:c r="AH1319" s="1"/>
      <x:c r="AI1319" s="1"/>
      <x:c r="AJ1319" s="1"/>
      <x:c r="AK1319" s="1"/>
      <x:c r="AL1319" s="1"/>
      <x:c r="AM1319" s="1"/>
      <x:c r="AN1319" s="1"/>
    </x:row>
    <x:row r="1320" ht="22" customHeight="1">
      <x:c r="A1320" s="1" t="str">
        <x:v>1654279</x:v>
      </x:c>
      <x:c r="B1320" s="1" t="str">
        <x:v>Grocery Outlet</x:v>
      </x:c>
      <x:c r="C1320" s="1" t="str">
        <x:v>Supermarket</x:v>
      </x:c>
      <x:c r="D1320" s="1" t="str">
        <x:v>2077 Ridge Ave</x:v>
      </x:c>
      <x:c r="E1320" s="1" t="str">
        <x:v>Philadelphia</x:v>
      </x:c>
      <x:c r="F1320" s="1" t="str">
        <x:v>PA</x:v>
      </x:c>
      <x:c r="G1320" s="1" t="str">
        <x:v>19121</x:v>
      </x:c>
      <x:c r="H1320" s="1" t="n">
        <x:v>39.977726</x:v>
      </x:c>
      <x:c r="I1320" s="1" t="n">
        <x:v>-75.168633</x:v>
      </x:c>
      <x:c r="J1320" s="1" t="str">
        <x:v>USDA SNAP retailer list</x:v>
      </x:c>
      <x:c r="K1320" s="1" t="str">
        <x:v>2026-10-09</x:v>
      </x:c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  <x:c r="AA1320" s="1"/>
      <x:c r="AB1320" s="1"/>
      <x:c r="AC1320" s="1"/>
      <x:c r="AD1320" s="1"/>
      <x:c r="AE1320" s="1"/>
      <x:c r="AF1320" s="1"/>
      <x:c r="AG1320" s="1"/>
      <x:c r="AH1320" s="1"/>
      <x:c r="AI1320" s="1"/>
      <x:c r="AJ1320" s="1"/>
      <x:c r="AK1320" s="1"/>
      <x:c r="AL1320" s="1"/>
      <x:c r="AM1320" s="1"/>
      <x:c r="AN1320" s="1"/>
    </x:row>
    <x:row r="1321" ht="22" customHeight="1">
      <x:c r="A1321" s="1" t="str">
        <x:v>1181382</x:v>
      </x:c>
      <x:c r="B1321" s="1" t="str">
        <x:v>Heng Fa Food Market</x:v>
      </x:c>
      <x:c r="C1321" s="1" t="str">
        <x:v>Supermarket</x:v>
      </x:c>
      <x:c r="D1321" s="1" t="str">
        <x:v>130 N 10th St</x:v>
      </x:c>
      <x:c r="E1321" s="1" t="str">
        <x:v>Philadelphia</x:v>
      </x:c>
      <x:c r="F1321" s="1" t="str">
        <x:v>PA</x:v>
      </x:c>
      <x:c r="G1321" s="1" t="str">
        <x:v>19107</x:v>
      </x:c>
      <x:c r="H1321" s="1" t="n">
        <x:v>39.954376</x:v>
      </x:c>
      <x:c r="I1321" s="1" t="n">
        <x:v>-75.156143</x:v>
      </x:c>
      <x:c r="J1321" s="1" t="str">
        <x:v>USDA SNAP retailer list</x:v>
      </x:c>
      <x:c r="K1321" s="1" t="str">
        <x:v>2026-10-09</x:v>
      </x:c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  <x:c r="AA1321" s="1"/>
      <x:c r="AB1321" s="1"/>
      <x:c r="AC1321" s="1"/>
      <x:c r="AD1321" s="1"/>
      <x:c r="AE1321" s="1"/>
      <x:c r="AF1321" s="1"/>
      <x:c r="AG1321" s="1"/>
      <x:c r="AH1321" s="1"/>
      <x:c r="AI1321" s="1"/>
      <x:c r="AJ1321" s="1"/>
      <x:c r="AK1321" s="1"/>
      <x:c r="AL1321" s="1"/>
      <x:c r="AM1321" s="1"/>
      <x:c r="AN1321" s="1"/>
    </x:row>
    <x:row r="1322" ht="22" customHeight="1">
      <x:c r="A1322" s="1" t="str">
        <x:v>1690280</x:v>
      </x:c>
      <x:c r="B1322" s="1" t="str">
        <x:v>Wegmans 10</x:v>
      </x:c>
      <x:c r="C1322" s="1" t="str">
        <x:v>Supermarket</x:v>
      </x:c>
      <x:c r="D1322" s="1" t="str">
        <x:v>2100 Route 70 W</x:v>
      </x:c>
      <x:c r="E1322" s="1" t="str">
        <x:v>Cherry Hill</x:v>
      </x:c>
      <x:c r="F1322" s="1" t="str">
        <x:v>NJ</x:v>
      </x:c>
      <x:c r="G1322" s="1" t="str">
        <x:v>08002</x:v>
      </x:c>
      <x:c r="H1322" s="1" t="n">
        <x:v>39.922783</x:v>
      </x:c>
      <x:c r="I1322" s="1" t="n">
        <x:v>-75.034851</x:v>
      </x:c>
      <x:c r="J1322" s="1" t="str">
        <x:v>USDA SNAP retailer list</x:v>
      </x:c>
      <x:c r="K1322" s="1" t="str">
        <x:v>2026-10-09</x:v>
      </x:c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  <x:c r="AA1322" s="1"/>
      <x:c r="AB1322" s="1"/>
      <x:c r="AC1322" s="1"/>
      <x:c r="AD1322" s="1"/>
      <x:c r="AE1322" s="1"/>
      <x:c r="AF1322" s="1"/>
      <x:c r="AG1322" s="1"/>
      <x:c r="AH1322" s="1"/>
      <x:c r="AI1322" s="1"/>
      <x:c r="AJ1322" s="1"/>
      <x:c r="AK1322" s="1"/>
      <x:c r="AL1322" s="1"/>
      <x:c r="AM1322" s="1"/>
      <x:c r="AN1322" s="1"/>
    </x:row>
    <x:row r="1323" ht="22" customHeight="1">
      <x:c r="A1323" s="1" t="str">
        <x:v>1706608</x:v>
      </x:c>
      <x:c r="B1323" s="1" t="str">
        <x:v>Walmart 5881</x:v>
      </x:c>
      <x:c r="C1323" s="1" t="str">
        <x:v>Super Store</x:v>
      </x:c>
      <x:c r="D1323" s="1" t="str">
        <x:v>400 S State Rd</x:v>
      </x:c>
      <x:c r="E1323" s="1" t="str">
        <x:v>Springfield</x:v>
      </x:c>
      <x:c r="F1323" s="1" t="str">
        <x:v>PA</x:v>
      </x:c>
      <x:c r="G1323" s="1" t="str">
        <x:v>19064</x:v>
      </x:c>
      <x:c r="H1323" s="1" t="n">
        <x:v>39.938751</x:v>
      </x:c>
      <x:c r="I1323" s="1" t="n">
        <x:v>-75.356445</x:v>
      </x:c>
      <x:c r="J1323" s="1" t="str">
        <x:v>USDA SNAP retailer list</x:v>
      </x:c>
      <x:c r="K1323" s="1" t="str">
        <x:v>2026-10-09</x:v>
      </x:c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  <x:c r="AA1323" s="1"/>
      <x:c r="AB1323" s="1"/>
      <x:c r="AC1323" s="1"/>
      <x:c r="AD1323" s="1"/>
      <x:c r="AE1323" s="1"/>
      <x:c r="AF1323" s="1"/>
      <x:c r="AG1323" s="1"/>
      <x:c r="AH1323" s="1"/>
      <x:c r="AI1323" s="1"/>
      <x:c r="AJ1323" s="1"/>
      <x:c r="AK1323" s="1"/>
      <x:c r="AL1323" s="1"/>
      <x:c r="AM1323" s="1"/>
      <x:c r="AN1323" s="1"/>
    </x:row>
    <x:row r="1324" ht="22" customHeight="1">
      <x:c r="A1324" s="1" t="str">
        <x:v>1706661</x:v>
      </x:c>
      <x:c r="B1324" s="1" t="str">
        <x:v>Asianfresh</x:v>
      </x:c>
      <x:c r="C1324" s="1" t="str">
        <x:v>Supermarket</x:v>
      </x:c>
      <x:c r="D1324" s="1" t="str">
        <x:v>2005 Marlton Pike E</x:v>
      </x:c>
      <x:c r="E1324" s="1" t="str">
        <x:v>Cherry Hill</x:v>
      </x:c>
      <x:c r="F1324" s="1" t="str">
        <x:v>NJ</x:v>
      </x:c>
      <x:c r="G1324" s="1" t="str">
        <x:v>08003</x:v>
      </x:c>
      <x:c r="H1324" s="1" t="n">
        <x:v>39.895748</x:v>
      </x:c>
      <x:c r="I1324" s="1" t="n">
        <x:v>-74.951591</x:v>
      </x:c>
      <x:c r="J1324" s="1" t="str">
        <x:v>USDA SNAP retailer list</x:v>
      </x:c>
      <x:c r="K1324" s="1" t="str">
        <x:v>2026-10-09</x:v>
      </x:c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  <x:c r="AA1324" s="1"/>
      <x:c r="AB1324" s="1"/>
      <x:c r="AC1324" s="1"/>
      <x:c r="AD1324" s="1"/>
      <x:c r="AE1324" s="1"/>
      <x:c r="AF1324" s="1"/>
      <x:c r="AG1324" s="1"/>
      <x:c r="AH1324" s="1"/>
      <x:c r="AI1324" s="1"/>
      <x:c r="AJ1324" s="1"/>
      <x:c r="AK1324" s="1"/>
      <x:c r="AL1324" s="1"/>
      <x:c r="AM1324" s="1"/>
      <x:c r="AN1324" s="1"/>
    </x:row>
    <x:row r="1325" ht="22" customHeight="1">
      <x:c r="A1325" s="1" t="str">
        <x:v>1241114</x:v>
      </x:c>
      <x:c r="B1325" s="1" t="str">
        <x:v>Fresh Grocer Of Wyncote 415</x:v>
      </x:c>
      <x:c r="C1325" s="1" t="str">
        <x:v>Super Store</x:v>
      </x:c>
      <x:c r="D1325" s="1" t="str">
        <x:v>1000 Easton Rd</x:v>
      </x:c>
      <x:c r="E1325" s="1" t="str">
        <x:v>Wyncote</x:v>
      </x:c>
      <x:c r="F1325" s="1" t="str">
        <x:v>PA</x:v>
      </x:c>
      <x:c r="G1325" s="1" t="str">
        <x:v>19095</x:v>
      </x:c>
      <x:c r="H1325" s="1" t="n">
        <x:v>40.08289</x:v>
      </x:c>
      <x:c r="I1325" s="1" t="n">
        <x:v>-75.170715</x:v>
      </x:c>
      <x:c r="J1325" s="1" t="str">
        <x:v>USDA SNAP retailer list</x:v>
      </x:c>
      <x:c r="K1325" s="1" t="str">
        <x:v>2026-10-09</x:v>
      </x:c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  <x:c r="AA1325" s="1"/>
      <x:c r="AB1325" s="1"/>
      <x:c r="AC1325" s="1"/>
      <x:c r="AD1325" s="1"/>
      <x:c r="AE1325" s="1"/>
      <x:c r="AF1325" s="1"/>
      <x:c r="AG1325" s="1"/>
      <x:c r="AH1325" s="1"/>
      <x:c r="AI1325" s="1"/>
      <x:c r="AJ1325" s="1"/>
      <x:c r="AK1325" s="1"/>
      <x:c r="AL1325" s="1"/>
      <x:c r="AM1325" s="1"/>
      <x:c r="AN1325" s="1"/>
    </x:row>
    <x:row r="1326" ht="22" customHeight="1">
      <x:c r="A1326" s="1" t="str">
        <x:v>1196055</x:v>
      </x:c>
      <x:c r="B1326" s="1" t="str">
        <x:v>Ma Khodiyar Inc/Universal Supermarket</x:v>
      </x:c>
      <x:c r="C1326" s="1" t="str">
        <x:v>Super Store</x:v>
      </x:c>
      <x:c r="D1326" s="1" t="str">
        <x:v>2101 Federal St</x:v>
      </x:c>
      <x:c r="E1326" s="1" t="str">
        <x:v>Camden</x:v>
      </x:c>
      <x:c r="F1326" s="1" t="str">
        <x:v>NJ</x:v>
      </x:c>
      <x:c r="G1326" s="1" t="str">
        <x:v>08105</x:v>
      </x:c>
      <x:c r="H1326" s="1" t="n">
        <x:v>39.945599</x:v>
      </x:c>
      <x:c r="I1326" s="1" t="n">
        <x:v>-75.093109</x:v>
      </x:c>
      <x:c r="J1326" s="1" t="str">
        <x:v>USDA SNAP retailer list</x:v>
      </x:c>
      <x:c r="K1326" s="1" t="str">
        <x:v>2026-10-09</x:v>
      </x:c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  <x:c r="AA1326" s="1"/>
      <x:c r="AB1326" s="1"/>
      <x:c r="AC1326" s="1"/>
      <x:c r="AD1326" s="1"/>
      <x:c r="AE1326" s="1"/>
      <x:c r="AF1326" s="1"/>
      <x:c r="AG1326" s="1"/>
      <x:c r="AH1326" s="1"/>
      <x:c r="AI1326" s="1"/>
      <x:c r="AJ1326" s="1"/>
      <x:c r="AK1326" s="1"/>
      <x:c r="AL1326" s="1"/>
      <x:c r="AM1326" s="1"/>
      <x:c r="AN1326" s="1"/>
    </x:row>
    <x:row r="1327" ht="22" customHeight="1">
      <x:c r="A1327" s="1" t="str">
        <x:v>1119080</x:v>
      </x:c>
      <x:c r="B1327" s="1" t="str">
        <x:v>Cousin's Fresh Market 2 Inc</x:v>
      </x:c>
      <x:c r="C1327" s="1" t="str">
        <x:v>Supermarket</x:v>
      </x:c>
      <x:c r="D1327" s="1" t="str">
        <x:v>5429 W Girard Ave</x:v>
      </x:c>
      <x:c r="E1327" s="1" t="str">
        <x:v>Philadelphia</x:v>
      </x:c>
      <x:c r="F1327" s="1" t="str">
        <x:v>PA</x:v>
      </x:c>
      <x:c r="G1327" s="1" t="str">
        <x:v>19131</x:v>
      </x:c>
      <x:c r="H1327" s="1" t="n">
        <x:v>39.972221</x:v>
      </x:c>
      <x:c r="I1327" s="1" t="n">
        <x:v>-75.222183</x:v>
      </x:c>
      <x:c r="J1327" s="1" t="str">
        <x:v>USDA SNAP retailer list</x:v>
      </x:c>
      <x:c r="K1327" s="1" t="str">
        <x:v>2026-10-09</x:v>
      </x:c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  <x:c r="AA1327" s="1"/>
      <x:c r="AB1327" s="1"/>
      <x:c r="AC1327" s="1"/>
      <x:c r="AD1327" s="1"/>
      <x:c r="AE1327" s="1"/>
      <x:c r="AF1327" s="1"/>
      <x:c r="AG1327" s="1"/>
      <x:c r="AH1327" s="1"/>
      <x:c r="AI1327" s="1"/>
      <x:c r="AJ1327" s="1"/>
      <x:c r="AK1327" s="1"/>
      <x:c r="AL1327" s="1"/>
      <x:c r="AM1327" s="1"/>
      <x:c r="AN1327" s="1"/>
    </x:row>
    <x:row r="1328" ht="22" customHeight="1">
      <x:c r="A1328" s="1" t="str">
        <x:v>873236</x:v>
      </x:c>
      <x:c r="B1328" s="1" t="str">
        <x:v>Target Store 1365</x:v>
      </x:c>
      <x:c r="C1328" s="1" t="str">
        <x:v>Super Store</x:v>
      </x:c>
      <x:c r="D1328" s="1" t="str">
        <x:v>751 Route 73 S</x:v>
      </x:c>
      <x:c r="E1328" s="1" t="str">
        <x:v>Marlton</x:v>
      </x:c>
      <x:c r="F1328" s="1" t="str">
        <x:v>NJ</x:v>
      </x:c>
      <x:c r="G1328" s="1" t="str">
        <x:v>08053</x:v>
      </x:c>
      <x:c r="H1328" s="1" t="n">
        <x:v>39.869541</x:v>
      </x:c>
      <x:c r="I1328" s="1" t="n">
        <x:v>-74.921974</x:v>
      </x:c>
      <x:c r="J1328" s="1" t="str">
        <x:v>USDA SNAP retailer list</x:v>
      </x:c>
      <x:c r="K1328" s="1" t="str">
        <x:v>2026-10-09</x:v>
      </x:c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  <x:c r="AA1328" s="1"/>
      <x:c r="AB1328" s="1"/>
      <x:c r="AC1328" s="1"/>
      <x:c r="AD1328" s="1"/>
      <x:c r="AE1328" s="1"/>
      <x:c r="AF1328" s="1"/>
      <x:c r="AG1328" s="1"/>
      <x:c r="AH1328" s="1"/>
      <x:c r="AI1328" s="1"/>
      <x:c r="AJ1328" s="1"/>
      <x:c r="AK1328" s="1"/>
      <x:c r="AL1328" s="1"/>
      <x:c r="AM1328" s="1"/>
      <x:c r="AN1328" s="1"/>
    </x:row>
    <x:row r="1329" ht="22" customHeight="1">
      <x:c r="A1329" s="1" t="str">
        <x:v>1672972</x:v>
      </x:c>
      <x:c r="B1329" s="1" t="str">
        <x:v>Giant Food Store 6534</x:v>
      </x:c>
      <x:c r="C1329" s="1" t="str">
        <x:v>Supermarket</x:v>
      </x:c>
      <x:c r="D1329" s="1" t="str">
        <x:v>4930 Edgmont Ave</x:v>
      </x:c>
      <x:c r="E1329" s="1" t="str">
        <x:v>Brookhaven</x:v>
      </x:c>
      <x:c r="F1329" s="1" t="str">
        <x:v>PA</x:v>
      </x:c>
      <x:c r="G1329" s="1" t="str">
        <x:v>19015</x:v>
      </x:c>
      <x:c r="H1329" s="1" t="n">
        <x:v>39.877892</x:v>
      </x:c>
      <x:c r="I1329" s="1" t="n">
        <x:v>-75.396477</x:v>
      </x:c>
      <x:c r="J1329" s="1" t="str">
        <x:v>USDA SNAP retailer list</x:v>
      </x:c>
      <x:c r="K1329" s="1" t="str">
        <x:v>2026-10-09</x:v>
      </x:c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  <x:c r="AA1329" s="1"/>
      <x:c r="AB1329" s="1"/>
      <x:c r="AC1329" s="1"/>
      <x:c r="AD1329" s="1"/>
      <x:c r="AE1329" s="1"/>
      <x:c r="AF1329" s="1"/>
      <x:c r="AG1329" s="1"/>
      <x:c r="AH1329" s="1"/>
      <x:c r="AI1329" s="1"/>
      <x:c r="AJ1329" s="1"/>
      <x:c r="AK1329" s="1"/>
      <x:c r="AL1329" s="1"/>
      <x:c r="AM1329" s="1"/>
      <x:c r="AN1329" s="1"/>
    </x:row>
    <x:row r="1330" ht="22" customHeight="1">
      <x:c r="A1330" s="1" t="str">
        <x:v>881801</x:v>
      </x:c>
      <x:c r="B1330" s="1" t="str">
        <x:v>Target Store 2418</x:v>
      </x:c>
      <x:c r="C1330" s="1" t="str">
        <x:v>Super Store</x:v>
      </x:c>
      <x:c r="D1330" s="1" t="str">
        <x:v>7400 Bustleton Ave</x:v>
      </x:c>
      <x:c r="E1330" s="1" t="str">
        <x:v>Philadelphia</x:v>
      </x:c>
      <x:c r="F1330" s="1" t="str">
        <x:v>PA</x:v>
      </x:c>
      <x:c r="G1330" s="1" t="str">
        <x:v>19152</x:v>
      </x:c>
      <x:c r="H1330" s="1" t="n">
        <x:v>40.049774</x:v>
      </x:c>
      <x:c r="I1330" s="1" t="n">
        <x:v>-75.058197</x:v>
      </x:c>
      <x:c r="J1330" s="1" t="str">
        <x:v>USDA SNAP retailer list</x:v>
      </x:c>
      <x:c r="K1330" s="1" t="str">
        <x:v>2026-10-09</x:v>
      </x:c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  <x:c r="AA1330" s="1"/>
      <x:c r="AB1330" s="1"/>
      <x:c r="AC1330" s="1"/>
      <x:c r="AD1330" s="1"/>
      <x:c r="AE1330" s="1"/>
      <x:c r="AF1330" s="1"/>
      <x:c r="AG1330" s="1"/>
      <x:c r="AH1330" s="1"/>
      <x:c r="AI1330" s="1"/>
      <x:c r="AJ1330" s="1"/>
      <x:c r="AK1330" s="1"/>
      <x:c r="AL1330" s="1"/>
      <x:c r="AM1330" s="1"/>
      <x:c r="AN1330" s="1"/>
    </x:row>
    <x:row r="1331" ht="22" customHeight="1">
      <x:c r="A1331" s="1" t="str">
        <x:v>937619</x:v>
      </x:c>
      <x:c r="B1331" s="1" t="str">
        <x:v>Meat Shoppers Plus LLC</x:v>
      </x:c>
      <x:c r="C1331" s="1" t="str">
        <x:v>Supermarket</x:v>
      </x:c>
      <x:c r="D1331" s="1" t="str">
        <x:v>6619 Castor Ave</x:v>
      </x:c>
      <x:c r="E1331" s="1" t="str">
        <x:v>Philadelphia</x:v>
      </x:c>
      <x:c r="F1331" s="1" t="str">
        <x:v>PA</x:v>
      </x:c>
      <x:c r="G1331" s="1" t="str">
        <x:v>19149</x:v>
      </x:c>
      <x:c r="H1331" s="1" t="n">
        <x:v>40.042328</x:v>
      </x:c>
      <x:c r="I1331" s="1" t="n">
        <x:v>-75.074539</x:v>
      </x:c>
      <x:c r="J1331" s="1" t="str">
        <x:v>USDA SNAP retailer list</x:v>
      </x:c>
      <x:c r="K1331" s="1" t="str">
        <x:v>2026-10-09</x:v>
      </x:c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  <x:c r="AA1331" s="1"/>
      <x:c r="AB1331" s="1"/>
      <x:c r="AC1331" s="1"/>
      <x:c r="AD1331" s="1"/>
      <x:c r="AE1331" s="1"/>
      <x:c r="AF1331" s="1"/>
      <x:c r="AG1331" s="1"/>
      <x:c r="AH1331" s="1"/>
      <x:c r="AI1331" s="1"/>
      <x:c r="AJ1331" s="1"/>
      <x:c r="AK1331" s="1"/>
      <x:c r="AL1331" s="1"/>
      <x:c r="AM1331" s="1"/>
      <x:c r="AN1331" s="1"/>
    </x:row>
    <x:row r="1332" ht="22" customHeight="1">
      <x:c r="A1332" s="1" t="str">
        <x:v>1255614</x:v>
      </x:c>
      <x:c r="B1332" s="1" t="str">
        <x:v>Hung Vuong Food Market</x:v>
      </x:c>
      <x:c r="C1332" s="1" t="str">
        <x:v>Super Store</x:v>
      </x:c>
      <x:c r="D1332" s="1" t="str">
        <x:v>1122 Washington Ave</x:v>
      </x:c>
      <x:c r="E1332" s="1" t="str">
        <x:v>Philadelphia</x:v>
      </x:c>
      <x:c r="F1332" s="1" t="str">
        <x:v>PA</x:v>
      </x:c>
      <x:c r="G1332" s="1" t="str">
        <x:v>19147</x:v>
      </x:c>
      <x:c r="H1332" s="1" t="n">
        <x:v>39.937222</x:v>
      </x:c>
      <x:c r="I1332" s="1" t="n">
        <x:v>-75.161751</x:v>
      </x:c>
      <x:c r="J1332" s="1" t="str">
        <x:v>USDA SNAP retailer list</x:v>
      </x:c>
      <x:c r="K1332" s="1" t="str">
        <x:v>2026-10-09</x:v>
      </x:c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  <x:c r="AA1332" s="1"/>
      <x:c r="AB1332" s="1"/>
      <x:c r="AC1332" s="1"/>
      <x:c r="AD1332" s="1"/>
      <x:c r="AE1332" s="1"/>
      <x:c r="AF1332" s="1"/>
      <x:c r="AG1332" s="1"/>
      <x:c r="AH1332" s="1"/>
      <x:c r="AI1332" s="1"/>
      <x:c r="AJ1332" s="1"/>
      <x:c r="AK1332" s="1"/>
      <x:c r="AL1332" s="1"/>
      <x:c r="AM1332" s="1"/>
      <x:c r="AN1332" s="1"/>
    </x:row>
    <x:row r="1333" ht="22" customHeight="1">
      <x:c r="A1333" s="1" t="str">
        <x:v>828566</x:v>
      </x:c>
      <x:c r="B1333" s="1" t="str">
        <x:v>Shop Rite of Evesham Rd</x:v>
      </x:c>
      <x:c r="C1333" s="1" t="str">
        <x:v>Super Store</x:v>
      </x:c>
      <x:c r="D1333" s="1" t="str">
        <x:v>400 E Evesham Rd</x:v>
      </x:c>
      <x:c r="E1333" s="1" t="str">
        <x:v>Cherry Hill</x:v>
      </x:c>
      <x:c r="F1333" s="1" t="str">
        <x:v>NJ</x:v>
      </x:c>
      <x:c r="G1333" s="1" t="str">
        <x:v>08003</x:v>
      </x:c>
      <x:c r="H1333" s="1" t="n">
        <x:v>39.860687</x:v>
      </x:c>
      <x:c r="I1333" s="1" t="n">
        <x:v>-74.974541</x:v>
      </x:c>
      <x:c r="J1333" s="1" t="str">
        <x:v>USDA SNAP retailer list</x:v>
      </x:c>
      <x:c r="K1333" s="1" t="str">
        <x:v>2026-10-09</x:v>
      </x:c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  <x:c r="AA1333" s="1"/>
      <x:c r="AB1333" s="1"/>
      <x:c r="AC1333" s="1"/>
      <x:c r="AD1333" s="1"/>
      <x:c r="AE1333" s="1"/>
      <x:c r="AF1333" s="1"/>
      <x:c r="AG1333" s="1"/>
      <x:c r="AH1333" s="1"/>
      <x:c r="AI1333" s="1"/>
      <x:c r="AJ1333" s="1"/>
      <x:c r="AK1333" s="1"/>
      <x:c r="AL1333" s="1"/>
      <x:c r="AM1333" s="1"/>
      <x:c r="AN1333" s="1"/>
    </x:row>
    <x:row r="1334" ht="22" customHeight="1">
      <x:c r="A1334" s="1" t="str">
        <x:v>915351</x:v>
      </x:c>
      <x:c r="B1334" s="1" t="str">
        <x:v>Target Store 2312</x:v>
      </x:c>
      <x:c r="C1334" s="1" t="str">
        <x:v>Super Store</x:v>
      </x:c>
      <x:c r="D1334" s="1" t="str">
        <x:v>1200 Baltimore Pike</x:v>
      </x:c>
      <x:c r="E1334" s="1" t="str">
        <x:v>Springfield</x:v>
      </x:c>
      <x:c r="F1334" s="1" t="str">
        <x:v>PA</x:v>
      </x:c>
      <x:c r="G1334" s="1" t="str">
        <x:v>19064</x:v>
      </x:c>
      <x:c r="H1334" s="1" t="n">
        <x:v>39.913578</x:v>
      </x:c>
      <x:c r="I1334" s="1" t="n">
        <x:v>-75.349915</x:v>
      </x:c>
      <x:c r="J1334" s="1" t="str">
        <x:v>USDA SNAP retailer list</x:v>
      </x:c>
      <x:c r="K1334" s="1" t="str">
        <x:v>2026-10-09</x:v>
      </x:c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  <x:c r="AA1334" s="1"/>
      <x:c r="AB1334" s="1"/>
      <x:c r="AC1334" s="1"/>
      <x:c r="AD1334" s="1"/>
      <x:c r="AE1334" s="1"/>
      <x:c r="AF1334" s="1"/>
      <x:c r="AG1334" s="1"/>
      <x:c r="AH1334" s="1"/>
      <x:c r="AI1334" s="1"/>
      <x:c r="AJ1334" s="1"/>
      <x:c r="AK1334" s="1"/>
      <x:c r="AL1334" s="1"/>
      <x:c r="AM1334" s="1"/>
      <x:c r="AN1334" s="1"/>
    </x:row>
    <x:row r="1335" ht="22" customHeight="1">
      <x:c r="A1335" s="1" t="str">
        <x:v>1105136</x:v>
      </x:c>
      <x:c r="B1335" s="1" t="str">
        <x:v>Shoprite of Fox Street 430</x:v>
      </x:c>
      <x:c r="C1335" s="1" t="str">
        <x:v>Super Store</x:v>
      </x:c>
      <x:c r="D1335" s="1" t="str">
        <x:v>2800 Fox Street</x:v>
      </x:c>
      <x:c r="E1335" s="1" t="str">
        <x:v>Philadelphia</x:v>
      </x:c>
      <x:c r="F1335" s="1" t="str">
        <x:v>PA</x:v>
      </x:c>
      <x:c r="G1335" s="1" t="str">
        <x:v>19129</x:v>
      </x:c>
      <x:c r="H1335" s="1" t="n">
        <x:v>40.011044</x:v>
      </x:c>
      <x:c r="I1335" s="1" t="n">
        <x:v>-75.175133</x:v>
      </x:c>
      <x:c r="J1335" s="1" t="str">
        <x:v>USDA SNAP retailer list</x:v>
      </x:c>
      <x:c r="K1335" s="1" t="str">
        <x:v>2026-10-09</x:v>
      </x:c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  <x:c r="AA1335" s="1"/>
      <x:c r="AB1335" s="1"/>
      <x:c r="AC1335" s="1"/>
      <x:c r="AD1335" s="1"/>
      <x:c r="AE1335" s="1"/>
      <x:c r="AF1335" s="1"/>
      <x:c r="AG1335" s="1"/>
      <x:c r="AH1335" s="1"/>
      <x:c r="AI1335" s="1"/>
      <x:c r="AJ1335" s="1"/>
      <x:c r="AK1335" s="1"/>
      <x:c r="AL1335" s="1"/>
      <x:c r="AM1335" s="1"/>
      <x:c r="AN1335" s="1"/>
    </x:row>
    <x:row r="1336" ht="22" customHeight="1">
      <x:c r="A1336" s="1" t="str">
        <x:v>1255596</x:v>
      </x:c>
      <x:c r="B1336" s="1" t="str">
        <x:v>MOM's Organic Market 16</x:v>
      </x:c>
      <x:c r="C1336" s="1" t="str">
        <x:v>Super Store</x:v>
      </x:c>
      <x:c r="D1336" s="1" t="str">
        <x:v>1631 Kings Hwy N</x:v>
      </x:c>
      <x:c r="E1336" s="1" t="str">
        <x:v>Cherry Hill</x:v>
      </x:c>
      <x:c r="F1336" s="1" t="str">
        <x:v>NJ</x:v>
      </x:c>
      <x:c r="G1336" s="1" t="str">
        <x:v>08034</x:v>
      </x:c>
      <x:c r="H1336" s="1" t="n">
        <x:v>39.915329</x:v>
      </x:c>
      <x:c r="I1336" s="1" t="n">
        <x:v>-75.008781</x:v>
      </x:c>
      <x:c r="J1336" s="1" t="str">
        <x:v>USDA SNAP retailer list</x:v>
      </x:c>
      <x:c r="K1336" s="1" t="str">
        <x:v>2026-10-09</x:v>
      </x:c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  <x:c r="AA1336" s="1"/>
      <x:c r="AB1336" s="1"/>
      <x:c r="AC1336" s="1"/>
      <x:c r="AD1336" s="1"/>
      <x:c r="AE1336" s="1"/>
      <x:c r="AF1336" s="1"/>
      <x:c r="AG1336" s="1"/>
      <x:c r="AH1336" s="1"/>
      <x:c r="AI1336" s="1"/>
      <x:c r="AJ1336" s="1"/>
      <x:c r="AK1336" s="1"/>
      <x:c r="AL1336" s="1"/>
      <x:c r="AM1336" s="1"/>
      <x:c r="AN1336" s="1"/>
    </x:row>
    <x:row r="1337" ht="22" customHeight="1">
      <x:c r="A1337" s="1" t="str">
        <x:v>1130897</x:v>
      </x:c>
      <x:c r="B1337" s="1" t="str">
        <x:v>Del Buono's Bakery</x:v>
      </x:c>
      <x:c r="C1337" s="1" t="str">
        <x:v>Supermarket</x:v>
      </x:c>
      <x:c r="D1337" s="1" t="str">
        <x:v>319 Black Horse Pike</x:v>
      </x:c>
      <x:c r="E1337" s="1" t="str">
        <x:v>Haddon Heights</x:v>
      </x:c>
      <x:c r="F1337" s="1" t="str">
        <x:v>NJ</x:v>
      </x:c>
      <x:c r="G1337" s="1" t="str">
        <x:v>08035</x:v>
      </x:c>
      <x:c r="H1337" s="1" t="n">
        <x:v>39.876862</x:v>
      </x:c>
      <x:c r="I1337" s="1" t="n">
        <x:v>-75.08403</x:v>
      </x:c>
      <x:c r="J1337" s="1" t="str">
        <x:v>USDA SNAP retailer list</x:v>
      </x:c>
      <x:c r="K1337" s="1" t="str">
        <x:v>2026-10-09</x:v>
      </x:c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  <x:c r="AA1337" s="1"/>
      <x:c r="AB1337" s="1"/>
      <x:c r="AC1337" s="1"/>
      <x:c r="AD1337" s="1"/>
      <x:c r="AE1337" s="1"/>
      <x:c r="AF1337" s="1"/>
      <x:c r="AG1337" s="1"/>
      <x:c r="AH1337" s="1"/>
      <x:c r="AI1337" s="1"/>
      <x:c r="AJ1337" s="1"/>
      <x:c r="AK1337" s="1"/>
      <x:c r="AL1337" s="1"/>
      <x:c r="AM1337" s="1"/>
      <x:c r="AN1337" s="1"/>
    </x:row>
    <x:row r="1338" ht="22" customHeight="1">
      <x:c r="A1338" s="1" t="str">
        <x:v>1705347</x:v>
      </x:c>
      <x:c r="B1338" s="1" t="str">
        <x:v>Metfresh Supermarket</x:v>
      </x:c>
      <x:c r="C1338" s="1" t="str">
        <x:v>Supermarket</x:v>
      </x:c>
      <x:c r="D1338" s="1" t="str">
        <x:v>2014 S Broad St</x:v>
      </x:c>
      <x:c r="E1338" s="1" t="str">
        <x:v>Philadelphia</x:v>
      </x:c>
      <x:c r="F1338" s="1" t="str">
        <x:v>PA</x:v>
      </x:c>
      <x:c r="G1338" s="1" t="str">
        <x:v>19145</x:v>
      </x:c>
      <x:c r="H1338" s="1" t="n">
        <x:v>39.924732</x:v>
      </x:c>
      <x:c r="I1338" s="1" t="n">
        <x:v>-75.17012</x:v>
      </x:c>
      <x:c r="J1338" s="1" t="str">
        <x:v>USDA SNAP retailer list</x:v>
      </x:c>
      <x:c r="K1338" s="1" t="str">
        <x:v>2026-10-09</x:v>
      </x:c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  <x:c r="AA1338" s="1"/>
      <x:c r="AB1338" s="1"/>
      <x:c r="AC1338" s="1"/>
      <x:c r="AD1338" s="1"/>
      <x:c r="AE1338" s="1"/>
      <x:c r="AF1338" s="1"/>
      <x:c r="AG1338" s="1"/>
      <x:c r="AH1338" s="1"/>
      <x:c r="AI1338" s="1"/>
      <x:c r="AJ1338" s="1"/>
      <x:c r="AK1338" s="1"/>
      <x:c r="AL1338" s="1"/>
      <x:c r="AM1338" s="1"/>
      <x:c r="AN1338" s="1"/>
    </x:row>
    <x:row r="1339" ht="22" customHeight="1">
      <x:c r="A1339" s="1" t="str">
        <x:v>1212469</x:v>
      </x:c>
      <x:c r="B1339" s="1" t="str">
        <x:v>New Oregon Market Inc</x:v>
      </x:c>
      <x:c r="C1339" s="1" t="str">
        <x:v>Super Store</x:v>
      </x:c>
      <x:c r="D1339" s="1" t="str">
        <x:v>320 W Oregon Ave</x:v>
      </x:c>
      <x:c r="E1339" s="1" t="str">
        <x:v>Philadelphia</x:v>
      </x:c>
      <x:c r="F1339" s="1" t="str">
        <x:v>PA</x:v>
      </x:c>
      <x:c r="G1339" s="1" t="str">
        <x:v>19148</x:v>
      </x:c>
      <x:c r="H1339" s="1" t="n">
        <x:v>39.914482</x:v>
      </x:c>
      <x:c r="I1339" s="1" t="n">
        <x:v>-75.153404</x:v>
      </x:c>
      <x:c r="J1339" s="1" t="str">
        <x:v>USDA SNAP retailer list</x:v>
      </x:c>
      <x:c r="K1339" s="1" t="str">
        <x:v>2026-10-09</x:v>
      </x:c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  <x:c r="AA1339" s="1"/>
      <x:c r="AB1339" s="1"/>
      <x:c r="AC1339" s="1"/>
      <x:c r="AD1339" s="1"/>
      <x:c r="AE1339" s="1"/>
      <x:c r="AF1339" s="1"/>
      <x:c r="AG1339" s="1"/>
      <x:c r="AH1339" s="1"/>
      <x:c r="AI1339" s="1"/>
      <x:c r="AJ1339" s="1"/>
      <x:c r="AK1339" s="1"/>
      <x:c r="AL1339" s="1"/>
      <x:c r="AM1339" s="1"/>
      <x:c r="AN1339" s="1"/>
    </x:row>
    <x:row r="1340" ht="22" customHeight="1">
      <x:c r="A1340" s="1" t="str">
        <x:v>1206331</x:v>
      </x:c>
      <x:c r="B1340" s="1" t="str">
        <x:v>JC 131 West Corp/Fine Fare</x:v>
      </x:c>
      <x:c r="C1340" s="1" t="str">
        <x:v>Supermarket</x:v>
      </x:c>
      <x:c r="D1340" s="1" t="str">
        <x:v>131 W Lehigh Ave</x:v>
      </x:c>
      <x:c r="E1340" s="1" t="str">
        <x:v>Philadelphia</x:v>
      </x:c>
      <x:c r="F1340" s="1" t="str">
        <x:v>PA</x:v>
      </x:c>
      <x:c r="G1340" s="1" t="str">
        <x:v>19133</x:v>
      </x:c>
      <x:c r="H1340" s="1" t="n">
        <x:v>39.991077</x:v>
      </x:c>
      <x:c r="I1340" s="1" t="n">
        <x:v>-75.132141</x:v>
      </x:c>
      <x:c r="J1340" s="1" t="str">
        <x:v>USDA SNAP retailer list</x:v>
      </x:c>
      <x:c r="K1340" s="1" t="str">
        <x:v>2026-10-09</x:v>
      </x:c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  <x:c r="AA1340" s="1"/>
      <x:c r="AB1340" s="1"/>
      <x:c r="AC1340" s="1"/>
      <x:c r="AD1340" s="1"/>
      <x:c r="AE1340" s="1"/>
      <x:c r="AF1340" s="1"/>
      <x:c r="AG1340" s="1"/>
      <x:c r="AH1340" s="1"/>
      <x:c r="AI1340" s="1"/>
      <x:c r="AJ1340" s="1"/>
      <x:c r="AK1340" s="1"/>
      <x:c r="AL1340" s="1"/>
      <x:c r="AM1340" s="1"/>
      <x:c r="AN1340" s="1"/>
    </x:row>
    <x:row r="1341" ht="22" customHeight="1">
      <x:c r="A1341" s="1" t="str">
        <x:v>873249</x:v>
      </x:c>
      <x:c r="B1341" s="1" t="str">
        <x:v>Target Store 1256</x:v>
      </x:c>
      <x:c r="C1341" s="1" t="str">
        <x:v>Super Store</x:v>
      </x:c>
      <x:c r="D1341" s="1" t="str">
        <x:v>1495 Old York Rd</x:v>
      </x:c>
      <x:c r="E1341" s="1" t="str">
        <x:v>Abington</x:v>
      </x:c>
      <x:c r="F1341" s="1" t="str">
        <x:v>PA</x:v>
      </x:c>
      <x:c r="G1341" s="1" t="str">
        <x:v>19148</x:v>
      </x:c>
      <x:c r="H1341" s="1" t="n">
        <x:v>40.125511</x:v>
      </x:c>
      <x:c r="I1341" s="1" t="n">
        <x:v>-75.117226</x:v>
      </x:c>
      <x:c r="J1341" s="1" t="str">
        <x:v>USDA SNAP retailer list</x:v>
      </x:c>
      <x:c r="K1341" s="1" t="str">
        <x:v>2026-10-09</x:v>
      </x:c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  <x:c r="AA1341" s="1"/>
      <x:c r="AB1341" s="1"/>
      <x:c r="AC1341" s="1"/>
      <x:c r="AD1341" s="1"/>
      <x:c r="AE1341" s="1"/>
      <x:c r="AF1341" s="1"/>
      <x:c r="AG1341" s="1"/>
      <x:c r="AH1341" s="1"/>
      <x:c r="AI1341" s="1"/>
      <x:c r="AJ1341" s="1"/>
      <x:c r="AK1341" s="1"/>
      <x:c r="AL1341" s="1"/>
      <x:c r="AM1341" s="1"/>
      <x:c r="AN1341" s="1"/>
    </x:row>
    <x:row r="1342" ht="22" customHeight="1">
      <x:c r="A1342" s="1" t="str">
        <x:v>896345</x:v>
      </x:c>
      <x:c r="B1342" s="1" t="str">
        <x:v>ALDI 60048</x:v>
      </x:c>
      <x:c r="C1342" s="1" t="str">
        <x:v>Supermarket</x:v>
      </x:c>
      <x:c r="D1342" s="1" t="str">
        <x:v>1445 Street Rd</x:v>
      </x:c>
      <x:c r="E1342" s="1" t="str">
        <x:v>Bensalem</x:v>
      </x:c>
      <x:c r="F1342" s="1" t="str">
        <x:v>PA</x:v>
      </x:c>
      <x:c r="G1342" s="1" t="str">
        <x:v>19020</x:v>
      </x:c>
      <x:c r="H1342" s="1" t="n">
        <x:v>40.09045</x:v>
      </x:c>
      <x:c r="I1342" s="1" t="n">
        <x:v>-74.93895</x:v>
      </x:c>
      <x:c r="J1342" s="1" t="str">
        <x:v>USDA SNAP retailer list</x:v>
      </x:c>
      <x:c r="K1342" s="1" t="str">
        <x:v>2026-10-09</x:v>
      </x:c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  <x:c r="AA1342" s="1"/>
      <x:c r="AB1342" s="1"/>
      <x:c r="AC1342" s="1"/>
      <x:c r="AD1342" s="1"/>
      <x:c r="AE1342" s="1"/>
      <x:c r="AF1342" s="1"/>
      <x:c r="AG1342" s="1"/>
      <x:c r="AH1342" s="1"/>
      <x:c r="AI1342" s="1"/>
      <x:c r="AJ1342" s="1"/>
      <x:c r="AK1342" s="1"/>
      <x:c r="AL1342" s="1"/>
      <x:c r="AM1342" s="1"/>
      <x:c r="AN1342" s="1"/>
    </x:row>
    <x:row r="1343" ht="22" customHeight="1">
      <x:c r="A1343" s="1" t="str">
        <x:v>903932</x:v>
      </x:c>
      <x:c r="B1343" s="1" t="str">
        <x:v>Target Store 2527</x:v>
      </x:c>
      <x:c r="C1343" s="1" t="str">
        <x:v>Super Store</x:v>
      </x:c>
      <x:c r="D1343" s="1" t="str">
        <x:v>2450 Shoppers Ln</x:v>
      </x:c>
      <x:c r="E1343" s="1" t="str">
        <x:v>Philadelphia</x:v>
      </x:c>
      <x:c r="F1343" s="1" t="str">
        <x:v>PA</x:v>
      </x:c>
      <x:c r="G1343" s="1" t="str">
        <x:v>19150</x:v>
      </x:c>
      <x:c r="H1343" s="1" t="n">
        <x:v>40.075687</x:v>
      </x:c>
      <x:c r="I1343" s="1" t="n">
        <x:v>-75.15509</x:v>
      </x:c>
      <x:c r="J1343" s="1" t="str">
        <x:v>USDA SNAP retailer list</x:v>
      </x:c>
      <x:c r="K1343" s="1" t="str">
        <x:v>2026-10-09</x:v>
      </x:c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  <x:c r="AA1343" s="1"/>
      <x:c r="AB1343" s="1"/>
      <x:c r="AC1343" s="1"/>
      <x:c r="AD1343" s="1"/>
      <x:c r="AE1343" s="1"/>
      <x:c r="AF1343" s="1"/>
      <x:c r="AG1343" s="1"/>
      <x:c r="AH1343" s="1"/>
      <x:c r="AI1343" s="1"/>
      <x:c r="AJ1343" s="1"/>
      <x:c r="AK1343" s="1"/>
      <x:c r="AL1343" s="1"/>
      <x:c r="AM1343" s="1"/>
      <x:c r="AN1343" s="1"/>
    </x:row>
    <x:row r="1344" ht="22" customHeight="1">
      <x:c r="A1344" s="1" t="str">
        <x:v>1673263</x:v>
      </x:c>
      <x:c r="B1344" s="1" t="str">
        <x:v>Giant Food Store 6518</x:v>
      </x:c>
      <x:c r="C1344" s="1" t="str">
        <x:v>Supermarket</x:v>
      </x:c>
      <x:c r="D1344" s="1" t="str">
        <x:v>2350 Susquehanna Rd</x:v>
      </x:c>
      <x:c r="E1344" s="1" t="str">
        <x:v>Abington</x:v>
      </x:c>
      <x:c r="F1344" s="1" t="str">
        <x:v>PA</x:v>
      </x:c>
      <x:c r="G1344" s="1" t="str">
        <x:v>19001</x:v>
      </x:c>
      <x:c r="H1344" s="1" t="n">
        <x:v>40.121284</x:v>
      </x:c>
      <x:c r="I1344" s="1" t="n">
        <x:v>-75.135674</x:v>
      </x:c>
      <x:c r="J1344" s="1" t="str">
        <x:v>USDA SNAP retailer list</x:v>
      </x:c>
      <x:c r="K1344" s="1" t="str">
        <x:v>2026-10-09</x:v>
      </x:c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  <x:c r="AA1344" s="1"/>
      <x:c r="AB1344" s="1"/>
      <x:c r="AC1344" s="1"/>
      <x:c r="AD1344" s="1"/>
      <x:c r="AE1344" s="1"/>
      <x:c r="AF1344" s="1"/>
      <x:c r="AG1344" s="1"/>
      <x:c r="AH1344" s="1"/>
      <x:c r="AI1344" s="1"/>
      <x:c r="AJ1344" s="1"/>
      <x:c r="AK1344" s="1"/>
      <x:c r="AL1344" s="1"/>
      <x:c r="AM1344" s="1"/>
      <x:c r="AN1344" s="1"/>
    </x:row>
    <x:row r="1345" ht="22" customHeight="1">
      <x:c r="A1345" s="1" t="str">
        <x:v>1670833</x:v>
      </x:c>
      <x:c r="B1345" s="1" t="str">
        <x:v>Abington Grocery Outlet 814</x:v>
      </x:c>
      <x:c r="C1345" s="1" t="str">
        <x:v>Supermarket</x:v>
      </x:c>
      <x:c r="D1345" s="1" t="str">
        <x:v>1441 Old York Rd</x:v>
      </x:c>
      <x:c r="E1345" s="1" t="str">
        <x:v>Abington</x:v>
      </x:c>
      <x:c r="F1345" s="1" t="str">
        <x:v>PA</x:v>
      </x:c>
      <x:c r="G1345" s="1" t="str">
        <x:v>19001</x:v>
      </x:c>
      <x:c r="H1345" s="1" t="n">
        <x:v>40.123596</x:v>
      </x:c>
      <x:c r="I1345" s="1" t="n">
        <x:v>-75.115906</x:v>
      </x:c>
      <x:c r="J1345" s="1" t="str">
        <x:v>USDA SNAP retailer list</x:v>
      </x:c>
      <x:c r="K1345" s="1" t="str">
        <x:v>2026-10-09</x:v>
      </x:c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  <x:c r="AA1345" s="1"/>
      <x:c r="AB1345" s="1"/>
      <x:c r="AC1345" s="1"/>
      <x:c r="AD1345" s="1"/>
      <x:c r="AE1345" s="1"/>
      <x:c r="AF1345" s="1"/>
      <x:c r="AG1345" s="1"/>
      <x:c r="AH1345" s="1"/>
      <x:c r="AI1345" s="1"/>
      <x:c r="AJ1345" s="1"/>
      <x:c r="AK1345" s="1"/>
      <x:c r="AL1345" s="1"/>
      <x:c r="AM1345" s="1"/>
      <x:c r="AN1345" s="1"/>
    </x:row>
    <x:row r="1346" ht="22" customHeight="1">
      <x:c r="A1346" s="1" t="str">
        <x:v>1673064</x:v>
      </x:c>
      <x:c r="B1346" s="1" t="str">
        <x:v>Giant Food Store 6046</x:v>
      </x:c>
      <x:c r="C1346" s="1" t="str">
        <x:v>Supermarket</x:v>
      </x:c>
      <x:c r="D1346" s="1" t="str">
        <x:v>2721 Street Rd</x:v>
      </x:c>
      <x:c r="E1346" s="1" t="str">
        <x:v>Bensalem</x:v>
      </x:c>
      <x:c r="F1346" s="1" t="str">
        <x:v>PA</x:v>
      </x:c>
      <x:c r="G1346" s="1" t="str">
        <x:v>19020</x:v>
      </x:c>
      <x:c r="H1346" s="1" t="n">
        <x:v>40.111191</x:v>
      </x:c>
      <x:c r="I1346" s="1" t="n">
        <x:v>-74.951309</x:v>
      </x:c>
      <x:c r="J1346" s="1" t="str">
        <x:v>USDA SNAP retailer list</x:v>
      </x:c>
      <x:c r="K1346" s="1" t="str">
        <x:v>2026-10-09</x:v>
      </x:c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  <x:c r="AA1346" s="1"/>
      <x:c r="AB1346" s="1"/>
      <x:c r="AC1346" s="1"/>
      <x:c r="AD1346" s="1"/>
      <x:c r="AE1346" s="1"/>
      <x:c r="AF1346" s="1"/>
      <x:c r="AG1346" s="1"/>
      <x:c r="AH1346" s="1"/>
      <x:c r="AI1346" s="1"/>
      <x:c r="AJ1346" s="1"/>
      <x:c r="AK1346" s="1"/>
      <x:c r="AL1346" s="1"/>
      <x:c r="AM1346" s="1"/>
      <x:c r="AN1346" s="1"/>
    </x:row>
    <x:row r="1347" ht="22" customHeight="1">
      <x:c r="A1347" s="1" t="str">
        <x:v>950162</x:v>
      </x:c>
      <x:c r="B1347" s="1" t="str">
        <x:v>Weavers Way Co-op</x:v>
      </x:c>
      <x:c r="C1347" s="1" t="str">
        <x:v>Super Store</x:v>
      </x:c>
      <x:c r="D1347" s="1" t="str">
        <x:v>8424 Germantown Ave</x:v>
      </x:c>
      <x:c r="E1347" s="1" t="str">
        <x:v>Philadelphia</x:v>
      </x:c>
      <x:c r="F1347" s="1" t="str">
        <x:v>PA</x:v>
      </x:c>
      <x:c r="G1347" s="1" t="str">
        <x:v>19118</x:v>
      </x:c>
      <x:c r="H1347" s="1" t="n">
        <x:v>40.07539</x:v>
      </x:c>
      <x:c r="I1347" s="1" t="n">
        <x:v>-75.205467</x:v>
      </x:c>
      <x:c r="J1347" s="1" t="str">
        <x:v>USDA SNAP retailer list</x:v>
      </x:c>
      <x:c r="K1347" s="1" t="str">
        <x:v>2026-10-09</x:v>
      </x:c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  <x:c r="AA1347" s="1"/>
      <x:c r="AB1347" s="1"/>
      <x:c r="AC1347" s="1"/>
      <x:c r="AD1347" s="1"/>
      <x:c r="AE1347" s="1"/>
      <x:c r="AF1347" s="1"/>
      <x:c r="AG1347" s="1"/>
      <x:c r="AH1347" s="1"/>
      <x:c r="AI1347" s="1"/>
      <x:c r="AJ1347" s="1"/>
      <x:c r="AK1347" s="1"/>
      <x:c r="AL1347" s="1"/>
      <x:c r="AM1347" s="1"/>
      <x:c r="AN1347" s="1"/>
    </x:row>
    <x:row r="1348" ht="22" customHeight="1">
      <x:c r="A1348" s="1" t="str">
        <x:v>1095257</x:v>
      </x:c>
      <x:c r="B1348" s="1" t="str">
        <x:v>Lawnside Shoprite 534</x:v>
      </x:c>
      <x:c r="C1348" s="1" t="str">
        <x:v>Super Store</x:v>
      </x:c>
      <x:c r="D1348" s="1" t="str">
        <x:v>130 White Horse Pike</x:v>
      </x:c>
      <x:c r="E1348" s="1" t="str">
        <x:v>Lawnside</x:v>
      </x:c>
      <x:c r="F1348" s="1" t="str">
        <x:v>NJ</x:v>
      </x:c>
      <x:c r="G1348" s="1" t="str">
        <x:v>08045</x:v>
      </x:c>
      <x:c r="H1348" s="1" t="n">
        <x:v>39.867374</x:v>
      </x:c>
      <x:c r="I1348" s="1" t="n">
        <x:v>-75.040016</x:v>
      </x:c>
      <x:c r="J1348" s="1" t="str">
        <x:v>USDA SNAP retailer list</x:v>
      </x:c>
      <x:c r="K1348" s="1" t="str">
        <x:v>2026-10-09</x:v>
      </x:c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  <x:c r="AA1348" s="1"/>
      <x:c r="AB1348" s="1"/>
      <x:c r="AC1348" s="1"/>
      <x:c r="AD1348" s="1"/>
      <x:c r="AE1348" s="1"/>
      <x:c r="AF1348" s="1"/>
      <x:c r="AG1348" s="1"/>
      <x:c r="AH1348" s="1"/>
      <x:c r="AI1348" s="1"/>
      <x:c r="AJ1348" s="1"/>
      <x:c r="AK1348" s="1"/>
      <x:c r="AL1348" s="1"/>
      <x:c r="AM1348" s="1"/>
      <x:c r="AN1348" s="1"/>
    </x:row>
    <x:row r="1349" ht="22" customHeight="1">
      <x:c r="A1349" s="1" t="str">
        <x:v>1131885</x:v>
      </x:c>
      <x:c r="B1349" s="1" t="str">
        <x:v>MOM's Organic Market 11</x:v>
      </x:c>
      <x:c r="C1349" s="1" t="str">
        <x:v>Super Store</x:v>
      </x:c>
      <x:c r="D1349" s="1" t="str">
        <x:v>1149 East Lancaster Ave</x:v>
      </x:c>
      <x:c r="E1349" s="1" t="str">
        <x:v>Rosemont</x:v>
      </x:c>
      <x:c r="F1349" s="1" t="str">
        <x:v>PA</x:v>
      </x:c>
      <x:c r="G1349" s="1" t="str">
        <x:v>19010</x:v>
      </x:c>
      <x:c r="H1349" s="1" t="n">
        <x:v>40.02523</x:v>
      </x:c>
      <x:c r="I1349" s="1" t="n">
        <x:v>-75.325966</x:v>
      </x:c>
      <x:c r="J1349" s="1" t="str">
        <x:v>USDA SNAP retailer list</x:v>
      </x:c>
      <x:c r="K1349" s="1" t="str">
        <x:v>2026-10-09</x:v>
      </x:c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  <x:c r="AA1349" s="1"/>
      <x:c r="AB1349" s="1"/>
      <x:c r="AC1349" s="1"/>
      <x:c r="AD1349" s="1"/>
      <x:c r="AE1349" s="1"/>
      <x:c r="AF1349" s="1"/>
      <x:c r="AG1349" s="1"/>
      <x:c r="AH1349" s="1"/>
      <x:c r="AI1349" s="1"/>
      <x:c r="AJ1349" s="1"/>
      <x:c r="AK1349" s="1"/>
      <x:c r="AL1349" s="1"/>
      <x:c r="AM1349" s="1"/>
      <x:c r="AN1349" s="1"/>
    </x:row>
    <x:row r="1350" ht="22" customHeight="1">
      <x:c r="A1350" s="1" t="str">
        <x:v>873256</x:v>
      </x:c>
      <x:c r="B1350" s="1" t="str">
        <x:v>Target Store 1443</x:v>
      </x:c>
      <x:c r="C1350" s="1" t="str">
        <x:v>Super Store</x:v>
      </x:c>
      <x:c r="D1350" s="1" t="str">
        <x:v>1 Mifflin St</x:v>
      </x:c>
      <x:c r="E1350" s="1" t="str">
        <x:v>Philadelphia</x:v>
      </x:c>
      <x:c r="F1350" s="1" t="str">
        <x:v>PA</x:v>
      </x:c>
      <x:c r="G1350" s="1" t="str">
        <x:v>19148</x:v>
      </x:c>
      <x:c r="H1350" s="1" t="n">
        <x:v>39.92392</x:v>
      </x:c>
      <x:c r="I1350" s="1" t="n">
        <x:v>-75.146904</x:v>
      </x:c>
      <x:c r="J1350" s="1" t="str">
        <x:v>USDA SNAP retailer list</x:v>
      </x:c>
      <x:c r="K1350" s="1" t="str">
        <x:v>2026-10-09</x:v>
      </x:c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  <x:c r="AA1350" s="1"/>
      <x:c r="AB1350" s="1"/>
      <x:c r="AC1350" s="1"/>
      <x:c r="AD1350" s="1"/>
      <x:c r="AE1350" s="1"/>
      <x:c r="AF1350" s="1"/>
      <x:c r="AG1350" s="1"/>
      <x:c r="AH1350" s="1"/>
      <x:c r="AI1350" s="1"/>
      <x:c r="AJ1350" s="1"/>
      <x:c r="AK1350" s="1"/>
      <x:c r="AL1350" s="1"/>
      <x:c r="AM1350" s="1"/>
      <x:c r="AN1350" s="1"/>
    </x:row>
    <x:row r="1351" ht="22" customHeight="1">
      <x:c r="A1351" s="1" t="str">
        <x:v>828514</x:v>
      </x:c>
      <x:c r="B1351" s="1" t="str">
        <x:v>Union Mill Shop Rite</x:v>
      </x:c>
      <x:c r="C1351" s="1" t="str">
        <x:v>Super Store</x:v>
      </x:c>
      <x:c r="D1351" s="1" t="str">
        <x:v>892 Union Mill Rd</x:v>
      </x:c>
      <x:c r="E1351" s="1" t="str">
        <x:v>Mount Laurel</x:v>
      </x:c>
      <x:c r="F1351" s="1" t="str">
        <x:v>NJ</x:v>
      </x:c>
      <x:c r="G1351" s="1" t="str">
        <x:v>08054</x:v>
      </x:c>
      <x:c r="H1351" s="1" t="n">
        <x:v>39.939056</x:v>
      </x:c>
      <x:c r="I1351" s="1" t="n">
        <x:v>-74.915825</x:v>
      </x:c>
      <x:c r="J1351" s="1" t="str">
        <x:v>USDA SNAP retailer list</x:v>
      </x:c>
      <x:c r="K1351" s="1" t="str">
        <x:v>2026-10-09</x:v>
      </x:c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  <x:c r="AA1351" s="1"/>
      <x:c r="AB1351" s="1"/>
      <x:c r="AC1351" s="1"/>
      <x:c r="AD1351" s="1"/>
      <x:c r="AE1351" s="1"/>
      <x:c r="AF1351" s="1"/>
      <x:c r="AG1351" s="1"/>
      <x:c r="AH1351" s="1"/>
      <x:c r="AI1351" s="1"/>
      <x:c r="AJ1351" s="1"/>
      <x:c r="AK1351" s="1"/>
      <x:c r="AL1351" s="1"/>
      <x:c r="AM1351" s="1"/>
      <x:c r="AN1351" s="1"/>
    </x:row>
    <x:row r="1352" ht="22" customHeight="1">
      <x:c r="A1352" s="1" t="str">
        <x:v>1700824</x:v>
      </x:c>
      <x:c r="B1352" s="1" t="str">
        <x:v>Hung Vuong Food Market Lp</x:v>
      </x:c>
      <x:c r="C1352" s="1" t="str">
        <x:v>Super Store</x:v>
      </x:c>
      <x:c r="D1352" s="1" t="str">
        <x:v>6410 Frankford Ave</x:v>
      </x:c>
      <x:c r="E1352" s="1" t="str">
        <x:v>Philadelphia</x:v>
      </x:c>
      <x:c r="F1352" s="1" t="str">
        <x:v>PA</x:v>
      </x:c>
      <x:c r="G1352" s="1" t="str">
        <x:v>19135</x:v>
      </x:c>
      <x:c r="H1352" s="1" t="n">
        <x:v>40.029179</x:v>
      </x:c>
      <x:c r="I1352" s="1" t="n">
        <x:v>-75.05735</x:v>
      </x:c>
      <x:c r="J1352" s="1" t="str">
        <x:v>USDA SNAP retailer list</x:v>
      </x:c>
      <x:c r="K1352" s="1" t="str">
        <x:v>2026-10-09</x:v>
      </x:c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  <x:c r="AA1352" s="1"/>
      <x:c r="AB1352" s="1"/>
      <x:c r="AC1352" s="1"/>
      <x:c r="AD1352" s="1"/>
      <x:c r="AE1352" s="1"/>
      <x:c r="AF1352" s="1"/>
      <x:c r="AG1352" s="1"/>
      <x:c r="AH1352" s="1"/>
      <x:c r="AI1352" s="1"/>
      <x:c r="AJ1352" s="1"/>
      <x:c r="AK1352" s="1"/>
      <x:c r="AL1352" s="1"/>
      <x:c r="AM1352" s="1"/>
      <x:c r="AN1352" s="1"/>
    </x:row>
    <x:row r="1353" ht="22" customHeight="1">
      <x:c r="A1353" s="1" t="str">
        <x:v>813824</x:v>
      </x:c>
      <x:c r="B1353" s="1" t="str">
        <x:v>Castor Avenue Market LLC</x:v>
      </x:c>
      <x:c r="C1353" s="1" t="str">
        <x:v>Super Store</x:v>
      </x:c>
      <x:c r="D1353" s="1" t="str">
        <x:v>900 E Orthodox St</x:v>
      </x:c>
      <x:c r="E1353" s="1" t="str">
        <x:v>Philadelphia</x:v>
      </x:c>
      <x:c r="F1353" s="1" t="str">
        <x:v>PA</x:v>
      </x:c>
      <x:c r="G1353" s="1" t="str">
        <x:v>19124</x:v>
      </x:c>
      <x:c r="H1353" s="1" t="n">
        <x:v>40.019558</x:v>
      </x:c>
      <x:c r="I1353" s="1" t="n">
        <x:v>-75.095818</x:v>
      </x:c>
      <x:c r="J1353" s="1" t="str">
        <x:v>USDA SNAP retailer list</x:v>
      </x:c>
      <x:c r="K1353" s="1" t="str">
        <x:v>2026-10-09</x:v>
      </x:c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  <x:c r="AA1353" s="1"/>
      <x:c r="AB1353" s="1"/>
      <x:c r="AC1353" s="1"/>
      <x:c r="AD1353" s="1"/>
      <x:c r="AE1353" s="1"/>
      <x:c r="AF1353" s="1"/>
      <x:c r="AG1353" s="1"/>
      <x:c r="AH1353" s="1"/>
      <x:c r="AI1353" s="1"/>
      <x:c r="AJ1353" s="1"/>
      <x:c r="AK1353" s="1"/>
      <x:c r="AL1353" s="1"/>
      <x:c r="AM1353" s="1"/>
      <x:c r="AN1353" s="1"/>
    </x:row>
    <x:row r="1354" ht="22" customHeight="1">
      <x:c r="A1354" s="1" t="str">
        <x:v>1272868</x:v>
      </x:c>
      <x:c r="B1354" s="1" t="str">
        <x:v>Fresh Grocer of Monument 456</x:v>
      </x:c>
      <x:c r="C1354" s="1" t="str">
        <x:v>Super Store</x:v>
      </x:c>
      <x:c r="D1354" s="1" t="str">
        <x:v>4160 Monument Rd</x:v>
      </x:c>
      <x:c r="E1354" s="1" t="str">
        <x:v>Philadelphia</x:v>
      </x:c>
      <x:c r="F1354" s="1" t="str">
        <x:v>PA</x:v>
      </x:c>
      <x:c r="G1354" s="1" t="str">
        <x:v>19131</x:v>
      </x:c>
      <x:c r="H1354" s="1" t="n">
        <x:v>40.002548</x:v>
      </x:c>
      <x:c r="I1354" s="1" t="n">
        <x:v>-75.214836</x:v>
      </x:c>
      <x:c r="J1354" s="1" t="str">
        <x:v>USDA SNAP retailer list</x:v>
      </x:c>
      <x:c r="K1354" s="1" t="str">
        <x:v>2026-10-09</x:v>
      </x:c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  <x:c r="AA1354" s="1"/>
      <x:c r="AB1354" s="1"/>
      <x:c r="AC1354" s="1"/>
      <x:c r="AD1354" s="1"/>
      <x:c r="AE1354" s="1"/>
      <x:c r="AF1354" s="1"/>
      <x:c r="AG1354" s="1"/>
      <x:c r="AH1354" s="1"/>
      <x:c r="AI1354" s="1"/>
      <x:c r="AJ1354" s="1"/>
      <x:c r="AK1354" s="1"/>
      <x:c r="AL1354" s="1"/>
      <x:c r="AM1354" s="1"/>
      <x:c r="AN1354" s="1"/>
    </x:row>
    <x:row r="1355" ht="22" customHeight="1">
      <x:c r="A1355" s="1" t="str">
        <x:v>751839</x:v>
      </x:c>
      <x:c r="B1355" s="1" t="str">
        <x:v>PENNSAUKEN FOODS INC</x:v>
      </x:c>
      <x:c r="C1355" s="1" t="str">
        <x:v>Super Store</x:v>
      </x:c>
      <x:c r="D1355" s="1" t="str">
        <x:v>7500 N Crescent Blvd</x:v>
      </x:c>
      <x:c r="E1355" s="1" t="str">
        <x:v>Pennsauken</x:v>
      </x:c>
      <x:c r="F1355" s="1" t="str">
        <x:v>NJ</x:v>
      </x:c>
      <x:c r="G1355" s="1" t="str">
        <x:v>08110</x:v>
      </x:c>
      <x:c r="H1355" s="1" t="n">
        <x:v>39.970566</x:v>
      </x:c>
      <x:c r="I1355" s="1" t="n">
        <x:v>-75.043114</x:v>
      </x:c>
      <x:c r="J1355" s="1" t="str">
        <x:v>USDA SNAP retailer list</x:v>
      </x:c>
      <x:c r="K1355" s="1" t="str">
        <x:v>2026-10-09</x:v>
      </x:c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  <x:c r="AA1355" s="1"/>
      <x:c r="AB1355" s="1"/>
      <x:c r="AC1355" s="1"/>
      <x:c r="AD1355" s="1"/>
      <x:c r="AE1355" s="1"/>
      <x:c r="AF1355" s="1"/>
      <x:c r="AG1355" s="1"/>
      <x:c r="AH1355" s="1"/>
      <x:c r="AI1355" s="1"/>
      <x:c r="AJ1355" s="1"/>
      <x:c r="AK1355" s="1"/>
      <x:c r="AL1355" s="1"/>
      <x:c r="AM1355" s="1"/>
      <x:c r="AN1355" s="1"/>
    </x:row>
    <x:row r="1356" ht="22" customHeight="1">
      <x:c r="A1356" s="1" t="str">
        <x:v>1598720</x:v>
      </x:c>
      <x:c r="B1356" s="1" t="str">
        <x:v>Giant Food Store 6329</x:v>
      </x:c>
      <x:c r="C1356" s="1" t="str">
        <x:v>Supermarket</x:v>
      </x:c>
      <x:c r="D1356" s="1" t="str">
        <x:v>300 E Baltimore Ave</x:v>
      </x:c>
      <x:c r="E1356" s="1" t="str">
        <x:v>Lansdowne</x:v>
      </x:c>
      <x:c r="F1356" s="1" t="str">
        <x:v>PA</x:v>
      </x:c>
      <x:c r="G1356" s="1" t="str">
        <x:v>19050</x:v>
      </x:c>
      <x:c r="H1356" s="1" t="n">
        <x:v>39.939072</x:v>
      </x:c>
      <x:c r="I1356" s="1" t="n">
        <x:v>-75.264046</x:v>
      </x:c>
      <x:c r="J1356" s="1" t="str">
        <x:v>USDA SNAP retailer list</x:v>
      </x:c>
      <x:c r="K1356" s="1" t="str">
        <x:v>2026-10-09</x:v>
      </x:c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  <x:c r="AA1356" s="1"/>
      <x:c r="AB1356" s="1"/>
      <x:c r="AC1356" s="1"/>
      <x:c r="AD1356" s="1"/>
      <x:c r="AE1356" s="1"/>
      <x:c r="AF1356" s="1"/>
      <x:c r="AG1356" s="1"/>
      <x:c r="AH1356" s="1"/>
      <x:c r="AI1356" s="1"/>
      <x:c r="AJ1356" s="1"/>
      <x:c r="AK1356" s="1"/>
      <x:c r="AL1356" s="1"/>
      <x:c r="AM1356" s="1"/>
      <x:c r="AN1356" s="1"/>
    </x:row>
    <x:row r="1357" ht="22" customHeight="1">
      <x:c r="A1357" s="1" t="str">
        <x:v>1654907</x:v>
      </x:c>
      <x:c r="B1357" s="1" t="str">
        <x:v>Sprouts Farmers Market 949</x:v>
      </x:c>
      <x:c r="C1357" s="1" t="str">
        <x:v>Supermarket</x:v>
      </x:c>
      <x:c r="D1357" s="1" t="str">
        <x:v>875 Mantua Pike</x:v>
      </x:c>
      <x:c r="E1357" s="1" t="str">
        <x:v>West Deptford</x:v>
      </x:c>
      <x:c r="F1357" s="1" t="str">
        <x:v>NJ</x:v>
      </x:c>
      <x:c r="G1357" s="1" t="str">
        <x:v>08096</x:v>
      </x:c>
      <x:c r="H1357" s="1" t="n">
        <x:v>39.819557</x:v>
      </x:c>
      <x:c r="I1357" s="1" t="n">
        <x:v>-75.16394</x:v>
      </x:c>
      <x:c r="J1357" s="1" t="str">
        <x:v>USDA SNAP retailer list</x:v>
      </x:c>
      <x:c r="K1357" s="1" t="str">
        <x:v>2026-10-09</x:v>
      </x:c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  <x:c r="AA1357" s="1"/>
      <x:c r="AB1357" s="1"/>
      <x:c r="AC1357" s="1"/>
      <x:c r="AD1357" s="1"/>
      <x:c r="AE1357" s="1"/>
      <x:c r="AF1357" s="1"/>
      <x:c r="AG1357" s="1"/>
      <x:c r="AH1357" s="1"/>
      <x:c r="AI1357" s="1"/>
      <x:c r="AJ1357" s="1"/>
      <x:c r="AK1357" s="1"/>
      <x:c r="AL1357" s="1"/>
      <x:c r="AM1357" s="1"/>
      <x:c r="AN1357" s="1"/>
    </x:row>
    <x:row r="1358" ht="22" customHeight="1">
      <x:c r="A1358" s="1" t="str">
        <x:v>1194818</x:v>
      </x:c>
      <x:c r="B1358" s="1" t="str">
        <x:v>Net Cost Market 9</x:v>
      </x:c>
      <x:c r="C1358" s="1" t="str">
        <x:v>Super Store</x:v>
      </x:c>
      <x:c r="D1358" s="1" t="str">
        <x:v>2417 Welsh Rd</x:v>
      </x:c>
      <x:c r="E1358" s="1" t="str">
        <x:v>Philadelphia</x:v>
      </x:c>
      <x:c r="F1358" s="1" t="str">
        <x:v>PA</x:v>
      </x:c>
      <x:c r="G1358" s="1" t="str">
        <x:v>19114</x:v>
      </x:c>
      <x:c r="H1358" s="1" t="n">
        <x:v>40.071262</x:v>
      </x:c>
      <x:c r="I1358" s="1" t="n">
        <x:v>-75.031731</x:v>
      </x:c>
      <x:c r="J1358" s="1" t="str">
        <x:v>USDA SNAP retailer list</x:v>
      </x:c>
      <x:c r="K1358" s="1" t="str">
        <x:v>2026-10-09</x:v>
      </x:c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  <x:c r="AA1358" s="1"/>
      <x:c r="AB1358" s="1"/>
      <x:c r="AC1358" s="1"/>
      <x:c r="AD1358" s="1"/>
      <x:c r="AE1358" s="1"/>
      <x:c r="AF1358" s="1"/>
      <x:c r="AG1358" s="1"/>
      <x:c r="AH1358" s="1"/>
      <x:c r="AI1358" s="1"/>
      <x:c r="AJ1358" s="1"/>
      <x:c r="AK1358" s="1"/>
      <x:c r="AL1358" s="1"/>
      <x:c r="AM1358" s="1"/>
      <x:c r="AN1358" s="1"/>
    </x:row>
    <x:row r="1359" ht="22" customHeight="1">
      <x:c r="A1359" s="1" t="str">
        <x:v>782259</x:v>
      </x:c>
      <x:c r="B1359" s="1" t="str">
        <x:v>WALNUT FOODS LLC</x:v>
      </x:c>
      <x:c r="C1359" s="1" t="str">
        <x:v>Super Store</x:v>
      </x:c>
      <x:c r="D1359" s="1" t="str">
        <x:v>4301 Walnut St</x:v>
      </x:c>
      <x:c r="E1359" s="1" t="str">
        <x:v>Philadelphia</x:v>
      </x:c>
      <x:c r="F1359" s="1" t="str">
        <x:v>PA</x:v>
      </x:c>
      <x:c r="G1359" s="1" t="str">
        <x:v>19104</x:v>
      </x:c>
      <x:c r="H1359" s="1" t="n">
        <x:v>39.95496</x:v>
      </x:c>
      <x:c r="I1359" s="1" t="n">
        <x:v>-75.209229</x:v>
      </x:c>
      <x:c r="J1359" s="1" t="str">
        <x:v>USDA SNAP retailer list</x:v>
      </x:c>
      <x:c r="K1359" s="1" t="str">
        <x:v>2026-10-09</x:v>
      </x:c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  <x:c r="AA1359" s="1"/>
      <x:c r="AB1359" s="1"/>
      <x:c r="AC1359" s="1"/>
      <x:c r="AD1359" s="1"/>
      <x:c r="AE1359" s="1"/>
      <x:c r="AF1359" s="1"/>
      <x:c r="AG1359" s="1"/>
      <x:c r="AH1359" s="1"/>
      <x:c r="AI1359" s="1"/>
      <x:c r="AJ1359" s="1"/>
      <x:c r="AK1359" s="1"/>
      <x:c r="AL1359" s="1"/>
      <x:c r="AM1359" s="1"/>
      <x:c r="AN1359" s="1"/>
    </x:row>
    <x:row r="1360" ht="22" customHeight="1">
      <x:c r="A1360" s="1" t="str">
        <x:v>805208</x:v>
      </x:c>
      <x:c r="B1360" s="1" t="str">
        <x:v>SAVE-A-LOT 60135</x:v>
      </x:c>
      <x:c r="C1360" s="1" t="str">
        <x:v>Supermarket</x:v>
      </x:c>
      <x:c r="D1360" s="1" t="str">
        <x:v>5800 Woodland Ave</x:v>
      </x:c>
      <x:c r="E1360" s="1" t="str">
        <x:v>Philadelphia</x:v>
      </x:c>
      <x:c r="F1360" s="1" t="str">
        <x:v>PA</x:v>
      </x:c>
      <x:c r="G1360" s="1" t="str">
        <x:v>19143</x:v>
      </x:c>
      <x:c r="H1360" s="1" t="n">
        <x:v>39.932137</x:v>
      </x:c>
      <x:c r="I1360" s="1" t="n">
        <x:v>-75.224953</x:v>
      </x:c>
      <x:c r="J1360" s="1" t="str">
        <x:v>USDA SNAP retailer list</x:v>
      </x:c>
      <x:c r="K1360" s="1" t="str">
        <x:v>2026-10-09</x:v>
      </x:c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  <x:c r="AA1360" s="1"/>
      <x:c r="AB1360" s="1"/>
      <x:c r="AC1360" s="1"/>
      <x:c r="AD1360" s="1"/>
      <x:c r="AE1360" s="1"/>
      <x:c r="AF1360" s="1"/>
      <x:c r="AG1360" s="1"/>
      <x:c r="AH1360" s="1"/>
      <x:c r="AI1360" s="1"/>
      <x:c r="AJ1360" s="1"/>
      <x:c r="AK1360" s="1"/>
      <x:c r="AL1360" s="1"/>
      <x:c r="AM1360" s="1"/>
      <x:c r="AN1360" s="1"/>
    </x:row>
    <x:row r="1361" ht="22" customHeight="1">
      <x:c r="A1361" s="1" t="str">
        <x:v>1593980</x:v>
      </x:c>
      <x:c r="B1361" s="1" t="str">
        <x:v>Delran Grocery Outlet 736</x:v>
      </x:c>
      <x:c r="C1361" s="1" t="str">
        <x:v>Supermarket</x:v>
      </x:c>
      <x:c r="D1361" s="1" t="str">
        <x:v>4004 Us-130</x:v>
      </x:c>
      <x:c r="E1361" s="1" t="str">
        <x:v>Delran</x:v>
      </x:c>
      <x:c r="F1361" s="1" t="str">
        <x:v>NJ</x:v>
      </x:c>
      <x:c r="G1361" s="1" t="str">
        <x:v>08075</x:v>
      </x:c>
      <x:c r="H1361" s="1" t="n">
        <x:v>40.014057</x:v>
      </x:c>
      <x:c r="I1361" s="1" t="n">
        <x:v>-74.957657</x:v>
      </x:c>
      <x:c r="J1361" s="1" t="str">
        <x:v>USDA SNAP retailer list</x:v>
      </x:c>
      <x:c r="K1361" s="1" t="str">
        <x:v>2026-10-09</x:v>
      </x:c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  <x:c r="AA1361" s="1"/>
      <x:c r="AB1361" s="1"/>
      <x:c r="AC1361" s="1"/>
      <x:c r="AD1361" s="1"/>
      <x:c r="AE1361" s="1"/>
      <x:c r="AF1361" s="1"/>
      <x:c r="AG1361" s="1"/>
      <x:c r="AH1361" s="1"/>
      <x:c r="AI1361" s="1"/>
      <x:c r="AJ1361" s="1"/>
      <x:c r="AK1361" s="1"/>
      <x:c r="AL1361" s="1"/>
      <x:c r="AM1361" s="1"/>
      <x:c r="AN1361" s="1"/>
    </x:row>
    <x:row r="1362" ht="22" customHeight="1">
      <x:c r="A1362" s="1" t="str">
        <x:v>1318931</x:v>
      </x:c>
      <x:c r="B1362" s="1" t="str">
        <x:v>Ali Baba Bakery Inc</x:v>
      </x:c>
      <x:c r="C1362" s="1" t="str">
        <x:v>Supermarket</x:v>
      </x:c>
      <x:c r="D1362" s="1" t="str">
        <x:v>10184 Bustleton Ave</x:v>
      </x:c>
      <x:c r="E1362" s="1" t="str">
        <x:v>Philadelphia</x:v>
      </x:c>
      <x:c r="F1362" s="1" t="str">
        <x:v>PA</x:v>
      </x:c>
      <x:c r="G1362" s="1" t="str">
        <x:v>19116</x:v>
      </x:c>
      <x:c r="H1362" s="1" t="n">
        <x:v>40.107452</x:v>
      </x:c>
      <x:c r="I1362" s="1" t="n">
        <x:v>-75.027084</x:v>
      </x:c>
      <x:c r="J1362" s="1" t="str">
        <x:v>USDA SNAP retailer list</x:v>
      </x:c>
      <x:c r="K1362" s="1" t="str">
        <x:v>2026-10-09</x:v>
      </x:c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  <x:c r="AA1362" s="1"/>
      <x:c r="AB1362" s="1"/>
      <x:c r="AC1362" s="1"/>
      <x:c r="AD1362" s="1"/>
      <x:c r="AE1362" s="1"/>
      <x:c r="AF1362" s="1"/>
      <x:c r="AG1362" s="1"/>
      <x:c r="AH1362" s="1"/>
      <x:c r="AI1362" s="1"/>
      <x:c r="AJ1362" s="1"/>
      <x:c r="AK1362" s="1"/>
      <x:c r="AL1362" s="1"/>
      <x:c r="AM1362" s="1"/>
      <x:c r="AN1362" s="1"/>
    </x:row>
    <x:row r="1363" ht="22" customHeight="1">
      <x:c r="A1363" s="1" t="str">
        <x:v>1649879</x:v>
      </x:c>
      <x:c r="B1363" s="1" t="str">
        <x:v>Lidl 1342</x:v>
      </x:c>
      <x:c r="C1363" s="1" t="str">
        <x:v>Super Store</x:v>
      </x:c>
      <x:c r="D1363" s="1" t="str">
        <x:v>503 Highway 130</x:v>
      </x:c>
      <x:c r="E1363" s="1" t="str">
        <x:v>Cinnaminson</x:v>
      </x:c>
      <x:c r="F1363" s="1" t="str">
        <x:v>NJ</x:v>
      </x:c>
      <x:c r="G1363" s="1" t="str">
        <x:v>08077</x:v>
      </x:c>
      <x:c r="H1363" s="1" t="n">
        <x:v>39.993103</x:v>
      </x:c>
      <x:c r="I1363" s="1" t="n">
        <x:v>-75.0009</x:v>
      </x:c>
      <x:c r="J1363" s="1" t="str">
        <x:v>USDA SNAP retailer list</x:v>
      </x:c>
      <x:c r="K1363" s="1" t="str">
        <x:v>2026-10-09</x:v>
      </x:c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  <x:c r="AA1363" s="1"/>
      <x:c r="AB1363" s="1"/>
      <x:c r="AC1363" s="1"/>
      <x:c r="AD1363" s="1"/>
      <x:c r="AE1363" s="1"/>
      <x:c r="AF1363" s="1"/>
      <x:c r="AG1363" s="1"/>
      <x:c r="AH1363" s="1"/>
      <x:c r="AI1363" s="1"/>
      <x:c r="AJ1363" s="1"/>
      <x:c r="AK1363" s="1"/>
      <x:c r="AL1363" s="1"/>
      <x:c r="AM1363" s="1"/>
      <x:c r="AN1363" s="1"/>
    </x:row>
    <x:row r="1364" ht="22" customHeight="1">
      <x:c r="A1364" s="1" t="str">
        <x:v>1615057</x:v>
      </x:c>
      <x:c r="B1364" s="1" t="str">
        <x:v>TRADER JOE'S KING OF PRUSSIA 585</x:v>
      </x:c>
      <x:c r="C1364" s="1" t="str">
        <x:v>Supermarket</x:v>
      </x:c>
      <x:c r="D1364" s="1" t="str">
        <x:v>224 W Dekalb Pike</x:v>
      </x:c>
      <x:c r="E1364" s="1" t="str">
        <x:v>King of Prussia</x:v>
      </x:c>
      <x:c r="F1364" s="1" t="str">
        <x:v>PA</x:v>
      </x:c>
      <x:c r="G1364" s="1" t="str">
        <x:v>19406</x:v>
      </x:c>
      <x:c r="H1364" s="1" t="n">
        <x:v>40.094067</x:v>
      </x:c>
      <x:c r="I1364" s="1" t="n">
        <x:v>-75.365387</x:v>
      </x:c>
      <x:c r="J1364" s="1" t="str">
        <x:v>USDA SNAP retailer list</x:v>
      </x:c>
      <x:c r="K1364" s="1" t="str">
        <x:v>2026-10-09</x:v>
      </x:c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  <x:c r="AA1364" s="1"/>
      <x:c r="AB1364" s="1"/>
      <x:c r="AC1364" s="1"/>
      <x:c r="AD1364" s="1"/>
      <x:c r="AE1364" s="1"/>
      <x:c r="AF1364" s="1"/>
      <x:c r="AG1364" s="1"/>
      <x:c r="AH1364" s="1"/>
      <x:c r="AI1364" s="1"/>
      <x:c r="AJ1364" s="1"/>
      <x:c r="AK1364" s="1"/>
      <x:c r="AL1364" s="1"/>
      <x:c r="AM1364" s="1"/>
      <x:c r="AN1364" s="1"/>
    </x:row>
    <x:row r="1365" ht="22" customHeight="1">
      <x:c r="A1365" s="1" t="str">
        <x:v>1616167</x:v>
      </x:c>
      <x:c r="B1365" s="1" t="str">
        <x:v>Walmart Supercenter 2141</x:v>
      </x:c>
      <x:c r="C1365" s="1" t="str">
        <x:v>Super Store</x:v>
      </x:c>
      <x:c r="D1365" s="1" t="str">
        <x:v>1675 S Columbus Blvd</x:v>
      </x:c>
      <x:c r="E1365" s="1" t="str">
        <x:v>Philadelphia</x:v>
      </x:c>
      <x:c r="F1365" s="1" t="str">
        <x:v>PA</x:v>
      </x:c>
      <x:c r="G1365" s="1" t="str">
        <x:v>19148</x:v>
      </x:c>
      <x:c r="H1365" s="1" t="n">
        <x:v>39.926407</x:v>
      </x:c>
      <x:c r="I1365" s="1" t="n">
        <x:v>-75.141495</x:v>
      </x:c>
      <x:c r="J1365" s="1" t="str">
        <x:v>USDA SNAP retailer list</x:v>
      </x:c>
      <x:c r="K1365" s="1" t="str">
        <x:v>2026-10-09</x:v>
      </x:c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  <x:c r="AA1365" s="1"/>
      <x:c r="AB1365" s="1"/>
      <x:c r="AC1365" s="1"/>
      <x:c r="AD1365" s="1"/>
      <x:c r="AE1365" s="1"/>
      <x:c r="AF1365" s="1"/>
      <x:c r="AG1365" s="1"/>
      <x:c r="AH1365" s="1"/>
      <x:c r="AI1365" s="1"/>
      <x:c r="AJ1365" s="1"/>
      <x:c r="AK1365" s="1"/>
      <x:c r="AL1365" s="1"/>
      <x:c r="AM1365" s="1"/>
      <x:c r="AN1365" s="1"/>
    </x:row>
    <x:row r="1366" ht="22" customHeight="1">
      <x:c r="A1366" s="1" t="str">
        <x:v>1612031</x:v>
      </x:c>
      <x:c r="B1366" s="1" t="str">
        <x:v>Grocery Outlet Of Gibbstown 762</x:v>
      </x:c>
      <x:c r="C1366" s="1" t="str">
        <x:v>Supermarket</x:v>
      </x:c>
      <x:c r="D1366" s="1" t="str">
        <x:v>401 Harmony Rd</x:v>
      </x:c>
      <x:c r="E1366" s="1" t="str">
        <x:v>Gibbstown</x:v>
      </x:c>
      <x:c r="F1366" s="1" t="str">
        <x:v>NJ</x:v>
      </x:c>
      <x:c r="G1366" s="1" t="str">
        <x:v>08027</x:v>
      </x:c>
      <x:c r="H1366" s="1" t="n">
        <x:v>39.816753</x:v>
      </x:c>
      <x:c r="I1366" s="1" t="n">
        <x:v>-75.260864</x:v>
      </x:c>
      <x:c r="J1366" s="1" t="str">
        <x:v>USDA SNAP retailer list</x:v>
      </x:c>
      <x:c r="K1366" s="1" t="str">
        <x:v>2026-10-09</x:v>
      </x:c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  <x:c r="AA1366" s="1"/>
      <x:c r="AB1366" s="1"/>
      <x:c r="AC1366" s="1"/>
      <x:c r="AD1366" s="1"/>
      <x:c r="AE1366" s="1"/>
      <x:c r="AF1366" s="1"/>
      <x:c r="AG1366" s="1"/>
      <x:c r="AH1366" s="1"/>
      <x:c r="AI1366" s="1"/>
      <x:c r="AJ1366" s="1"/>
      <x:c r="AK1366" s="1"/>
      <x:c r="AL1366" s="1"/>
      <x:c r="AM1366" s="1"/>
      <x:c r="AN1366" s="1"/>
    </x:row>
    <x:row r="1367" ht="22" customHeight="1">
      <x:c r="A1367" s="1" t="str">
        <x:v>1615088</x:v>
      </x:c>
      <x:c r="B1367" s="1" t="str">
        <x:v>Giant Food Store 6562</x:v>
      </x:c>
      <x:c r="C1367" s="1" t="str">
        <x:v>Supermarket</x:v>
      </x:c>
      <x:c r="D1367" s="1" t="str">
        <x:v>2201 Cottman Ave</x:v>
      </x:c>
      <x:c r="E1367" s="1" t="str">
        <x:v>Philadelphia</x:v>
      </x:c>
      <x:c r="F1367" s="1" t="str">
        <x:v>PA</x:v>
      </x:c>
      <x:c r="G1367" s="1" t="str">
        <x:v>19149</x:v>
      </x:c>
      <x:c r="H1367" s="1" t="n">
        <x:v>40.049576</x:v>
      </x:c>
      <x:c r="I1367" s="1" t="n">
        <x:v>-75.060638</x:v>
      </x:c>
      <x:c r="J1367" s="1" t="str">
        <x:v>USDA SNAP retailer list</x:v>
      </x:c>
      <x:c r="K1367" s="1" t="str">
        <x:v>2026-10-09</x:v>
      </x:c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  <x:c r="AA1367" s="1"/>
      <x:c r="AB1367" s="1"/>
      <x:c r="AC1367" s="1"/>
      <x:c r="AD1367" s="1"/>
      <x:c r="AE1367" s="1"/>
      <x:c r="AF1367" s="1"/>
      <x:c r="AG1367" s="1"/>
      <x:c r="AH1367" s="1"/>
      <x:c r="AI1367" s="1"/>
      <x:c r="AJ1367" s="1"/>
      <x:c r="AK1367" s="1"/>
      <x:c r="AL1367" s="1"/>
      <x:c r="AM1367" s="1"/>
      <x:c r="AN1367" s="1"/>
    </x:row>
    <x:row r="1368" ht="22" customHeight="1">
      <x:c r="A1368" s="1" t="str">
        <x:v>1619421</x:v>
      </x:c>
      <x:c r="B1368" s="1" t="str">
        <x:v>ALDI 60205</x:v>
      </x:c>
      <x:c r="C1368" s="1" t="str">
        <x:v>Supermarket</x:v>
      </x:c>
      <x:c r="D1368" s="1" t="str">
        <x:v>3500 Aramingo Ave</x:v>
      </x:c>
      <x:c r="E1368" s="1" t="str">
        <x:v>Philadelphia</x:v>
      </x:c>
      <x:c r="F1368" s="1" t="str">
        <x:v>PA</x:v>
      </x:c>
      <x:c r="G1368" s="1" t="str">
        <x:v>19134</x:v>
      </x:c>
      <x:c r="H1368" s="1" t="n">
        <x:v>39.993294</x:v>
      </x:c>
      <x:c r="I1368" s="1" t="n">
        <x:v>-75.098518</x:v>
      </x:c>
      <x:c r="J1368" s="1" t="str">
        <x:v>USDA SNAP retailer list</x:v>
      </x:c>
      <x:c r="K1368" s="1" t="str">
        <x:v>2026-10-09</x:v>
      </x:c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  <x:c r="AA1368" s="1"/>
      <x:c r="AB1368" s="1"/>
      <x:c r="AC1368" s="1"/>
      <x:c r="AD1368" s="1"/>
      <x:c r="AE1368" s="1"/>
      <x:c r="AF1368" s="1"/>
      <x:c r="AG1368" s="1"/>
      <x:c r="AH1368" s="1"/>
      <x:c r="AI1368" s="1"/>
      <x:c r="AJ1368" s="1"/>
      <x:c r="AK1368" s="1"/>
      <x:c r="AL1368" s="1"/>
      <x:c r="AM1368" s="1"/>
      <x:c r="AN1368" s="1"/>
    </x:row>
    <x:row r="1369" ht="22" customHeight="1">
      <x:c r="A1369" s="1" t="str">
        <x:v>1615263</x:v>
      </x:c>
      <x:c r="B1369" s="1" t="str">
        <x:v>Bravo Fresh Market</x:v>
      </x:c>
      <x:c r="C1369" s="1" t="str">
        <x:v>Supermarket</x:v>
      </x:c>
      <x:c r="D1369" s="1" t="str">
        <x:v>1721 Markley St</x:v>
      </x:c>
      <x:c r="E1369" s="1" t="str">
        <x:v>Norristown</x:v>
      </x:c>
      <x:c r="F1369" s="1" t="str">
        <x:v>PA</x:v>
      </x:c>
      <x:c r="G1369" s="1" t="str">
        <x:v>19401</x:v>
      </x:c>
      <x:c r="H1369" s="1" t="n">
        <x:v>40.131863</x:v>
      </x:c>
      <x:c r="I1369" s="1" t="n">
        <x:v>-75.334106</x:v>
      </x:c>
      <x:c r="J1369" s="1" t="str">
        <x:v>USDA SNAP retailer list</x:v>
      </x:c>
      <x:c r="K1369" s="1" t="str">
        <x:v>2026-10-09</x:v>
      </x:c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  <x:c r="AA1369" s="1"/>
      <x:c r="AB1369" s="1"/>
      <x:c r="AC1369" s="1"/>
      <x:c r="AD1369" s="1"/>
      <x:c r="AE1369" s="1"/>
      <x:c r="AF1369" s="1"/>
      <x:c r="AG1369" s="1"/>
      <x:c r="AH1369" s="1"/>
      <x:c r="AI1369" s="1"/>
      <x:c r="AJ1369" s="1"/>
      <x:c r="AK1369" s="1"/>
      <x:c r="AL1369" s="1"/>
      <x:c r="AM1369" s="1"/>
      <x:c r="AN1369" s="1"/>
    </x:row>
    <x:row r="1370" ht="22" customHeight="1">
      <x:c r="A1370" s="1" t="str">
        <x:v>1708329</x:v>
      </x:c>
      <x:c r="B1370" s="1" t="str">
        <x:v>Compare &amp; Save Supermarket</x:v>
      </x:c>
      <x:c r="C1370" s="1" t="str">
        <x:v>Super Store</x:v>
      </x:c>
      <x:c r="D1370" s="1" t="str">
        <x:v>405 E Wyoming Ave</x:v>
      </x:c>
      <x:c r="E1370" s="1" t="str">
        <x:v>Philadelphia</x:v>
      </x:c>
      <x:c r="F1370" s="1" t="str">
        <x:v>PA</x:v>
      </x:c>
      <x:c r="G1370" s="1" t="str">
        <x:v>19120</x:v>
      </x:c>
      <x:c r="H1370" s="1" t="n">
        <x:v>40.020973</x:v>
      </x:c>
      <x:c r="I1370" s="1" t="n">
        <x:v>-75.117912</x:v>
      </x:c>
      <x:c r="J1370" s="1" t="str">
        <x:v>USDA SNAP retailer list</x:v>
      </x:c>
      <x:c r="K1370" s="1" t="str">
        <x:v>2026-10-09</x:v>
      </x:c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  <x:c r="AA1370" s="1"/>
      <x:c r="AB1370" s="1"/>
      <x:c r="AC1370" s="1"/>
      <x:c r="AD1370" s="1"/>
      <x:c r="AE1370" s="1"/>
      <x:c r="AF1370" s="1"/>
      <x:c r="AG1370" s="1"/>
      <x:c r="AH1370" s="1"/>
      <x:c r="AI1370" s="1"/>
      <x:c r="AJ1370" s="1"/>
      <x:c r="AK1370" s="1"/>
      <x:c r="AL1370" s="1"/>
      <x:c r="AM1370" s="1"/>
      <x:c r="AN1370" s="1"/>
    </x:row>
    <x:row r="1371" ht="22" customHeight="1">
      <x:c r="A1371" s="1" t="str">
        <x:v>1708322</x:v>
      </x:c>
      <x:c r="B1371" s="1" t="str">
        <x:v>Jumbo Meat Market</x:v>
      </x:c>
      <x:c r="C1371" s="1" t="str">
        <x:v>Super Store</x:v>
      </x:c>
      <x:c r="D1371" s="1" t="str">
        <x:v>7322 Castor Ave</x:v>
      </x:c>
      <x:c r="E1371" s="1" t="str">
        <x:v>Philadelphia</x:v>
      </x:c>
      <x:c r="F1371" s="1" t="str">
        <x:v>PA</x:v>
      </x:c>
      <x:c r="G1371" s="1" t="str">
        <x:v>19152</x:v>
      </x:c>
      <x:c r="H1371" s="1" t="n">
        <x:v>40.052849</x:v>
      </x:c>
      <x:c r="I1371" s="1" t="n">
        <x:v>-75.065002</x:v>
      </x:c>
      <x:c r="J1371" s="1" t="str">
        <x:v>USDA SNAP retailer list</x:v>
      </x:c>
      <x:c r="K1371" s="1" t="str">
        <x:v>2026-10-09</x:v>
      </x:c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  <x:c r="AA1371" s="1"/>
      <x:c r="AB1371" s="1"/>
      <x:c r="AC1371" s="1"/>
      <x:c r="AD1371" s="1"/>
      <x:c r="AE1371" s="1"/>
      <x:c r="AF1371" s="1"/>
      <x:c r="AG1371" s="1"/>
      <x:c r="AH1371" s="1"/>
      <x:c r="AI1371" s="1"/>
      <x:c r="AJ1371" s="1"/>
      <x:c r="AK1371" s="1"/>
      <x:c r="AL1371" s="1"/>
      <x:c r="AM1371" s="1"/>
      <x:c r="AN1371" s="1"/>
    </x:row>
    <x:row r="1372" ht="22" customHeight="1">
      <x:c r="A1372" s="1" t="str">
        <x:v>1621545</x:v>
      </x:c>
      <x:c r="B1372" s="1" t="str">
        <x:v>Giant Food Store 6509</x:v>
      </x:c>
      <x:c r="C1372" s="1" t="str">
        <x:v>Supermarket</x:v>
      </x:c>
      <x:c r="D1372" s="1" t="str">
        <x:v>737 Huntingdon Pike</x:v>
      </x:c>
      <x:c r="E1372" s="1" t="str">
        <x:v>Huntingdon Valley</x:v>
      </x:c>
      <x:c r="F1372" s="1" t="str">
        <x:v>PA</x:v>
      </x:c>
      <x:c r="G1372" s="1" t="str">
        <x:v>19006</x:v>
      </x:c>
      <x:c r="H1372" s="1" t="n">
        <x:v>40.086472</x:v>
      </x:c>
      <x:c r="I1372" s="1" t="n">
        <x:v>-75.091766</x:v>
      </x:c>
      <x:c r="J1372" s="1" t="str">
        <x:v>USDA SNAP retailer list</x:v>
      </x:c>
      <x:c r="K1372" s="1" t="str">
        <x:v>2026-10-09</x:v>
      </x:c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  <x:c r="AA1372" s="1"/>
      <x:c r="AB1372" s="1"/>
      <x:c r="AC1372" s="1"/>
      <x:c r="AD1372" s="1"/>
      <x:c r="AE1372" s="1"/>
      <x:c r="AF1372" s="1"/>
      <x:c r="AG1372" s="1"/>
      <x:c r="AH1372" s="1"/>
      <x:c r="AI1372" s="1"/>
      <x:c r="AJ1372" s="1"/>
      <x:c r="AK1372" s="1"/>
      <x:c r="AL1372" s="1"/>
      <x:c r="AM1372" s="1"/>
      <x:c r="AN1372" s="1"/>
    </x:row>
    <x:row r="1373" ht="22" customHeight="1">
      <x:c r="A1373" s="1" t="str">
        <x:v>1628675</x:v>
      </x:c>
      <x:c r="B1373" s="1" t="str">
        <x:v>Giant Food Store 6095</x:v>
      </x:c>
      <x:c r="C1373" s="1" t="str">
        <x:v>Supermarket</x:v>
      </x:c>
      <x:c r="D1373" s="1" t="str">
        <x:v>466 2nd Street Pike</x:v>
      </x:c>
      <x:c r="E1373" s="1" t="str">
        <x:v>Southampton</x:v>
      </x:c>
      <x:c r="F1373" s="1" t="str">
        <x:v>PA</x:v>
      </x:c>
      <x:c r="G1373" s="1" t="str">
        <x:v>18966</x:v>
      </x:c>
      <x:c r="H1373" s="1" t="n">
        <x:v>40.169121</x:v>
      </x:c>
      <x:c r="I1373" s="1" t="n">
        <x:v>-75.048264</x:v>
      </x:c>
      <x:c r="J1373" s="1" t="str">
        <x:v>USDA SNAP retailer list</x:v>
      </x:c>
      <x:c r="K1373" s="1" t="str">
        <x:v>2026-10-09</x:v>
      </x:c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  <x:c r="AA1373" s="1"/>
      <x:c r="AB1373" s="1"/>
      <x:c r="AC1373" s="1"/>
      <x:c r="AD1373" s="1"/>
      <x:c r="AE1373" s="1"/>
      <x:c r="AF1373" s="1"/>
      <x:c r="AG1373" s="1"/>
      <x:c r="AH1373" s="1"/>
      <x:c r="AI1373" s="1"/>
      <x:c r="AJ1373" s="1"/>
      <x:c r="AK1373" s="1"/>
      <x:c r="AL1373" s="1"/>
      <x:c r="AM1373" s="1"/>
      <x:c r="AN1373" s="1"/>
    </x:row>
    <x:row r="1374" ht="22" customHeight="1">
      <x:c r="A1374" s="1" t="str">
        <x:v>1652589</x:v>
      </x:c>
      <x:c r="B1374" s="1" t="str">
        <x:v>Sprouts Farmers Market 853</x:v>
      </x:c>
      <x:c r="C1374" s="1" t="str">
        <x:v>Supermarket</x:v>
      </x:c>
      <x:c r="D1374" s="1" t="str">
        <x:v>501 N Christopher Columbus Blvd</x:v>
      </x:c>
      <x:c r="E1374" s="1" t="str">
        <x:v>Philadelphia</x:v>
      </x:c>
      <x:c r="F1374" s="1" t="str">
        <x:v>PA</x:v>
      </x:c>
      <x:c r="G1374" s="1" t="str">
        <x:v>19123</x:v>
      </x:c>
      <x:c r="H1374" s="1" t="n">
        <x:v>39.959332</x:v>
      </x:c>
      <x:c r="I1374" s="1" t="n">
        <x:v>-75.136032</x:v>
      </x:c>
      <x:c r="J1374" s="1" t="str">
        <x:v>USDA SNAP retailer list</x:v>
      </x:c>
      <x:c r="K1374" s="1" t="str">
        <x:v>2026-10-09</x:v>
      </x:c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  <x:c r="AA1374" s="1"/>
      <x:c r="AB1374" s="1"/>
      <x:c r="AC1374" s="1"/>
      <x:c r="AD1374" s="1"/>
      <x:c r="AE1374" s="1"/>
      <x:c r="AF1374" s="1"/>
      <x:c r="AG1374" s="1"/>
      <x:c r="AH1374" s="1"/>
      <x:c r="AI1374" s="1"/>
      <x:c r="AJ1374" s="1"/>
      <x:c r="AK1374" s="1"/>
      <x:c r="AL1374" s="1"/>
      <x:c r="AM1374" s="1"/>
      <x:c r="AN1374" s="1"/>
    </x:row>
    <x:row r="1375" ht="22" customHeight="1">
      <x:c r="A1375" s="1" t="str">
        <x:v>1650276</x:v>
      </x:c>
      <x:c r="B1375" s="1" t="str">
        <x:v>Grocery Outlet Of Deptford 780</x:v>
      </x:c>
      <x:c r="C1375" s="1" t="str">
        <x:v>Supermarket</x:v>
      </x:c>
      <x:c r="D1375" s="1" t="str">
        <x:v>1120 Hurffville Rd</x:v>
      </x:c>
      <x:c r="E1375" s="1" t="str">
        <x:v>Deptford</x:v>
      </x:c>
      <x:c r="F1375" s="1" t="str">
        <x:v>NJ</x:v>
      </x:c>
      <x:c r="G1375" s="1" t="str">
        <x:v>08096</x:v>
      </x:c>
      <x:c r="H1375" s="1" t="n">
        <x:v>39.836586</x:v>
      </x:c>
      <x:c r="I1375" s="1" t="n">
        <x:v>-75.090141</x:v>
      </x:c>
      <x:c r="J1375" s="1" t="str">
        <x:v>USDA SNAP retailer list</x:v>
      </x:c>
      <x:c r="K1375" s="1" t="str">
        <x:v>2026-10-09</x:v>
      </x:c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  <x:c r="AA1375" s="1"/>
      <x:c r="AB1375" s="1"/>
      <x:c r="AC1375" s="1"/>
      <x:c r="AD1375" s="1"/>
      <x:c r="AE1375" s="1"/>
      <x:c r="AF1375" s="1"/>
      <x:c r="AG1375" s="1"/>
      <x:c r="AH1375" s="1"/>
      <x:c r="AI1375" s="1"/>
      <x:c r="AJ1375" s="1"/>
      <x:c r="AK1375" s="1"/>
      <x:c r="AL1375" s="1"/>
      <x:c r="AM1375" s="1"/>
      <x:c r="AN1375" s="1"/>
    </x:row>
    <x:row r="1376" ht="22" customHeight="1">
      <x:c r="A1376" s="1" t="str">
        <x:v>1649851</x:v>
      </x:c>
      <x:c r="B1376" s="1" t="str">
        <x:v>Lidl 1250</x:v>
      </x:c>
      <x:c r="C1376" s="1" t="str">
        <x:v>Super Store</x:v>
      </x:c>
      <x:c r="D1376" s="1" t="str">
        <x:v>9175 Roosevelt Blvd</x:v>
      </x:c>
      <x:c r="E1376" s="1" t="str">
        <x:v>Philadelphia</x:v>
      </x:c>
      <x:c r="F1376" s="1" t="str">
        <x:v>PA</x:v>
      </x:c>
      <x:c r="G1376" s="1" t="str">
        <x:v>19114</x:v>
      </x:c>
      <x:c r="H1376" s="1" t="n">
        <x:v>40.075233</x:v>
      </x:c>
      <x:c r="I1376" s="1" t="n">
        <x:v>-75.032196</x:v>
      </x:c>
      <x:c r="J1376" s="1" t="str">
        <x:v>USDA SNAP retailer list</x:v>
      </x:c>
      <x:c r="K1376" s="1" t="str">
        <x:v>2026-10-09</x:v>
      </x:c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  <x:c r="AA1376" s="1"/>
      <x:c r="AB1376" s="1"/>
      <x:c r="AC1376" s="1"/>
      <x:c r="AD1376" s="1"/>
      <x:c r="AE1376" s="1"/>
      <x:c r="AF1376" s="1"/>
      <x:c r="AG1376" s="1"/>
      <x:c r="AH1376" s="1"/>
      <x:c r="AI1376" s="1"/>
      <x:c r="AJ1376" s="1"/>
      <x:c r="AK1376" s="1"/>
      <x:c r="AL1376" s="1"/>
      <x:c r="AM1376" s="1"/>
      <x:c r="AN1376" s="1"/>
    </x:row>
    <x:row r="1377" ht="22" customHeight="1">
      <x:c r="A1377" s="1" t="str">
        <x:v>1650007</x:v>
      </x:c>
      <x:c r="B1377" s="1" t="str">
        <x:v>Costco Wholesale 0245</x:v>
      </x:c>
      <x:c r="C1377" s="1" t="str">
        <x:v>Super Store</x:v>
      </x:c>
      <x:c r="D1377" s="1" t="str">
        <x:v>201 Allendale Rd</x:v>
      </x:c>
      <x:c r="E1377" s="1" t="str">
        <x:v>King of Prussia</x:v>
      </x:c>
      <x:c r="F1377" s="1" t="str">
        <x:v>PA</x:v>
      </x:c>
      <x:c r="G1377" s="1" t="str">
        <x:v>19406</x:v>
      </x:c>
      <x:c r="H1377" s="1" t="n">
        <x:v>40.091389</x:v>
      </x:c>
      <x:c r="I1377" s="1" t="n">
        <x:v>-75.386986</x:v>
      </x:c>
      <x:c r="J1377" s="1" t="str">
        <x:v>USDA SNAP retailer list</x:v>
      </x:c>
      <x:c r="K1377" s="1" t="str">
        <x:v>2026-10-09</x:v>
      </x:c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  <x:c r="AA1377" s="1"/>
      <x:c r="AB1377" s="1"/>
      <x:c r="AC1377" s="1"/>
      <x:c r="AD1377" s="1"/>
      <x:c r="AE1377" s="1"/>
      <x:c r="AF1377" s="1"/>
      <x:c r="AG1377" s="1"/>
      <x:c r="AH1377" s="1"/>
      <x:c r="AI1377" s="1"/>
      <x:c r="AJ1377" s="1"/>
      <x:c r="AK1377" s="1"/>
      <x:c r="AL1377" s="1"/>
      <x:c r="AM1377" s="1"/>
      <x:c r="AN1377" s="1"/>
    </x:row>
    <x:row r="1378" ht="22" customHeight="1">
      <x:c r="A1378" s="1" t="str">
        <x:v>1642105</x:v>
      </x:c>
      <x:c r="B1378" s="1" t="str">
        <x:v>The Fresh Grocer</x:v>
      </x:c>
      <x:c r="C1378" s="1" t="str">
        <x:v>Super Store</x:v>
      </x:c>
      <x:c r="D1378" s="1" t="str">
        <x:v>1501 N Broad St</x:v>
      </x:c>
      <x:c r="E1378" s="1" t="str">
        <x:v>Philadelphia</x:v>
      </x:c>
      <x:c r="F1378" s="1" t="str">
        <x:v>PA</x:v>
      </x:c>
      <x:c r="G1378" s="1" t="str">
        <x:v>19122</x:v>
      </x:c>
      <x:c r="H1378" s="1" t="n">
        <x:v>39.976574</x:v>
      </x:c>
      <x:c r="I1378" s="1" t="n">
        <x:v>-75.157547</x:v>
      </x:c>
      <x:c r="J1378" s="1" t="str">
        <x:v>USDA SNAP retailer list</x:v>
      </x:c>
      <x:c r="K1378" s="1" t="str">
        <x:v>2026-10-09</x:v>
      </x:c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  <x:c r="AA1378" s="1"/>
      <x:c r="AB1378" s="1"/>
      <x:c r="AC1378" s="1"/>
      <x:c r="AD1378" s="1"/>
      <x:c r="AE1378" s="1"/>
      <x:c r="AF1378" s="1"/>
      <x:c r="AG1378" s="1"/>
      <x:c r="AH1378" s="1"/>
      <x:c r="AI1378" s="1"/>
      <x:c r="AJ1378" s="1"/>
      <x:c r="AK1378" s="1"/>
      <x:c r="AL1378" s="1"/>
      <x:c r="AM1378" s="1"/>
      <x:c r="AN1378" s="1"/>
    </x:row>
    <x:row r="1379" ht="22" customHeight="1">
      <x:c r="A1379" s="1" t="str">
        <x:v>1668528</x:v>
      </x:c>
      <x:c r="B1379" s="1" t="str">
        <x:v>Giant Food Store 6442</x:v>
      </x:c>
      <x:c r="C1379" s="1" t="str">
        <x:v>Supermarket</x:v>
      </x:c>
      <x:c r="D1379" s="1" t="str">
        <x:v>116 W Township Line Rd</x:v>
      </x:c>
      <x:c r="E1379" s="1" t="str">
        <x:v>Havertown</x:v>
      </x:c>
      <x:c r="F1379" s="1" t="str">
        <x:v>PA</x:v>
      </x:c>
      <x:c r="G1379" s="1" t="str">
        <x:v>19083</x:v>
      </x:c>
      <x:c r="H1379" s="1" t="n">
        <x:v>39.967079</x:v>
      </x:c>
      <x:c r="I1379" s="1" t="n">
        <x:v>-75.300934</x:v>
      </x:c>
      <x:c r="J1379" s="1" t="str">
        <x:v>USDA SNAP retailer list</x:v>
      </x:c>
      <x:c r="K1379" s="1" t="str">
        <x:v>2026-10-09</x:v>
      </x:c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  <x:c r="AA1379" s="1"/>
      <x:c r="AB1379" s="1"/>
      <x:c r="AC1379" s="1"/>
      <x:c r="AD1379" s="1"/>
      <x:c r="AE1379" s="1"/>
      <x:c r="AF1379" s="1"/>
      <x:c r="AG1379" s="1"/>
      <x:c r="AH1379" s="1"/>
      <x:c r="AI1379" s="1"/>
      <x:c r="AJ1379" s="1"/>
      <x:c r="AK1379" s="1"/>
      <x:c r="AL1379" s="1"/>
      <x:c r="AM1379" s="1"/>
      <x:c r="AN1379" s="1"/>
    </x:row>
    <x:row r="1380" ht="22" customHeight="1">
      <x:c r="A1380" s="1" t="str">
        <x:v>1701977</x:v>
      </x:c>
      <x:c r="B1380" s="1" t="str">
        <x:v>Giant Food Store 6511</x:v>
      </x:c>
      <x:c r="C1380" s="1" t="str">
        <x:v>Supermarket</x:v>
      </x:c>
      <x:c r="D1380" s="1" t="str">
        <x:v>950 Baltimore Pike</x:v>
      </x:c>
      <x:c r="E1380" s="1" t="str">
        <x:v>Springfield</x:v>
      </x:c>
      <x:c r="F1380" s="1" t="str">
        <x:v>PA</x:v>
      </x:c>
      <x:c r="G1380" s="1" t="str">
        <x:v>19064</x:v>
      </x:c>
      <x:c r="H1380" s="1" t="n">
        <x:v>39.915707</x:v>
      </x:c>
      <x:c r="I1380" s="1" t="n">
        <x:v>-75.341835</x:v>
      </x:c>
      <x:c r="J1380" s="1" t="str">
        <x:v>USDA SNAP retailer list</x:v>
      </x:c>
      <x:c r="K1380" s="1" t="str">
        <x:v>2026-10-09</x:v>
      </x:c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  <x:c r="AA1380" s="1"/>
      <x:c r="AB1380" s="1"/>
      <x:c r="AC1380" s="1"/>
      <x:c r="AD1380" s="1"/>
      <x:c r="AE1380" s="1"/>
      <x:c r="AF1380" s="1"/>
      <x:c r="AG1380" s="1"/>
      <x:c r="AH1380" s="1"/>
      <x:c r="AI1380" s="1"/>
      <x:c r="AJ1380" s="1"/>
      <x:c r="AK1380" s="1"/>
      <x:c r="AL1380" s="1"/>
      <x:c r="AM1380" s="1"/>
      <x:c r="AN1380" s="1"/>
    </x:row>
    <x:row r="1381" ht="22" customHeight="1">
      <x:c r="A1381" s="1" t="str">
        <x:v>1676099</x:v>
      </x:c>
      <x:c r="B1381" s="1" t="str">
        <x:v>ALDI 60202</x:v>
      </x:c>
      <x:c r="C1381" s="1" t="str">
        <x:v>Supermarket</x:v>
      </x:c>
      <x:c r="D1381" s="1" t="str">
        <x:v>1755 Deptford Center Rd</x:v>
      </x:c>
      <x:c r="E1381" s="1" t="str">
        <x:v>Woodbury</x:v>
      </x:c>
      <x:c r="F1381" s="1" t="str">
        <x:v>NJ</x:v>
      </x:c>
      <x:c r="G1381" s="1" t="str">
        <x:v>08096</x:v>
      </x:c>
      <x:c r="H1381" s="1" t="n">
        <x:v>39.827248</x:v>
      </x:c>
      <x:c r="I1381" s="1" t="n">
        <x:v>-75.097534</x:v>
      </x:c>
      <x:c r="J1381" s="1" t="str">
        <x:v>USDA SNAP retailer list</x:v>
      </x:c>
      <x:c r="K1381" s="1" t="str">
        <x:v>2026-10-09</x:v>
      </x:c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  <x:c r="AA1381" s="1"/>
      <x:c r="AB1381" s="1"/>
      <x:c r="AC1381" s="1"/>
      <x:c r="AD1381" s="1"/>
      <x:c r="AE1381" s="1"/>
      <x:c r="AF1381" s="1"/>
      <x:c r="AG1381" s="1"/>
      <x:c r="AH1381" s="1"/>
      <x:c r="AI1381" s="1"/>
      <x:c r="AJ1381" s="1"/>
      <x:c r="AK1381" s="1"/>
      <x:c r="AL1381" s="1"/>
      <x:c r="AM1381" s="1"/>
      <x:c r="AN1381" s="1"/>
    </x:row>
    <x:row r="1382" ht="22" customHeight="1">
      <x:c r="A1382" s="1" t="str">
        <x:v>1674802</x:v>
      </x:c>
      <x:c r="B1382" s="1" t="str">
        <x:v>Global Supermarket</x:v>
      </x:c>
      <x:c r="C1382" s="1" t="str">
        <x:v>Super Store</x:v>
      </x:c>
      <x:c r="D1382" s="1" t="str">
        <x:v>200 Marlton Ave</x:v>
      </x:c>
      <x:c r="E1382" s="1" t="str">
        <x:v>Camden</x:v>
      </x:c>
      <x:c r="F1382" s="1" t="str">
        <x:v>NJ</x:v>
      </x:c>
      <x:c r="G1382" s="1" t="str">
        <x:v>08105</x:v>
      </x:c>
      <x:c r="H1382" s="1" t="n">
        <x:v>39.943569</x:v>
      </x:c>
      <x:c r="I1382" s="1" t="n">
        <x:v>-75.088593</x:v>
      </x:c>
      <x:c r="J1382" s="1" t="str">
        <x:v>USDA SNAP retailer list</x:v>
      </x:c>
      <x:c r="K1382" s="1" t="str">
        <x:v>2026-10-09</x:v>
      </x:c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  <x:c r="AA1382" s="1"/>
      <x:c r="AB1382" s="1"/>
      <x:c r="AC1382" s="1"/>
      <x:c r="AD1382" s="1"/>
      <x:c r="AE1382" s="1"/>
      <x:c r="AF1382" s="1"/>
      <x:c r="AG1382" s="1"/>
      <x:c r="AH1382" s="1"/>
      <x:c r="AI1382" s="1"/>
      <x:c r="AJ1382" s="1"/>
      <x:c r="AK1382" s="1"/>
      <x:c r="AL1382" s="1"/>
      <x:c r="AM1382" s="1"/>
      <x:c r="AN1382" s="1"/>
    </x:row>
    <x:row r="1383" ht="22" customHeight="1">
      <x:c r="A1383" s="1" t="str">
        <x:v>1677329</x:v>
      </x:c>
      <x:c r="B1383" s="1" t="str">
        <x:v>Compare &amp; Save</x:v>
      </x:c>
      <x:c r="C1383" s="1" t="str">
        <x:v>Super Store</x:v>
      </x:c>
      <x:c r="D1383" s="1" t="str">
        <x:v>5201 Rising Sun Ave</x:v>
      </x:c>
      <x:c r="E1383" s="1" t="str">
        <x:v>Philadelphia</x:v>
      </x:c>
      <x:c r="F1383" s="1" t="str">
        <x:v>PA</x:v>
      </x:c>
      <x:c r="G1383" s="1" t="str">
        <x:v>19120</x:v>
      </x:c>
      <x:c r="H1383" s="1" t="n">
        <x:v>40.029324</x:v>
      </x:c>
      <x:c r="I1383" s="1" t="n">
        <x:v>-75.118706</x:v>
      </x:c>
      <x:c r="J1383" s="1" t="str">
        <x:v>USDA SNAP retailer list</x:v>
      </x:c>
      <x:c r="K1383" s="1" t="str">
        <x:v>2026-10-09</x:v>
      </x:c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  <x:c r="AA1383" s="1"/>
      <x:c r="AB1383" s="1"/>
      <x:c r="AC1383" s="1"/>
      <x:c r="AD1383" s="1"/>
      <x:c r="AE1383" s="1"/>
      <x:c r="AF1383" s="1"/>
      <x:c r="AG1383" s="1"/>
      <x:c r="AH1383" s="1"/>
      <x:c r="AI1383" s="1"/>
      <x:c r="AJ1383" s="1"/>
      <x:c r="AK1383" s="1"/>
      <x:c r="AL1383" s="1"/>
      <x:c r="AM1383" s="1"/>
      <x:c r="AN1383" s="1"/>
    </x:row>
    <x:row r="1384" ht="22" customHeight="1">
      <x:c r="A1384" s="1" t="str">
        <x:v>1678975</x:v>
      </x:c>
      <x:c r="B1384" s="1" t="str">
        <x:v>Giant Food Store 6481</x:v>
      </x:c>
      <x:c r="C1384" s="1" t="str">
        <x:v>Supermarket</x:v>
      </x:c>
      <x:c r="D1384" s="1" t="str">
        <x:v>10 E Ridge Pike</x:v>
      </x:c>
      <x:c r="E1384" s="1" t="str">
        <x:v>Conshohocken</x:v>
      </x:c>
      <x:c r="F1384" s="1" t="str">
        <x:v>PA</x:v>
      </x:c>
      <x:c r="G1384" s="1" t="str">
        <x:v>19428</x:v>
      </x:c>
      <x:c r="H1384" s="1" t="n">
        <x:v>40.093353</x:v>
      </x:c>
      <x:c r="I1384" s="1" t="n">
        <x:v>-75.285133</x:v>
      </x:c>
      <x:c r="J1384" s="1" t="str">
        <x:v>USDA SNAP retailer list</x:v>
      </x:c>
      <x:c r="K1384" s="1" t="str">
        <x:v>2026-10-09</x:v>
      </x:c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  <x:c r="AA1384" s="1"/>
      <x:c r="AB1384" s="1"/>
      <x:c r="AC1384" s="1"/>
      <x:c r="AD1384" s="1"/>
      <x:c r="AE1384" s="1"/>
      <x:c r="AF1384" s="1"/>
      <x:c r="AG1384" s="1"/>
      <x:c r="AH1384" s="1"/>
      <x:c r="AI1384" s="1"/>
      <x:c r="AJ1384" s="1"/>
      <x:c r="AK1384" s="1"/>
      <x:c r="AL1384" s="1"/>
      <x:c r="AM1384" s="1"/>
      <x:c r="AN1384" s="1"/>
    </x:row>
    <x:row r="1385" ht="22" customHeight="1">
      <x:c r="A1385" s="1" t="str">
        <x:v>1678957</x:v>
      </x:c>
      <x:c r="B1385" s="1" t="str">
        <x:v>Save A Lot 30224</x:v>
      </x:c>
      <x:c r="C1385" s="1" t="str">
        <x:v>Supermarket</x:v>
      </x:c>
      <x:c r="D1385" s="1" t="str">
        <x:v>2132 E Lehigh Ave</x:v>
      </x:c>
      <x:c r="E1385" s="1" t="str">
        <x:v>Philadelphia</x:v>
      </x:c>
      <x:c r="F1385" s="1" t="str">
        <x:v>PA</x:v>
      </x:c>
      <x:c r="G1385" s="1" t="str">
        <x:v>19125</x:v>
      </x:c>
      <x:c r="H1385" s="1" t="n">
        <x:v>39.984718</x:v>
      </x:c>
      <x:c r="I1385" s="1" t="n">
        <x:v>-75.121162</x:v>
      </x:c>
      <x:c r="J1385" s="1" t="str">
        <x:v>USDA SNAP retailer list</x:v>
      </x:c>
      <x:c r="K1385" s="1" t="str">
        <x:v>2026-10-09</x:v>
      </x:c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  <x:c r="AA1385" s="1"/>
      <x:c r="AB1385" s="1"/>
      <x:c r="AC1385" s="1"/>
      <x:c r="AD1385" s="1"/>
      <x:c r="AE1385" s="1"/>
      <x:c r="AF1385" s="1"/>
      <x:c r="AG1385" s="1"/>
      <x:c r="AH1385" s="1"/>
      <x:c r="AI1385" s="1"/>
      <x:c r="AJ1385" s="1"/>
      <x:c r="AK1385" s="1"/>
      <x:c r="AL1385" s="1"/>
      <x:c r="AM1385" s="1"/>
      <x:c r="AN1385" s="1"/>
    </x:row>
    <x:row r="1386" ht="22" customHeight="1">
      <x:c r="A1386" s="1" t="str">
        <x:v>1672599</x:v>
      </x:c>
      <x:c r="B1386" s="1" t="str">
        <x:v>Al Aqsa Supermarket</x:v>
      </x:c>
      <x:c r="C1386" s="1" t="str">
        <x:v>Supermarket</x:v>
      </x:c>
      <x:c r="D1386" s="1" t="str">
        <x:v>6501 Market St</x:v>
      </x:c>
      <x:c r="E1386" s="1" t="str">
        <x:v>Upper Darby</x:v>
      </x:c>
      <x:c r="F1386" s="1" t="str">
        <x:v>PA</x:v>
      </x:c>
      <x:c r="G1386" s="1" t="str">
        <x:v>19082</x:v>
      </x:c>
      <x:c r="H1386" s="1" t="n">
        <x:v>39.963051</x:v>
      </x:c>
      <x:c r="I1386" s="1" t="n">
        <x:v>-75.254814</x:v>
      </x:c>
      <x:c r="J1386" s="1" t="str">
        <x:v>USDA SNAP retailer list</x:v>
      </x:c>
      <x:c r="K1386" s="1" t="str">
        <x:v>2026-10-09</x:v>
      </x:c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  <x:c r="AA1386" s="1"/>
      <x:c r="AB1386" s="1"/>
      <x:c r="AC1386" s="1"/>
      <x:c r="AD1386" s="1"/>
      <x:c r="AE1386" s="1"/>
      <x:c r="AF1386" s="1"/>
      <x:c r="AG1386" s="1"/>
      <x:c r="AH1386" s="1"/>
      <x:c r="AI1386" s="1"/>
      <x:c r="AJ1386" s="1"/>
      <x:c r="AK1386" s="1"/>
      <x:c r="AL1386" s="1"/>
      <x:c r="AM1386" s="1"/>
      <x:c r="AN1386" s="1"/>
    </x:row>
    <x:row r="1387" ht="22" customHeight="1">
      <x:c r="A1387" s="1" t="str">
        <x:v>1688982</x:v>
      </x:c>
      <x:c r="B1387" s="1" t="str">
        <x:v>B Js Wholesale Club 22</x:v>
      </x:c>
      <x:c r="C1387" s="1" t="str">
        <x:v>Super Store</x:v>
      </x:c>
      <x:c r="D1387" s="1" t="str">
        <x:v>2054 Red Lion Rd</x:v>
      </x:c>
      <x:c r="E1387" s="1" t="str">
        <x:v>Philadelphia</x:v>
      </x:c>
      <x:c r="F1387" s="1" t="str">
        <x:v>PA</x:v>
      </x:c>
      <x:c r="G1387" s="1" t="str">
        <x:v>19115</x:v>
      </x:c>
      <x:c r="H1387" s="1" t="n">
        <x:v>40.099422</x:v>
      </x:c>
      <x:c r="I1387" s="1" t="n">
        <x:v>-75.024384</x:v>
      </x:c>
      <x:c r="J1387" s="1" t="str">
        <x:v>USDA SNAP retailer list</x:v>
      </x:c>
      <x:c r="K1387" s="1" t="str">
        <x:v>2026-10-09</x:v>
      </x:c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  <x:c r="AA1387" s="1"/>
      <x:c r="AB1387" s="1"/>
      <x:c r="AC1387" s="1"/>
      <x:c r="AD1387" s="1"/>
      <x:c r="AE1387" s="1"/>
      <x:c r="AF1387" s="1"/>
      <x:c r="AG1387" s="1"/>
      <x:c r="AH1387" s="1"/>
      <x:c r="AI1387" s="1"/>
      <x:c r="AJ1387" s="1"/>
      <x:c r="AK1387" s="1"/>
      <x:c r="AL1387" s="1"/>
      <x:c r="AM1387" s="1"/>
      <x:c r="AN1387" s="1"/>
    </x:row>
    <x:row r="1388" ht="22" customHeight="1">
      <x:c r="A1388" s="1" t="str">
        <x:v>1678965</x:v>
      </x:c>
      <x:c r="B1388" s="1" t="str">
        <x:v>B Js Wholesale Club 85</x:v>
      </x:c>
      <x:c r="C1388" s="1" t="str">
        <x:v>Super Store</x:v>
      </x:c>
      <x:c r="D1388" s="1" t="str">
        <x:v>1910 Deptford Center Rd</x:v>
      </x:c>
      <x:c r="E1388" s="1" t="str">
        <x:v>Woodbury</x:v>
      </x:c>
      <x:c r="F1388" s="1" t="str">
        <x:v>NJ</x:v>
      </x:c>
      <x:c r="G1388" s="1" t="str">
        <x:v>08096</x:v>
      </x:c>
      <x:c r="H1388" s="1" t="n">
        <x:v>39.831078</x:v>
      </x:c>
      <x:c r="I1388" s="1" t="n">
        <x:v>-75.090881</x:v>
      </x:c>
      <x:c r="J1388" s="1" t="str">
        <x:v>USDA SNAP retailer list</x:v>
      </x:c>
      <x:c r="K1388" s="1" t="str">
        <x:v>2026-10-09</x:v>
      </x:c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  <x:c r="AA1388" s="1"/>
      <x:c r="AB1388" s="1"/>
      <x:c r="AC1388" s="1"/>
      <x:c r="AD1388" s="1"/>
      <x:c r="AE1388" s="1"/>
      <x:c r="AF1388" s="1"/>
      <x:c r="AG1388" s="1"/>
      <x:c r="AH1388" s="1"/>
      <x:c r="AI1388" s="1"/>
      <x:c r="AJ1388" s="1"/>
      <x:c r="AK1388" s="1"/>
      <x:c r="AL1388" s="1"/>
      <x:c r="AM1388" s="1"/>
      <x:c r="AN1388" s="1"/>
    </x:row>
    <x:row r="1389" ht="22" customHeight="1">
      <x:c r="A1389" s="1" t="str">
        <x:v>1683640</x:v>
      </x:c>
      <x:c r="B1389" s="1" t="str">
        <x:v>Walmart 5340</x:v>
      </x:c>
      <x:c r="C1389" s="1" t="str">
        <x:v>Super Store</x:v>
      </x:c>
      <x:c r="D1389" s="1" t="str">
        <x:v>500 Rt 38</x:v>
      </x:c>
      <x:c r="E1389" s="1" t="str">
        <x:v>Cherry Hill</x:v>
      </x:c>
      <x:c r="F1389" s="1" t="str">
        <x:v>NJ</x:v>
      </x:c>
      <x:c r="G1389" s="1" t="str">
        <x:v>08002</x:v>
      </x:c>
      <x:c r="H1389" s="1" t="n">
        <x:v>39.938564</x:v>
      </x:c>
      <x:c r="I1389" s="1" t="n">
        <x:v>-75.044739</x:v>
      </x:c>
      <x:c r="J1389" s="1" t="str">
        <x:v>USDA SNAP retailer list</x:v>
      </x:c>
      <x:c r="K1389" s="1" t="str">
        <x:v>2026-10-09</x:v>
      </x:c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  <x:c r="AA1389" s="1"/>
      <x:c r="AB1389" s="1"/>
      <x:c r="AC1389" s="1"/>
      <x:c r="AD1389" s="1"/>
      <x:c r="AE1389" s="1"/>
      <x:c r="AF1389" s="1"/>
      <x:c r="AG1389" s="1"/>
      <x:c r="AH1389" s="1"/>
      <x:c r="AI1389" s="1"/>
      <x:c r="AJ1389" s="1"/>
      <x:c r="AK1389" s="1"/>
      <x:c r="AL1389" s="1"/>
      <x:c r="AM1389" s="1"/>
      <x:c r="AN1389" s="1"/>
    </x:row>
    <x:row r="1390" ht="22" customHeight="1">
      <x:c r="A1390" s="1" t="str">
        <x:v>1679718</x:v>
      </x:c>
      <x:c r="B1390" s="1" t="str">
        <x:v>American Asian Supermarket Llc</x:v>
      </x:c>
      <x:c r="C1390" s="1" t="str">
        <x:v>Super Store</x:v>
      </x:c>
      <x:c r="D1390" s="1" t="str">
        <x:v>5675 Rising Sun Ave</x:v>
      </x:c>
      <x:c r="E1390" s="1" t="str">
        <x:v>Philadelphia</x:v>
      </x:c>
      <x:c r="F1390" s="1" t="str">
        <x:v>PA</x:v>
      </x:c>
      <x:c r="G1390" s="1" t="str">
        <x:v>19120</x:v>
      </x:c>
      <x:c r="H1390" s="1" t="n">
        <x:v>40.03833</x:v>
      </x:c>
      <x:c r="I1390" s="1" t="n">
        <x:v>-75.107582</x:v>
      </x:c>
      <x:c r="J1390" s="1" t="str">
        <x:v>USDA SNAP retailer list</x:v>
      </x:c>
      <x:c r="K1390" s="1" t="str">
        <x:v>2026-10-09</x:v>
      </x:c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  <x:c r="AA1390" s="1"/>
      <x:c r="AB1390" s="1"/>
      <x:c r="AC1390" s="1"/>
      <x:c r="AD1390" s="1"/>
      <x:c r="AE1390" s="1"/>
      <x:c r="AF1390" s="1"/>
      <x:c r="AG1390" s="1"/>
      <x:c r="AH1390" s="1"/>
      <x:c r="AI1390" s="1"/>
      <x:c r="AJ1390" s="1"/>
      <x:c r="AK1390" s="1"/>
      <x:c r="AL1390" s="1"/>
      <x:c r="AM1390" s="1"/>
      <x:c r="AN1390" s="1"/>
    </x:row>
    <x:row r="1391" ht="22" customHeight="1">
      <x:c r="A1391" s="1" t="str">
        <x:v>1682132</x:v>
      </x:c>
      <x:c r="B1391" s="1" t="str">
        <x:v>Bell's Market</x:v>
      </x:c>
      <x:c r="C1391" s="1" t="str">
        <x:v>Super Store</x:v>
      </x:c>
      <x:c r="D1391" s="1" t="str">
        <x:v>8330 Bustleton Ave</x:v>
      </x:c>
      <x:c r="E1391" s="1" t="str">
        <x:v>Philadelphia</x:v>
      </x:c>
      <x:c r="F1391" s="1" t="str">
        <x:v>PA</x:v>
      </x:c>
      <x:c r="G1391" s="1" t="str">
        <x:v>19152</x:v>
      </x:c>
      <x:c r="H1391" s="1" t="n">
        <x:v>40.067368</x:v>
      </x:c>
      <x:c r="I1391" s="1" t="n">
        <x:v>-75.051277</x:v>
      </x:c>
      <x:c r="J1391" s="1" t="str">
        <x:v>USDA SNAP retailer list</x:v>
      </x:c>
      <x:c r="K1391" s="1" t="str">
        <x:v>2026-10-09</x:v>
      </x:c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  <x:c r="AA1391" s="1"/>
      <x:c r="AB1391" s="1"/>
      <x:c r="AC1391" s="1"/>
      <x:c r="AD1391" s="1"/>
      <x:c r="AE1391" s="1"/>
      <x:c r="AF1391" s="1"/>
      <x:c r="AG1391" s="1"/>
      <x:c r="AH1391" s="1"/>
      <x:c r="AI1391" s="1"/>
      <x:c r="AJ1391" s="1"/>
      <x:c r="AK1391" s="1"/>
      <x:c r="AL1391" s="1"/>
      <x:c r="AM1391" s="1"/>
      <x:c r="AN1391" s="1"/>
    </x:row>
    <x:row r="1392" ht="22" customHeight="1">
      <x:c r="A1392" s="1" t="str">
        <x:v>1688976</x:v>
      </x:c>
      <x:c r="B1392" s="1" t="str">
        <x:v>Giant Food Store 6506</x:v>
      </x:c>
      <x:c r="C1392" s="1" t="str">
        <x:v>Supermarket</x:v>
      </x:c>
      <x:c r="D1392" s="1" t="str">
        <x:v>50 E Wynnewood Rd</x:v>
      </x:c>
      <x:c r="E1392" s="1" t="str">
        <x:v>Wynnewood</x:v>
      </x:c>
      <x:c r="F1392" s="1" t="str">
        <x:v>PA</x:v>
      </x:c>
      <x:c r="G1392" s="1" t="str">
        <x:v>19096</x:v>
      </x:c>
      <x:c r="H1392" s="1" t="n">
        <x:v>40.001762</x:v>
      </x:c>
      <x:c r="I1392" s="1" t="n">
        <x:v>-75.274124</x:v>
      </x:c>
      <x:c r="J1392" s="1" t="str">
        <x:v>USDA SNAP retailer list</x:v>
      </x:c>
      <x:c r="K1392" s="1" t="str">
        <x:v>2026-10-09</x:v>
      </x:c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  <x:c r="AA1392" s="1"/>
      <x:c r="AB1392" s="1"/>
      <x:c r="AC1392" s="1"/>
      <x:c r="AD1392" s="1"/>
      <x:c r="AE1392" s="1"/>
      <x:c r="AF1392" s="1"/>
      <x:c r="AG1392" s="1"/>
      <x:c r="AH1392" s="1"/>
      <x:c r="AI1392" s="1"/>
      <x:c r="AJ1392" s="1"/>
      <x:c r="AK1392" s="1"/>
      <x:c r="AL1392" s="1"/>
      <x:c r="AM1392" s="1"/>
      <x:c r="AN1392" s="1"/>
    </x:row>
    <x:row r="1393" ht="22" customHeight="1">
      <x:c r="A1393" s="1" t="str">
        <x:v>1682950</x:v>
      </x:c>
      <x:c r="B1393" s="1" t="str">
        <x:v>ShopRite of Roosevelt Blvd 532</x:v>
      </x:c>
      <x:c r="C1393" s="1" t="str">
        <x:v>Supermarket</x:v>
      </x:c>
      <x:c r="D1393" s="1" t="str">
        <x:v>11000 Roosevelt Blvd</x:v>
      </x:c>
      <x:c r="E1393" s="1" t="str">
        <x:v>Philadelphia</x:v>
      </x:c>
      <x:c r="F1393" s="1" t="str">
        <x:v>PA</x:v>
      </x:c>
      <x:c r="G1393" s="1" t="str">
        <x:v>19116</x:v>
      </x:c>
      <x:c r="H1393" s="1" t="n">
        <x:v>40.102367</x:v>
      </x:c>
      <x:c r="I1393" s="1" t="n">
        <x:v>-75.008537</x:v>
      </x:c>
      <x:c r="J1393" s="1" t="str">
        <x:v>USDA SNAP retailer list</x:v>
      </x:c>
      <x:c r="K1393" s="1" t="str">
        <x:v>2026-10-09</x:v>
      </x:c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  <x:c r="AA1393" s="1"/>
      <x:c r="AB1393" s="1"/>
      <x:c r="AC1393" s="1"/>
      <x:c r="AD1393" s="1"/>
      <x:c r="AE1393" s="1"/>
      <x:c r="AF1393" s="1"/>
      <x:c r="AG1393" s="1"/>
      <x:c r="AH1393" s="1"/>
      <x:c r="AI1393" s="1"/>
      <x:c r="AJ1393" s="1"/>
      <x:c r="AK1393" s="1"/>
      <x:c r="AL1393" s="1"/>
      <x:c r="AM1393" s="1"/>
      <x:c r="AN1393" s="1"/>
    </x:row>
    <x:row r="1394" ht="22" customHeight="1">
      <x:c r="A1394" s="1" t="str">
        <x:v>1696484</x:v>
      </x:c>
      <x:c r="B1394" s="1" t="str">
        <x:v>Lidl 1035</x:v>
      </x:c>
      <x:c r="C1394" s="1" t="str">
        <x:v>Super Store</x:v>
      </x:c>
      <x:c r="D1394" s="1" t="str">
        <x:v>2290 E Butler St</x:v>
      </x:c>
      <x:c r="E1394" s="1" t="str">
        <x:v>Philadelphia</x:v>
      </x:c>
      <x:c r="F1394" s="1" t="str">
        <x:v>PA</x:v>
      </x:c>
      <x:c r="G1394" s="1" t="str">
        <x:v>19137</x:v>
      </x:c>
      <x:c r="H1394" s="1" t="n">
        <x:v>39.996609</x:v>
      </x:c>
      <x:c r="I1394" s="1" t="n">
        <x:v>-75.093384</x:v>
      </x:c>
      <x:c r="J1394" s="1" t="str">
        <x:v>USDA SNAP retailer list</x:v>
      </x:c>
      <x:c r="K1394" s="1" t="str">
        <x:v>2026-10-09</x:v>
      </x:c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  <x:c r="AA1394" s="1"/>
      <x:c r="AB1394" s="1"/>
      <x:c r="AC1394" s="1"/>
      <x:c r="AD1394" s="1"/>
      <x:c r="AE1394" s="1"/>
      <x:c r="AF1394" s="1"/>
      <x:c r="AG1394" s="1"/>
      <x:c r="AH1394" s="1"/>
      <x:c r="AI1394" s="1"/>
      <x:c r="AJ1394" s="1"/>
      <x:c r="AK1394" s="1"/>
      <x:c r="AL1394" s="1"/>
      <x:c r="AM1394" s="1"/>
      <x:c r="AN1394" s="1"/>
    </x:row>
    <x:row r="1395" ht="22" customHeight="1">
      <x:c r="A1395" s="1" t="str">
        <x:v>1695451</x:v>
      </x:c>
      <x:c r="B1395" s="1" t="str">
        <x:v>Lidl 1162</x:v>
      </x:c>
      <x:c r="C1395" s="1" t="str">
        <x:v>Super Store</x:v>
      </x:c>
      <x:c r="D1395" s="1" t="str">
        <x:v>400 Route 38</x:v>
      </x:c>
      <x:c r="E1395" s="1" t="str">
        <x:v>Cherry Hill</x:v>
      </x:c>
      <x:c r="F1395" s="1" t="str">
        <x:v>NJ</x:v>
      </x:c>
      <x:c r="G1395" s="1" t="str">
        <x:v>08002</x:v>
      </x:c>
      <x:c r="H1395" s="1" t="n">
        <x:v>39.936714</x:v>
      </x:c>
      <x:c r="I1395" s="1" t="n">
        <x:v>-75.050858</x:v>
      </x:c>
      <x:c r="J1395" s="1" t="str">
        <x:v>USDA SNAP retailer list</x:v>
      </x:c>
      <x:c r="K1395" s="1" t="str">
        <x:v>2026-10-09</x:v>
      </x:c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  <x:c r="AA1395" s="1"/>
      <x:c r="AB1395" s="1"/>
      <x:c r="AC1395" s="1"/>
      <x:c r="AD1395" s="1"/>
      <x:c r="AE1395" s="1"/>
      <x:c r="AF1395" s="1"/>
      <x:c r="AG1395" s="1"/>
      <x:c r="AH1395" s="1"/>
      <x:c r="AI1395" s="1"/>
      <x:c r="AJ1395" s="1"/>
      <x:c r="AK1395" s="1"/>
      <x:c r="AL1395" s="1"/>
      <x:c r="AM1395" s="1"/>
      <x:c r="AN1395" s="1"/>
    </x:row>
    <x:row r="1396" ht="22" customHeight="1">
      <x:c r="A1396" s="1" t="str">
        <x:v>1696483</x:v>
      </x:c>
      <x:c r="B1396" s="1" t="str">
        <x:v>Shoprite of Bensalem 428</x:v>
      </x:c>
      <x:c r="C1396" s="1" t="str">
        <x:v>Super Store</x:v>
      </x:c>
      <x:c r="D1396" s="1" t="str">
        <x:v>2200 Bristol Rd</x:v>
      </x:c>
      <x:c r="E1396" s="1" t="str">
        <x:v>Bensalem</x:v>
      </x:c>
      <x:c r="F1396" s="1" t="str">
        <x:v>PA</x:v>
      </x:c>
      <x:c r="G1396" s="1" t="str">
        <x:v>19020</x:v>
      </x:c>
      <x:c r="H1396" s="1" t="n">
        <x:v>40.129814</x:v>
      </x:c>
      <x:c r="I1396" s="1" t="n">
        <x:v>-74.923927</x:v>
      </x:c>
      <x:c r="J1396" s="1" t="str">
        <x:v>USDA SNAP retailer list</x:v>
      </x:c>
      <x:c r="K1396" s="1" t="str">
        <x:v>2026-10-09</x:v>
      </x:c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  <x:c r="AA1396" s="1"/>
      <x:c r="AB1396" s="1"/>
      <x:c r="AC1396" s="1"/>
      <x:c r="AD1396" s="1"/>
      <x:c r="AE1396" s="1"/>
      <x:c r="AF1396" s="1"/>
      <x:c r="AG1396" s="1"/>
      <x:c r="AH1396" s="1"/>
      <x:c r="AI1396" s="1"/>
      <x:c r="AJ1396" s="1"/>
      <x:c r="AK1396" s="1"/>
      <x:c r="AL1396" s="1"/>
      <x:c r="AM1396" s="1"/>
      <x:c r="AN1396" s="1"/>
    </x:row>
    <x:row r="1397" ht="22" customHeight="1">
      <x:c r="A1397" s="1" t="str">
        <x:v>1701220</x:v>
      </x:c>
      <x:c r="B1397" s="1" t="str">
        <x:v>HAR UPPER DARBY INC</x:v>
      </x:c>
      <x:c r="C1397" s="1" t="str">
        <x:v>Super Store</x:v>
      </x:c>
      <x:c r="D1397" s="1" t="str">
        <x:v>7052 Terminal Sq</x:v>
      </x:c>
      <x:c r="E1397" s="1" t="str">
        <x:v>Upper Darby</x:v>
      </x:c>
      <x:c r="F1397" s="1" t="str">
        <x:v>PA</x:v>
      </x:c>
      <x:c r="G1397" s="1" t="str">
        <x:v>19082</x:v>
      </x:c>
      <x:c r="H1397" s="1" t="n">
        <x:v>39.961166</x:v>
      </x:c>
      <x:c r="I1397" s="1" t="n">
        <x:v>-75.262825</x:v>
      </x:c>
      <x:c r="J1397" s="1" t="str">
        <x:v>USDA SNAP retailer list</x:v>
      </x:c>
      <x:c r="K1397" s="1" t="str">
        <x:v>2026-10-09</x:v>
      </x:c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  <x:c r="AA1397" s="1"/>
      <x:c r="AB1397" s="1"/>
      <x:c r="AC1397" s="1"/>
      <x:c r="AD1397" s="1"/>
      <x:c r="AE1397" s="1"/>
      <x:c r="AF1397" s="1"/>
      <x:c r="AG1397" s="1"/>
      <x:c r="AH1397" s="1"/>
      <x:c r="AI1397" s="1"/>
      <x:c r="AJ1397" s="1"/>
      <x:c r="AK1397" s="1"/>
      <x:c r="AL1397" s="1"/>
      <x:c r="AM1397" s="1"/>
      <x:c r="AN1397" s="1"/>
    </x:row>
    <x:row r="1398" ht="22" customHeight="1">
      <x:c r="A1398" s="1" t="str">
        <x:v>1700788</x:v>
      </x:c>
      <x:c r="B1398" s="1" t="str">
        <x:v>Christ Followers Inc 729</x:v>
      </x:c>
      <x:c r="C1398" s="1" t="str">
        <x:v>Supermarket</x:v>
      </x:c>
      <x:c r="D1398" s="1" t="str">
        <x:v>2917 Swede Rd</x:v>
      </x:c>
      <x:c r="E1398" s="1" t="str">
        <x:v>Norristown</x:v>
      </x:c>
      <x:c r="F1398" s="1" t="str">
        <x:v>PA</x:v>
      </x:c>
      <x:c r="G1398" s="1" t="str">
        <x:v>19401</x:v>
      </x:c>
      <x:c r="H1398" s="1" t="n">
        <x:v>40.146389</x:v>
      </x:c>
      <x:c r="I1398" s="1" t="n">
        <x:v>-75.319099</x:v>
      </x:c>
      <x:c r="J1398" s="1" t="str">
        <x:v>USDA SNAP retailer list</x:v>
      </x:c>
      <x:c r="K1398" s="1" t="str">
        <x:v>2026-10-09</x:v>
      </x:c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  <x:c r="AA1398" s="1"/>
      <x:c r="AB1398" s="1"/>
      <x:c r="AC1398" s="1"/>
      <x:c r="AD1398" s="1"/>
      <x:c r="AE1398" s="1"/>
      <x:c r="AF1398" s="1"/>
      <x:c r="AG1398" s="1"/>
      <x:c r="AH1398" s="1"/>
      <x:c r="AI1398" s="1"/>
      <x:c r="AJ1398" s="1"/>
      <x:c r="AK1398" s="1"/>
      <x:c r="AL1398" s="1"/>
      <x:c r="AM1398" s="1"/>
      <x:c r="AN1398" s="1"/>
    </x:row>
    <x:row r="1399" ht="22" customHeight="1">
      <x:c r="A1399" s="1" t="str">
        <x:v>1701711</x:v>
      </x:c>
      <x:c r="B1399" s="1" t="str">
        <x:v>Walmart Supercenter 2650</x:v>
      </x:c>
      <x:c r="C1399" s="1" t="str">
        <x:v>Super Store</x:v>
      </x:c>
      <x:c r="D1399" s="1" t="str">
        <x:v>4301 Byberry Rd</x:v>
      </x:c>
      <x:c r="E1399" s="1" t="str">
        <x:v>Philadelphia</x:v>
      </x:c>
      <x:c r="F1399" s="1" t="str">
        <x:v>PA</x:v>
      </x:c>
      <x:c r="G1399" s="1" t="str">
        <x:v>19154</x:v>
      </x:c>
      <x:c r="H1399" s="1" t="n">
        <x:v>40.08765</x:v>
      </x:c>
      <x:c r="I1399" s="1" t="n">
        <x:v>-74.961334</x:v>
      </x:c>
      <x:c r="J1399" s="1" t="str">
        <x:v>USDA SNAP retailer list</x:v>
      </x:c>
      <x:c r="K1399" s="1" t="str">
        <x:v>2026-10-09</x:v>
      </x:c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  <x:c r="AA1399" s="1"/>
      <x:c r="AB1399" s="1"/>
      <x:c r="AC1399" s="1"/>
      <x:c r="AD1399" s="1"/>
      <x:c r="AE1399" s="1"/>
      <x:c r="AF1399" s="1"/>
      <x:c r="AG1399" s="1"/>
      <x:c r="AH1399" s="1"/>
      <x:c r="AI1399" s="1"/>
      <x:c r="AJ1399" s="1"/>
      <x:c r="AK1399" s="1"/>
      <x:c r="AL1399" s="1"/>
      <x:c r="AM1399" s="1"/>
      <x:c r="AN1399" s="1"/>
    </x:row>
    <x:row r="1400" ht="22" customHeight="1">
      <x:c r="A1400" s="1" t="str">
        <x:v>1701216</x:v>
      </x:c>
      <x:c r="B1400" s="1" t="str">
        <x:v>Walmart 5047</x:v>
      </x:c>
      <x:c r="C1400" s="1" t="str">
        <x:v>Super Store</x:v>
      </x:c>
      <x:c r="D1400" s="1" t="str">
        <x:v>130 Blackhorse Pike</x:v>
      </x:c>
      <x:c r="E1400" s="1" t="str">
        <x:v>Audubon</x:v>
      </x:c>
      <x:c r="F1400" s="1" t="str">
        <x:v>NJ</x:v>
      </x:c>
      <x:c r="G1400" s="1" t="str">
        <x:v>08106</x:v>
      </x:c>
      <x:c r="H1400" s="1" t="n">
        <x:v>39.892078</x:v>
      </x:c>
      <x:c r="I1400" s="1" t="n">
        <x:v>-75.084183</x:v>
      </x:c>
      <x:c r="J1400" s="1" t="str">
        <x:v>USDA SNAP retailer list</x:v>
      </x:c>
      <x:c r="K1400" s="1" t="str">
        <x:v>2026-10-09</x:v>
      </x:c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  <x:c r="AA1400" s="1"/>
      <x:c r="AB1400" s="1"/>
      <x:c r="AC1400" s="1"/>
      <x:c r="AD1400" s="1"/>
      <x:c r="AE1400" s="1"/>
      <x:c r="AF1400" s="1"/>
      <x:c r="AG1400" s="1"/>
      <x:c r="AH1400" s="1"/>
      <x:c r="AI1400" s="1"/>
      <x:c r="AJ1400" s="1"/>
      <x:c r="AK1400" s="1"/>
      <x:c r="AL1400" s="1"/>
      <x:c r="AM1400" s="1"/>
      <x:c r="AN1400" s="1"/>
    </x:row>
    <x:row r="1401" ht="22" customHeight="1">
      <x:c r="A1401" s="1" t="str">
        <x:v>1703266</x:v>
      </x:c>
      <x:c r="B1401" s="1" t="str">
        <x:v>GFM Food Corporation</x:v>
      </x:c>
      <x:c r="C1401" s="1" t="str">
        <x:v>Super Store</x:v>
      </x:c>
      <x:c r="D1401" s="1" t="str">
        <x:v>180 W Duncannon Ave</x:v>
      </x:c>
      <x:c r="E1401" s="1" t="str">
        <x:v>Philadelphia</x:v>
      </x:c>
      <x:c r="F1401" s="1" t="str">
        <x:v>PA</x:v>
      </x:c>
      <x:c r="G1401" s="1" t="str">
        <x:v>19120</x:v>
      </x:c>
      <x:c r="H1401" s="1" t="n">
        <x:v>40.028103</x:v>
      </x:c>
      <x:c r="I1401" s="1" t="n">
        <x:v>-75.125786</x:v>
      </x:c>
      <x:c r="J1401" s="1" t="str">
        <x:v>USDA SNAP retailer list</x:v>
      </x:c>
      <x:c r="K1401" s="1" t="str">
        <x:v>2026-10-09</x:v>
      </x:c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  <x:c r="AA1401" s="1"/>
      <x:c r="AB1401" s="1"/>
      <x:c r="AC1401" s="1"/>
      <x:c r="AD1401" s="1"/>
      <x:c r="AE1401" s="1"/>
      <x:c r="AF1401" s="1"/>
      <x:c r="AG1401" s="1"/>
      <x:c r="AH1401" s="1"/>
      <x:c r="AI1401" s="1"/>
      <x:c r="AJ1401" s="1"/>
      <x:c r="AK1401" s="1"/>
      <x:c r="AL1401" s="1"/>
      <x:c r="AM1401" s="1"/>
      <x:c r="AN1401" s="1"/>
    </x:row>
    <x:row r="1402" ht="22" customHeight="1">
      <x:c r="A1402" s="1" t="str">
        <x:v>1694809</x:v>
      </x:c>
      <x:c r="B1402" s="1" t="str">
        <x:v>Giant Food Store 6083</x:v>
      </x:c>
      <x:c r="C1402" s="1" t="str">
        <x:v>Supermarket</x:v>
      </x:c>
      <x:c r="D1402" s="1" t="str">
        <x:v>539 N Oak Ave</x:v>
      </x:c>
      <x:c r="E1402" s="1" t="str">
        <x:v>Aldan</x:v>
      </x:c>
      <x:c r="F1402" s="1" t="str">
        <x:v>PA</x:v>
      </x:c>
      <x:c r="G1402" s="1" t="str">
        <x:v>19018</x:v>
      </x:c>
      <x:c r="H1402" s="1" t="n">
        <x:v>39.932796</x:v>
      </x:c>
      <x:c r="I1402" s="1" t="n">
        <x:v>-75.305725</x:v>
      </x:c>
      <x:c r="J1402" s="1" t="str">
        <x:v>USDA SNAP retailer list</x:v>
      </x:c>
      <x:c r="K1402" s="1" t="str">
        <x:v>2026-10-09</x:v>
      </x:c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  <x:c r="AA1402" s="1"/>
      <x:c r="AB1402" s="1"/>
      <x:c r="AC1402" s="1"/>
      <x:c r="AD1402" s="1"/>
      <x:c r="AE1402" s="1"/>
      <x:c r="AF1402" s="1"/>
      <x:c r="AG1402" s="1"/>
      <x:c r="AH1402" s="1"/>
      <x:c r="AI1402" s="1"/>
      <x:c r="AJ1402" s="1"/>
      <x:c r="AK1402" s="1"/>
      <x:c r="AL1402" s="1"/>
      <x:c r="AM1402" s="1"/>
      <x:c r="AN1402" s="1"/>
    </x:row>
    <x:row r="1403" ht="22" customHeight="1">
      <x:c r="A1403" s="1" t="str">
        <x:v>1695457</x:v>
      </x:c>
      <x:c r="B1403" s="1" t="str">
        <x:v>Giant Food Store 6541</x:v>
      </x:c>
      <x:c r="C1403" s="1" t="str">
        <x:v>Supermarket</x:v>
      </x:c>
      <x:c r="D1403" s="1" t="str">
        <x:v>176 W Street Rd</x:v>
      </x:c>
      <x:c r="E1403" s="1" t="str">
        <x:v>Feasterville Trevose</x:v>
      </x:c>
      <x:c r="F1403" s="1" t="str">
        <x:v>PA</x:v>
      </x:c>
      <x:c r="G1403" s="1" t="str">
        <x:v>19053</x:v>
      </x:c>
      <x:c r="H1403" s="1" t="n">
        <x:v>40.152439</x:v>
      </x:c>
      <x:c r="I1403" s="1" t="n">
        <x:v>-75.009109</x:v>
      </x:c>
      <x:c r="J1403" s="1" t="str">
        <x:v>USDA SNAP retailer list</x:v>
      </x:c>
      <x:c r="K1403" s="1" t="str">
        <x:v>2026-10-09</x:v>
      </x:c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  <x:c r="AA1403" s="1"/>
      <x:c r="AB1403" s="1"/>
      <x:c r="AC1403" s="1"/>
      <x:c r="AD1403" s="1"/>
      <x:c r="AE1403" s="1"/>
      <x:c r="AF1403" s="1"/>
      <x:c r="AG1403" s="1"/>
      <x:c r="AH1403" s="1"/>
      <x:c r="AI1403" s="1"/>
      <x:c r="AJ1403" s="1"/>
      <x:c r="AK1403" s="1"/>
      <x:c r="AL1403" s="1"/>
      <x:c r="AM1403" s="1"/>
      <x:c r="AN1403" s="1"/>
    </x:row>
    <x:row r="1404" ht="22" customHeight="1">
      <x:c r="A1404" s="1" t="str">
        <x:v>1696489</x:v>
      </x:c>
      <x:c r="B1404" s="1" t="str">
        <x:v>Giant Food Store 6512</x:v>
      </x:c>
      <x:c r="C1404" s="1" t="str">
        <x:v>Supermarket</x:v>
      </x:c>
      <x:c r="D1404" s="1" t="str">
        <x:v>310 S Henderson Rd</x:v>
      </x:c>
      <x:c r="E1404" s="1" t="str">
        <x:v>King of Prussia</x:v>
      </x:c>
      <x:c r="F1404" s="1" t="str">
        <x:v>PA</x:v>
      </x:c>
      <x:c r="G1404" s="1" t="str">
        <x:v>19406</x:v>
      </x:c>
      <x:c r="H1404" s="1" t="n">
        <x:v>40.091789</x:v>
      </x:c>
      <x:c r="I1404" s="1" t="n">
        <x:v>-75.357704</x:v>
      </x:c>
      <x:c r="J1404" s="1" t="str">
        <x:v>USDA SNAP retailer list</x:v>
      </x:c>
      <x:c r="K1404" s="1" t="str">
        <x:v>2026-10-09</x:v>
      </x:c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  <x:c r="AA1404" s="1"/>
      <x:c r="AB1404" s="1"/>
      <x:c r="AC1404" s="1"/>
      <x:c r="AD1404" s="1"/>
      <x:c r="AE1404" s="1"/>
      <x:c r="AF1404" s="1"/>
      <x:c r="AG1404" s="1"/>
      <x:c r="AH1404" s="1"/>
      <x:c r="AI1404" s="1"/>
      <x:c r="AJ1404" s="1"/>
      <x:c r="AK1404" s="1"/>
      <x:c r="AL1404" s="1"/>
      <x:c r="AM1404" s="1"/>
      <x:c r="AN1404" s="1"/>
    </x:row>
    <x:row r="1405" ht="22" customHeight="1">
      <x:c r="A1405" s="1" t="str">
        <x:v>1694834</x:v>
      </x:c>
      <x:c r="B1405" s="1" t="str">
        <x:v>No. 1 Ben City Supermarket Inc</x:v>
      </x:c>
      <x:c r="C1405" s="1" t="str">
        <x:v>Supermarket</x:v>
      </x:c>
      <x:c r="D1405" s="1" t="str">
        <x:v>5520 Whitaker Ave</x:v>
      </x:c>
      <x:c r="E1405" s="1" t="str">
        <x:v>Philadelphia</x:v>
      </x:c>
      <x:c r="F1405" s="1" t="str">
        <x:v>PA</x:v>
      </x:c>
      <x:c r="G1405" s="1" t="str">
        <x:v>19124</x:v>
      </x:c>
      <x:c r="H1405" s="1" t="n">
        <x:v>40.035328</x:v>
      </x:c>
      <x:c r="I1405" s="1" t="n">
        <x:v>-75.099533</x:v>
      </x:c>
      <x:c r="J1405" s="1" t="str">
        <x:v>USDA SNAP retailer list</x:v>
      </x:c>
      <x:c r="K1405" s="1" t="str">
        <x:v>2026-10-09</x:v>
      </x:c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  <x:c r="AA1405" s="1"/>
      <x:c r="AB1405" s="1"/>
      <x:c r="AC1405" s="1"/>
      <x:c r="AD1405" s="1"/>
      <x:c r="AE1405" s="1"/>
      <x:c r="AF1405" s="1"/>
      <x:c r="AG1405" s="1"/>
      <x:c r="AH1405" s="1"/>
      <x:c r="AI1405" s="1"/>
      <x:c r="AJ1405" s="1"/>
      <x:c r="AK1405" s="1"/>
      <x:c r="AL1405" s="1"/>
      <x:c r="AM1405" s="1"/>
      <x:c r="AN1405" s="1"/>
    </x:row>
    <x:row r="1406" ht="22" customHeight="1">
      <x:c r="A1406" s="1" t="str">
        <x:v>1689801</x:v>
      </x:c>
      <x:c r="B1406" s="1" t="str">
        <x:v>Cousins Grocery Market Inc.</x:v>
      </x:c>
      <x:c r="C1406" s="1" t="str">
        <x:v>Supermarket</x:v>
      </x:c>
      <x:c r="D1406" s="1" t="str">
        <x:v>1607 Bridge St</x:v>
      </x:c>
      <x:c r="E1406" s="1" t="str">
        <x:v>Philadelphia</x:v>
      </x:c>
      <x:c r="F1406" s="1" t="str">
        <x:v>PA</x:v>
      </x:c>
      <x:c r="G1406" s="1" t="str">
        <x:v>19124</x:v>
      </x:c>
      <x:c r="H1406" s="1" t="n">
        <x:v>40.02309</x:v>
      </x:c>
      <x:c r="I1406" s="1" t="n">
        <x:v>-75.076073</x:v>
      </x:c>
      <x:c r="J1406" s="1" t="str">
        <x:v>USDA SNAP retailer list</x:v>
      </x:c>
      <x:c r="K1406" s="1" t="str">
        <x:v>2026-10-09</x:v>
      </x:c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  <x:c r="AA1406" s="1"/>
      <x:c r="AB1406" s="1"/>
      <x:c r="AC1406" s="1"/>
      <x:c r="AD1406" s="1"/>
      <x:c r="AE1406" s="1"/>
      <x:c r="AF1406" s="1"/>
      <x:c r="AG1406" s="1"/>
      <x:c r="AH1406" s="1"/>
      <x:c r="AI1406" s="1"/>
      <x:c r="AJ1406" s="1"/>
      <x:c r="AK1406" s="1"/>
      <x:c r="AL1406" s="1"/>
      <x:c r="AM1406" s="1"/>
      <x:c r="AN1406" s="1"/>
    </x:row>
    <x:row r="1407" ht="22" customHeight="1">
      <x:c r="A1407" s="1" t="str">
        <x:v>1694249</x:v>
      </x:c>
      <x:c r="B1407" s="1" t="str">
        <x:v>Compare &amp; Save</x:v>
      </x:c>
      <x:c r="C1407" s="1" t="str">
        <x:v>Super Store</x:v>
      </x:c>
      <x:c r="D1407" s="1" t="str">
        <x:v>6515 Castor Ave</x:v>
      </x:c>
      <x:c r="E1407" s="1" t="str">
        <x:v>Philadelphia</x:v>
      </x:c>
      <x:c r="F1407" s="1" t="str">
        <x:v>PA</x:v>
      </x:c>
      <x:c r="G1407" s="1" t="str">
        <x:v>19149</x:v>
      </x:c>
      <x:c r="H1407" s="1" t="n">
        <x:v>40.040874</x:v>
      </x:c>
      <x:c r="I1407" s="1" t="n">
        <x:v>-75.075104</x:v>
      </x:c>
      <x:c r="J1407" s="1" t="str">
        <x:v>USDA SNAP retailer list</x:v>
      </x:c>
      <x:c r="K1407" s="1" t="str">
        <x:v>2026-10-09</x:v>
      </x:c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  <x:c r="AA1407" s="1"/>
      <x:c r="AB1407" s="1"/>
      <x:c r="AC1407" s="1"/>
      <x:c r="AD1407" s="1"/>
      <x:c r="AE1407" s="1"/>
      <x:c r="AF1407" s="1"/>
      <x:c r="AG1407" s="1"/>
      <x:c r="AH1407" s="1"/>
      <x:c r="AI1407" s="1"/>
      <x:c r="AJ1407" s="1"/>
      <x:c r="AK1407" s="1"/>
      <x:c r="AL1407" s="1"/>
      <x:c r="AM1407" s="1"/>
      <x:c r="AN1407" s="1"/>
    </x:row>
    <x:row r="1408" ht="22" customHeight="1">
      <x:c r="A1408" s="1" t="str">
        <x:v>1538494</x:v>
      </x:c>
      <x:c r="B1408" s="1" t="str">
        <x:v>Grocery Outlet of Fishtown 738</x:v>
      </x:c>
      <x:c r="C1408" s="1" t="str">
        <x:v>Super Store</x:v>
      </x:c>
      <x:c r="D1408" s="1" t="str">
        <x:v>1801 N American St</x:v>
      </x:c>
      <x:c r="E1408" s="1" t="str">
        <x:v>Philadelphia</x:v>
      </x:c>
      <x:c r="F1408" s="1" t="str">
        <x:v>PA</x:v>
      </x:c>
      <x:c r="G1408" s="1" t="str">
        <x:v>19122</x:v>
      </x:c>
      <x:c r="H1408" s="1" t="n">
        <x:v>39.978588</x:v>
      </x:c>
      <x:c r="I1408" s="1" t="n">
        <x:v>-75.138077</x:v>
      </x:c>
      <x:c r="J1408" s="1" t="str">
        <x:v>USDA SNAP retailer list</x:v>
      </x:c>
      <x:c r="K1408" s="1" t="str">
        <x:v>2026-10-09</x:v>
      </x:c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  <x:c r="AA1408" s="1"/>
      <x:c r="AB1408" s="1"/>
      <x:c r="AC1408" s="1"/>
      <x:c r="AD1408" s="1"/>
      <x:c r="AE1408" s="1"/>
      <x:c r="AF1408" s="1"/>
      <x:c r="AG1408" s="1"/>
      <x:c r="AH1408" s="1"/>
      <x:c r="AI1408" s="1"/>
      <x:c r="AJ1408" s="1"/>
      <x:c r="AK1408" s="1"/>
      <x:c r="AL1408" s="1"/>
      <x:c r="AM1408" s="1"/>
      <x:c r="AN1408" s="1"/>
    </x:row>
    <x:row r="1409" ht="22" customHeight="1">
      <x:c r="A1409" s="1" t="str">
        <x:v>1711171</x:v>
      </x:c>
      <x:c r="B1409" s="1" t="str">
        <x:v>Shoprite Of Glenolden</x:v>
      </x:c>
      <x:c r="C1409" s="1" t="str">
        <x:v>Super Store</x:v>
      </x:c>
      <x:c r="D1409" s="1" t="str">
        <x:v>140 N MacDade Blvd</x:v>
      </x:c>
      <x:c r="E1409" s="1" t="str">
        <x:v>Glenolden</x:v>
      </x:c>
      <x:c r="F1409" s="1" t="str">
        <x:v>PA</x:v>
      </x:c>
      <x:c r="G1409" s="1" t="str">
        <x:v>19036</x:v>
      </x:c>
      <x:c r="H1409" s="1" t="n">
        <x:v>39.907711</x:v>
      </x:c>
      <x:c r="I1409" s="1" t="n">
        <x:v>-75.28746</x:v>
      </x:c>
      <x:c r="J1409" s="1" t="str">
        <x:v>USDA SNAP retailer list</x:v>
      </x:c>
      <x:c r="K1409" s="1" t="str">
        <x:v>2026-10-09</x:v>
      </x:c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  <x:c r="AA1409" s="1"/>
      <x:c r="AB1409" s="1"/>
      <x:c r="AC1409" s="1"/>
      <x:c r="AD1409" s="1"/>
      <x:c r="AE1409" s="1"/>
      <x:c r="AF1409" s="1"/>
      <x:c r="AG1409" s="1"/>
      <x:c r="AH1409" s="1"/>
      <x:c r="AI1409" s="1"/>
      <x:c r="AJ1409" s="1"/>
      <x:c r="AK1409" s="1"/>
      <x:c r="AL1409" s="1"/>
      <x:c r="AM1409" s="1"/>
      <x:c r="AN1409" s="1"/>
    </x:row>
    <x:row r="1410" ht="22" customHeight="1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  <x:c r="AA1410" s="1"/>
      <x:c r="AB1410" s="1"/>
      <x:c r="AC1410" s="1"/>
      <x:c r="AD1410" s="1"/>
      <x:c r="AE1410" s="1"/>
      <x:c r="AF1410" s="1"/>
      <x:c r="AG1410" s="1"/>
      <x:c r="AH1410" s="1"/>
      <x:c r="AI1410" s="1"/>
      <x:c r="AJ1410" s="1"/>
      <x:c r="AK1410" s="1"/>
      <x:c r="AL1410" s="1"/>
      <x:c r="AM1410" s="1"/>
      <x:c r="AN1410" s="1"/>
    </x:row>
    <x:row r="1411" ht="22" customHeight="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  <x:c r="AA1411" s="1"/>
      <x:c r="AB1411" s="1"/>
      <x:c r="AC1411" s="1"/>
      <x:c r="AD1411" s="1"/>
      <x:c r="AE1411" s="1"/>
      <x:c r="AF1411" s="1"/>
      <x:c r="AG1411" s="1"/>
      <x:c r="AH1411" s="1"/>
      <x:c r="AI1411" s="1"/>
      <x:c r="AJ1411" s="1"/>
      <x:c r="AK1411" s="1"/>
      <x:c r="AL1411" s="1"/>
      <x:c r="AM1411" s="1"/>
      <x:c r="AN1411" s="1"/>
    </x:row>
    <x:row r="1412" ht="22" customHeight="1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  <x:c r="AA1412" s="1"/>
      <x:c r="AB1412" s="1"/>
      <x:c r="AC1412" s="1"/>
      <x:c r="AD1412" s="1"/>
      <x:c r="AE1412" s="1"/>
      <x:c r="AF1412" s="1"/>
      <x:c r="AG1412" s="1"/>
      <x:c r="AH1412" s="1"/>
      <x:c r="AI1412" s="1"/>
      <x:c r="AJ1412" s="1"/>
      <x:c r="AK1412" s="1"/>
      <x:c r="AL1412" s="1"/>
      <x:c r="AM1412" s="1"/>
      <x:c r="AN1412" s="1"/>
    </x:row>
    <x:row r="1413" ht="22" customHeight="1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  <x:c r="AA1413" s="1"/>
      <x:c r="AB1413" s="1"/>
      <x:c r="AC1413" s="1"/>
      <x:c r="AD1413" s="1"/>
      <x:c r="AE1413" s="1"/>
      <x:c r="AF1413" s="1"/>
      <x:c r="AG1413" s="1"/>
      <x:c r="AH1413" s="1"/>
      <x:c r="AI1413" s="1"/>
      <x:c r="AJ1413" s="1"/>
      <x:c r="AK1413" s="1"/>
      <x:c r="AL1413" s="1"/>
      <x:c r="AM1413" s="1"/>
      <x:c r="AN1413" s="1"/>
    </x:row>
    <x:row r="1414" ht="22" customHeight="1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  <x:c r="AA1414" s="1"/>
      <x:c r="AB1414" s="1"/>
      <x:c r="AC1414" s="1"/>
      <x:c r="AD1414" s="1"/>
      <x:c r="AE1414" s="1"/>
      <x:c r="AF1414" s="1"/>
      <x:c r="AG1414" s="1"/>
      <x:c r="AH1414" s="1"/>
      <x:c r="AI1414" s="1"/>
      <x:c r="AJ1414" s="1"/>
      <x:c r="AK1414" s="1"/>
      <x:c r="AL1414" s="1"/>
      <x:c r="AM1414" s="1"/>
      <x:c r="AN1414" s="1"/>
    </x:row>
    <x:row r="1415" ht="22" customHeight="1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  <x:c r="AA1415" s="1"/>
      <x:c r="AB1415" s="1"/>
      <x:c r="AC1415" s="1"/>
      <x:c r="AD1415" s="1"/>
      <x:c r="AE1415" s="1"/>
      <x:c r="AF1415" s="1"/>
      <x:c r="AG1415" s="1"/>
      <x:c r="AH1415" s="1"/>
      <x:c r="AI1415" s="1"/>
      <x:c r="AJ1415" s="1"/>
      <x:c r="AK1415" s="1"/>
      <x:c r="AL1415" s="1"/>
      <x:c r="AM1415" s="1"/>
      <x:c r="AN1415" s="1"/>
    </x:row>
    <x:row r="1416" ht="22" customHeight="1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  <x:c r="AA1416" s="1"/>
      <x:c r="AB1416" s="1"/>
      <x:c r="AC1416" s="1"/>
      <x:c r="AD1416" s="1"/>
      <x:c r="AE1416" s="1"/>
      <x:c r="AF1416" s="1"/>
      <x:c r="AG1416" s="1"/>
      <x:c r="AH1416" s="1"/>
      <x:c r="AI1416" s="1"/>
      <x:c r="AJ1416" s="1"/>
      <x:c r="AK1416" s="1"/>
      <x:c r="AL1416" s="1"/>
      <x:c r="AM1416" s="1"/>
      <x:c r="AN1416" s="1"/>
    </x:row>
    <x:row r="1417" ht="22" customHeight="1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  <x:c r="AA1417" s="1"/>
      <x:c r="AB1417" s="1"/>
      <x:c r="AC1417" s="1"/>
      <x:c r="AD1417" s="1"/>
      <x:c r="AE1417" s="1"/>
      <x:c r="AF1417" s="1"/>
      <x:c r="AG1417" s="1"/>
      <x:c r="AH1417" s="1"/>
      <x:c r="AI1417" s="1"/>
      <x:c r="AJ1417" s="1"/>
      <x:c r="AK1417" s="1"/>
      <x:c r="AL1417" s="1"/>
      <x:c r="AM1417" s="1"/>
      <x:c r="AN1417" s="1"/>
    </x:row>
    <x:row r="1418" ht="22" customHeight="1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  <x:c r="AA1418" s="1"/>
      <x:c r="AB1418" s="1"/>
      <x:c r="AC1418" s="1"/>
      <x:c r="AD1418" s="1"/>
      <x:c r="AE1418" s="1"/>
      <x:c r="AF1418" s="1"/>
      <x:c r="AG1418" s="1"/>
      <x:c r="AH1418" s="1"/>
      <x:c r="AI1418" s="1"/>
      <x:c r="AJ1418" s="1"/>
      <x:c r="AK1418" s="1"/>
      <x:c r="AL1418" s="1"/>
      <x:c r="AM1418" s="1"/>
      <x:c r="AN1418" s="1"/>
    </x:row>
    <x:row r="1419" ht="22" customHeight="1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  <x:c r="AA1419" s="1"/>
      <x:c r="AB1419" s="1"/>
      <x:c r="AC1419" s="1"/>
      <x:c r="AD1419" s="1"/>
      <x:c r="AE1419" s="1"/>
      <x:c r="AF1419" s="1"/>
      <x:c r="AG1419" s="1"/>
      <x:c r="AH1419" s="1"/>
      <x:c r="AI1419" s="1"/>
      <x:c r="AJ1419" s="1"/>
      <x:c r="AK1419" s="1"/>
      <x:c r="AL1419" s="1"/>
      <x:c r="AM1419" s="1"/>
      <x:c r="AN1419" s="1"/>
    </x:row>
    <x:row r="1420" ht="22" customHeight="1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  <x:c r="AA1420" s="1"/>
      <x:c r="AB1420" s="1"/>
      <x:c r="AC1420" s="1"/>
      <x:c r="AD1420" s="1"/>
      <x:c r="AE1420" s="1"/>
      <x:c r="AF1420" s="1"/>
      <x:c r="AG1420" s="1"/>
      <x:c r="AH1420" s="1"/>
      <x:c r="AI1420" s="1"/>
      <x:c r="AJ1420" s="1"/>
      <x:c r="AK1420" s="1"/>
      <x:c r="AL1420" s="1"/>
      <x:c r="AM1420" s="1"/>
      <x:c r="AN1420" s="1"/>
    </x:row>
    <x:row r="1421" ht="22" customHeight="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  <x:c r="AA1421" s="1"/>
      <x:c r="AB1421" s="1"/>
      <x:c r="AC1421" s="1"/>
      <x:c r="AD1421" s="1"/>
      <x:c r="AE1421" s="1"/>
      <x:c r="AF1421" s="1"/>
      <x:c r="AG1421" s="1"/>
      <x:c r="AH1421" s="1"/>
      <x:c r="AI1421" s="1"/>
      <x:c r="AJ1421" s="1"/>
      <x:c r="AK1421" s="1"/>
      <x:c r="AL1421" s="1"/>
      <x:c r="AM1421" s="1"/>
      <x:c r="AN1421" s="1"/>
    </x:row>
    <x:row r="1422" ht="22" customHeight="1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  <x:c r="AA1422" s="1"/>
      <x:c r="AB1422" s="1"/>
      <x:c r="AC1422" s="1"/>
      <x:c r="AD1422" s="1"/>
      <x:c r="AE1422" s="1"/>
      <x:c r="AF1422" s="1"/>
      <x:c r="AG1422" s="1"/>
      <x:c r="AH1422" s="1"/>
      <x:c r="AI1422" s="1"/>
      <x:c r="AJ1422" s="1"/>
      <x:c r="AK1422" s="1"/>
      <x:c r="AL1422" s="1"/>
      <x:c r="AM1422" s="1"/>
      <x:c r="AN1422" s="1"/>
    </x:row>
    <x:row r="1423" ht="22" customHeight="1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  <x:c r="AA1423" s="1"/>
      <x:c r="AB1423" s="1"/>
      <x:c r="AC1423" s="1"/>
      <x:c r="AD1423" s="1"/>
      <x:c r="AE1423" s="1"/>
      <x:c r="AF1423" s="1"/>
      <x:c r="AG1423" s="1"/>
      <x:c r="AH1423" s="1"/>
      <x:c r="AI1423" s="1"/>
      <x:c r="AJ1423" s="1"/>
      <x:c r="AK1423" s="1"/>
      <x:c r="AL1423" s="1"/>
      <x:c r="AM1423" s="1"/>
      <x:c r="AN1423" s="1"/>
    </x:row>
    <x:row r="1424" ht="22" customHeight="1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  <x:c r="AA1424" s="1"/>
      <x:c r="AB1424" s="1"/>
      <x:c r="AC1424" s="1"/>
      <x:c r="AD1424" s="1"/>
      <x:c r="AE1424" s="1"/>
      <x:c r="AF1424" s="1"/>
      <x:c r="AG1424" s="1"/>
      <x:c r="AH1424" s="1"/>
      <x:c r="AI1424" s="1"/>
      <x:c r="AJ1424" s="1"/>
      <x:c r="AK1424" s="1"/>
      <x:c r="AL1424" s="1"/>
      <x:c r="AM1424" s="1"/>
      <x:c r="AN1424" s="1"/>
    </x:row>
    <x:row r="1425" ht="22" customHeight="1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  <x:c r="AA1425" s="1"/>
      <x:c r="AB1425" s="1"/>
      <x:c r="AC1425" s="1"/>
      <x:c r="AD1425" s="1"/>
      <x:c r="AE1425" s="1"/>
      <x:c r="AF1425" s="1"/>
      <x:c r="AG1425" s="1"/>
      <x:c r="AH1425" s="1"/>
      <x:c r="AI1425" s="1"/>
      <x:c r="AJ1425" s="1"/>
      <x:c r="AK1425" s="1"/>
      <x:c r="AL1425" s="1"/>
      <x:c r="AM1425" s="1"/>
      <x:c r="AN1425" s="1"/>
    </x:row>
    <x:row r="1426" ht="22" customHeight="1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  <x:c r="AA1426" s="1"/>
      <x:c r="AB1426" s="1"/>
      <x:c r="AC1426" s="1"/>
      <x:c r="AD1426" s="1"/>
      <x:c r="AE1426" s="1"/>
      <x:c r="AF1426" s="1"/>
      <x:c r="AG1426" s="1"/>
      <x:c r="AH1426" s="1"/>
      <x:c r="AI1426" s="1"/>
      <x:c r="AJ1426" s="1"/>
      <x:c r="AK1426" s="1"/>
      <x:c r="AL1426" s="1"/>
      <x:c r="AM1426" s="1"/>
      <x:c r="AN1426" s="1"/>
    </x:row>
    <x:row r="1427" ht="22" customHeight="1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  <x:c r="AA1427" s="1"/>
      <x:c r="AB1427" s="1"/>
      <x:c r="AC1427" s="1"/>
      <x:c r="AD1427" s="1"/>
      <x:c r="AE1427" s="1"/>
      <x:c r="AF1427" s="1"/>
      <x:c r="AG1427" s="1"/>
      <x:c r="AH1427" s="1"/>
      <x:c r="AI1427" s="1"/>
      <x:c r="AJ1427" s="1"/>
      <x:c r="AK1427" s="1"/>
      <x:c r="AL1427" s="1"/>
      <x:c r="AM1427" s="1"/>
      <x:c r="AN1427" s="1"/>
    </x:row>
    <x:row r="1428" ht="22" customHeight="1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  <x:c r="AA1428" s="1"/>
      <x:c r="AB1428" s="1"/>
      <x:c r="AC1428" s="1"/>
      <x:c r="AD1428" s="1"/>
      <x:c r="AE1428" s="1"/>
      <x:c r="AF1428" s="1"/>
      <x:c r="AG1428" s="1"/>
      <x:c r="AH1428" s="1"/>
      <x:c r="AI1428" s="1"/>
      <x:c r="AJ1428" s="1"/>
      <x:c r="AK1428" s="1"/>
      <x:c r="AL1428" s="1"/>
      <x:c r="AM1428" s="1"/>
      <x:c r="AN1428" s="1"/>
    </x:row>
    <x:row r="1429" ht="22" customHeight="1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  <x:c r="AA1429" s="1"/>
      <x:c r="AB1429" s="1"/>
      <x:c r="AC1429" s="1"/>
      <x:c r="AD1429" s="1"/>
      <x:c r="AE1429" s="1"/>
      <x:c r="AF1429" s="1"/>
      <x:c r="AG1429" s="1"/>
      <x:c r="AH1429" s="1"/>
      <x:c r="AI1429" s="1"/>
      <x:c r="AJ1429" s="1"/>
      <x:c r="AK1429" s="1"/>
      <x:c r="AL1429" s="1"/>
      <x:c r="AM1429" s="1"/>
      <x:c r="AN1429" s="1"/>
    </x:row>
    <x:row r="1430" ht="22" customHeight="1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  <x:c r="AA1430" s="1"/>
      <x:c r="AB1430" s="1"/>
      <x:c r="AC1430" s="1"/>
      <x:c r="AD1430" s="1"/>
      <x:c r="AE1430" s="1"/>
      <x:c r="AF1430" s="1"/>
      <x:c r="AG1430" s="1"/>
      <x:c r="AH1430" s="1"/>
      <x:c r="AI1430" s="1"/>
      <x:c r="AJ1430" s="1"/>
      <x:c r="AK1430" s="1"/>
      <x:c r="AL1430" s="1"/>
      <x:c r="AM1430" s="1"/>
      <x:c r="AN1430" s="1"/>
    </x:row>
    <x:row r="1431" ht="22" customHeight="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  <x:c r="AA1431" s="1"/>
      <x:c r="AB1431" s="1"/>
      <x:c r="AC1431" s="1"/>
      <x:c r="AD1431" s="1"/>
      <x:c r="AE1431" s="1"/>
      <x:c r="AF1431" s="1"/>
      <x:c r="AG1431" s="1"/>
      <x:c r="AH1431" s="1"/>
      <x:c r="AI1431" s="1"/>
      <x:c r="AJ1431" s="1"/>
      <x:c r="AK1431" s="1"/>
      <x:c r="AL1431" s="1"/>
      <x:c r="AM1431" s="1"/>
      <x:c r="AN1431" s="1"/>
    </x:row>
    <x:row r="1432" ht="22" customHeight="1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  <x:c r="AA1432" s="1"/>
      <x:c r="AB1432" s="1"/>
      <x:c r="AC1432" s="1"/>
      <x:c r="AD1432" s="1"/>
      <x:c r="AE1432" s="1"/>
      <x:c r="AF1432" s="1"/>
      <x:c r="AG1432" s="1"/>
      <x:c r="AH1432" s="1"/>
      <x:c r="AI1432" s="1"/>
      <x:c r="AJ1432" s="1"/>
      <x:c r="AK1432" s="1"/>
      <x:c r="AL1432" s="1"/>
      <x:c r="AM1432" s="1"/>
      <x:c r="AN1432" s="1"/>
    </x:row>
    <x:row r="1433" ht="22" customHeight="1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  <x:c r="AA1433" s="1"/>
      <x:c r="AB1433" s="1"/>
      <x:c r="AC1433" s="1"/>
      <x:c r="AD1433" s="1"/>
      <x:c r="AE1433" s="1"/>
      <x:c r="AF1433" s="1"/>
      <x:c r="AG1433" s="1"/>
      <x:c r="AH1433" s="1"/>
      <x:c r="AI1433" s="1"/>
      <x:c r="AJ1433" s="1"/>
      <x:c r="AK1433" s="1"/>
      <x:c r="AL1433" s="1"/>
      <x:c r="AM1433" s="1"/>
      <x:c r="AN1433" s="1"/>
    </x:row>
    <x:row r="1434" ht="22" customHeight="1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  <x:c r="AA1434" s="1"/>
      <x:c r="AB1434" s="1"/>
      <x:c r="AC1434" s="1"/>
      <x:c r="AD1434" s="1"/>
      <x:c r="AE1434" s="1"/>
      <x:c r="AF1434" s="1"/>
      <x:c r="AG1434" s="1"/>
      <x:c r="AH1434" s="1"/>
      <x:c r="AI1434" s="1"/>
      <x:c r="AJ1434" s="1"/>
      <x:c r="AK1434" s="1"/>
      <x:c r="AL1434" s="1"/>
      <x:c r="AM1434" s="1"/>
      <x:c r="AN1434" s="1"/>
    </x:row>
    <x:row r="1435" ht="22" customHeight="1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  <x:c r="AA1435" s="1"/>
      <x:c r="AB1435" s="1"/>
      <x:c r="AC1435" s="1"/>
      <x:c r="AD1435" s="1"/>
      <x:c r="AE1435" s="1"/>
      <x:c r="AF1435" s="1"/>
      <x:c r="AG1435" s="1"/>
      <x:c r="AH1435" s="1"/>
      <x:c r="AI1435" s="1"/>
      <x:c r="AJ1435" s="1"/>
      <x:c r="AK1435" s="1"/>
      <x:c r="AL1435" s="1"/>
      <x:c r="AM1435" s="1"/>
      <x:c r="AN1435" s="1"/>
    </x:row>
    <x:row r="1436" ht="22" customHeight="1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  <x:c r="AA1436" s="1"/>
      <x:c r="AB1436" s="1"/>
      <x:c r="AC1436" s="1"/>
      <x:c r="AD1436" s="1"/>
      <x:c r="AE1436" s="1"/>
      <x:c r="AF1436" s="1"/>
      <x:c r="AG1436" s="1"/>
      <x:c r="AH1436" s="1"/>
      <x:c r="AI1436" s="1"/>
      <x:c r="AJ1436" s="1"/>
      <x:c r="AK1436" s="1"/>
      <x:c r="AL1436" s="1"/>
      <x:c r="AM1436" s="1"/>
      <x:c r="AN1436" s="1"/>
    </x:row>
    <x:row r="1437" ht="22" customHeight="1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  <x:c r="AA1437" s="1"/>
      <x:c r="AB1437" s="1"/>
      <x:c r="AC1437" s="1"/>
      <x:c r="AD1437" s="1"/>
      <x:c r="AE1437" s="1"/>
      <x:c r="AF1437" s="1"/>
      <x:c r="AG1437" s="1"/>
      <x:c r="AH1437" s="1"/>
      <x:c r="AI1437" s="1"/>
      <x:c r="AJ1437" s="1"/>
      <x:c r="AK1437" s="1"/>
      <x:c r="AL1437" s="1"/>
      <x:c r="AM1437" s="1"/>
      <x:c r="AN1437" s="1"/>
    </x:row>
    <x:row r="1438" ht="22" customHeight="1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  <x:c r="AA1438" s="1"/>
      <x:c r="AB1438" s="1"/>
      <x:c r="AC1438" s="1"/>
      <x:c r="AD1438" s="1"/>
      <x:c r="AE1438" s="1"/>
      <x:c r="AF1438" s="1"/>
      <x:c r="AG1438" s="1"/>
      <x:c r="AH1438" s="1"/>
      <x:c r="AI1438" s="1"/>
      <x:c r="AJ1438" s="1"/>
      <x:c r="AK1438" s="1"/>
      <x:c r="AL1438" s="1"/>
      <x:c r="AM1438" s="1"/>
      <x:c r="AN1438" s="1"/>
    </x:row>
    <x:row r="1439" ht="22" customHeight="1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  <x:c r="AA1439" s="1"/>
      <x:c r="AB1439" s="1"/>
      <x:c r="AC1439" s="1"/>
      <x:c r="AD1439" s="1"/>
      <x:c r="AE1439" s="1"/>
      <x:c r="AF1439" s="1"/>
      <x:c r="AG1439" s="1"/>
      <x:c r="AH1439" s="1"/>
      <x:c r="AI1439" s="1"/>
      <x:c r="AJ1439" s="1"/>
      <x:c r="AK1439" s="1"/>
      <x:c r="AL1439" s="1"/>
      <x:c r="AM1439" s="1"/>
      <x:c r="AN1439" s="1"/>
    </x:row>
    <x:row r="1440" ht="22" customHeight="1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  <x:c r="AA1440" s="1"/>
      <x:c r="AB1440" s="1"/>
      <x:c r="AC1440" s="1"/>
      <x:c r="AD1440" s="1"/>
      <x:c r="AE1440" s="1"/>
      <x:c r="AF1440" s="1"/>
      <x:c r="AG1440" s="1"/>
      <x:c r="AH1440" s="1"/>
      <x:c r="AI1440" s="1"/>
      <x:c r="AJ1440" s="1"/>
      <x:c r="AK1440" s="1"/>
      <x:c r="AL1440" s="1"/>
      <x:c r="AM1440" s="1"/>
      <x:c r="AN1440" s="1"/>
    </x:row>
    <x:row r="1441" ht="22" customHeight="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  <x:c r="AA1441" s="1"/>
      <x:c r="AB1441" s="1"/>
      <x:c r="AC1441" s="1"/>
      <x:c r="AD1441" s="1"/>
      <x:c r="AE1441" s="1"/>
      <x:c r="AF1441" s="1"/>
      <x:c r="AG1441" s="1"/>
      <x:c r="AH1441" s="1"/>
      <x:c r="AI1441" s="1"/>
      <x:c r="AJ1441" s="1"/>
      <x:c r="AK1441" s="1"/>
      <x:c r="AL1441" s="1"/>
      <x:c r="AM1441" s="1"/>
      <x:c r="AN1441" s="1"/>
    </x:row>
    <x:row r="1442" ht="22" customHeight="1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  <x:c r="AA1442" s="1"/>
      <x:c r="AB1442" s="1"/>
      <x:c r="AC1442" s="1"/>
      <x:c r="AD1442" s="1"/>
      <x:c r="AE1442" s="1"/>
      <x:c r="AF1442" s="1"/>
      <x:c r="AG1442" s="1"/>
      <x:c r="AH1442" s="1"/>
      <x:c r="AI1442" s="1"/>
      <x:c r="AJ1442" s="1"/>
      <x:c r="AK1442" s="1"/>
      <x:c r="AL1442" s="1"/>
      <x:c r="AM1442" s="1"/>
      <x:c r="AN1442" s="1"/>
    </x:row>
    <x:row r="1443" ht="22" customHeight="1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  <x:c r="AA1443" s="1"/>
      <x:c r="AB1443" s="1"/>
      <x:c r="AC1443" s="1"/>
      <x:c r="AD1443" s="1"/>
      <x:c r="AE1443" s="1"/>
      <x:c r="AF1443" s="1"/>
      <x:c r="AG1443" s="1"/>
      <x:c r="AH1443" s="1"/>
      <x:c r="AI1443" s="1"/>
      <x:c r="AJ1443" s="1"/>
      <x:c r="AK1443" s="1"/>
      <x:c r="AL1443" s="1"/>
      <x:c r="AM1443" s="1"/>
      <x:c r="AN1443" s="1"/>
    </x:row>
    <x:row r="1444" ht="22" customHeight="1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  <x:c r="AA1444" s="1"/>
      <x:c r="AB1444" s="1"/>
      <x:c r="AC1444" s="1"/>
      <x:c r="AD1444" s="1"/>
      <x:c r="AE1444" s="1"/>
      <x:c r="AF1444" s="1"/>
      <x:c r="AG1444" s="1"/>
      <x:c r="AH1444" s="1"/>
      <x:c r="AI1444" s="1"/>
      <x:c r="AJ1444" s="1"/>
      <x:c r="AK1444" s="1"/>
      <x:c r="AL1444" s="1"/>
      <x:c r="AM1444" s="1"/>
      <x:c r="AN1444" s="1"/>
    </x:row>
    <x:row r="1445" ht="22" customHeight="1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  <x:c r="AA1445" s="1"/>
      <x:c r="AB1445" s="1"/>
      <x:c r="AC1445" s="1"/>
      <x:c r="AD1445" s="1"/>
      <x:c r="AE1445" s="1"/>
      <x:c r="AF1445" s="1"/>
      <x:c r="AG1445" s="1"/>
      <x:c r="AH1445" s="1"/>
      <x:c r="AI1445" s="1"/>
      <x:c r="AJ1445" s="1"/>
      <x:c r="AK1445" s="1"/>
      <x:c r="AL1445" s="1"/>
      <x:c r="AM1445" s="1"/>
      <x:c r="AN1445" s="1"/>
    </x:row>
    <x:row r="1446" ht="22" customHeight="1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  <x:c r="AA1446" s="1"/>
      <x:c r="AB1446" s="1"/>
      <x:c r="AC1446" s="1"/>
      <x:c r="AD1446" s="1"/>
      <x:c r="AE1446" s="1"/>
      <x:c r="AF1446" s="1"/>
      <x:c r="AG1446" s="1"/>
      <x:c r="AH1446" s="1"/>
      <x:c r="AI1446" s="1"/>
      <x:c r="AJ1446" s="1"/>
      <x:c r="AK1446" s="1"/>
      <x:c r="AL1446" s="1"/>
      <x:c r="AM1446" s="1"/>
      <x:c r="AN1446" s="1"/>
    </x:row>
    <x:row r="1447" ht="22" customHeight="1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  <x:c r="AA1447" s="1"/>
      <x:c r="AB1447" s="1"/>
      <x:c r="AC1447" s="1"/>
      <x:c r="AD1447" s="1"/>
      <x:c r="AE1447" s="1"/>
      <x:c r="AF1447" s="1"/>
      <x:c r="AG1447" s="1"/>
      <x:c r="AH1447" s="1"/>
      <x:c r="AI1447" s="1"/>
      <x:c r="AJ1447" s="1"/>
      <x:c r="AK1447" s="1"/>
      <x:c r="AL1447" s="1"/>
      <x:c r="AM1447" s="1"/>
      <x:c r="AN1447" s="1"/>
    </x:row>
    <x:row r="1448" ht="22" customHeight="1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  <x:c r="AA1448" s="1"/>
      <x:c r="AB1448" s="1"/>
      <x:c r="AC1448" s="1"/>
      <x:c r="AD1448" s="1"/>
      <x:c r="AE1448" s="1"/>
      <x:c r="AF1448" s="1"/>
      <x:c r="AG1448" s="1"/>
      <x:c r="AH1448" s="1"/>
      <x:c r="AI1448" s="1"/>
      <x:c r="AJ1448" s="1"/>
      <x:c r="AK1448" s="1"/>
      <x:c r="AL1448" s="1"/>
      <x:c r="AM1448" s="1"/>
      <x:c r="AN1448" s="1"/>
    </x:row>
    <x:row r="1449" ht="22" customHeight="1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  <x:c r="AA1449" s="1"/>
      <x:c r="AB1449" s="1"/>
      <x:c r="AC1449" s="1"/>
      <x:c r="AD1449" s="1"/>
      <x:c r="AE1449" s="1"/>
      <x:c r="AF1449" s="1"/>
      <x:c r="AG1449" s="1"/>
      <x:c r="AH1449" s="1"/>
      <x:c r="AI1449" s="1"/>
      <x:c r="AJ1449" s="1"/>
      <x:c r="AK1449" s="1"/>
      <x:c r="AL1449" s="1"/>
      <x:c r="AM1449" s="1"/>
      <x:c r="AN1449" s="1"/>
    </x:row>
    <x:row r="1450" ht="22" customHeight="1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  <x:c r="AA1450" s="1"/>
      <x:c r="AB1450" s="1"/>
      <x:c r="AC1450" s="1"/>
      <x:c r="AD1450" s="1"/>
      <x:c r="AE1450" s="1"/>
      <x:c r="AF1450" s="1"/>
      <x:c r="AG1450" s="1"/>
      <x:c r="AH1450" s="1"/>
      <x:c r="AI1450" s="1"/>
      <x:c r="AJ1450" s="1"/>
      <x:c r="AK1450" s="1"/>
      <x:c r="AL1450" s="1"/>
      <x:c r="AM1450" s="1"/>
      <x:c r="AN1450" s="1"/>
    </x:row>
    <x:row r="1451" ht="22" customHeight="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  <x:c r="AA1451" s="1"/>
      <x:c r="AB1451" s="1"/>
      <x:c r="AC1451" s="1"/>
      <x:c r="AD1451" s="1"/>
      <x:c r="AE1451" s="1"/>
      <x:c r="AF1451" s="1"/>
      <x:c r="AG1451" s="1"/>
      <x:c r="AH1451" s="1"/>
      <x:c r="AI1451" s="1"/>
      <x:c r="AJ1451" s="1"/>
      <x:c r="AK1451" s="1"/>
      <x:c r="AL1451" s="1"/>
      <x:c r="AM1451" s="1"/>
      <x:c r="AN1451" s="1"/>
    </x:row>
    <x:row r="1452" ht="22" customHeight="1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  <x:c r="AA1452" s="1"/>
      <x:c r="AB1452" s="1"/>
      <x:c r="AC1452" s="1"/>
      <x:c r="AD1452" s="1"/>
      <x:c r="AE1452" s="1"/>
      <x:c r="AF1452" s="1"/>
      <x:c r="AG1452" s="1"/>
      <x:c r="AH1452" s="1"/>
      <x:c r="AI1452" s="1"/>
      <x:c r="AJ1452" s="1"/>
      <x:c r="AK1452" s="1"/>
      <x:c r="AL1452" s="1"/>
      <x:c r="AM1452" s="1"/>
      <x:c r="AN1452" s="1"/>
    </x:row>
    <x:row r="1453" ht="22" customHeight="1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  <x:c r="AA1453" s="1"/>
      <x:c r="AB1453" s="1"/>
      <x:c r="AC1453" s="1"/>
      <x:c r="AD1453" s="1"/>
      <x:c r="AE1453" s="1"/>
      <x:c r="AF1453" s="1"/>
      <x:c r="AG1453" s="1"/>
      <x:c r="AH1453" s="1"/>
      <x:c r="AI1453" s="1"/>
      <x:c r="AJ1453" s="1"/>
      <x:c r="AK1453" s="1"/>
      <x:c r="AL1453" s="1"/>
      <x:c r="AM1453" s="1"/>
      <x:c r="AN1453" s="1"/>
    </x:row>
    <x:row r="1454" ht="22" customHeight="1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  <x:c r="AA1454" s="1"/>
      <x:c r="AB1454" s="1"/>
      <x:c r="AC1454" s="1"/>
      <x:c r="AD1454" s="1"/>
      <x:c r="AE1454" s="1"/>
      <x:c r="AF1454" s="1"/>
      <x:c r="AG1454" s="1"/>
      <x:c r="AH1454" s="1"/>
      <x:c r="AI1454" s="1"/>
      <x:c r="AJ1454" s="1"/>
      <x:c r="AK1454" s="1"/>
      <x:c r="AL1454" s="1"/>
      <x:c r="AM1454" s="1"/>
      <x:c r="AN1454" s="1"/>
    </x:row>
    <x:row r="1455" ht="22" customHeight="1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  <x:c r="AA1455" s="1"/>
      <x:c r="AB1455" s="1"/>
      <x:c r="AC1455" s="1"/>
      <x:c r="AD1455" s="1"/>
      <x:c r="AE1455" s="1"/>
      <x:c r="AF1455" s="1"/>
      <x:c r="AG1455" s="1"/>
      <x:c r="AH1455" s="1"/>
      <x:c r="AI1455" s="1"/>
      <x:c r="AJ1455" s="1"/>
      <x:c r="AK1455" s="1"/>
      <x:c r="AL1455" s="1"/>
      <x:c r="AM1455" s="1"/>
      <x:c r="AN1455" s="1"/>
    </x:row>
    <x:row r="1456" ht="22" customHeight="1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  <x:c r="AA1456" s="1"/>
      <x:c r="AB1456" s="1"/>
      <x:c r="AC1456" s="1"/>
      <x:c r="AD1456" s="1"/>
      <x:c r="AE1456" s="1"/>
      <x:c r="AF1456" s="1"/>
      <x:c r="AG1456" s="1"/>
      <x:c r="AH1456" s="1"/>
      <x:c r="AI1456" s="1"/>
      <x:c r="AJ1456" s="1"/>
      <x:c r="AK1456" s="1"/>
      <x:c r="AL1456" s="1"/>
      <x:c r="AM1456" s="1"/>
      <x:c r="AN1456" s="1"/>
    </x:row>
    <x:row r="1457" ht="22" customHeight="1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  <x:c r="AA1457" s="1"/>
      <x:c r="AB1457" s="1"/>
      <x:c r="AC1457" s="1"/>
      <x:c r="AD1457" s="1"/>
      <x:c r="AE1457" s="1"/>
      <x:c r="AF1457" s="1"/>
      <x:c r="AG1457" s="1"/>
      <x:c r="AH1457" s="1"/>
      <x:c r="AI1457" s="1"/>
      <x:c r="AJ1457" s="1"/>
      <x:c r="AK1457" s="1"/>
      <x:c r="AL1457" s="1"/>
      <x:c r="AM1457" s="1"/>
      <x:c r="AN1457" s="1"/>
    </x:row>
    <x:row r="1458" ht="22" customHeight="1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  <x:c r="AA1458" s="1"/>
      <x:c r="AB1458" s="1"/>
      <x:c r="AC1458" s="1"/>
      <x:c r="AD1458" s="1"/>
      <x:c r="AE1458" s="1"/>
      <x:c r="AF1458" s="1"/>
      <x:c r="AG1458" s="1"/>
      <x:c r="AH1458" s="1"/>
      <x:c r="AI1458" s="1"/>
      <x:c r="AJ1458" s="1"/>
      <x:c r="AK1458" s="1"/>
      <x:c r="AL1458" s="1"/>
      <x:c r="AM1458" s="1"/>
      <x:c r="AN1458" s="1"/>
    </x:row>
    <x:row r="1459" ht="22" customHeight="1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  <x:c r="AA1459" s="1"/>
      <x:c r="AB1459" s="1"/>
      <x:c r="AC1459" s="1"/>
      <x:c r="AD1459" s="1"/>
      <x:c r="AE1459" s="1"/>
      <x:c r="AF1459" s="1"/>
      <x:c r="AG1459" s="1"/>
      <x:c r="AH1459" s="1"/>
      <x:c r="AI1459" s="1"/>
      <x:c r="AJ1459" s="1"/>
      <x:c r="AK1459" s="1"/>
      <x:c r="AL1459" s="1"/>
      <x:c r="AM1459" s="1"/>
      <x:c r="AN1459" s="1"/>
    </x:row>
    <x:row r="1460" ht="22" customHeight="1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  <x:c r="AA1460" s="1"/>
      <x:c r="AB1460" s="1"/>
      <x:c r="AC1460" s="1"/>
      <x:c r="AD1460" s="1"/>
      <x:c r="AE1460" s="1"/>
      <x:c r="AF1460" s="1"/>
      <x:c r="AG1460" s="1"/>
      <x:c r="AH1460" s="1"/>
      <x:c r="AI1460" s="1"/>
      <x:c r="AJ1460" s="1"/>
      <x:c r="AK1460" s="1"/>
      <x:c r="AL1460" s="1"/>
      <x:c r="AM1460" s="1"/>
      <x:c r="AN1460" s="1"/>
    </x:row>
    <x:row r="1461" ht="22" customHeight="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  <x:c r="AA1461" s="1"/>
      <x:c r="AB1461" s="1"/>
      <x:c r="AC1461" s="1"/>
      <x:c r="AD1461" s="1"/>
      <x:c r="AE1461" s="1"/>
      <x:c r="AF1461" s="1"/>
      <x:c r="AG1461" s="1"/>
      <x:c r="AH1461" s="1"/>
      <x:c r="AI1461" s="1"/>
      <x:c r="AJ1461" s="1"/>
      <x:c r="AK1461" s="1"/>
      <x:c r="AL1461" s="1"/>
      <x:c r="AM1461" s="1"/>
      <x:c r="AN1461" s="1"/>
    </x:row>
    <x:row r="1462" ht="22" customHeight="1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  <x:c r="AA1462" s="1"/>
      <x:c r="AB1462" s="1"/>
      <x:c r="AC1462" s="1"/>
      <x:c r="AD1462" s="1"/>
      <x:c r="AE1462" s="1"/>
      <x:c r="AF1462" s="1"/>
      <x:c r="AG1462" s="1"/>
      <x:c r="AH1462" s="1"/>
      <x:c r="AI1462" s="1"/>
      <x:c r="AJ1462" s="1"/>
      <x:c r="AK1462" s="1"/>
      <x:c r="AL1462" s="1"/>
      <x:c r="AM1462" s="1"/>
      <x:c r="AN1462" s="1"/>
    </x:row>
    <x:row r="1463" ht="22" customHeight="1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  <x:c r="AA1463" s="1"/>
      <x:c r="AB1463" s="1"/>
      <x:c r="AC1463" s="1"/>
      <x:c r="AD1463" s="1"/>
      <x:c r="AE1463" s="1"/>
      <x:c r="AF1463" s="1"/>
      <x:c r="AG1463" s="1"/>
      <x:c r="AH1463" s="1"/>
      <x:c r="AI1463" s="1"/>
      <x:c r="AJ1463" s="1"/>
      <x:c r="AK1463" s="1"/>
      <x:c r="AL1463" s="1"/>
      <x:c r="AM1463" s="1"/>
      <x:c r="AN1463" s="1"/>
    </x:row>
    <x:row r="1464" ht="22" customHeight="1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  <x:c r="AA1464" s="1"/>
      <x:c r="AB1464" s="1"/>
      <x:c r="AC1464" s="1"/>
      <x:c r="AD1464" s="1"/>
      <x:c r="AE1464" s="1"/>
      <x:c r="AF1464" s="1"/>
      <x:c r="AG1464" s="1"/>
      <x:c r="AH1464" s="1"/>
      <x:c r="AI1464" s="1"/>
      <x:c r="AJ1464" s="1"/>
      <x:c r="AK1464" s="1"/>
      <x:c r="AL1464" s="1"/>
      <x:c r="AM1464" s="1"/>
      <x:c r="AN1464" s="1"/>
    </x:row>
    <x:row r="1465" ht="22" customHeight="1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  <x:c r="AA1465" s="1"/>
      <x:c r="AB1465" s="1"/>
      <x:c r="AC1465" s="1"/>
      <x:c r="AD1465" s="1"/>
      <x:c r="AE1465" s="1"/>
      <x:c r="AF1465" s="1"/>
      <x:c r="AG1465" s="1"/>
      <x:c r="AH1465" s="1"/>
      <x:c r="AI1465" s="1"/>
      <x:c r="AJ1465" s="1"/>
      <x:c r="AK1465" s="1"/>
      <x:c r="AL1465" s="1"/>
      <x:c r="AM1465" s="1"/>
      <x:c r="AN1465" s="1"/>
    </x:row>
    <x:row r="1466" ht="22" customHeight="1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  <x:c r="AA1466" s="1"/>
      <x:c r="AB1466" s="1"/>
      <x:c r="AC1466" s="1"/>
      <x:c r="AD1466" s="1"/>
      <x:c r="AE1466" s="1"/>
      <x:c r="AF1466" s="1"/>
      <x:c r="AG1466" s="1"/>
      <x:c r="AH1466" s="1"/>
      <x:c r="AI1466" s="1"/>
      <x:c r="AJ1466" s="1"/>
      <x:c r="AK1466" s="1"/>
      <x:c r="AL1466" s="1"/>
      <x:c r="AM1466" s="1"/>
      <x:c r="AN1466" s="1"/>
    </x:row>
    <x:row r="1467" ht="22" customHeight="1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  <x:c r="AA1467" s="1"/>
      <x:c r="AB1467" s="1"/>
      <x:c r="AC1467" s="1"/>
      <x:c r="AD1467" s="1"/>
      <x:c r="AE1467" s="1"/>
      <x:c r="AF1467" s="1"/>
      <x:c r="AG1467" s="1"/>
      <x:c r="AH1467" s="1"/>
      <x:c r="AI1467" s="1"/>
      <x:c r="AJ1467" s="1"/>
      <x:c r="AK1467" s="1"/>
      <x:c r="AL1467" s="1"/>
      <x:c r="AM1467" s="1"/>
      <x:c r="AN1467" s="1"/>
    </x:row>
    <x:row r="1468" ht="22" customHeight="1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  <x:c r="AA1468" s="1"/>
      <x:c r="AB1468" s="1"/>
      <x:c r="AC1468" s="1"/>
      <x:c r="AD1468" s="1"/>
      <x:c r="AE1468" s="1"/>
      <x:c r="AF1468" s="1"/>
      <x:c r="AG1468" s="1"/>
      <x:c r="AH1468" s="1"/>
      <x:c r="AI1468" s="1"/>
      <x:c r="AJ1468" s="1"/>
      <x:c r="AK1468" s="1"/>
      <x:c r="AL1468" s="1"/>
      <x:c r="AM1468" s="1"/>
      <x:c r="AN1468" s="1"/>
    </x:row>
    <x:row r="1469" ht="22" customHeight="1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  <x:c r="AA1469" s="1"/>
      <x:c r="AB1469" s="1"/>
      <x:c r="AC1469" s="1"/>
      <x:c r="AD1469" s="1"/>
      <x:c r="AE1469" s="1"/>
      <x:c r="AF1469" s="1"/>
      <x:c r="AG1469" s="1"/>
      <x:c r="AH1469" s="1"/>
      <x:c r="AI1469" s="1"/>
      <x:c r="AJ1469" s="1"/>
      <x:c r="AK1469" s="1"/>
      <x:c r="AL1469" s="1"/>
      <x:c r="AM1469" s="1"/>
      <x:c r="AN1469" s="1"/>
    </x:row>
    <x:row r="1470" ht="22" customHeight="1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  <x:c r="AA1470" s="1"/>
      <x:c r="AB1470" s="1"/>
      <x:c r="AC1470" s="1"/>
      <x:c r="AD1470" s="1"/>
      <x:c r="AE1470" s="1"/>
      <x:c r="AF1470" s="1"/>
      <x:c r="AG1470" s="1"/>
      <x:c r="AH1470" s="1"/>
      <x:c r="AI1470" s="1"/>
      <x:c r="AJ1470" s="1"/>
      <x:c r="AK1470" s="1"/>
      <x:c r="AL1470" s="1"/>
      <x:c r="AM1470" s="1"/>
      <x:c r="AN1470" s="1"/>
    </x:row>
    <x:row r="1471" ht="22" customHeight="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  <x:c r="AA1471" s="1"/>
      <x:c r="AB1471" s="1"/>
      <x:c r="AC1471" s="1"/>
      <x:c r="AD1471" s="1"/>
      <x:c r="AE1471" s="1"/>
      <x:c r="AF1471" s="1"/>
      <x:c r="AG1471" s="1"/>
      <x:c r="AH1471" s="1"/>
      <x:c r="AI1471" s="1"/>
      <x:c r="AJ1471" s="1"/>
      <x:c r="AK1471" s="1"/>
      <x:c r="AL1471" s="1"/>
      <x:c r="AM1471" s="1"/>
      <x:c r="AN1471" s="1"/>
    </x:row>
    <x:row r="1472" ht="22" customHeight="1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  <x:c r="AA1472" s="1"/>
      <x:c r="AB1472" s="1"/>
      <x:c r="AC1472" s="1"/>
      <x:c r="AD1472" s="1"/>
      <x:c r="AE1472" s="1"/>
      <x:c r="AF1472" s="1"/>
      <x:c r="AG1472" s="1"/>
      <x:c r="AH1472" s="1"/>
      <x:c r="AI1472" s="1"/>
      <x:c r="AJ1472" s="1"/>
      <x:c r="AK1472" s="1"/>
      <x:c r="AL1472" s="1"/>
      <x:c r="AM1472" s="1"/>
      <x:c r="AN1472" s="1"/>
    </x:row>
    <x:row r="1473" ht="22" customHeight="1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  <x:c r="AA1473" s="1"/>
      <x:c r="AB1473" s="1"/>
      <x:c r="AC1473" s="1"/>
      <x:c r="AD1473" s="1"/>
      <x:c r="AE1473" s="1"/>
      <x:c r="AF1473" s="1"/>
      <x:c r="AG1473" s="1"/>
      <x:c r="AH1473" s="1"/>
      <x:c r="AI1473" s="1"/>
      <x:c r="AJ1473" s="1"/>
      <x:c r="AK1473" s="1"/>
      <x:c r="AL1473" s="1"/>
      <x:c r="AM1473" s="1"/>
      <x:c r="AN1473" s="1"/>
    </x:row>
    <x:row r="1474" ht="22" customHeight="1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  <x:c r="AA1474" s="1"/>
      <x:c r="AB1474" s="1"/>
      <x:c r="AC1474" s="1"/>
      <x:c r="AD1474" s="1"/>
      <x:c r="AE1474" s="1"/>
      <x:c r="AF1474" s="1"/>
      <x:c r="AG1474" s="1"/>
      <x:c r="AH1474" s="1"/>
      <x:c r="AI1474" s="1"/>
      <x:c r="AJ1474" s="1"/>
      <x:c r="AK1474" s="1"/>
      <x:c r="AL1474" s="1"/>
      <x:c r="AM1474" s="1"/>
      <x:c r="AN1474" s="1"/>
    </x:row>
    <x:row r="1475" ht="22" customHeight="1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  <x:c r="AA1475" s="1"/>
      <x:c r="AB1475" s="1"/>
      <x:c r="AC1475" s="1"/>
      <x:c r="AD1475" s="1"/>
      <x:c r="AE1475" s="1"/>
      <x:c r="AF1475" s="1"/>
      <x:c r="AG1475" s="1"/>
      <x:c r="AH1475" s="1"/>
      <x:c r="AI1475" s="1"/>
      <x:c r="AJ1475" s="1"/>
      <x:c r="AK1475" s="1"/>
      <x:c r="AL1475" s="1"/>
      <x:c r="AM1475" s="1"/>
      <x:c r="AN1475" s="1"/>
    </x:row>
    <x:row r="1476" ht="22" customHeight="1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  <x:c r="AA1476" s="1"/>
      <x:c r="AB1476" s="1"/>
      <x:c r="AC1476" s="1"/>
      <x:c r="AD1476" s="1"/>
      <x:c r="AE1476" s="1"/>
      <x:c r="AF1476" s="1"/>
      <x:c r="AG1476" s="1"/>
      <x:c r="AH1476" s="1"/>
      <x:c r="AI1476" s="1"/>
      <x:c r="AJ1476" s="1"/>
      <x:c r="AK1476" s="1"/>
      <x:c r="AL1476" s="1"/>
      <x:c r="AM1476" s="1"/>
      <x:c r="AN1476" s="1"/>
    </x:row>
    <x:row r="1477" ht="22" customHeight="1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  <x:c r="AA1477" s="1"/>
      <x:c r="AB1477" s="1"/>
      <x:c r="AC1477" s="1"/>
      <x:c r="AD1477" s="1"/>
      <x:c r="AE1477" s="1"/>
      <x:c r="AF1477" s="1"/>
      <x:c r="AG1477" s="1"/>
      <x:c r="AH1477" s="1"/>
      <x:c r="AI1477" s="1"/>
      <x:c r="AJ1477" s="1"/>
      <x:c r="AK1477" s="1"/>
      <x:c r="AL1477" s="1"/>
      <x:c r="AM1477" s="1"/>
      <x:c r="AN1477" s="1"/>
    </x:row>
    <x:row r="1478" ht="22" customHeight="1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  <x:c r="AA1478" s="1"/>
      <x:c r="AB1478" s="1"/>
      <x:c r="AC1478" s="1"/>
      <x:c r="AD1478" s="1"/>
      <x:c r="AE1478" s="1"/>
      <x:c r="AF1478" s="1"/>
      <x:c r="AG1478" s="1"/>
      <x:c r="AH1478" s="1"/>
      <x:c r="AI1478" s="1"/>
      <x:c r="AJ1478" s="1"/>
      <x:c r="AK1478" s="1"/>
      <x:c r="AL1478" s="1"/>
      <x:c r="AM1478" s="1"/>
      <x:c r="AN1478" s="1"/>
    </x:row>
    <x:row r="1479" ht="22" customHeight="1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  <x:c r="AA1479" s="1"/>
      <x:c r="AB1479" s="1"/>
      <x:c r="AC1479" s="1"/>
      <x:c r="AD1479" s="1"/>
      <x:c r="AE1479" s="1"/>
      <x:c r="AF1479" s="1"/>
      <x:c r="AG1479" s="1"/>
      <x:c r="AH1479" s="1"/>
      <x:c r="AI1479" s="1"/>
      <x:c r="AJ1479" s="1"/>
      <x:c r="AK1479" s="1"/>
      <x:c r="AL1479" s="1"/>
      <x:c r="AM1479" s="1"/>
      <x:c r="AN1479" s="1"/>
    </x:row>
    <x:row r="1480" ht="22" customHeight="1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  <x:c r="AA1480" s="1"/>
      <x:c r="AB1480" s="1"/>
      <x:c r="AC1480" s="1"/>
      <x:c r="AD1480" s="1"/>
      <x:c r="AE1480" s="1"/>
      <x:c r="AF1480" s="1"/>
      <x:c r="AG1480" s="1"/>
      <x:c r="AH1480" s="1"/>
      <x:c r="AI1480" s="1"/>
      <x:c r="AJ1480" s="1"/>
      <x:c r="AK1480" s="1"/>
      <x:c r="AL1480" s="1"/>
      <x:c r="AM1480" s="1"/>
      <x:c r="AN1480" s="1"/>
    </x:row>
    <x:row r="1481" ht="22" customHeight="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  <x:c r="AA1481" s="1"/>
      <x:c r="AB1481" s="1"/>
      <x:c r="AC1481" s="1"/>
      <x:c r="AD1481" s="1"/>
      <x:c r="AE1481" s="1"/>
      <x:c r="AF1481" s="1"/>
      <x:c r="AG1481" s="1"/>
      <x:c r="AH1481" s="1"/>
      <x:c r="AI1481" s="1"/>
      <x:c r="AJ1481" s="1"/>
      <x:c r="AK1481" s="1"/>
      <x:c r="AL1481" s="1"/>
      <x:c r="AM1481" s="1"/>
      <x:c r="AN1481" s="1"/>
    </x:row>
    <x:row r="1482" ht="22" customHeight="1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  <x:c r="AA1482" s="1"/>
      <x:c r="AB1482" s="1"/>
      <x:c r="AC1482" s="1"/>
      <x:c r="AD1482" s="1"/>
      <x:c r="AE1482" s="1"/>
      <x:c r="AF1482" s="1"/>
      <x:c r="AG1482" s="1"/>
      <x:c r="AH1482" s="1"/>
      <x:c r="AI1482" s="1"/>
      <x:c r="AJ1482" s="1"/>
      <x:c r="AK1482" s="1"/>
      <x:c r="AL1482" s="1"/>
      <x:c r="AM1482" s="1"/>
      <x:c r="AN1482" s="1"/>
    </x:row>
    <x:row r="1483" ht="22" customHeight="1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  <x:c r="AA1483" s="1"/>
      <x:c r="AB1483" s="1"/>
      <x:c r="AC1483" s="1"/>
      <x:c r="AD1483" s="1"/>
      <x:c r="AE1483" s="1"/>
      <x:c r="AF1483" s="1"/>
      <x:c r="AG1483" s="1"/>
      <x:c r="AH1483" s="1"/>
      <x:c r="AI1483" s="1"/>
      <x:c r="AJ1483" s="1"/>
      <x:c r="AK1483" s="1"/>
      <x:c r="AL1483" s="1"/>
      <x:c r="AM1483" s="1"/>
      <x:c r="AN1483" s="1"/>
    </x:row>
    <x:row r="1484" ht="22" customHeight="1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  <x:c r="AA1484" s="1"/>
      <x:c r="AB1484" s="1"/>
      <x:c r="AC1484" s="1"/>
      <x:c r="AD1484" s="1"/>
      <x:c r="AE1484" s="1"/>
      <x:c r="AF1484" s="1"/>
      <x:c r="AG1484" s="1"/>
      <x:c r="AH1484" s="1"/>
      <x:c r="AI1484" s="1"/>
      <x:c r="AJ1484" s="1"/>
      <x:c r="AK1484" s="1"/>
      <x:c r="AL1484" s="1"/>
      <x:c r="AM1484" s="1"/>
      <x:c r="AN1484" s="1"/>
    </x:row>
    <x:row r="1485" ht="22" customHeight="1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  <x:c r="AA1485" s="1"/>
      <x:c r="AB1485" s="1"/>
      <x:c r="AC1485" s="1"/>
      <x:c r="AD1485" s="1"/>
      <x:c r="AE1485" s="1"/>
      <x:c r="AF1485" s="1"/>
      <x:c r="AG1485" s="1"/>
      <x:c r="AH1485" s="1"/>
      <x:c r="AI1485" s="1"/>
      <x:c r="AJ1485" s="1"/>
      <x:c r="AK1485" s="1"/>
      <x:c r="AL1485" s="1"/>
      <x:c r="AM1485" s="1"/>
      <x:c r="AN1485" s="1"/>
    </x:row>
    <x:row r="1486" ht="22" customHeight="1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  <x:c r="AA1486" s="1"/>
      <x:c r="AB1486" s="1"/>
      <x:c r="AC1486" s="1"/>
      <x:c r="AD1486" s="1"/>
      <x:c r="AE1486" s="1"/>
      <x:c r="AF1486" s="1"/>
      <x:c r="AG1486" s="1"/>
      <x:c r="AH1486" s="1"/>
      <x:c r="AI1486" s="1"/>
      <x:c r="AJ1486" s="1"/>
      <x:c r="AK1486" s="1"/>
      <x:c r="AL1486" s="1"/>
      <x:c r="AM1486" s="1"/>
      <x:c r="AN1486" s="1"/>
    </x:row>
    <x:row r="1487" ht="22" customHeight="1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  <x:c r="AA1487" s="1"/>
      <x:c r="AB1487" s="1"/>
      <x:c r="AC1487" s="1"/>
      <x:c r="AD1487" s="1"/>
      <x:c r="AE1487" s="1"/>
      <x:c r="AF1487" s="1"/>
      <x:c r="AG1487" s="1"/>
      <x:c r="AH1487" s="1"/>
      <x:c r="AI1487" s="1"/>
      <x:c r="AJ1487" s="1"/>
      <x:c r="AK1487" s="1"/>
      <x:c r="AL1487" s="1"/>
      <x:c r="AM1487" s="1"/>
      <x:c r="AN1487" s="1"/>
    </x:row>
    <x:row r="1488" ht="22" customHeight="1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  <x:c r="AA1488" s="1"/>
      <x:c r="AB1488" s="1"/>
      <x:c r="AC1488" s="1"/>
      <x:c r="AD1488" s="1"/>
      <x:c r="AE1488" s="1"/>
      <x:c r="AF1488" s="1"/>
      <x:c r="AG1488" s="1"/>
      <x:c r="AH1488" s="1"/>
      <x:c r="AI1488" s="1"/>
      <x:c r="AJ1488" s="1"/>
      <x:c r="AK1488" s="1"/>
      <x:c r="AL1488" s="1"/>
      <x:c r="AM1488" s="1"/>
      <x:c r="AN1488" s="1"/>
    </x:row>
    <x:row r="1489" ht="22" customHeight="1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  <x:c r="AA1489" s="1"/>
      <x:c r="AB1489" s="1"/>
      <x:c r="AC1489" s="1"/>
      <x:c r="AD1489" s="1"/>
      <x:c r="AE1489" s="1"/>
      <x:c r="AF1489" s="1"/>
      <x:c r="AG1489" s="1"/>
      <x:c r="AH1489" s="1"/>
      <x:c r="AI1489" s="1"/>
      <x:c r="AJ1489" s="1"/>
      <x:c r="AK1489" s="1"/>
      <x:c r="AL1489" s="1"/>
      <x:c r="AM1489" s="1"/>
      <x:c r="AN1489" s="1"/>
    </x:row>
    <x:row r="1490" ht="22" customHeight="1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  <x:c r="AA1490" s="1"/>
      <x:c r="AB1490" s="1"/>
      <x:c r="AC1490" s="1"/>
      <x:c r="AD1490" s="1"/>
      <x:c r="AE1490" s="1"/>
      <x:c r="AF1490" s="1"/>
      <x:c r="AG1490" s="1"/>
      <x:c r="AH1490" s="1"/>
      <x:c r="AI1490" s="1"/>
      <x:c r="AJ1490" s="1"/>
      <x:c r="AK1490" s="1"/>
      <x:c r="AL1490" s="1"/>
      <x:c r="AM1490" s="1"/>
      <x:c r="AN1490" s="1"/>
    </x:row>
    <x:row r="1491" ht="22" customHeight="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  <x:c r="AA1491" s="1"/>
      <x:c r="AB1491" s="1"/>
      <x:c r="AC1491" s="1"/>
      <x:c r="AD1491" s="1"/>
      <x:c r="AE1491" s="1"/>
      <x:c r="AF1491" s="1"/>
      <x:c r="AG1491" s="1"/>
      <x:c r="AH1491" s="1"/>
      <x:c r="AI1491" s="1"/>
      <x:c r="AJ1491" s="1"/>
      <x:c r="AK1491" s="1"/>
      <x:c r="AL1491" s="1"/>
      <x:c r="AM1491" s="1"/>
      <x:c r="AN1491" s="1"/>
    </x:row>
    <x:row r="1492" ht="22" customHeight="1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  <x:c r="AA1492" s="1"/>
      <x:c r="AB1492" s="1"/>
      <x:c r="AC1492" s="1"/>
      <x:c r="AD1492" s="1"/>
      <x:c r="AE1492" s="1"/>
      <x:c r="AF1492" s="1"/>
      <x:c r="AG1492" s="1"/>
      <x:c r="AH1492" s="1"/>
      <x:c r="AI1492" s="1"/>
      <x:c r="AJ1492" s="1"/>
      <x:c r="AK1492" s="1"/>
      <x:c r="AL1492" s="1"/>
      <x:c r="AM1492" s="1"/>
      <x:c r="AN1492" s="1"/>
    </x:row>
    <x:row r="1493" ht="22" customHeight="1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  <x:c r="AA1493" s="1"/>
      <x:c r="AB1493" s="1"/>
      <x:c r="AC1493" s="1"/>
      <x:c r="AD1493" s="1"/>
      <x:c r="AE1493" s="1"/>
      <x:c r="AF1493" s="1"/>
      <x:c r="AG1493" s="1"/>
      <x:c r="AH1493" s="1"/>
      <x:c r="AI1493" s="1"/>
      <x:c r="AJ1493" s="1"/>
      <x:c r="AK1493" s="1"/>
      <x:c r="AL1493" s="1"/>
      <x:c r="AM1493" s="1"/>
      <x:c r="AN1493" s="1"/>
    </x:row>
    <x:row r="1494" ht="22" customHeight="1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  <x:c r="AA1494" s="1"/>
      <x:c r="AB1494" s="1"/>
      <x:c r="AC1494" s="1"/>
      <x:c r="AD1494" s="1"/>
      <x:c r="AE1494" s="1"/>
      <x:c r="AF1494" s="1"/>
      <x:c r="AG1494" s="1"/>
      <x:c r="AH1494" s="1"/>
      <x:c r="AI1494" s="1"/>
      <x:c r="AJ1494" s="1"/>
      <x:c r="AK1494" s="1"/>
      <x:c r="AL1494" s="1"/>
      <x:c r="AM1494" s="1"/>
      <x:c r="AN1494" s="1"/>
    </x:row>
    <x:row r="1495" ht="22" customHeight="1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  <x:c r="AA1495" s="1"/>
      <x:c r="AB1495" s="1"/>
      <x:c r="AC1495" s="1"/>
      <x:c r="AD1495" s="1"/>
      <x:c r="AE1495" s="1"/>
      <x:c r="AF1495" s="1"/>
      <x:c r="AG1495" s="1"/>
      <x:c r="AH1495" s="1"/>
      <x:c r="AI1495" s="1"/>
      <x:c r="AJ1495" s="1"/>
      <x:c r="AK1495" s="1"/>
      <x:c r="AL1495" s="1"/>
      <x:c r="AM1495" s="1"/>
      <x:c r="AN1495" s="1"/>
    </x:row>
    <x:row r="1496" ht="22" customHeight="1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  <x:c r="AA1496" s="1"/>
      <x:c r="AB1496" s="1"/>
      <x:c r="AC1496" s="1"/>
      <x:c r="AD1496" s="1"/>
      <x:c r="AE1496" s="1"/>
      <x:c r="AF1496" s="1"/>
      <x:c r="AG1496" s="1"/>
      <x:c r="AH1496" s="1"/>
      <x:c r="AI1496" s="1"/>
      <x:c r="AJ1496" s="1"/>
      <x:c r="AK1496" s="1"/>
      <x:c r="AL1496" s="1"/>
      <x:c r="AM1496" s="1"/>
      <x:c r="AN1496" s="1"/>
    </x:row>
    <x:row r="1497" ht="22" customHeight="1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  <x:c r="AA1497" s="1"/>
      <x:c r="AB1497" s="1"/>
      <x:c r="AC1497" s="1"/>
      <x:c r="AD1497" s="1"/>
      <x:c r="AE1497" s="1"/>
      <x:c r="AF1497" s="1"/>
      <x:c r="AG1497" s="1"/>
      <x:c r="AH1497" s="1"/>
      <x:c r="AI1497" s="1"/>
      <x:c r="AJ1497" s="1"/>
      <x:c r="AK1497" s="1"/>
      <x:c r="AL1497" s="1"/>
      <x:c r="AM1497" s="1"/>
      <x:c r="AN1497" s="1"/>
    </x:row>
    <x:row r="1498" ht="22" customHeight="1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  <x:c r="AA1498" s="1"/>
      <x:c r="AB1498" s="1"/>
      <x:c r="AC1498" s="1"/>
      <x:c r="AD1498" s="1"/>
      <x:c r="AE1498" s="1"/>
      <x:c r="AF1498" s="1"/>
      <x:c r="AG1498" s="1"/>
      <x:c r="AH1498" s="1"/>
      <x:c r="AI1498" s="1"/>
      <x:c r="AJ1498" s="1"/>
      <x:c r="AK1498" s="1"/>
      <x:c r="AL1498" s="1"/>
      <x:c r="AM1498" s="1"/>
      <x:c r="AN1498" s="1"/>
    </x:row>
    <x:row r="1499" ht="22" customHeight="1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  <x:c r="AA1499" s="1"/>
      <x:c r="AB1499" s="1"/>
      <x:c r="AC1499" s="1"/>
      <x:c r="AD1499" s="1"/>
      <x:c r="AE1499" s="1"/>
      <x:c r="AF1499" s="1"/>
      <x:c r="AG1499" s="1"/>
      <x:c r="AH1499" s="1"/>
      <x:c r="AI1499" s="1"/>
      <x:c r="AJ1499" s="1"/>
      <x:c r="AK1499" s="1"/>
      <x:c r="AL1499" s="1"/>
      <x:c r="AM1499" s="1"/>
      <x:c r="AN1499" s="1"/>
    </x:row>
    <x:row r="1500" ht="22" customHeight="1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  <x:c r="AA1500" s="1"/>
      <x:c r="AB1500" s="1"/>
      <x:c r="AC1500" s="1"/>
      <x:c r="AD1500" s="1"/>
      <x:c r="AE1500" s="1"/>
      <x:c r="AF1500" s="1"/>
      <x:c r="AG1500" s="1"/>
      <x:c r="AH1500" s="1"/>
      <x:c r="AI1500" s="1"/>
      <x:c r="AJ1500" s="1"/>
      <x:c r="AK1500" s="1"/>
      <x:c r="AL1500" s="1"/>
      <x:c r="AM1500" s="1"/>
      <x:c r="AN1500" s="1"/>
    </x:row>
    <x:row r="1501" ht="22" customHeight="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  <x:c r="AA1501" s="1"/>
      <x:c r="AB1501" s="1"/>
      <x:c r="AC1501" s="1"/>
      <x:c r="AD1501" s="1"/>
      <x:c r="AE1501" s="1"/>
      <x:c r="AF1501" s="1"/>
      <x:c r="AG1501" s="1"/>
      <x:c r="AH1501" s="1"/>
      <x:c r="AI1501" s="1"/>
      <x:c r="AJ1501" s="1"/>
      <x:c r="AK1501" s="1"/>
      <x:c r="AL1501" s="1"/>
      <x:c r="AM1501" s="1"/>
      <x:c r="AN1501" s="1"/>
    </x:row>
    <x:row r="1502" ht="22" customHeight="1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  <x:c r="AA1502" s="1"/>
      <x:c r="AB1502" s="1"/>
      <x:c r="AC1502" s="1"/>
      <x:c r="AD1502" s="1"/>
      <x:c r="AE1502" s="1"/>
      <x:c r="AF1502" s="1"/>
      <x:c r="AG1502" s="1"/>
      <x:c r="AH1502" s="1"/>
      <x:c r="AI1502" s="1"/>
      <x:c r="AJ1502" s="1"/>
      <x:c r="AK1502" s="1"/>
      <x:c r="AL1502" s="1"/>
      <x:c r="AM1502" s="1"/>
      <x:c r="AN1502" s="1"/>
    </x:row>
    <x:row r="1503" ht="22" customHeight="1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  <x:c r="AA1503" s="1"/>
      <x:c r="AB1503" s="1"/>
      <x:c r="AC1503" s="1"/>
      <x:c r="AD1503" s="1"/>
      <x:c r="AE1503" s="1"/>
      <x:c r="AF1503" s="1"/>
      <x:c r="AG1503" s="1"/>
      <x:c r="AH1503" s="1"/>
      <x:c r="AI1503" s="1"/>
      <x:c r="AJ1503" s="1"/>
      <x:c r="AK1503" s="1"/>
      <x:c r="AL1503" s="1"/>
      <x:c r="AM1503" s="1"/>
      <x:c r="AN1503" s="1"/>
    </x:row>
    <x:row r="1504" ht="22" customHeight="1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  <x:c r="AA1504" s="1"/>
      <x:c r="AB1504" s="1"/>
      <x:c r="AC1504" s="1"/>
      <x:c r="AD1504" s="1"/>
      <x:c r="AE1504" s="1"/>
      <x:c r="AF1504" s="1"/>
      <x:c r="AG1504" s="1"/>
      <x:c r="AH1504" s="1"/>
      <x:c r="AI1504" s="1"/>
      <x:c r="AJ1504" s="1"/>
      <x:c r="AK1504" s="1"/>
      <x:c r="AL1504" s="1"/>
      <x:c r="AM1504" s="1"/>
      <x:c r="AN1504" s="1"/>
    </x:row>
    <x:row r="1505" ht="22" customHeight="1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  <x:c r="AA1505" s="1"/>
      <x:c r="AB1505" s="1"/>
      <x:c r="AC1505" s="1"/>
      <x:c r="AD1505" s="1"/>
      <x:c r="AE1505" s="1"/>
      <x:c r="AF1505" s="1"/>
      <x:c r="AG1505" s="1"/>
      <x:c r="AH1505" s="1"/>
      <x:c r="AI1505" s="1"/>
      <x:c r="AJ1505" s="1"/>
      <x:c r="AK1505" s="1"/>
      <x:c r="AL1505" s="1"/>
      <x:c r="AM1505" s="1"/>
      <x:c r="AN1505" s="1"/>
    </x:row>
    <x:row r="1506" ht="22" customHeight="1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  <x:c r="AA1506" s="1"/>
      <x:c r="AB1506" s="1"/>
      <x:c r="AC1506" s="1"/>
      <x:c r="AD1506" s="1"/>
      <x:c r="AE1506" s="1"/>
      <x:c r="AF1506" s="1"/>
      <x:c r="AG1506" s="1"/>
      <x:c r="AH1506" s="1"/>
      <x:c r="AI1506" s="1"/>
      <x:c r="AJ1506" s="1"/>
      <x:c r="AK1506" s="1"/>
      <x:c r="AL1506" s="1"/>
      <x:c r="AM1506" s="1"/>
      <x:c r="AN1506" s="1"/>
    </x:row>
    <x:row r="1507" ht="22" customHeight="1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  <x:c r="AA1507" s="1"/>
      <x:c r="AB1507" s="1"/>
      <x:c r="AC1507" s="1"/>
      <x:c r="AD1507" s="1"/>
      <x:c r="AE1507" s="1"/>
      <x:c r="AF1507" s="1"/>
      <x:c r="AG1507" s="1"/>
      <x:c r="AH1507" s="1"/>
      <x:c r="AI1507" s="1"/>
      <x:c r="AJ1507" s="1"/>
      <x:c r="AK1507" s="1"/>
      <x:c r="AL1507" s="1"/>
      <x:c r="AM1507" s="1"/>
      <x:c r="AN1507" s="1"/>
    </x:row>
    <x:row r="1508" ht="22" customHeight="1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  <x:c r="AA1508" s="1"/>
      <x:c r="AB1508" s="1"/>
      <x:c r="AC1508" s="1"/>
      <x:c r="AD1508" s="1"/>
      <x:c r="AE1508" s="1"/>
      <x:c r="AF1508" s="1"/>
      <x:c r="AG1508" s="1"/>
      <x:c r="AH1508" s="1"/>
      <x:c r="AI1508" s="1"/>
      <x:c r="AJ1508" s="1"/>
      <x:c r="AK1508" s="1"/>
      <x:c r="AL1508" s="1"/>
      <x:c r="AM1508" s="1"/>
      <x:c r="AN1508" s="1"/>
    </x:row>
    <x:row r="1509" ht="22" customHeight="1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  <x:c r="AA1509" s="1"/>
      <x:c r="AB1509" s="1"/>
      <x:c r="AC1509" s="1"/>
      <x:c r="AD1509" s="1"/>
      <x:c r="AE1509" s="1"/>
      <x:c r="AF1509" s="1"/>
      <x:c r="AG1509" s="1"/>
      <x:c r="AH1509" s="1"/>
      <x:c r="AI1509" s="1"/>
      <x:c r="AJ1509" s="1"/>
      <x:c r="AK1509" s="1"/>
      <x:c r="AL1509" s="1"/>
      <x:c r="AM1509" s="1"/>
      <x:c r="AN1509" s="1"/>
    </x:row>
    <x:row r="1510" ht="22" customHeight="1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  <x:c r="AA1510" s="1"/>
      <x:c r="AB1510" s="1"/>
      <x:c r="AC1510" s="1"/>
      <x:c r="AD1510" s="1"/>
      <x:c r="AE1510" s="1"/>
      <x:c r="AF1510" s="1"/>
      <x:c r="AG1510" s="1"/>
      <x:c r="AH1510" s="1"/>
      <x:c r="AI1510" s="1"/>
      <x:c r="AJ1510" s="1"/>
      <x:c r="AK1510" s="1"/>
      <x:c r="AL1510" s="1"/>
      <x:c r="AM1510" s="1"/>
      <x:c r="AN1510" s="1"/>
    </x:row>
    <x:row r="1511" ht="22" customHeight="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  <x:c r="AA1511" s="1"/>
      <x:c r="AB1511" s="1"/>
      <x:c r="AC1511" s="1"/>
      <x:c r="AD1511" s="1"/>
      <x:c r="AE1511" s="1"/>
      <x:c r="AF1511" s="1"/>
      <x:c r="AG1511" s="1"/>
      <x:c r="AH1511" s="1"/>
      <x:c r="AI1511" s="1"/>
      <x:c r="AJ1511" s="1"/>
      <x:c r="AK1511" s="1"/>
      <x:c r="AL1511" s="1"/>
      <x:c r="AM1511" s="1"/>
      <x:c r="AN1511" s="1"/>
    </x:row>
    <x:row r="1512" ht="22" customHeight="1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  <x:c r="AA1512" s="1"/>
      <x:c r="AB1512" s="1"/>
      <x:c r="AC1512" s="1"/>
      <x:c r="AD1512" s="1"/>
      <x:c r="AE1512" s="1"/>
      <x:c r="AF1512" s="1"/>
      <x:c r="AG1512" s="1"/>
      <x:c r="AH1512" s="1"/>
      <x:c r="AI1512" s="1"/>
      <x:c r="AJ1512" s="1"/>
      <x:c r="AK1512" s="1"/>
      <x:c r="AL1512" s="1"/>
      <x:c r="AM1512" s="1"/>
      <x:c r="AN1512" s="1"/>
    </x:row>
    <x:row r="1513" ht="22" customHeight="1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  <x:c r="AA1513" s="1"/>
      <x:c r="AB1513" s="1"/>
      <x:c r="AC1513" s="1"/>
      <x:c r="AD1513" s="1"/>
      <x:c r="AE1513" s="1"/>
      <x:c r="AF1513" s="1"/>
      <x:c r="AG1513" s="1"/>
      <x:c r="AH1513" s="1"/>
      <x:c r="AI1513" s="1"/>
      <x:c r="AJ1513" s="1"/>
      <x:c r="AK1513" s="1"/>
      <x:c r="AL1513" s="1"/>
      <x:c r="AM1513" s="1"/>
      <x:c r="AN1513" s="1"/>
    </x:row>
    <x:row r="1514" ht="22" customHeight="1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  <x:c r="AA1514" s="1"/>
      <x:c r="AB1514" s="1"/>
      <x:c r="AC1514" s="1"/>
      <x:c r="AD1514" s="1"/>
      <x:c r="AE1514" s="1"/>
      <x:c r="AF1514" s="1"/>
      <x:c r="AG1514" s="1"/>
      <x:c r="AH1514" s="1"/>
      <x:c r="AI1514" s="1"/>
      <x:c r="AJ1514" s="1"/>
      <x:c r="AK1514" s="1"/>
      <x:c r="AL1514" s="1"/>
      <x:c r="AM1514" s="1"/>
      <x:c r="AN1514" s="1"/>
    </x:row>
    <x:row r="1515" ht="22" customHeight="1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  <x:c r="AA1515" s="1"/>
      <x:c r="AB1515" s="1"/>
      <x:c r="AC1515" s="1"/>
      <x:c r="AD1515" s="1"/>
      <x:c r="AE1515" s="1"/>
      <x:c r="AF1515" s="1"/>
      <x:c r="AG1515" s="1"/>
      <x:c r="AH1515" s="1"/>
      <x:c r="AI1515" s="1"/>
      <x:c r="AJ1515" s="1"/>
      <x:c r="AK1515" s="1"/>
      <x:c r="AL1515" s="1"/>
      <x:c r="AM1515" s="1"/>
      <x:c r="AN1515" s="1"/>
    </x:row>
    <x:row r="1516" ht="22" customHeight="1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  <x:c r="AA1516" s="1"/>
      <x:c r="AB1516" s="1"/>
      <x:c r="AC1516" s="1"/>
      <x:c r="AD1516" s="1"/>
      <x:c r="AE1516" s="1"/>
      <x:c r="AF1516" s="1"/>
      <x:c r="AG1516" s="1"/>
      <x:c r="AH1516" s="1"/>
      <x:c r="AI1516" s="1"/>
      <x:c r="AJ1516" s="1"/>
      <x:c r="AK1516" s="1"/>
      <x:c r="AL1516" s="1"/>
      <x:c r="AM1516" s="1"/>
      <x:c r="AN1516" s="1"/>
    </x:row>
    <x:row r="1517" ht="22" customHeight="1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  <x:c r="AA1517" s="1"/>
      <x:c r="AB1517" s="1"/>
      <x:c r="AC1517" s="1"/>
      <x:c r="AD1517" s="1"/>
      <x:c r="AE1517" s="1"/>
      <x:c r="AF1517" s="1"/>
      <x:c r="AG1517" s="1"/>
      <x:c r="AH1517" s="1"/>
      <x:c r="AI1517" s="1"/>
      <x:c r="AJ1517" s="1"/>
      <x:c r="AK1517" s="1"/>
      <x:c r="AL1517" s="1"/>
      <x:c r="AM1517" s="1"/>
      <x:c r="AN1517" s="1"/>
    </x:row>
    <x:row r="1518" ht="22" customHeight="1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  <x:c r="AA1518" s="1"/>
      <x:c r="AB1518" s="1"/>
      <x:c r="AC1518" s="1"/>
      <x:c r="AD1518" s="1"/>
      <x:c r="AE1518" s="1"/>
      <x:c r="AF1518" s="1"/>
      <x:c r="AG1518" s="1"/>
      <x:c r="AH1518" s="1"/>
      <x:c r="AI1518" s="1"/>
      <x:c r="AJ1518" s="1"/>
      <x:c r="AK1518" s="1"/>
      <x:c r="AL1518" s="1"/>
      <x:c r="AM1518" s="1"/>
      <x:c r="AN1518" s="1"/>
    </x:row>
    <x:row r="1519" ht="22" customHeight="1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  <x:c r="AA1519" s="1"/>
      <x:c r="AB1519" s="1"/>
      <x:c r="AC1519" s="1"/>
      <x:c r="AD1519" s="1"/>
      <x:c r="AE1519" s="1"/>
      <x:c r="AF1519" s="1"/>
      <x:c r="AG1519" s="1"/>
      <x:c r="AH1519" s="1"/>
      <x:c r="AI1519" s="1"/>
      <x:c r="AJ1519" s="1"/>
      <x:c r="AK1519" s="1"/>
      <x:c r="AL1519" s="1"/>
      <x:c r="AM1519" s="1"/>
      <x:c r="AN1519" s="1"/>
    </x:row>
    <x:row r="1520" ht="22" customHeight="1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  <x:c r="AA1520" s="1"/>
      <x:c r="AB1520" s="1"/>
      <x:c r="AC1520" s="1"/>
      <x:c r="AD1520" s="1"/>
      <x:c r="AE1520" s="1"/>
      <x:c r="AF1520" s="1"/>
      <x:c r="AG1520" s="1"/>
      <x:c r="AH1520" s="1"/>
      <x:c r="AI1520" s="1"/>
      <x:c r="AJ1520" s="1"/>
      <x:c r="AK1520" s="1"/>
      <x:c r="AL1520" s="1"/>
      <x:c r="AM1520" s="1"/>
      <x:c r="AN1520" s="1"/>
    </x:row>
    <x:row r="1521" ht="22" customHeight="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  <x:c r="AA1521" s="1"/>
      <x:c r="AB1521" s="1"/>
      <x:c r="AC1521" s="1"/>
      <x:c r="AD1521" s="1"/>
      <x:c r="AE1521" s="1"/>
      <x:c r="AF1521" s="1"/>
      <x:c r="AG1521" s="1"/>
      <x:c r="AH1521" s="1"/>
      <x:c r="AI1521" s="1"/>
      <x:c r="AJ1521" s="1"/>
      <x:c r="AK1521" s="1"/>
      <x:c r="AL1521" s="1"/>
      <x:c r="AM1521" s="1"/>
      <x:c r="AN1521" s="1"/>
    </x:row>
    <x:row r="1522" ht="22" customHeight="1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  <x:c r="AA1522" s="1"/>
      <x:c r="AB1522" s="1"/>
      <x:c r="AC1522" s="1"/>
      <x:c r="AD1522" s="1"/>
      <x:c r="AE1522" s="1"/>
      <x:c r="AF1522" s="1"/>
      <x:c r="AG1522" s="1"/>
      <x:c r="AH1522" s="1"/>
      <x:c r="AI1522" s="1"/>
      <x:c r="AJ1522" s="1"/>
      <x:c r="AK1522" s="1"/>
      <x:c r="AL1522" s="1"/>
      <x:c r="AM1522" s="1"/>
      <x:c r="AN1522" s="1"/>
    </x:row>
    <x:row r="1523" ht="22" customHeight="1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  <x:c r="AA1523" s="1"/>
      <x:c r="AB1523" s="1"/>
      <x:c r="AC1523" s="1"/>
      <x:c r="AD1523" s="1"/>
      <x:c r="AE1523" s="1"/>
      <x:c r="AF1523" s="1"/>
      <x:c r="AG1523" s="1"/>
      <x:c r="AH1523" s="1"/>
      <x:c r="AI1523" s="1"/>
      <x:c r="AJ1523" s="1"/>
      <x:c r="AK1523" s="1"/>
      <x:c r="AL1523" s="1"/>
      <x:c r="AM1523" s="1"/>
      <x:c r="AN1523" s="1"/>
    </x:row>
    <x:row r="1524" ht="22" customHeight="1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  <x:c r="AA1524" s="1"/>
      <x:c r="AB1524" s="1"/>
      <x:c r="AC1524" s="1"/>
      <x:c r="AD1524" s="1"/>
      <x:c r="AE1524" s="1"/>
      <x:c r="AF1524" s="1"/>
      <x:c r="AG1524" s="1"/>
      <x:c r="AH1524" s="1"/>
      <x:c r="AI1524" s="1"/>
      <x:c r="AJ1524" s="1"/>
      <x:c r="AK1524" s="1"/>
      <x:c r="AL1524" s="1"/>
      <x:c r="AM1524" s="1"/>
      <x:c r="AN1524" s="1"/>
    </x:row>
    <x:row r="1525" ht="22" customHeight="1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  <x:c r="AA1525" s="1"/>
      <x:c r="AB1525" s="1"/>
      <x:c r="AC1525" s="1"/>
      <x:c r="AD1525" s="1"/>
      <x:c r="AE1525" s="1"/>
      <x:c r="AF1525" s="1"/>
      <x:c r="AG1525" s="1"/>
      <x:c r="AH1525" s="1"/>
      <x:c r="AI1525" s="1"/>
      <x:c r="AJ1525" s="1"/>
      <x:c r="AK1525" s="1"/>
      <x:c r="AL1525" s="1"/>
      <x:c r="AM1525" s="1"/>
      <x:c r="AN1525" s="1"/>
    </x:row>
    <x:row r="1526" ht="22" customHeight="1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  <x:c r="AA1526" s="1"/>
      <x:c r="AB1526" s="1"/>
      <x:c r="AC1526" s="1"/>
      <x:c r="AD1526" s="1"/>
      <x:c r="AE1526" s="1"/>
      <x:c r="AF1526" s="1"/>
      <x:c r="AG1526" s="1"/>
      <x:c r="AH1526" s="1"/>
      <x:c r="AI1526" s="1"/>
      <x:c r="AJ1526" s="1"/>
      <x:c r="AK1526" s="1"/>
      <x:c r="AL1526" s="1"/>
      <x:c r="AM1526" s="1"/>
      <x:c r="AN1526" s="1"/>
    </x:row>
    <x:row r="1527" ht="22" customHeight="1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  <x:c r="AA1527" s="1"/>
      <x:c r="AB1527" s="1"/>
      <x:c r="AC1527" s="1"/>
      <x:c r="AD1527" s="1"/>
      <x:c r="AE1527" s="1"/>
      <x:c r="AF1527" s="1"/>
      <x:c r="AG1527" s="1"/>
      <x:c r="AH1527" s="1"/>
      <x:c r="AI1527" s="1"/>
      <x:c r="AJ1527" s="1"/>
      <x:c r="AK1527" s="1"/>
      <x:c r="AL1527" s="1"/>
      <x:c r="AM1527" s="1"/>
      <x:c r="AN1527" s="1"/>
    </x:row>
    <x:row r="1528" ht="22" customHeight="1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  <x:c r="AA1528" s="1"/>
      <x:c r="AB1528" s="1"/>
      <x:c r="AC1528" s="1"/>
      <x:c r="AD1528" s="1"/>
      <x:c r="AE1528" s="1"/>
      <x:c r="AF1528" s="1"/>
      <x:c r="AG1528" s="1"/>
      <x:c r="AH1528" s="1"/>
      <x:c r="AI1528" s="1"/>
      <x:c r="AJ1528" s="1"/>
      <x:c r="AK1528" s="1"/>
      <x:c r="AL1528" s="1"/>
      <x:c r="AM1528" s="1"/>
      <x:c r="AN1528" s="1"/>
    </x:row>
    <x:row r="1529" ht="22" customHeight="1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  <x:c r="AA1529" s="1"/>
      <x:c r="AB1529" s="1"/>
      <x:c r="AC1529" s="1"/>
      <x:c r="AD1529" s="1"/>
      <x:c r="AE1529" s="1"/>
      <x:c r="AF1529" s="1"/>
      <x:c r="AG1529" s="1"/>
      <x:c r="AH1529" s="1"/>
      <x:c r="AI1529" s="1"/>
      <x:c r="AJ1529" s="1"/>
      <x:c r="AK1529" s="1"/>
      <x:c r="AL1529" s="1"/>
      <x:c r="AM1529" s="1"/>
      <x:c r="AN1529" s="1"/>
    </x:row>
    <x:row r="1530" ht="34" customHeight="1">
      <x:c r="A1530" s="12" t="str">
        <x:v>School ID</x:v>
      </x:c>
      <x:c r="B1530" s="12" t="str">
        <x:v>School name</x:v>
      </x:c>
      <x:c r="C1530" s="12" t="str">
        <x:v>Listed supermarket miles</x:v>
      </x:c>
      <x:c r="D1530" s="12" t="str">
        <x:v>Retailer ID</x:v>
      </x:c>
      <x:c r="E1530" s="12" t="str">
        <x:v>Nearest listed supermarket</x:v>
      </x:c>
      <x:c r="F1530" s="12" t="str">
        <x:v>Retailer address</x:v>
      </x:c>
      <x:c r="G1530" s="12" t="str">
        <x:v>Listed food sites within 1mi</x:v>
      </x:c>
      <x:c r="H1530" s="12" t="str">
        <x:v>Retrieved</x:v>
      </x:c>
      <x:c r="I1530" s="12" t="str">
        <x:v>Caution</x:v>
      </x:c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  <x:c r="AA1530" s="1"/>
      <x:c r="AB1530" s="1"/>
      <x:c r="AC1530" s="1"/>
      <x:c r="AD1530" s="1"/>
      <x:c r="AE1530" s="1"/>
      <x:c r="AF1530" s="1"/>
      <x:c r="AG1530" s="1"/>
      <x:c r="AH1530" s="1"/>
      <x:c r="AI1530" s="1"/>
      <x:c r="AJ1530" s="1"/>
      <x:c r="AK1530" s="1"/>
      <x:c r="AL1530" s="1"/>
      <x:c r="AM1530" s="1"/>
      <x:c r="AN1530" s="1"/>
    </x:row>
    <x:row r="1531" ht="22" customHeight="1">
      <x:c r="A1531" s="1" t="str">
        <x:v>1010</x:v>
      </x:c>
      <x:c r="B1531" s="1" t="str">
        <x:v>John Bartram High School</x:v>
      </x:c>
      <x:c r="C1531" s="16" t="n">
        <x:v>0.3397819435174283</x:v>
      </x:c>
      <x:c r="D1531" s="1" t="str">
        <x:v>1494726</x:v>
      </x:c>
      <x:c r="E1531" s="1" t="str">
        <x:v>Cousin's Fresh Market Inc</x:v>
      </x:c>
      <x:c r="F1531" s="1" t="str">
        <x:v>6411 Woodland Ave, Philadelphia, PA, 19142</x:v>
      </x:c>
      <x:c r="G1531" s="1" t="n">
        <x:v>4</x:v>
      </x:c>
      <x:c r="H1531" s="1" t="str">
        <x:v>2026-10-09</x:v>
      </x:c>
      <x:c r="I1531" s="1" t="str">
        <x:v>Listed outlets and resources require access verification</x:v>
      </x:c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  <x:c r="AA1531" s="1"/>
      <x:c r="AB1531" s="1"/>
      <x:c r="AC1531" s="1"/>
      <x:c r="AD1531" s="1"/>
      <x:c r="AE1531" s="1"/>
      <x:c r="AF1531" s="1"/>
      <x:c r="AG1531" s="1"/>
      <x:c r="AH1531" s="1"/>
      <x:c r="AI1531" s="1"/>
      <x:c r="AJ1531" s="1"/>
      <x:c r="AK1531" s="1"/>
      <x:c r="AL1531" s="1"/>
      <x:c r="AM1531" s="1"/>
      <x:c r="AN1531" s="1"/>
    </x:row>
    <x:row r="1532" ht="22" customHeight="1">
      <x:c r="A1532" s="1" t="str">
        <x:v>1020</x:v>
      </x:c>
      <x:c r="B1532" s="1" t="str">
        <x:v>West Philadelphia High School</x:v>
      </x:c>
      <x:c r="C1532" s="16" t="n">
        <x:v>0.35675630166563865</x:v>
      </x:c>
      <x:c r="D1532" s="1" t="str">
        <x:v>1550384</x:v>
      </x:c>
      <x:c r="E1532" s="1" t="str">
        <x:v>Afor Market Philadelphia Llc</x:v>
      </x:c>
      <x:c r="F1532" s="1" t="str">
        <x:v>5228 Market St, Philadelphia, PA, 19139</x:v>
      </x:c>
      <x:c r="G1532" s="1" t="n">
        <x:v>14</x:v>
      </x:c>
      <x:c r="H1532" s="1" t="str">
        <x:v>2026-10-09</x:v>
      </x:c>
      <x:c r="I1532" s="1" t="str">
        <x:v>Listed outlets and resources require access verification</x:v>
      </x:c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  <x:c r="AA1532" s="1"/>
      <x:c r="AB1532" s="1"/>
      <x:c r="AC1532" s="1"/>
      <x:c r="AD1532" s="1"/>
      <x:c r="AE1532" s="1"/>
      <x:c r="AF1532" s="1"/>
      <x:c r="AG1532" s="1"/>
      <x:c r="AH1532" s="1"/>
      <x:c r="AI1532" s="1"/>
      <x:c r="AJ1532" s="1"/>
      <x:c r="AK1532" s="1"/>
      <x:c r="AL1532" s="1"/>
      <x:c r="AM1532" s="1"/>
      <x:c r="AN1532" s="1"/>
    </x:row>
    <x:row r="1533" ht="22" customHeight="1">
      <x:c r="A1533" s="1" t="str">
        <x:v>1030</x:v>
      </x:c>
      <x:c r="B1533" s="1" t="str">
        <x:v>High School of the Future</x:v>
      </x:c>
      <x:c r="C1533" s="16" t="n">
        <x:v>0.9271138217890725</x:v>
      </x:c>
      <x:c r="D1533" s="1" t="str">
        <x:v>1208927</x:v>
      </x:c>
      <x:c r="E1533" s="1" t="str">
        <x:v>Aldi 43</x:v>
      </x:c>
      <x:c r="F1533" s="1" t="str">
        <x:v>3101 W Girard Ave, Philadelphia, PA, 19130</x:v>
      </x:c>
      <x:c r="G1533" s="1" t="n">
        <x:v>9</x:v>
      </x:c>
      <x:c r="H1533" s="1" t="str">
        <x:v>2026-10-09</x:v>
      </x:c>
      <x:c r="I1533" s="1" t="str">
        <x:v>Listed outlets and resources require access verification</x:v>
      </x:c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  <x:c r="AA1533" s="1"/>
      <x:c r="AB1533" s="1"/>
      <x:c r="AC1533" s="1"/>
      <x:c r="AD1533" s="1"/>
      <x:c r="AE1533" s="1"/>
      <x:c r="AF1533" s="1"/>
      <x:c r="AG1533" s="1"/>
      <x:c r="AH1533" s="1"/>
      <x:c r="AI1533" s="1"/>
      <x:c r="AJ1533" s="1"/>
      <x:c r="AK1533" s="1"/>
      <x:c r="AL1533" s="1"/>
      <x:c r="AM1533" s="1"/>
      <x:c r="AN1533" s="1"/>
    </x:row>
    <x:row r="1534" ht="22" customHeight="1">
      <x:c r="A1534" s="1" t="str">
        <x:v>1050</x:v>
      </x:c>
      <x:c r="B1534" s="1" t="str">
        <x:v>Paul Robeson High School for Human Services</x:v>
      </x:c>
      <x:c r="C1534" s="16" t="n">
        <x:v>0.1812821079384152</x:v>
      </x:c>
      <x:c r="D1534" s="1" t="str">
        <x:v>1423061</x:v>
      </x:c>
      <x:c r="E1534" s="1" t="str">
        <x:v>Acme 2397</x:v>
      </x:c>
      <x:c r="F1534" s="1" t="str">
        <x:v>4001 Walnut St, Philadelphia, PA, 19104</x:v>
      </x:c>
      <x:c r="G1534" s="1" t="n">
        <x:v>12</x:v>
      </x:c>
      <x:c r="H1534" s="1" t="str">
        <x:v>2026-10-09</x:v>
      </x:c>
      <x:c r="I1534" s="1" t="str">
        <x:v>Listed outlets and resources require access verification</x:v>
      </x:c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  <x:c r="AA1534" s="1"/>
      <x:c r="AB1534" s="1"/>
      <x:c r="AC1534" s="1"/>
      <x:c r="AD1534" s="1"/>
      <x:c r="AE1534" s="1"/>
      <x:c r="AF1534" s="1"/>
      <x:c r="AG1534" s="1"/>
      <x:c r="AH1534" s="1"/>
      <x:c r="AI1534" s="1"/>
      <x:c r="AJ1534" s="1"/>
      <x:c r="AK1534" s="1"/>
      <x:c r="AL1534" s="1"/>
      <x:c r="AM1534" s="1"/>
      <x:c r="AN1534" s="1"/>
    </x:row>
    <x:row r="1535" ht="22" customHeight="1">
      <x:c r="A1535" s="1" t="str">
        <x:v>1100</x:v>
      </x:c>
      <x:c r="B1535" s="1" t="str">
        <x:v>William L. Sayre High School</x:v>
      </x:c>
      <x:c r="C1535" s="16" t="n">
        <x:v>0.29370303689259636</x:v>
      </x:c>
      <x:c r="D1535" s="1" t="str">
        <x:v>254504</x:v>
      </x:c>
      <x:c r="E1535" s="1" t="str">
        <x:v>FRESH GROCER</x:v>
      </x:c>
      <x:c r="F1535" s="1" t="str">
        <x:v>5601 Chestnut St, Philadelphia, PA, 19139</x:v>
      </x:c>
      <x:c r="G1535" s="1" t="n">
        <x:v>13</x:v>
      </x:c>
      <x:c r="H1535" s="1" t="str">
        <x:v>2026-10-09</x:v>
      </x:c>
      <x:c r="I1535" s="1" t="str">
        <x:v>Listed outlets and resources require access verification</x:v>
      </x:c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  <x:c r="AA1535" s="1"/>
      <x:c r="AB1535" s="1"/>
      <x:c r="AC1535" s="1"/>
      <x:c r="AD1535" s="1"/>
      <x:c r="AE1535" s="1"/>
      <x:c r="AF1535" s="1"/>
      <x:c r="AG1535" s="1"/>
      <x:c r="AH1535" s="1"/>
      <x:c r="AI1535" s="1"/>
      <x:c r="AJ1535" s="1"/>
      <x:c r="AK1535" s="1"/>
      <x:c r="AL1535" s="1"/>
      <x:c r="AM1535" s="1"/>
      <x:c r="AN1535" s="1"/>
    </x:row>
    <x:row r="1536" ht="22" customHeight="1">
      <x:c r="A1536" s="1" t="str">
        <x:v>1130</x:v>
      </x:c>
      <x:c r="B1536" s="1" t="str">
        <x:v>William T. Tilden Middle School</x:v>
      </x:c>
      <x:c r="C1536" s="16" t="n">
        <x:v>0.385327144615068</x:v>
      </x:c>
      <x:c r="D1536" s="1" t="str">
        <x:v>1494726</x:v>
      </x:c>
      <x:c r="E1536" s="1" t="str">
        <x:v>Cousin's Fresh Market Inc</x:v>
      </x:c>
      <x:c r="F1536" s="1" t="str">
        <x:v>6411 Woodland Ave, Philadelphia, PA, 19142</x:v>
      </x:c>
      <x:c r="G1536" s="1" t="n">
        <x:v>4</x:v>
      </x:c>
      <x:c r="H1536" s="1" t="str">
        <x:v>2026-10-09</x:v>
      </x:c>
      <x:c r="I1536" s="1" t="str">
        <x:v>Listed outlets and resources require access verification</x:v>
      </x:c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  <x:c r="AA1536" s="1"/>
      <x:c r="AB1536" s="1"/>
      <x:c r="AC1536" s="1"/>
      <x:c r="AD1536" s="1"/>
      <x:c r="AE1536" s="1"/>
      <x:c r="AF1536" s="1"/>
      <x:c r="AG1536" s="1"/>
      <x:c r="AH1536" s="1"/>
      <x:c r="AI1536" s="1"/>
      <x:c r="AJ1536" s="1"/>
      <x:c r="AK1536" s="1"/>
      <x:c r="AL1536" s="1"/>
      <x:c r="AM1536" s="1"/>
      <x:c r="AN1536" s="1"/>
    </x:row>
    <x:row r="1537" ht="22" customHeight="1">
      <x:c r="A1537" s="1" t="str">
        <x:v>1190</x:v>
      </x:c>
      <x:c r="B1537" s="1" t="str">
        <x:v>Motivation High School</x:v>
      </x:c>
      <x:c r="C1537" s="16" t="n">
        <x:v>0.2506320247265274</x:v>
      </x:c>
      <x:c r="D1537" s="1" t="str">
        <x:v>1699976</x:v>
      </x:c>
      <x:c r="E1537" s="1" t="str">
        <x:v>Cousin's Fresh Market 3 Llc</x:v>
      </x:c>
      <x:c r="F1537" s="1" t="str">
        <x:v>5704 Baltimore Ave, Philadelphia, PA, 19143</x:v>
      </x:c>
      <x:c r="G1537" s="1" t="n">
        <x:v>5</x:v>
      </x:c>
      <x:c r="H1537" s="1" t="str">
        <x:v>2026-10-09</x:v>
      </x:c>
      <x:c r="I1537" s="1" t="str">
        <x:v>Listed outlets and resources require access verification</x:v>
      </x:c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  <x:c r="AA1537" s="1"/>
      <x:c r="AB1537" s="1"/>
      <x:c r="AC1537" s="1"/>
      <x:c r="AD1537" s="1"/>
      <x:c r="AE1537" s="1"/>
      <x:c r="AF1537" s="1"/>
      <x:c r="AG1537" s="1"/>
      <x:c r="AH1537" s="1"/>
      <x:c r="AI1537" s="1"/>
      <x:c r="AJ1537" s="1"/>
      <x:c r="AK1537" s="1"/>
      <x:c r="AL1537" s="1"/>
      <x:c r="AM1537" s="1"/>
      <x:c r="AN1537" s="1"/>
    </x:row>
    <x:row r="1538" ht="22" customHeight="1">
      <x:c r="A1538" s="1" t="str">
        <x:v>1200</x:v>
      </x:c>
      <x:c r="B1538" s="1" t="str">
        <x:v>John Barry School</x:v>
      </x:c>
      <x:c r="C1538" s="16" t="n">
        <x:v>0.35473149935309223</x:v>
      </x:c>
      <x:c r="D1538" s="1" t="str">
        <x:v>946643</x:v>
      </x:c>
      <x:c r="E1538" s="1" t="str">
        <x:v>Save A Lot 24712</x:v>
      </x:c>
      <x:c r="F1538" s="1" t="str">
        <x:v>5601 Vine St, Philadelphia, PA, 19139</x:v>
      </x:c>
      <x:c r="G1538" s="1" t="n">
        <x:v>11</x:v>
      </x:c>
      <x:c r="H1538" s="1" t="str">
        <x:v>2026-10-09</x:v>
      </x:c>
      <x:c r="I1538" s="1" t="str">
        <x:v>Listed outlets and resources require access verification</x:v>
      </x:c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  <x:c r="AA1538" s="1"/>
      <x:c r="AB1538" s="1"/>
      <x:c r="AC1538" s="1"/>
      <x:c r="AD1538" s="1"/>
      <x:c r="AE1538" s="1"/>
      <x:c r="AF1538" s="1"/>
      <x:c r="AG1538" s="1"/>
      <x:c r="AH1538" s="1"/>
      <x:c r="AI1538" s="1"/>
      <x:c r="AJ1538" s="1"/>
      <x:c r="AK1538" s="1"/>
      <x:c r="AL1538" s="1"/>
      <x:c r="AM1538" s="1"/>
      <x:c r="AN1538" s="1"/>
    </x:row>
    <x:row r="1539" ht="22" customHeight="1">
      <x:c r="A1539" s="1" t="str">
        <x:v>1230</x:v>
      </x:c>
      <x:c r="B1539" s="1" t="str">
        <x:v>William C. Bryant School</x:v>
      </x:c>
      <x:c r="C1539" s="16" t="n">
        <x:v>0.5592374728388604</x:v>
      </x:c>
      <x:c r="D1539" s="1" t="str">
        <x:v>1699976</x:v>
      </x:c>
      <x:c r="E1539" s="1" t="str">
        <x:v>Cousin's Fresh Market 3 Llc</x:v>
      </x:c>
      <x:c r="F1539" s="1" t="str">
        <x:v>5704 Baltimore Ave, Philadelphia, PA, 19143</x:v>
      </x:c>
      <x:c r="G1539" s="1" t="n">
        <x:v>5</x:v>
      </x:c>
      <x:c r="H1539" s="1" t="str">
        <x:v>2026-10-09</x:v>
      </x:c>
      <x:c r="I1539" s="1" t="str">
        <x:v>Listed outlets and resources require access verification</x:v>
      </x:c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  <x:c r="AA1539" s="1"/>
      <x:c r="AB1539" s="1"/>
      <x:c r="AC1539" s="1"/>
      <x:c r="AD1539" s="1"/>
      <x:c r="AE1539" s="1"/>
      <x:c r="AF1539" s="1"/>
      <x:c r="AG1539" s="1"/>
      <x:c r="AH1539" s="1"/>
      <x:c r="AI1539" s="1"/>
      <x:c r="AJ1539" s="1"/>
      <x:c r="AK1539" s="1"/>
      <x:c r="AL1539" s="1"/>
      <x:c r="AM1539" s="1"/>
      <x:c r="AN1539" s="1"/>
    </x:row>
    <x:row r="1540" ht="22" customHeight="1">
      <x:c r="A1540" s="1" t="str">
        <x:v>1250</x:v>
      </x:c>
      <x:c r="B1540" s="1" t="str">
        <x:v>Joseph W. Catharine School</x:v>
      </x:c>
      <x:c r="C1540" s="16" t="n">
        <x:v>0.3372905963622923</x:v>
      </x:c>
      <x:c r="D1540" s="1" t="str">
        <x:v>1494726</x:v>
      </x:c>
      <x:c r="E1540" s="1" t="str">
        <x:v>Cousin's Fresh Market Inc</x:v>
      </x:c>
      <x:c r="F1540" s="1" t="str">
        <x:v>6411 Woodland Ave, Philadelphia, PA, 19142</x:v>
      </x:c>
      <x:c r="G1540" s="1" t="n">
        <x:v>5</x:v>
      </x:c>
      <x:c r="H1540" s="1" t="str">
        <x:v>2026-10-09</x:v>
      </x:c>
      <x:c r="I1540" s="1" t="str">
        <x:v>Listed outlets and resources require access verification</x:v>
      </x:c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  <x:c r="AA1540" s="1"/>
      <x:c r="AB1540" s="1"/>
      <x:c r="AC1540" s="1"/>
      <x:c r="AD1540" s="1"/>
      <x:c r="AE1540" s="1"/>
      <x:c r="AF1540" s="1"/>
      <x:c r="AG1540" s="1"/>
      <x:c r="AH1540" s="1"/>
      <x:c r="AI1540" s="1"/>
      <x:c r="AJ1540" s="1"/>
      <x:c r="AK1540" s="1"/>
      <x:c r="AL1540" s="1"/>
      <x:c r="AM1540" s="1"/>
      <x:c r="AN1540" s="1"/>
    </x:row>
    <x:row r="1541" ht="22" customHeight="1">
      <x:c r="A1541" s="1" t="str">
        <x:v>1260</x:v>
      </x:c>
      <x:c r="B1541" s="1" t="str">
        <x:v>Benjamin B. Comegys School</x:v>
      </x:c>
      <x:c r="C1541" s="16" t="n">
        <x:v>0.5645578372206855</x:v>
      </x:c>
      <x:c r="D1541" s="1" t="str">
        <x:v>408249</x:v>
      </x:c>
      <x:c r="E1541" s="1" t="str">
        <x:v>Mariposa Food Coop</x:v>
      </x:c>
      <x:c r="F1541" s="1" t="str">
        <x:v>4824 Baltimore Ave, Philadelphia, PA, 19143</x:v>
      </x:c>
      <x:c r="G1541" s="1" t="n">
        <x:v>7</x:v>
      </x:c>
      <x:c r="H1541" s="1" t="str">
        <x:v>2026-10-09</x:v>
      </x:c>
      <x:c r="I1541" s="1" t="str">
        <x:v>Listed outlets and resources require access verification</x:v>
      </x:c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  <x:c r="AA1541" s="1"/>
      <x:c r="AB1541" s="1"/>
      <x:c r="AC1541" s="1"/>
      <x:c r="AD1541" s="1"/>
      <x:c r="AE1541" s="1"/>
      <x:c r="AF1541" s="1"/>
      <x:c r="AG1541" s="1"/>
      <x:c r="AH1541" s="1"/>
      <x:c r="AI1541" s="1"/>
      <x:c r="AJ1541" s="1"/>
      <x:c r="AK1541" s="1"/>
      <x:c r="AL1541" s="1"/>
      <x:c r="AM1541" s="1"/>
      <x:c r="AN1541" s="1"/>
    </x:row>
    <x:row r="1542" ht="22" customHeight="1">
      <x:c r="A1542" s="1" t="str">
        <x:v>1280</x:v>
      </x:c>
      <x:c r="B1542" s="1" t="str">
        <x:v>Sadie T.M. Alexander UPenn Partnership School</x:v>
      </x:c>
      <x:c r="C1542" s="16" t="n">
        <x:v>0.13992622182183717</x:v>
      </x:c>
      <x:c r="D1542" s="1" t="str">
        <x:v>782259</x:v>
      </x:c>
      <x:c r="E1542" s="1" t="str">
        <x:v>WALNUT FOODS LLC</x:v>
      </x:c>
      <x:c r="F1542" s="1" t="str">
        <x:v>4301 Walnut St, Philadelphia, PA, 19104</x:v>
      </x:c>
      <x:c r="G1542" s="1" t="n">
        <x:v>10</x:v>
      </x:c>
      <x:c r="H1542" s="1" t="str">
        <x:v>2026-10-09</x:v>
      </x:c>
      <x:c r="I1542" s="1" t="str">
        <x:v>Listed outlets and resources require access verification</x:v>
      </x:c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  <x:c r="AA1542" s="1"/>
      <x:c r="AB1542" s="1"/>
      <x:c r="AC1542" s="1"/>
      <x:c r="AD1542" s="1"/>
      <x:c r="AE1542" s="1"/>
      <x:c r="AF1542" s="1"/>
      <x:c r="AG1542" s="1"/>
      <x:c r="AH1542" s="1"/>
      <x:c r="AI1542" s="1"/>
      <x:c r="AJ1542" s="1"/>
      <x:c r="AK1542" s="1"/>
      <x:c r="AL1542" s="1"/>
      <x:c r="AM1542" s="1"/>
      <x:c r="AN1542" s="1"/>
    </x:row>
    <x:row r="1543" ht="22" customHeight="1">
      <x:c r="A1543" s="1" t="str">
        <x:v>1290</x:v>
      </x:c>
      <x:c r="B1543" s="1" t="str">
        <x:v>Andrew Hamilton School</x:v>
      </x:c>
      <x:c r="C1543" s="16" t="n">
        <x:v>0.30289871613356184</x:v>
      </x:c>
      <x:c r="D1543" s="1" t="str">
        <x:v>254504</x:v>
      </x:c>
      <x:c r="E1543" s="1" t="str">
        <x:v>FRESH GROCER</x:v>
      </x:c>
      <x:c r="F1543" s="1" t="str">
        <x:v>5601 Chestnut St, Philadelphia, PA, 19139</x:v>
      </x:c>
      <x:c r="G1543" s="1" t="n">
        <x:v>10</x:v>
      </x:c>
      <x:c r="H1543" s="1" t="str">
        <x:v>2026-10-09</x:v>
      </x:c>
      <x:c r="I1543" s="1" t="str">
        <x:v>Listed outlets and resources require access verification</x:v>
      </x:c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  <x:c r="AA1543" s="1"/>
      <x:c r="AB1543" s="1"/>
      <x:c r="AC1543" s="1"/>
      <x:c r="AD1543" s="1"/>
      <x:c r="AE1543" s="1"/>
      <x:c r="AF1543" s="1"/>
      <x:c r="AG1543" s="1"/>
      <x:c r="AH1543" s="1"/>
      <x:c r="AI1543" s="1"/>
      <x:c r="AJ1543" s="1"/>
      <x:c r="AK1543" s="1"/>
      <x:c r="AL1543" s="1"/>
      <x:c r="AM1543" s="1"/>
      <x:c r="AN1543" s="1"/>
    </x:row>
    <x:row r="1544" ht="22" customHeight="1">
      <x:c r="A1544" s="1" t="str">
        <x:v>1300</x:v>
      </x:c>
      <x:c r="B1544" s="1" t="str">
        <x:v>Avery D. Harrington School</x:v>
      </x:c>
      <x:c r="C1544" s="16" t="n">
        <x:v>0.3799079600097622</x:v>
      </x:c>
      <x:c r="D1544" s="1" t="str">
        <x:v>1699976</x:v>
      </x:c>
      <x:c r="E1544" s="1" t="str">
        <x:v>Cousin's Fresh Market 3 Llc</x:v>
      </x:c>
      <x:c r="F1544" s="1" t="str">
        <x:v>5704 Baltimore Ave, Philadelphia, PA, 19143</x:v>
      </x:c>
      <x:c r="G1544" s="1" t="n">
        <x:v>11</x:v>
      </x:c>
      <x:c r="H1544" s="1" t="str">
        <x:v>2026-10-09</x:v>
      </x:c>
      <x:c r="I1544" s="1" t="str">
        <x:v>Listed outlets and resources require access verification</x:v>
      </x:c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  <x:c r="AA1544" s="1"/>
      <x:c r="AB1544" s="1"/>
      <x:c r="AC1544" s="1"/>
      <x:c r="AD1544" s="1"/>
      <x:c r="AE1544" s="1"/>
      <x:c r="AF1544" s="1"/>
      <x:c r="AG1544" s="1"/>
      <x:c r="AH1544" s="1"/>
      <x:c r="AI1544" s="1"/>
      <x:c r="AJ1544" s="1"/>
      <x:c r="AK1544" s="1"/>
      <x:c r="AL1544" s="1"/>
      <x:c r="AM1544" s="1"/>
      <x:c r="AN1544" s="1"/>
    </x:row>
    <x:row r="1545" ht="22" customHeight="1">
      <x:c r="A1545" s="1" t="str">
        <x:v>1340</x:v>
      </x:c>
      <x:c r="B1545" s="1" t="str">
        <x:v>Henry C. Lea School</x:v>
      </x:c>
      <x:c r="C1545" s="16" t="n">
        <x:v>0.3737142810571998</x:v>
      </x:c>
      <x:c r="D1545" s="1" t="str">
        <x:v>647200</x:v>
      </x:c>
      <x:c r="E1545" s="1" t="str">
        <x:v>ALDI 54</x:v>
      </x:c>
      <x:c r="F1545" s="1" t="str">
        <x:v>4421 Market St, Philadelphia, PA, 19104</x:v>
      </x:c>
      <x:c r="G1545" s="1" t="n">
        <x:v>12</x:v>
      </x:c>
      <x:c r="H1545" s="1" t="str">
        <x:v>2026-10-09</x:v>
      </x:c>
      <x:c r="I1545" s="1" t="str">
        <x:v>Listed outlets and resources require access verification</x:v>
      </x:c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  <x:c r="AA1545" s="1"/>
      <x:c r="AB1545" s="1"/>
      <x:c r="AC1545" s="1"/>
      <x:c r="AD1545" s="1"/>
      <x:c r="AE1545" s="1"/>
      <x:c r="AF1545" s="1"/>
      <x:c r="AG1545" s="1"/>
      <x:c r="AH1545" s="1"/>
      <x:c r="AI1545" s="1"/>
      <x:c r="AJ1545" s="1"/>
      <x:c r="AK1545" s="1"/>
      <x:c r="AL1545" s="1"/>
      <x:c r="AM1545" s="1"/>
      <x:c r="AN1545" s="1"/>
    </x:row>
    <x:row r="1546" ht="22" customHeight="1">
      <x:c r="A1546" s="1" t="str">
        <x:v>1350</x:v>
      </x:c>
      <x:c r="B1546" s="1" t="str">
        <x:v>William C. Longstreth School</x:v>
      </x:c>
      <x:c r="C1546" s="16" t="n">
        <x:v>0.451746240814321</x:v>
      </x:c>
      <x:c r="D1546" s="1" t="str">
        <x:v>1699976</x:v>
      </x:c>
      <x:c r="E1546" s="1" t="str">
        <x:v>Cousin's Fresh Market 3 Llc</x:v>
      </x:c>
      <x:c r="F1546" s="1" t="str">
        <x:v>5704 Baltimore Ave, Philadelphia, PA, 19143</x:v>
      </x:c>
      <x:c r="G1546" s="1" t="n">
        <x:v>8</x:v>
      </x:c>
      <x:c r="H1546" s="1" t="str">
        <x:v>2026-10-09</x:v>
      </x:c>
      <x:c r="I1546" s="1" t="str">
        <x:v>Listed outlets and resources require access verification</x:v>
      </x:c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  <x:c r="AA1546" s="1"/>
      <x:c r="AB1546" s="1"/>
      <x:c r="AC1546" s="1"/>
      <x:c r="AD1546" s="1"/>
      <x:c r="AE1546" s="1"/>
      <x:c r="AF1546" s="1"/>
      <x:c r="AG1546" s="1"/>
      <x:c r="AH1546" s="1"/>
      <x:c r="AI1546" s="1"/>
      <x:c r="AJ1546" s="1"/>
      <x:c r="AK1546" s="1"/>
      <x:c r="AL1546" s="1"/>
      <x:c r="AM1546" s="1"/>
      <x:c r="AN1546" s="1"/>
    </x:row>
    <x:row r="1547" ht="22" customHeight="1">
      <x:c r="A1547" s="1" t="str">
        <x:v>1360</x:v>
      </x:c>
      <x:c r="B1547" s="1" t="str">
        <x:v>Morton McMichael School</x:v>
      </x:c>
      <x:c r="C1547" s="16" t="n">
        <x:v>0.7139799402420749</x:v>
      </x:c>
      <x:c r="D1547" s="1" t="str">
        <x:v>1208927</x:v>
      </x:c>
      <x:c r="E1547" s="1" t="str">
        <x:v>Aldi 43</x:v>
      </x:c>
      <x:c r="F1547" s="1" t="str">
        <x:v>3101 W Girard Ave, Philadelphia, PA, 19130</x:v>
      </x:c>
      <x:c r="G1547" s="1" t="n">
        <x:v>11</x:v>
      </x:c>
      <x:c r="H1547" s="1" t="str">
        <x:v>2026-10-09</x:v>
      </x:c>
      <x:c r="I1547" s="1" t="str">
        <x:v>Listed outlets and resources require access verification</x:v>
      </x:c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  <x:c r="AA1547" s="1"/>
      <x:c r="AB1547" s="1"/>
      <x:c r="AC1547" s="1"/>
      <x:c r="AD1547" s="1"/>
      <x:c r="AE1547" s="1"/>
      <x:c r="AF1547" s="1"/>
      <x:c r="AG1547" s="1"/>
      <x:c r="AH1547" s="1"/>
      <x:c r="AI1547" s="1"/>
      <x:c r="AJ1547" s="1"/>
      <x:c r="AK1547" s="1"/>
      <x:c r="AL1547" s="1"/>
      <x:c r="AM1547" s="1"/>
      <x:c r="AN1547" s="1"/>
    </x:row>
    <x:row r="1548" ht="22" customHeight="1">
      <x:c r="A1548" s="1" t="str">
        <x:v>1370</x:v>
      </x:c>
      <x:c r="B1548" s="1" t="str">
        <x:v>S. Weir Mitchell School</x:v>
      </x:c>
      <x:c r="C1548" s="16" t="n">
        <x:v>0.33494930534260714</x:v>
      </x:c>
      <x:c r="D1548" s="1" t="str">
        <x:v>805208</x:v>
      </x:c>
      <x:c r="E1548" s="1" t="str">
        <x:v>SAVE-A-LOT 60135</x:v>
      </x:c>
      <x:c r="F1548" s="1" t="str">
        <x:v>5800 Woodland Ave, Philadelphia, PA, 19143</x:v>
      </x:c>
      <x:c r="G1548" s="1" t="n">
        <x:v>9</x:v>
      </x:c>
      <x:c r="H1548" s="1" t="str">
        <x:v>2026-10-09</x:v>
      </x:c>
      <x:c r="I1548" s="1" t="str">
        <x:v>Listed outlets and resources require access verification</x:v>
      </x:c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  <x:c r="AA1548" s="1"/>
      <x:c r="AB1548" s="1"/>
      <x:c r="AC1548" s="1"/>
      <x:c r="AD1548" s="1"/>
      <x:c r="AE1548" s="1"/>
      <x:c r="AF1548" s="1"/>
      <x:c r="AG1548" s="1"/>
      <x:c r="AH1548" s="1"/>
      <x:c r="AI1548" s="1"/>
      <x:c r="AJ1548" s="1"/>
      <x:c r="AK1548" s="1"/>
      <x:c r="AL1548" s="1"/>
      <x:c r="AM1548" s="1"/>
      <x:c r="AN1548" s="1"/>
    </x:row>
    <x:row r="1549" ht="22" customHeight="1">
      <x:c r="A1549" s="1" t="str">
        <x:v>1380</x:v>
      </x:c>
      <x:c r="B1549" s="1" t="str">
        <x:v>Thomas G. Morton School</x:v>
      </x:c>
      <x:c r="C1549" s="16" t="n">
        <x:v>0.4130231541918818</x:v>
      </x:c>
      <x:c r="D1549" s="1" t="str">
        <x:v>1494726</x:v>
      </x:c>
      <x:c r="E1549" s="1" t="str">
        <x:v>Cousin's Fresh Market Inc</x:v>
      </x:c>
      <x:c r="F1549" s="1" t="str">
        <x:v>6411 Woodland Ave, Philadelphia, PA, 19142</x:v>
      </x:c>
      <x:c r="G1549" s="1" t="n">
        <x:v>5</x:v>
      </x:c>
      <x:c r="H1549" s="1" t="str">
        <x:v>2026-10-09</x:v>
      </x:c>
      <x:c r="I1549" s="1" t="str">
        <x:v>Listed outlets and resources require access verification</x:v>
      </x:c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  <x:c r="AA1549" s="1"/>
      <x:c r="AB1549" s="1"/>
      <x:c r="AC1549" s="1"/>
      <x:c r="AD1549" s="1"/>
      <x:c r="AE1549" s="1"/>
      <x:c r="AF1549" s="1"/>
      <x:c r="AG1549" s="1"/>
      <x:c r="AH1549" s="1"/>
      <x:c r="AI1549" s="1"/>
      <x:c r="AJ1549" s="1"/>
      <x:c r="AK1549" s="1"/>
      <x:c r="AL1549" s="1"/>
      <x:c r="AM1549" s="1"/>
      <x:c r="AN1549" s="1"/>
    </x:row>
    <x:row r="1550" ht="22" customHeight="1">
      <x:c r="A1550" s="1" t="str">
        <x:v>1390</x:v>
      </x:c>
      <x:c r="B1550" s="1" t="str">
        <x:v>Samuel Powel School</x:v>
      </x:c>
      <x:c r="C1550" s="16" t="n">
        <x:v>0.24657974806699834</x:v>
      </x:c>
      <x:c r="D1550" s="1" t="str">
        <x:v>1372228</x:v>
      </x:c>
      <x:c r="E1550" s="1" t="str">
        <x:v>Giant Heirloom Market 6551</x:v>
      </x:c>
      <x:c r="F1550" s="1" t="str">
        <x:v>3401 Chestnut St, Philadelphia, PA, 19104</x:v>
      </x:c>
      <x:c r="G1550" s="1" t="n">
        <x:v>10</x:v>
      </x:c>
      <x:c r="H1550" s="1" t="str">
        <x:v>2026-10-09</x:v>
      </x:c>
      <x:c r="I1550" s="1" t="str">
        <x:v>Listed outlets and resources require access verification</x:v>
      </x:c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  <x:c r="AA1550" s="1"/>
      <x:c r="AB1550" s="1"/>
      <x:c r="AC1550" s="1"/>
      <x:c r="AD1550" s="1"/>
      <x:c r="AE1550" s="1"/>
      <x:c r="AF1550" s="1"/>
      <x:c r="AG1550" s="1"/>
      <x:c r="AH1550" s="1"/>
      <x:c r="AI1550" s="1"/>
      <x:c r="AJ1550" s="1"/>
      <x:c r="AK1550" s="1"/>
      <x:c r="AL1550" s="1"/>
      <x:c r="AM1550" s="1"/>
      <x:c r="AN1550" s="1"/>
    </x:row>
    <x:row r="1551" ht="22" customHeight="1">
      <x:c r="A1551" s="1" t="str">
        <x:v>1400</x:v>
      </x:c>
      <x:c r="B1551" s="1" t="str">
        <x:v>John M. Patterson School</x:v>
      </x:c>
      <x:c r="C1551" s="16" t="n">
        <x:v>0.7308741942799558</x:v>
      </x:c>
      <x:c r="D1551" s="1" t="str">
        <x:v>1494726</x:v>
      </x:c>
      <x:c r="E1551" s="1" t="str">
        <x:v>Cousin's Fresh Market Inc</x:v>
      </x:c>
      <x:c r="F1551" s="1" t="str">
        <x:v>6411 Woodland Ave, Philadelphia, PA, 19142</x:v>
      </x:c>
      <x:c r="G1551" s="1" t="n">
        <x:v>3</x:v>
      </x:c>
      <x:c r="H1551" s="1" t="str">
        <x:v>2026-10-09</x:v>
      </x:c>
      <x:c r="I1551" s="1" t="str">
        <x:v>Listed outlets and resources require access verification</x:v>
      </x:c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  <x:c r="AA1551" s="1"/>
      <x:c r="AB1551" s="1"/>
      <x:c r="AC1551" s="1"/>
      <x:c r="AD1551" s="1"/>
      <x:c r="AE1551" s="1"/>
      <x:c r="AF1551" s="1"/>
      <x:c r="AG1551" s="1"/>
      <x:c r="AH1551" s="1"/>
      <x:c r="AI1551" s="1"/>
      <x:c r="AJ1551" s="1"/>
      <x:c r="AK1551" s="1"/>
      <x:c r="AL1551" s="1"/>
      <x:c r="AM1551" s="1"/>
      <x:c r="AN1551" s="1"/>
    </x:row>
    <x:row r="1552" ht="22" customHeight="1">
      <x:c r="A1552" s="1" t="str">
        <x:v>1410</x:v>
      </x:c>
      <x:c r="B1552" s="1" t="str">
        <x:v>James Rhoads School</x:v>
      </x:c>
      <x:c r="C1552" s="16" t="n">
        <x:v>0.3555034706883109</x:v>
      </x:c>
      <x:c r="D1552" s="1" t="str">
        <x:v>1119080</x:v>
      </x:c>
      <x:c r="E1552" s="1" t="str">
        <x:v>Cousin's Fresh Market 2 Inc</x:v>
      </x:c>
      <x:c r="F1552" s="1" t="str">
        <x:v>5429 W Girard Ave, Philadelphia, PA, 19131</x:v>
      </x:c>
      <x:c r="G1552" s="1" t="n">
        <x:v>12</x:v>
      </x:c>
      <x:c r="H1552" s="1" t="str">
        <x:v>2026-10-09</x:v>
      </x:c>
      <x:c r="I1552" s="1" t="str">
        <x:v>Listed outlets and resources require access verification</x:v>
      </x:c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  <x:c r="AA1552" s="1"/>
      <x:c r="AB1552" s="1"/>
      <x:c r="AC1552" s="1"/>
      <x:c r="AD1552" s="1"/>
      <x:c r="AE1552" s="1"/>
      <x:c r="AF1552" s="1"/>
      <x:c r="AG1552" s="1"/>
      <x:c r="AH1552" s="1"/>
      <x:c r="AI1552" s="1"/>
      <x:c r="AJ1552" s="1"/>
      <x:c r="AK1552" s="1"/>
      <x:c r="AL1552" s="1"/>
      <x:c r="AM1552" s="1"/>
      <x:c r="AN1552" s="1"/>
    </x:row>
    <x:row r="1553" ht="22" customHeight="1">
      <x:c r="A1553" s="1" t="str">
        <x:v>1420</x:v>
      </x:c>
      <x:c r="B1553" s="1" t="str">
        <x:v>Martha Washington School</x:v>
      </x:c>
      <x:c r="C1553" s="16" t="n">
        <x:v>0.4881622186295951</x:v>
      </x:c>
      <x:c r="D1553" s="1" t="str">
        <x:v>647200</x:v>
      </x:c>
      <x:c r="E1553" s="1" t="str">
        <x:v>ALDI 54</x:v>
      </x:c>
      <x:c r="F1553" s="1" t="str">
        <x:v>4421 Market St, Philadelphia, PA, 19104</x:v>
      </x:c>
      <x:c r="G1553" s="1" t="n">
        <x:v>14</x:v>
      </x:c>
      <x:c r="H1553" s="1" t="str">
        <x:v>2026-10-09</x:v>
      </x:c>
      <x:c r="I1553" s="1" t="str">
        <x:v>Listed outlets and resources require access verification</x:v>
      </x:c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  <x:c r="AA1553" s="1"/>
      <x:c r="AB1553" s="1"/>
      <x:c r="AC1553" s="1"/>
      <x:c r="AD1553" s="1"/>
      <x:c r="AE1553" s="1"/>
      <x:c r="AF1553" s="1"/>
      <x:c r="AG1553" s="1"/>
      <x:c r="AH1553" s="1"/>
      <x:c r="AI1553" s="1"/>
      <x:c r="AJ1553" s="1"/>
      <x:c r="AK1553" s="1"/>
      <x:c r="AL1553" s="1"/>
      <x:c r="AM1553" s="1"/>
      <x:c r="AN1553" s="1"/>
    </x:row>
    <x:row r="1554" ht="22" customHeight="1">
      <x:c r="A1554" s="1" t="str">
        <x:v>1440</x:v>
      </x:c>
      <x:c r="B1554" s="1" t="str">
        <x:v>Penrose School</x:v>
      </x:c>
      <x:c r="C1554" s="16" t="n">
        <x:v>0.5015430898164202</x:v>
      </x:c>
      <x:c r="D1554" s="1" t="str">
        <x:v>1443923</x:v>
      </x:c>
      <x:c r="E1554" s="1" t="str">
        <x:v>Shoprite of Island Ave 423</x:v>
      </x:c>
      <x:c r="F1554" s="1" t="str">
        <x:v>2946 Island Ave, Philadelphia, PA, 19153</x:v>
      </x:c>
      <x:c r="G1554" s="1" t="n">
        <x:v>1</x:v>
      </x:c>
      <x:c r="H1554" s="1" t="str">
        <x:v>2026-10-09</x:v>
      </x:c>
      <x:c r="I1554" s="1" t="str">
        <x:v>Listed outlets and resources require access verification</x:v>
      </x:c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  <x:c r="AA1554" s="1"/>
      <x:c r="AB1554" s="1"/>
      <x:c r="AC1554" s="1"/>
      <x:c r="AD1554" s="1"/>
      <x:c r="AE1554" s="1"/>
      <x:c r="AF1554" s="1"/>
      <x:c r="AG1554" s="1"/>
      <x:c r="AH1554" s="1"/>
      <x:c r="AI1554" s="1"/>
      <x:c r="AJ1554" s="1"/>
      <x:c r="AK1554" s="1"/>
      <x:c r="AL1554" s="1"/>
      <x:c r="AM1554" s="1"/>
      <x:c r="AN1554" s="1"/>
    </x:row>
    <x:row r="1555" ht="22" customHeight="1">
      <x:c r="A1555" s="1" t="str">
        <x:v>1460</x:v>
      </x:c>
      <x:c r="B1555" s="1" t="str">
        <x:v>Add B. Anderson School</x:v>
      </x:c>
      <x:c r="C1555" s="16" t="n">
        <x:v>0.4336669545442868</x:v>
      </x:c>
      <x:c r="D1555" s="1" t="str">
        <x:v>1699976</x:v>
      </x:c>
      <x:c r="E1555" s="1" t="str">
        <x:v>Cousin's Fresh Market 3 Llc</x:v>
      </x:c>
      <x:c r="F1555" s="1" t="str">
        <x:v>5704 Baltimore Ave, Philadelphia, PA, 19143</x:v>
      </x:c>
      <x:c r="G1555" s="1" t="n">
        <x:v>6</x:v>
      </x:c>
      <x:c r="H1555" s="1" t="str">
        <x:v>2026-10-09</x:v>
      </x:c>
      <x:c r="I1555" s="1" t="str">
        <x:v>Listed outlets and resources require access verification</x:v>
      </x:c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  <x:c r="AA1555" s="1"/>
      <x:c r="AB1555" s="1"/>
      <x:c r="AC1555" s="1"/>
      <x:c r="AD1555" s="1"/>
      <x:c r="AE1555" s="1"/>
      <x:c r="AF1555" s="1"/>
      <x:c r="AG1555" s="1"/>
      <x:c r="AH1555" s="1"/>
      <x:c r="AI1555" s="1"/>
      <x:c r="AJ1555" s="1"/>
      <x:c r="AK1555" s="1"/>
      <x:c r="AL1555" s="1"/>
      <x:c r="AM1555" s="1"/>
      <x:c r="AN1555" s="1"/>
    </x:row>
    <x:row r="1556" ht="22" customHeight="1">
      <x:c r="A1556" s="1" t="str">
        <x:v>1470</x:v>
      </x:c>
      <x:c r="B1556" s="1" t="str">
        <x:v>Alain Locke School</x:v>
      </x:c>
      <x:c r="C1556" s="16" t="n">
        <x:v>0.23280418789792304</x:v>
      </x:c>
      <x:c r="D1556" s="1" t="str">
        <x:v>647200</x:v>
      </x:c>
      <x:c r="E1556" s="1" t="str">
        <x:v>ALDI 54</x:v>
      </x:c>
      <x:c r="F1556" s="1" t="str">
        <x:v>4421 Market St, Philadelphia, PA, 19104</x:v>
      </x:c>
      <x:c r="G1556" s="1" t="n">
        <x:v>15</x:v>
      </x:c>
      <x:c r="H1556" s="1" t="str">
        <x:v>2026-10-09</x:v>
      </x:c>
      <x:c r="I1556" s="1" t="str">
        <x:v>Listed outlets and resources require access verification</x:v>
      </x:c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  <x:c r="AA1556" s="1"/>
      <x:c r="AB1556" s="1"/>
      <x:c r="AC1556" s="1"/>
      <x:c r="AD1556" s="1"/>
      <x:c r="AE1556" s="1"/>
      <x:c r="AF1556" s="1"/>
      <x:c r="AG1556" s="1"/>
      <x:c r="AH1556" s="1"/>
      <x:c r="AI1556" s="1"/>
      <x:c r="AJ1556" s="1"/>
      <x:c r="AK1556" s="1"/>
      <x:c r="AL1556" s="1"/>
      <x:c r="AM1556" s="1"/>
      <x:c r="AN1556" s="1"/>
    </x:row>
    <x:row r="1557" ht="22" customHeight="1">
      <x:c r="A1557" s="1" t="str">
        <x:v>1490</x:v>
      </x:c>
      <x:c r="B1557" s="1" t="str">
        <x:v>Rudolph Blankenburg School</x:v>
      </x:c>
      <x:c r="C1557" s="16" t="n">
        <x:v>0.44216629364402876</x:v>
      </x:c>
      <x:c r="D1557" s="1" t="str">
        <x:v>1119080</x:v>
      </x:c>
      <x:c r="E1557" s="1" t="str">
        <x:v>Cousin's Fresh Market 2 Inc</x:v>
      </x:c>
      <x:c r="F1557" s="1" t="str">
        <x:v>5429 W Girard Ave, Philadelphia, PA, 19131</x:v>
      </x:c>
      <x:c r="G1557" s="1" t="n">
        <x:v>9</x:v>
      </x:c>
      <x:c r="H1557" s="1" t="str">
        <x:v>2026-10-09</x:v>
      </x:c>
      <x:c r="I1557" s="1" t="str">
        <x:v>Listed outlets and resources require access verification</x:v>
      </x:c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  <x:c r="AA1557" s="1"/>
      <x:c r="AB1557" s="1"/>
      <x:c r="AC1557" s="1"/>
      <x:c r="AD1557" s="1"/>
      <x:c r="AE1557" s="1"/>
      <x:c r="AF1557" s="1"/>
      <x:c r="AG1557" s="1"/>
      <x:c r="AH1557" s="1"/>
      <x:c r="AI1557" s="1"/>
      <x:c r="AJ1557" s="1"/>
      <x:c r="AK1557" s="1"/>
      <x:c r="AL1557" s="1"/>
      <x:c r="AM1557" s="1"/>
      <x:c r="AN1557" s="1"/>
    </x:row>
    <x:row r="1558" ht="22" customHeight="1">
      <x:c r="A1558" s="1" t="str">
        <x:v>1580</x:v>
      </x:c>
      <x:c r="B1558" s="1" t="str">
        <x:v>Middle Years Alternative School</x:v>
      </x:c>
      <x:c r="C1558" s="16" t="n">
        <x:v>0.36728004506671763</x:v>
      </x:c>
      <x:c r="D1558" s="1" t="str">
        <x:v>647200</x:v>
      </x:c>
      <x:c r="E1558" s="1" t="str">
        <x:v>ALDI 54</x:v>
      </x:c>
      <x:c r="F1558" s="1" t="str">
        <x:v>4421 Market St, Philadelphia, PA, 19104</x:v>
      </x:c>
      <x:c r="G1558" s="1" t="n">
        <x:v>14</x:v>
      </x:c>
      <x:c r="H1558" s="1" t="str">
        <x:v>2026-10-09</x:v>
      </x:c>
      <x:c r="I1558" s="1" t="str">
        <x:v>Listed outlets and resources require access verification</x:v>
      </x:c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  <x:c r="AA1558" s="1"/>
      <x:c r="AB1558" s="1"/>
      <x:c r="AC1558" s="1"/>
      <x:c r="AD1558" s="1"/>
      <x:c r="AE1558" s="1"/>
      <x:c r="AF1558" s="1"/>
      <x:c r="AG1558" s="1"/>
      <x:c r="AH1558" s="1"/>
      <x:c r="AI1558" s="1"/>
      <x:c r="AJ1558" s="1"/>
      <x:c r="AK1558" s="1"/>
      <x:c r="AL1558" s="1"/>
      <x:c r="AM1558" s="1"/>
      <x:c r="AN1558" s="1"/>
    </x:row>
    <x:row r="1559" ht="22" customHeight="1">
      <x:c r="A1559" s="1" t="str">
        <x:v>2000</x:v>
      </x:c>
      <x:c r="B1559" s="1" t="str">
        <x:v>South Philadelphia High School</x:v>
      </x:c>
      <x:c r="C1559" s="16" t="n">
        <x:v>0.0677150100802512</x:v>
      </x:c>
      <x:c r="D1559" s="1" t="str">
        <x:v>1437536</x:v>
      </x:c>
      <x:c r="E1559" s="1" t="str">
        <x:v>South Philly Food Co-op</x:v>
      </x:c>
      <x:c r="F1559" s="1" t="str">
        <x:v>2031 S Juniper St, Philadelphia, PA, 19148</x:v>
      </x:c>
      <x:c r="G1559" s="1" t="n">
        <x:v>10</x:v>
      </x:c>
      <x:c r="H1559" s="1" t="str">
        <x:v>2026-10-09</x:v>
      </x:c>
      <x:c r="I1559" s="1" t="str">
        <x:v>Listed outlets and resources require access verification</x:v>
      </x:c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  <x:c r="AA1559" s="1"/>
      <x:c r="AB1559" s="1"/>
      <x:c r="AC1559" s="1"/>
      <x:c r="AD1559" s="1"/>
      <x:c r="AE1559" s="1"/>
      <x:c r="AF1559" s="1"/>
      <x:c r="AG1559" s="1"/>
      <x:c r="AH1559" s="1"/>
      <x:c r="AI1559" s="1"/>
      <x:c r="AJ1559" s="1"/>
      <x:c r="AK1559" s="1"/>
      <x:c r="AL1559" s="1"/>
      <x:c r="AM1559" s="1"/>
      <x:c r="AN1559" s="1"/>
    </x:row>
    <x:row r="1560" ht="22" customHeight="1">
      <x:c r="A1560" s="1" t="str">
        <x:v>2010</x:v>
      </x:c>
      <x:c r="B1560" s="1" t="str">
        <x:v>Benjamin Franklin High School</x:v>
      </x:c>
      <x:c r="C1560" s="16" t="n">
        <x:v>0.04947958575697192</x:v>
      </x:c>
      <x:c r="D1560" s="1" t="str">
        <x:v>1672967</x:v>
      </x:c>
      <x:c r="E1560" s="1" t="str">
        <x:v>Giant Food Store 6573</x:v>
      </x:c>
      <x:c r="F1560" s="1" t="str">
        <x:v>510 N Broad St, Philadelphia, PA, 19130</x:v>
      </x:c>
      <x:c r="G1560" s="1" t="n">
        <x:v>10</x:v>
      </x:c>
      <x:c r="H1560" s="1" t="str">
        <x:v>2026-10-09</x:v>
      </x:c>
      <x:c r="I1560" s="1" t="str">
        <x:v>Listed outlets and resources require access verification</x:v>
      </x:c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  <x:c r="AA1560" s="1"/>
      <x:c r="AB1560" s="1"/>
      <x:c r="AC1560" s="1"/>
      <x:c r="AD1560" s="1"/>
      <x:c r="AE1560" s="1"/>
      <x:c r="AF1560" s="1"/>
      <x:c r="AG1560" s="1"/>
      <x:c r="AH1560" s="1"/>
      <x:c r="AI1560" s="1"/>
      <x:c r="AJ1560" s="1"/>
      <x:c r="AK1560" s="1"/>
      <x:c r="AL1560" s="1"/>
      <x:c r="AM1560" s="1"/>
      <x:c r="AN1560" s="1"/>
    </x:row>
    <x:row r="1561" ht="22" customHeight="1">
      <x:c r="A1561" s="1" t="str">
        <x:v>2020</x:v>
      </x:c>
      <x:c r="B1561" s="1" t="str">
        <x:v>High School for Creative and Performing Arts</x:v>
      </x:c>
      <x:c r="C1561" s="16" t="n">
        <x:v>0.07500843857021407</x:v>
      </x:c>
      <x:c r="D1561" s="1" t="str">
        <x:v>1337758</x:v>
      </x:c>
      <x:c r="E1561" s="1" t="str">
        <x:v>Sprouts Farmers Market 850</x:v>
      </x:c>
      <x:c r="F1561" s="1" t="str">
        <x:v>1000 S Broad St, Philadelphia, PA, 19146</x:v>
      </x:c>
      <x:c r="G1561" s="1" t="n">
        <x:v>13</x:v>
      </x:c>
      <x:c r="H1561" s="1" t="str">
        <x:v>2026-10-09</x:v>
      </x:c>
      <x:c r="I1561" s="1" t="str">
        <x:v>Listed outlets and resources require access verification</x:v>
      </x:c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  <x:c r="AA1561" s="1"/>
      <x:c r="AB1561" s="1"/>
      <x:c r="AC1561" s="1"/>
      <x:c r="AD1561" s="1"/>
      <x:c r="AE1561" s="1"/>
      <x:c r="AF1561" s="1"/>
      <x:c r="AG1561" s="1"/>
      <x:c r="AH1561" s="1"/>
      <x:c r="AI1561" s="1"/>
      <x:c r="AJ1561" s="1"/>
      <x:c r="AK1561" s="1"/>
      <x:c r="AL1561" s="1"/>
      <x:c r="AM1561" s="1"/>
      <x:c r="AN1561" s="1"/>
    </x:row>
    <x:row r="1562" ht="22" customHeight="1">
      <x:c r="A1562" s="1" t="str">
        <x:v>2050</x:v>
      </x:c>
      <x:c r="B1562" s="1" t="str">
        <x:v>Science Leadership Academy Middle School</x:v>
      </x:c>
      <x:c r="C1562" s="16" t="n">
        <x:v>0.24657974806699834</x:v>
      </x:c>
      <x:c r="D1562" s="1" t="str">
        <x:v>1372228</x:v>
      </x:c>
      <x:c r="E1562" s="1" t="str">
        <x:v>Giant Heirloom Market 6551</x:v>
      </x:c>
      <x:c r="F1562" s="1" t="str">
        <x:v>3401 Chestnut St, Philadelphia, PA, 19104</x:v>
      </x:c>
      <x:c r="G1562" s="1" t="n">
        <x:v>10</x:v>
      </x:c>
      <x:c r="H1562" s="1" t="str">
        <x:v>2026-10-09</x:v>
      </x:c>
      <x:c r="I1562" s="1" t="str">
        <x:v>Listed outlets and resources require access verification</x:v>
      </x:c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  <x:c r="AA1562" s="1"/>
      <x:c r="AB1562" s="1"/>
      <x:c r="AC1562" s="1"/>
      <x:c r="AD1562" s="1"/>
      <x:c r="AE1562" s="1"/>
      <x:c r="AF1562" s="1"/>
      <x:c r="AG1562" s="1"/>
      <x:c r="AH1562" s="1"/>
      <x:c r="AI1562" s="1"/>
      <x:c r="AJ1562" s="1"/>
      <x:c r="AK1562" s="1"/>
      <x:c r="AL1562" s="1"/>
      <x:c r="AM1562" s="1"/>
      <x:c r="AN1562" s="1"/>
    </x:row>
    <x:row r="1563" ht="22" customHeight="1">
      <x:c r="A1563" s="1" t="str">
        <x:v>2140</x:v>
      </x:c>
      <x:c r="B1563" s="1" t="str">
        <x:v>Julia R. Masterman High School</x:v>
      </x:c>
      <x:c r="C1563" s="16" t="n">
        <x:v>0.2115534996326848</x:v>
      </x:c>
      <x:c r="D1563" s="1" t="str">
        <x:v>1672967</x:v>
      </x:c>
      <x:c r="E1563" s="1" t="str">
        <x:v>Giant Food Store 6573</x:v>
      </x:c>
      <x:c r="F1563" s="1" t="str">
        <x:v>510 N Broad St, Philadelphia, PA, 19130</x:v>
      </x:c>
      <x:c r="G1563" s="1" t="n">
        <x:v>8</x:v>
      </x:c>
      <x:c r="H1563" s="1" t="str">
        <x:v>2026-10-09</x:v>
      </x:c>
      <x:c r="I1563" s="1" t="str">
        <x:v>Listed outlets and resources require access verification</x:v>
      </x:c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  <x:c r="AA1563" s="1"/>
      <x:c r="AB1563" s="1"/>
      <x:c r="AC1563" s="1"/>
      <x:c r="AD1563" s="1"/>
      <x:c r="AE1563" s="1"/>
      <x:c r="AF1563" s="1"/>
      <x:c r="AG1563" s="1"/>
      <x:c r="AH1563" s="1"/>
      <x:c r="AI1563" s="1"/>
      <x:c r="AJ1563" s="1"/>
      <x:c r="AK1563" s="1"/>
      <x:c r="AL1563" s="1"/>
      <x:c r="AM1563" s="1"/>
      <x:c r="AN1563" s="1"/>
    </x:row>
    <x:row r="1564" ht="22" customHeight="1">
      <x:c r="A1564" s="1" t="str">
        <x:v>2160</x:v>
      </x:c>
      <x:c r="B1564" s="1" t="str">
        <x:v>Horace Furness High School</x:v>
      </x:c>
      <x:c r="C1564" s="16" t="n">
        <x:v>0.19535268348524887</x:v>
      </x:c>
      <x:c r="D1564" s="1" t="str">
        <x:v>873256</x:v>
      </x:c>
      <x:c r="E1564" s="1" t="str">
        <x:v>Target Store 1443</x:v>
      </x:c>
      <x:c r="F1564" s="1" t="str">
        <x:v>1 Mifflin St, Philadelphia, PA, 19148</x:v>
      </x:c>
      <x:c r="G1564" s="1" t="n">
        <x:v>6</x:v>
      </x:c>
      <x:c r="H1564" s="1" t="str">
        <x:v>2026-10-09</x:v>
      </x:c>
      <x:c r="I1564" s="1" t="str">
        <x:v>Listed outlets and resources require access verification</x:v>
      </x:c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  <x:c r="AA1564" s="1"/>
      <x:c r="AB1564" s="1"/>
      <x:c r="AC1564" s="1"/>
      <x:c r="AD1564" s="1"/>
      <x:c r="AE1564" s="1"/>
      <x:c r="AF1564" s="1"/>
      <x:c r="AG1564" s="1"/>
      <x:c r="AH1564" s="1"/>
      <x:c r="AI1564" s="1"/>
      <x:c r="AJ1564" s="1"/>
      <x:c r="AK1564" s="1"/>
      <x:c r="AL1564" s="1"/>
      <x:c r="AM1564" s="1"/>
      <x:c r="AN1564" s="1"/>
    </x:row>
    <x:row r="1565" ht="22" customHeight="1">
      <x:c r="A1565" s="1" t="str">
        <x:v>2190</x:v>
      </x:c>
      <x:c r="B1565" s="1" t="str">
        <x:v>D. Newlin Fell School</x:v>
      </x:c>
      <x:c r="C1565" s="16" t="n">
        <x:v>0.428348615876103</x:v>
      </x:c>
      <x:c r="D1565" s="1" t="str">
        <x:v>1690031</x:v>
      </x:c>
      <x:c r="E1565" s="1" t="str">
        <x:v>ShopRite of Whitman Plaza 411</x:v>
      </x:c>
      <x:c r="F1565" s="1" t="str">
        <x:v>330 W Oregon Ave, Philadelphia, PA, 19148</x:v>
      </x:c>
      <x:c r="G1565" s="1" t="n">
        <x:v>5</x:v>
      </x:c>
      <x:c r="H1565" s="1" t="str">
        <x:v>2026-10-09</x:v>
      </x:c>
      <x:c r="I1565" s="1" t="str">
        <x:v>Listed outlets and resources require access verification</x:v>
      </x:c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  <x:c r="AA1565" s="1"/>
      <x:c r="AB1565" s="1"/>
      <x:c r="AC1565" s="1"/>
      <x:c r="AD1565" s="1"/>
      <x:c r="AE1565" s="1"/>
      <x:c r="AF1565" s="1"/>
      <x:c r="AG1565" s="1"/>
      <x:c r="AH1565" s="1"/>
      <x:c r="AI1565" s="1"/>
      <x:c r="AJ1565" s="1"/>
      <x:c r="AK1565" s="1"/>
      <x:c r="AL1565" s="1"/>
      <x:c r="AM1565" s="1"/>
      <x:c r="AN1565" s="1"/>
    </x:row>
    <x:row r="1566" ht="22" customHeight="1">
      <x:c r="A1566" s="1" t="str">
        <x:v>2210</x:v>
      </x:c>
      <x:c r="B1566" s="1" t="str">
        <x:v>Bache-Martin School</x:v>
      </x:c>
      <x:c r="C1566" s="16" t="n">
        <x:v>0.29713947061757184</x:v>
      </x:c>
      <x:c r="D1566" s="1" t="str">
        <x:v>1637652</x:v>
      </x:c>
      <x:c r="E1566" s="1" t="str">
        <x:v>Kleins Supermarket </x:v>
      </x:c>
      <x:c r="F1566" s="1" t="str">
        <x:v>2401 Pennsylvania Ave, Philadelphia, PA, 19130</x:v>
      </x:c>
      <x:c r="G1566" s="1" t="n">
        <x:v>7</x:v>
      </x:c>
      <x:c r="H1566" s="1" t="str">
        <x:v>2026-10-09</x:v>
      </x:c>
      <x:c r="I1566" s="1" t="str">
        <x:v>Listed outlets and resources require access verification</x:v>
      </x:c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  <x:c r="AA1566" s="1"/>
      <x:c r="AB1566" s="1"/>
      <x:c r="AC1566" s="1"/>
      <x:c r="AD1566" s="1"/>
      <x:c r="AE1566" s="1"/>
      <x:c r="AF1566" s="1"/>
      <x:c r="AG1566" s="1"/>
      <x:c r="AH1566" s="1"/>
      <x:c r="AI1566" s="1"/>
      <x:c r="AJ1566" s="1"/>
      <x:c r="AK1566" s="1"/>
      <x:c r="AL1566" s="1"/>
      <x:c r="AM1566" s="1"/>
      <x:c r="AN1566" s="1"/>
    </x:row>
    <x:row r="1567" ht="22" customHeight="1">
      <x:c r="A1567" s="1" t="str">
        <x:v>2240</x:v>
      </x:c>
      <x:c r="B1567" s="1" t="str">
        <x:v>F. Amedee Bregy School</x:v>
      </x:c>
      <x:c r="C1567" s="16" t="n">
        <x:v>0.2488858573081863</x:v>
      </x:c>
      <x:c r="D1567" s="1" t="str">
        <x:v>426717</x:v>
      </x:c>
      <x:c r="E1567" s="1" t="str">
        <x:v>ACME 4715</x:v>
      </x:c>
      <x:c r="F1567" s="1" t="str">
        <x:v>1901 Johnston St, Philadelphia, PA, 19145</x:v>
      </x:c>
      <x:c r="G1567" s="1" t="n">
        <x:v>1</x:v>
      </x:c>
      <x:c r="H1567" s="1" t="str">
        <x:v>2026-10-09</x:v>
      </x:c>
      <x:c r="I1567" s="1" t="str">
        <x:v>Listed outlets and resources require access verification</x:v>
      </x:c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  <x:c r="AA1567" s="1"/>
      <x:c r="AB1567" s="1"/>
      <x:c r="AC1567" s="1"/>
      <x:c r="AD1567" s="1"/>
      <x:c r="AE1567" s="1"/>
      <x:c r="AF1567" s="1"/>
      <x:c r="AG1567" s="1"/>
      <x:c r="AH1567" s="1"/>
      <x:c r="AI1567" s="1"/>
      <x:c r="AJ1567" s="1"/>
      <x:c r="AK1567" s="1"/>
      <x:c r="AL1567" s="1"/>
      <x:c r="AM1567" s="1"/>
      <x:c r="AN1567" s="1"/>
    </x:row>
    <x:row r="1568" ht="22" customHeight="1">
      <x:c r="A1568" s="1" t="str">
        <x:v>2260</x:v>
      </x:c>
      <x:c r="B1568" s="1" t="str">
        <x:v>George W. Childs School</x:v>
      </x:c>
      <x:c r="C1568" s="16" t="n">
        <x:v>0.3433018637346939</x:v>
      </x:c>
      <x:c r="D1568" s="1" t="str">
        <x:v>1341352</x:v>
      </x:c>
      <x:c r="E1568" s="1" t="str">
        <x:v>Target T3263</x:v>
      </x:c>
      <x:c r="F1568" s="1" t="str">
        <x:v>1020 S Broad St, Philadelphia, PA, 19146</x:v>
      </x:c>
      <x:c r="G1568" s="1" t="n">
        <x:v>16</x:v>
      </x:c>
      <x:c r="H1568" s="1" t="str">
        <x:v>2026-10-09</x:v>
      </x:c>
      <x:c r="I1568" s="1" t="str">
        <x:v>Listed outlets and resources require access verification</x:v>
      </x:c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  <x:c r="AA1568" s="1"/>
      <x:c r="AB1568" s="1"/>
      <x:c r="AC1568" s="1"/>
      <x:c r="AD1568" s="1"/>
      <x:c r="AE1568" s="1"/>
      <x:c r="AF1568" s="1"/>
      <x:c r="AG1568" s="1"/>
      <x:c r="AH1568" s="1"/>
      <x:c r="AI1568" s="1"/>
      <x:c r="AJ1568" s="1"/>
      <x:c r="AK1568" s="1"/>
      <x:c r="AL1568" s="1"/>
      <x:c r="AM1568" s="1"/>
      <x:c r="AN1568" s="1"/>
    </x:row>
    <x:row r="1569" ht="22" customHeight="1">
      <x:c r="A1569" s="1" t="str">
        <x:v>2290</x:v>
      </x:c>
      <x:c r="B1569" s="1" t="str">
        <x:v>Franklin Learning Center</x:v>
      </x:c>
      <x:c r="C1569" s="16" t="n">
        <x:v>0.14628358627531837</x:v>
      </x:c>
      <x:c r="D1569" s="1" t="str">
        <x:v>1672967</x:v>
      </x:c>
      <x:c r="E1569" s="1" t="str">
        <x:v>Giant Food Store 6573</x:v>
      </x:c>
      <x:c r="F1569" s="1" t="str">
        <x:v>510 N Broad St, Philadelphia, PA, 19130</x:v>
      </x:c>
      <x:c r="G1569" s="1" t="n">
        <x:v>10</x:v>
      </x:c>
      <x:c r="H1569" s="1" t="str">
        <x:v>2026-10-09</x:v>
      </x:c>
      <x:c r="I1569" s="1" t="str">
        <x:v>Listed outlets and resources require access verification</x:v>
      </x:c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  <x:c r="AA1569" s="1"/>
      <x:c r="AB1569" s="1"/>
      <x:c r="AC1569" s="1"/>
      <x:c r="AD1569" s="1"/>
      <x:c r="AE1569" s="1"/>
      <x:c r="AF1569" s="1"/>
      <x:c r="AG1569" s="1"/>
      <x:c r="AH1569" s="1"/>
      <x:c r="AI1569" s="1"/>
      <x:c r="AJ1569" s="1"/>
      <x:c r="AK1569" s="1"/>
      <x:c r="AL1569" s="1"/>
      <x:c r="AM1569" s="1"/>
      <x:c r="AN1569" s="1"/>
    </x:row>
    <x:row r="1570" ht="22" customHeight="1">
      <x:c r="A1570" s="1" t="str">
        <x:v>2310</x:v>
      </x:c>
      <x:c r="B1570" s="1" t="str">
        <x:v>Achieve Academy of Philadelphia</x:v>
      </x:c>
      <x:c r="C1570" s="16" t="n">
        <x:v>0.42951750596672367</x:v>
      </x:c>
      <x:c r="D1570" s="1" t="str">
        <x:v>1712831</x:v>
      </x:c>
      <x:c r="E1570" s="1" t="str">
        <x:v>Sharswood Grocery Outlet 731</x:v>
      </x:c>
      <x:c r="F1570" s="1" t="str">
        <x:v>2077 Ridge Ave, Philadelphia, PA, 19121</x:v>
      </x:c>
      <x:c r="G1570" s="1" t="n">
        <x:v>12</x:v>
      </x:c>
      <x:c r="H1570" s="1" t="str">
        <x:v>2026-10-09</x:v>
      </x:c>
      <x:c r="I1570" s="1" t="str">
        <x:v>Listed outlets and resources require access verification</x:v>
      </x:c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  <x:c r="AA1570" s="1"/>
      <x:c r="AB1570" s="1"/>
      <x:c r="AC1570" s="1"/>
      <x:c r="AD1570" s="1"/>
      <x:c r="AE1570" s="1"/>
      <x:c r="AF1570" s="1"/>
      <x:c r="AG1570" s="1"/>
      <x:c r="AH1570" s="1"/>
      <x:c r="AI1570" s="1"/>
      <x:c r="AJ1570" s="1"/>
      <x:c r="AK1570" s="1"/>
      <x:c r="AL1570" s="1"/>
      <x:c r="AM1570" s="1"/>
      <x:c r="AN1570" s="1"/>
    </x:row>
    <x:row r="1571" ht="22" customHeight="1">
      <x:c r="A1571" s="1" t="str">
        <x:v>2320</x:v>
      </x:c>
      <x:c r="B1571" s="1" t="str">
        <x:v>Stephen Girard School</x:v>
      </x:c>
      <x:c r="C1571" s="16" t="n">
        <x:v>0.34467862061523435</x:v>
      </x:c>
      <x:c r="D1571" s="1" t="str">
        <x:v>1705347</x:v>
      </x:c>
      <x:c r="E1571" s="1" t="str">
        <x:v>Metfresh Supermarket</x:v>
      </x:c>
      <x:c r="F1571" s="1" t="str">
        <x:v>2014 S Broad St, Philadelphia, PA, 19145</x:v>
      </x:c>
      <x:c r="G1571" s="1" t="n">
        <x:v>12</x:v>
      </x:c>
      <x:c r="H1571" s="1" t="str">
        <x:v>2026-10-09</x:v>
      </x:c>
      <x:c r="I1571" s="1" t="str">
        <x:v>Listed outlets and resources require access verification</x:v>
      </x:c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  <x:c r="AA1571" s="1"/>
      <x:c r="AB1571" s="1"/>
      <x:c r="AC1571" s="1"/>
      <x:c r="AD1571" s="1"/>
      <x:c r="AE1571" s="1"/>
      <x:c r="AF1571" s="1"/>
      <x:c r="AG1571" s="1"/>
      <x:c r="AH1571" s="1"/>
      <x:c r="AI1571" s="1"/>
      <x:c r="AJ1571" s="1"/>
      <x:c r="AK1571" s="1"/>
      <x:c r="AL1571" s="1"/>
      <x:c r="AM1571" s="1"/>
      <x:c r="AN1571" s="1"/>
    </x:row>
    <x:row r="1572" ht="22" customHeight="1">
      <x:c r="A1572" s="1" t="str">
        <x:v>2340</x:v>
      </x:c>
      <x:c r="B1572" s="1" t="str">
        <x:v>General George A. McCall School</x:v>
      </x:c>
      <x:c r="C1572" s="16" t="n">
        <x:v>0.1635639506954112</x:v>
      </x:c>
      <x:c r="D1572" s="1" t="str">
        <x:v>1220176</x:v>
      </x:c>
      <x:c r="E1572" s="1" t="str">
        <x:v>Acme 2638</x:v>
      </x:c>
      <x:c r="F1572" s="1" t="str">
        <x:v>309 S 5th St, Philadelphia, PA, 19106</x:v>
      </x:c>
      <x:c r="G1572" s="1" t="n">
        <x:v>7</x:v>
      </x:c>
      <x:c r="H1572" s="1" t="str">
        <x:v>2026-10-09</x:v>
      </x:c>
      <x:c r="I1572" s="1" t="str">
        <x:v>Listed outlets and resources require access verification</x:v>
      </x:c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  <x:c r="AA1572" s="1"/>
      <x:c r="AB1572" s="1"/>
      <x:c r="AC1572" s="1"/>
      <x:c r="AD1572" s="1"/>
      <x:c r="AE1572" s="1"/>
      <x:c r="AF1572" s="1"/>
      <x:c r="AG1572" s="1"/>
      <x:c r="AH1572" s="1"/>
      <x:c r="AI1572" s="1"/>
      <x:c r="AJ1572" s="1"/>
      <x:c r="AK1572" s="1"/>
      <x:c r="AL1572" s="1"/>
      <x:c r="AM1572" s="1"/>
      <x:c r="AN1572" s="1"/>
    </x:row>
    <x:row r="1573" ht="22" customHeight="1">
      <x:c r="A1573" s="1" t="str">
        <x:v>2370</x:v>
      </x:c>
      <x:c r="B1573" s="1" t="str">
        <x:v>Delaplaine McDaniel School</x:v>
      </x:c>
      <x:c r="C1573" s="16" t="n">
        <x:v>0.7037705628683641</x:v>
      </x:c>
      <x:c r="D1573" s="1" t="str">
        <x:v>1705347</x:v>
      </x:c>
      <x:c r="E1573" s="1" t="str">
        <x:v>Metfresh Supermarket</x:v>
      </x:c>
      <x:c r="F1573" s="1" t="str">
        <x:v>2014 S Broad St, Philadelphia, PA, 19145</x:v>
      </x:c>
      <x:c r="G1573" s="1" t="n">
        <x:v>11</x:v>
      </x:c>
      <x:c r="H1573" s="1" t="str">
        <x:v>2026-10-09</x:v>
      </x:c>
      <x:c r="I1573" s="1" t="str">
        <x:v>Listed outlets and resources require access verification</x:v>
      </x:c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  <x:c r="AA1573" s="1"/>
      <x:c r="AB1573" s="1"/>
      <x:c r="AC1573" s="1"/>
      <x:c r="AD1573" s="1"/>
      <x:c r="AE1573" s="1"/>
      <x:c r="AF1573" s="1"/>
      <x:c r="AG1573" s="1"/>
      <x:c r="AH1573" s="1"/>
      <x:c r="AI1573" s="1"/>
      <x:c r="AJ1573" s="1"/>
      <x:c r="AK1573" s="1"/>
      <x:c r="AL1573" s="1"/>
      <x:c r="AM1573" s="1"/>
      <x:c r="AN1573" s="1"/>
    </x:row>
    <x:row r="1574" ht="22" customHeight="1">
      <x:c r="A1574" s="1" t="str">
        <x:v>2380</x:v>
      </x:c>
      <x:c r="B1574" s="1" t="str">
        <x:v>William M. Meredith School</x:v>
      </x:c>
      <x:c r="C1574" s="16" t="n">
        <x:v>0.358221084673787</x:v>
      </x:c>
      <x:c r="D1574" s="1" t="str">
        <x:v>1220176</x:v>
      </x:c>
      <x:c r="E1574" s="1" t="str">
        <x:v>Acme 2638</x:v>
      </x:c>
      <x:c r="F1574" s="1" t="str">
        <x:v>309 S 5th St, Philadelphia, PA, 19106</x:v>
      </x:c>
      <x:c r="G1574" s="1" t="n">
        <x:v>6</x:v>
      </x:c>
      <x:c r="H1574" s="1" t="str">
        <x:v>2026-10-09</x:v>
      </x:c>
      <x:c r="I1574" s="1" t="str">
        <x:v>Listed outlets and resources require access verification</x:v>
      </x:c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  <x:c r="AA1574" s="1"/>
      <x:c r="AB1574" s="1"/>
      <x:c r="AC1574" s="1"/>
      <x:c r="AD1574" s="1"/>
      <x:c r="AE1574" s="1"/>
      <x:c r="AF1574" s="1"/>
      <x:c r="AG1574" s="1"/>
      <x:c r="AH1574" s="1"/>
      <x:c r="AI1574" s="1"/>
      <x:c r="AJ1574" s="1"/>
      <x:c r="AK1574" s="1"/>
      <x:c r="AL1574" s="1"/>
      <x:c r="AM1574" s="1"/>
      <x:c r="AN1574" s="1"/>
    </x:row>
    <x:row r="1575" ht="22" customHeight="1">
      <x:c r="A1575" s="1" t="str">
        <x:v>2390</x:v>
      </x:c>
      <x:c r="B1575" s="1" t="str">
        <x:v>Robert Morris School</x:v>
      </x:c>
      <x:c r="C1575" s="16" t="n">
        <x:v>0.4557630523990855</x:v>
      </x:c>
      <x:c r="D1575" s="1" t="str">
        <x:v>1208927</x:v>
      </x:c>
      <x:c r="E1575" s="1" t="str">
        <x:v>Aldi 43</x:v>
      </x:c>
      <x:c r="F1575" s="1" t="str">
        <x:v>3101 W Girard Ave, Philadelphia, PA, 19130</x:v>
      </x:c>
      <x:c r="G1575" s="1" t="n">
        <x:v>9</x:v>
      </x:c>
      <x:c r="H1575" s="1" t="str">
        <x:v>2026-10-09</x:v>
      </x:c>
      <x:c r="I1575" s="1" t="str">
        <x:v>Listed outlets and resources require access verification</x:v>
      </x:c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  <x:c r="AA1575" s="1"/>
      <x:c r="AB1575" s="1"/>
      <x:c r="AC1575" s="1"/>
      <x:c r="AD1575" s="1"/>
      <x:c r="AE1575" s="1"/>
      <x:c r="AF1575" s="1"/>
      <x:c r="AG1575" s="1"/>
      <x:c r="AH1575" s="1"/>
      <x:c r="AI1575" s="1"/>
      <x:c r="AJ1575" s="1"/>
      <x:c r="AK1575" s="1"/>
      <x:c r="AL1575" s="1"/>
      <x:c r="AM1575" s="1"/>
      <x:c r="AN1575" s="1"/>
    </x:row>
    <x:row r="1576" ht="22" customHeight="1">
      <x:c r="A1576" s="1" t="str">
        <x:v>2410</x:v>
      </x:c>
      <x:c r="B1576" s="1" t="str">
        <x:v>Girard Academic Music Program High School</x:v>
      </x:c>
      <x:c r="C1576" s="16" t="n">
        <x:v>0.2806391370025693</x:v>
      </x:c>
      <x:c r="D1576" s="1" t="str">
        <x:v>1658621</x:v>
      </x:c>
      <x:c r="E1576" s="1" t="str">
        <x:v>Grocery Outlet Of West Oregon Ave 0730</x:v>
      </x:c>
      <x:c r="F1576" s="1" t="str">
        <x:v>2017 W Oregon Ave, Philadelphia, PA, 19145</x:v>
      </x:c>
      <x:c r="G1576" s="1" t="n">
        <x:v>7</x:v>
      </x:c>
      <x:c r="H1576" s="1" t="str">
        <x:v>2026-10-09</x:v>
      </x:c>
      <x:c r="I1576" s="1" t="str">
        <x:v>Listed outlets and resources require access verification</x:v>
      </x:c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  <x:c r="AA1576" s="1"/>
      <x:c r="AB1576" s="1"/>
      <x:c r="AC1576" s="1"/>
      <x:c r="AD1576" s="1"/>
      <x:c r="AE1576" s="1"/>
      <x:c r="AF1576" s="1"/>
      <x:c r="AG1576" s="1"/>
      <x:c r="AH1576" s="1"/>
      <x:c r="AI1576" s="1"/>
      <x:c r="AJ1576" s="1"/>
      <x:c r="AK1576" s="1"/>
      <x:c r="AL1576" s="1"/>
      <x:c r="AM1576" s="1"/>
      <x:c r="AN1576" s="1"/>
    </x:row>
    <x:row r="1577" ht="22" customHeight="1">
      <x:c r="A1577" s="1" t="str">
        <x:v>2450</x:v>
      </x:c>
      <x:c r="B1577" s="1" t="str">
        <x:v>Edwin M. Stanton School</x:v>
      </x:c>
      <x:c r="C1577" s="16" t="n">
        <x:v>0.2625518894906461</x:v>
      </x:c>
      <x:c r="D1577" s="1" t="str">
        <x:v>1337758</x:v>
      </x:c>
      <x:c r="E1577" s="1" t="str">
        <x:v>Sprouts Farmers Market 850</x:v>
      </x:c>
      <x:c r="F1577" s="1" t="str">
        <x:v>1000 S Broad St, Philadelphia, PA, 19146</x:v>
      </x:c>
      <x:c r="G1577" s="1" t="n">
        <x:v>15</x:v>
      </x:c>
      <x:c r="H1577" s="1" t="str">
        <x:v>2026-10-09</x:v>
      </x:c>
      <x:c r="I1577" s="1" t="str">
        <x:v>Listed outlets and resources require access verification</x:v>
      </x:c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  <x:c r="AA1577" s="1"/>
      <x:c r="AB1577" s="1"/>
      <x:c r="AC1577" s="1"/>
      <x:c r="AD1577" s="1"/>
      <x:c r="AE1577" s="1"/>
      <x:c r="AF1577" s="1"/>
      <x:c r="AG1577" s="1"/>
      <x:c r="AH1577" s="1"/>
      <x:c r="AI1577" s="1"/>
      <x:c r="AJ1577" s="1"/>
      <x:c r="AK1577" s="1"/>
      <x:c r="AL1577" s="1"/>
      <x:c r="AM1577" s="1"/>
      <x:c r="AN1577" s="1"/>
    </x:row>
    <x:row r="1578" ht="22" customHeight="1">
      <x:c r="A1578" s="1" t="str">
        <x:v>2470</x:v>
      </x:c>
      <x:c r="B1578" s="1" t="str">
        <x:v>Albert M. Greenfield School</x:v>
      </x:c>
      <x:c r="C1578" s="16" t="n">
        <x:v>0.1338496128922521</x:v>
      </x:c>
      <x:c r="D1578" s="1" t="str">
        <x:v>304309</x:v>
      </x:c>
      <x:c r="E1578" s="1" t="str">
        <x:v>Trader Joe's 634</x:v>
      </x:c>
      <x:c r="F1578" s="1" t="str">
        <x:v>2121 Market St, Philadelphia, PA, 19103</x:v>
      </x:c>
      <x:c r="G1578" s="1" t="n">
        <x:v>5</x:v>
      </x:c>
      <x:c r="H1578" s="1" t="str">
        <x:v>2026-10-09</x:v>
      </x:c>
      <x:c r="I1578" s="1" t="str">
        <x:v>Listed outlets and resources require access verification</x:v>
      </x:c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  <x:c r="AA1578" s="1"/>
      <x:c r="AB1578" s="1"/>
      <x:c r="AC1578" s="1"/>
      <x:c r="AD1578" s="1"/>
      <x:c r="AE1578" s="1"/>
      <x:c r="AF1578" s="1"/>
      <x:c r="AG1578" s="1"/>
      <x:c r="AH1578" s="1"/>
      <x:c r="AI1578" s="1"/>
      <x:c r="AJ1578" s="1"/>
      <x:c r="AK1578" s="1"/>
      <x:c r="AL1578" s="1"/>
      <x:c r="AM1578" s="1"/>
      <x:c r="AN1578" s="1"/>
    </x:row>
    <x:row r="1579" ht="22" customHeight="1">
      <x:c r="A1579" s="1" t="str">
        <x:v>2480</x:v>
      </x:c>
      <x:c r="B1579" s="1" t="str">
        <x:v>Marian Anderson Neighborhood Academy</x:v>
      </x:c>
      <x:c r="C1579" s="16" t="n">
        <x:v>0.22881499019783172</x:v>
      </x:c>
      <x:c r="D1579" s="1" t="str">
        <x:v>1650472</x:v>
      </x:c>
      <x:c r="E1579" s="1" t="str">
        <x:v>ALDI 60161</x:v>
      </x:c>
      <x:c r="F1579" s="1" t="str">
        <x:v>2101 Washington Ave, Philadelphia, PA, 19146</x:v>
      </x:c>
      <x:c r="G1579" s="1" t="n">
        <x:v>16</x:v>
      </x:c>
      <x:c r="H1579" s="1" t="str">
        <x:v>2026-10-09</x:v>
      </x:c>
      <x:c r="I1579" s="1" t="str">
        <x:v>Listed outlets and resources require access verification</x:v>
      </x:c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  <x:c r="AA1579" s="1"/>
      <x:c r="AB1579" s="1"/>
      <x:c r="AC1579" s="1"/>
      <x:c r="AD1579" s="1"/>
      <x:c r="AE1579" s="1"/>
      <x:c r="AF1579" s="1"/>
      <x:c r="AG1579" s="1"/>
      <x:c r="AH1579" s="1"/>
      <x:c r="AI1579" s="1"/>
      <x:c r="AJ1579" s="1"/>
      <x:c r="AK1579" s="1"/>
      <x:c r="AL1579" s="1"/>
      <x:c r="AM1579" s="1"/>
      <x:c r="AN1579" s="1"/>
    </x:row>
    <x:row r="1580" ht="22" customHeight="1">
      <x:c r="A1580" s="1" t="str">
        <x:v>2490</x:v>
      </x:c>
      <x:c r="B1580" s="1" t="str">
        <x:v>Laura W. Waring School</x:v>
      </x:c>
      <x:c r="C1580" s="16" t="n">
        <x:v>0.31974289027423447</x:v>
      </x:c>
      <x:c r="D1580" s="1" t="str">
        <x:v>1672967</x:v>
      </x:c>
      <x:c r="E1580" s="1" t="str">
        <x:v>Giant Food Store 6573</x:v>
      </x:c>
      <x:c r="F1580" s="1" t="str">
        <x:v>510 N Broad St, Philadelphia, PA, 19130</x:v>
      </x:c>
      <x:c r="G1580" s="1" t="n">
        <x:v>9</x:v>
      </x:c>
      <x:c r="H1580" s="1" t="str">
        <x:v>2026-10-09</x:v>
      </x:c>
      <x:c r="I1580" s="1" t="str">
        <x:v>Listed outlets and resources require access verification</x:v>
      </x:c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  <x:c r="AA1580" s="1"/>
      <x:c r="AB1580" s="1"/>
      <x:c r="AC1580" s="1"/>
      <x:c r="AD1580" s="1"/>
      <x:c r="AE1580" s="1"/>
      <x:c r="AF1580" s="1"/>
      <x:c r="AG1580" s="1"/>
      <x:c r="AH1580" s="1"/>
      <x:c r="AI1580" s="1"/>
      <x:c r="AJ1580" s="1"/>
      <x:c r="AK1580" s="1"/>
      <x:c r="AL1580" s="1"/>
      <x:c r="AM1580" s="1"/>
      <x:c r="AN1580" s="1"/>
    </x:row>
    <x:row r="1581" ht="22" customHeight="1">
      <x:c r="A1581" s="1" t="str">
        <x:v>2510</x:v>
      </x:c>
      <x:c r="B1581" s="1" t="str">
        <x:v>Fanny Jackson Coppin School</x:v>
      </x:c>
      <x:c r="C1581" s="16" t="n">
        <x:v>0.1719375482245509</x:v>
      </x:c>
      <x:c r="D1581" s="1" t="str">
        <x:v>310277</x:v>
      </x:c>
      <x:c r="E1581" s="1" t="str">
        <x:v>ACME 726</x:v>
      </x:c>
      <x:c r="F1581" s="1" t="str">
        <x:v>1400 E Passyunk Ave, Philadelphia, PA, 19147</x:v>
      </x:c>
      <x:c r="G1581" s="1" t="n">
        <x:v>11</x:v>
      </x:c>
      <x:c r="H1581" s="1" t="str">
        <x:v>2026-10-09</x:v>
      </x:c>
      <x:c r="I1581" s="1" t="str">
        <x:v>Listed outlets and resources require access verification</x:v>
      </x:c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  <x:c r="AA1581" s="1"/>
      <x:c r="AB1581" s="1"/>
      <x:c r="AC1581" s="1"/>
      <x:c r="AD1581" s="1"/>
      <x:c r="AE1581" s="1"/>
      <x:c r="AF1581" s="1"/>
      <x:c r="AG1581" s="1"/>
      <x:c r="AH1581" s="1"/>
      <x:c r="AI1581" s="1"/>
      <x:c r="AJ1581" s="1"/>
      <x:c r="AK1581" s="1"/>
      <x:c r="AL1581" s="1"/>
      <x:c r="AM1581" s="1"/>
      <x:c r="AN1581" s="1"/>
    </x:row>
    <x:row r="1582" ht="22" customHeight="1">
      <x:c r="A1582" s="1" t="str">
        <x:v>2520</x:v>
      </x:c>
      <x:c r="B1582" s="1" t="str">
        <x:v>Abram S. Jenks School</x:v>
      </x:c>
      <x:c r="C1582" s="16" t="n">
        <x:v>0.3979706880899074</x:v>
      </x:c>
      <x:c r="D1582" s="1" t="str">
        <x:v>1437536</x:v>
      </x:c>
      <x:c r="E1582" s="1" t="str">
        <x:v>South Philly Food Co-op</x:v>
      </x:c>
      <x:c r="F1582" s="1" t="str">
        <x:v>2031 S Juniper St, Philadelphia, PA, 19148</x:v>
      </x:c>
      <x:c r="G1582" s="1" t="n">
        <x:v>6</x:v>
      </x:c>
      <x:c r="H1582" s="1" t="str">
        <x:v>2026-10-09</x:v>
      </x:c>
      <x:c r="I1582" s="1" t="str">
        <x:v>Listed outlets and resources require access verification</x:v>
      </x:c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  <x:c r="AA1582" s="1"/>
      <x:c r="AB1582" s="1"/>
      <x:c r="AC1582" s="1"/>
      <x:c r="AD1582" s="1"/>
      <x:c r="AE1582" s="1"/>
      <x:c r="AF1582" s="1"/>
      <x:c r="AG1582" s="1"/>
      <x:c r="AH1582" s="1"/>
      <x:c r="AI1582" s="1"/>
      <x:c r="AJ1582" s="1"/>
      <x:c r="AK1582" s="1"/>
      <x:c r="AL1582" s="1"/>
      <x:c r="AM1582" s="1"/>
      <x:c r="AN1582" s="1"/>
    </x:row>
    <x:row r="1583" ht="22" customHeight="1">
      <x:c r="A1583" s="1" t="str">
        <x:v>2530</x:v>
      </x:c>
      <x:c r="B1583" s="1" t="str">
        <x:v>Philadelphia Juvenile Justice Services Center</x:v>
      </x:c>
      <x:c r="C1583" s="16" t="n">
        <x:v>0.2034050069507735</x:v>
      </x:c>
      <x:c r="D1583" s="1" t="str">
        <x:v>647200</x:v>
      </x:c>
      <x:c r="E1583" s="1" t="str">
        <x:v>ALDI 54</x:v>
      </x:c>
      <x:c r="F1583" s="1" t="str">
        <x:v>4421 Market St, Philadelphia, PA, 19104</x:v>
      </x:c>
      <x:c r="G1583" s="1" t="n">
        <x:v>14</x:v>
      </x:c>
      <x:c r="H1583" s="1" t="str">
        <x:v>2026-10-09</x:v>
      </x:c>
      <x:c r="I1583" s="1" t="str">
        <x:v>Listed outlets and resources require access verification</x:v>
      </x:c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  <x:c r="AA1583" s="1"/>
      <x:c r="AB1583" s="1"/>
      <x:c r="AC1583" s="1"/>
      <x:c r="AD1583" s="1"/>
      <x:c r="AE1583" s="1"/>
      <x:c r="AF1583" s="1"/>
      <x:c r="AG1583" s="1"/>
      <x:c r="AH1583" s="1"/>
      <x:c r="AI1583" s="1"/>
      <x:c r="AJ1583" s="1"/>
      <x:c r="AK1583" s="1"/>
      <x:c r="AL1583" s="1"/>
      <x:c r="AM1583" s="1"/>
      <x:c r="AN1583" s="1"/>
    </x:row>
    <x:row r="1584" ht="22" customHeight="1">
      <x:c r="A1584" s="1" t="str">
        <x:v>2540</x:v>
      </x:c>
      <x:c r="B1584" s="1" t="str">
        <x:v>Francis S. Key School</x:v>
      </x:c>
      <x:c r="C1584" s="16" t="n">
        <x:v>0.47317293014771705</x:v>
      </x:c>
      <x:c r="D1584" s="1" t="str">
        <x:v>1437536</x:v>
      </x:c>
      <x:c r="E1584" s="1" t="str">
        <x:v>South Philly Food Co-op</x:v>
      </x:c>
      <x:c r="F1584" s="1" t="str">
        <x:v>2031 S Juniper St, Philadelphia, PA, 19148</x:v>
      </x:c>
      <x:c r="G1584" s="1" t="n">
        <x:v>6</x:v>
      </x:c>
      <x:c r="H1584" s="1" t="str">
        <x:v>2026-10-09</x:v>
      </x:c>
      <x:c r="I1584" s="1" t="str">
        <x:v>Listed outlets and resources require access verification</x:v>
      </x:c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  <x:c r="AA1584" s="1"/>
      <x:c r="AB1584" s="1"/>
      <x:c r="AC1584" s="1"/>
      <x:c r="AD1584" s="1"/>
      <x:c r="AE1584" s="1"/>
      <x:c r="AF1584" s="1"/>
      <x:c r="AG1584" s="1"/>
      <x:c r="AH1584" s="1"/>
      <x:c r="AI1584" s="1"/>
      <x:c r="AJ1584" s="1"/>
      <x:c r="AK1584" s="1"/>
      <x:c r="AL1584" s="1"/>
      <x:c r="AM1584" s="1"/>
      <x:c r="AN1584" s="1"/>
    </x:row>
    <x:row r="1585" ht="22" customHeight="1">
      <x:c r="A1585" s="1" t="str">
        <x:v>2580</x:v>
      </x:c>
      <x:c r="B1585" s="1" t="str">
        <x:v>Eliza B. Kirkbride School</x:v>
      </x:c>
      <x:c r="C1585" s="16" t="n">
        <x:v>0.3123460594970542</x:v>
      </x:c>
      <x:c r="D1585" s="1" t="str">
        <x:v>1590749</x:v>
      </x:c>
      <x:c r="E1585" s="1" t="str">
        <x:v>First Oriental Market Inc</x:v>
      </x:c>
      <x:c r="F1585" s="1" t="str">
        <x:v>1111 S 6th St, Philadelphia, PA, 19147</x:v>
      </x:c>
      <x:c r="G1585" s="1" t="n">
        <x:v>9</x:v>
      </x:c>
      <x:c r="H1585" s="1" t="str">
        <x:v>2026-10-09</x:v>
      </x:c>
      <x:c r="I1585" s="1" t="str">
        <x:v>Listed outlets and resources require access verification</x:v>
      </x:c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  <x:c r="AA1585" s="1"/>
      <x:c r="AB1585" s="1"/>
      <x:c r="AC1585" s="1"/>
      <x:c r="AD1585" s="1"/>
      <x:c r="AE1585" s="1"/>
      <x:c r="AF1585" s="1"/>
      <x:c r="AG1585" s="1"/>
      <x:c r="AH1585" s="1"/>
      <x:c r="AI1585" s="1"/>
      <x:c r="AJ1585" s="1"/>
      <x:c r="AK1585" s="1"/>
      <x:c r="AL1585" s="1"/>
      <x:c r="AM1585" s="1"/>
      <x:c r="AN1585" s="1"/>
    </x:row>
    <x:row r="1586" ht="22" customHeight="1">
      <x:c r="A1586" s="1" t="str">
        <x:v>2590</x:v>
      </x:c>
      <x:c r="B1586" s="1" t="str">
        <x:v>George W. Nebinger School</x:v>
      </x:c>
      <x:c r="C1586" s="16" t="n">
        <x:v>0.18536353970744446</x:v>
      </x:c>
      <x:c r="D1586" s="1" t="str">
        <x:v>1590749</x:v>
      </x:c>
      <x:c r="E1586" s="1" t="str">
        <x:v>First Oriental Market Inc</x:v>
      </x:c>
      <x:c r="F1586" s="1" t="str">
        <x:v>1111 S 6th St, Philadelphia, PA, 19147</x:v>
      </x:c>
      <x:c r="G1586" s="1" t="n">
        <x:v>8</x:v>
      </x:c>
      <x:c r="H1586" s="1" t="str">
        <x:v>2026-10-09</x:v>
      </x:c>
      <x:c r="I1586" s="1" t="str">
        <x:v>Listed outlets and resources require access verification</x:v>
      </x:c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  <x:c r="AA1586" s="1"/>
      <x:c r="AB1586" s="1"/>
      <x:c r="AC1586" s="1"/>
      <x:c r="AD1586" s="1"/>
      <x:c r="AE1586" s="1"/>
      <x:c r="AF1586" s="1"/>
      <x:c r="AG1586" s="1"/>
      <x:c r="AH1586" s="1"/>
      <x:c r="AI1586" s="1"/>
      <x:c r="AJ1586" s="1"/>
      <x:c r="AK1586" s="1"/>
      <x:c r="AL1586" s="1"/>
      <x:c r="AM1586" s="1"/>
      <x:c r="AN1586" s="1"/>
    </x:row>
    <x:row r="1587" ht="22" customHeight="1">
      <x:c r="A1587" s="1" t="str">
        <x:v>2620</x:v>
      </x:c>
      <x:c r="B1587" s="1" t="str">
        <x:v>Academy at Palumbo</x:v>
      </x:c>
      <x:c r="C1587" s="16" t="n">
        <x:v>0.20588081692677693</x:v>
      </x:c>
      <x:c r="D1587" s="1" t="str">
        <x:v>1255614</x:v>
      </x:c>
      <x:c r="E1587" s="1" t="str">
        <x:v>Hung Vuong Food Market</x:v>
      </x:c>
      <x:c r="F1587" s="1" t="str">
        <x:v>1122 Washington Ave, Philadelphia, PA, 19147</x:v>
      </x:c>
      <x:c r="G1587" s="1" t="n">
        <x:v>11</x:v>
      </x:c>
      <x:c r="H1587" s="1" t="str">
        <x:v>2026-10-09</x:v>
      </x:c>
      <x:c r="I1587" s="1" t="str">
        <x:v>Listed outlets and resources require access verification</x:v>
      </x:c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  <x:c r="AA1587" s="1"/>
      <x:c r="AB1587" s="1"/>
      <x:c r="AC1587" s="1"/>
      <x:c r="AD1587" s="1"/>
      <x:c r="AE1587" s="1"/>
      <x:c r="AF1587" s="1"/>
      <x:c r="AG1587" s="1"/>
      <x:c r="AH1587" s="1"/>
      <x:c r="AI1587" s="1"/>
      <x:c r="AJ1587" s="1"/>
      <x:c r="AK1587" s="1"/>
      <x:c r="AL1587" s="1"/>
      <x:c r="AM1587" s="1"/>
      <x:c r="AN1587" s="1"/>
    </x:row>
    <x:row r="1588" ht="22" customHeight="1">
      <x:c r="A1588" s="1" t="str">
        <x:v>2630</x:v>
      </x:c>
      <x:c r="B1588" s="1" t="str">
        <x:v>George W. Sharswood School</x:v>
      </x:c>
      <x:c r="C1588" s="16" t="n">
        <x:v>0.24947051507250717</x:v>
      </x:c>
      <x:c r="D1588" s="1" t="str">
        <x:v>1294972</x:v>
      </x:c>
      <x:c r="E1588" s="1" t="str">
        <x:v>ACME 2771</x:v>
      </x:c>
      <x:c r="F1588" s="1" t="str">
        <x:v>29 Snyder Ave, Philadelphia, PA, 19148</x:v>
      </x:c>
      <x:c r="G1588" s="1" t="n">
        <x:v>4</x:v>
      </x:c>
      <x:c r="H1588" s="1" t="str">
        <x:v>2026-10-09</x:v>
      </x:c>
      <x:c r="I1588" s="1" t="str">
        <x:v>Listed outlets and resources require access verification</x:v>
      </x:c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  <x:c r="AA1588" s="1"/>
      <x:c r="AB1588" s="1"/>
      <x:c r="AC1588" s="1"/>
      <x:c r="AD1588" s="1"/>
      <x:c r="AE1588" s="1"/>
      <x:c r="AF1588" s="1"/>
      <x:c r="AG1588" s="1"/>
      <x:c r="AH1588" s="1"/>
      <x:c r="AI1588" s="1"/>
      <x:c r="AJ1588" s="1"/>
      <x:c r="AK1588" s="1"/>
      <x:c r="AL1588" s="1"/>
      <x:c r="AM1588" s="1"/>
      <x:c r="AN1588" s="1"/>
    </x:row>
    <x:row r="1589" ht="22" customHeight="1">
      <x:c r="A1589" s="1" t="str">
        <x:v>2640</x:v>
      </x:c>
      <x:c r="B1589" s="1" t="str">
        <x:v>Southwark School</x:v>
      </x:c>
      <x:c r="C1589" s="16" t="n">
        <x:v>0.41951697224983825</x:v>
      </x:c>
      <x:c r="D1589" s="1" t="str">
        <x:v>310277</x:v>
      </x:c>
      <x:c r="E1589" s="1" t="str">
        <x:v>ACME 726</x:v>
      </x:c>
      <x:c r="F1589" s="1" t="str">
        <x:v>1400 E Passyunk Ave, Philadelphia, PA, 19147</x:v>
      </x:c>
      <x:c r="G1589" s="1" t="n">
        <x:v>8</x:v>
      </x:c>
      <x:c r="H1589" s="1" t="str">
        <x:v>2026-10-09</x:v>
      </x:c>
      <x:c r="I1589" s="1" t="str">
        <x:v>Listed outlets and resources require access verification</x:v>
      </x:c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  <x:c r="AA1589" s="1"/>
      <x:c r="AB1589" s="1"/>
      <x:c r="AC1589" s="1"/>
      <x:c r="AD1589" s="1"/>
      <x:c r="AE1589" s="1"/>
      <x:c r="AF1589" s="1"/>
      <x:c r="AG1589" s="1"/>
      <x:c r="AH1589" s="1"/>
      <x:c r="AI1589" s="1"/>
      <x:c r="AJ1589" s="1"/>
      <x:c r="AK1589" s="1"/>
      <x:c r="AL1589" s="1"/>
      <x:c r="AM1589" s="1"/>
      <x:c r="AN1589" s="1"/>
    </x:row>
    <x:row r="1590" ht="22" customHeight="1">
      <x:c r="A1590" s="1" t="str">
        <x:v>2650</x:v>
      </x:c>
      <x:c r="B1590" s="1" t="str">
        <x:v>Science Leadership Academy High School</x:v>
      </x:c>
      <x:c r="C1590" s="16" t="n">
        <x:v>0.05275537935564013</x:v>
      </x:c>
      <x:c r="D1590" s="1" t="str">
        <x:v>1672967</x:v>
      </x:c>
      <x:c r="E1590" s="1" t="str">
        <x:v>Giant Food Store 6573</x:v>
      </x:c>
      <x:c r="F1590" s="1" t="str">
        <x:v>510 N Broad St, Philadelphia, PA, 19130</x:v>
      </x:c>
      <x:c r="G1590" s="1" t="n">
        <x:v>10</x:v>
      </x:c>
      <x:c r="H1590" s="1" t="str">
        <x:v>2026-10-09</x:v>
      </x:c>
      <x:c r="I1590" s="1" t="str">
        <x:v>Listed outlets and resources require access verification</x:v>
      </x:c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  <x:c r="AA1590" s="1"/>
      <x:c r="AB1590" s="1"/>
      <x:c r="AC1590" s="1"/>
      <x:c r="AD1590" s="1"/>
      <x:c r="AE1590" s="1"/>
      <x:c r="AF1590" s="1"/>
      <x:c r="AG1590" s="1"/>
      <x:c r="AH1590" s="1"/>
      <x:c r="AI1590" s="1"/>
      <x:c r="AJ1590" s="1"/>
      <x:c r="AK1590" s="1"/>
      <x:c r="AL1590" s="1"/>
      <x:c r="AM1590" s="1"/>
      <x:c r="AN1590" s="1"/>
    </x:row>
    <x:row r="1591" ht="22" customHeight="1">
      <x:c r="A1591" s="1" t="str">
        <x:v>2670</x:v>
      </x:c>
      <x:c r="B1591" s="1" t="str">
        <x:v>Constitution High School</x:v>
      </x:c>
      <x:c r="C1591" s="16" t="n">
        <x:v>0.33164819158662245</x:v>
      </x:c>
      <x:c r="D1591" s="1" t="str">
        <x:v>1298051</x:v>
      </x:c>
      <x:c r="E1591" s="1" t="str">
        <x:v>MOM's Organic Market 17</x:v>
      </x:c>
      <x:c r="F1591" s="1" t="str">
        <x:v>34 S 11th St, Philadelphia, PA, 19107</x:v>
      </x:c>
      <x:c r="G1591" s="1" t="n">
        <x:v>7</x:v>
      </x:c>
      <x:c r="H1591" s="1" t="str">
        <x:v>2026-10-09</x:v>
      </x:c>
      <x:c r="I1591" s="1" t="str">
        <x:v>Listed outlets and resources require access verification</x:v>
      </x:c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  <x:c r="AA1591" s="1"/>
      <x:c r="AB1591" s="1"/>
      <x:c r="AC1591" s="1"/>
      <x:c r="AD1591" s="1"/>
      <x:c r="AE1591" s="1"/>
      <x:c r="AF1591" s="1"/>
      <x:c r="AG1591" s="1"/>
      <x:c r="AH1591" s="1"/>
      <x:c r="AI1591" s="1"/>
      <x:c r="AJ1591" s="1"/>
      <x:c r="AK1591" s="1"/>
      <x:c r="AL1591" s="1"/>
      <x:c r="AM1591" s="1"/>
      <x:c r="AN1591" s="1"/>
    </x:row>
    <x:row r="1592" ht="22" customHeight="1">
      <x:c r="A1592" s="1" t="str">
        <x:v>2680</x:v>
      </x:c>
      <x:c r="B1592" s="1" t="str">
        <x:v>The Science Leadership Academy at Beeber High School</x:v>
      </x:c>
      <x:c r="C1592" s="16" t="n">
        <x:v>1.0254135022515662</x:v>
      </x:c>
      <x:c r="D1592" s="1" t="str">
        <x:v>1443921</x:v>
      </x:c>
      <x:c r="E1592" s="1" t="str">
        <x:v>Shoprite of Parkside 419</x:v>
      </x:c>
      <x:c r="F1592" s="1" t="str">
        <x:v>1575 N 52nd St, Philadelphia, PA, 19131</x:v>
      </x:c>
      <x:c r="G1592" s="1" t="n">
        <x:v>5</x:v>
      </x:c>
      <x:c r="H1592" s="1" t="str">
        <x:v>2026-10-09</x:v>
      </x:c>
      <x:c r="I1592" s="1" t="str">
        <x:v>Listed outlets and resources require access verification</x:v>
      </x:c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  <x:c r="AA1592" s="1"/>
      <x:c r="AB1592" s="1"/>
      <x:c r="AC1592" s="1"/>
      <x:c r="AD1592" s="1"/>
      <x:c r="AE1592" s="1"/>
      <x:c r="AF1592" s="1"/>
      <x:c r="AG1592" s="1"/>
      <x:c r="AH1592" s="1"/>
      <x:c r="AI1592" s="1"/>
      <x:c r="AJ1592" s="1"/>
      <x:c r="AK1592" s="1"/>
      <x:c r="AL1592" s="1"/>
      <x:c r="AM1592" s="1"/>
      <x:c r="AN1592" s="1"/>
    </x:row>
    <x:row r="1593" ht="22" customHeight="1">
      <x:c r="A1593" s="1" t="str">
        <x:v>2690</x:v>
      </x:c>
      <x:c r="B1593" s="1" t="str">
        <x:v>John H. Taggart School</x:v>
      </x:c>
      <x:c r="C1593" s="16" t="n">
        <x:v>0.19773198527602262</x:v>
      </x:c>
      <x:c r="D1593" s="1" t="str">
        <x:v>1212469</x:v>
      </x:c>
      <x:c r="E1593" s="1" t="str">
        <x:v>New Oregon Market Inc</x:v>
      </x:c>
      <x:c r="F1593" s="1" t="str">
        <x:v>320 W Oregon Ave, Philadelphia, PA, 19148</x:v>
      </x:c>
      <x:c r="G1593" s="1" t="n">
        <x:v>4</x:v>
      </x:c>
      <x:c r="H1593" s="1" t="str">
        <x:v>2026-10-09</x:v>
      </x:c>
      <x:c r="I1593" s="1" t="str">
        <x:v>Listed outlets and resources require access verification</x:v>
      </x:c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  <x:c r="AA1593" s="1"/>
      <x:c r="AB1593" s="1"/>
      <x:c r="AC1593" s="1"/>
      <x:c r="AD1593" s="1"/>
      <x:c r="AE1593" s="1"/>
      <x:c r="AF1593" s="1"/>
      <x:c r="AG1593" s="1"/>
      <x:c r="AH1593" s="1"/>
      <x:c r="AI1593" s="1"/>
      <x:c r="AJ1593" s="1"/>
      <x:c r="AK1593" s="1"/>
      <x:c r="AL1593" s="1"/>
      <x:c r="AM1593" s="1"/>
      <x:c r="AN1593" s="1"/>
    </x:row>
    <x:row r="1594" ht="22" customHeight="1">
      <x:c r="A1594" s="1" t="str">
        <x:v>2720</x:v>
      </x:c>
      <x:c r="B1594" s="1" t="str">
        <x:v>Vare-Washington School</x:v>
      </x:c>
      <x:c r="C1594" s="16" t="n">
        <x:v>0.06494296836830293</x:v>
      </x:c>
      <x:c r="D1594" s="1" t="str">
        <x:v>1590749</x:v>
      </x:c>
      <x:c r="E1594" s="1" t="str">
        <x:v>First Oriental Market Inc</x:v>
      </x:c>
      <x:c r="F1594" s="1" t="str">
        <x:v>1111 S 6th St, Philadelphia, PA, 19147</x:v>
      </x:c>
      <x:c r="G1594" s="1" t="n">
        <x:v>8</x:v>
      </x:c>
      <x:c r="H1594" s="1" t="str">
        <x:v>2026-10-09</x:v>
      </x:c>
      <x:c r="I1594" s="1" t="str">
        <x:v>Listed outlets and resources require access verification</x:v>
      </x:c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  <x:c r="AA1594" s="1"/>
      <x:c r="AB1594" s="1"/>
      <x:c r="AC1594" s="1"/>
      <x:c r="AD1594" s="1"/>
      <x:c r="AE1594" s="1"/>
      <x:c r="AF1594" s="1"/>
      <x:c r="AG1594" s="1"/>
      <x:c r="AH1594" s="1"/>
      <x:c r="AI1594" s="1"/>
      <x:c r="AJ1594" s="1"/>
      <x:c r="AK1594" s="1"/>
      <x:c r="AL1594" s="1"/>
      <x:c r="AM1594" s="1"/>
      <x:c r="AN1594" s="1"/>
    </x:row>
    <x:row r="1595" ht="22" customHeight="1">
      <x:c r="A1595" s="1" t="str">
        <x:v>3040</x:v>
      </x:c>
      <x:c r="B1595" s="1" t="str">
        <x:v>Excel Middle Years Academy</x:v>
      </x:c>
      <x:c r="C1595" s="16" t="n">
        <x:v>0.6537094255742392</x:v>
      </x:c>
      <x:c r="D1595" s="1" t="str">
        <x:v>1119080</x:v>
      </x:c>
      <x:c r="E1595" s="1" t="str">
        <x:v>Cousin's Fresh Market 2 Inc</x:v>
      </x:c>
      <x:c r="F1595" s="1" t="str">
        <x:v>5429 W Girard Ave, Philadelphia, PA, 19131</x:v>
      </x:c>
      <x:c r="G1595" s="1" t="n">
        <x:v>11</x:v>
      </x:c>
      <x:c r="H1595" s="1" t="str">
        <x:v>2026-10-09</x:v>
      </x:c>
      <x:c r="I1595" s="1" t="str">
        <x:v>Listed outlets and resources require access verification</x:v>
      </x:c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  <x:c r="AA1595" s="1"/>
      <x:c r="AB1595" s="1"/>
      <x:c r="AC1595" s="1"/>
      <x:c r="AD1595" s="1"/>
      <x:c r="AE1595" s="1"/>
      <x:c r="AF1595" s="1"/>
      <x:c r="AG1595" s="1"/>
      <x:c r="AH1595" s="1"/>
      <x:c r="AI1595" s="1"/>
      <x:c r="AJ1595" s="1"/>
      <x:c r="AK1595" s="1"/>
      <x:c r="AL1595" s="1"/>
      <x:c r="AM1595" s="1"/>
      <x:c r="AN1595" s="1"/>
    </x:row>
    <x:row r="1596" ht="22" customHeight="1">
      <x:c r="A1596" s="1" t="str">
        <x:v>3190</x:v>
      </x:c>
      <x:c r="B1596" s="1" t="str">
        <x:v>Crossroads at Hunting Park</x:v>
      </x:c>
      <x:c r="C1596" s="16" t="n">
        <x:v>0.5181636732430546</x:v>
      </x:c>
      <x:c r="D1596" s="1" t="str">
        <x:v>497084</x:v>
      </x:c>
      <x:c r="E1596" s="1" t="str">
        <x:v>COUSINS SUPERMARKET INC. #2</x:v>
      </x:c>
      <x:c r="F1596" s="1" t="str">
        <x:v>4037 N 5th St, Philadelphia, PA, 19140</x:v>
      </x:c>
      <x:c r="G1596" s="1" t="n">
        <x:v>10</x:v>
      </x:c>
      <x:c r="H1596" s="1" t="str">
        <x:v>2026-10-09</x:v>
      </x:c>
      <x:c r="I1596" s="1" t="str">
        <x:v>Listed outlets and resources require access verification</x:v>
      </x:c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  <x:c r="AA1596" s="1"/>
      <x:c r="AB1596" s="1"/>
      <x:c r="AC1596" s="1"/>
      <x:c r="AD1596" s="1"/>
      <x:c r="AE1596" s="1"/>
      <x:c r="AF1596" s="1"/>
      <x:c r="AG1596" s="1"/>
      <x:c r="AH1596" s="1"/>
      <x:c r="AI1596" s="1"/>
      <x:c r="AJ1596" s="1"/>
      <x:c r="AK1596" s="1"/>
      <x:c r="AL1596" s="1"/>
      <x:c r="AM1596" s="1"/>
      <x:c r="AN1596" s="1"/>
    </x:row>
    <x:row r="1597" ht="22" customHeight="1">
      <x:c r="A1597" s="1" t="str">
        <x:v>3210</x:v>
      </x:c>
      <x:c r="B1597" s="1" t="str">
        <x:v>Ben Franklin High School EOP</x:v>
      </x:c>
      <x:c r="C1597" s="16" t="n">
        <x:v>0.04947958575697192</x:v>
      </x:c>
      <x:c r="D1597" s="1" t="str">
        <x:v>1672967</x:v>
      </x:c>
      <x:c r="E1597" s="1" t="str">
        <x:v>Giant Food Store 6573</x:v>
      </x:c>
      <x:c r="F1597" s="1" t="str">
        <x:v>510 N Broad St, Philadelphia, PA, 19130</x:v>
      </x:c>
      <x:c r="G1597" s="1" t="n">
        <x:v>10</x:v>
      </x:c>
      <x:c r="H1597" s="1" t="str">
        <x:v>2026-10-09</x:v>
      </x:c>
      <x:c r="I1597" s="1" t="str">
        <x:v>Listed outlets and resources require access verification</x:v>
      </x:c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  <x:c r="AA1597" s="1"/>
      <x:c r="AB1597" s="1"/>
      <x:c r="AC1597" s="1"/>
      <x:c r="AD1597" s="1"/>
      <x:c r="AE1597" s="1"/>
      <x:c r="AF1597" s="1"/>
      <x:c r="AG1597" s="1"/>
      <x:c r="AH1597" s="1"/>
      <x:c r="AI1597" s="1"/>
      <x:c r="AJ1597" s="1"/>
      <x:c r="AK1597" s="1"/>
      <x:c r="AL1597" s="1"/>
      <x:c r="AM1597" s="1"/>
      <x:c r="AN1597" s="1"/>
    </x:row>
    <x:row r="1598" ht="22" customHeight="1">
      <x:c r="A1598" s="1" t="str">
        <x:v>3240</x:v>
      </x:c>
      <x:c r="B1598" s="1" t="str">
        <x:v>The Fortis Program</x:v>
      </x:c>
      <x:c r="C1598" s="16" t="n">
        <x:v>0.25388415306094564</x:v>
      </x:c>
      <x:c r="D1598" s="1" t="str">
        <x:v>1678957</x:v>
      </x:c>
      <x:c r="E1598" s="1" t="str">
        <x:v>Save A Lot 30224</x:v>
      </x:c>
      <x:c r="F1598" s="1" t="str">
        <x:v>2132 E Lehigh Ave, Philadelphia, PA, 19125</x:v>
      </x:c>
      <x:c r="G1598" s="1" t="n">
        <x:v>6</x:v>
      </x:c>
      <x:c r="H1598" s="1" t="str">
        <x:v>2026-10-09</x:v>
      </x:c>
      <x:c r="I1598" s="1" t="str">
        <x:v>Listed outlets and resources require access verification</x:v>
      </x:c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  <x:c r="AA1598" s="1"/>
      <x:c r="AB1598" s="1"/>
      <x:c r="AC1598" s="1"/>
      <x:c r="AD1598" s="1"/>
      <x:c r="AE1598" s="1"/>
      <x:c r="AF1598" s="1"/>
      <x:c r="AG1598" s="1"/>
      <x:c r="AH1598" s="1"/>
      <x:c r="AI1598" s="1"/>
      <x:c r="AJ1598" s="1"/>
      <x:c r="AK1598" s="1"/>
      <x:c r="AL1598" s="1"/>
      <x:c r="AM1598" s="1"/>
      <x:c r="AN1598" s="1"/>
    </x:row>
    <x:row r="1599" ht="22" customHeight="1">
      <x:c r="A1599" s="1" t="str">
        <x:v>3250</x:v>
      </x:c>
      <x:c r="B1599" s="1" t="str">
        <x:v>Early College Charter School of Philadelphia</x:v>
      </x:c>
      <x:c r="C1599" s="16" t="n">
        <x:v>0.25723468064181654</x:v>
      </x:c>
      <x:c r="D1599" s="1" t="str">
        <x:v>1088409</x:v>
      </x:c>
      <x:c r="E1599" s="1" t="str">
        <x:v>Rittenhouse Market</x:v>
      </x:c>
      <x:c r="F1599" s="1" t="str">
        <x:v>1733 Spruce St, Philadelphia, PA, 19103</x:v>
      </x:c>
      <x:c r="G1599" s="1" t="n">
        <x:v>10</x:v>
      </x:c>
      <x:c r="H1599" s="1" t="str">
        <x:v>2026-10-09</x:v>
      </x:c>
      <x:c r="I1599" s="1" t="str">
        <x:v>Listed outlets and resources require access verification</x:v>
      </x:c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  <x:c r="AA1599" s="1"/>
      <x:c r="AB1599" s="1"/>
      <x:c r="AC1599" s="1"/>
      <x:c r="AD1599" s="1"/>
      <x:c r="AE1599" s="1"/>
      <x:c r="AF1599" s="1"/>
      <x:c r="AG1599" s="1"/>
      <x:c r="AH1599" s="1"/>
      <x:c r="AI1599" s="1"/>
      <x:c r="AJ1599" s="1"/>
      <x:c r="AK1599" s="1"/>
      <x:c r="AL1599" s="1"/>
      <x:c r="AM1599" s="1"/>
      <x:c r="AN1599" s="1"/>
    </x:row>
    <x:row r="1600" ht="22" customHeight="1">
      <x:c r="A1600" s="1" t="str">
        <x:v>3290</x:v>
      </x:c>
      <x:c r="B1600" s="1" t="str">
        <x:v>Excel Academy South</x:v>
      </x:c>
      <x:c r="C1600" s="16" t="n">
        <x:v>0.22832825262966802</x:v>
      </x:c>
      <x:c r="D1600" s="1" t="str">
        <x:v>1443900</x:v>
      </x:c>
      <x:c r="E1600" s="1" t="str">
        <x:v>Walmart 5103</x:v>
      </x:c>
      <x:c r="F1600" s="1" t="str">
        <x:v>4600 E Roosevelt Blvd, Philadelphia, PA, 19124</x:v>
      </x:c>
      <x:c r="G1600" s="1" t="n">
        <x:v>3</x:v>
      </x:c>
      <x:c r="H1600" s="1" t="str">
        <x:v>2026-10-09</x:v>
      </x:c>
      <x:c r="I1600" s="1" t="str">
        <x:v>Listed outlets and resources require access verification</x:v>
      </x:c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  <x:c r="AA1600" s="1"/>
      <x:c r="AB1600" s="1"/>
      <x:c r="AC1600" s="1"/>
      <x:c r="AD1600" s="1"/>
      <x:c r="AE1600" s="1"/>
      <x:c r="AF1600" s="1"/>
      <x:c r="AG1600" s="1"/>
      <x:c r="AH1600" s="1"/>
      <x:c r="AI1600" s="1"/>
      <x:c r="AJ1600" s="1"/>
      <x:c r="AK1600" s="1"/>
      <x:c r="AL1600" s="1"/>
      <x:c r="AM1600" s="1"/>
      <x:c r="AN1600" s="1"/>
    </x:row>
    <x:row r="1601" ht="22" customHeight="1">
      <x:c r="A1601" s="1" t="str">
        <x:v>3291</x:v>
      </x:c>
      <x:c r="B1601" s="1" t="str">
        <x:v>Excel Academy Central</x:v>
      </x:c>
      <x:c r="C1601" s="16" t="n">
        <x:v>0.17942385839555314</x:v>
      </x:c>
      <x:c r="D1601" s="1" t="str">
        <x:v>1443927</x:v>
      </x:c>
      <x:c r="E1601" s="1" t="str">
        <x:v>SHOPRITE 537</x:v>
      </x:c>
      <x:c r="F1601" s="1" t="str">
        <x:v>101 E Olney Ave, Philadelphia, PA, 19120</x:v>
      </x:c>
      <x:c r="G1601" s="1" t="n">
        <x:v>6</x:v>
      </x:c>
      <x:c r="H1601" s="1" t="str">
        <x:v>2026-10-09</x:v>
      </x:c>
      <x:c r="I1601" s="1" t="str">
        <x:v>Listed outlets and resources require access verification</x:v>
      </x:c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  <x:c r="AA1601" s="1"/>
      <x:c r="AB1601" s="1"/>
      <x:c r="AC1601" s="1"/>
      <x:c r="AD1601" s="1"/>
      <x:c r="AE1601" s="1"/>
      <x:c r="AF1601" s="1"/>
      <x:c r="AG1601" s="1"/>
      <x:c r="AH1601" s="1"/>
      <x:c r="AI1601" s="1"/>
      <x:c r="AJ1601" s="1"/>
      <x:c r="AK1601" s="1"/>
      <x:c r="AL1601" s="1"/>
      <x:c r="AM1601" s="1"/>
      <x:c r="AN1601" s="1"/>
    </x:row>
    <x:row r="1602" ht="22" customHeight="1">
      <x:c r="A1602" s="1" t="str">
        <x:v>3292</x:v>
      </x:c>
      <x:c r="B1602" s="1" t="str">
        <x:v>The Academy of Continued Education School</x:v>
      </x:c>
      <x:c r="C1602" s="16" t="n">
        <x:v>0.11489059178460097</x:v>
      </x:c>
      <x:c r="D1602" s="1" t="str">
        <x:v>1672967</x:v>
      </x:c>
      <x:c r="E1602" s="1" t="str">
        <x:v>Giant Food Store 6573</x:v>
      </x:c>
      <x:c r="F1602" s="1" t="str">
        <x:v>510 N Broad St, Philadelphia, PA, 19130</x:v>
      </x:c>
      <x:c r="G1602" s="1" t="n">
        <x:v>10</x:v>
      </x:c>
      <x:c r="H1602" s="1" t="str">
        <x:v>2026-10-09</x:v>
      </x:c>
      <x:c r="I1602" s="1" t="str">
        <x:v>Listed outlets and resources require access verification</x:v>
      </x:c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  <x:c r="AA1602" s="1"/>
      <x:c r="AB1602" s="1"/>
      <x:c r="AC1602" s="1"/>
      <x:c r="AD1602" s="1"/>
      <x:c r="AE1602" s="1"/>
      <x:c r="AF1602" s="1"/>
      <x:c r="AG1602" s="1"/>
      <x:c r="AH1602" s="1"/>
      <x:c r="AI1602" s="1"/>
      <x:c r="AJ1602" s="1"/>
      <x:c r="AK1602" s="1"/>
      <x:c r="AL1602" s="1"/>
      <x:c r="AM1602" s="1"/>
      <x:c r="AN1602" s="1"/>
    </x:row>
    <x:row r="1603" ht="22" customHeight="1">
      <x:c r="A1603" s="1" t="str">
        <x:v>3301</x:v>
      </x:c>
      <x:c r="B1603" s="1" t="str">
        <x:v>Community Academy of Philadelphia Charter School</x:v>
      </x:c>
      <x:c r="C1603" s="16" t="n">
        <x:v>0.15687259846166368</x:v>
      </x:c>
      <x:c r="D1603" s="1" t="str">
        <x:v>1378015</x:v>
      </x:c>
      <x:c r="E1603" s="1" t="str">
        <x:v>Pa Fair Farm Food Corp/Fine Fare Supermarket</x:v>
      </x:c>
      <x:c r="F1603" s="1" t="str">
        <x:v>1240 E Erie Ave, Philadelphia, PA, 19124</x:v>
      </x:c>
      <x:c r="G1603" s="1" t="n">
        <x:v>7</x:v>
      </x:c>
      <x:c r="H1603" s="1" t="str">
        <x:v>2026-10-09</x:v>
      </x:c>
      <x:c r="I1603" s="1" t="str">
        <x:v>Listed outlets and resources require access verification</x:v>
      </x:c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  <x:c r="AA1603" s="1"/>
      <x:c r="AB1603" s="1"/>
      <x:c r="AC1603" s="1"/>
      <x:c r="AD1603" s="1"/>
      <x:c r="AE1603" s="1"/>
      <x:c r="AF1603" s="1"/>
      <x:c r="AG1603" s="1"/>
      <x:c r="AH1603" s="1"/>
      <x:c r="AI1603" s="1"/>
      <x:c r="AJ1603" s="1"/>
      <x:c r="AK1603" s="1"/>
      <x:c r="AL1603" s="1"/>
      <x:c r="AM1603" s="1"/>
      <x:c r="AN1603" s="1"/>
    </x:row>
    <x:row r="1604" ht="22" customHeight="1">
      <x:c r="A1604" s="1" t="str">
        <x:v>3302</x:v>
      </x:c>
      <x:c r="B1604" s="1" t="str">
        <x:v>Harambee Institute of Science and Technology Charter School</x:v>
      </x:c>
      <x:c r="C1604" s="16" t="n">
        <x:v>0.7127935683415872</x:v>
      </x:c>
      <x:c r="D1604" s="1" t="str">
        <x:v>1672599</x:v>
      </x:c>
      <x:c r="E1604" s="1" t="str">
        <x:v>Al Aqsa Supermarket</x:v>
      </x:c>
      <x:c r="F1604" s="1" t="str">
        <x:v>6501 Market St, Upper Darby, PA, 19082</x:v>
      </x:c>
      <x:c r="G1604" s="1" t="n">
        <x:v>7</x:v>
      </x:c>
      <x:c r="H1604" s="1" t="str">
        <x:v>2026-10-09</x:v>
      </x:c>
      <x:c r="I1604" s="1" t="str">
        <x:v>Listed outlets and resources require access verification</x:v>
      </x:c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  <x:c r="AA1604" s="1"/>
      <x:c r="AB1604" s="1"/>
      <x:c r="AC1604" s="1"/>
      <x:c r="AD1604" s="1"/>
      <x:c r="AE1604" s="1"/>
      <x:c r="AF1604" s="1"/>
      <x:c r="AG1604" s="1"/>
      <x:c r="AH1604" s="1"/>
      <x:c r="AI1604" s="1"/>
      <x:c r="AJ1604" s="1"/>
      <x:c r="AK1604" s="1"/>
      <x:c r="AL1604" s="1"/>
      <x:c r="AM1604" s="1"/>
      <x:c r="AN1604" s="1"/>
    </x:row>
    <x:row r="1605" ht="22" customHeight="1">
      <x:c r="A1605" s="1" t="str">
        <x:v>3304</x:v>
      </x:c>
      <x:c r="B1605" s="1" t="str">
        <x:v>YouthBuild Philadelphia Charter School</x:v>
      </x:c>
      <x:c r="C1605" s="16" t="n">
        <x:v>0.706614574962913</x:v>
      </x:c>
      <x:c r="D1605" s="1" t="str">
        <x:v>1171179</x:v>
      </x:c>
      <x:c r="E1605" s="1" t="str">
        <x:v>Save A Lot 60139</x:v>
      </x:c>
      <x:c r="F1605" s="1" t="str">
        <x:v>701 W Lehigh Ave, Philadelphia, PA, 19133</x:v>
      </x:c>
      <x:c r="G1605" s="1" t="n">
        <x:v>16</x:v>
      </x:c>
      <x:c r="H1605" s="1" t="str">
        <x:v>2026-10-09</x:v>
      </x:c>
      <x:c r="I1605" s="1" t="str">
        <x:v>Listed outlets and resources require access verification</x:v>
      </x:c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  <x:c r="AA1605" s="1"/>
      <x:c r="AB1605" s="1"/>
      <x:c r="AC1605" s="1"/>
      <x:c r="AD1605" s="1"/>
      <x:c r="AE1605" s="1"/>
      <x:c r="AF1605" s="1"/>
      <x:c r="AG1605" s="1"/>
      <x:c r="AH1605" s="1"/>
      <x:c r="AI1605" s="1"/>
      <x:c r="AJ1605" s="1"/>
      <x:c r="AK1605" s="1"/>
      <x:c r="AL1605" s="1"/>
      <x:c r="AM1605" s="1"/>
      <x:c r="AN1605" s="1"/>
    </x:row>
    <x:row r="1606" ht="22" customHeight="1">
      <x:c r="A1606" s="1" t="str">
        <x:v>3306</x:v>
      </x:c>
      <x:c r="B1606" s="1" t="str">
        <x:v>Christopher Columbus Charter School</x:v>
      </x:c>
      <x:c r="C1606" s="16" t="n">
        <x:v>0.22052858366333475</x:v>
      </x:c>
      <x:c r="D1606" s="1" t="str">
        <x:v>1255614</x:v>
      </x:c>
      <x:c r="E1606" s="1" t="str">
        <x:v>Hung Vuong Food Market</x:v>
      </x:c>
      <x:c r="F1606" s="1" t="str">
        <x:v>1122 Washington Ave, Philadelphia, PA, 19147</x:v>
      </x:c>
      <x:c r="G1606" s="1" t="n">
        <x:v>11</x:v>
      </x:c>
      <x:c r="H1606" s="1" t="str">
        <x:v>2026-10-09</x:v>
      </x:c>
      <x:c r="I1606" s="1" t="str">
        <x:v>Listed outlets and resources require access verification</x:v>
      </x:c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  <x:c r="AA1606" s="1"/>
      <x:c r="AB1606" s="1"/>
      <x:c r="AC1606" s="1"/>
      <x:c r="AD1606" s="1"/>
      <x:c r="AE1606" s="1"/>
      <x:c r="AF1606" s="1"/>
      <x:c r="AG1606" s="1"/>
      <x:c r="AH1606" s="1"/>
      <x:c r="AI1606" s="1"/>
      <x:c r="AJ1606" s="1"/>
      <x:c r="AK1606" s="1"/>
      <x:c r="AL1606" s="1"/>
      <x:c r="AM1606" s="1"/>
      <x:c r="AN1606" s="1"/>
    </x:row>
    <x:row r="1607" ht="22" customHeight="1">
      <x:c r="A1607" s="1" t="str">
        <x:v>3307</x:v>
      </x:c>
      <x:c r="B1607" s="1" t="str">
        <x:v>Eugenio Maria De Hostos Charter School</x:v>
      </x:c>
      <x:c r="C1607" s="16" t="n">
        <x:v>0.2923713862135881</x:v>
      </x:c>
      <x:c r="D1607" s="1" t="str">
        <x:v>1426195</x:v>
      </x:c>
      <x:c r="E1607" s="1" t="str">
        <x:v>H MART PHILADELPHIA LLC.</x:v>
      </x:c>
      <x:c r="F1607" s="1" t="str">
        <x:v>6201 N Front St, Philadelphia, PA, 19120</x:v>
      </x:c>
      <x:c r="G1607" s="1" t="n">
        <x:v>3</x:v>
      </x:c>
      <x:c r="H1607" s="1" t="str">
        <x:v>2026-10-09</x:v>
      </x:c>
      <x:c r="I1607" s="1" t="str">
        <x:v>Listed outlets and resources require access verification</x:v>
      </x:c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  <x:c r="AA1607" s="1"/>
      <x:c r="AB1607" s="1"/>
      <x:c r="AC1607" s="1"/>
      <x:c r="AD1607" s="1"/>
      <x:c r="AE1607" s="1"/>
      <x:c r="AF1607" s="1"/>
      <x:c r="AG1607" s="1"/>
      <x:c r="AH1607" s="1"/>
      <x:c r="AI1607" s="1"/>
      <x:c r="AJ1607" s="1"/>
      <x:c r="AK1607" s="1"/>
      <x:c r="AL1607" s="1"/>
      <x:c r="AM1607" s="1"/>
      <x:c r="AN1607" s="1"/>
    </x:row>
    <x:row r="1608" ht="22" customHeight="1">
      <x:c r="A1608" s="1" t="str">
        <x:v>3308</x:v>
      </x:c>
      <x:c r="B1608" s="1" t="str">
        <x:v>Inquiry Charter School</x:v>
      </x:c>
      <x:c r="C1608" s="16" t="n">
        <x:v>0.5402525204044578</x:v>
      </x:c>
      <x:c r="D1608" s="1" t="str">
        <x:v>1119080</x:v>
      </x:c>
      <x:c r="E1608" s="1" t="str">
        <x:v>Cousin's Fresh Market 2 Inc</x:v>
      </x:c>
      <x:c r="F1608" s="1" t="str">
        <x:v>5429 W Girard Ave, Philadelphia, PA, 19131</x:v>
      </x:c>
      <x:c r="G1608" s="1" t="n">
        <x:v>9</x:v>
      </x:c>
      <x:c r="H1608" s="1" t="str">
        <x:v>2026-10-09</x:v>
      </x:c>
      <x:c r="I1608" s="1" t="str">
        <x:v>Listed outlets and resources require access verification</x:v>
      </x:c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  <x:c r="AA1608" s="1"/>
      <x:c r="AB1608" s="1"/>
      <x:c r="AC1608" s="1"/>
      <x:c r="AD1608" s="1"/>
      <x:c r="AE1608" s="1"/>
      <x:c r="AF1608" s="1"/>
      <x:c r="AG1608" s="1"/>
      <x:c r="AH1608" s="1"/>
      <x:c r="AI1608" s="1"/>
      <x:c r="AJ1608" s="1"/>
      <x:c r="AK1608" s="1"/>
      <x:c r="AL1608" s="1"/>
      <x:c r="AM1608" s="1"/>
      <x:c r="AN1608" s="1"/>
    </x:row>
    <x:row r="1609" ht="22" customHeight="1">
      <x:c r="A1609" s="1" t="str">
        <x:v>3309</x:v>
      </x:c>
      <x:c r="B1609" s="1" t="str">
        <x:v>Imhotep Institute Charter High School</x:v>
      </x:c>
      <x:c r="C1609" s="16" t="n">
        <x:v>0.5669685471256715</x:v>
      </x:c>
      <x:c r="D1609" s="1" t="str">
        <x:v>906753</x:v>
      </x:c>
      <x:c r="E1609" s="1" t="str">
        <x:v>THE FRESH GROCER</x:v>
      </x:c>
      <x:c r="F1609" s="1" t="str">
        <x:v>5301 Chew Ave, Philadelphia, PA, 19138</x:v>
      </x:c>
      <x:c r="G1609" s="1" t="n">
        <x:v>13</x:v>
      </x:c>
      <x:c r="H1609" s="1" t="str">
        <x:v>2026-10-09</x:v>
      </x:c>
      <x:c r="I1609" s="1" t="str">
        <x:v>Listed outlets and resources require access verification</x:v>
      </x:c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  <x:c r="AA1609" s="1"/>
      <x:c r="AB1609" s="1"/>
      <x:c r="AC1609" s="1"/>
      <x:c r="AD1609" s="1"/>
      <x:c r="AE1609" s="1"/>
      <x:c r="AF1609" s="1"/>
      <x:c r="AG1609" s="1"/>
      <x:c r="AH1609" s="1"/>
      <x:c r="AI1609" s="1"/>
      <x:c r="AJ1609" s="1"/>
      <x:c r="AK1609" s="1"/>
      <x:c r="AL1609" s="1"/>
      <x:c r="AM1609" s="1"/>
      <x:c r="AN1609" s="1"/>
    </x:row>
    <x:row r="1610" ht="22" customHeight="1">
      <x:c r="A1610" s="1" t="str">
        <x:v>3310</x:v>
      </x:c>
      <x:c r="B1610" s="1" t="str">
        <x:v>Laboratory Charter School of Communication and Languages</x:v>
      </x:c>
      <x:c r="C1610" s="16" t="n">
        <x:v>0.4926131971074626</x:v>
      </x:c>
      <x:c r="D1610" s="1" t="str">
        <x:v>1443919</x:v>
      </x:c>
      <x:c r="E1610" s="1" t="str">
        <x:v>Save A Lot 60136</x:v>
      </x:c>
      <x:c r="F1610" s="1" t="str">
        <x:v>400 W Allegheny Ave, Philadelphia, PA, 19133</x:v>
      </x:c>
      <x:c r="G1610" s="1" t="n">
        <x:v>10</x:v>
      </x:c>
      <x:c r="H1610" s="1" t="str">
        <x:v>2026-10-09</x:v>
      </x:c>
      <x:c r="I1610" s="1" t="str">
        <x:v>Listed outlets and resources require access verification</x:v>
      </x:c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  <x:c r="AA1610" s="1"/>
      <x:c r="AB1610" s="1"/>
      <x:c r="AC1610" s="1"/>
      <x:c r="AD1610" s="1"/>
      <x:c r="AE1610" s="1"/>
      <x:c r="AF1610" s="1"/>
      <x:c r="AG1610" s="1"/>
      <x:c r="AH1610" s="1"/>
      <x:c r="AI1610" s="1"/>
      <x:c r="AJ1610" s="1"/>
      <x:c r="AK1610" s="1"/>
      <x:c r="AL1610" s="1"/>
      <x:c r="AM1610" s="1"/>
      <x:c r="AN1610" s="1"/>
    </x:row>
    <x:row r="1611" ht="22" customHeight="1">
      <x:c r="A1611" s="1" t="str">
        <x:v>3312</x:v>
      </x:c>
      <x:c r="B1611" s="1" t="str">
        <x:v>Multicultural Academy Charter School</x:v>
      </x:c>
      <x:c r="C1611" s="16" t="n">
        <x:v>0.6981995919796609</x:v>
      </x:c>
      <x:c r="D1611" s="1" t="str">
        <x:v>1232656</x:v>
      </x:c>
      <x:c r="E1611" s="1" t="str">
        <x:v>Save-A-Lot 60138</x:v>
      </x:c>
      <x:c r="F1611" s="1" t="str">
        <x:v>4424 N Broad St, Philadelphia, PA, 19140</x:v>
      </x:c>
      <x:c r="G1611" s="1" t="n">
        <x:v>9</x:v>
      </x:c>
      <x:c r="H1611" s="1" t="str">
        <x:v>2026-10-09</x:v>
      </x:c>
      <x:c r="I1611" s="1" t="str">
        <x:v>Listed outlets and resources require access verification</x:v>
      </x:c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  <x:c r="AA1611" s="1"/>
      <x:c r="AB1611" s="1"/>
      <x:c r="AC1611" s="1"/>
      <x:c r="AD1611" s="1"/>
      <x:c r="AE1611" s="1"/>
      <x:c r="AF1611" s="1"/>
      <x:c r="AG1611" s="1"/>
      <x:c r="AH1611" s="1"/>
      <x:c r="AI1611" s="1"/>
      <x:c r="AJ1611" s="1"/>
      <x:c r="AK1611" s="1"/>
      <x:c r="AL1611" s="1"/>
      <x:c r="AM1611" s="1"/>
      <x:c r="AN1611" s="1"/>
    </x:row>
    <x:row r="1612" ht="22" customHeight="1">
      <x:c r="A1612" s="1" t="str">
        <x:v>3313</x:v>
      </x:c>
      <x:c r="B1612" s="1" t="str">
        <x:v>Preparatory Charter School of Mathematics, Science, Technology and Careers</x:v>
      </x:c>
      <x:c r="C1612" s="16" t="n">
        <x:v>0.6114557457021337</x:v>
      </x:c>
      <x:c r="D1612" s="1" t="str">
        <x:v>1575960</x:v>
      </x:c>
      <x:c r="E1612" s="1" t="str">
        <x:v>Shoprite of Oregon 420</x:v>
      </x:c>
      <x:c r="F1612" s="1" t="str">
        <x:v>24th St &amp; Oregon Ave, Philadelphia, PA, 19145</x:v>
      </x:c>
      <x:c r="G1612" s="1" t="n">
        <x:v>10</x:v>
      </x:c>
      <x:c r="H1612" s="1" t="str">
        <x:v>2026-10-09</x:v>
      </x:c>
      <x:c r="I1612" s="1" t="str">
        <x:v>Listed outlets and resources require access verification</x:v>
      </x:c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  <x:c r="AA1612" s="1"/>
      <x:c r="AB1612" s="1"/>
      <x:c r="AC1612" s="1"/>
      <x:c r="AD1612" s="1"/>
      <x:c r="AE1612" s="1"/>
      <x:c r="AF1612" s="1"/>
      <x:c r="AG1612" s="1"/>
      <x:c r="AH1612" s="1"/>
      <x:c r="AI1612" s="1"/>
      <x:c r="AJ1612" s="1"/>
      <x:c r="AK1612" s="1"/>
      <x:c r="AL1612" s="1"/>
      <x:c r="AM1612" s="1"/>
      <x:c r="AN1612" s="1"/>
    </x:row>
    <x:row r="1613" ht="22" customHeight="1">
      <x:c r="A1613" s="1" t="str">
        <x:v>3314</x:v>
      </x:c>
      <x:c r="B1613" s="1" t="str">
        <x:v>West Oak Lane Charter School</x:v>
      </x:c>
      <x:c r="C1613" s="16" t="n">
        <x:v>0.7878732291050998</x:v>
      </x:c>
      <x:c r="D1613" s="1" t="str">
        <x:v>1270964</x:v>
      </x:c>
      <x:c r="E1613" s="1" t="str">
        <x:v>Save A Lot 45141</x:v>
      </x:c>
      <x:c r="F1613" s="1" t="str">
        <x:v>6301 Chew Ave, Philadelphia, PA, 19138</x:v>
      </x:c>
      <x:c r="G1613" s="1" t="n">
        <x:v>8</x:v>
      </x:c>
      <x:c r="H1613" s="1" t="str">
        <x:v>2026-10-09</x:v>
      </x:c>
      <x:c r="I1613" s="1" t="str">
        <x:v>Listed outlets and resources require access verification</x:v>
      </x:c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  <x:c r="AA1613" s="1"/>
      <x:c r="AB1613" s="1"/>
      <x:c r="AC1613" s="1"/>
      <x:c r="AD1613" s="1"/>
      <x:c r="AE1613" s="1"/>
      <x:c r="AF1613" s="1"/>
      <x:c r="AG1613" s="1"/>
      <x:c r="AH1613" s="1"/>
      <x:c r="AI1613" s="1"/>
      <x:c r="AJ1613" s="1"/>
      <x:c r="AK1613" s="1"/>
      <x:c r="AL1613" s="1"/>
      <x:c r="AM1613" s="1"/>
      <x:c r="AN1613" s="1"/>
    </x:row>
    <x:row r="1614" ht="22" customHeight="1">
      <x:c r="A1614" s="1" t="str">
        <x:v>3315</x:v>
      </x:c>
      <x:c r="B1614" s="1" t="str">
        <x:v>Alliance For Progress Charter School</x:v>
      </x:c>
      <x:c r="C1614" s="16" t="n">
        <x:v>0.21729732764076798</x:v>
      </x:c>
      <x:c r="D1614" s="1" t="str">
        <x:v>1654279</x:v>
      </x:c>
      <x:c r="E1614" s="1" t="str">
        <x:v>Grocery Outlet</x:v>
      </x:c>
      <x:c r="F1614" s="1" t="str">
        <x:v>2077 Ridge Ave, Philadelphia, PA, 19121</x:v>
      </x:c>
      <x:c r="G1614" s="1" t="n">
        <x:v>14</x:v>
      </x:c>
      <x:c r="H1614" s="1" t="str">
        <x:v>2026-10-09</x:v>
      </x:c>
      <x:c r="I1614" s="1" t="str">
        <x:v>Listed outlets and resources require access verification</x:v>
      </x:c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  <x:c r="AA1614" s="1"/>
      <x:c r="AB1614" s="1"/>
      <x:c r="AC1614" s="1"/>
      <x:c r="AD1614" s="1"/>
      <x:c r="AE1614" s="1"/>
      <x:c r="AF1614" s="1"/>
      <x:c r="AG1614" s="1"/>
      <x:c r="AH1614" s="1"/>
      <x:c r="AI1614" s="1"/>
      <x:c r="AJ1614" s="1"/>
      <x:c r="AK1614" s="1"/>
      <x:c r="AL1614" s="1"/>
      <x:c r="AM1614" s="1"/>
      <x:c r="AN1614" s="1"/>
    </x:row>
    <x:row r="1615" ht="22" customHeight="1">
      <x:c r="A1615" s="1" t="str">
        <x:v>3318</x:v>
      </x:c>
      <x:c r="B1615" s="1" t="str">
        <x:v>Freire Charter School</x:v>
      </x:c>
      <x:c r="C1615" s="16" t="n">
        <x:v>0.13231860273611198</x:v>
      </x:c>
      <x:c r="D1615" s="1" t="str">
        <x:v>1259799</x:v>
      </x:c>
      <x:c r="E1615" s="1" t="str">
        <x:v>Target 3206</x:v>
      </x:c>
      <x:c r="F1615" s="1" t="str">
        <x:v>1900 Chestnut St, Philadelphia, PA, 19103</x:v>
      </x:c>
      <x:c r="G1615" s="1" t="n">
        <x:v>5</x:v>
      </x:c>
      <x:c r="H1615" s="1" t="str">
        <x:v>2026-10-09</x:v>
      </x:c>
      <x:c r="I1615" s="1" t="str">
        <x:v>Listed outlets and resources require access verification</x:v>
      </x:c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  <x:c r="AA1615" s="1"/>
      <x:c r="AB1615" s="1"/>
      <x:c r="AC1615" s="1"/>
      <x:c r="AD1615" s="1"/>
      <x:c r="AE1615" s="1"/>
      <x:c r="AF1615" s="1"/>
      <x:c r="AG1615" s="1"/>
      <x:c r="AH1615" s="1"/>
      <x:c r="AI1615" s="1"/>
      <x:c r="AJ1615" s="1"/>
      <x:c r="AK1615" s="1"/>
      <x:c r="AL1615" s="1"/>
      <x:c r="AM1615" s="1"/>
      <x:c r="AN1615" s="1"/>
    </x:row>
    <x:row r="1616" ht="22" customHeight="1">
      <x:c r="A1616" s="1" t="str">
        <x:v>3322</x:v>
      </x:c>
      <x:c r="B1616" s="1" t="str">
        <x:v>Philadelphia Academy Charter School</x:v>
      </x:c>
      <x:c r="C1616" s="16" t="n">
        <x:v>0.15913114827820626</x:v>
      </x:c>
      <x:c r="D1616" s="1" t="str">
        <x:v>1682950</x:v>
      </x:c>
      <x:c r="E1616" s="1" t="str">
        <x:v>ShopRite of Roosevelt Blvd 532</x:v>
      </x:c>
      <x:c r="F1616" s="1" t="str">
        <x:v>11000 Roosevelt Blvd, Philadelphia, PA, 19116</x:v>
      </x:c>
      <x:c r="G1616" s="1" t="n">
        <x:v>3</x:v>
      </x:c>
      <x:c r="H1616" s="1" t="str">
        <x:v>2026-10-09</x:v>
      </x:c>
      <x:c r="I1616" s="1" t="str">
        <x:v>Listed outlets and resources require access verification</x:v>
      </x:c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  <x:c r="AA1616" s="1"/>
      <x:c r="AB1616" s="1"/>
      <x:c r="AC1616" s="1"/>
      <x:c r="AD1616" s="1"/>
      <x:c r="AE1616" s="1"/>
      <x:c r="AF1616" s="1"/>
      <x:c r="AG1616" s="1"/>
      <x:c r="AH1616" s="1"/>
      <x:c r="AI1616" s="1"/>
      <x:c r="AJ1616" s="1"/>
      <x:c r="AK1616" s="1"/>
      <x:c r="AL1616" s="1"/>
      <x:c r="AM1616" s="1"/>
      <x:c r="AN1616" s="1"/>
    </x:row>
    <x:row r="1617" ht="22" customHeight="1">
      <x:c r="A1617" s="1" t="str">
        <x:v>3323</x:v>
      </x:c>
      <x:c r="B1617" s="1" t="str">
        <x:v>Mastery Charter School at Hardy Williams</x:v>
      </x:c>
      <x:c r="C1617" s="16" t="n">
        <x:v>0.5418112168210192</x:v>
      </x:c>
      <x:c r="D1617" s="1" t="str">
        <x:v>408249</x:v>
      </x:c>
      <x:c r="E1617" s="1" t="str">
        <x:v>Mariposa Food Coop</x:v>
      </x:c>
      <x:c r="F1617" s="1" t="str">
        <x:v>4824 Baltimore Ave, Philadelphia, PA, 19143</x:v>
      </x:c>
      <x:c r="G1617" s="1" t="n">
        <x:v>10</x:v>
      </x:c>
      <x:c r="H1617" s="1" t="str">
        <x:v>2026-10-09</x:v>
      </x:c>
      <x:c r="I1617" s="1" t="str">
        <x:v>Listed outlets and resources require access verification</x:v>
      </x:c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  <x:c r="AA1617" s="1"/>
      <x:c r="AB1617" s="1"/>
      <x:c r="AC1617" s="1"/>
      <x:c r="AD1617" s="1"/>
      <x:c r="AE1617" s="1"/>
      <x:c r="AF1617" s="1"/>
      <x:c r="AG1617" s="1"/>
      <x:c r="AH1617" s="1"/>
      <x:c r="AI1617" s="1"/>
      <x:c r="AJ1617" s="1"/>
      <x:c r="AK1617" s="1"/>
      <x:c r="AL1617" s="1"/>
      <x:c r="AM1617" s="1"/>
      <x:c r="AN1617" s="1"/>
    </x:row>
    <x:row r="1618" ht="22" customHeight="1">
      <x:c r="A1618" s="1" t="str">
        <x:v>3326</x:v>
      </x:c>
      <x:c r="B1618" s="1" t="str">
        <x:v>Universal Institute Charter School</x:v>
      </x:c>
      <x:c r="C1618" s="16" t="n">
        <x:v>0.1655147608408926</x:v>
      </x:c>
      <x:c r="D1618" s="1" t="str">
        <x:v>1337758</x:v>
      </x:c>
      <x:c r="E1618" s="1" t="str">
        <x:v>Sprouts Farmers Market 850</x:v>
      </x:c>
      <x:c r="F1618" s="1" t="str">
        <x:v>1000 S Broad St, Philadelphia, PA, 19146</x:v>
      </x:c>
      <x:c r="G1618" s="1" t="n">
        <x:v>13</x:v>
      </x:c>
      <x:c r="H1618" s="1" t="str">
        <x:v>2026-10-09</x:v>
      </x:c>
      <x:c r="I1618" s="1" t="str">
        <x:v>Listed outlets and resources require access verification</x:v>
      </x:c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  <x:c r="AA1618" s="1"/>
      <x:c r="AB1618" s="1"/>
      <x:c r="AC1618" s="1"/>
      <x:c r="AD1618" s="1"/>
      <x:c r="AE1618" s="1"/>
      <x:c r="AF1618" s="1"/>
      <x:c r="AG1618" s="1"/>
      <x:c r="AH1618" s="1"/>
      <x:c r="AI1618" s="1"/>
      <x:c r="AJ1618" s="1"/>
      <x:c r="AK1618" s="1"/>
      <x:c r="AL1618" s="1"/>
      <x:c r="AM1618" s="1"/>
      <x:c r="AN1618" s="1"/>
    </x:row>
    <x:row r="1619" ht="22" customHeight="1">
      <x:c r="A1619" s="1" t="str">
        <x:v>3328</x:v>
      </x:c>
      <x:c r="B1619" s="1" t="str">
        <x:v>Mathematics, Science, and Technology Community Charter School (MaST)</x:v>
      </x:c>
      <x:c r="C1619" s="16" t="n">
        <x:v>0.5150414769723753</x:v>
      </x:c>
      <x:c r="D1619" s="1" t="str">
        <x:v>1549061</x:v>
      </x:c>
      <x:c r="E1619" s="1" t="str">
        <x:v>ALDI 60191</x:v>
      </x:c>
      <x:c r="F1619" s="1" t="str">
        <x:v>12002 Roosevelt Blvd, Philadelphia, PA, 19116</x:v>
      </x:c>
      <x:c r="G1619" s="1" t="n">
        <x:v>1</x:v>
      </x:c>
      <x:c r="H1619" s="1" t="str">
        <x:v>2026-10-09</x:v>
      </x:c>
      <x:c r="I1619" s="1" t="str">
        <x:v>Listed outlets and resources require access verification</x:v>
      </x:c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  <x:c r="AA1619" s="1"/>
      <x:c r="AB1619" s="1"/>
      <x:c r="AC1619" s="1"/>
      <x:c r="AD1619" s="1"/>
      <x:c r="AE1619" s="1"/>
      <x:c r="AF1619" s="1"/>
      <x:c r="AG1619" s="1"/>
      <x:c r="AH1619" s="1"/>
      <x:c r="AI1619" s="1"/>
      <x:c r="AJ1619" s="1"/>
      <x:c r="AK1619" s="1"/>
      <x:c r="AL1619" s="1"/>
      <x:c r="AM1619" s="1"/>
      <x:c r="AN1619" s="1"/>
    </x:row>
    <x:row r="1620" ht="22" customHeight="1">
      <x:c r="A1620" s="1" t="str">
        <x:v>3329</x:v>
      </x:c>
      <x:c r="B1620" s="1" t="str">
        <x:v>Young Scholars Charter School</x:v>
      </x:c>
      <x:c r="C1620" s="16" t="n">
        <x:v>0.40122889962049074</x:v>
      </x:c>
      <x:c r="D1620" s="1" t="str">
        <x:v>1663868</x:v>
      </x:c>
      <x:c r="E1620" s="1" t="str">
        <x:v>Giant Heirloom Market 6552</x:v>
      </x:c>
      <x:c r="F1620" s="1" t="str">
        <x:v>1004 N 2nd St, Philadelphia, PA, 19123</x:v>
      </x:c>
      <x:c r="G1620" s="1" t="n">
        <x:v>11</x:v>
      </x:c>
      <x:c r="H1620" s="1" t="str">
        <x:v>2026-10-09</x:v>
      </x:c>
      <x:c r="I1620" s="1" t="str">
        <x:v>Listed outlets and resources require access verification</x:v>
      </x:c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  <x:c r="AA1620" s="1"/>
      <x:c r="AB1620" s="1"/>
      <x:c r="AC1620" s="1"/>
      <x:c r="AD1620" s="1"/>
      <x:c r="AE1620" s="1"/>
      <x:c r="AF1620" s="1"/>
      <x:c r="AG1620" s="1"/>
      <x:c r="AH1620" s="1"/>
      <x:c r="AI1620" s="1"/>
      <x:c r="AJ1620" s="1"/>
      <x:c r="AK1620" s="1"/>
      <x:c r="AL1620" s="1"/>
      <x:c r="AM1620" s="1"/>
      <x:c r="AN1620" s="1"/>
    </x:row>
    <x:row r="1621" ht="22" customHeight="1">
      <x:c r="A1621" s="1" t="str">
        <x:v>3331</x:v>
      </x:c>
      <x:c r="B1621" s="1" t="str">
        <x:v>Franklin Towne Charter High School</x:v>
      </x:c>
      <x:c r="C1621" s="16" t="n">
        <x:v>0.30525046391309263</x:v>
      </x:c>
      <x:c r="D1621" s="1" t="str">
        <x:v>1640730</x:v>
      </x:c>
      <x:c r="E1621" s="1" t="str">
        <x:v>ShopRite of Bridge and Harbison 495</x:v>
      </x:c>
      <x:c r="F1621" s="1" t="str">
        <x:v>5597 Tulip St, Philadelphia, PA, 19124</x:v>
      </x:c>
      <x:c r="G1621" s="1" t="n">
        <x:v>4</x:v>
      </x:c>
      <x:c r="H1621" s="1" t="str">
        <x:v>2026-10-09</x:v>
      </x:c>
      <x:c r="I1621" s="1" t="str">
        <x:v>Listed outlets and resources require access verification</x:v>
      </x:c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  <x:c r="AA1621" s="1"/>
      <x:c r="AB1621" s="1"/>
      <x:c r="AC1621" s="1"/>
      <x:c r="AD1621" s="1"/>
      <x:c r="AE1621" s="1"/>
      <x:c r="AF1621" s="1"/>
      <x:c r="AG1621" s="1"/>
      <x:c r="AH1621" s="1"/>
      <x:c r="AI1621" s="1"/>
      <x:c r="AJ1621" s="1"/>
      <x:c r="AK1621" s="1"/>
      <x:c r="AL1621" s="1"/>
      <x:c r="AM1621" s="1"/>
      <x:c r="AN1621" s="1"/>
    </x:row>
    <x:row r="1622" ht="22" customHeight="1">
      <x:c r="A1622" s="1" t="str">
        <x:v>3332</x:v>
      </x:c>
      <x:c r="B1622" s="1" t="str">
        <x:v>Mariana Bracetti Academy Charter School</x:v>
      </x:c>
      <x:c r="C1622" s="16" t="n">
        <x:v>0.25781245256366847</x:v>
      </x:c>
      <x:c r="D1622" s="1" t="str">
        <x:v>1215798</x:v>
      </x:c>
      <x:c r="E1622" s="1" t="str">
        <x:v>ALDI 60039 60039</x:v>
      </x:c>
      <x:c r="F1622" s="1" t="str">
        <x:v>3975 Castor Ave, Philadelphia, PA, 19124</x:v>
      </x:c>
      <x:c r="G1622" s="1" t="n">
        <x:v>9</x:v>
      </x:c>
      <x:c r="H1622" s="1" t="str">
        <x:v>2026-10-09</x:v>
      </x:c>
      <x:c r="I1622" s="1" t="str">
        <x:v>Listed outlets and resources require access verification</x:v>
      </x:c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  <x:c r="AA1622" s="1"/>
      <x:c r="AB1622" s="1"/>
      <x:c r="AC1622" s="1"/>
      <x:c r="AD1622" s="1"/>
      <x:c r="AE1622" s="1"/>
      <x:c r="AF1622" s="1"/>
      <x:c r="AG1622" s="1"/>
      <x:c r="AH1622" s="1"/>
      <x:c r="AI1622" s="1"/>
      <x:c r="AJ1622" s="1"/>
      <x:c r="AK1622" s="1"/>
      <x:c r="AL1622" s="1"/>
      <x:c r="AM1622" s="1"/>
      <x:c r="AN1622" s="1"/>
    </x:row>
    <x:row r="1623" ht="22" customHeight="1">
      <x:c r="A1623" s="1" t="str">
        <x:v>3333</x:v>
      </x:c>
      <x:c r="B1623" s="1" t="str">
        <x:v>Esperanza Academy Charter School</x:v>
      </x:c>
      <x:c r="C1623" s="16" t="n">
        <x:v>0.22184891602670467</x:v>
      </x:c>
      <x:c r="D1623" s="1" t="str">
        <x:v>497084</x:v>
      </x:c>
      <x:c r="E1623" s="1" t="str">
        <x:v>COUSINS SUPERMARKET INC. #2</x:v>
      </x:c>
      <x:c r="F1623" s="1" t="str">
        <x:v>4037 N 5th St, Philadelphia, PA, 19140</x:v>
      </x:c>
      <x:c r="G1623" s="1" t="n">
        <x:v>10</x:v>
      </x:c>
      <x:c r="H1623" s="1" t="str">
        <x:v>2026-10-09</x:v>
      </x:c>
      <x:c r="I1623" s="1" t="str">
        <x:v>Listed outlets and resources require access verification</x:v>
      </x:c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  <x:c r="AA1623" s="1"/>
      <x:c r="AB1623" s="1"/>
      <x:c r="AC1623" s="1"/>
      <x:c r="AD1623" s="1"/>
      <x:c r="AE1623" s="1"/>
      <x:c r="AF1623" s="1"/>
      <x:c r="AG1623" s="1"/>
      <x:c r="AH1623" s="1"/>
      <x:c r="AI1623" s="1"/>
      <x:c r="AJ1623" s="1"/>
      <x:c r="AK1623" s="1"/>
      <x:c r="AL1623" s="1"/>
      <x:c r="AM1623" s="1"/>
      <x:c r="AN1623" s="1"/>
    </x:row>
    <x:row r="1624" ht="22" customHeight="1">
      <x:c r="A1624" s="1" t="str">
        <x:v>3334</x:v>
      </x:c>
      <x:c r="B1624" s="1" t="str">
        <x:v>New Foundations Charter School</x:v>
      </x:c>
      <x:c r="C1624" s="16" t="n">
        <x:v>1.387323730005554</x:v>
      </x:c>
      <x:c r="D1624" s="1" t="str">
        <x:v>1112130</x:v>
      </x:c>
      <x:c r="E1624" s="1" t="str">
        <x:v>SAVE-A-LOT 60132</x:v>
      </x:c>
      <x:c r="F1624" s="1" t="str">
        <x:v>6801 Frankford Ave, Philadelphia, PA, 19135</x:v>
      </x:c>
      <x:c r="G1624" s="1" t="n">
        <x:v>2</x:v>
      </x:c>
      <x:c r="H1624" s="1" t="str">
        <x:v>2026-10-09</x:v>
      </x:c>
      <x:c r="I1624" s="1" t="str">
        <x:v>Listed outlets and resources require access verification</x:v>
      </x:c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  <x:c r="AA1624" s="1"/>
      <x:c r="AB1624" s="1"/>
      <x:c r="AC1624" s="1"/>
      <x:c r="AD1624" s="1"/>
      <x:c r="AE1624" s="1"/>
      <x:c r="AF1624" s="1"/>
      <x:c r="AG1624" s="1"/>
      <x:c r="AH1624" s="1"/>
      <x:c r="AI1624" s="1"/>
      <x:c r="AJ1624" s="1"/>
      <x:c r="AK1624" s="1"/>
      <x:c r="AL1624" s="1"/>
      <x:c r="AM1624" s="1"/>
      <x:c r="AN1624" s="1"/>
    </x:row>
    <x:row r="1625" ht="22" customHeight="1">
      <x:c r="A1625" s="1" t="str">
        <x:v>3335</x:v>
      </x:c>
      <x:c r="B1625" s="1" t="str">
        <x:v>People for People Charter School</x:v>
      </x:c>
      <x:c r="C1625" s="16" t="n">
        <x:v>0.1443955007665691</x:v>
      </x:c>
      <x:c r="D1625" s="1" t="str">
        <x:v>1425306</x:v>
      </x:c>
      <x:c r="E1625" s="1" t="str">
        <x:v>Aldi 60169</x:v>
      </x:c>
      <x:c r="F1625" s="1" t="str">
        <x:v>1300 Fairmount Ave, Philadelphia, PA, 19123</x:v>
      </x:c>
      <x:c r="G1625" s="1" t="n">
        <x:v>11</x:v>
      </x:c>
      <x:c r="H1625" s="1" t="str">
        <x:v>2026-10-09</x:v>
      </x:c>
      <x:c r="I1625" s="1" t="str">
        <x:v>Listed outlets and resources require access verification</x:v>
      </x:c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  <x:c r="AA1625" s="1"/>
      <x:c r="AB1625" s="1"/>
      <x:c r="AC1625" s="1"/>
      <x:c r="AD1625" s="1"/>
      <x:c r="AE1625" s="1"/>
      <x:c r="AF1625" s="1"/>
      <x:c r="AG1625" s="1"/>
      <x:c r="AH1625" s="1"/>
      <x:c r="AI1625" s="1"/>
      <x:c r="AJ1625" s="1"/>
      <x:c r="AK1625" s="1"/>
      <x:c r="AL1625" s="1"/>
      <x:c r="AM1625" s="1"/>
      <x:c r="AN1625" s="1"/>
    </x:row>
    <x:row r="1626" ht="22" customHeight="1">
      <x:c r="A1626" s="1" t="str">
        <x:v>3336</x:v>
      </x:c>
      <x:c r="B1626" s="1" t="str">
        <x:v>Philadelphia Performing Arts Charter School</x:v>
      </x:c>
      <x:c r="C1626" s="16" t="n">
        <x:v>0.4624721430463569</x:v>
      </x:c>
      <x:c r="D1626" s="1" t="str">
        <x:v>426717</x:v>
      </x:c>
      <x:c r="E1626" s="1" t="str">
        <x:v>ACME 4715</x:v>
      </x:c>
      <x:c r="F1626" s="1" t="str">
        <x:v>1901 Johnston St, Philadelphia, PA, 19145</x:v>
      </x:c>
      <x:c r="G1626" s="1" t="n">
        <x:v>5</x:v>
      </x:c>
      <x:c r="H1626" s="1" t="str">
        <x:v>2026-10-09</x:v>
      </x:c>
      <x:c r="I1626" s="1" t="str">
        <x:v>Listed outlets and resources require access verification</x:v>
      </x:c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  <x:c r="AA1626" s="1"/>
      <x:c r="AB1626" s="1"/>
      <x:c r="AC1626" s="1"/>
      <x:c r="AD1626" s="1"/>
      <x:c r="AE1626" s="1"/>
      <x:c r="AF1626" s="1"/>
      <x:c r="AG1626" s="1"/>
      <x:c r="AH1626" s="1"/>
      <x:c r="AI1626" s="1"/>
      <x:c r="AJ1626" s="1"/>
      <x:c r="AK1626" s="1"/>
      <x:c r="AL1626" s="1"/>
      <x:c r="AM1626" s="1"/>
      <x:c r="AN1626" s="1"/>
    </x:row>
    <x:row r="1627" ht="22" customHeight="1">
      <x:c r="A1627" s="1" t="str">
        <x:v>3337</x:v>
      </x:c>
      <x:c r="B1627" s="1" t="str">
        <x:v>Global Leadership Academy Charter School</x:v>
      </x:c>
      <x:c r="C1627" s="16" t="n">
        <x:v>0.3658513855331566</x:v>
      </x:c>
      <x:c r="D1627" s="1" t="str">
        <x:v>1119080</x:v>
      </x:c>
      <x:c r="E1627" s="1" t="str">
        <x:v>Cousin's Fresh Market 2 Inc</x:v>
      </x:c>
      <x:c r="F1627" s="1" t="str">
        <x:v>5429 W Girard Ave, Philadelphia, PA, 19131</x:v>
      </x:c>
      <x:c r="G1627" s="1" t="n">
        <x:v>9</x:v>
      </x:c>
      <x:c r="H1627" s="1" t="str">
        <x:v>2026-10-09</x:v>
      </x:c>
      <x:c r="I1627" s="1" t="str">
        <x:v>Listed outlets and resources require access verification</x:v>
      </x:c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  <x:c r="AA1627" s="1"/>
      <x:c r="AB1627" s="1"/>
      <x:c r="AC1627" s="1"/>
      <x:c r="AD1627" s="1"/>
      <x:c r="AE1627" s="1"/>
      <x:c r="AF1627" s="1"/>
      <x:c r="AG1627" s="1"/>
      <x:c r="AH1627" s="1"/>
      <x:c r="AI1627" s="1"/>
      <x:c r="AJ1627" s="1"/>
      <x:c r="AK1627" s="1"/>
      <x:c r="AL1627" s="1"/>
      <x:c r="AM1627" s="1"/>
      <x:c r="AN1627" s="1"/>
    </x:row>
    <x:row r="1628" ht="22" customHeight="1">
      <x:c r="A1628" s="1" t="str">
        <x:v>3341</x:v>
      </x:c>
      <x:c r="B1628" s="1" t="str">
        <x:v>Independence Charter School</x:v>
      </x:c>
      <x:c r="C1628" s="16" t="n">
        <x:v>0.20679124402661642</x:v>
      </x:c>
      <x:c r="D1628" s="1" t="str">
        <x:v>1088409</x:v>
      </x:c>
      <x:c r="E1628" s="1" t="str">
        <x:v>Rittenhouse Market</x:v>
      </x:c>
      <x:c r="F1628" s="1" t="str">
        <x:v>1733 Spruce St, Philadelphia, PA, 19103</x:v>
      </x:c>
      <x:c r="G1628" s="1" t="n">
        <x:v>10</x:v>
      </x:c>
      <x:c r="H1628" s="1" t="str">
        <x:v>2026-10-09</x:v>
      </x:c>
      <x:c r="I1628" s="1" t="str">
        <x:v>Listed outlets and resources require access verification</x:v>
      </x:c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  <x:c r="AA1628" s="1"/>
      <x:c r="AB1628" s="1"/>
      <x:c r="AC1628" s="1"/>
      <x:c r="AD1628" s="1"/>
      <x:c r="AE1628" s="1"/>
      <x:c r="AF1628" s="1"/>
      <x:c r="AG1628" s="1"/>
      <x:c r="AH1628" s="1"/>
      <x:c r="AI1628" s="1"/>
      <x:c r="AJ1628" s="1"/>
      <x:c r="AK1628" s="1"/>
      <x:c r="AL1628" s="1"/>
      <x:c r="AM1628" s="1"/>
      <x:c r="AN1628" s="1"/>
    </x:row>
    <x:row r="1629" ht="22" customHeight="1">
      <x:c r="A1629" s="1" t="str">
        <x:v>3353</x:v>
      </x:c>
      <x:c r="B1629" s="1" t="str">
        <x:v>KIPP DuBois Charter School</x:v>
      </x:c>
      <x:c r="C1629" s="16" t="n">
        <x:v>0.2538288653515859</x:v>
      </x:c>
      <x:c r="D1629" s="1" t="str">
        <x:v>1443921</x:v>
      </x:c>
      <x:c r="E1629" s="1" t="str">
        <x:v>Shoprite of Parkside 419</x:v>
      </x:c>
      <x:c r="F1629" s="1" t="str">
        <x:v>1575 N 52nd St, Philadelphia, PA, 19131</x:v>
      </x:c>
      <x:c r="G1629" s="1" t="n">
        <x:v>5</x:v>
      </x:c>
      <x:c r="H1629" s="1" t="str">
        <x:v>2026-10-09</x:v>
      </x:c>
      <x:c r="I1629" s="1" t="str">
        <x:v>Listed outlets and resources require access verification</x:v>
      </x:c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  <x:c r="AA1629" s="1"/>
      <x:c r="AB1629" s="1"/>
      <x:c r="AC1629" s="1"/>
      <x:c r="AD1629" s="1"/>
      <x:c r="AE1629" s="1"/>
      <x:c r="AF1629" s="1"/>
      <x:c r="AG1629" s="1"/>
      <x:c r="AH1629" s="1"/>
      <x:c r="AI1629" s="1"/>
      <x:c r="AJ1629" s="1"/>
      <x:c r="AK1629" s="1"/>
      <x:c r="AL1629" s="1"/>
      <x:c r="AM1629" s="1"/>
      <x:c r="AN1629" s="1"/>
    </x:row>
    <x:row r="1630" ht="22" customHeight="1">
      <x:c r="A1630" s="1" t="str">
        <x:v>3357</x:v>
      </x:c>
      <x:c r="B1630" s="1" t="str">
        <x:v>West Philadelphia Achievement Charter School</x:v>
      </x:c>
      <x:c r="C1630" s="16" t="n">
        <x:v>0.5275306350400152</x:v>
      </x:c>
      <x:c r="D1630" s="1" t="str">
        <x:v>1672599</x:v>
      </x:c>
      <x:c r="E1630" s="1" t="str">
        <x:v>Al Aqsa Supermarket</x:v>
      </x:c>
      <x:c r="F1630" s="1" t="str">
        <x:v>6501 Market St, Upper Darby, PA, 19082</x:v>
      </x:c>
      <x:c r="G1630" s="1" t="n">
        <x:v>7</x:v>
      </x:c>
      <x:c r="H1630" s="1" t="str">
        <x:v>2026-10-09</x:v>
      </x:c>
      <x:c r="I1630" s="1" t="str">
        <x:v>Listed outlets and resources require access verification</x:v>
      </x:c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  <x:c r="AA1630" s="1"/>
      <x:c r="AB1630" s="1"/>
      <x:c r="AC1630" s="1"/>
      <x:c r="AD1630" s="1"/>
      <x:c r="AE1630" s="1"/>
      <x:c r="AF1630" s="1"/>
      <x:c r="AG1630" s="1"/>
      <x:c r="AH1630" s="1"/>
      <x:c r="AI1630" s="1"/>
      <x:c r="AJ1630" s="1"/>
      <x:c r="AK1630" s="1"/>
      <x:c r="AL1630" s="1"/>
      <x:c r="AM1630" s="1"/>
      <x:c r="AN1630" s="1"/>
    </x:row>
    <x:row r="1631" ht="22" customHeight="1">
      <x:c r="A1631" s="1" t="str">
        <x:v>3358</x:v>
      </x:c>
      <x:c r="B1631" s="1" t="str">
        <x:v>Philadelphia Electrical and Technology Charter High School</x:v>
      </x:c>
      <x:c r="C1631" s="16" t="n">
        <x:v>0.34797554224224214</x:v>
      </x:c>
      <x:c r="D1631" s="1" t="str">
        <x:v>1378202</x:v>
      </x:c>
      <x:c r="E1631" s="1" t="str">
        <x:v>Trader Joe's 618</x:v>
      </x:c>
      <x:c r="F1631" s="1" t="str">
        <x:v>1324 Arch St, Philadelphia, PA, 19107</x:v>
      </x:c>
      <x:c r="G1631" s="1" t="n">
        <x:v>7</x:v>
      </x:c>
      <x:c r="H1631" s="1" t="str">
        <x:v>2026-10-09</x:v>
      </x:c>
      <x:c r="I1631" s="1" t="str">
        <x:v>Listed outlets and resources require access verification</x:v>
      </x:c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  <x:c r="AA1631" s="1"/>
      <x:c r="AB1631" s="1"/>
      <x:c r="AC1631" s="1"/>
      <x:c r="AD1631" s="1"/>
      <x:c r="AE1631" s="1"/>
      <x:c r="AF1631" s="1"/>
      <x:c r="AG1631" s="1"/>
      <x:c r="AH1631" s="1"/>
      <x:c r="AI1631" s="1"/>
      <x:c r="AJ1631" s="1"/>
      <x:c r="AK1631" s="1"/>
      <x:c r="AL1631" s="1"/>
      <x:c r="AM1631" s="1"/>
      <x:c r="AN1631" s="1"/>
    </x:row>
    <x:row r="1632" ht="22" customHeight="1">
      <x:c r="A1632" s="1" t="str">
        <x:v>3359</x:v>
      </x:c>
      <x:c r="B1632" s="1" t="str">
        <x:v>Richard Allen Preparatory Charter School</x:v>
      </x:c>
      <x:c r="C1632" s="16" t="n">
        <x:v>0.41092523794122804</x:v>
      </x:c>
      <x:c r="D1632" s="1" t="str">
        <x:v>805208</x:v>
      </x:c>
      <x:c r="E1632" s="1" t="str">
        <x:v>SAVE-A-LOT 60135</x:v>
      </x:c>
      <x:c r="F1632" s="1" t="str">
        <x:v>5800 Woodland Ave, Philadelphia, PA, 19143</x:v>
      </x:c>
      <x:c r="G1632" s="1" t="n">
        <x:v>7</x:v>
      </x:c>
      <x:c r="H1632" s="1" t="str">
        <x:v>2026-10-09</x:v>
      </x:c>
      <x:c r="I1632" s="1" t="str">
        <x:v>Listed outlets and resources require access verification</x:v>
      </x:c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  <x:c r="AA1632" s="1"/>
      <x:c r="AB1632" s="1"/>
      <x:c r="AC1632" s="1"/>
      <x:c r="AD1632" s="1"/>
      <x:c r="AE1632" s="1"/>
      <x:c r="AF1632" s="1"/>
      <x:c r="AG1632" s="1"/>
      <x:c r="AH1632" s="1"/>
      <x:c r="AI1632" s="1"/>
      <x:c r="AJ1632" s="1"/>
      <x:c r="AK1632" s="1"/>
      <x:c r="AL1632" s="1"/>
      <x:c r="AM1632" s="1"/>
      <x:c r="AN1632" s="1"/>
    </x:row>
    <x:row r="1633" ht="22" customHeight="1">
      <x:c r="A1633" s="1" t="str">
        <x:v>3360</x:v>
      </x:c>
      <x:c r="B1633" s="1" t="str">
        <x:v>Russell Byers Charter School</x:v>
      </x:c>
      <x:c r="C1633" s="16" t="n">
        <x:v>0.28034979991197007</x:v>
      </x:c>
      <x:c r="D1633" s="1" t="str">
        <x:v>304309</x:v>
      </x:c>
      <x:c r="E1633" s="1" t="str">
        <x:v>Trader Joe's 634</x:v>
      </x:c>
      <x:c r="F1633" s="1" t="str">
        <x:v>2121 Market St, Philadelphia, PA, 19103</x:v>
      </x:c>
      <x:c r="G1633" s="1" t="n">
        <x:v>5</x:v>
      </x:c>
      <x:c r="H1633" s="1" t="str">
        <x:v>2026-10-09</x:v>
      </x:c>
      <x:c r="I1633" s="1" t="str">
        <x:v>Listed outlets and resources require access verification</x:v>
      </x:c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  <x:c r="AA1633" s="1"/>
      <x:c r="AB1633" s="1"/>
      <x:c r="AC1633" s="1"/>
      <x:c r="AD1633" s="1"/>
      <x:c r="AE1633" s="1"/>
      <x:c r="AF1633" s="1"/>
      <x:c r="AG1633" s="1"/>
      <x:c r="AH1633" s="1"/>
      <x:c r="AI1633" s="1"/>
      <x:c r="AJ1633" s="1"/>
      <x:c r="AK1633" s="1"/>
      <x:c r="AL1633" s="1"/>
      <x:c r="AM1633" s="1"/>
      <x:c r="AN1633" s="1"/>
    </x:row>
    <x:row r="1634" ht="22" customHeight="1">
      <x:c r="A1634" s="1" t="str">
        <x:v>3361</x:v>
      </x:c>
      <x:c r="B1634" s="1" t="str">
        <x:v>Mastery Charter High School</x:v>
      </x:c>
      <x:c r="C1634" s="16" t="n">
        <x:v>0.3274891272938362</x:v>
      </x:c>
      <x:c r="D1634" s="1" t="str">
        <x:v>1496799</x:v>
      </x:c>
      <x:c r="E1634" s="1" t="str">
        <x:v>Riverwards Produce</x:v>
      </x:c>
      <x:c r="F1634" s="1" t="str">
        <x:v>146 N Bread St, Philadelphia, PA, 19106</x:v>
      </x:c>
      <x:c r="G1634" s="1" t="n">
        <x:v>3</x:v>
      </x:c>
      <x:c r="H1634" s="1" t="str">
        <x:v>2026-10-09</x:v>
      </x:c>
      <x:c r="I1634" s="1" t="str">
        <x:v>Listed outlets and resources require access verification</x:v>
      </x:c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  <x:c r="AA1634" s="1"/>
      <x:c r="AB1634" s="1"/>
      <x:c r="AC1634" s="1"/>
      <x:c r="AD1634" s="1"/>
      <x:c r="AE1634" s="1"/>
      <x:c r="AF1634" s="1"/>
      <x:c r="AG1634" s="1"/>
      <x:c r="AH1634" s="1"/>
      <x:c r="AI1634" s="1"/>
      <x:c r="AJ1634" s="1"/>
      <x:c r="AK1634" s="1"/>
      <x:c r="AL1634" s="1"/>
      <x:c r="AM1634" s="1"/>
      <x:c r="AN1634" s="1"/>
    </x:row>
    <x:row r="1635" ht="22" customHeight="1">
      <x:c r="A1635" s="1" t="str">
        <x:v>3362</x:v>
      </x:c>
      <x:c r="B1635" s="1" t="str">
        <x:v>Wissahickon Charter School</x:v>
      </x:c>
      <x:c r="C1635" s="16" t="n">
        <x:v>0.30447532178112</x:v>
      </x:c>
      <x:c r="D1635" s="1" t="str">
        <x:v>1105136</x:v>
      </x:c>
      <x:c r="E1635" s="1" t="str">
        <x:v>Shoprite of Fox Street 430</x:v>
      </x:c>
      <x:c r="F1635" s="1" t="str">
        <x:v>2800 Fox Street, Philadelphia, PA, 19129</x:v>
      </x:c>
      <x:c r="G1635" s="1" t="n">
        <x:v>4</x:v>
      </x:c>
      <x:c r="H1635" s="1" t="str">
        <x:v>2026-10-09</x:v>
      </x:c>
      <x:c r="I1635" s="1" t="str">
        <x:v>Listed outlets and resources require access verification</x:v>
      </x:c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  <x:c r="AA1635" s="1"/>
      <x:c r="AB1635" s="1"/>
      <x:c r="AC1635" s="1"/>
      <x:c r="AD1635" s="1"/>
      <x:c r="AE1635" s="1"/>
      <x:c r="AF1635" s="1"/>
      <x:c r="AG1635" s="1"/>
      <x:c r="AH1635" s="1"/>
      <x:c r="AI1635" s="1"/>
      <x:c r="AJ1635" s="1"/>
      <x:c r="AK1635" s="1"/>
      <x:c r="AL1635" s="1"/>
      <x:c r="AM1635" s="1"/>
      <x:c r="AN1635" s="1"/>
    </x:row>
    <x:row r="1636" ht="22" customHeight="1">
      <x:c r="A1636" s="1" t="str">
        <x:v>3364</x:v>
      </x:c>
      <x:c r="B1636" s="1" t="str">
        <x:v>First Philadelphia Preparatory Charter School</x:v>
      </x:c>
      <x:c r="C1636" s="16" t="n">
        <x:v>0.7517817420166505</x:v>
      </x:c>
      <x:c r="D1636" s="1" t="str">
        <x:v>1049038</x:v>
      </x:c>
      <x:c r="E1636" s="1" t="str">
        <x:v>Walmart 5891</x:v>
      </x:c>
      <x:c r="F1636" s="1" t="str">
        <x:v>2200 Wheatsheaf Ln, Philadelphia, PA, 19137</x:v>
      </x:c>
      <x:c r="G1636" s="1" t="n">
        <x:v>7</x:v>
      </x:c>
      <x:c r="H1636" s="1" t="str">
        <x:v>2026-10-09</x:v>
      </x:c>
      <x:c r="I1636" s="1" t="str">
        <x:v>Listed outlets and resources require access verification</x:v>
      </x:c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  <x:c r="AA1636" s="1"/>
      <x:c r="AB1636" s="1"/>
      <x:c r="AC1636" s="1"/>
      <x:c r="AD1636" s="1"/>
      <x:c r="AE1636" s="1"/>
      <x:c r="AF1636" s="1"/>
      <x:c r="AG1636" s="1"/>
      <x:c r="AH1636" s="1"/>
      <x:c r="AI1636" s="1"/>
      <x:c r="AJ1636" s="1"/>
      <x:c r="AK1636" s="1"/>
      <x:c r="AL1636" s="1"/>
      <x:c r="AM1636" s="1"/>
      <x:c r="AN1636" s="1"/>
    </x:row>
    <x:row r="1637" ht="22" customHeight="1">
      <x:c r="A1637" s="1" t="str">
        <x:v>3365</x:v>
      </x:c>
      <x:c r="B1637" s="1" t="str">
        <x:v>Green Woods Charter School</x:v>
      </x:c>
      <x:c r="C1637" s="16" t="n">
        <x:v>0.13618843029652308</x:v>
      </x:c>
      <x:c r="D1637" s="1" t="str">
        <x:v>1275288</x:v>
      </x:c>
      <x:c r="E1637" s="1" t="str">
        <x:v>Target 3247</x:v>
      </x:c>
      <x:c r="F1637" s="1" t="str">
        <x:v>7162 Ridge Ave, Philadelphia, PA, 19128</x:v>
      </x:c>
      <x:c r="G1637" s="1" t="n">
        <x:v>0</x:v>
      </x:c>
      <x:c r="H1637" s="1" t="str">
        <x:v>2026-10-09</x:v>
      </x:c>
      <x:c r="I1637" s="1" t="str">
        <x:v>Listed outlets and resources require access verification</x:v>
      </x:c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  <x:c r="AA1637" s="1"/>
      <x:c r="AB1637" s="1"/>
      <x:c r="AC1637" s="1"/>
      <x:c r="AD1637" s="1"/>
      <x:c r="AE1637" s="1"/>
      <x:c r="AF1637" s="1"/>
      <x:c r="AG1637" s="1"/>
      <x:c r="AH1637" s="1"/>
      <x:c r="AI1637" s="1"/>
      <x:c r="AJ1637" s="1"/>
      <x:c r="AK1637" s="1"/>
      <x:c r="AL1637" s="1"/>
      <x:c r="AM1637" s="1"/>
      <x:c r="AN1637" s="1"/>
    </x:row>
    <x:row r="1638" ht="22" customHeight="1">
      <x:c r="A1638" s="1" t="str">
        <x:v>3366</x:v>
      </x:c>
      <x:c r="B1638" s="1" t="str">
        <x:v>Maritime Academy Charter School</x:v>
      </x:c>
      <x:c r="C1638" s="16" t="n">
        <x:v>0.27346367730613097</x:v>
      </x:c>
      <x:c r="D1638" s="1" t="str">
        <x:v>1640730</x:v>
      </x:c>
      <x:c r="E1638" s="1" t="str">
        <x:v>ShopRite of Bridge and Harbison 495</x:v>
      </x:c>
      <x:c r="F1638" s="1" t="str">
        <x:v>5597 Tulip St, Philadelphia, PA, 19124</x:v>
      </x:c>
      <x:c r="G1638" s="1" t="n">
        <x:v>6</x:v>
      </x:c>
      <x:c r="H1638" s="1" t="str">
        <x:v>2026-10-09</x:v>
      </x:c>
      <x:c r="I1638" s="1" t="str">
        <x:v>Listed outlets and resources require access verification</x:v>
      </x:c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  <x:c r="AA1638" s="1"/>
      <x:c r="AB1638" s="1"/>
      <x:c r="AC1638" s="1"/>
      <x:c r="AD1638" s="1"/>
      <x:c r="AE1638" s="1"/>
      <x:c r="AF1638" s="1"/>
      <x:c r="AG1638" s="1"/>
      <x:c r="AH1638" s="1"/>
      <x:c r="AI1638" s="1"/>
      <x:c r="AJ1638" s="1"/>
      <x:c r="AK1638" s="1"/>
      <x:c r="AL1638" s="1"/>
      <x:c r="AM1638" s="1"/>
      <x:c r="AN1638" s="1"/>
    </x:row>
    <x:row r="1639" ht="22" customHeight="1">
      <x:c r="A1639" s="1" t="str">
        <x:v>3368</x:v>
      </x:c>
      <x:c r="B1639" s="1" t="str">
        <x:v>Belmont Elementary Charter School</x:v>
      </x:c>
      <x:c r="C1639" s="16" t="n">
        <x:v>0.6838871792685546</x:v>
      </x:c>
      <x:c r="D1639" s="1" t="str">
        <x:v>647200</x:v>
      </x:c>
      <x:c r="E1639" s="1" t="str">
        <x:v>ALDI 54</x:v>
      </x:c>
      <x:c r="F1639" s="1" t="str">
        <x:v>4421 Market St, Philadelphia, PA, 19104</x:v>
      </x:c>
      <x:c r="G1639" s="1" t="n">
        <x:v>12</x:v>
      </x:c>
      <x:c r="H1639" s="1" t="str">
        <x:v>2026-10-09</x:v>
      </x:c>
      <x:c r="I1639" s="1" t="str">
        <x:v>Listed outlets and resources require access verification</x:v>
      </x:c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  <x:c r="AA1639" s="1"/>
      <x:c r="AB1639" s="1"/>
      <x:c r="AC1639" s="1"/>
      <x:c r="AD1639" s="1"/>
      <x:c r="AE1639" s="1"/>
      <x:c r="AF1639" s="1"/>
      <x:c r="AG1639" s="1"/>
      <x:c r="AH1639" s="1"/>
      <x:c r="AI1639" s="1"/>
      <x:c r="AJ1639" s="1"/>
      <x:c r="AK1639" s="1"/>
      <x:c r="AL1639" s="1"/>
      <x:c r="AM1639" s="1"/>
      <x:c r="AN1639" s="1"/>
    </x:row>
    <x:row r="1640" ht="22" customHeight="1">
      <x:c r="A1640" s="1" t="str">
        <x:v>3370</x:v>
      </x:c>
      <x:c r="B1640" s="1" t="str">
        <x:v>KIPP Philadelphia Charter School</x:v>
      </x:c>
      <x:c r="C1640" s="16" t="n">
        <x:v>0.4278518155031602</x:v>
      </x:c>
      <x:c r="D1640" s="1" t="str">
        <x:v>1012862</x:v>
      </x:c>
      <x:c r="E1640" s="1" t="str">
        <x:v>Shop Mark Supermarket</x:v>
      </x:c>
      <x:c r="F1640" s="1" t="str">
        <x:v>2522 W Lehigh Ave, Philadelphia, PA, 19132</x:v>
      </x:c>
      <x:c r="G1640" s="1" t="n">
        <x:v>8</x:v>
      </x:c>
      <x:c r="H1640" s="1" t="str">
        <x:v>2026-10-09</x:v>
      </x:c>
      <x:c r="I1640" s="1" t="str">
        <x:v>Listed outlets and resources require access verification</x:v>
      </x:c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  <x:c r="AA1640" s="1"/>
      <x:c r="AB1640" s="1"/>
      <x:c r="AC1640" s="1"/>
      <x:c r="AD1640" s="1"/>
      <x:c r="AE1640" s="1"/>
      <x:c r="AF1640" s="1"/>
      <x:c r="AG1640" s="1"/>
      <x:c r="AH1640" s="1"/>
      <x:c r="AI1640" s="1"/>
      <x:c r="AJ1640" s="1"/>
      <x:c r="AK1640" s="1"/>
      <x:c r="AL1640" s="1"/>
      <x:c r="AM1640" s="1"/>
      <x:c r="AN1640" s="1"/>
    </x:row>
    <x:row r="1641" ht="22" customHeight="1">
      <x:c r="A1641" s="1" t="str">
        <x:v>3372</x:v>
      </x:c>
      <x:c r="B1641" s="1" t="str">
        <x:v>The Jacquelyn Y. Kelley Discovery Charter School</x:v>
      </x:c>
      <x:c r="C1641" s="16" t="n">
        <x:v>0.5957118551503593</x:v>
      </x:c>
      <x:c r="D1641" s="1" t="str">
        <x:v>1119080</x:v>
      </x:c>
      <x:c r="E1641" s="1" t="str">
        <x:v>Cousin's Fresh Market 2 Inc</x:v>
      </x:c>
      <x:c r="F1641" s="1" t="str">
        <x:v>5429 W Girard Ave, Philadelphia, PA, 19131</x:v>
      </x:c>
      <x:c r="G1641" s="1" t="n">
        <x:v>6</x:v>
      </x:c>
      <x:c r="H1641" s="1" t="str">
        <x:v>2026-10-09</x:v>
      </x:c>
      <x:c r="I1641" s="1" t="str">
        <x:v>Listed outlets and resources require access verification</x:v>
      </x:c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  <x:c r="AA1641" s="1"/>
      <x:c r="AB1641" s="1"/>
      <x:c r="AC1641" s="1"/>
      <x:c r="AD1641" s="1"/>
      <x:c r="AE1641" s="1"/>
      <x:c r="AF1641" s="1"/>
      <x:c r="AG1641" s="1"/>
      <x:c r="AH1641" s="1"/>
      <x:c r="AI1641" s="1"/>
      <x:c r="AJ1641" s="1"/>
      <x:c r="AK1641" s="1"/>
      <x:c r="AL1641" s="1"/>
      <x:c r="AM1641" s="1"/>
      <x:c r="AN1641" s="1"/>
    </x:row>
    <x:row r="1642" ht="22" customHeight="1">
      <x:c r="A1642" s="1" t="str">
        <x:v>3378</x:v>
      </x:c>
      <x:c r="B1642" s="1" t="str">
        <x:v>Philadelphia Montessori Charter School</x:v>
      </x:c>
      <x:c r="C1642" s="16" t="n">
        <x:v>0.9119131589302997</x:v>
      </x:c>
      <x:c r="D1642" s="1" t="str">
        <x:v>1494726</x:v>
      </x:c>
      <x:c r="E1642" s="1" t="str">
        <x:v>Cousin's Fresh Market Inc</x:v>
      </x:c>
      <x:c r="F1642" s="1" t="str">
        <x:v>6411 Woodland Ave, Philadelphia, PA, 19142</x:v>
      </x:c>
      <x:c r="G1642" s="1" t="n">
        <x:v>1</x:v>
      </x:c>
      <x:c r="H1642" s="1" t="str">
        <x:v>2026-10-09</x:v>
      </x:c>
      <x:c r="I1642" s="1" t="str">
        <x:v>Listed outlets and resources require access verification</x:v>
      </x:c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  <x:c r="AA1642" s="1"/>
      <x:c r="AB1642" s="1"/>
      <x:c r="AC1642" s="1"/>
      <x:c r="AD1642" s="1"/>
      <x:c r="AE1642" s="1"/>
      <x:c r="AF1642" s="1"/>
      <x:c r="AG1642" s="1"/>
      <x:c r="AH1642" s="1"/>
      <x:c r="AI1642" s="1"/>
      <x:c r="AJ1642" s="1"/>
      <x:c r="AK1642" s="1"/>
      <x:c r="AL1642" s="1"/>
      <x:c r="AM1642" s="1"/>
      <x:c r="AN1642" s="1"/>
    </x:row>
    <x:row r="1643" ht="22" customHeight="1">
      <x:c r="A1643" s="1" t="str">
        <x:v>3379</x:v>
      </x:c>
      <x:c r="B1643" s="1" t="str">
        <x:v>Ad Prima Charter School</x:v>
      </x:c>
      <x:c r="C1643" s="16" t="n">
        <x:v>1.2644636123923818</x:v>
      </x:c>
      <x:c r="D1643" s="1" t="str">
        <x:v>1443921</x:v>
      </x:c>
      <x:c r="E1643" s="1" t="str">
        <x:v>Shoprite of Parkside 419</x:v>
      </x:c>
      <x:c r="F1643" s="1" t="str">
        <x:v>1575 N 52nd St, Philadelphia, PA, 19131</x:v>
      </x:c>
      <x:c r="G1643" s="1" t="n">
        <x:v>4</x:v>
      </x:c>
      <x:c r="H1643" s="1" t="str">
        <x:v>2026-10-09</x:v>
      </x:c>
      <x:c r="I1643" s="1" t="str">
        <x:v>Listed outlets and resources require access verification</x:v>
      </x:c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  <x:c r="AA1643" s="1"/>
      <x:c r="AB1643" s="1"/>
      <x:c r="AC1643" s="1"/>
      <x:c r="AD1643" s="1"/>
      <x:c r="AE1643" s="1"/>
      <x:c r="AF1643" s="1"/>
      <x:c r="AG1643" s="1"/>
      <x:c r="AH1643" s="1"/>
      <x:c r="AI1643" s="1"/>
      <x:c r="AJ1643" s="1"/>
      <x:c r="AK1643" s="1"/>
      <x:c r="AL1643" s="1"/>
      <x:c r="AM1643" s="1"/>
      <x:c r="AN1643" s="1"/>
    </x:row>
    <x:row r="1644" ht="22" customHeight="1">
      <x:c r="A1644" s="1" t="str">
        <x:v>3383</x:v>
      </x:c>
      <x:c r="B1644" s="1" t="str">
        <x:v>Mastery Charter School at Shoemaker</x:v>
      </x:c>
      <x:c r="C1644" s="16" t="n">
        <x:v>0.2689432737347327</x:v>
      </x:c>
      <x:c r="D1644" s="1" t="str">
        <x:v>1443921</x:v>
      </x:c>
      <x:c r="E1644" s="1" t="str">
        <x:v>Shoprite of Parkside 419</x:v>
      </x:c>
      <x:c r="F1644" s="1" t="str">
        <x:v>1575 N 52nd St, Philadelphia, PA, 19131</x:v>
      </x:c>
      <x:c r="G1644" s="1" t="n">
        <x:v>10</x:v>
      </x:c>
      <x:c r="H1644" s="1" t="str">
        <x:v>2026-10-09</x:v>
      </x:c>
      <x:c r="I1644" s="1" t="str">
        <x:v>Listed outlets and resources require access verification</x:v>
      </x:c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  <x:c r="AA1644" s="1"/>
      <x:c r="AB1644" s="1"/>
      <x:c r="AC1644" s="1"/>
      <x:c r="AD1644" s="1"/>
      <x:c r="AE1644" s="1"/>
      <x:c r="AF1644" s="1"/>
      <x:c r="AG1644" s="1"/>
      <x:c r="AH1644" s="1"/>
      <x:c r="AI1644" s="1"/>
      <x:c r="AJ1644" s="1"/>
      <x:c r="AK1644" s="1"/>
      <x:c r="AL1644" s="1"/>
      <x:c r="AM1644" s="1"/>
      <x:c r="AN1644" s="1"/>
    </x:row>
    <x:row r="1645" ht="22" customHeight="1">
      <x:c r="A1645" s="1" t="str">
        <x:v>3384</x:v>
      </x:c>
      <x:c r="B1645" s="1" t="str">
        <x:v>Folk Arts-Cultural Treasures Charter School</x:v>
      </x:c>
      <x:c r="C1645" s="16" t="n">
        <x:v>0.278375649317113</x:v>
      </x:c>
      <x:c r="D1645" s="1" t="str">
        <x:v>1389770</x:v>
      </x:c>
      <x:c r="E1645" s="1" t="str">
        <x:v>Asianfresh</x:v>
      </x:c>
      <x:c r="F1645" s="1" t="str">
        <x:v>142 N 10th St, Philadelphia, PA, 19107</x:v>
      </x:c>
      <x:c r="G1645" s="1" t="n">
        <x:v>11</x:v>
      </x:c>
      <x:c r="H1645" s="1" t="str">
        <x:v>2026-10-09</x:v>
      </x:c>
      <x:c r="I1645" s="1" t="str">
        <x:v>Listed outlets and resources require access verification</x:v>
      </x:c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  <x:c r="AA1645" s="1"/>
      <x:c r="AB1645" s="1"/>
      <x:c r="AC1645" s="1"/>
      <x:c r="AD1645" s="1"/>
      <x:c r="AE1645" s="1"/>
      <x:c r="AF1645" s="1"/>
      <x:c r="AG1645" s="1"/>
      <x:c r="AH1645" s="1"/>
      <x:c r="AI1645" s="1"/>
      <x:c r="AJ1645" s="1"/>
      <x:c r="AK1645" s="1"/>
      <x:c r="AL1645" s="1"/>
      <x:c r="AM1645" s="1"/>
      <x:c r="AN1645" s="1"/>
    </x:row>
    <x:row r="1646" ht="22" customHeight="1">
      <x:c r="A1646" s="1" t="str">
        <x:v>3385</x:v>
      </x:c>
      <x:c r="B1646" s="1" t="str">
        <x:v>Mastery Charter School at Thomas Campus</x:v>
      </x:c>
      <x:c r="C1646" s="16" t="n">
        <x:v>0.4334812176688275</x:v>
      </x:c>
      <x:c r="D1646" s="1" t="str">
        <x:v>1690031</x:v>
      </x:c>
      <x:c r="E1646" s="1" t="str">
        <x:v>ShopRite of Whitman Plaza 411</x:v>
      </x:c>
      <x:c r="F1646" s="1" t="str">
        <x:v>330 W Oregon Ave, Philadelphia, PA, 19148</x:v>
      </x:c>
      <x:c r="G1646" s="1" t="n">
        <x:v>4</x:v>
      </x:c>
      <x:c r="H1646" s="1" t="str">
        <x:v>2026-10-09</x:v>
      </x:c>
      <x:c r="I1646" s="1" t="str">
        <x:v>Listed outlets and resources require access verification</x:v>
      </x:c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  <x:c r="AA1646" s="1"/>
      <x:c r="AB1646" s="1"/>
      <x:c r="AC1646" s="1"/>
      <x:c r="AD1646" s="1"/>
      <x:c r="AE1646" s="1"/>
      <x:c r="AF1646" s="1"/>
      <x:c r="AG1646" s="1"/>
      <x:c r="AH1646" s="1"/>
      <x:c r="AI1646" s="1"/>
      <x:c r="AJ1646" s="1"/>
      <x:c r="AK1646" s="1"/>
      <x:c r="AL1646" s="1"/>
      <x:c r="AM1646" s="1"/>
      <x:c r="AN1646" s="1"/>
    </x:row>
    <x:row r="1647" ht="22" customHeight="1">
      <x:c r="A1647" s="1" t="str">
        <x:v>3386</x:v>
      </x:c>
      <x:c r="B1647" s="1" t="str">
        <x:v>Northwood Academy Charter School</x:v>
      </x:c>
      <x:c r="C1647" s="16" t="n">
        <x:v>0.05113627391127856</x:v>
      </x:c>
      <x:c r="D1647" s="1" t="str">
        <x:v>813824</x:v>
      </x:c>
      <x:c r="E1647" s="1" t="str">
        <x:v>Castor Avenue Market LLC</x:v>
      </x:c>
      <x:c r="F1647" s="1" t="str">
        <x:v>900 E Orthodox St, Philadelphia, PA, 19124</x:v>
      </x:c>
      <x:c r="G1647" s="1" t="n">
        <x:v>6</x:v>
      </x:c>
      <x:c r="H1647" s="1" t="str">
        <x:v>2026-10-09</x:v>
      </x:c>
      <x:c r="I1647" s="1" t="str">
        <x:v>Listed outlets and resources require access verification</x:v>
      </x:c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  <x:c r="AA1647" s="1"/>
      <x:c r="AB1647" s="1"/>
      <x:c r="AC1647" s="1"/>
      <x:c r="AD1647" s="1"/>
      <x:c r="AE1647" s="1"/>
      <x:c r="AF1647" s="1"/>
      <x:c r="AG1647" s="1"/>
      <x:c r="AH1647" s="1"/>
      <x:c r="AI1647" s="1"/>
      <x:c r="AJ1647" s="1"/>
      <x:c r="AK1647" s="1"/>
      <x:c r="AL1647" s="1"/>
      <x:c r="AM1647" s="1"/>
      <x:c r="AN1647" s="1"/>
    </x:row>
    <x:row r="1648" ht="22" customHeight="1">
      <x:c r="A1648" s="1" t="str">
        <x:v>3388</x:v>
      </x:c>
      <x:c r="B1648" s="1" t="str">
        <x:v>Boys' Latin of Philadelphia Charter School</x:v>
      </x:c>
      <x:c r="C1648" s="16" t="n">
        <x:v>0.4388392431974225</x:v>
      </x:c>
      <x:c r="D1648" s="1" t="str">
        <x:v>1699976</x:v>
      </x:c>
      <x:c r="E1648" s="1" t="str">
        <x:v>Cousin's Fresh Market 3 Llc</x:v>
      </x:c>
      <x:c r="F1648" s="1" t="str">
        <x:v>5704 Baltimore Ave, Philadelphia, PA, 19143</x:v>
      </x:c>
      <x:c r="G1648" s="1" t="n">
        <x:v>11</x:v>
      </x:c>
      <x:c r="H1648" s="1" t="str">
        <x:v>2026-10-09</x:v>
      </x:c>
      <x:c r="I1648" s="1" t="str">
        <x:v>Listed outlets and resources require access verification</x:v>
      </x:c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  <x:c r="AA1648" s="1"/>
      <x:c r="AB1648" s="1"/>
      <x:c r="AC1648" s="1"/>
      <x:c r="AD1648" s="1"/>
      <x:c r="AE1648" s="1"/>
      <x:c r="AF1648" s="1"/>
      <x:c r="AG1648" s="1"/>
      <x:c r="AH1648" s="1"/>
      <x:c r="AI1648" s="1"/>
      <x:c r="AJ1648" s="1"/>
      <x:c r="AK1648" s="1"/>
      <x:c r="AL1648" s="1"/>
      <x:c r="AM1648" s="1"/>
      <x:c r="AN1648" s="1"/>
    </x:row>
    <x:row r="1649" ht="22" customHeight="1">
      <x:c r="A1649" s="1" t="str">
        <x:v>3389</x:v>
      </x:c>
      <x:c r="B1649" s="1" t="str">
        <x:v>Keystone Academy Charter School</x:v>
      </x:c>
      <x:c r="C1649" s="16" t="n">
        <x:v>0.46155674922950946</x:v>
      </x:c>
      <x:c r="D1649" s="1" t="str">
        <x:v>1112130</x:v>
      </x:c>
      <x:c r="E1649" s="1" t="str">
        <x:v>SAVE-A-LOT 60132</x:v>
      </x:c>
      <x:c r="F1649" s="1" t="str">
        <x:v>6801 Frankford Ave, Philadelphia, PA, 19135</x:v>
      </x:c>
      <x:c r="G1649" s="1" t="n">
        <x:v>6</x:v>
      </x:c>
      <x:c r="H1649" s="1" t="str">
        <x:v>2026-10-09</x:v>
      </x:c>
      <x:c r="I1649" s="1" t="str">
        <x:v>Listed outlets and resources require access verification</x:v>
      </x:c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  <x:c r="AA1649" s="1"/>
      <x:c r="AB1649" s="1"/>
      <x:c r="AC1649" s="1"/>
      <x:c r="AD1649" s="1"/>
      <x:c r="AE1649" s="1"/>
      <x:c r="AF1649" s="1"/>
      <x:c r="AG1649" s="1"/>
      <x:c r="AH1649" s="1"/>
      <x:c r="AI1649" s="1"/>
      <x:c r="AJ1649" s="1"/>
      <x:c r="AK1649" s="1"/>
      <x:c r="AL1649" s="1"/>
      <x:c r="AM1649" s="1"/>
      <x:c r="AN1649" s="1"/>
    </x:row>
    <x:row r="1650" ht="22" customHeight="1">
      <x:c r="A1650" s="1" t="str">
        <x:v>3392</x:v>
      </x:c>
      <x:c r="B1650" s="1" t="str">
        <x:v>Southwest Leadership Academy Charter School</x:v>
      </x:c>
      <x:c r="C1650" s="16" t="n">
        <x:v>0.7433139904360148</x:v>
      </x:c>
      <x:c r="D1650" s="1" t="str">
        <x:v>1494726</x:v>
      </x:c>
      <x:c r="E1650" s="1" t="str">
        <x:v>Cousin's Fresh Market Inc</x:v>
      </x:c>
      <x:c r="F1650" s="1" t="str">
        <x:v>6411 Woodland Ave, Philadelphia, PA, 19142</x:v>
      </x:c>
      <x:c r="G1650" s="1" t="n">
        <x:v>2</x:v>
      </x:c>
      <x:c r="H1650" s="1" t="str">
        <x:v>2026-10-09</x:v>
      </x:c>
      <x:c r="I1650" s="1" t="str">
        <x:v>Listed outlets and resources require access verification</x:v>
      </x:c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  <x:c r="AA1650" s="1"/>
      <x:c r="AB1650" s="1"/>
      <x:c r="AC1650" s="1"/>
      <x:c r="AD1650" s="1"/>
      <x:c r="AE1650" s="1"/>
      <x:c r="AF1650" s="1"/>
      <x:c r="AG1650" s="1"/>
      <x:c r="AH1650" s="1"/>
      <x:c r="AI1650" s="1"/>
      <x:c r="AJ1650" s="1"/>
      <x:c r="AK1650" s="1"/>
      <x:c r="AL1650" s="1"/>
      <x:c r="AM1650" s="1"/>
      <x:c r="AN1650" s="1"/>
    </x:row>
    <x:row r="1651" ht="22" customHeight="1">
      <x:c r="A1651" s="1" t="str">
        <x:v>3393</x:v>
      </x:c>
      <x:c r="B1651" s="1" t="str">
        <x:v>Mastery Charter School at Pickett</x:v>
      </x:c>
      <x:c r="C1651" s="16" t="n">
        <x:v>0.07664691852288112</x:v>
      </x:c>
      <x:c r="D1651" s="1" t="str">
        <x:v>1031743</x:v>
      </x:c>
      <x:c r="E1651" s="1" t="str">
        <x:v>Save A Lot 24858</x:v>
      </x:c>
      <x:c r="F1651" s="1" t="str">
        <x:v>5834 Pulaski Ave, Philadelphia, PA, 19144</x:v>
      </x:c>
      <x:c r="G1651" s="1" t="n">
        <x:v>15</x:v>
      </x:c>
      <x:c r="H1651" s="1" t="str">
        <x:v>2026-10-09</x:v>
      </x:c>
      <x:c r="I1651" s="1" t="str">
        <x:v>Listed outlets and resources require access verification</x:v>
      </x:c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  <x:c r="AA1651" s="1"/>
      <x:c r="AB1651" s="1"/>
      <x:c r="AC1651" s="1"/>
      <x:c r="AD1651" s="1"/>
      <x:c r="AE1651" s="1"/>
      <x:c r="AF1651" s="1"/>
      <x:c r="AG1651" s="1"/>
      <x:c r="AH1651" s="1"/>
      <x:c r="AI1651" s="1"/>
      <x:c r="AJ1651" s="1"/>
      <x:c r="AK1651" s="1"/>
      <x:c r="AL1651" s="1"/>
      <x:c r="AM1651" s="1"/>
      <x:c r="AN1651" s="1"/>
    </x:row>
    <x:row r="1652" ht="22" customHeight="1">
      <x:c r="A1652" s="1" t="str">
        <x:v>3394</x:v>
      </x:c>
      <x:c r="B1652" s="1" t="str">
        <x:v>Pan American Academy Charter School</x:v>
      </x:c>
      <x:c r="C1652" s="16" t="n">
        <x:v>0.30659980523741776</x:v>
      </x:c>
      <x:c r="D1652" s="1" t="str">
        <x:v>1206331</x:v>
      </x:c>
      <x:c r="E1652" s="1" t="str">
        <x:v>JC 131 West Corp/Fine Fare</x:v>
      </x:c>
      <x:c r="F1652" s="1" t="str">
        <x:v>131 W Lehigh Ave, Philadelphia, PA, 19133</x:v>
      </x:c>
      <x:c r="G1652" s="1" t="n">
        <x:v>12</x:v>
      </x:c>
      <x:c r="H1652" s="1" t="str">
        <x:v>2026-10-09</x:v>
      </x:c>
      <x:c r="I1652" s="1" t="str">
        <x:v>Listed outlets and resources require access verification</x:v>
      </x:c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  <x:c r="AA1652" s="1"/>
      <x:c r="AB1652" s="1"/>
      <x:c r="AC1652" s="1"/>
      <x:c r="AD1652" s="1"/>
      <x:c r="AE1652" s="1"/>
      <x:c r="AF1652" s="1"/>
      <x:c r="AG1652" s="1"/>
      <x:c r="AH1652" s="1"/>
      <x:c r="AI1652" s="1"/>
      <x:c r="AJ1652" s="1"/>
      <x:c r="AK1652" s="1"/>
      <x:c r="AL1652" s="1"/>
      <x:c r="AM1652" s="1"/>
      <x:c r="AN1652" s="1"/>
    </x:row>
    <x:row r="1653" ht="22" customHeight="1">
      <x:c r="A1653" s="1" t="str">
        <x:v>3395</x:v>
      </x:c>
      <x:c r="B1653" s="1" t="str">
        <x:v>Antonia Pantoja Charter School</x:v>
      </x:c>
      <x:c r="C1653" s="16" t="n">
        <x:v>0.22446280484791564</x:v>
      </x:c>
      <x:c r="D1653" s="1" t="str">
        <x:v>497084</x:v>
      </x:c>
      <x:c r="E1653" s="1" t="str">
        <x:v>COUSINS SUPERMARKET INC. #2</x:v>
      </x:c>
      <x:c r="F1653" s="1" t="str">
        <x:v>4037 N 5th St, Philadelphia, PA, 19140</x:v>
      </x:c>
      <x:c r="G1653" s="1" t="n">
        <x:v>10</x:v>
      </x:c>
      <x:c r="H1653" s="1" t="str">
        <x:v>2026-10-09</x:v>
      </x:c>
      <x:c r="I1653" s="1" t="str">
        <x:v>Listed outlets and resources require access verification</x:v>
      </x:c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  <x:c r="AA1653" s="1"/>
      <x:c r="AB1653" s="1"/>
      <x:c r="AC1653" s="1"/>
      <x:c r="AD1653" s="1"/>
      <x:c r="AE1653" s="1"/>
      <x:c r="AF1653" s="1"/>
      <x:c r="AG1653" s="1"/>
      <x:c r="AH1653" s="1"/>
      <x:c r="AI1653" s="1"/>
      <x:c r="AJ1653" s="1"/>
      <x:c r="AK1653" s="1"/>
      <x:c r="AL1653" s="1"/>
      <x:c r="AM1653" s="1"/>
      <x:c r="AN1653" s="1"/>
    </x:row>
    <x:row r="1654" ht="22" customHeight="1">
      <x:c r="A1654" s="1" t="str">
        <x:v>3399</x:v>
      </x:c>
      <x:c r="B1654" s="1" t="str">
        <x:v>Sankofa Freedom Academy Charter School</x:v>
      </x:c>
      <x:c r="C1654" s="16" t="n">
        <x:v>0.3324457649222782</x:v>
      </x:c>
      <x:c r="D1654" s="1" t="str">
        <x:v>1206331</x:v>
      </x:c>
      <x:c r="E1654" s="1" t="str">
        <x:v>JC 131 West Corp/Fine Fare</x:v>
      </x:c>
      <x:c r="F1654" s="1" t="str">
        <x:v>131 W Lehigh Ave, Philadelphia, PA, 19133</x:v>
      </x:c>
      <x:c r="G1654" s="1" t="n">
        <x:v>10</x:v>
      </x:c>
      <x:c r="H1654" s="1" t="str">
        <x:v>2026-10-09</x:v>
      </x:c>
      <x:c r="I1654" s="1" t="str">
        <x:v>Listed outlets and resources require access verification</x:v>
      </x:c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  <x:c r="AA1654" s="1"/>
      <x:c r="AB1654" s="1"/>
      <x:c r="AC1654" s="1"/>
      <x:c r="AD1654" s="1"/>
      <x:c r="AE1654" s="1"/>
      <x:c r="AF1654" s="1"/>
      <x:c r="AG1654" s="1"/>
      <x:c r="AH1654" s="1"/>
      <x:c r="AI1654" s="1"/>
      <x:c r="AJ1654" s="1"/>
      <x:c r="AK1654" s="1"/>
      <x:c r="AL1654" s="1"/>
      <x:c r="AM1654" s="1"/>
      <x:c r="AN1654" s="1"/>
    </x:row>
    <x:row r="1655" ht="22" customHeight="1">
      <x:c r="A1655" s="1" t="str">
        <x:v>3403</x:v>
      </x:c>
      <x:c r="B1655" s="1" t="str">
        <x:v>Franklin Towne Charter Elementary School</x:v>
      </x:c>
      <x:c r="C1655" s="16" t="n">
        <x:v>0.8080187816176461</x:v>
      </x:c>
      <x:c r="D1655" s="1" t="str">
        <x:v>1687206</x:v>
      </x:c>
      <x:c r="E1655" s="1" t="str">
        <x:v>Pjp Marketplace</x:v>
      </x:c>
      <x:c r="F1655" s="1" t="str">
        <x:v>3899 Aramingo Ave, Philadelphia, PA, 19137</x:v>
      </x:c>
      <x:c r="G1655" s="1" t="n">
        <x:v>1</x:v>
      </x:c>
      <x:c r="H1655" s="1" t="str">
        <x:v>2026-10-09</x:v>
      </x:c>
      <x:c r="I1655" s="1" t="str">
        <x:v>Listed outlets and resources require access verification</x:v>
      </x:c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  <x:c r="AA1655" s="1"/>
      <x:c r="AB1655" s="1"/>
      <x:c r="AC1655" s="1"/>
      <x:c r="AD1655" s="1"/>
      <x:c r="AE1655" s="1"/>
      <x:c r="AF1655" s="1"/>
      <x:c r="AG1655" s="1"/>
      <x:c r="AH1655" s="1"/>
      <x:c r="AI1655" s="1"/>
      <x:c r="AJ1655" s="1"/>
      <x:c r="AK1655" s="1"/>
      <x:c r="AL1655" s="1"/>
      <x:c r="AM1655" s="1"/>
      <x:c r="AN1655" s="1"/>
    </x:row>
    <x:row r="1656" ht="22" customHeight="1">
      <x:c r="A1656" s="1" t="str">
        <x:v>3404</x:v>
      </x:c>
      <x:c r="B1656" s="1" t="str">
        <x:v>Tacony Academy Charter School</x:v>
      </x:c>
      <x:c r="C1656" s="16" t="n">
        <x:v>0.7784790588441283</x:v>
      </x:c>
      <x:c r="D1656" s="1" t="str">
        <x:v>1682132</x:v>
      </x:c>
      <x:c r="E1656" s="1" t="str">
        <x:v>Bell's Market</x:v>
      </x:c>
      <x:c r="F1656" s="1" t="str">
        <x:v>8330 Bustleton Ave, Philadelphia, PA, 19152</x:v>
      </x:c>
      <x:c r="G1656" s="1" t="n">
        <x:v>0</x:v>
      </x:c>
      <x:c r="H1656" s="1" t="str">
        <x:v>2026-10-09</x:v>
      </x:c>
      <x:c r="I1656" s="1" t="str">
        <x:v>Listed outlets and resources require access verification</x:v>
      </x:c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  <x:c r="AA1656" s="1"/>
      <x:c r="AB1656" s="1"/>
      <x:c r="AC1656" s="1"/>
      <x:c r="AD1656" s="1"/>
      <x:c r="AE1656" s="1"/>
      <x:c r="AF1656" s="1"/>
      <x:c r="AG1656" s="1"/>
      <x:c r="AH1656" s="1"/>
      <x:c r="AI1656" s="1"/>
      <x:c r="AJ1656" s="1"/>
      <x:c r="AK1656" s="1"/>
      <x:c r="AL1656" s="1"/>
      <x:c r="AM1656" s="1"/>
      <x:c r="AN1656" s="1"/>
    </x:row>
    <x:row r="1657" ht="22" customHeight="1">
      <x:c r="A1657" s="1" t="str">
        <x:v>3407</x:v>
      </x:c>
      <x:c r="B1657" s="1" t="str">
        <x:v>Mastery Charter School at Harrity</x:v>
      </x:c>
      <x:c r="C1657" s="16" t="n">
        <x:v>0.20122199767020996</x:v>
      </x:c>
      <x:c r="D1657" s="1" t="str">
        <x:v>1699976</x:v>
      </x:c>
      <x:c r="E1657" s="1" t="str">
        <x:v>Cousin's Fresh Market 3 Llc</x:v>
      </x:c>
      <x:c r="F1657" s="1" t="str">
        <x:v>5704 Baltimore Ave, Philadelphia, PA, 19143</x:v>
      </x:c>
      <x:c r="G1657" s="1" t="n">
        <x:v>9</x:v>
      </x:c>
      <x:c r="H1657" s="1" t="str">
        <x:v>2026-10-09</x:v>
      </x:c>
      <x:c r="I1657" s="1" t="str">
        <x:v>Listed outlets and resources require access verification</x:v>
      </x:c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  <x:c r="AA1657" s="1"/>
      <x:c r="AB1657" s="1"/>
      <x:c r="AC1657" s="1"/>
      <x:c r="AD1657" s="1"/>
      <x:c r="AE1657" s="1"/>
      <x:c r="AF1657" s="1"/>
      <x:c r="AG1657" s="1"/>
      <x:c r="AH1657" s="1"/>
      <x:c r="AI1657" s="1"/>
      <x:c r="AJ1657" s="1"/>
      <x:c r="AK1657" s="1"/>
      <x:c r="AL1657" s="1"/>
      <x:c r="AM1657" s="1"/>
      <x:c r="AN1657" s="1"/>
    </x:row>
    <x:row r="1658" ht="22" customHeight="1">
      <x:c r="A1658" s="1" t="str">
        <x:v>3408</x:v>
      </x:c>
      <x:c r="B1658" s="1" t="str">
        <x:v>Mastery Charter School at Mann</x:v>
      </x:c>
      <x:c r="C1658" s="16" t="n">
        <x:v>0.5945903602967978</x:v>
      </x:c>
      <x:c r="D1658" s="1" t="str">
        <x:v>1443921</x:v>
      </x:c>
      <x:c r="E1658" s="1" t="str">
        <x:v>Shoprite of Parkside 419</x:v>
      </x:c>
      <x:c r="F1658" s="1" t="str">
        <x:v>1575 N 52nd St, Philadelphia, PA, 19131</x:v>
      </x:c>
      <x:c r="G1658" s="1" t="n">
        <x:v>5</x:v>
      </x:c>
      <x:c r="H1658" s="1" t="str">
        <x:v>2026-10-09</x:v>
      </x:c>
      <x:c r="I1658" s="1" t="str">
        <x:v>Listed outlets and resources require access verification</x:v>
      </x:c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  <x:c r="AA1658" s="1"/>
      <x:c r="AB1658" s="1"/>
      <x:c r="AC1658" s="1"/>
      <x:c r="AD1658" s="1"/>
      <x:c r="AE1658" s="1"/>
      <x:c r="AF1658" s="1"/>
      <x:c r="AG1658" s="1"/>
      <x:c r="AH1658" s="1"/>
      <x:c r="AI1658" s="1"/>
      <x:c r="AJ1658" s="1"/>
      <x:c r="AK1658" s="1"/>
      <x:c r="AL1658" s="1"/>
      <x:c r="AM1658" s="1"/>
      <x:c r="AN1658" s="1"/>
    </x:row>
    <x:row r="1659" ht="22" customHeight="1">
      <x:c r="A1659" s="1" t="str">
        <x:v>3409</x:v>
      </x:c>
      <x:c r="B1659" s="1" t="str">
        <x:v>Mastery Charter School at Smedley</x:v>
      </x:c>
      <x:c r="C1659" s="16" t="n">
        <x:v>0.25579541821587615</x:v>
      </x:c>
      <x:c r="D1659" s="1" t="str">
        <x:v>1689801</x:v>
      </x:c>
      <x:c r="E1659" s="1" t="str">
        <x:v>Cousins Grocery Market Inc.</x:v>
      </x:c>
      <x:c r="F1659" s="1" t="str">
        <x:v>1607 Bridge St, Philadelphia, PA, 19124</x:v>
      </x:c>
      <x:c r="G1659" s="1" t="n">
        <x:v>10</x:v>
      </x:c>
      <x:c r="H1659" s="1" t="str">
        <x:v>2026-10-09</x:v>
      </x:c>
      <x:c r="I1659" s="1" t="str">
        <x:v>Listed outlets and resources require access verification</x:v>
      </x:c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  <x:c r="AA1659" s="1"/>
      <x:c r="AB1659" s="1"/>
      <x:c r="AC1659" s="1"/>
      <x:c r="AD1659" s="1"/>
      <x:c r="AE1659" s="1"/>
      <x:c r="AF1659" s="1"/>
      <x:c r="AG1659" s="1"/>
      <x:c r="AH1659" s="1"/>
      <x:c r="AI1659" s="1"/>
      <x:c r="AJ1659" s="1"/>
      <x:c r="AK1659" s="1"/>
      <x:c r="AL1659" s="1"/>
      <x:c r="AM1659" s="1"/>
      <x:c r="AN1659" s="1"/>
    </x:row>
    <x:row r="1660" ht="22" customHeight="1">
      <x:c r="A1660" s="1" t="str">
        <x:v>3412</x:v>
      </x:c>
      <x:c r="B1660" s="1" t="str">
        <x:v>Mastery Charter School at Douglass</x:v>
      </x:c>
      <x:c r="C1660" s="16" t="n">
        <x:v>0.4619067252778815</x:v>
      </x:c>
      <x:c r="D1660" s="1" t="str">
        <x:v>1712831</x:v>
      </x:c>
      <x:c r="E1660" s="1" t="str">
        <x:v>Sharswood Grocery Outlet 731</x:v>
      </x:c>
      <x:c r="F1660" s="1" t="str">
        <x:v>2077 Ridge Ave, Philadelphia, PA, 19121</x:v>
      </x:c>
      <x:c r="G1660" s="1" t="n">
        <x:v>19</x:v>
      </x:c>
      <x:c r="H1660" s="1" t="str">
        <x:v>2026-10-09</x:v>
      </x:c>
      <x:c r="I1660" s="1" t="str">
        <x:v>Listed outlets and resources require access verification</x:v>
      </x:c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  <x:c r="AA1660" s="1"/>
      <x:c r="AB1660" s="1"/>
      <x:c r="AC1660" s="1"/>
      <x:c r="AD1660" s="1"/>
      <x:c r="AE1660" s="1"/>
      <x:c r="AF1660" s="1"/>
      <x:c r="AG1660" s="1"/>
      <x:c r="AH1660" s="1"/>
      <x:c r="AI1660" s="1"/>
      <x:c r="AJ1660" s="1"/>
      <x:c r="AK1660" s="1"/>
      <x:c r="AL1660" s="1"/>
      <x:c r="AM1660" s="1"/>
      <x:c r="AN1660" s="1"/>
    </x:row>
    <x:row r="1661" ht="22" customHeight="1">
      <x:c r="A1661" s="1" t="str">
        <x:v>3415</x:v>
      </x:c>
      <x:c r="B1661" s="1" t="str">
        <x:v>Mastery Charter School at Clymer</x:v>
      </x:c>
      <x:c r="C1661" s="16" t="n">
        <x:v>0.36645928419428137</x:v>
      </x:c>
      <x:c r="D1661" s="1" t="str">
        <x:v>1171179</x:v>
      </x:c>
      <x:c r="E1661" s="1" t="str">
        <x:v>Save A Lot 60139</x:v>
      </x:c>
      <x:c r="F1661" s="1" t="str">
        <x:v>701 W Lehigh Ave, Philadelphia, PA, 19133</x:v>
      </x:c>
      <x:c r="G1661" s="1" t="n">
        <x:v>14</x:v>
      </x:c>
      <x:c r="H1661" s="1" t="str">
        <x:v>2026-10-09</x:v>
      </x:c>
      <x:c r="I1661" s="1" t="str">
        <x:v>Listed outlets and resources require access verification</x:v>
      </x:c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  <x:c r="AA1661" s="1"/>
      <x:c r="AB1661" s="1"/>
      <x:c r="AC1661" s="1"/>
      <x:c r="AD1661" s="1"/>
      <x:c r="AE1661" s="1"/>
      <x:c r="AF1661" s="1"/>
      <x:c r="AG1661" s="1"/>
      <x:c r="AH1661" s="1"/>
      <x:c r="AI1661" s="1"/>
      <x:c r="AJ1661" s="1"/>
      <x:c r="AK1661" s="1"/>
      <x:c r="AL1661" s="1"/>
      <x:c r="AM1661" s="1"/>
      <x:c r="AN1661" s="1"/>
    </x:row>
    <x:row r="1662" ht="22" customHeight="1">
      <x:c r="A1662" s="1" t="str">
        <x:v>3416</x:v>
      </x:c>
      <x:c r="B1662" s="1" t="str">
        <x:v>Mastery Charter School at Gratz</x:v>
      </x:c>
      <x:c r="C1662" s="16" t="n">
        <x:v>0.6186829559647802</x:v>
      </x:c>
      <x:c r="D1662" s="1" t="str">
        <x:v>1232656</x:v>
      </x:c>
      <x:c r="E1662" s="1" t="str">
        <x:v>Save-A-Lot 60138</x:v>
      </x:c>
      <x:c r="F1662" s="1" t="str">
        <x:v>4424 N Broad St, Philadelphia, PA, 19140</x:v>
      </x:c>
      <x:c r="G1662" s="1" t="n">
        <x:v>8</x:v>
      </x:c>
      <x:c r="H1662" s="1" t="str">
        <x:v>2026-10-09</x:v>
      </x:c>
      <x:c r="I1662" s="1" t="str">
        <x:v>Listed outlets and resources require access verification</x:v>
      </x:c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  <x:c r="AA1662" s="1"/>
      <x:c r="AB1662" s="1"/>
      <x:c r="AC1662" s="1"/>
      <x:c r="AD1662" s="1"/>
      <x:c r="AE1662" s="1"/>
      <x:c r="AF1662" s="1"/>
      <x:c r="AG1662" s="1"/>
      <x:c r="AH1662" s="1"/>
      <x:c r="AI1662" s="1"/>
      <x:c r="AJ1662" s="1"/>
      <x:c r="AK1662" s="1"/>
      <x:c r="AL1662" s="1"/>
      <x:c r="AM1662" s="1"/>
      <x:c r="AN1662" s="1"/>
    </x:row>
    <x:row r="1663" ht="22" customHeight="1">
      <x:c r="A1663" s="1" t="str">
        <x:v>3417</x:v>
      </x:c>
      <x:c r="B1663" s="1" t="str">
        <x:v>Universal Charter School at Audenried</x:v>
      </x:c>
      <x:c r="C1663" s="16" t="n">
        <x:v>0.45171754911048706</x:v>
      </x:c>
      <x:c r="D1663" s="1" t="str">
        <x:v>1265057</x:v>
      </x:c>
      <x:c r="E1663" s="1" t="str">
        <x:v>The Fresh Grocer Of Grays Ferry</x:v>
      </x:c>
      <x:c r="F1663" s="1" t="str">
        <x:v>3021 Grays Ferry Ave, Philadelphia, PA, 19146</x:v>
      </x:c>
      <x:c r="G1663" s="1" t="n">
        <x:v>6</x:v>
      </x:c>
      <x:c r="H1663" s="1" t="str">
        <x:v>2026-10-09</x:v>
      </x:c>
      <x:c r="I1663" s="1" t="str">
        <x:v>Listed outlets and resources require access verification</x:v>
      </x:c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  <x:c r="AA1663" s="1"/>
      <x:c r="AB1663" s="1"/>
      <x:c r="AC1663" s="1"/>
      <x:c r="AD1663" s="1"/>
      <x:c r="AE1663" s="1"/>
      <x:c r="AF1663" s="1"/>
      <x:c r="AG1663" s="1"/>
      <x:c r="AH1663" s="1"/>
      <x:c r="AI1663" s="1"/>
      <x:c r="AJ1663" s="1"/>
      <x:c r="AK1663" s="1"/>
      <x:c r="AL1663" s="1"/>
      <x:c r="AM1663" s="1"/>
      <x:c r="AN1663" s="1"/>
    </x:row>
    <x:row r="1664" ht="22" customHeight="1">
      <x:c r="A1664" s="1" t="str">
        <x:v>3419</x:v>
      </x:c>
      <x:c r="B1664" s="1" t="str">
        <x:v>General David B. Birney Charter School</x:v>
      </x:c>
      <x:c r="C1664" s="16" t="n">
        <x:v>0.6974453007678229</x:v>
      </x:c>
      <x:c r="D1664" s="1" t="str">
        <x:v>1703266</x:v>
      </x:c>
      <x:c r="E1664" s="1" t="str">
        <x:v>GFM Food Corporation</x:v>
      </x:c>
      <x:c r="F1664" s="1" t="str">
        <x:v>180 W Duncannon Ave, Philadelphia, PA, 19120</x:v>
      </x:c>
      <x:c r="G1664" s="1" t="n">
        <x:v>11</x:v>
      </x:c>
      <x:c r="H1664" s="1" t="str">
        <x:v>2026-10-09</x:v>
      </x:c>
      <x:c r="I1664" s="1" t="str">
        <x:v>Listed outlets and resources require access verification</x:v>
      </x:c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  <x:c r="AA1664" s="1"/>
      <x:c r="AB1664" s="1"/>
      <x:c r="AC1664" s="1"/>
      <x:c r="AD1664" s="1"/>
      <x:c r="AE1664" s="1"/>
      <x:c r="AF1664" s="1"/>
      <x:c r="AG1664" s="1"/>
      <x:c r="AH1664" s="1"/>
      <x:c r="AI1664" s="1"/>
      <x:c r="AJ1664" s="1"/>
      <x:c r="AK1664" s="1"/>
      <x:c r="AL1664" s="1"/>
      <x:c r="AM1664" s="1"/>
      <x:c r="AN1664" s="1"/>
    </x:row>
    <x:row r="1665" ht="22" customHeight="1">
      <x:c r="A1665" s="1" t="str">
        <x:v>3420</x:v>
      </x:c>
      <x:c r="B1665" s="1" t="str">
        <x:v>Mastery Charter School at Cleveland</x:v>
      </x:c>
      <x:c r="C1665" s="16" t="n">
        <x:v>0.85093629160972</x:v>
      </x:c>
      <x:c r="D1665" s="1" t="str">
        <x:v>1105136</x:v>
      </x:c>
      <x:c r="E1665" s="1" t="str">
        <x:v>Shoprite of Fox Street 430</x:v>
      </x:c>
      <x:c r="F1665" s="1" t="str">
        <x:v>2800 Fox Street, Philadelphia, PA, 19129</x:v>
      </x:c>
      <x:c r="G1665" s="1" t="n">
        <x:v>5</x:v>
      </x:c>
      <x:c r="H1665" s="1" t="str">
        <x:v>2026-10-09</x:v>
      </x:c>
      <x:c r="I1665" s="1" t="str">
        <x:v>Listed outlets and resources require access verification</x:v>
      </x:c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  <x:c r="AA1665" s="1"/>
      <x:c r="AB1665" s="1"/>
      <x:c r="AC1665" s="1"/>
      <x:c r="AD1665" s="1"/>
      <x:c r="AE1665" s="1"/>
      <x:c r="AF1665" s="1"/>
      <x:c r="AG1665" s="1"/>
      <x:c r="AH1665" s="1"/>
      <x:c r="AI1665" s="1"/>
      <x:c r="AJ1665" s="1"/>
      <x:c r="AK1665" s="1"/>
      <x:c r="AL1665" s="1"/>
      <x:c r="AM1665" s="1"/>
      <x:c r="AN1665" s="1"/>
    </x:row>
    <x:row r="1666" ht="22" customHeight="1">
      <x:c r="A1666" s="1" t="str">
        <x:v>3421</x:v>
      </x:c>
      <x:c r="B1666" s="1" t="str">
        <x:v>Universal Charter School at Creighton</x:v>
      </x:c>
      <x:c r="C1666" s="16" t="n">
        <x:v>0.14388906543772775</x:v>
      </x:c>
      <x:c r="D1666" s="1" t="str">
        <x:v>1715195</x:v>
      </x:c>
      <x:c r="E1666" s="1" t="str">
        <x:v>722 Adams Meat Corp/Ideal Food Basket</x:v>
      </x:c>
      <x:c r="F1666" s="1" t="str">
        <x:v>722 Adams Ave, Philadelphia, PA, 19124</x:v>
      </x:c>
      <x:c r="G1666" s="1" t="n">
        <x:v>6</x:v>
      </x:c>
      <x:c r="H1666" s="1" t="str">
        <x:v>2026-10-09</x:v>
      </x:c>
      <x:c r="I1666" s="1" t="str">
        <x:v>Listed outlets and resources require access verification</x:v>
      </x:c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  <x:c r="AA1666" s="1"/>
      <x:c r="AB1666" s="1"/>
      <x:c r="AC1666" s="1"/>
      <x:c r="AD1666" s="1"/>
      <x:c r="AE1666" s="1"/>
      <x:c r="AF1666" s="1"/>
      <x:c r="AG1666" s="1"/>
      <x:c r="AH1666" s="1"/>
      <x:c r="AI1666" s="1"/>
      <x:c r="AJ1666" s="1"/>
      <x:c r="AK1666" s="1"/>
      <x:c r="AL1666" s="1"/>
      <x:c r="AM1666" s="1"/>
      <x:c r="AN1666" s="1"/>
    </x:row>
    <x:row r="1667" ht="22" customHeight="1">
      <x:c r="A1667" s="1" t="str">
        <x:v>3422</x:v>
      </x:c>
      <x:c r="B1667" s="1" t="str">
        <x:v>The Philadelphia Charter School for Arts and Sciences</x:v>
      </x:c>
      <x:c r="C1667" s="16" t="n">
        <x:v>0.5309457400886154</x:v>
      </x:c>
      <x:c r="D1667" s="1" t="str">
        <x:v>1689801</x:v>
      </x:c>
      <x:c r="E1667" s="1" t="str">
        <x:v>Cousins Grocery Market Inc.</x:v>
      </x:c>
      <x:c r="F1667" s="1" t="str">
        <x:v>1607 Bridge St, Philadelphia, PA, 19124</x:v>
      </x:c>
      <x:c r="G1667" s="1" t="n">
        <x:v>7</x:v>
      </x:c>
      <x:c r="H1667" s="1" t="str">
        <x:v>2026-10-09</x:v>
      </x:c>
      <x:c r="I1667" s="1" t="str">
        <x:v>Listed outlets and resources require access verification</x:v>
      </x:c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  <x:c r="AA1667" s="1"/>
      <x:c r="AB1667" s="1"/>
      <x:c r="AC1667" s="1"/>
      <x:c r="AD1667" s="1"/>
      <x:c r="AE1667" s="1"/>
      <x:c r="AF1667" s="1"/>
      <x:c r="AG1667" s="1"/>
      <x:c r="AH1667" s="1"/>
      <x:c r="AI1667" s="1"/>
      <x:c r="AJ1667" s="1"/>
      <x:c r="AK1667" s="1"/>
      <x:c r="AL1667" s="1"/>
      <x:c r="AM1667" s="1"/>
      <x:c r="AN1667" s="1"/>
    </x:row>
    <x:row r="1668" ht="22" customHeight="1">
      <x:c r="A1668" s="1" t="str">
        <x:v>3424</x:v>
      </x:c>
      <x:c r="B1668" s="1" t="str">
        <x:v>Universal Charter School at Alcorn</x:v>
      </x:c>
      <x:c r="C1668" s="16" t="n">
        <x:v>0.3274344983886211</x:v>
      </x:c>
      <x:c r="D1668" s="1" t="str">
        <x:v>1265057</x:v>
      </x:c>
      <x:c r="E1668" s="1" t="str">
        <x:v>The Fresh Grocer Of Grays Ferry</x:v>
      </x:c>
      <x:c r="F1668" s="1" t="str">
        <x:v>3021 Grays Ferry Ave, Philadelphia, PA, 19146</x:v>
      </x:c>
      <x:c r="G1668" s="1" t="n">
        <x:v>8</x:v>
      </x:c>
      <x:c r="H1668" s="1" t="str">
        <x:v>2026-10-09</x:v>
      </x:c>
      <x:c r="I1668" s="1" t="str">
        <x:v>Listed outlets and resources require access verification</x:v>
      </x:c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  <x:c r="AA1668" s="1"/>
      <x:c r="AB1668" s="1"/>
      <x:c r="AC1668" s="1"/>
      <x:c r="AD1668" s="1"/>
      <x:c r="AE1668" s="1"/>
      <x:c r="AF1668" s="1"/>
      <x:c r="AG1668" s="1"/>
      <x:c r="AH1668" s="1"/>
      <x:c r="AI1668" s="1"/>
      <x:c r="AJ1668" s="1"/>
      <x:c r="AK1668" s="1"/>
      <x:c r="AL1668" s="1"/>
      <x:c r="AM1668" s="1"/>
      <x:c r="AN1668" s="1"/>
    </x:row>
    <x:row r="1669" ht="22" customHeight="1">
      <x:c r="A1669" s="1" t="str">
        <x:v>3426</x:v>
      </x:c>
      <x:c r="B1669" s="1" t="str">
        <x:v>Mastery Charter School at Pastorius</x:v>
      </x:c>
      <x:c r="C1669" s="16" t="n">
        <x:v>0.4645217783625057</x:v>
      </x:c>
      <x:c r="D1669" s="1" t="str">
        <x:v>906753</x:v>
      </x:c>
      <x:c r="E1669" s="1" t="str">
        <x:v>THE FRESH GROCER</x:v>
      </x:c>
      <x:c r="F1669" s="1" t="str">
        <x:v>5301 Chew Ave, Philadelphia, PA, 19138</x:v>
      </x:c>
      <x:c r="G1669" s="1" t="n">
        <x:v>17</x:v>
      </x:c>
      <x:c r="H1669" s="1" t="str">
        <x:v>2026-10-09</x:v>
      </x:c>
      <x:c r="I1669" s="1" t="str">
        <x:v>Listed outlets and resources require access verification</x:v>
      </x:c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  <x:c r="AA1669" s="1"/>
      <x:c r="AB1669" s="1"/>
      <x:c r="AC1669" s="1"/>
      <x:c r="AD1669" s="1"/>
      <x:c r="AE1669" s="1"/>
      <x:c r="AF1669" s="1"/>
      <x:c r="AG1669" s="1"/>
      <x:c r="AH1669" s="1"/>
      <x:c r="AI1669" s="1"/>
      <x:c r="AJ1669" s="1"/>
      <x:c r="AK1669" s="1"/>
      <x:c r="AL1669" s="1"/>
      <x:c r="AM1669" s="1"/>
      <x:c r="AN1669" s="1"/>
    </x:row>
    <x:row r="1670" ht="22" customHeight="1">
      <x:c r="A1670" s="1" t="str">
        <x:v>3427</x:v>
      </x:c>
      <x:c r="B1670" s="1" t="str">
        <x:v>Mastery Charter School at Wister</x:v>
      </x:c>
      <x:c r="C1670" s="16" t="n">
        <x:v>0.6254119000452193</x:v>
      </x:c>
      <x:c r="D1670" s="1" t="str">
        <x:v>1249280</x:v>
      </x:c>
      <x:c r="E1670" s="1" t="str">
        <x:v>Chelten Market Inc</x:v>
      </x:c>
      <x:c r="F1670" s="1" t="str">
        <x:v>176-82 W Chelten Ave, Philadelphia, PA, 19144</x:v>
      </x:c>
      <x:c r="G1670" s="1" t="n">
        <x:v>19</x:v>
      </x:c>
      <x:c r="H1670" s="1" t="str">
        <x:v>2026-10-09</x:v>
      </x:c>
      <x:c r="I1670" s="1" t="str">
        <x:v>Listed outlets and resources require access verification</x:v>
      </x:c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  <x:c r="AA1670" s="1"/>
      <x:c r="AB1670" s="1"/>
      <x:c r="AC1670" s="1"/>
      <x:c r="AD1670" s="1"/>
      <x:c r="AE1670" s="1"/>
      <x:c r="AF1670" s="1"/>
      <x:c r="AG1670" s="1"/>
      <x:c r="AH1670" s="1"/>
      <x:c r="AI1670" s="1"/>
      <x:c r="AJ1670" s="1"/>
      <x:c r="AK1670" s="1"/>
      <x:c r="AL1670" s="1"/>
      <x:c r="AM1670" s="1"/>
      <x:c r="AN1670" s="1"/>
    </x:row>
    <x:row r="1671" ht="22" customHeight="1">
      <x:c r="A1671" s="1" t="str">
        <x:v>3428</x:v>
      </x:c>
      <x:c r="B1671" s="1" t="str">
        <x:v>Global Leadership Academy Charter School Southwest at Huey</x:v>
      </x:c>
      <x:c r="C1671" s="16" t="n">
        <x:v>0.4443352670074507</x:v>
      </x:c>
      <x:c r="D1671" s="1" t="str">
        <x:v>1550384</x:v>
      </x:c>
      <x:c r="E1671" s="1" t="str">
        <x:v>Afor Market Philadelphia Llc</x:v>
      </x:c>
      <x:c r="F1671" s="1" t="str">
        <x:v>5228 Market St, Philadelphia, PA, 19139</x:v>
      </x:c>
      <x:c r="G1671" s="1" t="n">
        <x:v>11</x:v>
      </x:c>
      <x:c r="H1671" s="1" t="str">
        <x:v>2026-10-09</x:v>
      </x:c>
      <x:c r="I1671" s="1" t="str">
        <x:v>Listed outlets and resources require access verification</x:v>
      </x:c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  <x:c r="AA1671" s="1"/>
      <x:c r="AB1671" s="1"/>
      <x:c r="AC1671" s="1"/>
      <x:c r="AD1671" s="1"/>
      <x:c r="AE1671" s="1"/>
      <x:c r="AF1671" s="1"/>
      <x:c r="AG1671" s="1"/>
      <x:c r="AH1671" s="1"/>
      <x:c r="AI1671" s="1"/>
      <x:c r="AJ1671" s="1"/>
      <x:c r="AK1671" s="1"/>
      <x:c r="AL1671" s="1"/>
      <x:c r="AM1671" s="1"/>
      <x:c r="AN1671" s="1"/>
    </x:row>
    <x:row r="1672" ht="22" customHeight="1">
      <x:c r="A1672" s="1" t="str">
        <x:v>3436</x:v>
      </x:c>
      <x:c r="B1672" s="1" t="str">
        <x:v>KIPP Octavius Catto Charter School</x:v>
      </x:c>
      <x:c r="C1672" s="16" t="n">
        <x:v>0.08897856392579075</x:v>
      </x:c>
      <x:c r="D1672" s="1" t="str">
        <x:v>647200</x:v>
      </x:c>
      <x:c r="E1672" s="1" t="str">
        <x:v>ALDI 54</x:v>
      </x:c>
      <x:c r="F1672" s="1" t="str">
        <x:v>4421 Market St, Philadelphia, PA, 19104</x:v>
      </x:c>
      <x:c r="G1672" s="1" t="n">
        <x:v>15</x:v>
      </x:c>
      <x:c r="H1672" s="1" t="str">
        <x:v>2026-10-09</x:v>
      </x:c>
      <x:c r="I1672" s="1" t="str">
        <x:v>Listed outlets and resources require access verification</x:v>
      </x:c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  <x:c r="AA1672" s="1"/>
      <x:c r="AB1672" s="1"/>
      <x:c r="AC1672" s="1"/>
      <x:c r="AD1672" s="1"/>
      <x:c r="AE1672" s="1"/>
      <x:c r="AF1672" s="1"/>
      <x:c r="AG1672" s="1"/>
      <x:c r="AH1672" s="1"/>
      <x:c r="AI1672" s="1"/>
      <x:c r="AJ1672" s="1"/>
      <x:c r="AK1672" s="1"/>
      <x:c r="AL1672" s="1"/>
      <x:c r="AM1672" s="1"/>
      <x:c r="AN1672" s="1"/>
    </x:row>
    <x:row r="1673" ht="22" customHeight="1">
      <x:c r="A1673" s="1" t="str">
        <x:v>3437</x:v>
      </x:c>
      <x:c r="B1673" s="1" t="str">
        <x:v>KIPP North Philadelphia Charter School</x:v>
      </x:c>
      <x:c r="C1673" s="16" t="n">
        <x:v>0.47647430656461814</x:v>
      </x:c>
      <x:c r="D1673" s="1" t="str">
        <x:v>1286448</x:v>
      </x:c>
      <x:c r="E1673" s="1" t="str">
        <x:v>Save-A-Lot 60142</x:v>
      </x:c>
      <x:c r="F1673" s="1" t="str">
        <x:v>2101 W Lehigh Ave, Philadelphia, PA, 19132</x:v>
      </x:c>
      <x:c r="G1673" s="1" t="n">
        <x:v>16</x:v>
      </x:c>
      <x:c r="H1673" s="1" t="str">
        <x:v>2026-10-09</x:v>
      </x:c>
      <x:c r="I1673" s="1" t="str">
        <x:v>Listed outlets and resources require access verification</x:v>
      </x:c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  <x:c r="AA1673" s="1"/>
      <x:c r="AB1673" s="1"/>
      <x:c r="AC1673" s="1"/>
      <x:c r="AD1673" s="1"/>
      <x:c r="AE1673" s="1"/>
      <x:c r="AF1673" s="1"/>
      <x:c r="AG1673" s="1"/>
      <x:c r="AH1673" s="1"/>
      <x:c r="AI1673" s="1"/>
      <x:c r="AJ1673" s="1"/>
      <x:c r="AK1673" s="1"/>
      <x:c r="AL1673" s="1"/>
      <x:c r="AM1673" s="1"/>
      <x:c r="AN1673" s="1"/>
    </x:row>
    <x:row r="1674" ht="22" customHeight="1">
      <x:c r="A1674" s="1" t="str">
        <x:v>3438</x:v>
      </x:c>
      <x:c r="B1674" s="1" t="str">
        <x:v>Deep Roots Charter School</x:v>
      </x:c>
      <x:c r="C1674" s="16" t="n">
        <x:v>0.36937979163708123</x:v>
      </x:c>
      <x:c r="D1674" s="1" t="str">
        <x:v>1619421</x:v>
      </x:c>
      <x:c r="E1674" s="1" t="str">
        <x:v>ALDI 60205</x:v>
      </x:c>
      <x:c r="F1674" s="1" t="str">
        <x:v>3500 Aramingo Ave, Philadelphia, PA, 19134</x:v>
      </x:c>
      <x:c r="G1674" s="1" t="n">
        <x:v>7</x:v>
      </x:c>
      <x:c r="H1674" s="1" t="str">
        <x:v>2026-10-09</x:v>
      </x:c>
      <x:c r="I1674" s="1" t="str">
        <x:v>Listed outlets and resources require access verification</x:v>
      </x:c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  <x:c r="AA1674" s="1"/>
      <x:c r="AB1674" s="1"/>
      <x:c r="AC1674" s="1"/>
      <x:c r="AD1674" s="1"/>
      <x:c r="AE1674" s="1"/>
      <x:c r="AF1674" s="1"/>
      <x:c r="AG1674" s="1"/>
      <x:c r="AH1674" s="1"/>
      <x:c r="AI1674" s="1"/>
      <x:c r="AJ1674" s="1"/>
      <x:c r="AK1674" s="1"/>
      <x:c r="AL1674" s="1"/>
      <x:c r="AM1674" s="1"/>
      <x:c r="AN1674" s="1"/>
    </x:row>
    <x:row r="1675" ht="22" customHeight="1">
      <x:c r="A1675" s="1" t="str">
        <x:v>3439</x:v>
      </x:c>
      <x:c r="B1675" s="1" t="str">
        <x:v>Mastery Prep Elementary Charter School</x:v>
      </x:c>
      <x:c r="C1675" s="16" t="n">
        <x:v>0.6599867386622097</x:v>
      </x:c>
      <x:c r="D1675" s="1" t="str">
        <x:v>1232656</x:v>
      </x:c>
      <x:c r="E1675" s="1" t="str">
        <x:v>Save-A-Lot 60138</x:v>
      </x:c>
      <x:c r="F1675" s="1" t="str">
        <x:v>4424 N Broad St, Philadelphia, PA, 19140</x:v>
      </x:c>
      <x:c r="G1675" s="1" t="n">
        <x:v>9</x:v>
      </x:c>
      <x:c r="H1675" s="1" t="str">
        <x:v>2026-10-09</x:v>
      </x:c>
      <x:c r="I1675" s="1" t="str">
        <x:v>Listed outlets and resources require access verification</x:v>
      </x:c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  <x:c r="AA1675" s="1"/>
      <x:c r="AB1675" s="1"/>
      <x:c r="AC1675" s="1"/>
      <x:c r="AD1675" s="1"/>
      <x:c r="AE1675" s="1"/>
      <x:c r="AF1675" s="1"/>
      <x:c r="AG1675" s="1"/>
      <x:c r="AH1675" s="1"/>
      <x:c r="AI1675" s="1"/>
      <x:c r="AJ1675" s="1"/>
      <x:c r="AK1675" s="1"/>
      <x:c r="AL1675" s="1"/>
      <x:c r="AM1675" s="1"/>
      <x:c r="AN1675" s="1"/>
    </x:row>
    <x:row r="1676" ht="22" customHeight="1">
      <x:c r="A1676" s="1" t="str">
        <x:v>3440</x:v>
      </x:c>
      <x:c r="B1676" s="1" t="str">
        <x:v>MaST Community Charter School II</x:v>
      </x:c>
      <x:c r="C1676" s="16" t="n">
        <x:v>0.4744588509045966</x:v>
      </x:c>
      <x:c r="D1676" s="1" t="str">
        <x:v>1712142</x:v>
      </x:c>
      <x:c r="E1676" s="1" t="str">
        <x:v>6327 Meat Corp DBA Food Town</x:v>
      </x:c>
      <x:c r="F1676" s="1" t="str">
        <x:v>6327 Torresdale Ave, Philadelphia, PA, 19135</x:v>
      </x:c>
      <x:c r="G1676" s="1" t="n">
        <x:v>3</x:v>
      </x:c>
      <x:c r="H1676" s="1" t="str">
        <x:v>2026-10-09</x:v>
      </x:c>
      <x:c r="I1676" s="1" t="str">
        <x:v>Listed outlets and resources require access verification</x:v>
      </x:c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  <x:c r="AA1676" s="1"/>
      <x:c r="AB1676" s="1"/>
      <x:c r="AC1676" s="1"/>
      <x:c r="AD1676" s="1"/>
      <x:c r="AE1676" s="1"/>
      <x:c r="AF1676" s="1"/>
      <x:c r="AG1676" s="1"/>
      <x:c r="AH1676" s="1"/>
      <x:c r="AI1676" s="1"/>
      <x:c r="AJ1676" s="1"/>
      <x:c r="AK1676" s="1"/>
      <x:c r="AL1676" s="1"/>
      <x:c r="AM1676" s="1"/>
      <x:c r="AN1676" s="1"/>
    </x:row>
    <x:row r="1677" ht="22" customHeight="1">
      <x:c r="A1677" s="1" t="str">
        <x:v>3441</x:v>
      </x:c>
      <x:c r="B1677" s="1" t="str">
        <x:v>TECH Freire Charter School</x:v>
      </x:c>
      <x:c r="C1677" s="16" t="n">
        <x:v>0.715649751295581</x:v>
      </x:c>
      <x:c r="D1677" s="1" t="str">
        <x:v>1364284</x:v>
      </x:c>
      <x:c r="E1677" s="1" t="str">
        <x:v>Cousins Supermarket Inc 1</x:v>
      </x:c>
      <x:c r="F1677" s="1" t="str">
        <x:v>1943 N 6th St, Philadelphia, PA, 19122</x:v>
      </x:c>
      <x:c r="G1677" s="1" t="n">
        <x:v>16</x:v>
      </x:c>
      <x:c r="H1677" s="1" t="str">
        <x:v>2026-10-09</x:v>
      </x:c>
      <x:c r="I1677" s="1" t="str">
        <x:v>Listed outlets and resources require access verification</x:v>
      </x:c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  <x:c r="AA1677" s="1"/>
      <x:c r="AB1677" s="1"/>
      <x:c r="AC1677" s="1"/>
      <x:c r="AD1677" s="1"/>
      <x:c r="AE1677" s="1"/>
      <x:c r="AF1677" s="1"/>
      <x:c r="AG1677" s="1"/>
      <x:c r="AH1677" s="1"/>
      <x:c r="AI1677" s="1"/>
      <x:c r="AJ1677" s="1"/>
      <x:c r="AK1677" s="1"/>
      <x:c r="AL1677" s="1"/>
      <x:c r="AM1677" s="1"/>
      <x:c r="AN1677" s="1"/>
    </x:row>
    <x:row r="1678" ht="22" customHeight="1">
      <x:c r="A1678" s="1" t="str">
        <x:v>3442</x:v>
      </x:c>
      <x:c r="B1678" s="1" t="str">
        <x:v>Impact Charter School West</x:v>
      </x:c>
      <x:c r="C1678" s="16" t="n">
        <x:v>0.36316271827883184</x:v>
      </x:c>
      <x:c r="D1678" s="1" t="str">
        <x:v>805208</x:v>
      </x:c>
      <x:c r="E1678" s="1" t="str">
        <x:v>SAVE-A-LOT 60135</x:v>
      </x:c>
      <x:c r="F1678" s="1" t="str">
        <x:v>5800 Woodland Ave, Philadelphia, PA, 19143</x:v>
      </x:c>
      <x:c r="G1678" s="1" t="n">
        <x:v>10</x:v>
      </x:c>
      <x:c r="H1678" s="1" t="str">
        <x:v>2026-10-09</x:v>
      </x:c>
      <x:c r="I1678" s="1" t="str">
        <x:v>Listed outlets and resources require access verification</x:v>
      </x:c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  <x:c r="AA1678" s="1"/>
      <x:c r="AB1678" s="1"/>
      <x:c r="AC1678" s="1"/>
      <x:c r="AD1678" s="1"/>
      <x:c r="AE1678" s="1"/>
      <x:c r="AF1678" s="1"/>
      <x:c r="AG1678" s="1"/>
      <x:c r="AH1678" s="1"/>
      <x:c r="AI1678" s="1"/>
      <x:c r="AJ1678" s="1"/>
      <x:c r="AK1678" s="1"/>
      <x:c r="AL1678" s="1"/>
      <x:c r="AM1678" s="1"/>
      <x:c r="AN1678" s="1"/>
    </x:row>
    <x:row r="1679" ht="22" customHeight="1">
      <x:c r="A1679" s="1" t="str">
        <x:v>3443</x:v>
      </x:c>
      <x:c r="B1679" s="1" t="str">
        <x:v>KIPP West Philadelphia Charter School</x:v>
      </x:c>
      <x:c r="C1679" s="16" t="n">
        <x:v>0.22272035791186792</x:v>
      </x:c>
      <x:c r="D1679" s="1" t="str">
        <x:v>1443921</x:v>
      </x:c>
      <x:c r="E1679" s="1" t="str">
        <x:v>Shoprite of Parkside 419</x:v>
      </x:c>
      <x:c r="F1679" s="1" t="str">
        <x:v>1575 N 52nd St, Philadelphia, PA, 19131</x:v>
      </x:c>
      <x:c r="G1679" s="1" t="n">
        <x:v>5</x:v>
      </x:c>
      <x:c r="H1679" s="1" t="str">
        <x:v>2026-10-09</x:v>
      </x:c>
      <x:c r="I1679" s="1" t="str">
        <x:v>Listed outlets and resources require access verification</x:v>
      </x:c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  <x:c r="AA1679" s="1"/>
      <x:c r="AB1679" s="1"/>
      <x:c r="AC1679" s="1"/>
      <x:c r="AD1679" s="1"/>
      <x:c r="AE1679" s="1"/>
      <x:c r="AF1679" s="1"/>
      <x:c r="AG1679" s="1"/>
      <x:c r="AH1679" s="1"/>
      <x:c r="AI1679" s="1"/>
      <x:c r="AJ1679" s="1"/>
      <x:c r="AK1679" s="1"/>
      <x:c r="AL1679" s="1"/>
      <x:c r="AM1679" s="1"/>
      <x:c r="AN1679" s="1"/>
    </x:row>
    <x:row r="1680" ht="22" customHeight="1">
      <x:c r="A1680" s="1" t="str">
        <x:v>3445</x:v>
      </x:c>
      <x:c r="B1680" s="1" t="str">
        <x:v>MAST Community Charter School III</x:v>
      </x:c>
      <x:c r="C1680" s="16" t="n">
        <x:v>0.565669031699028</x:v>
      </x:c>
      <x:c r="D1680" s="1" t="str">
        <x:v>1549061</x:v>
      </x:c>
      <x:c r="E1680" s="1" t="str">
        <x:v>ALDI 60191</x:v>
      </x:c>
      <x:c r="F1680" s="1" t="str">
        <x:v>12002 Roosevelt Blvd, Philadelphia, PA, 19116</x:v>
      </x:c>
      <x:c r="G1680" s="1" t="n">
        <x:v>1</x:v>
      </x:c>
      <x:c r="H1680" s="1" t="str">
        <x:v>2026-10-09</x:v>
      </x:c>
      <x:c r="I1680" s="1" t="str">
        <x:v>Listed outlets and resources require access verification</x:v>
      </x:c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  <x:c r="AA1680" s="1"/>
      <x:c r="AB1680" s="1"/>
      <x:c r="AC1680" s="1"/>
      <x:c r="AD1680" s="1"/>
      <x:c r="AE1680" s="1"/>
      <x:c r="AF1680" s="1"/>
      <x:c r="AG1680" s="1"/>
      <x:c r="AH1680" s="1"/>
      <x:c r="AI1680" s="1"/>
      <x:c r="AJ1680" s="1"/>
      <x:c r="AK1680" s="1"/>
      <x:c r="AL1680" s="1"/>
      <x:c r="AM1680" s="1"/>
      <x:c r="AN1680" s="1"/>
    </x:row>
    <x:row r="1681" ht="22" customHeight="1">
      <x:c r="A1681" s="1" t="str">
        <x:v>3446</x:v>
      </x:c>
      <x:c r="B1681" s="1" t="str">
        <x:v>Philadelphia Hebrew Public Charter School</x:v>
      </x:c>
      <x:c r="C1681" s="16" t="n">
        <x:v>0.4940020933208758</x:v>
      </x:c>
      <x:c r="D1681" s="1" t="str">
        <x:v>1105136</x:v>
      </x:c>
      <x:c r="E1681" s="1" t="str">
        <x:v>Shoprite of Fox Street 430</x:v>
      </x:c>
      <x:c r="F1681" s="1" t="str">
        <x:v>2800 Fox Street, Philadelphia, PA, 19129</x:v>
      </x:c>
      <x:c r="G1681" s="1" t="n">
        <x:v>3</x:v>
      </x:c>
      <x:c r="H1681" s="1" t="str">
        <x:v>2026-10-09</x:v>
      </x:c>
      <x:c r="I1681" s="1" t="str">
        <x:v>Listed outlets and resources require access verification</x:v>
      </x:c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  <x:c r="AA1681" s="1"/>
      <x:c r="AB1681" s="1"/>
      <x:c r="AC1681" s="1"/>
      <x:c r="AD1681" s="1"/>
      <x:c r="AE1681" s="1"/>
      <x:c r="AF1681" s="1"/>
      <x:c r="AG1681" s="1"/>
      <x:c r="AH1681" s="1"/>
      <x:c r="AI1681" s="1"/>
      <x:c r="AJ1681" s="1"/>
      <x:c r="AK1681" s="1"/>
      <x:c r="AL1681" s="1"/>
      <x:c r="AM1681" s="1"/>
      <x:c r="AN1681" s="1"/>
    </x:row>
    <x:row r="1682" ht="22" customHeight="1">
      <x:c r="A1682" s="1" t="str">
        <x:v>3510</x:v>
      </x:c>
      <x:c r="B1682" s="1" t="str">
        <x:v>El Centro de Estudiantes</x:v>
      </x:c>
      <x:c r="C1682" s="16" t="n">
        <x:v>0.4575694465003808</x:v>
      </x:c>
      <x:c r="D1682" s="1" t="str">
        <x:v>1619421</x:v>
      </x:c>
      <x:c r="E1682" s="1" t="str">
        <x:v>ALDI 60205</x:v>
      </x:c>
      <x:c r="F1682" s="1" t="str">
        <x:v>3500 Aramingo Ave, Philadelphia, PA, 19134</x:v>
      </x:c>
      <x:c r="G1682" s="1" t="n">
        <x:v>7</x:v>
      </x:c>
      <x:c r="H1682" s="1" t="str">
        <x:v>2026-10-09</x:v>
      </x:c>
      <x:c r="I1682" s="1" t="str">
        <x:v>Listed outlets and resources require access verification</x:v>
      </x:c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  <x:c r="AA1682" s="1"/>
      <x:c r="AB1682" s="1"/>
      <x:c r="AC1682" s="1"/>
      <x:c r="AD1682" s="1"/>
      <x:c r="AE1682" s="1"/>
      <x:c r="AF1682" s="1"/>
      <x:c r="AG1682" s="1"/>
      <x:c r="AH1682" s="1"/>
      <x:c r="AI1682" s="1"/>
      <x:c r="AJ1682" s="1"/>
      <x:c r="AK1682" s="1"/>
      <x:c r="AL1682" s="1"/>
      <x:c r="AM1682" s="1"/>
      <x:c r="AN1682" s="1"/>
    </x:row>
    <x:row r="1683" ht="22" customHeight="1">
      <x:c r="A1683" s="1" t="str">
        <x:v>3810</x:v>
      </x:c>
      <x:c r="B1683" s="1" t="str">
        <x:v>One Bright Ray - Elmwood</x:v>
      </x:c>
      <x:c r="C1683" s="16" t="n">
        <x:v>0.36299937586084763</x:v>
      </x:c>
      <x:c r="D1683" s="1" t="str">
        <x:v>1494726</x:v>
      </x:c>
      <x:c r="E1683" s="1" t="str">
        <x:v>Cousin's Fresh Market Inc</x:v>
      </x:c>
      <x:c r="F1683" s="1" t="str">
        <x:v>6411 Woodland Ave, Philadelphia, PA, 19142</x:v>
      </x:c>
      <x:c r="G1683" s="1" t="n">
        <x:v>5</x:v>
      </x:c>
      <x:c r="H1683" s="1" t="str">
        <x:v>2026-10-09</x:v>
      </x:c>
      <x:c r="I1683" s="1" t="str">
        <x:v>Listed outlets and resources require access verification</x:v>
      </x:c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  <x:c r="AA1683" s="1"/>
      <x:c r="AB1683" s="1"/>
      <x:c r="AC1683" s="1"/>
      <x:c r="AD1683" s="1"/>
      <x:c r="AE1683" s="1"/>
      <x:c r="AF1683" s="1"/>
      <x:c r="AG1683" s="1"/>
      <x:c r="AH1683" s="1"/>
      <x:c r="AI1683" s="1"/>
      <x:c r="AJ1683" s="1"/>
      <x:c r="AK1683" s="1"/>
      <x:c r="AL1683" s="1"/>
      <x:c r="AM1683" s="1"/>
      <x:c r="AN1683" s="1"/>
    </x:row>
    <x:row r="1684" ht="22" customHeight="1">
      <x:c r="A1684" s="1" t="str">
        <x:v>3820</x:v>
      </x:c>
      <x:c r="B1684" s="1" t="str">
        <x:v>Achieve Academy of Philadelphia - East Campus</x:v>
      </x:c>
      <x:c r="C1684" s="16" t="n">
        <x:v>0.5181636732430546</x:v>
      </x:c>
      <x:c r="D1684" s="1" t="str">
        <x:v>497084</x:v>
      </x:c>
      <x:c r="E1684" s="1" t="str">
        <x:v>COUSINS SUPERMARKET INC. #2</x:v>
      </x:c>
      <x:c r="F1684" s="1" t="str">
        <x:v>4037 N 5th St, Philadelphia, PA, 19140</x:v>
      </x:c>
      <x:c r="G1684" s="1" t="n">
        <x:v>10</x:v>
      </x:c>
      <x:c r="H1684" s="1" t="str">
        <x:v>2026-10-09</x:v>
      </x:c>
      <x:c r="I1684" s="1" t="str">
        <x:v>Listed outlets and resources require access verification</x:v>
      </x:c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  <x:c r="AA1684" s="1"/>
      <x:c r="AB1684" s="1"/>
      <x:c r="AC1684" s="1"/>
      <x:c r="AD1684" s="1"/>
      <x:c r="AE1684" s="1"/>
      <x:c r="AF1684" s="1"/>
      <x:c r="AG1684" s="1"/>
      <x:c r="AH1684" s="1"/>
      <x:c r="AI1684" s="1"/>
      <x:c r="AJ1684" s="1"/>
      <x:c r="AK1684" s="1"/>
      <x:c r="AL1684" s="1"/>
      <x:c r="AM1684" s="1"/>
      <x:c r="AN1684" s="1"/>
    </x:row>
    <x:row r="1685" ht="22" customHeight="1">
      <x:c r="A1685" s="1" t="str">
        <x:v>3850</x:v>
      </x:c>
      <x:c r="B1685" s="1" t="str">
        <x:v>Northeast High School EOP</x:v>
      </x:c>
      <x:c r="C1685" s="16" t="n">
        <x:v>0.38029979381130363</x:v>
      </x:c>
      <x:c r="D1685" s="1" t="str">
        <x:v>1708322</x:v>
      </x:c>
      <x:c r="E1685" s="1" t="str">
        <x:v>Jumbo Meat Market</x:v>
      </x:c>
      <x:c r="F1685" s="1" t="str">
        <x:v>7322 Castor Ave, Philadelphia, PA, 19152</x:v>
      </x:c>
      <x:c r="G1685" s="1" t="n">
        <x:v>0</x:v>
      </x:c>
      <x:c r="H1685" s="1" t="str">
        <x:v>2026-10-09</x:v>
      </x:c>
      <x:c r="I1685" s="1" t="str">
        <x:v>Listed outlets and resources require access verification</x:v>
      </x:c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  <x:c r="AA1685" s="1"/>
      <x:c r="AB1685" s="1"/>
      <x:c r="AC1685" s="1"/>
      <x:c r="AD1685" s="1"/>
      <x:c r="AE1685" s="1"/>
      <x:c r="AF1685" s="1"/>
      <x:c r="AG1685" s="1"/>
      <x:c r="AH1685" s="1"/>
      <x:c r="AI1685" s="1"/>
      <x:c r="AJ1685" s="1"/>
      <x:c r="AK1685" s="1"/>
      <x:c r="AL1685" s="1"/>
      <x:c r="AM1685" s="1"/>
      <x:c r="AN1685" s="1"/>
    </x:row>
    <x:row r="1686" ht="22" customHeight="1">
      <x:c r="A1686" s="1" t="str">
        <x:v>3880</x:v>
      </x:c>
      <x:c r="B1686" s="1" t="str">
        <x:v>South Philadelphia High School EOP</x:v>
      </x:c>
      <x:c r="C1686" s="16" t="n">
        <x:v>0.0677150100802512</x:v>
      </x:c>
      <x:c r="D1686" s="1" t="str">
        <x:v>1437536</x:v>
      </x:c>
      <x:c r="E1686" s="1" t="str">
        <x:v>South Philly Food Co-op</x:v>
      </x:c>
      <x:c r="F1686" s="1" t="str">
        <x:v>2031 S Juniper St, Philadelphia, PA, 19148</x:v>
      </x:c>
      <x:c r="G1686" s="1" t="n">
        <x:v>10</x:v>
      </x:c>
      <x:c r="H1686" s="1" t="str">
        <x:v>2026-10-09</x:v>
      </x:c>
      <x:c r="I1686" s="1" t="str">
        <x:v>Listed outlets and resources require access verification</x:v>
      </x:c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  <x:c r="AA1686" s="1"/>
      <x:c r="AB1686" s="1"/>
      <x:c r="AC1686" s="1"/>
      <x:c r="AD1686" s="1"/>
      <x:c r="AE1686" s="1"/>
      <x:c r="AF1686" s="1"/>
      <x:c r="AG1686" s="1"/>
      <x:c r="AH1686" s="1"/>
      <x:c r="AI1686" s="1"/>
      <x:c r="AJ1686" s="1"/>
      <x:c r="AK1686" s="1"/>
      <x:c r="AL1686" s="1"/>
      <x:c r="AM1686" s="1"/>
      <x:c r="AN1686" s="1"/>
    </x:row>
    <x:row r="1687" ht="22" customHeight="1">
      <x:c r="A1687" s="1" t="str">
        <x:v>4020</x:v>
      </x:c>
      <x:c r="B1687" s="1" t="str">
        <x:v>Overbrook High School</x:v>
      </x:c>
      <x:c r="C1687" s="16" t="n">
        <x:v>0.7295328361844429</x:v>
      </x:c>
      <x:c r="D1687" s="1" t="str">
        <x:v>1443921</x:v>
      </x:c>
      <x:c r="E1687" s="1" t="str">
        <x:v>Shoprite of Parkside 419</x:v>
      </x:c>
      <x:c r="F1687" s="1" t="str">
        <x:v>1575 N 52nd St, Philadelphia, PA, 19131</x:v>
      </x:c>
      <x:c r="G1687" s="1" t="n">
        <x:v>8</x:v>
      </x:c>
      <x:c r="H1687" s="1" t="str">
        <x:v>2026-10-09</x:v>
      </x:c>
      <x:c r="I1687" s="1" t="str">
        <x:v>Listed outlets and resources require access verification</x:v>
      </x:c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  <x:c r="AA1687" s="1"/>
      <x:c r="AB1687" s="1"/>
      <x:c r="AC1687" s="1"/>
      <x:c r="AD1687" s="1"/>
      <x:c r="AE1687" s="1"/>
      <x:c r="AF1687" s="1"/>
      <x:c r="AG1687" s="1"/>
      <x:c r="AH1687" s="1"/>
      <x:c r="AI1687" s="1"/>
      <x:c r="AJ1687" s="1"/>
      <x:c r="AK1687" s="1"/>
      <x:c r="AL1687" s="1"/>
      <x:c r="AM1687" s="1"/>
      <x:c r="AN1687" s="1"/>
    </x:row>
    <x:row r="1688" ht="22" customHeight="1">
      <x:c r="A1688" s="1" t="str">
        <x:v>4030</x:v>
      </x:c>
      <x:c r="B1688" s="1" t="str">
        <x:v>Carver High School of Engineering and Science</x:v>
      </x:c>
      <x:c r="C1688" s="16" t="n">
        <x:v>0.5124788652780752</x:v>
      </x:c>
      <x:c r="D1688" s="1" t="str">
        <x:v>1642105</x:v>
      </x:c>
      <x:c r="E1688" s="1" t="str">
        <x:v>The Fresh Grocer</x:v>
      </x:c>
      <x:c r="F1688" s="1" t="str">
        <x:v>1501 N Broad St, Philadelphia, PA, 19122</x:v>
      </x:c>
      <x:c r="G1688" s="1" t="n">
        <x:v>13</x:v>
      </x:c>
      <x:c r="H1688" s="1" t="str">
        <x:v>2026-10-09</x:v>
      </x:c>
      <x:c r="I1688" s="1" t="str">
        <x:v>Listed outlets and resources require access verification</x:v>
      </x:c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  <x:c r="AA1688" s="1"/>
      <x:c r="AB1688" s="1"/>
      <x:c r="AC1688" s="1"/>
      <x:c r="AD1688" s="1"/>
      <x:c r="AE1688" s="1"/>
      <x:c r="AF1688" s="1"/>
      <x:c r="AG1688" s="1"/>
      <x:c r="AH1688" s="1"/>
      <x:c r="AI1688" s="1"/>
      <x:c r="AJ1688" s="1"/>
      <x:c r="AK1688" s="1"/>
      <x:c r="AL1688" s="1"/>
      <x:c r="AM1688" s="1"/>
      <x:c r="AN1688" s="1"/>
    </x:row>
    <x:row r="1689" ht="22" customHeight="1">
      <x:c r="A1689" s="1" t="str">
        <x:v>4060</x:v>
      </x:c>
      <x:c r="B1689" s="1" t="str">
        <x:v>Murrell Dobbins Career and Technical High School</x:v>
      </x:c>
      <x:c r="C1689" s="16" t="n">
        <x:v>0.04483946969533602</x:v>
      </x:c>
      <x:c r="D1689" s="1" t="str">
        <x:v>1286448</x:v>
      </x:c>
      <x:c r="E1689" s="1" t="str">
        <x:v>Save-A-Lot 60142</x:v>
      </x:c>
      <x:c r="F1689" s="1" t="str">
        <x:v>2101 W Lehigh Ave, Philadelphia, PA, 19132</x:v>
      </x:c>
      <x:c r="G1689" s="1" t="n">
        <x:v>14</x:v>
      </x:c>
      <x:c r="H1689" s="1" t="str">
        <x:v>2026-10-09</x:v>
      </x:c>
      <x:c r="I1689" s="1" t="str">
        <x:v>Listed outlets and resources require access verification</x:v>
      </x:c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  <x:c r="AA1689" s="1"/>
      <x:c r="AB1689" s="1"/>
      <x:c r="AC1689" s="1"/>
      <x:c r="AD1689" s="1"/>
      <x:c r="AE1689" s="1"/>
      <x:c r="AF1689" s="1"/>
      <x:c r="AG1689" s="1"/>
      <x:c r="AH1689" s="1"/>
      <x:c r="AI1689" s="1"/>
      <x:c r="AJ1689" s="1"/>
      <x:c r="AK1689" s="1"/>
      <x:c r="AL1689" s="1"/>
      <x:c r="AM1689" s="1"/>
      <x:c r="AN1689" s="1"/>
    </x:row>
    <x:row r="1690" ht="22" customHeight="1">
      <x:c r="A1690" s="1" t="str">
        <x:v>4140</x:v>
      </x:c>
      <x:c r="B1690" s="1" t="str">
        <x:v>Strawberry Mansion High School</x:v>
      </x:c>
      <x:c r="C1690" s="16" t="n">
        <x:v>0.325702508834255</x:v>
      </x:c>
      <x:c r="D1690" s="1" t="str">
        <x:v>837205</x:v>
      </x:c>
      <x:c r="E1690" s="1" t="str">
        <x:v>SAVE-A-LOT 60146</x:v>
      </x:c>
      <x:c r="F1690" s="1" t="str">
        <x:v>2801 W Dauphin St, Philadelphia, PA, 19132</x:v>
      </x:c>
      <x:c r="G1690" s="1" t="n">
        <x:v>12</x:v>
      </x:c>
      <x:c r="H1690" s="1" t="str">
        <x:v>2026-10-09</x:v>
      </x:c>
      <x:c r="I1690" s="1" t="str">
        <x:v>Listed outlets and resources require access verification</x:v>
      </x:c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  <x:c r="AA1690" s="1"/>
      <x:c r="AB1690" s="1"/>
      <x:c r="AC1690" s="1"/>
      <x:c r="AD1690" s="1"/>
      <x:c r="AE1690" s="1"/>
      <x:c r="AF1690" s="1"/>
      <x:c r="AG1690" s="1"/>
      <x:c r="AH1690" s="1"/>
      <x:c r="AI1690" s="1"/>
      <x:c r="AJ1690" s="1"/>
      <x:c r="AK1690" s="1"/>
      <x:c r="AL1690" s="1"/>
      <x:c r="AM1690" s="1"/>
      <x:c r="AN1690" s="1"/>
    </x:row>
    <x:row r="1691" ht="22" customHeight="1">
      <x:c r="A1691" s="1" t="str">
        <x:v>4220</x:v>
      </x:c>
      <x:c r="B1691" s="1" t="str">
        <x:v>James G. Blaine School</x:v>
      </x:c>
      <x:c r="C1691" s="16" t="n">
        <x:v>0.4687072444951352</x:v>
      </x:c>
      <x:c r="D1691" s="1" t="str">
        <x:v>837205</x:v>
      </x:c>
      <x:c r="E1691" s="1" t="str">
        <x:v>SAVE-A-LOT 60146</x:v>
      </x:c>
      <x:c r="F1691" s="1" t="str">
        <x:v>2801 W Dauphin St, Philadelphia, PA, 19132</x:v>
      </x:c>
      <x:c r="G1691" s="1" t="n">
        <x:v>11</x:v>
      </x:c>
      <x:c r="H1691" s="1" t="str">
        <x:v>2026-10-09</x:v>
      </x:c>
      <x:c r="I1691" s="1" t="str">
        <x:v>Listed outlets and resources require access verification</x:v>
      </x:c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  <x:c r="AA1691" s="1"/>
      <x:c r="AB1691" s="1"/>
      <x:c r="AC1691" s="1"/>
      <x:c r="AD1691" s="1"/>
      <x:c r="AE1691" s="1"/>
      <x:c r="AF1691" s="1"/>
      <x:c r="AG1691" s="1"/>
      <x:c r="AH1691" s="1"/>
      <x:c r="AI1691" s="1"/>
      <x:c r="AJ1691" s="1"/>
      <x:c r="AK1691" s="1"/>
      <x:c r="AL1691" s="1"/>
      <x:c r="AM1691" s="1"/>
      <x:c r="AN1691" s="1"/>
    </x:row>
    <x:row r="1692" ht="22" customHeight="1">
      <x:c r="A1692" s="1" t="str">
        <x:v>4240</x:v>
      </x:c>
      <x:c r="B1692" s="1" t="str">
        <x:v>Lewis C. Cassidy Academics Plus School</x:v>
      </x:c>
      <x:c r="C1692" s="16" t="n">
        <x:v>0.8875990918896205</x:v>
      </x:c>
      <x:c r="D1692" s="1" t="str">
        <x:v>1672599</x:v>
      </x:c>
      <x:c r="E1692" s="1" t="str">
        <x:v>Al Aqsa Supermarket</x:v>
      </x:c>
      <x:c r="F1692" s="1" t="str">
        <x:v>6501 Market St, Upper Darby, PA, 19082</x:v>
      </x:c>
      <x:c r="G1692" s="1" t="n">
        <x:v>6</x:v>
      </x:c>
      <x:c r="H1692" s="1" t="str">
        <x:v>2026-10-09</x:v>
      </x:c>
      <x:c r="I1692" s="1" t="str">
        <x:v>Listed outlets and resources require access verification</x:v>
      </x:c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  <x:c r="AA1692" s="1"/>
      <x:c r="AB1692" s="1"/>
      <x:c r="AC1692" s="1"/>
      <x:c r="AD1692" s="1"/>
      <x:c r="AE1692" s="1"/>
      <x:c r="AF1692" s="1"/>
      <x:c r="AG1692" s="1"/>
      <x:c r="AH1692" s="1"/>
      <x:c r="AI1692" s="1"/>
      <x:c r="AJ1692" s="1"/>
      <x:c r="AK1692" s="1"/>
      <x:c r="AL1692" s="1"/>
      <x:c r="AM1692" s="1"/>
      <x:c r="AN1692" s="1"/>
    </x:row>
    <x:row r="1693" ht="22" customHeight="1">
      <x:c r="A1693" s="1" t="str">
        <x:v>4270</x:v>
      </x:c>
      <x:c r="B1693" s="1" t="str">
        <x:v>William Dick School</x:v>
      </x:c>
      <x:c r="C1693" s="16" t="n">
        <x:v>0.35343027900899937</x:v>
      </x:c>
      <x:c r="D1693" s="1" t="str">
        <x:v>837205</x:v>
      </x:c>
      <x:c r="E1693" s="1" t="str">
        <x:v>SAVE-A-LOT 60146</x:v>
      </x:c>
      <x:c r="F1693" s="1" t="str">
        <x:v>2801 W Dauphin St, Philadelphia, PA, 19132</x:v>
      </x:c>
      <x:c r="G1693" s="1" t="n">
        <x:v>18</x:v>
      </x:c>
      <x:c r="H1693" s="1" t="str">
        <x:v>2026-10-09</x:v>
      </x:c>
      <x:c r="I1693" s="1" t="str">
        <x:v>Listed outlets and resources require access verification</x:v>
      </x:c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  <x:c r="AA1693" s="1"/>
      <x:c r="AB1693" s="1"/>
      <x:c r="AC1693" s="1"/>
      <x:c r="AD1693" s="1"/>
      <x:c r="AE1693" s="1"/>
      <x:c r="AF1693" s="1"/>
      <x:c r="AG1693" s="1"/>
      <x:c r="AH1693" s="1"/>
      <x:c r="AI1693" s="1"/>
      <x:c r="AJ1693" s="1"/>
      <x:c r="AK1693" s="1"/>
      <x:c r="AL1693" s="1"/>
      <x:c r="AM1693" s="1"/>
      <x:c r="AN1693" s="1"/>
    </x:row>
    <x:row r="1694" ht="22" customHeight="1">
      <x:c r="A1694" s="1" t="str">
        <x:v>4280</x:v>
      </x:c>
      <x:c r="B1694" s="1" t="str">
        <x:v>Samuel Gompers School</x:v>
      </x:c>
      <x:c r="C1694" s="16" t="n">
        <x:v>1.0969192688329938</x:v>
      </x:c>
      <x:c r="D1694" s="1" t="str">
        <x:v>500749</x:v>
      </x:c>
      <x:c r="E1694" s="1" t="str">
        <x:v>ACME 3711</x:v>
      </x:c>
      <x:c r="F1694" s="1" t="str">
        <x:v>121 E City Ave, Bala Cynwyd, PA, 19004</x:v>
      </x:c>
      <x:c r="G1694" s="1" t="n">
        <x:v>3</x:v>
      </x:c>
      <x:c r="H1694" s="1" t="str">
        <x:v>2026-10-09</x:v>
      </x:c>
      <x:c r="I1694" s="1" t="str">
        <x:v>Listed outlets and resources require access verification</x:v>
      </x:c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  <x:c r="AA1694" s="1"/>
      <x:c r="AB1694" s="1"/>
      <x:c r="AC1694" s="1"/>
      <x:c r="AD1694" s="1"/>
      <x:c r="AE1694" s="1"/>
      <x:c r="AF1694" s="1"/>
      <x:c r="AG1694" s="1"/>
      <x:c r="AH1694" s="1"/>
      <x:c r="AI1694" s="1"/>
      <x:c r="AJ1694" s="1"/>
      <x:c r="AK1694" s="1"/>
      <x:c r="AL1694" s="1"/>
      <x:c r="AM1694" s="1"/>
      <x:c r="AN1694" s="1"/>
    </x:row>
    <x:row r="1695" ht="22" customHeight="1">
      <x:c r="A1695" s="1" t="str">
        <x:v>4300</x:v>
      </x:c>
      <x:c r="B1695" s="1" t="str">
        <x:v>Edward Heston School</x:v>
      </x:c>
      <x:c r="C1695" s="16" t="n">
        <x:v>0.2522378203302679</x:v>
      </x:c>
      <x:c r="D1695" s="1" t="str">
        <x:v>1443921</x:v>
      </x:c>
      <x:c r="E1695" s="1" t="str">
        <x:v>Shoprite of Parkside 419</x:v>
      </x:c>
      <x:c r="F1695" s="1" t="str">
        <x:v>1575 N 52nd St, Philadelphia, PA, 19131</x:v>
      </x:c>
      <x:c r="G1695" s="1" t="n">
        <x:v>11</x:v>
      </x:c>
      <x:c r="H1695" s="1" t="str">
        <x:v>2026-10-09</x:v>
      </x:c>
      <x:c r="I1695" s="1" t="str">
        <x:v>Listed outlets and resources require access verification</x:v>
      </x:c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  <x:c r="AA1695" s="1"/>
      <x:c r="AB1695" s="1"/>
      <x:c r="AC1695" s="1"/>
      <x:c r="AD1695" s="1"/>
      <x:c r="AE1695" s="1"/>
      <x:c r="AF1695" s="1"/>
      <x:c r="AG1695" s="1"/>
      <x:c r="AH1695" s="1"/>
      <x:c r="AI1695" s="1"/>
      <x:c r="AJ1695" s="1"/>
      <x:c r="AK1695" s="1"/>
      <x:c r="AL1695" s="1"/>
      <x:c r="AM1695" s="1"/>
      <x:c r="AN1695" s="1"/>
    </x:row>
    <x:row r="1696" ht="22" customHeight="1">
      <x:c r="A1696" s="1" t="str">
        <x:v>4320</x:v>
      </x:c>
      <x:c r="B1696" s="1" t="str">
        <x:v>Robert E. Lamberton School</x:v>
      </x:c>
      <x:c r="C1696" s="16" t="n">
        <x:v>0.3189351358977049</x:v>
      </x:c>
      <x:c r="D1696" s="1" t="str">
        <x:v>1224275</x:v>
      </x:c>
      <x:c r="E1696" s="1" t="str">
        <x:v>ALDI 60024 60024</x:v>
      </x:c>
      <x:c r="F1696" s="1" t="str">
        <x:v>1911 N 76th St, Philadelphia, PA, 19151</x:v>
      </x:c>
      <x:c r="G1696" s="1" t="n">
        <x:v>0</x:v>
      </x:c>
      <x:c r="H1696" s="1" t="str">
        <x:v>2026-10-09</x:v>
      </x:c>
      <x:c r="I1696" s="1" t="str">
        <x:v>Listed outlets and resources require access verification</x:v>
      </x:c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  <x:c r="AA1696" s="1"/>
      <x:c r="AB1696" s="1"/>
      <x:c r="AC1696" s="1"/>
      <x:c r="AD1696" s="1"/>
      <x:c r="AE1696" s="1"/>
      <x:c r="AF1696" s="1"/>
      <x:c r="AG1696" s="1"/>
      <x:c r="AH1696" s="1"/>
      <x:c r="AI1696" s="1"/>
      <x:c r="AJ1696" s="1"/>
      <x:c r="AK1696" s="1"/>
      <x:c r="AL1696" s="1"/>
      <x:c r="AM1696" s="1"/>
      <x:c r="AN1696" s="1"/>
    </x:row>
    <x:row r="1697" ht="22" customHeight="1">
      <x:c r="A1697" s="1" t="str">
        <x:v>4350</x:v>
      </x:c>
      <x:c r="B1697" s="1" t="str">
        <x:v>E. Washington Rhodes School</x:v>
      </x:c>
      <x:c r="C1697" s="16" t="n">
        <x:v>0.5272856449124409</x:v>
      </x:c>
      <x:c r="D1697" s="1" t="str">
        <x:v>1012862</x:v>
      </x:c>
      <x:c r="E1697" s="1" t="str">
        <x:v>Shop Mark Supermarket</x:v>
      </x:c>
      <x:c r="F1697" s="1" t="str">
        <x:v>2522 W Lehigh Ave, Philadelphia, PA, 19132</x:v>
      </x:c>
      <x:c r="G1697" s="1" t="n">
        <x:v>9</x:v>
      </x:c>
      <x:c r="H1697" s="1" t="str">
        <x:v>2026-10-09</x:v>
      </x:c>
      <x:c r="I1697" s="1" t="str">
        <x:v>Listed outlets and resources require access verification</x:v>
      </x:c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  <x:c r="AA1697" s="1"/>
      <x:c r="AB1697" s="1"/>
      <x:c r="AC1697" s="1"/>
      <x:c r="AD1697" s="1"/>
      <x:c r="AE1697" s="1"/>
      <x:c r="AF1697" s="1"/>
      <x:c r="AG1697" s="1"/>
      <x:c r="AH1697" s="1"/>
      <x:c r="AI1697" s="1"/>
      <x:c r="AJ1697" s="1"/>
      <x:c r="AK1697" s="1"/>
      <x:c r="AL1697" s="1"/>
      <x:c r="AM1697" s="1"/>
      <x:c r="AN1697" s="1"/>
    </x:row>
    <x:row r="1698" ht="22" customHeight="1">
      <x:c r="A1698" s="1" t="str">
        <x:v>4360</x:v>
      </x:c>
      <x:c r="B1698" s="1" t="str">
        <x:v>Kenderton School</x:v>
      </x:c>
      <x:c r="C1698" s="16" t="n">
        <x:v>0.9017672767855051</x:v>
      </x:c>
      <x:c r="D1698" s="1" t="str">
        <x:v>1286448</x:v>
      </x:c>
      <x:c r="E1698" s="1" t="str">
        <x:v>Save-A-Lot 60142</x:v>
      </x:c>
      <x:c r="F1698" s="1" t="str">
        <x:v>2101 W Lehigh Ave, Philadelphia, PA, 19132</x:v>
      </x:c>
      <x:c r="G1698" s="1" t="n">
        <x:v>10</x:v>
      </x:c>
      <x:c r="H1698" s="1" t="str">
        <x:v>2026-10-09</x:v>
      </x:c>
      <x:c r="I1698" s="1" t="str">
        <x:v>Listed outlets and resources require access verification</x:v>
      </x:c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  <x:c r="AA1698" s="1"/>
      <x:c r="AB1698" s="1"/>
      <x:c r="AC1698" s="1"/>
      <x:c r="AD1698" s="1"/>
      <x:c r="AE1698" s="1"/>
      <x:c r="AF1698" s="1"/>
      <x:c r="AG1698" s="1"/>
      <x:c r="AH1698" s="1"/>
      <x:c r="AI1698" s="1"/>
      <x:c r="AJ1698" s="1"/>
      <x:c r="AK1698" s="1"/>
      <x:c r="AL1698" s="1"/>
      <x:c r="AM1698" s="1"/>
      <x:c r="AN1698" s="1"/>
    </x:row>
    <x:row r="1699" ht="22" customHeight="1">
      <x:c r="A1699" s="1" t="str">
        <x:v>4370</x:v>
      </x:c>
      <x:c r="B1699" s="1" t="str">
        <x:v>Overbrook Elementary School</x:v>
      </x:c>
      <x:c r="C1699" s="16" t="n">
        <x:v>1.124738261070969</x:v>
      </x:c>
      <x:c r="D1699" s="1" t="str">
        <x:v>1443921</x:v>
      </x:c>
      <x:c r="E1699" s="1" t="str">
        <x:v>Shoprite of Parkside 419</x:v>
      </x:c>
      <x:c r="F1699" s="1" t="str">
        <x:v>1575 N 52nd St, Philadelphia, PA, 19131</x:v>
      </x:c>
      <x:c r="G1699" s="1" t="n">
        <x:v>6</x:v>
      </x:c>
      <x:c r="H1699" s="1" t="str">
        <x:v>2026-10-09</x:v>
      </x:c>
      <x:c r="I1699" s="1" t="str">
        <x:v>Listed outlets and resources require access verification</x:v>
      </x:c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  <x:c r="AA1699" s="1"/>
      <x:c r="AB1699" s="1"/>
      <x:c r="AC1699" s="1"/>
      <x:c r="AD1699" s="1"/>
      <x:c r="AE1699" s="1"/>
      <x:c r="AF1699" s="1"/>
      <x:c r="AG1699" s="1"/>
      <x:c r="AH1699" s="1"/>
      <x:c r="AI1699" s="1"/>
      <x:c r="AJ1699" s="1"/>
      <x:c r="AK1699" s="1"/>
      <x:c r="AL1699" s="1"/>
      <x:c r="AM1699" s="1"/>
      <x:c r="AN1699" s="1"/>
    </x:row>
    <x:row r="1700" ht="22" customHeight="1">
      <x:c r="A1700" s="1" t="str">
        <x:v>4380</x:v>
      </x:c>
      <x:c r="B1700" s="1" t="str">
        <x:v>Thomas M. Peirce School</x:v>
      </x:c>
      <x:c r="C1700" s="16" t="n">
        <x:v>0.2679426483721001</x:v>
      </x:c>
      <x:c r="D1700" s="1" t="str">
        <x:v>1286448</x:v>
      </x:c>
      <x:c r="E1700" s="1" t="str">
        <x:v>Save-A-Lot 60142</x:v>
      </x:c>
      <x:c r="F1700" s="1" t="str">
        <x:v>2101 W Lehigh Ave, Philadelphia, PA, 19132</x:v>
      </x:c>
      <x:c r="G1700" s="1" t="n">
        <x:v>12</x:v>
      </x:c>
      <x:c r="H1700" s="1" t="str">
        <x:v>2026-10-09</x:v>
      </x:c>
      <x:c r="I1700" s="1" t="str">
        <x:v>Listed outlets and resources require access verification</x:v>
      </x:c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  <x:c r="AA1700" s="1"/>
      <x:c r="AB1700" s="1"/>
      <x:c r="AC1700" s="1"/>
      <x:c r="AD1700" s="1"/>
      <x:c r="AE1700" s="1"/>
      <x:c r="AF1700" s="1"/>
      <x:c r="AG1700" s="1"/>
      <x:c r="AH1700" s="1"/>
      <x:c r="AI1700" s="1"/>
      <x:c r="AJ1700" s="1"/>
      <x:c r="AK1700" s="1"/>
      <x:c r="AL1700" s="1"/>
      <x:c r="AM1700" s="1"/>
      <x:c r="AN1700" s="1"/>
    </x:row>
    <x:row r="1701" ht="22" customHeight="1">
      <x:c r="A1701" s="1" t="str">
        <x:v>4440</x:v>
      </x:c>
      <x:c r="B1701" s="1" t="str">
        <x:v>Dr. Ethel Allen School</x:v>
      </x:c>
      <x:c r="C1701" s="16" t="n">
        <x:v>0.5517844174329641</x:v>
      </x:c>
      <x:c r="D1701" s="1" t="str">
        <x:v>1012862</x:v>
      </x:c>
      <x:c r="E1701" s="1" t="str">
        <x:v>Shop Mark Supermarket</x:v>
      </x:c>
      <x:c r="F1701" s="1" t="str">
        <x:v>2522 W Lehigh Ave, Philadelphia, PA, 19132</x:v>
      </x:c>
      <x:c r="G1701" s="1" t="n">
        <x:v>10</x:v>
      </x:c>
      <x:c r="H1701" s="1" t="str">
        <x:v>2026-10-09</x:v>
      </x:c>
      <x:c r="I1701" s="1" t="str">
        <x:v>Listed outlets and resources require access verification</x:v>
      </x:c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  <x:c r="AA1701" s="1"/>
      <x:c r="AB1701" s="1"/>
      <x:c r="AC1701" s="1"/>
      <x:c r="AD1701" s="1"/>
      <x:c r="AE1701" s="1"/>
      <x:c r="AF1701" s="1"/>
      <x:c r="AG1701" s="1"/>
      <x:c r="AH1701" s="1"/>
      <x:c r="AI1701" s="1"/>
      <x:c r="AJ1701" s="1"/>
      <x:c r="AK1701" s="1"/>
      <x:c r="AL1701" s="1"/>
      <x:c r="AM1701" s="1"/>
      <x:c r="AN1701" s="1"/>
    </x:row>
    <x:row r="1702" ht="22" customHeight="1">
      <x:c r="A1702" s="1" t="str">
        <x:v>4460</x:v>
      </x:c>
      <x:c r="B1702" s="1" t="str">
        <x:v>Tanner G. Duckrey School</x:v>
      </x:c>
      <x:c r="C1702" s="16" t="n">
        <x:v>0.5975436548193497</x:v>
      </x:c>
      <x:c r="D1702" s="1" t="str">
        <x:v>1642105</x:v>
      </x:c>
      <x:c r="E1702" s="1" t="str">
        <x:v>The Fresh Grocer</x:v>
      </x:c>
      <x:c r="F1702" s="1" t="str">
        <x:v>1501 N Broad St, Philadelphia, PA, 19122</x:v>
      </x:c>
      <x:c r="G1702" s="1" t="n">
        <x:v>14</x:v>
      </x:c>
      <x:c r="H1702" s="1" t="str">
        <x:v>2026-10-09</x:v>
      </x:c>
      <x:c r="I1702" s="1" t="str">
        <x:v>Listed outlets and resources require access verification</x:v>
      </x:c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  <x:c r="AA1702" s="1"/>
      <x:c r="AB1702" s="1"/>
      <x:c r="AC1702" s="1"/>
      <x:c r="AD1702" s="1"/>
      <x:c r="AE1702" s="1"/>
      <x:c r="AF1702" s="1"/>
      <x:c r="AG1702" s="1"/>
      <x:c r="AH1702" s="1"/>
      <x:c r="AI1702" s="1"/>
      <x:c r="AJ1702" s="1"/>
      <x:c r="AK1702" s="1"/>
      <x:c r="AL1702" s="1"/>
      <x:c r="AM1702" s="1"/>
      <x:c r="AN1702" s="1"/>
    </x:row>
    <x:row r="1703" ht="22" customHeight="1">
      <x:c r="A1703" s="1" t="str">
        <x:v>4470</x:v>
      </x:c>
      <x:c r="B1703" s="1" t="str">
        <x:v>Richard R. Wright School</x:v>
      </x:c>
      <x:c r="C1703" s="16" t="n">
        <x:v>0.05176963877650649</x:v>
      </x:c>
      <x:c r="D1703" s="1" t="str">
        <x:v>837205</x:v>
      </x:c>
      <x:c r="E1703" s="1" t="str">
        <x:v>SAVE-A-LOT 60146</x:v>
      </x:c>
      <x:c r="F1703" s="1" t="str">
        <x:v>2801 W Dauphin St, Philadelphia, PA, 19132</x:v>
      </x:c>
      <x:c r="G1703" s="1" t="n">
        <x:v>16</x:v>
      </x:c>
      <x:c r="H1703" s="1" t="str">
        <x:v>2026-10-09</x:v>
      </x:c>
      <x:c r="I1703" s="1" t="str">
        <x:v>Listed outlets and resources require access verification</x:v>
      </x:c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  <x:c r="AA1703" s="1"/>
      <x:c r="AB1703" s="1"/>
      <x:c r="AC1703" s="1"/>
      <x:c r="AD1703" s="1"/>
      <x:c r="AE1703" s="1"/>
      <x:c r="AF1703" s="1"/>
      <x:c r="AG1703" s="1"/>
      <x:c r="AH1703" s="1"/>
      <x:c r="AI1703" s="1"/>
      <x:c r="AJ1703" s="1"/>
      <x:c r="AK1703" s="1"/>
      <x:c r="AL1703" s="1"/>
      <x:c r="AM1703" s="1"/>
      <x:c r="AN1703" s="1"/>
    </x:row>
    <x:row r="1704" ht="22" customHeight="1">
      <x:c r="A1704" s="1" t="str">
        <x:v>4480</x:v>
      </x:c>
      <x:c r="B1704" s="1" t="str">
        <x:v>Overbrook Educational Center</x:v>
      </x:c>
      <x:c r="C1704" s="16" t="n">
        <x:v>0.7783570031125103</x:v>
      </x:c>
      <x:c r="D1704" s="1" t="str">
        <x:v>1672599</x:v>
      </x:c>
      <x:c r="E1704" s="1" t="str">
        <x:v>Al Aqsa Supermarket</x:v>
      </x:c>
      <x:c r="F1704" s="1" t="str">
        <x:v>6501 Market St, Upper Darby, PA, 19082</x:v>
      </x:c>
      <x:c r="G1704" s="1" t="n">
        <x:v>6</x:v>
      </x:c>
      <x:c r="H1704" s="1" t="str">
        <x:v>2026-10-09</x:v>
      </x:c>
      <x:c r="I1704" s="1" t="str">
        <x:v>Listed outlets and resources require access verification</x:v>
      </x:c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  <x:c r="AA1704" s="1"/>
      <x:c r="AB1704" s="1"/>
      <x:c r="AC1704" s="1"/>
      <x:c r="AD1704" s="1"/>
      <x:c r="AE1704" s="1"/>
      <x:c r="AF1704" s="1"/>
      <x:c r="AG1704" s="1"/>
      <x:c r="AH1704" s="1"/>
      <x:c r="AI1704" s="1"/>
      <x:c r="AJ1704" s="1"/>
      <x:c r="AK1704" s="1"/>
      <x:c r="AL1704" s="1"/>
      <x:c r="AM1704" s="1"/>
      <x:c r="AN1704" s="1"/>
    </x:row>
    <x:row r="1705" ht="22" customHeight="1">
      <x:c r="A1705" s="1" t="str">
        <x:v>4520</x:v>
      </x:c>
      <x:c r="B1705" s="1" t="str">
        <x:v>Guion S. Bluford School</x:v>
      </x:c>
      <x:c r="C1705" s="16" t="n">
        <x:v>0.596825323128687</x:v>
      </x:c>
      <x:c r="D1705" s="1" t="str">
        <x:v>946643</x:v>
      </x:c>
      <x:c r="E1705" s="1" t="str">
        <x:v>Save A Lot 24712</x:v>
      </x:c>
      <x:c r="F1705" s="1" t="str">
        <x:v>5601 Vine St, Philadelphia, PA, 19139</x:v>
      </x:c>
      <x:c r="G1705" s="1" t="n">
        <x:v>12</x:v>
      </x:c>
      <x:c r="H1705" s="1" t="str">
        <x:v>2026-10-09</x:v>
      </x:c>
      <x:c r="I1705" s="1" t="str">
        <x:v>Listed outlets and resources require access verification</x:v>
      </x:c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  <x:c r="AA1705" s="1"/>
      <x:c r="AB1705" s="1"/>
      <x:c r="AC1705" s="1"/>
      <x:c r="AD1705" s="1"/>
      <x:c r="AE1705" s="1"/>
      <x:c r="AF1705" s="1"/>
      <x:c r="AG1705" s="1"/>
      <x:c r="AH1705" s="1"/>
      <x:c r="AI1705" s="1"/>
      <x:c r="AJ1705" s="1"/>
      <x:c r="AK1705" s="1"/>
      <x:c r="AL1705" s="1"/>
      <x:c r="AM1705" s="1"/>
      <x:c r="AN1705" s="1"/>
    </x:row>
    <x:row r="1706" ht="22" customHeight="1">
      <x:c r="A1706" s="1" t="str">
        <x:v>4530</x:v>
      </x:c>
      <x:c r="B1706" s="1" t="str">
        <x:v>Edward Gideon School</x:v>
      </x:c>
      <x:c r="C1706" s="16" t="n">
        <x:v>0.4518948476896475</x:v>
      </x:c>
      <x:c r="D1706" s="1" t="str">
        <x:v>837205</x:v>
      </x:c>
      <x:c r="E1706" s="1" t="str">
        <x:v>SAVE-A-LOT 60146</x:v>
      </x:c>
      <x:c r="F1706" s="1" t="str">
        <x:v>2801 W Dauphin St, Philadelphia, PA, 19132</x:v>
      </x:c>
      <x:c r="G1706" s="1" t="n">
        <x:v>14</x:v>
      </x:c>
      <x:c r="H1706" s="1" t="str">
        <x:v>2026-10-09</x:v>
      </x:c>
      <x:c r="I1706" s="1" t="str">
        <x:v>Listed outlets and resources require access verification</x:v>
      </x:c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  <x:c r="AA1706" s="1"/>
      <x:c r="AB1706" s="1"/>
      <x:c r="AC1706" s="1"/>
      <x:c r="AD1706" s="1"/>
      <x:c r="AE1706" s="1"/>
      <x:c r="AF1706" s="1"/>
      <x:c r="AG1706" s="1"/>
      <x:c r="AH1706" s="1"/>
      <x:c r="AI1706" s="1"/>
      <x:c r="AJ1706" s="1"/>
      <x:c r="AK1706" s="1"/>
      <x:c r="AL1706" s="1"/>
      <x:c r="AM1706" s="1"/>
      <x:c r="AN1706" s="1"/>
    </x:row>
    <x:row r="1707" ht="22" customHeight="1">
      <x:c r="A1707" s="1" t="str">
        <x:v>4560</x:v>
      </x:c>
      <x:c r="B1707" s="1" t="str">
        <x:v>William D. Kelley School</x:v>
      </x:c>
      <x:c r="C1707" s="16" t="n">
        <x:v>0.5182431993336692</x:v>
      </x:c>
      <x:c r="D1707" s="1" t="str">
        <x:v>1208927</x:v>
      </x:c>
      <x:c r="E1707" s="1" t="str">
        <x:v>Aldi 43</x:v>
      </x:c>
      <x:c r="F1707" s="1" t="str">
        <x:v>3101 W Girard Ave, Philadelphia, PA, 19130</x:v>
      </x:c>
      <x:c r="G1707" s="1" t="n">
        <x:v>11</x:v>
      </x:c>
      <x:c r="H1707" s="1" t="str">
        <x:v>2026-10-09</x:v>
      </x:c>
      <x:c r="I1707" s="1" t="str">
        <x:v>Listed outlets and resources require access verification</x:v>
      </x:c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  <x:c r="AA1707" s="1"/>
      <x:c r="AB1707" s="1"/>
      <x:c r="AC1707" s="1"/>
      <x:c r="AD1707" s="1"/>
      <x:c r="AE1707" s="1"/>
      <x:c r="AF1707" s="1"/>
      <x:c r="AG1707" s="1"/>
      <x:c r="AH1707" s="1"/>
      <x:c r="AI1707" s="1"/>
      <x:c r="AJ1707" s="1"/>
      <x:c r="AK1707" s="1"/>
      <x:c r="AL1707" s="1"/>
      <x:c r="AM1707" s="1"/>
      <x:c r="AN1707" s="1"/>
    </x:row>
    <x:row r="1708" ht="22" customHeight="1">
      <x:c r="A1708" s="1" t="str">
        <x:v>4570</x:v>
      </x:c>
      <x:c r="B1708" s="1" t="str">
        <x:v>General George G. Meade School</x:v>
      </x:c>
      <x:c r="C1708" s="16" t="n">
        <x:v>0.21564962660321715</x:v>
      </x:c>
      <x:c r="D1708" s="1" t="str">
        <x:v>1654279</x:v>
      </x:c>
      <x:c r="E1708" s="1" t="str">
        <x:v>Grocery Outlet</x:v>
      </x:c>
      <x:c r="F1708" s="1" t="str">
        <x:v>2077 Ridge Ave, Philadelphia, PA, 19121</x:v>
      </x:c>
      <x:c r="G1708" s="1" t="n">
        <x:v>15</x:v>
      </x:c>
      <x:c r="H1708" s="1" t="str">
        <x:v>2026-10-09</x:v>
      </x:c>
      <x:c r="I1708" s="1" t="str">
        <x:v>Listed outlets and resources require access verification</x:v>
      </x:c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  <x:c r="AA1708" s="1"/>
      <x:c r="AB1708" s="1"/>
      <x:c r="AC1708" s="1"/>
      <x:c r="AD1708" s="1"/>
      <x:c r="AE1708" s="1"/>
      <x:c r="AF1708" s="1"/>
      <x:c r="AG1708" s="1"/>
      <x:c r="AH1708" s="1"/>
      <x:c r="AI1708" s="1"/>
      <x:c r="AJ1708" s="1"/>
      <x:c r="AK1708" s="1"/>
      <x:c r="AL1708" s="1"/>
      <x:c r="AM1708" s="1"/>
      <x:c r="AN1708" s="1"/>
    </x:row>
    <x:row r="1709" ht="22" customHeight="1">
      <x:c r="A1709" s="1" t="str">
        <x:v>5020</x:v>
      </x:c>
      <x:c r="B1709" s="1" t="str">
        <x:v>Thomas A. Edison High School</x:v>
      </x:c>
      <x:c r="C1709" s="16" t="n">
        <x:v>0.38478756667770925</x:v>
      </x:c>
      <x:c r="D1709" s="1" t="str">
        <x:v>497084</x:v>
      </x:c>
      <x:c r="E1709" s="1" t="str">
        <x:v>COUSINS SUPERMARKET INC. #2</x:v>
      </x:c>
      <x:c r="F1709" s="1" t="str">
        <x:v>4037 N 5th St, Philadelphia, PA, 19140</x:v>
      </x:c>
      <x:c r="G1709" s="1" t="n">
        <x:v>11</x:v>
      </x:c>
      <x:c r="H1709" s="1" t="str">
        <x:v>2026-10-09</x:v>
      </x:c>
      <x:c r="I1709" s="1" t="str">
        <x:v>Listed outlets and resources require access verification</x:v>
      </x:c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  <x:c r="AA1709" s="1"/>
      <x:c r="AB1709" s="1"/>
      <x:c r="AC1709" s="1"/>
      <x:c r="AD1709" s="1"/>
      <x:c r="AE1709" s="1"/>
      <x:c r="AF1709" s="1"/>
      <x:c r="AG1709" s="1"/>
      <x:c r="AH1709" s="1"/>
      <x:c r="AI1709" s="1"/>
      <x:c r="AJ1709" s="1"/>
      <x:c r="AK1709" s="1"/>
      <x:c r="AL1709" s="1"/>
      <x:c r="AM1709" s="1"/>
      <x:c r="AN1709" s="1"/>
    </x:row>
    <x:row r="1710" ht="22" customHeight="1">
      <x:c r="A1710" s="1" t="str">
        <x:v>5050</x:v>
      </x:c>
      <x:c r="B1710" s="1" t="str">
        <x:v>Philadelphia Military Academy</x:v>
      </x:c>
      <x:c r="C1710" s="16" t="n">
        <x:v>0.5857793237601087</x:v>
      </x:c>
      <x:c r="D1710" s="1" t="str">
        <x:v>1642105</x:v>
      </x:c>
      <x:c r="E1710" s="1" t="str">
        <x:v>The Fresh Grocer</x:v>
      </x:c>
      <x:c r="F1710" s="1" t="str">
        <x:v>1501 N Broad St, Philadelphia, PA, 19122</x:v>
      </x:c>
      <x:c r="G1710" s="1" t="n">
        <x:v>14</x:v>
      </x:c>
      <x:c r="H1710" s="1" t="str">
        <x:v>2026-10-09</x:v>
      </x:c>
      <x:c r="I1710" s="1" t="str">
        <x:v>Listed outlets and resources require access verification</x:v>
      </x:c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  <x:c r="AA1710" s="1"/>
      <x:c r="AB1710" s="1"/>
      <x:c r="AC1710" s="1"/>
      <x:c r="AD1710" s="1"/>
      <x:c r="AE1710" s="1"/>
      <x:c r="AF1710" s="1"/>
      <x:c r="AG1710" s="1"/>
      <x:c r="AH1710" s="1"/>
      <x:c r="AI1710" s="1"/>
      <x:c r="AJ1710" s="1"/>
      <x:c r="AK1710" s="1"/>
      <x:c r="AL1710" s="1"/>
      <x:c r="AM1710" s="1"/>
      <x:c r="AN1710" s="1"/>
    </x:row>
    <x:row r="1711" ht="22" customHeight="1">
      <x:c r="A1711" s="1" t="str">
        <x:v>5060</x:v>
      </x:c>
      <x:c r="B1711" s="1" t="str">
        <x:v>Jules E. Mastbaum Area Vocational Technical High School</x:v>
      </x:c>
      <x:c r="C1711" s="16" t="n">
        <x:v>0.7012719972909999</x:v>
      </x:c>
      <x:c r="D1711" s="1" t="str">
        <x:v>1678957</x:v>
      </x:c>
      <x:c r="E1711" s="1" t="str">
        <x:v>Save A Lot 30224</x:v>
      </x:c>
      <x:c r="F1711" s="1" t="str">
        <x:v>2132 E Lehigh Ave, Philadelphia, PA, 19125</x:v>
      </x:c>
      <x:c r="G1711" s="1" t="n">
        <x:v>9</x:v>
      </x:c>
      <x:c r="H1711" s="1" t="str">
        <x:v>2026-10-09</x:v>
      </x:c>
      <x:c r="I1711" s="1" t="str">
        <x:v>Listed outlets and resources require access verification</x:v>
      </x:c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  <x:c r="AA1711" s="1"/>
      <x:c r="AB1711" s="1"/>
      <x:c r="AC1711" s="1"/>
      <x:c r="AD1711" s="1"/>
      <x:c r="AE1711" s="1"/>
      <x:c r="AF1711" s="1"/>
      <x:c r="AG1711" s="1"/>
      <x:c r="AH1711" s="1"/>
      <x:c r="AI1711" s="1"/>
      <x:c r="AJ1711" s="1"/>
      <x:c r="AK1711" s="1"/>
      <x:c r="AL1711" s="1"/>
      <x:c r="AM1711" s="1"/>
      <x:c r="AN1711" s="1"/>
    </x:row>
    <x:row r="1712" ht="22" customHeight="1">
      <x:c r="A1712" s="1" t="str">
        <x:v>5070</x:v>
      </x:c>
      <x:c r="B1712" s="1" t="str">
        <x:v>Parkway Northwest High School</x:v>
      </x:c>
      <x:c r="C1712" s="16" t="n">
        <x:v>0.6204256696521764</x:v>
      </x:c>
      <x:c r="D1712" s="1" t="str">
        <x:v>1270964</x:v>
      </x:c>
      <x:c r="E1712" s="1" t="str">
        <x:v>Save A Lot 45141</x:v>
      </x:c>
      <x:c r="F1712" s="1" t="str">
        <x:v>6301 Chew Ave, Philadelphia, PA, 19138</x:v>
      </x:c>
      <x:c r="G1712" s="1" t="n">
        <x:v>12</x:v>
      </x:c>
      <x:c r="H1712" s="1" t="str">
        <x:v>2026-10-09</x:v>
      </x:c>
      <x:c r="I1712" s="1" t="str">
        <x:v>Listed outlets and resources require access verification</x:v>
      </x:c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  <x:c r="AA1712" s="1"/>
      <x:c r="AB1712" s="1"/>
      <x:c r="AC1712" s="1"/>
      <x:c r="AD1712" s="1"/>
      <x:c r="AE1712" s="1"/>
      <x:c r="AF1712" s="1"/>
      <x:c r="AG1712" s="1"/>
      <x:c r="AH1712" s="1"/>
      <x:c r="AI1712" s="1"/>
      <x:c r="AJ1712" s="1"/>
      <x:c r="AK1712" s="1"/>
      <x:c r="AL1712" s="1"/>
      <x:c r="AM1712" s="1"/>
      <x:c r="AN1712" s="1"/>
    </x:row>
    <x:row r="1713" ht="22" customHeight="1">
      <x:c r="A1713" s="1" t="str">
        <x:v>5080</x:v>
      </x:c>
      <x:c r="B1713" s="1" t="str">
        <x:v>Parkway Center City Middle College High School</x:v>
      </x:c>
      <x:c r="C1713" s="16" t="n">
        <x:v>0.1555798399436579</x:v>
      </x:c>
      <x:c r="D1713" s="1" t="str">
        <x:v>1672967</x:v>
      </x:c>
      <x:c r="E1713" s="1" t="str">
        <x:v>Giant Food Store 6573</x:v>
      </x:c>
      <x:c r="F1713" s="1" t="str">
        <x:v>510 N Broad St, Philadelphia, PA, 19130</x:v>
      </x:c>
      <x:c r="G1713" s="1" t="n">
        <x:v>10</x:v>
      </x:c>
      <x:c r="H1713" s="1" t="str">
        <x:v>2026-10-09</x:v>
      </x:c>
      <x:c r="I1713" s="1" t="str">
        <x:v>Listed outlets and resources require access verification</x:v>
      </x:c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  <x:c r="AA1713" s="1"/>
      <x:c r="AB1713" s="1"/>
      <x:c r="AC1713" s="1"/>
      <x:c r="AD1713" s="1"/>
      <x:c r="AE1713" s="1"/>
      <x:c r="AF1713" s="1"/>
      <x:c r="AG1713" s="1"/>
      <x:c r="AH1713" s="1"/>
      <x:c r="AI1713" s="1"/>
      <x:c r="AJ1713" s="1"/>
      <x:c r="AK1713" s="1"/>
      <x:c r="AL1713" s="1"/>
      <x:c r="AM1713" s="1"/>
      <x:c r="AN1713" s="1"/>
    </x:row>
    <x:row r="1714" ht="22" customHeight="1">
      <x:c r="A1714" s="1" t="str">
        <x:v>5090</x:v>
      </x:c>
      <x:c r="B1714" s="1" t="str">
        <x:v>Parkway West High School</x:v>
      </x:c>
      <x:c r="C1714" s="16" t="n">
        <x:v>0.36728004506671763</x:v>
      </x:c>
      <x:c r="D1714" s="1" t="str">
        <x:v>647200</x:v>
      </x:c>
      <x:c r="E1714" s="1" t="str">
        <x:v>ALDI 54</x:v>
      </x:c>
      <x:c r="F1714" s="1" t="str">
        <x:v>4421 Market St, Philadelphia, PA, 19104</x:v>
      </x:c>
      <x:c r="G1714" s="1" t="n">
        <x:v>14</x:v>
      </x:c>
      <x:c r="H1714" s="1" t="str">
        <x:v>2026-10-09</x:v>
      </x:c>
      <x:c r="I1714" s="1" t="str">
        <x:v>Listed outlets and resources require access verification</x:v>
      </x:c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  <x:c r="AA1714" s="1"/>
      <x:c r="AB1714" s="1"/>
      <x:c r="AC1714" s="1"/>
      <x:c r="AD1714" s="1"/>
      <x:c r="AE1714" s="1"/>
      <x:c r="AF1714" s="1"/>
      <x:c r="AG1714" s="1"/>
      <x:c r="AH1714" s="1"/>
      <x:c r="AI1714" s="1"/>
      <x:c r="AJ1714" s="1"/>
      <x:c r="AK1714" s="1"/>
      <x:c r="AL1714" s="1"/>
      <x:c r="AM1714" s="1"/>
      <x:c r="AN1714" s="1"/>
    </x:row>
    <x:row r="1715" ht="22" customHeight="1">
      <x:c r="A1715" s="1" t="str">
        <x:v>5150</x:v>
      </x:c>
      <x:c r="B1715" s="1" t="str">
        <x:v>William W. Bodine High School</x:v>
      </x:c>
      <x:c r="C1715" s="16" t="n">
        <x:v>0.18327217006672497</x:v>
      </x:c>
      <x:c r="D1715" s="1" t="str">
        <x:v>1663868</x:v>
      </x:c>
      <x:c r="E1715" s="1" t="str">
        <x:v>Giant Heirloom Market 6552</x:v>
      </x:c>
      <x:c r="F1715" s="1" t="str">
        <x:v>1004 N 2nd St, Philadelphia, PA, 19123</x:v>
      </x:c>
      <x:c r="G1715" s="1" t="n">
        <x:v>10</x:v>
      </x:c>
      <x:c r="H1715" s="1" t="str">
        <x:v>2026-10-09</x:v>
      </x:c>
      <x:c r="I1715" s="1" t="str">
        <x:v>Listed outlets and resources require access verification</x:v>
      </x:c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  <x:c r="AA1715" s="1"/>
      <x:c r="AB1715" s="1"/>
      <x:c r="AC1715" s="1"/>
      <x:c r="AD1715" s="1"/>
      <x:c r="AE1715" s="1"/>
      <x:c r="AF1715" s="1"/>
      <x:c r="AG1715" s="1"/>
      <x:c r="AH1715" s="1"/>
      <x:c r="AI1715" s="1"/>
      <x:c r="AJ1715" s="1"/>
      <x:c r="AK1715" s="1"/>
      <x:c r="AL1715" s="1"/>
      <x:c r="AM1715" s="1"/>
      <x:c r="AN1715" s="1"/>
    </x:row>
    <x:row r="1716" ht="22" customHeight="1">
      <x:c r="A1716" s="1" t="str">
        <x:v>5160</x:v>
      </x:c>
      <x:c r="B1716" s="1" t="str">
        <x:v>Penn Treaty School</x:v>
      </x:c>
      <x:c r="C1716" s="16" t="n">
        <x:v>0.49568608739377595</x:v>
      </x:c>
      <x:c r="D1716" s="1" t="str">
        <x:v>1483390</x:v>
      </x:c>
      <x:c r="E1716" s="1" t="str">
        <x:v>PORT RICHMOND THRIFTWAY</x:v>
      </x:c>
      <x:c r="F1716" s="1" t="str">
        <x:v>2497 Aramingo Ave, Philadelphia, PA, 19125</x:v>
      </x:c>
      <x:c r="G1716" s="1" t="n">
        <x:v>4</x:v>
      </x:c>
      <x:c r="H1716" s="1" t="str">
        <x:v>2026-10-09</x:v>
      </x:c>
      <x:c r="I1716" s="1" t="str">
        <x:v>Listed outlets and resources require access verification</x:v>
      </x:c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  <x:c r="AA1716" s="1"/>
      <x:c r="AB1716" s="1"/>
      <x:c r="AC1716" s="1"/>
      <x:c r="AD1716" s="1"/>
      <x:c r="AE1716" s="1"/>
      <x:c r="AF1716" s="1"/>
      <x:c r="AG1716" s="1"/>
      <x:c r="AH1716" s="1"/>
      <x:c r="AI1716" s="1"/>
      <x:c r="AJ1716" s="1"/>
      <x:c r="AK1716" s="1"/>
      <x:c r="AL1716" s="1"/>
      <x:c r="AM1716" s="1"/>
      <x:c r="AN1716" s="1"/>
    </x:row>
    <x:row r="1717" ht="22" customHeight="1">
      <x:c r="A1717" s="1" t="str">
        <x:v>5170</x:v>
      </x:c>
      <x:c r="B1717" s="1" t="str">
        <x:v>Julia de Burgos School</x:v>
      </x:c>
      <x:c r="C1717" s="16" t="n">
        <x:v>0.2885884773092359</x:v>
      </x:c>
      <x:c r="D1717" s="1" t="str">
        <x:v>1171179</x:v>
      </x:c>
      <x:c r="E1717" s="1" t="str">
        <x:v>Save A Lot 60139</x:v>
      </x:c>
      <x:c r="F1717" s="1" t="str">
        <x:v>701 W Lehigh Ave, Philadelphia, PA, 19133</x:v>
      </x:c>
      <x:c r="G1717" s="1" t="n">
        <x:v>14</x:v>
      </x:c>
      <x:c r="H1717" s="1" t="str">
        <x:v>2026-10-09</x:v>
      </x:c>
      <x:c r="I1717" s="1" t="str">
        <x:v>Listed outlets and resources require access verification</x:v>
      </x:c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  <x:c r="AA1717" s="1"/>
      <x:c r="AB1717" s="1"/>
      <x:c r="AC1717" s="1"/>
      <x:c r="AD1717" s="1"/>
      <x:c r="AE1717" s="1"/>
      <x:c r="AF1717" s="1"/>
      <x:c r="AG1717" s="1"/>
      <x:c r="AH1717" s="1"/>
      <x:c r="AI1717" s="1"/>
      <x:c r="AJ1717" s="1"/>
      <x:c r="AK1717" s="1"/>
      <x:c r="AL1717" s="1"/>
      <x:c r="AM1717" s="1"/>
      <x:c r="AN1717" s="1"/>
    </x:row>
    <x:row r="1718" ht="22" customHeight="1">
      <x:c r="A1718" s="1" t="str">
        <x:v>5180</x:v>
      </x:c>
      <x:c r="B1718" s="1" t="str">
        <x:v>Vaux High School</x:v>
      </x:c>
      <x:c r="C1718" s="16" t="n">
        <x:v>0.27094219653936186</x:v>
      </x:c>
      <x:c r="D1718" s="1" t="str">
        <x:v>1712831</x:v>
      </x:c>
      <x:c r="E1718" s="1" t="str">
        <x:v>Sharswood Grocery Outlet 731</x:v>
      </x:c>
      <x:c r="F1718" s="1" t="str">
        <x:v>2077 Ridge Ave, Philadelphia, PA, 19121</x:v>
      </x:c>
      <x:c r="G1718" s="1" t="n">
        <x:v>11</x:v>
      </x:c>
      <x:c r="H1718" s="1" t="str">
        <x:v>2026-10-09</x:v>
      </x:c>
      <x:c r="I1718" s="1" t="str">
        <x:v>Listed outlets and resources require access verification</x:v>
      </x:c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  <x:c r="AA1718" s="1"/>
      <x:c r="AB1718" s="1"/>
      <x:c r="AC1718" s="1"/>
      <x:c r="AD1718" s="1"/>
      <x:c r="AE1718" s="1"/>
      <x:c r="AF1718" s="1"/>
      <x:c r="AG1718" s="1"/>
      <x:c r="AH1718" s="1"/>
      <x:c r="AI1718" s="1"/>
      <x:c r="AJ1718" s="1"/>
      <x:c r="AK1718" s="1"/>
      <x:c r="AL1718" s="1"/>
      <x:c r="AM1718" s="1"/>
      <x:c r="AN1718" s="1"/>
    </x:row>
    <x:row r="1719" ht="22" customHeight="1">
      <x:c r="A1719" s="1" t="str">
        <x:v>5200</x:v>
      </x:c>
      <x:c r="B1719" s="1" t="str">
        <x:v>Alexander Adaire School</x:v>
      </x:c>
      <x:c r="C1719" s="16" t="n">
        <x:v>0.5613250972304338</x:v>
      </x:c>
      <x:c r="D1719" s="1" t="str">
        <x:v>1215658</x:v>
      </x:c>
      <x:c r="E1719" s="1" t="str">
        <x:v>Acme 0291</x:v>
      </x:c>
      <x:c r="F1719" s="1" t="str">
        <x:v>180 W Girard Ave, Philadelphia, PA, 19123</x:v>
      </x:c>
      <x:c r="G1719" s="1" t="n">
        <x:v>3</x:v>
      </x:c>
      <x:c r="H1719" s="1" t="str">
        <x:v>2026-10-09</x:v>
      </x:c>
      <x:c r="I1719" s="1" t="str">
        <x:v>Listed outlets and resources require access verification</x:v>
      </x:c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  <x:c r="AA1719" s="1"/>
      <x:c r="AB1719" s="1"/>
      <x:c r="AC1719" s="1"/>
      <x:c r="AD1719" s="1"/>
      <x:c r="AE1719" s="1"/>
      <x:c r="AF1719" s="1"/>
      <x:c r="AG1719" s="1"/>
      <x:c r="AH1719" s="1"/>
      <x:c r="AI1719" s="1"/>
      <x:c r="AJ1719" s="1"/>
      <x:c r="AK1719" s="1"/>
      <x:c r="AL1719" s="1"/>
      <x:c r="AM1719" s="1"/>
      <x:c r="AN1719" s="1"/>
    </x:row>
    <x:row r="1720" ht="22" customHeight="1">
      <x:c r="A1720" s="1" t="str">
        <x:v>5210</x:v>
      </x:c>
      <x:c r="B1720" s="1" t="str">
        <x:v>Henry A. Brown School</x:v>
      </x:c>
      <x:c r="C1720" s="16" t="n">
        <x:v>0.3483244341674434</x:v>
      </x:c>
      <x:c r="D1720" s="1" t="str">
        <x:v>1678957</x:v>
      </x:c>
      <x:c r="E1720" s="1" t="str">
        <x:v>Save A Lot 30224</x:v>
      </x:c>
      <x:c r="F1720" s="1" t="str">
        <x:v>2132 E Lehigh Ave, Philadelphia, PA, 19125</x:v>
      </x:c>
      <x:c r="G1720" s="1" t="n">
        <x:v>10</x:v>
      </x:c>
      <x:c r="H1720" s="1" t="str">
        <x:v>2026-10-09</x:v>
      </x:c>
      <x:c r="I1720" s="1" t="str">
        <x:v>Listed outlets and resources require access verification</x:v>
      </x:c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  <x:c r="AA1720" s="1"/>
      <x:c r="AB1720" s="1"/>
      <x:c r="AC1720" s="1"/>
      <x:c r="AD1720" s="1"/>
      <x:c r="AE1720" s="1"/>
      <x:c r="AF1720" s="1"/>
      <x:c r="AG1720" s="1"/>
      <x:c r="AH1720" s="1"/>
      <x:c r="AI1720" s="1"/>
      <x:c r="AJ1720" s="1"/>
      <x:c r="AK1720" s="1"/>
      <x:c r="AL1720" s="1"/>
      <x:c r="AM1720" s="1"/>
      <x:c r="AN1720" s="1"/>
    </x:row>
    <x:row r="1721" ht="22" customHeight="1">
      <x:c r="A1721" s="1" t="str">
        <x:v>5230</x:v>
      </x:c>
      <x:c r="B1721" s="1" t="str">
        <x:v>Russell H. Conwell School</x:v>
      </x:c>
      <x:c r="C1721" s="16" t="n">
        <x:v>0.5899308591075006</x:v>
      </x:c>
      <x:c r="D1721" s="1" t="str">
        <x:v>1657176</x:v>
      </x:c>
      <x:c r="E1721" s="1" t="str">
        <x:v>Super Foodtown 705</x:v>
      </x:c>
      <x:c r="F1721" s="1" t="str">
        <x:v>3528 I St, Philadelphia, PA, 19134</x:v>
      </x:c>
      <x:c r="G1721" s="1" t="n">
        <x:v>12</x:v>
      </x:c>
      <x:c r="H1721" s="1" t="str">
        <x:v>2026-10-09</x:v>
      </x:c>
      <x:c r="I1721" s="1" t="str">
        <x:v>Listed outlets and resources require access verification</x:v>
      </x:c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  <x:c r="AA1721" s="1"/>
      <x:c r="AB1721" s="1"/>
      <x:c r="AC1721" s="1"/>
      <x:c r="AD1721" s="1"/>
      <x:c r="AE1721" s="1"/>
      <x:c r="AF1721" s="1"/>
      <x:c r="AG1721" s="1"/>
      <x:c r="AH1721" s="1"/>
      <x:c r="AI1721" s="1"/>
      <x:c r="AJ1721" s="1"/>
      <x:c r="AK1721" s="1"/>
      <x:c r="AL1721" s="1"/>
      <x:c r="AM1721" s="1"/>
      <x:c r="AN1721" s="1"/>
    </x:row>
    <x:row r="1722" ht="22" customHeight="1">
      <x:c r="A1722" s="1" t="str">
        <x:v>5250</x:v>
      </x:c>
      <x:c r="B1722" s="1" t="str">
        <x:v>Paul L. Dunbar School</x:v>
      </x:c>
      <x:c r="C1722" s="16" t="n">
        <x:v>0.26926386473880953</x:v>
      </x:c>
      <x:c r="D1722" s="1" t="str">
        <x:v>1642105</x:v>
      </x:c>
      <x:c r="E1722" s="1" t="str">
        <x:v>The Fresh Grocer</x:v>
      </x:c>
      <x:c r="F1722" s="1" t="str">
        <x:v>1501 N Broad St, Philadelphia, PA, 19122</x:v>
      </x:c>
      <x:c r="G1722" s="1" t="n">
        <x:v>17</x:v>
      </x:c>
      <x:c r="H1722" s="1" t="str">
        <x:v>2026-10-09</x:v>
      </x:c>
      <x:c r="I1722" s="1" t="str">
        <x:v>Listed outlets and resources require access verification</x:v>
      </x:c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  <x:c r="AA1722" s="1"/>
      <x:c r="AB1722" s="1"/>
      <x:c r="AC1722" s="1"/>
      <x:c r="AD1722" s="1"/>
      <x:c r="AE1722" s="1"/>
      <x:c r="AF1722" s="1"/>
      <x:c r="AG1722" s="1"/>
      <x:c r="AH1722" s="1"/>
      <x:c r="AI1722" s="1"/>
      <x:c r="AJ1722" s="1"/>
      <x:c r="AK1722" s="1"/>
      <x:c r="AL1722" s="1"/>
      <x:c r="AM1722" s="1"/>
      <x:c r="AN1722" s="1"/>
    </x:row>
    <x:row r="1723" ht="22" customHeight="1">
      <x:c r="A1723" s="1" t="str">
        <x:v>5260</x:v>
      </x:c>
      <x:c r="B1723" s="1" t="str">
        <x:v>Lewis Elkin School</x:v>
      </x:c>
      <x:c r="C1723" s="16" t="n">
        <x:v>0.32714422014659533</x:v>
      </x:c>
      <x:c r="D1723" s="1" t="str">
        <x:v>1120089</x:v>
      </x:c>
      <x:c r="E1723" s="1" t="str">
        <x:v>Fresh Supermarket Inc/ Cousins Family Market</x:v>
      </x:c>
      <x:c r="F1723" s="1" t="str">
        <x:v>203 E Allegheny Ave, Philadelphia, PA, 19134</x:v>
      </x:c>
      <x:c r="G1723" s="1" t="n">
        <x:v>10</x:v>
      </x:c>
      <x:c r="H1723" s="1" t="str">
        <x:v>2026-10-09</x:v>
      </x:c>
      <x:c r="I1723" s="1" t="str">
        <x:v>Listed outlets and resources require access verification</x:v>
      </x:c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  <x:c r="AA1723" s="1"/>
      <x:c r="AB1723" s="1"/>
      <x:c r="AC1723" s="1"/>
      <x:c r="AD1723" s="1"/>
      <x:c r="AE1723" s="1"/>
      <x:c r="AF1723" s="1"/>
      <x:c r="AG1723" s="1"/>
      <x:c r="AH1723" s="1"/>
      <x:c r="AI1723" s="1"/>
      <x:c r="AJ1723" s="1"/>
      <x:c r="AK1723" s="1"/>
      <x:c r="AL1723" s="1"/>
      <x:c r="AM1723" s="1"/>
      <x:c r="AN1723" s="1"/>
    </x:row>
    <x:row r="1724" ht="22" customHeight="1">
      <x:c r="A1724" s="1" t="str">
        <x:v>5300</x:v>
      </x:c>
      <x:c r="B1724" s="1" t="str">
        <x:v>Horatio B. Hackett School</x:v>
      </x:c>
      <x:c r="C1724" s="16" t="n">
        <x:v>0.3976557467983952</x:v>
      </x:c>
      <x:c r="D1724" s="1" t="str">
        <x:v>1678957</x:v>
      </x:c>
      <x:c r="E1724" s="1" t="str">
        <x:v>Save A Lot 30224</x:v>
      </x:c>
      <x:c r="F1724" s="1" t="str">
        <x:v>2132 E Lehigh Ave, Philadelphia, PA, 19125</x:v>
      </x:c>
      <x:c r="G1724" s="1" t="n">
        <x:v>5</x:v>
      </x:c>
      <x:c r="H1724" s="1" t="str">
        <x:v>2026-10-09</x:v>
      </x:c>
      <x:c r="I1724" s="1" t="str">
        <x:v>Listed outlets and resources require access verification</x:v>
      </x:c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  <x:c r="AA1724" s="1"/>
      <x:c r="AB1724" s="1"/>
      <x:c r="AC1724" s="1"/>
      <x:c r="AD1724" s="1"/>
      <x:c r="AE1724" s="1"/>
      <x:c r="AF1724" s="1"/>
      <x:c r="AG1724" s="1"/>
      <x:c r="AH1724" s="1"/>
      <x:c r="AI1724" s="1"/>
      <x:c r="AJ1724" s="1"/>
      <x:c r="AK1724" s="1"/>
      <x:c r="AL1724" s="1"/>
      <x:c r="AM1724" s="1"/>
      <x:c r="AN1724" s="1"/>
    </x:row>
    <x:row r="1725" ht="22" customHeight="1">
      <x:c r="A1725" s="1" t="str">
        <x:v>5320</x:v>
      </x:c>
      <x:c r="B1725" s="1" t="str">
        <x:v>John F. Hartranft School</x:v>
      </x:c>
      <x:c r="C1725" s="16" t="n">
        <x:v>0.2914816511825649</x:v>
      </x:c>
      <x:c r="D1725" s="1" t="str">
        <x:v>1171179</x:v>
      </x:c>
      <x:c r="E1725" s="1" t="str">
        <x:v>Save A Lot 60139</x:v>
      </x:c>
      <x:c r="F1725" s="1" t="str">
        <x:v>701 W Lehigh Ave, Philadelphia, PA, 19133</x:v>
      </x:c>
      <x:c r="G1725" s="1" t="n">
        <x:v>15</x:v>
      </x:c>
      <x:c r="H1725" s="1" t="str">
        <x:v>2026-10-09</x:v>
      </x:c>
      <x:c r="I1725" s="1" t="str">
        <x:v>Listed outlets and resources require access verification</x:v>
      </x:c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  <x:c r="AA1725" s="1"/>
      <x:c r="AB1725" s="1"/>
      <x:c r="AC1725" s="1"/>
      <x:c r="AD1725" s="1"/>
      <x:c r="AE1725" s="1"/>
      <x:c r="AF1725" s="1"/>
      <x:c r="AG1725" s="1"/>
      <x:c r="AH1725" s="1"/>
      <x:c r="AI1725" s="1"/>
      <x:c r="AJ1725" s="1"/>
      <x:c r="AK1725" s="1"/>
      <x:c r="AL1725" s="1"/>
      <x:c r="AM1725" s="1"/>
      <x:c r="AN1725" s="1"/>
    </x:row>
    <x:row r="1726" ht="22" customHeight="1">
      <x:c r="A1726" s="1" t="str">
        <x:v>5330</x:v>
      </x:c>
      <x:c r="B1726" s="1" t="str">
        <x:v>William H. Hunter School</x:v>
      </x:c>
      <x:c r="C1726" s="16" t="n">
        <x:v>0.2651550494653938</x:v>
      </x:c>
      <x:c r="D1726" s="1" t="str">
        <x:v>1206331</x:v>
      </x:c>
      <x:c r="E1726" s="1" t="str">
        <x:v>JC 131 West Corp/Fine Fare</x:v>
      </x:c>
      <x:c r="F1726" s="1" t="str">
        <x:v>131 W Lehigh Ave, Philadelphia, PA, 19133</x:v>
      </x:c>
      <x:c r="G1726" s="1" t="n">
        <x:v>12</x:v>
      </x:c>
      <x:c r="H1726" s="1" t="str">
        <x:v>2026-10-09</x:v>
      </x:c>
      <x:c r="I1726" s="1" t="str">
        <x:v>Listed outlets and resources require access verification</x:v>
      </x:c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  <x:c r="AA1726" s="1"/>
      <x:c r="AB1726" s="1"/>
      <x:c r="AC1726" s="1"/>
      <x:c r="AD1726" s="1"/>
      <x:c r="AE1726" s="1"/>
      <x:c r="AF1726" s="1"/>
      <x:c r="AG1726" s="1"/>
      <x:c r="AH1726" s="1"/>
      <x:c r="AI1726" s="1"/>
      <x:c r="AJ1726" s="1"/>
      <x:c r="AK1726" s="1"/>
      <x:c r="AL1726" s="1"/>
      <x:c r="AM1726" s="1"/>
      <x:c r="AN1726" s="1"/>
    </x:row>
    <x:row r="1727" ht="22" customHeight="1">
      <x:c r="A1727" s="1" t="str">
        <x:v>5340</x:v>
      </x:c>
      <x:c r="B1727" s="1" t="str">
        <x:v>James R. Ludlow School</x:v>
      </x:c>
      <x:c r="C1727" s="16" t="n">
        <x:v>0.419786143017218</x:v>
      </x:c>
      <x:c r="D1727" s="1" t="str">
        <x:v>1215658</x:v>
      </x:c>
      <x:c r="E1727" s="1" t="str">
        <x:v>Acme 0291</x:v>
      </x:c>
      <x:c r="F1727" s="1" t="str">
        <x:v>180 W Girard Ave, Philadelphia, PA, 19123</x:v>
      </x:c>
      <x:c r="G1727" s="1" t="n">
        <x:v>13</x:v>
      </x:c>
      <x:c r="H1727" s="1" t="str">
        <x:v>2026-10-09</x:v>
      </x:c>
      <x:c r="I1727" s="1" t="str">
        <x:v>Listed outlets and resources require access verification</x:v>
      </x:c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  <x:c r="AA1727" s="1"/>
      <x:c r="AB1727" s="1"/>
      <x:c r="AC1727" s="1"/>
      <x:c r="AD1727" s="1"/>
      <x:c r="AE1727" s="1"/>
      <x:c r="AF1727" s="1"/>
      <x:c r="AG1727" s="1"/>
      <x:c r="AH1727" s="1"/>
      <x:c r="AI1727" s="1"/>
      <x:c r="AJ1727" s="1"/>
      <x:c r="AK1727" s="1"/>
      <x:c r="AL1727" s="1"/>
      <x:c r="AM1727" s="1"/>
      <x:c r="AN1727" s="1"/>
    </x:row>
    <x:row r="1728" ht="22" customHeight="1">
      <x:c r="A1728" s="1" t="str">
        <x:v>5350</x:v>
      </x:c>
      <x:c r="B1728" s="1" t="str">
        <x:v>William McKinley School</x:v>
      </x:c>
      <x:c r="C1728" s="16" t="n">
        <x:v>0.17660905495101062</x:v>
      </x:c>
      <x:c r="D1728" s="1" t="str">
        <x:v>1364284</x:v>
      </x:c>
      <x:c r="E1728" s="1" t="str">
        <x:v>Cousins Supermarket Inc 1</x:v>
      </x:c>
      <x:c r="F1728" s="1" t="str">
        <x:v>1943 N 6th St, Philadelphia, PA, 19122</x:v>
      </x:c>
      <x:c r="G1728" s="1" t="n">
        <x:v>14</x:v>
      </x:c>
      <x:c r="H1728" s="1" t="str">
        <x:v>2026-10-09</x:v>
      </x:c>
      <x:c r="I1728" s="1" t="str">
        <x:v>Listed outlets and resources require access verification</x:v>
      </x:c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  <x:c r="AA1728" s="1"/>
      <x:c r="AB1728" s="1"/>
      <x:c r="AC1728" s="1"/>
      <x:c r="AD1728" s="1"/>
      <x:c r="AE1728" s="1"/>
      <x:c r="AF1728" s="1"/>
      <x:c r="AG1728" s="1"/>
      <x:c r="AH1728" s="1"/>
      <x:c r="AI1728" s="1"/>
      <x:c r="AJ1728" s="1"/>
      <x:c r="AK1728" s="1"/>
      <x:c r="AL1728" s="1"/>
      <x:c r="AM1728" s="1"/>
      <x:c r="AN1728" s="1"/>
    </x:row>
    <x:row r="1729" ht="22" customHeight="1">
      <x:c r="A1729" s="1" t="str">
        <x:v>5370</x:v>
      </x:c>
      <x:c r="B1729" s="1" t="str">
        <x:v>John Moffet School</x:v>
      </x:c>
      <x:c r="C1729" s="16" t="n">
        <x:v>0.3328580538926092</x:v>
      </x:c>
      <x:c r="D1729" s="1" t="str">
        <x:v>1538494</x:v>
      </x:c>
      <x:c r="E1729" s="1" t="str">
        <x:v>Grocery Outlet of Fishtown 738</x:v>
      </x:c>
      <x:c r="F1729" s="1" t="str">
        <x:v>1801 N American St, Philadelphia, PA, 19122</x:v>
      </x:c>
      <x:c r="G1729" s="1" t="n">
        <x:v>7</x:v>
      </x:c>
      <x:c r="H1729" s="1" t="str">
        <x:v>2026-10-09</x:v>
      </x:c>
      <x:c r="I1729" s="1" t="str">
        <x:v>Listed outlets and resources require access verification</x:v>
      </x:c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  <x:c r="AA1729" s="1"/>
      <x:c r="AB1729" s="1"/>
      <x:c r="AC1729" s="1"/>
      <x:c r="AD1729" s="1"/>
      <x:c r="AE1729" s="1"/>
      <x:c r="AF1729" s="1"/>
      <x:c r="AG1729" s="1"/>
      <x:c r="AH1729" s="1"/>
      <x:c r="AI1729" s="1"/>
      <x:c r="AJ1729" s="1"/>
      <x:c r="AK1729" s="1"/>
      <x:c r="AL1729" s="1"/>
      <x:c r="AM1729" s="1"/>
      <x:c r="AN1729" s="1"/>
    </x:row>
    <x:row r="1730" ht="22" customHeight="1">
      <x:c r="A1730" s="1" t="str">
        <x:v>5390</x:v>
      </x:c>
      <x:c r="B1730" s="1" t="str">
        <x:v>Potter-Thomas School</x:v>
      </x:c>
      <x:c r="C1730" s="16" t="n">
        <x:v>0.2697738859457044</x:v>
      </x:c>
      <x:c r="D1730" s="1" t="str">
        <x:v>1443919</x:v>
      </x:c>
      <x:c r="E1730" s="1" t="str">
        <x:v>Save A Lot 60136</x:v>
      </x:c>
      <x:c r="F1730" s="1" t="str">
        <x:v>400 W Allegheny Ave, Philadelphia, PA, 19133</x:v>
      </x:c>
      <x:c r="G1730" s="1" t="n">
        <x:v>13</x:v>
      </x:c>
      <x:c r="H1730" s="1" t="str">
        <x:v>2026-10-09</x:v>
      </x:c>
      <x:c r="I1730" s="1" t="str">
        <x:v>Listed outlets and resources require access verification</x:v>
      </x:c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  <x:c r="AA1730" s="1"/>
      <x:c r="AB1730" s="1"/>
      <x:c r="AC1730" s="1"/>
      <x:c r="AD1730" s="1"/>
      <x:c r="AE1730" s="1"/>
      <x:c r="AF1730" s="1"/>
      <x:c r="AG1730" s="1"/>
      <x:c r="AH1730" s="1"/>
      <x:c r="AI1730" s="1"/>
      <x:c r="AJ1730" s="1"/>
      <x:c r="AK1730" s="1"/>
      <x:c r="AL1730" s="1"/>
      <x:c r="AM1730" s="1"/>
      <x:c r="AN1730" s="1"/>
    </x:row>
    <x:row r="1731" ht="22" customHeight="1">
      <x:c r="A1731" s="1" t="str">
        <x:v>5400</x:v>
      </x:c>
      <x:c r="B1731" s="1" t="str">
        <x:v>Richmond School</x:v>
      </x:c>
      <x:c r="C1731" s="16" t="n">
        <x:v>0.5712074127824155</x:v>
      </x:c>
      <x:c r="D1731" s="1" t="str">
        <x:v>1678957</x:v>
      </x:c>
      <x:c r="E1731" s="1" t="str">
        <x:v>Save A Lot 30224</x:v>
      </x:c>
      <x:c r="F1731" s="1" t="str">
        <x:v>2132 E Lehigh Ave, Philadelphia, PA, 19125</x:v>
      </x:c>
      <x:c r="G1731" s="1" t="n">
        <x:v>6</x:v>
      </x:c>
      <x:c r="H1731" s="1" t="str">
        <x:v>2026-10-09</x:v>
      </x:c>
      <x:c r="I1731" s="1" t="str">
        <x:v>Listed outlets and resources require access verification</x:v>
      </x:c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  <x:c r="AA1731" s="1"/>
      <x:c r="AB1731" s="1"/>
      <x:c r="AC1731" s="1"/>
      <x:c r="AD1731" s="1"/>
      <x:c r="AE1731" s="1"/>
      <x:c r="AF1731" s="1"/>
      <x:c r="AG1731" s="1"/>
      <x:c r="AH1731" s="1"/>
      <x:c r="AI1731" s="1"/>
      <x:c r="AJ1731" s="1"/>
      <x:c r="AK1731" s="1"/>
      <x:c r="AL1731" s="1"/>
      <x:c r="AM1731" s="1"/>
      <x:c r="AN1731" s="1"/>
    </x:row>
    <x:row r="1732" ht="22" customHeight="1">
      <x:c r="A1732" s="1" t="str">
        <x:v>5410</x:v>
      </x:c>
      <x:c r="B1732" s="1" t="str">
        <x:v>Isaac A. Sheppard School</x:v>
      </x:c>
      <x:c r="C1732" s="16" t="n">
        <x:v>0.17989175044806002</x:v>
      </x:c>
      <x:c r="D1732" s="1" t="str">
        <x:v>1206331</x:v>
      </x:c>
      <x:c r="E1732" s="1" t="str">
        <x:v>JC 131 West Corp/Fine Fare</x:v>
      </x:c>
      <x:c r="F1732" s="1" t="str">
        <x:v>131 W Lehigh Ave, Philadelphia, PA, 19133</x:v>
      </x:c>
      <x:c r="G1732" s="1" t="n">
        <x:v>12</x:v>
      </x:c>
      <x:c r="H1732" s="1" t="str">
        <x:v>2026-10-09</x:v>
      </x:c>
      <x:c r="I1732" s="1" t="str">
        <x:v>Listed outlets and resources require access verification</x:v>
      </x:c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  <x:c r="AA1732" s="1"/>
      <x:c r="AB1732" s="1"/>
      <x:c r="AC1732" s="1"/>
      <x:c r="AD1732" s="1"/>
      <x:c r="AE1732" s="1"/>
      <x:c r="AF1732" s="1"/>
      <x:c r="AG1732" s="1"/>
      <x:c r="AH1732" s="1"/>
      <x:c r="AI1732" s="1"/>
      <x:c r="AJ1732" s="1"/>
      <x:c r="AK1732" s="1"/>
      <x:c r="AL1732" s="1"/>
      <x:c r="AM1732" s="1"/>
      <x:c r="AN1732" s="1"/>
    </x:row>
    <x:row r="1733" ht="22" customHeight="1">
      <x:c r="A1733" s="1" t="str">
        <x:v>5420</x:v>
      </x:c>
      <x:c r="B1733" s="1" t="str">
        <x:v>John Welsh School</x:v>
      </x:c>
      <x:c r="C1733" s="16" t="n">
        <x:v>0.4488704125797472</x:v>
      </x:c>
      <x:c r="D1733" s="1" t="str">
        <x:v>1364284</x:v>
      </x:c>
      <x:c r="E1733" s="1" t="str">
        <x:v>Cousins Supermarket Inc 1</x:v>
      </x:c>
      <x:c r="F1733" s="1" t="str">
        <x:v>1943 N 6th St, Philadelphia, PA, 19122</x:v>
      </x:c>
      <x:c r="G1733" s="1" t="n">
        <x:v>13</x:v>
      </x:c>
      <x:c r="H1733" s="1" t="str">
        <x:v>2026-10-09</x:v>
      </x:c>
      <x:c r="I1733" s="1" t="str">
        <x:v>Listed outlets and resources require access verification</x:v>
      </x:c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  <x:c r="AA1733" s="1"/>
      <x:c r="AB1733" s="1"/>
      <x:c r="AC1733" s="1"/>
      <x:c r="AD1733" s="1"/>
      <x:c r="AE1733" s="1"/>
      <x:c r="AF1733" s="1"/>
      <x:c r="AG1733" s="1"/>
      <x:c r="AH1733" s="1"/>
      <x:c r="AI1733" s="1"/>
      <x:c r="AJ1733" s="1"/>
      <x:c r="AK1733" s="1"/>
      <x:c r="AL1733" s="1"/>
      <x:c r="AM1733" s="1"/>
      <x:c r="AN1733" s="1"/>
    </x:row>
    <x:row r="1734" ht="22" customHeight="1">
      <x:c r="A1734" s="1" t="str">
        <x:v>5430</x:v>
      </x:c>
      <x:c r="B1734" s="1" t="str">
        <x:v>Alternative Middle Years at James Martin</x:v>
      </x:c>
      <x:c r="C1734" s="16" t="n">
        <x:v>0.4846753577767704</x:v>
      </x:c>
      <x:c r="D1734" s="1" t="str">
        <x:v>778898</x:v>
      </x:c>
      <x:c r="E1734" s="1" t="str">
        <x:v>Target 2075</x:v>
      </x:c>
      <x:c r="F1734" s="1" t="str">
        <x:v>2701 Castor Ave, Philadelphia, PA, 19134</x:v>
      </x:c>
      <x:c r="G1734" s="1" t="n">
        <x:v>4</x:v>
      </x:c>
      <x:c r="H1734" s="1" t="str">
        <x:v>2026-10-09</x:v>
      </x:c>
      <x:c r="I1734" s="1" t="str">
        <x:v>Listed outlets and resources require access verification</x:v>
      </x:c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  <x:c r="AA1734" s="1"/>
      <x:c r="AB1734" s="1"/>
      <x:c r="AC1734" s="1"/>
      <x:c r="AD1734" s="1"/>
      <x:c r="AE1734" s="1"/>
      <x:c r="AF1734" s="1"/>
      <x:c r="AG1734" s="1"/>
      <x:c r="AH1734" s="1"/>
      <x:c r="AI1734" s="1"/>
      <x:c r="AJ1734" s="1"/>
      <x:c r="AK1734" s="1"/>
      <x:c r="AL1734" s="1"/>
      <x:c r="AM1734" s="1"/>
      <x:c r="AN1734" s="1"/>
    </x:row>
    <x:row r="1735" ht="22" customHeight="1">
      <x:c r="A1735" s="1" t="str">
        <x:v>5440</x:v>
      </x:c>
      <x:c r="B1735" s="1" t="str">
        <x:v>Frances E. Willard School</x:v>
      </x:c>
      <x:c r="C1735" s="16" t="n">
        <x:v>0.6403094193174473</x:v>
      </x:c>
      <x:c r="D1735" s="1" t="str">
        <x:v>1678957</x:v>
      </x:c>
      <x:c r="E1735" s="1" t="str">
        <x:v>Save A Lot 30224</x:v>
      </x:c>
      <x:c r="F1735" s="1" t="str">
        <x:v>2132 E Lehigh Ave, Philadelphia, PA, 19125</x:v>
      </x:c>
      <x:c r="G1735" s="1" t="n">
        <x:v>12</x:v>
      </x:c>
      <x:c r="H1735" s="1" t="str">
        <x:v>2026-10-09</x:v>
      </x:c>
      <x:c r="I1735" s="1" t="str">
        <x:v>Listed outlets and resources require access verification</x:v>
      </x:c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  <x:c r="AA1735" s="1"/>
      <x:c r="AB1735" s="1"/>
      <x:c r="AC1735" s="1"/>
      <x:c r="AD1735" s="1"/>
      <x:c r="AE1735" s="1"/>
      <x:c r="AF1735" s="1"/>
      <x:c r="AG1735" s="1"/>
      <x:c r="AH1735" s="1"/>
      <x:c r="AI1735" s="1"/>
      <x:c r="AJ1735" s="1"/>
      <x:c r="AK1735" s="1"/>
      <x:c r="AL1735" s="1"/>
      <x:c r="AM1735" s="1"/>
      <x:c r="AN1735" s="1"/>
    </x:row>
    <x:row r="1736" ht="22" customHeight="1">
      <x:c r="A1736" s="1" t="str">
        <x:v>5470</x:v>
      </x:c>
      <x:c r="B1736" s="1" t="str">
        <x:v>William Cramp School</x:v>
      </x:c>
      <x:c r="C1736" s="16" t="n">
        <x:v>0.3393336462114892</x:v>
      </x:c>
      <x:c r="D1736" s="1" t="str">
        <x:v>1120089</x:v>
      </x:c>
      <x:c r="E1736" s="1" t="str">
        <x:v>Fresh Supermarket Inc/ Cousins Family Market</x:v>
      </x:c>
      <x:c r="F1736" s="1" t="str">
        <x:v>203 E Allegheny Ave, Philadelphia, PA, 19134</x:v>
      </x:c>
      <x:c r="G1736" s="1" t="n">
        <x:v>13</x:v>
      </x:c>
      <x:c r="H1736" s="1" t="str">
        <x:v>2026-10-09</x:v>
      </x:c>
      <x:c r="I1736" s="1" t="str">
        <x:v>Listed outlets and resources require access verification</x:v>
      </x:c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  <x:c r="AA1736" s="1"/>
      <x:c r="AB1736" s="1"/>
      <x:c r="AC1736" s="1"/>
      <x:c r="AD1736" s="1"/>
      <x:c r="AE1736" s="1"/>
      <x:c r="AF1736" s="1"/>
      <x:c r="AG1736" s="1"/>
      <x:c r="AH1736" s="1"/>
      <x:c r="AI1736" s="1"/>
      <x:c r="AJ1736" s="1"/>
      <x:c r="AK1736" s="1"/>
      <x:c r="AL1736" s="1"/>
      <x:c r="AM1736" s="1"/>
      <x:c r="AN1736" s="1"/>
    </x:row>
    <x:row r="1737" ht="22" customHeight="1">
      <x:c r="A1737" s="1" t="str">
        <x:v>5480</x:v>
      </x:c>
      <x:c r="B1737" s="1" t="str">
        <x:v>General Philip Kearny School</x:v>
      </x:c>
      <x:c r="C1737" s="16" t="n">
        <x:v>0.2886359029761578</x:v>
      </x:c>
      <x:c r="D1737" s="1" t="str">
        <x:v>1329953</x:v>
      </x:c>
      <x:c r="E1737" s="1" t="str">
        <x:v>Target T3285</x:v>
      </x:c>
      <x:c r="F1737" s="1" t="str">
        <x:v>456 N 5th St, Philadelphia, PA, 19123</x:v>
      </x:c>
      <x:c r="G1737" s="1" t="n">
        <x:v>11</x:v>
      </x:c>
      <x:c r="H1737" s="1" t="str">
        <x:v>2026-10-09</x:v>
      </x:c>
      <x:c r="I1737" s="1" t="str">
        <x:v>Listed outlets and resources require access verification</x:v>
      </x:c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  <x:c r="AA1737" s="1"/>
      <x:c r="AB1737" s="1"/>
      <x:c r="AC1737" s="1"/>
      <x:c r="AD1737" s="1"/>
      <x:c r="AE1737" s="1"/>
      <x:c r="AF1737" s="1"/>
      <x:c r="AG1737" s="1"/>
      <x:c r="AH1737" s="1"/>
      <x:c r="AI1737" s="1"/>
      <x:c r="AJ1737" s="1"/>
      <x:c r="AK1737" s="1"/>
      <x:c r="AL1737" s="1"/>
      <x:c r="AM1737" s="1"/>
      <x:c r="AN1737" s="1"/>
    </x:row>
    <x:row r="1738" ht="22" customHeight="1">
      <x:c r="A1738" s="1" t="str">
        <x:v>5490</x:v>
      </x:c>
      <x:c r="B1738" s="1" t="str">
        <x:v>Cayuga School</x:v>
      </x:c>
      <x:c r="C1738" s="16" t="n">
        <x:v>0.3492087885016649</x:v>
      </x:c>
      <x:c r="D1738" s="1" t="str">
        <x:v>497084</x:v>
      </x:c>
      <x:c r="E1738" s="1" t="str">
        <x:v>COUSINS SUPERMARKET INC. #2</x:v>
      </x:c>
      <x:c r="F1738" s="1" t="str">
        <x:v>4037 N 5th St, Philadelphia, PA, 19140</x:v>
      </x:c>
      <x:c r="G1738" s="1" t="n">
        <x:v>12</x:v>
      </x:c>
      <x:c r="H1738" s="1" t="str">
        <x:v>2026-10-09</x:v>
      </x:c>
      <x:c r="I1738" s="1" t="str">
        <x:v>Listed outlets and resources require access verification</x:v>
      </x:c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  <x:c r="AA1738" s="1"/>
      <x:c r="AB1738" s="1"/>
      <x:c r="AC1738" s="1"/>
      <x:c r="AD1738" s="1"/>
      <x:c r="AE1738" s="1"/>
      <x:c r="AF1738" s="1"/>
      <x:c r="AG1738" s="1"/>
      <x:c r="AH1738" s="1"/>
      <x:c r="AI1738" s="1"/>
      <x:c r="AJ1738" s="1"/>
      <x:c r="AK1738" s="1"/>
      <x:c r="AL1738" s="1"/>
      <x:c r="AM1738" s="1"/>
      <x:c r="AN1738" s="1"/>
    </x:row>
    <x:row r="1739" ht="22" customHeight="1">
      <x:c r="A1739" s="1" t="str">
        <x:v>5500</x:v>
      </x:c>
      <x:c r="B1739" s="1" t="str">
        <x:v>Thurgood Marshall School</x:v>
      </x:c>
      <x:c r="C1739" s="16" t="n">
        <x:v>0.45193134419384995</x:v>
      </x:c>
      <x:c r="D1739" s="1" t="str">
        <x:v>1703266</x:v>
      </x:c>
      <x:c r="E1739" s="1" t="str">
        <x:v>GFM Food Corporation</x:v>
      </x:c>
      <x:c r="F1739" s="1" t="str">
        <x:v>180 W Duncannon Ave, Philadelphia, PA, 19120</x:v>
      </x:c>
      <x:c r="G1739" s="1" t="n">
        <x:v>12</x:v>
      </x:c>
      <x:c r="H1739" s="1" t="str">
        <x:v>2026-10-09</x:v>
      </x:c>
      <x:c r="I1739" s="1" t="str">
        <x:v>Listed outlets and resources require access verification</x:v>
      </x:c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  <x:c r="AA1739" s="1"/>
      <x:c r="AB1739" s="1"/>
      <x:c r="AC1739" s="1"/>
      <x:c r="AD1739" s="1"/>
      <x:c r="AE1739" s="1"/>
      <x:c r="AF1739" s="1"/>
      <x:c r="AG1739" s="1"/>
      <x:c r="AH1739" s="1"/>
      <x:c r="AI1739" s="1"/>
      <x:c r="AJ1739" s="1"/>
      <x:c r="AK1739" s="1"/>
      <x:c r="AL1739" s="1"/>
      <x:c r="AM1739" s="1"/>
      <x:c r="AN1739" s="1"/>
    </x:row>
    <x:row r="1740" ht="22" customHeight="1">
      <x:c r="A1740" s="1" t="str">
        <x:v>5520</x:v>
      </x:c>
      <x:c r="B1740" s="1" t="str">
        <x:v>Kensington High School for Creative and Performing Arts</x:v>
      </x:c>
      <x:c r="C1740" s="16" t="n">
        <x:v>0.2696204651098893</x:v>
      </x:c>
      <x:c r="D1740" s="1" t="str">
        <x:v>1538494</x:v>
      </x:c>
      <x:c r="E1740" s="1" t="str">
        <x:v>Grocery Outlet of Fishtown 738</x:v>
      </x:c>
      <x:c r="F1740" s="1" t="str">
        <x:v>1801 N American St, Philadelphia, PA, 19122</x:v>
      </x:c>
      <x:c r="G1740" s="1" t="n">
        <x:v>8</x:v>
      </x:c>
      <x:c r="H1740" s="1" t="str">
        <x:v>2026-10-09</x:v>
      </x:c>
      <x:c r="I1740" s="1" t="str">
        <x:v>Listed outlets and resources require access verification</x:v>
      </x:c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  <x:c r="AA1740" s="1"/>
      <x:c r="AB1740" s="1"/>
      <x:c r="AC1740" s="1"/>
      <x:c r="AD1740" s="1"/>
      <x:c r="AE1740" s="1"/>
      <x:c r="AF1740" s="1"/>
      <x:c r="AG1740" s="1"/>
      <x:c r="AH1740" s="1"/>
      <x:c r="AI1740" s="1"/>
      <x:c r="AJ1740" s="1"/>
      <x:c r="AK1740" s="1"/>
      <x:c r="AL1740" s="1"/>
      <x:c r="AM1740" s="1"/>
      <x:c r="AN1740" s="1"/>
    </x:row>
    <x:row r="1741" ht="22" customHeight="1">
      <x:c r="A1741" s="1" t="str">
        <x:v>5530</x:v>
      </x:c>
      <x:c r="B1741" s="1" t="str">
        <x:v>Gloria Casarez School</x:v>
      </x:c>
      <x:c r="C1741" s="16" t="n">
        <x:v>0.2674992589582508</x:v>
      </x:c>
      <x:c r="D1741" s="1" t="str">
        <x:v>1657176</x:v>
      </x:c>
      <x:c r="E1741" s="1" t="str">
        <x:v>Super Foodtown 705</x:v>
      </x:c>
      <x:c r="F1741" s="1" t="str">
        <x:v>3528 I St, Philadelphia, PA, 19134</x:v>
      </x:c>
      <x:c r="G1741" s="1" t="n">
        <x:v>10</x:v>
      </x:c>
      <x:c r="H1741" s="1" t="str">
        <x:v>2026-10-09</x:v>
      </x:c>
      <x:c r="I1741" s="1" t="str">
        <x:v>Listed outlets and resources require access verification</x:v>
      </x:c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  <x:c r="AA1741" s="1"/>
      <x:c r="AB1741" s="1"/>
      <x:c r="AC1741" s="1"/>
      <x:c r="AD1741" s="1"/>
      <x:c r="AE1741" s="1"/>
      <x:c r="AF1741" s="1"/>
      <x:c r="AG1741" s="1"/>
      <x:c r="AH1741" s="1"/>
      <x:c r="AI1741" s="1"/>
      <x:c r="AJ1741" s="1"/>
      <x:c r="AK1741" s="1"/>
      <x:c r="AL1741" s="1"/>
      <x:c r="AM1741" s="1"/>
      <x:c r="AN1741" s="1"/>
    </x:row>
    <x:row r="1742" ht="22" customHeight="1">
      <x:c r="A1742" s="1" t="str">
        <x:v>5550</x:v>
      </x:c>
      <x:c r="B1742" s="1" t="str">
        <x:v>Kensington Health Sciences Academy</x:v>
      </x:c>
      <x:c r="C1742" s="16" t="n">
        <x:v>0.3988384268381208</x:v>
      </x:c>
      <x:c r="D1742" s="1" t="str">
        <x:v>1678957</x:v>
      </x:c>
      <x:c r="E1742" s="1" t="str">
        <x:v>Save A Lot 30224</x:v>
      </x:c>
      <x:c r="F1742" s="1" t="str">
        <x:v>2132 E Lehigh Ave, Philadelphia, PA, 19125</x:v>
      </x:c>
      <x:c r="G1742" s="1" t="n">
        <x:v>9</x:v>
      </x:c>
      <x:c r="H1742" s="1" t="str">
        <x:v>2026-10-09</x:v>
      </x:c>
      <x:c r="I1742" s="1" t="str">
        <x:v>Listed outlets and resources require access verification</x:v>
      </x:c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  <x:c r="AA1742" s="1"/>
      <x:c r="AB1742" s="1"/>
      <x:c r="AC1742" s="1"/>
      <x:c r="AD1742" s="1"/>
      <x:c r="AE1742" s="1"/>
      <x:c r="AF1742" s="1"/>
      <x:c r="AG1742" s="1"/>
      <x:c r="AH1742" s="1"/>
      <x:c r="AI1742" s="1"/>
      <x:c r="AJ1742" s="1"/>
      <x:c r="AK1742" s="1"/>
      <x:c r="AL1742" s="1"/>
      <x:c r="AM1742" s="1"/>
      <x:c r="AN1742" s="1"/>
    </x:row>
    <x:row r="1743" ht="22" customHeight="1">
      <x:c r="A1743" s="1" t="str">
        <x:v>5560</x:v>
      </x:c>
      <x:c r="B1743" s="1" t="str">
        <x:v>Spring Garden School</x:v>
      </x:c>
      <x:c r="C1743" s="16" t="n">
        <x:v>0.18757831963817834</x:v>
      </x:c>
      <x:c r="D1743" s="1" t="str">
        <x:v>1425306</x:v>
      </x:c>
      <x:c r="E1743" s="1" t="str">
        <x:v>Aldi 60169</x:v>
      </x:c>
      <x:c r="F1743" s="1" t="str">
        <x:v>1300 Fairmount Ave, Philadelphia, PA, 19123</x:v>
      </x:c>
      <x:c r="G1743" s="1" t="n">
        <x:v>10</x:v>
      </x:c>
      <x:c r="H1743" s="1" t="str">
        <x:v>2026-10-09</x:v>
      </x:c>
      <x:c r="I1743" s="1" t="str">
        <x:v>Listed outlets and resources require access verification</x:v>
      </x:c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  <x:c r="AA1743" s="1"/>
      <x:c r="AB1743" s="1"/>
      <x:c r="AC1743" s="1"/>
      <x:c r="AD1743" s="1"/>
      <x:c r="AE1743" s="1"/>
      <x:c r="AF1743" s="1"/>
      <x:c r="AG1743" s="1"/>
      <x:c r="AH1743" s="1"/>
      <x:c r="AI1743" s="1"/>
      <x:c r="AJ1743" s="1"/>
      <x:c r="AK1743" s="1"/>
      <x:c r="AL1743" s="1"/>
      <x:c r="AM1743" s="1"/>
      <x:c r="AN1743" s="1"/>
    </x:row>
    <x:row r="1744" ht="22" customHeight="1">
      <x:c r="A1744" s="1" t="str">
        <x:v>5580</x:v>
      </x:c>
      <x:c r="B1744" s="1" t="str">
        <x:v>John B. Stetson Middle School</x:v>
      </x:c>
      <x:c r="C1744" s="16" t="n">
        <x:v>0.09416564911185431</x:v>
      </x:c>
      <x:c r="D1744" s="1" t="str">
        <x:v>1120089</x:v>
      </x:c>
      <x:c r="E1744" s="1" t="str">
        <x:v>Fresh Supermarket Inc/ Cousins Family Market</x:v>
      </x:c>
      <x:c r="F1744" s="1" t="str">
        <x:v>203 E Allegheny Ave, Philadelphia, PA, 19134</x:v>
      </x:c>
      <x:c r="G1744" s="1" t="n">
        <x:v>12</x:v>
      </x:c>
      <x:c r="H1744" s="1" t="str">
        <x:v>2026-10-09</x:v>
      </x:c>
      <x:c r="I1744" s="1" t="str">
        <x:v>Listed outlets and resources require access verification</x:v>
      </x:c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  <x:c r="AA1744" s="1"/>
      <x:c r="AB1744" s="1"/>
      <x:c r="AC1744" s="1"/>
      <x:c r="AD1744" s="1"/>
      <x:c r="AE1744" s="1"/>
      <x:c r="AF1744" s="1"/>
      <x:c r="AG1744" s="1"/>
      <x:c r="AH1744" s="1"/>
      <x:c r="AI1744" s="1"/>
      <x:c r="AJ1744" s="1"/>
      <x:c r="AK1744" s="1"/>
      <x:c r="AL1744" s="1"/>
      <x:c r="AM1744" s="1"/>
      <x:c r="AN1744" s="1"/>
    </x:row>
    <x:row r="1745" ht="22" customHeight="1">
      <x:c r="A1745" s="1" t="str">
        <x:v>5581</x:v>
      </x:c>
      <x:c r="B1745" s="1" t="str">
        <x:v>Stetson Middle School Continuation Academy</x:v>
      </x:c>
      <x:c r="C1745" s="16" t="n">
        <x:v>0.10724705243360236</x:v>
      </x:c>
      <x:c r="D1745" s="1" t="str">
        <x:v>1120089</x:v>
      </x:c>
      <x:c r="E1745" s="1" t="str">
        <x:v>Fresh Supermarket Inc/ Cousins Family Market</x:v>
      </x:c>
      <x:c r="F1745" s="1" t="str">
        <x:v>203 E Allegheny Ave, Philadelphia, PA, 19134</x:v>
      </x:c>
      <x:c r="G1745" s="1" t="n">
        <x:v>12</x:v>
      </x:c>
      <x:c r="H1745" s="1" t="str">
        <x:v>2026-10-09</x:v>
      </x:c>
      <x:c r="I1745" s="1" t="str">
        <x:v>Listed outlets and resources require access verification</x:v>
      </x:c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  <x:c r="AA1745" s="1"/>
      <x:c r="AB1745" s="1"/>
      <x:c r="AC1745" s="1"/>
      <x:c r="AD1745" s="1"/>
      <x:c r="AE1745" s="1"/>
      <x:c r="AF1745" s="1"/>
      <x:c r="AG1745" s="1"/>
      <x:c r="AH1745" s="1"/>
      <x:c r="AI1745" s="1"/>
      <x:c r="AJ1745" s="1"/>
      <x:c r="AK1745" s="1"/>
      <x:c r="AL1745" s="1"/>
      <x:c r="AM1745" s="1"/>
      <x:c r="AN1745" s="1"/>
    </x:row>
    <x:row r="1746" ht="22" customHeight="1">
      <x:c r="A1746" s="1" t="str">
        <x:v>5590</x:v>
      </x:c>
      <x:c r="B1746" s="1" t="str">
        <x:v>John H. Webster School</x:v>
      </x:c>
      <x:c r="C1746" s="16" t="n">
        <x:v>0.3756157409384929</x:v>
      </x:c>
      <x:c r="D1746" s="1" t="str">
        <x:v>1619421</x:v>
      </x:c>
      <x:c r="E1746" s="1" t="str">
        <x:v>ALDI 60205</x:v>
      </x:c>
      <x:c r="F1746" s="1" t="str">
        <x:v>3500 Aramingo Ave, Philadelphia, PA, 19134</x:v>
      </x:c>
      <x:c r="G1746" s="1" t="n">
        <x:v>7</x:v>
      </x:c>
      <x:c r="H1746" s="1" t="str">
        <x:v>2026-10-09</x:v>
      </x:c>
      <x:c r="I1746" s="1" t="str">
        <x:v>Listed outlets and resources require access verification</x:v>
      </x:c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  <x:c r="AA1746" s="1"/>
      <x:c r="AB1746" s="1"/>
      <x:c r="AC1746" s="1"/>
      <x:c r="AD1746" s="1"/>
      <x:c r="AE1746" s="1"/>
      <x:c r="AF1746" s="1"/>
      <x:c r="AG1746" s="1"/>
      <x:c r="AH1746" s="1"/>
      <x:c r="AI1746" s="1"/>
      <x:c r="AJ1746" s="1"/>
      <x:c r="AK1746" s="1"/>
      <x:c r="AL1746" s="1"/>
      <x:c r="AM1746" s="1"/>
      <x:c r="AN1746" s="1"/>
    </x:row>
    <x:row r="1747" ht="22" customHeight="1">
      <x:c r="A1747" s="1" t="str">
        <x:v>5610</x:v>
      </x:c>
      <x:c r="B1747" s="1" t="str">
        <x:v>Building 21</x:v>
      </x:c>
      <x:c r="C1747" s="16" t="n">
        <x:v>0.6862631003414704</x:v>
      </x:c>
      <x:c r="D1747" s="1" t="str">
        <x:v>1215799</x:v>
      </x:c>
      <x:c r="E1747" s="1" t="str">
        <x:v>ALDI 60011 60011</x:v>
      </x:c>
      <x:c r="F1747" s="1" t="str">
        <x:v>6119 N Broad St, Philadelphia, PA, 19141</x:v>
      </x:c>
      <x:c r="G1747" s="1" t="n">
        <x:v>13</x:v>
      </x:c>
      <x:c r="H1747" s="1" t="str">
        <x:v>2026-10-09</x:v>
      </x:c>
      <x:c r="I1747" s="1" t="str">
        <x:v>Listed outlets and resources require access verification</x:v>
      </x:c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  <x:c r="AA1747" s="1"/>
      <x:c r="AB1747" s="1"/>
      <x:c r="AC1747" s="1"/>
      <x:c r="AD1747" s="1"/>
      <x:c r="AE1747" s="1"/>
      <x:c r="AF1747" s="1"/>
      <x:c r="AG1747" s="1"/>
      <x:c r="AH1747" s="1"/>
      <x:c r="AI1747" s="1"/>
      <x:c r="AJ1747" s="1"/>
      <x:c r="AK1747" s="1"/>
      <x:c r="AL1747" s="1"/>
      <x:c r="AM1747" s="1"/>
      <x:c r="AN1747" s="1"/>
    </x:row>
    <x:row r="1748" ht="22" customHeight="1">
      <x:c r="A1748" s="1" t="str">
        <x:v>5620</x:v>
      </x:c>
      <x:c r="B1748" s="1" t="str">
        <x:v>The U School</x:v>
      </x:c>
      <x:c r="C1748" s="16" t="n">
        <x:v>0.11452251110429579</x:v>
      </x:c>
      <x:c r="D1748" s="1" t="str">
        <x:v>1364284</x:v>
      </x:c>
      <x:c r="E1748" s="1" t="str">
        <x:v>Cousins Supermarket Inc 1</x:v>
      </x:c>
      <x:c r="F1748" s="1" t="str">
        <x:v>1943 N 6th St, Philadelphia, PA, 19122</x:v>
      </x:c>
      <x:c r="G1748" s="1" t="n">
        <x:v>16</x:v>
      </x:c>
      <x:c r="H1748" s="1" t="str">
        <x:v>2026-10-09</x:v>
      </x:c>
      <x:c r="I1748" s="1" t="str">
        <x:v>Listed outlets and resources require access verification</x:v>
      </x:c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  <x:c r="AA1748" s="1"/>
      <x:c r="AB1748" s="1"/>
      <x:c r="AC1748" s="1"/>
      <x:c r="AD1748" s="1"/>
      <x:c r="AE1748" s="1"/>
      <x:c r="AF1748" s="1"/>
      <x:c r="AG1748" s="1"/>
      <x:c r="AH1748" s="1"/>
      <x:c r="AI1748" s="1"/>
      <x:c r="AJ1748" s="1"/>
      <x:c r="AK1748" s="1"/>
      <x:c r="AL1748" s="1"/>
      <x:c r="AM1748" s="1"/>
      <x:c r="AN1748" s="1"/>
    </x:row>
    <x:row r="1749" ht="22" customHeight="1">
      <x:c r="A1749" s="1" t="str">
        <x:v>5660</x:v>
      </x:c>
      <x:c r="B1749" s="1" t="str">
        <x:v>The LINC High School</x:v>
      </x:c>
      <x:c r="C1749" s="16" t="n">
        <x:v>0.5155406128169018</x:v>
      </x:c>
      <x:c r="D1749" s="1" t="str">
        <x:v>497084</x:v>
      </x:c>
      <x:c r="E1749" s="1" t="str">
        <x:v>COUSINS SUPERMARKET INC. #2</x:v>
      </x:c>
      <x:c r="F1749" s="1" t="str">
        <x:v>4037 N 5th St, Philadelphia, PA, 19140</x:v>
      </x:c>
      <x:c r="G1749" s="1" t="n">
        <x:v>9</x:v>
      </x:c>
      <x:c r="H1749" s="1" t="str">
        <x:v>2026-10-09</x:v>
      </x:c>
      <x:c r="I1749" s="1" t="str">
        <x:v>Listed outlets and resources require access verification</x:v>
      </x:c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  <x:c r="AA1749" s="1"/>
      <x:c r="AB1749" s="1"/>
      <x:c r="AC1749" s="1"/>
      <x:c r="AD1749" s="1"/>
      <x:c r="AE1749" s="1"/>
      <x:c r="AF1749" s="1"/>
      <x:c r="AG1749" s="1"/>
      <x:c r="AH1749" s="1"/>
      <x:c r="AI1749" s="1"/>
      <x:c r="AJ1749" s="1"/>
      <x:c r="AK1749" s="1"/>
      <x:c r="AL1749" s="1"/>
      <x:c r="AM1749" s="1"/>
      <x:c r="AN1749" s="1"/>
    </x:row>
    <x:row r="1750" ht="22" customHeight="1">
      <x:c r="A1750" s="1" t="str">
        <x:v>5680</x:v>
      </x:c>
      <x:c r="B1750" s="1" t="str">
        <x:v>Honorable Luis Munoz-Marin School</x:v>
      </x:c>
      <x:c r="C1750" s="16" t="n">
        <x:v>0.15156155022007126</x:v>
      </x:c>
      <x:c r="D1750" s="1" t="str">
        <x:v>1443919</x:v>
      </x:c>
      <x:c r="E1750" s="1" t="str">
        <x:v>Save A Lot 60136</x:v>
      </x:c>
      <x:c r="F1750" s="1" t="str">
        <x:v>400 W Allegheny Ave, Philadelphia, PA, 19133</x:v>
      </x:c>
      <x:c r="G1750" s="1" t="n">
        <x:v>14</x:v>
      </x:c>
      <x:c r="H1750" s="1" t="str">
        <x:v>2026-10-09</x:v>
      </x:c>
      <x:c r="I1750" s="1" t="str">
        <x:v>Listed outlets and resources require access verification</x:v>
      </x:c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  <x:c r="AA1750" s="1"/>
      <x:c r="AB1750" s="1"/>
      <x:c r="AC1750" s="1"/>
      <x:c r="AD1750" s="1"/>
      <x:c r="AE1750" s="1"/>
      <x:c r="AF1750" s="1"/>
      <x:c r="AG1750" s="1"/>
      <x:c r="AH1750" s="1"/>
      <x:c r="AI1750" s="1"/>
      <x:c r="AJ1750" s="1"/>
      <x:c r="AK1750" s="1"/>
      <x:c r="AL1750" s="1"/>
      <x:c r="AM1750" s="1"/>
      <x:c r="AN1750" s="1"/>
    </x:row>
    <x:row r="1751" ht="22" customHeight="1">
      <x:c r="A1751" s="1" t="str">
        <x:v>5700</x:v>
      </x:c>
      <x:c r="B1751" s="1" t="str">
        <x:v>Kensington High School</x:v>
      </x:c>
      <x:c r="C1751" s="16" t="n">
        <x:v>0.6109070300929565</x:v>
      </x:c>
      <x:c r="D1751" s="1" t="str">
        <x:v>1338140</x:v>
      </x:c>
      <x:c r="E1751" s="1" t="str">
        <x:v>No.1 Asian Supermarket Inc</x:v>
      </x:c>
      <x:c r="F1751" s="1" t="str">
        <x:v>2842 Saint Vincent St, Philadelphia, PA, 19149</x:v>
      </x:c>
      <x:c r="G1751" s="1" t="n">
        <x:v>2</x:v>
      </x:c>
      <x:c r="H1751" s="1" t="str">
        <x:v>2026-10-09</x:v>
      </x:c>
      <x:c r="I1751" s="1" t="str">
        <x:v>Listed outlets and resources require access verification</x:v>
      </x:c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  <x:c r="AA1751" s="1"/>
      <x:c r="AB1751" s="1"/>
      <x:c r="AC1751" s="1"/>
      <x:c r="AD1751" s="1"/>
      <x:c r="AE1751" s="1"/>
      <x:c r="AF1751" s="1"/>
      <x:c r="AG1751" s="1"/>
      <x:c r="AH1751" s="1"/>
      <x:c r="AI1751" s="1"/>
      <x:c r="AJ1751" s="1"/>
      <x:c r="AK1751" s="1"/>
      <x:c r="AL1751" s="1"/>
      <x:c r="AM1751" s="1"/>
      <x:c r="AN1751" s="1"/>
    </x:row>
    <x:row r="1752" ht="22" customHeight="1">
      <x:c r="A1752" s="1" t="str">
        <x:v>5710</x:v>
      </x:c>
      <x:c r="B1752" s="1" t="str">
        <x:v>Memphis Street Middle School</x:v>
      </x:c>
      <x:c r="C1752" s="16" t="n">
        <x:v>0.44693046338504855</x:v>
      </x:c>
      <x:c r="D1752" s="1" t="str">
        <x:v>1678957</x:v>
      </x:c>
      <x:c r="E1752" s="1" t="str">
        <x:v>Save A Lot 30224</x:v>
      </x:c>
      <x:c r="F1752" s="1" t="str">
        <x:v>2132 E Lehigh Ave, Philadelphia, PA, 19125</x:v>
      </x:c>
      <x:c r="G1752" s="1" t="n">
        <x:v>9</x:v>
      </x:c>
      <x:c r="H1752" s="1" t="str">
        <x:v>2026-10-09</x:v>
      </x:c>
      <x:c r="I1752" s="1" t="str">
        <x:v>Listed outlets and resources require access verification</x:v>
      </x:c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  <x:c r="AA1752" s="1"/>
      <x:c r="AB1752" s="1"/>
      <x:c r="AC1752" s="1"/>
      <x:c r="AD1752" s="1"/>
      <x:c r="AE1752" s="1"/>
      <x:c r="AF1752" s="1"/>
      <x:c r="AG1752" s="1"/>
      <x:c r="AH1752" s="1"/>
      <x:c r="AI1752" s="1"/>
      <x:c r="AJ1752" s="1"/>
      <x:c r="AK1752" s="1"/>
      <x:c r="AL1752" s="1"/>
      <x:c r="AM1752" s="1"/>
      <x:c r="AN1752" s="1"/>
    </x:row>
    <x:row r="1753" ht="22" customHeight="1">
      <x:c r="A1753" s="1" t="str">
        <x:v>6010</x:v>
      </x:c>
      <x:c r="B1753" s="1" t="str">
        <x:v>Central High School</x:v>
      </x:c>
      <x:c r="C1753" s="16" t="n">
        <x:v>0.5248125697376791</x:v>
      </x:c>
      <x:c r="D1753" s="1" t="str">
        <x:v>906753</x:v>
      </x:c>
      <x:c r="E1753" s="1" t="str">
        <x:v>THE FRESH GROCER</x:v>
      </x:c>
      <x:c r="F1753" s="1" t="str">
        <x:v>5301 Chew Ave, Philadelphia, PA, 19138</x:v>
      </x:c>
      <x:c r="G1753" s="1" t="n">
        <x:v>12</x:v>
      </x:c>
      <x:c r="H1753" s="1" t="str">
        <x:v>2026-10-09</x:v>
      </x:c>
      <x:c r="I1753" s="1" t="str">
        <x:v>Listed outlets and resources require access verification</x:v>
      </x:c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  <x:c r="AA1753" s="1"/>
      <x:c r="AB1753" s="1"/>
      <x:c r="AC1753" s="1"/>
      <x:c r="AD1753" s="1"/>
      <x:c r="AE1753" s="1"/>
      <x:c r="AF1753" s="1"/>
      <x:c r="AG1753" s="1"/>
      <x:c r="AH1753" s="1"/>
      <x:c r="AI1753" s="1"/>
      <x:c r="AJ1753" s="1"/>
      <x:c r="AK1753" s="1"/>
      <x:c r="AL1753" s="1"/>
      <x:c r="AM1753" s="1"/>
      <x:c r="AN1753" s="1"/>
    </x:row>
    <x:row r="1754" ht="22" customHeight="1">
      <x:c r="A1754" s="1" t="str">
        <x:v>6030</x:v>
      </x:c>
      <x:c r="B1754" s="1" t="str">
        <x:v>Roxborough High School</x:v>
      </x:c>
      <x:c r="C1754" s="16" t="n">
        <x:v>0.44340961937886253</x:v>
      </x:c>
      <x:c r="D1754" s="1" t="str">
        <x:v>471848</x:v>
      </x:c>
      <x:c r="E1754" s="1" t="str">
        <x:v>Shop Rite of Roxborough 519</x:v>
      </x:c>
      <x:c r="F1754" s="1" t="str">
        <x:v>6901 Ridge Ave, Philadelphia, PA, 19128</x:v>
      </x:c>
      <x:c r="G1754" s="1" t="n">
        <x:v>1</x:v>
      </x:c>
      <x:c r="H1754" s="1" t="str">
        <x:v>2026-10-09</x:v>
      </x:c>
      <x:c r="I1754" s="1" t="str">
        <x:v>Listed outlets and resources require access verification</x:v>
      </x:c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  <x:c r="AA1754" s="1"/>
      <x:c r="AB1754" s="1"/>
      <x:c r="AC1754" s="1"/>
      <x:c r="AD1754" s="1"/>
      <x:c r="AE1754" s="1"/>
      <x:c r="AF1754" s="1"/>
      <x:c r="AG1754" s="1"/>
      <x:c r="AH1754" s="1"/>
      <x:c r="AI1754" s="1"/>
      <x:c r="AJ1754" s="1"/>
      <x:c r="AK1754" s="1"/>
      <x:c r="AL1754" s="1"/>
      <x:c r="AM1754" s="1"/>
      <x:c r="AN1754" s="1"/>
    </x:row>
    <x:row r="1755" ht="22" customHeight="1">
      <x:c r="A1755" s="1" t="str">
        <x:v>6040</x:v>
      </x:c>
      <x:c r="B1755" s="1" t="str">
        <x:v>Walter B. Saul High School</x:v>
      </x:c>
      <x:c r="C1755" s="16" t="n">
        <x:v>0.5690515358630496</x:v>
      </x:c>
      <x:c r="D1755" s="1" t="str">
        <x:v>471848</x:v>
      </x:c>
      <x:c r="E1755" s="1" t="str">
        <x:v>Shop Rite of Roxborough 519</x:v>
      </x:c>
      <x:c r="F1755" s="1" t="str">
        <x:v>6901 Ridge Ave, Philadelphia, PA, 19128</x:v>
      </x:c>
      <x:c r="G1755" s="1" t="n">
        <x:v>0</x:v>
      </x:c>
      <x:c r="H1755" s="1" t="str">
        <x:v>2026-10-09</x:v>
      </x:c>
      <x:c r="I1755" s="1" t="str">
        <x:v>Listed outlets and resources require access verification</x:v>
      </x:c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  <x:c r="AA1755" s="1"/>
      <x:c r="AB1755" s="1"/>
      <x:c r="AC1755" s="1"/>
      <x:c r="AD1755" s="1"/>
      <x:c r="AE1755" s="1"/>
      <x:c r="AF1755" s="1"/>
      <x:c r="AG1755" s="1"/>
      <x:c r="AH1755" s="1"/>
      <x:c r="AI1755" s="1"/>
      <x:c r="AJ1755" s="1"/>
      <x:c r="AK1755" s="1"/>
      <x:c r="AL1755" s="1"/>
      <x:c r="AM1755" s="1"/>
      <x:c r="AN1755" s="1"/>
    </x:row>
    <x:row r="1756" ht="22" customHeight="1">
      <x:c r="A1756" s="1" t="str">
        <x:v>6050</x:v>
      </x:c>
      <x:c r="B1756" s="1" t="str">
        <x:v>Philadelphia High School for Girls</x:v>
      </x:c>
      <x:c r="C1756" s="16" t="n">
        <x:v>0.6142739073848581</x:v>
      </x:c>
      <x:c r="D1756" s="1" t="str">
        <x:v>1215799</x:v>
      </x:c>
      <x:c r="E1756" s="1" t="str">
        <x:v>ALDI 60011 60011</x:v>
      </x:c>
      <x:c r="F1756" s="1" t="str">
        <x:v>6119 N Broad St, Philadelphia, PA, 19141</x:v>
      </x:c>
      <x:c r="G1756" s="1" t="n">
        <x:v>9</x:v>
      </x:c>
      <x:c r="H1756" s="1" t="str">
        <x:v>2026-10-09</x:v>
      </x:c>
      <x:c r="I1756" s="1" t="str">
        <x:v>Listed outlets and resources require access verification</x:v>
      </x:c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  <x:c r="AA1756" s="1"/>
      <x:c r="AB1756" s="1"/>
      <x:c r="AC1756" s="1"/>
      <x:c r="AD1756" s="1"/>
      <x:c r="AE1756" s="1"/>
      <x:c r="AF1756" s="1"/>
      <x:c r="AG1756" s="1"/>
      <x:c r="AH1756" s="1"/>
      <x:c r="AI1756" s="1"/>
      <x:c r="AJ1756" s="1"/>
      <x:c r="AK1756" s="1"/>
      <x:c r="AL1756" s="1"/>
      <x:c r="AM1756" s="1"/>
      <x:c r="AN1756" s="1"/>
    </x:row>
    <x:row r="1757" ht="22" customHeight="1">
      <x:c r="A1757" s="1" t="str">
        <x:v>6060</x:v>
      </x:c>
      <x:c r="B1757" s="1" t="str">
        <x:v>Martin Luther King High School</x:v>
      </x:c>
      <x:c r="C1757" s="16" t="n">
        <x:v>0.7592437096211593</x:v>
      </x:c>
      <x:c r="D1757" s="1" t="str">
        <x:v>1270964</x:v>
      </x:c>
      <x:c r="E1757" s="1" t="str">
        <x:v>Save A Lot 45141</x:v>
      </x:c>
      <x:c r="F1757" s="1" t="str">
        <x:v>6301 Chew Ave, Philadelphia, PA, 19138</x:v>
      </x:c>
      <x:c r="G1757" s="1" t="n">
        <x:v>9</x:v>
      </x:c>
      <x:c r="H1757" s="1" t="str">
        <x:v>2026-10-09</x:v>
      </x:c>
      <x:c r="I1757" s="1" t="str">
        <x:v>Listed outlets and resources require access verification</x:v>
      </x:c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  <x:c r="AA1757" s="1"/>
      <x:c r="AB1757" s="1"/>
      <x:c r="AC1757" s="1"/>
      <x:c r="AD1757" s="1"/>
      <x:c r="AE1757" s="1"/>
      <x:c r="AF1757" s="1"/>
      <x:c r="AG1757" s="1"/>
      <x:c r="AH1757" s="1"/>
      <x:c r="AI1757" s="1"/>
      <x:c r="AJ1757" s="1"/>
      <x:c r="AK1757" s="1"/>
      <x:c r="AL1757" s="1"/>
      <x:c r="AM1757" s="1"/>
      <x:c r="AN1757" s="1"/>
    </x:row>
    <x:row r="1758" ht="22" customHeight="1">
      <x:c r="A1758" s="1" t="str">
        <x:v>6090</x:v>
      </x:c>
      <x:c r="B1758" s="1" t="str">
        <x:v>A. Philip Randolph Career and Technical High School</x:v>
      </x:c>
      <x:c r="C1758" s="16" t="n">
        <x:v>0.29480313408940284</x:v>
      </x:c>
      <x:c r="D1758" s="1" t="str">
        <x:v>1105136</x:v>
      </x:c>
      <x:c r="E1758" s="1" t="str">
        <x:v>Shoprite of Fox Street 430</x:v>
      </x:c>
      <x:c r="F1758" s="1" t="str">
        <x:v>2800 Fox Street, Philadelphia, PA, 19129</x:v>
      </x:c>
      <x:c r="G1758" s="1" t="n">
        <x:v>6</x:v>
      </x:c>
      <x:c r="H1758" s="1" t="str">
        <x:v>2026-10-09</x:v>
      </x:c>
      <x:c r="I1758" s="1" t="str">
        <x:v>Listed outlets and resources require access verification</x:v>
      </x:c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  <x:c r="AA1758" s="1"/>
      <x:c r="AB1758" s="1"/>
      <x:c r="AC1758" s="1"/>
      <x:c r="AD1758" s="1"/>
      <x:c r="AE1758" s="1"/>
      <x:c r="AF1758" s="1"/>
      <x:c r="AG1758" s="1"/>
      <x:c r="AH1758" s="1"/>
      <x:c r="AI1758" s="1"/>
      <x:c r="AJ1758" s="1"/>
      <x:c r="AK1758" s="1"/>
      <x:c r="AL1758" s="1"/>
      <x:c r="AM1758" s="1"/>
      <x:c r="AN1758" s="1"/>
    </x:row>
    <x:row r="1759" ht="22" customHeight="1">
      <x:c r="A1759" s="1" t="str">
        <x:v>6200</x:v>
      </x:c>
      <x:c r="B1759" s="1" t="str">
        <x:v>Anna B. Day School</x:v>
      </x:c>
      <x:c r="C1759" s="16" t="n">
        <x:v>0.5910479060218042</x:v>
      </x:c>
      <x:c r="D1759" s="1" t="str">
        <x:v>1270964</x:v>
      </x:c>
      <x:c r="E1759" s="1" t="str">
        <x:v>Save A Lot 45141</x:v>
      </x:c>
      <x:c r="F1759" s="1" t="str">
        <x:v>6301 Chew Ave, Philadelphia, PA, 19138</x:v>
      </x:c>
      <x:c r="G1759" s="1" t="n">
        <x:v>10</x:v>
      </x:c>
      <x:c r="H1759" s="1" t="str">
        <x:v>2026-10-09</x:v>
      </x:c>
      <x:c r="I1759" s="1" t="str">
        <x:v>Listed outlets and resources require access verification</x:v>
      </x:c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  <x:c r="AA1759" s="1"/>
      <x:c r="AB1759" s="1"/>
      <x:c r="AC1759" s="1"/>
      <x:c r="AD1759" s="1"/>
      <x:c r="AE1759" s="1"/>
      <x:c r="AF1759" s="1"/>
      <x:c r="AG1759" s="1"/>
      <x:c r="AH1759" s="1"/>
      <x:c r="AI1759" s="1"/>
      <x:c r="AJ1759" s="1"/>
      <x:c r="AK1759" s="1"/>
      <x:c r="AL1759" s="1"/>
      <x:c r="AM1759" s="1"/>
      <x:c r="AN1759" s="1"/>
    </x:row>
    <x:row r="1760" ht="22" customHeight="1">
      <x:c r="A1760" s="1" t="str">
        <x:v>6210</x:v>
      </x:c>
      <x:c r="B1760" s="1" t="str">
        <x:v>Franklin S. Edmonds School</x:v>
      </x:c>
      <x:c r="C1760" s="16" t="n">
        <x:v>0.6999142018519914</x:v>
      </x:c>
      <x:c r="D1760" s="1" t="str">
        <x:v>1663029</x:v>
      </x:c>
      <x:c r="E1760" s="1" t="str">
        <x:v>Shoprite of Cheltenham 426</x:v>
      </x:c>
      <x:c r="F1760" s="1" t="str">
        <x:v>2471 W Cheltenham Ave, Wyncote, PA, 19095</x:v>
      </x:c>
      <x:c r="G1760" s="1" t="n">
        <x:v>4</x:v>
      </x:c>
      <x:c r="H1760" s="1" t="str">
        <x:v>2026-10-09</x:v>
      </x:c>
      <x:c r="I1760" s="1" t="str">
        <x:v>Listed outlets and resources require access verification</x:v>
      </x:c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  <x:c r="AA1760" s="1"/>
      <x:c r="AB1760" s="1"/>
      <x:c r="AC1760" s="1"/>
      <x:c r="AD1760" s="1"/>
      <x:c r="AE1760" s="1"/>
      <x:c r="AF1760" s="1"/>
      <x:c r="AG1760" s="1"/>
      <x:c r="AH1760" s="1"/>
      <x:c r="AI1760" s="1"/>
      <x:c r="AJ1760" s="1"/>
      <x:c r="AK1760" s="1"/>
      <x:c r="AL1760" s="1"/>
      <x:c r="AM1760" s="1"/>
      <x:c r="AN1760" s="1"/>
    </x:row>
    <x:row r="1761" ht="22" customHeight="1">
      <x:c r="A1761" s="1" t="str">
        <x:v>6220</x:v>
      </x:c>
      <x:c r="B1761" s="1" t="str">
        <x:v>Eleanor C. Emlen School</x:v>
      </x:c>
      <x:c r="C1761" s="16" t="n">
        <x:v>0.33706104927098</x:v>
      </x:c>
      <x:c r="D1761" s="1" t="str">
        <x:v>1270964</x:v>
      </x:c>
      <x:c r="E1761" s="1" t="str">
        <x:v>Save A Lot 45141</x:v>
      </x:c>
      <x:c r="F1761" s="1" t="str">
        <x:v>6301 Chew Ave, Philadelphia, PA, 19138</x:v>
      </x:c>
      <x:c r="G1761" s="1" t="n">
        <x:v>13</x:v>
      </x:c>
      <x:c r="H1761" s="1" t="str">
        <x:v>2026-10-09</x:v>
      </x:c>
      <x:c r="I1761" s="1" t="str">
        <x:v>Listed outlets and resources require access verification</x:v>
      </x:c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  <x:c r="AA1761" s="1"/>
      <x:c r="AB1761" s="1"/>
      <x:c r="AC1761" s="1"/>
      <x:c r="AD1761" s="1"/>
      <x:c r="AE1761" s="1"/>
      <x:c r="AF1761" s="1"/>
      <x:c r="AG1761" s="1"/>
      <x:c r="AH1761" s="1"/>
      <x:c r="AI1761" s="1"/>
      <x:c r="AJ1761" s="1"/>
      <x:c r="AK1761" s="1"/>
      <x:c r="AL1761" s="1"/>
      <x:c r="AM1761" s="1"/>
      <x:c r="AN1761" s="1"/>
    </x:row>
    <x:row r="1762" ht="22" customHeight="1">
      <x:c r="A1762" s="1" t="str">
        <x:v>6230</x:v>
      </x:c>
      <x:c r="B1762" s="1" t="str">
        <x:v>Fitler Academics Plus School</x:v>
      </x:c>
      <x:c r="C1762" s="16" t="n">
        <x:v>0.7648935789122202</x:v>
      </x:c>
      <x:c r="D1762" s="1" t="str">
        <x:v>1249280</x:v>
      </x:c>
      <x:c r="E1762" s="1" t="str">
        <x:v>Chelten Market Inc</x:v>
      </x:c>
      <x:c r="F1762" s="1" t="str">
        <x:v>176-82 W Chelten Ave, Philadelphia, PA, 19144</x:v>
      </x:c>
      <x:c r="G1762" s="1" t="n">
        <x:v>14</x:v>
      </x:c>
      <x:c r="H1762" s="1" t="str">
        <x:v>2026-10-09</x:v>
      </x:c>
      <x:c r="I1762" s="1" t="str">
        <x:v>Listed outlets and resources require access verification</x:v>
      </x:c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  <x:c r="AA1762" s="1"/>
      <x:c r="AB1762" s="1"/>
      <x:c r="AC1762" s="1"/>
      <x:c r="AD1762" s="1"/>
      <x:c r="AE1762" s="1"/>
      <x:c r="AF1762" s="1"/>
      <x:c r="AG1762" s="1"/>
      <x:c r="AH1762" s="1"/>
      <x:c r="AI1762" s="1"/>
      <x:c r="AJ1762" s="1"/>
      <x:c r="AK1762" s="1"/>
      <x:c r="AL1762" s="1"/>
      <x:c r="AM1762" s="1"/>
      <x:c r="AN1762" s="1"/>
    </x:row>
    <x:row r="1763" ht="22" customHeight="1">
      <x:c r="A1763" s="1" t="str">
        <x:v>6250</x:v>
      </x:c>
      <x:c r="B1763" s="1" t="str">
        <x:v>Charles W. Henry School</x:v>
      </x:c>
      <x:c r="C1763" s="16" t="n">
        <x:v>0.6497032188856483</x:v>
      </x:c>
      <x:c r="D1763" s="1" t="str">
        <x:v>1447825</x:v>
      </x:c>
      <x:c r="E1763" s="1" t="str">
        <x:v>Grocery Outlet 728</x:v>
      </x:c>
      <x:c r="F1763" s="1" t="str">
        <x:v>25 W Hortter St, Philadelphia, PA, 19119</x:v>
      </x:c>
      <x:c r="G1763" s="1" t="n">
        <x:v>3</x:v>
      </x:c>
      <x:c r="H1763" s="1" t="str">
        <x:v>2026-10-09</x:v>
      </x:c>
      <x:c r="I1763" s="1" t="str">
        <x:v>Listed outlets and resources require access verification</x:v>
      </x:c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  <x:c r="AA1763" s="1"/>
      <x:c r="AB1763" s="1"/>
      <x:c r="AC1763" s="1"/>
      <x:c r="AD1763" s="1"/>
      <x:c r="AE1763" s="1"/>
      <x:c r="AF1763" s="1"/>
      <x:c r="AG1763" s="1"/>
      <x:c r="AH1763" s="1"/>
      <x:c r="AI1763" s="1"/>
      <x:c r="AJ1763" s="1"/>
      <x:c r="AK1763" s="1"/>
      <x:c r="AL1763" s="1"/>
      <x:c r="AM1763" s="1"/>
      <x:c r="AN1763" s="1"/>
    </x:row>
    <x:row r="1764" ht="22" customHeight="1">
      <x:c r="A1764" s="1" t="str">
        <x:v>6260</x:v>
      </x:c>
      <x:c r="B1764" s="1" t="str">
        <x:v>Henry H. Houston School</x:v>
      </x:c>
      <x:c r="C1764" s="16" t="n">
        <x:v>0.3531423021349003</x:v>
      </x:c>
      <x:c r="D1764" s="1" t="str">
        <x:v>291554</x:v>
      </x:c>
      <x:c r="E1764" s="1" t="str">
        <x:v>ACME 114</x:v>
      </x:c>
      <x:c r="F1764" s="1" t="str">
        <x:v>7010 Germantown Ave, Philadelphia, PA, 19119</x:v>
      </x:c>
      <x:c r="G1764" s="1" t="n">
        <x:v>2</x:v>
      </x:c>
      <x:c r="H1764" s="1" t="str">
        <x:v>2026-10-09</x:v>
      </x:c>
      <x:c r="I1764" s="1" t="str">
        <x:v>Listed outlets and resources require access verification</x:v>
      </x:c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  <x:c r="AA1764" s="1"/>
      <x:c r="AB1764" s="1"/>
      <x:c r="AC1764" s="1"/>
      <x:c r="AD1764" s="1"/>
      <x:c r="AE1764" s="1"/>
      <x:c r="AF1764" s="1"/>
      <x:c r="AG1764" s="1"/>
      <x:c r="AH1764" s="1"/>
      <x:c r="AI1764" s="1"/>
      <x:c r="AJ1764" s="1"/>
      <x:c r="AK1764" s="1"/>
      <x:c r="AL1764" s="1"/>
      <x:c r="AM1764" s="1"/>
      <x:c r="AN1764" s="1"/>
    </x:row>
    <x:row r="1765" ht="22" customHeight="1">
      <x:c r="A1765" s="1" t="str">
        <x:v>6270</x:v>
      </x:c>
      <x:c r="B1765" s="1" t="str">
        <x:v>John S. Jenks Academy for the Arts and Sciences</x:v>
      </x:c>
      <x:c r="C1765" s="16" t="n">
        <x:v>0.07200883562066408</x:v>
      </x:c>
      <x:c r="D1765" s="1" t="str">
        <x:v>1231350</x:v>
      </x:c>
      <x:c r="E1765" s="1" t="str">
        <x:v>The Fresh Market 133</x:v>
      </x:c>
      <x:c r="F1765" s="1" t="str">
        <x:v>8208 Germantown Ave, Philadelphia, PA, 19118</x:v>
      </x:c>
      <x:c r="G1765" s="1" t="n">
        <x:v>0</x:v>
      </x:c>
      <x:c r="H1765" s="1" t="str">
        <x:v>2026-10-09</x:v>
      </x:c>
      <x:c r="I1765" s="1" t="str">
        <x:v>Listed outlets and resources require access verification</x:v>
      </x:c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  <x:c r="AA1765" s="1"/>
      <x:c r="AB1765" s="1"/>
      <x:c r="AC1765" s="1"/>
      <x:c r="AD1765" s="1"/>
      <x:c r="AE1765" s="1"/>
      <x:c r="AF1765" s="1"/>
      <x:c r="AG1765" s="1"/>
      <x:c r="AH1765" s="1"/>
      <x:c r="AI1765" s="1"/>
      <x:c r="AJ1765" s="1"/>
      <x:c r="AK1765" s="1"/>
      <x:c r="AL1765" s="1"/>
      <x:c r="AM1765" s="1"/>
      <x:c r="AN1765" s="1"/>
    </x:row>
    <x:row r="1766" ht="22" customHeight="1">
      <x:c r="A1766" s="1" t="str">
        <x:v>6300</x:v>
      </x:c>
      <x:c r="B1766" s="1" t="str">
        <x:v>James Logan School</x:v>
      </x:c>
      <x:c r="C1766" s="16" t="n">
        <x:v>0.6970152804060143</x:v>
      </x:c>
      <x:c r="D1766" s="1" t="str">
        <x:v>1232656</x:v>
      </x:c>
      <x:c r="E1766" s="1" t="str">
        <x:v>Save-A-Lot 60138</x:v>
      </x:c>
      <x:c r="F1766" s="1" t="str">
        <x:v>4424 N Broad St, Philadelphia, PA, 19140</x:v>
      </x:c>
      <x:c r="G1766" s="1" t="n">
        <x:v>8</x:v>
      </x:c>
      <x:c r="H1766" s="1" t="str">
        <x:v>2026-10-09</x:v>
      </x:c>
      <x:c r="I1766" s="1" t="str">
        <x:v>Listed outlets and resources require access verification</x:v>
      </x:c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  <x:c r="AA1766" s="1"/>
      <x:c r="AB1766" s="1"/>
      <x:c r="AC1766" s="1"/>
      <x:c r="AD1766" s="1"/>
      <x:c r="AE1766" s="1"/>
      <x:c r="AF1766" s="1"/>
      <x:c r="AG1766" s="1"/>
      <x:c r="AH1766" s="1"/>
      <x:c r="AI1766" s="1"/>
      <x:c r="AJ1766" s="1"/>
      <x:c r="AK1766" s="1"/>
      <x:c r="AL1766" s="1"/>
      <x:c r="AM1766" s="1"/>
      <x:c r="AN1766" s="1"/>
    </x:row>
    <x:row r="1767" ht="22" customHeight="1">
      <x:c r="A1767" s="1" t="str">
        <x:v>6310</x:v>
      </x:c>
      <x:c r="B1767" s="1" t="str">
        <x:v>John F. McCloskey School</x:v>
      </x:c>
      <x:c r="C1767" s="16" t="n">
        <x:v>0.2594880425032732</x:v>
      </x:c>
      <x:c r="D1767" s="1" t="str">
        <x:v>1241114</x:v>
      </x:c>
      <x:c r="E1767" s="1" t="str">
        <x:v>Fresh Grocer Of Wyncote 415</x:v>
      </x:c>
      <x:c r="F1767" s="1" t="str">
        <x:v>1000 Easton Rd, Wyncote, PA, 19095</x:v>
      </x:c>
      <x:c r="G1767" s="1" t="n">
        <x:v>0</x:v>
      </x:c>
      <x:c r="H1767" s="1" t="str">
        <x:v>2026-10-09</x:v>
      </x:c>
      <x:c r="I1767" s="1" t="str">
        <x:v>Listed outlets and resources require access verification</x:v>
      </x:c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  <x:c r="AA1767" s="1"/>
      <x:c r="AB1767" s="1"/>
      <x:c r="AC1767" s="1"/>
      <x:c r="AD1767" s="1"/>
      <x:c r="AE1767" s="1"/>
      <x:c r="AF1767" s="1"/>
      <x:c r="AG1767" s="1"/>
      <x:c r="AH1767" s="1"/>
      <x:c r="AI1767" s="1"/>
      <x:c r="AJ1767" s="1"/>
      <x:c r="AK1767" s="1"/>
      <x:c r="AL1767" s="1"/>
      <x:c r="AM1767" s="1"/>
      <x:c r="AN1767" s="1"/>
    </x:row>
    <x:row r="1768" ht="22" customHeight="1">
      <x:c r="A1768" s="1" t="str">
        <x:v>6320</x:v>
      </x:c>
      <x:c r="B1768" s="1" t="str">
        <x:v>Thomas Mifflin School</x:v>
      </x:c>
      <x:c r="C1768" s="16" t="n">
        <x:v>0.8725492411240803</x:v>
      </x:c>
      <x:c r="D1768" s="1" t="str">
        <x:v>1105136</x:v>
      </x:c>
      <x:c r="E1768" s="1" t="str">
        <x:v>Shoprite of Fox Street 430</x:v>
      </x:c>
      <x:c r="F1768" s="1" t="str">
        <x:v>2800 Fox Street, Philadelphia, PA, 19129</x:v>
      </x:c>
      <x:c r="G1768" s="1" t="n">
        <x:v>3</x:v>
      </x:c>
      <x:c r="H1768" s="1" t="str">
        <x:v>2026-10-09</x:v>
      </x:c>
      <x:c r="I1768" s="1" t="str">
        <x:v>Listed outlets and resources require access verification</x:v>
      </x:c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  <x:c r="AA1768" s="1"/>
      <x:c r="AB1768" s="1"/>
      <x:c r="AC1768" s="1"/>
      <x:c r="AD1768" s="1"/>
      <x:c r="AE1768" s="1"/>
      <x:c r="AF1768" s="1"/>
      <x:c r="AG1768" s="1"/>
      <x:c r="AH1768" s="1"/>
      <x:c r="AI1768" s="1"/>
      <x:c r="AJ1768" s="1"/>
      <x:c r="AK1768" s="1"/>
      <x:c r="AL1768" s="1"/>
      <x:c r="AM1768" s="1"/>
      <x:c r="AN1768" s="1"/>
    </x:row>
    <x:row r="1769" ht="22" customHeight="1">
      <x:c r="A1769" s="1" t="str">
        <x:v>6340</x:v>
      </x:c>
      <x:c r="B1769" s="1" t="str">
        <x:v>Joseph Pennell School</x:v>
      </x:c>
      <x:c r="C1769" s="16" t="n">
        <x:v>0.3698242442479336</x:v>
      </x:c>
      <x:c r="D1769" s="1" t="str">
        <x:v>906753</x:v>
      </x:c>
      <x:c r="E1769" s="1" t="str">
        <x:v>THE FRESH GROCER</x:v>
      </x:c>
      <x:c r="F1769" s="1" t="str">
        <x:v>5301 Chew Ave, Philadelphia, PA, 19138</x:v>
      </x:c>
      <x:c r="G1769" s="1" t="n">
        <x:v>13</x:v>
      </x:c>
      <x:c r="H1769" s="1" t="str">
        <x:v>2026-10-09</x:v>
      </x:c>
      <x:c r="I1769" s="1" t="str">
        <x:v>Listed outlets and resources require access verification</x:v>
      </x:c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  <x:c r="AA1769" s="1"/>
      <x:c r="AB1769" s="1"/>
      <x:c r="AC1769" s="1"/>
      <x:c r="AD1769" s="1"/>
      <x:c r="AE1769" s="1"/>
      <x:c r="AF1769" s="1"/>
      <x:c r="AG1769" s="1"/>
      <x:c r="AH1769" s="1"/>
      <x:c r="AI1769" s="1"/>
      <x:c r="AJ1769" s="1"/>
      <x:c r="AK1769" s="1"/>
      <x:c r="AL1769" s="1"/>
      <x:c r="AM1769" s="1"/>
      <x:c r="AN1769" s="1"/>
    </x:row>
    <x:row r="1770" ht="22" customHeight="1">
      <x:c r="A1770" s="1" t="str">
        <x:v>6350</x:v>
      </x:c>
      <x:c r="B1770" s="1" t="str">
        <x:v>Samuel Pennypacker School</x:v>
      </x:c>
      <x:c r="C1770" s="16" t="n">
        <x:v>0.7154200968267349</x:v>
      </x:c>
      <x:c r="D1770" s="1" t="str">
        <x:v>1663029</x:v>
      </x:c>
      <x:c r="E1770" s="1" t="str">
        <x:v>Shoprite of Cheltenham 426</x:v>
      </x:c>
      <x:c r="F1770" s="1" t="str">
        <x:v>2471 W Cheltenham Ave, Wyncote, PA, 19095</x:v>
      </x:c>
      <x:c r="G1770" s="1" t="n">
        <x:v>6</x:v>
      </x:c>
      <x:c r="H1770" s="1" t="str">
        <x:v>2026-10-09</x:v>
      </x:c>
      <x:c r="I1770" s="1" t="str">
        <x:v>Listed outlets and resources require access verification</x:v>
      </x:c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  <x:c r="AA1770" s="1"/>
      <x:c r="AB1770" s="1"/>
      <x:c r="AC1770" s="1"/>
      <x:c r="AD1770" s="1"/>
      <x:c r="AE1770" s="1"/>
      <x:c r="AF1770" s="1"/>
      <x:c r="AG1770" s="1"/>
      <x:c r="AH1770" s="1"/>
      <x:c r="AI1770" s="1"/>
      <x:c r="AJ1770" s="1"/>
      <x:c r="AK1770" s="1"/>
      <x:c r="AL1770" s="1"/>
      <x:c r="AM1770" s="1"/>
      <x:c r="AN1770" s="1"/>
    </x:row>
    <x:row r="1771" ht="22" customHeight="1">
      <x:c r="A1771" s="1" t="str">
        <x:v>6360</x:v>
      </x:c>
      <x:c r="B1771" s="1" t="str">
        <x:v>Theodore Roosevelt School</x:v>
      </x:c>
      <x:c r="C1771" s="16" t="n">
        <x:v>0.1824803055818448</x:v>
      </x:c>
      <x:c r="D1771" s="1" t="str">
        <x:v>1270964</x:v>
      </x:c>
      <x:c r="E1771" s="1" t="str">
        <x:v>Save A Lot 45141</x:v>
      </x:c>
      <x:c r="F1771" s="1" t="str">
        <x:v>6301 Chew Ave, Philadelphia, PA, 19138</x:v>
      </x:c>
      <x:c r="G1771" s="1" t="n">
        <x:v>18</x:v>
      </x:c>
      <x:c r="H1771" s="1" t="str">
        <x:v>2026-10-09</x:v>
      </x:c>
      <x:c r="I1771" s="1" t="str">
        <x:v>Listed outlets and resources require access verification</x:v>
      </x:c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  <x:c r="AA1771" s="1"/>
      <x:c r="AB1771" s="1"/>
      <x:c r="AC1771" s="1"/>
      <x:c r="AD1771" s="1"/>
      <x:c r="AE1771" s="1"/>
      <x:c r="AF1771" s="1"/>
      <x:c r="AG1771" s="1"/>
      <x:c r="AH1771" s="1"/>
      <x:c r="AI1771" s="1"/>
      <x:c r="AJ1771" s="1"/>
      <x:c r="AK1771" s="1"/>
      <x:c r="AL1771" s="1"/>
      <x:c r="AM1771" s="1"/>
      <x:c r="AN1771" s="1"/>
    </x:row>
    <x:row r="1772" ht="22" customHeight="1">
      <x:c r="A1772" s="1" t="str">
        <x:v>6380</x:v>
      </x:c>
      <x:c r="B1772" s="1" t="str">
        <x:v>Shawmont School</x:v>
      </x:c>
      <x:c r="C1772" s="16" t="n">
        <x:v>0.5708482597734197</x:v>
      </x:c>
      <x:c r="D1772" s="1" t="str">
        <x:v>1275288</x:v>
      </x:c>
      <x:c r="E1772" s="1" t="str">
        <x:v>Target 3247</x:v>
      </x:c>
      <x:c r="F1772" s="1" t="str">
        <x:v>7162 Ridge Ave, Philadelphia, PA, 19128</x:v>
      </x:c>
      <x:c r="G1772" s="1" t="n">
        <x:v>0</x:v>
      </x:c>
      <x:c r="H1772" s="1" t="str">
        <x:v>2026-10-09</x:v>
      </x:c>
      <x:c r="I1772" s="1" t="str">
        <x:v>Listed outlets and resources require access verification</x:v>
      </x:c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  <x:c r="AA1772" s="1"/>
      <x:c r="AB1772" s="1"/>
      <x:c r="AC1772" s="1"/>
      <x:c r="AD1772" s="1"/>
      <x:c r="AE1772" s="1"/>
      <x:c r="AF1772" s="1"/>
      <x:c r="AG1772" s="1"/>
      <x:c r="AH1772" s="1"/>
      <x:c r="AI1772" s="1"/>
      <x:c r="AJ1772" s="1"/>
      <x:c r="AK1772" s="1"/>
      <x:c r="AL1772" s="1"/>
      <x:c r="AM1772" s="1"/>
      <x:c r="AN1772" s="1"/>
    </x:row>
    <x:row r="1773" ht="22" customHeight="1">
      <x:c r="A1773" s="1" t="str">
        <x:v>6390</x:v>
      </x:c>
      <x:c r="B1773" s="1" t="str">
        <x:v>Edward T. Steel School</x:v>
      </x:c>
      <x:c r="C1773" s="16" t="n">
        <x:v>0.46393107210585915</x:v>
      </x:c>
      <x:c r="D1773" s="1" t="str">
        <x:v>1232656</x:v>
      </x:c>
      <x:c r="E1773" s="1" t="str">
        <x:v>Save-A-Lot 60138</x:v>
      </x:c>
      <x:c r="F1773" s="1" t="str">
        <x:v>4424 N Broad St, Philadelphia, PA, 19140</x:v>
      </x:c>
      <x:c r="G1773" s="1" t="n">
        <x:v>7</x:v>
      </x:c>
      <x:c r="H1773" s="1" t="str">
        <x:v>2026-10-09</x:v>
      </x:c>
      <x:c r="I1773" s="1" t="str">
        <x:v>Listed outlets and resources require access verification</x:v>
      </x:c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  <x:c r="AA1773" s="1"/>
      <x:c r="AB1773" s="1"/>
      <x:c r="AC1773" s="1"/>
      <x:c r="AD1773" s="1"/>
      <x:c r="AE1773" s="1"/>
      <x:c r="AF1773" s="1"/>
      <x:c r="AG1773" s="1"/>
      <x:c r="AH1773" s="1"/>
      <x:c r="AI1773" s="1"/>
      <x:c r="AJ1773" s="1"/>
      <x:c r="AK1773" s="1"/>
      <x:c r="AL1773" s="1"/>
      <x:c r="AM1773" s="1"/>
      <x:c r="AN1773" s="1"/>
    </x:row>
    <x:row r="1774" ht="22" customHeight="1">
      <x:c r="A1774" s="1" t="str">
        <x:v>6400</x:v>
      </x:c>
      <x:c r="B1774" s="1" t="str">
        <x:v>Widener Memorial School</x:v>
      </x:c>
      <x:c r="C1774" s="16" t="n">
        <x:v>0.7290205820026908</x:v>
      </x:c>
      <x:c r="D1774" s="1" t="str">
        <x:v>1215799</x:v>
      </x:c>
      <x:c r="E1774" s="1" t="str">
        <x:v>ALDI 60011 60011</x:v>
      </x:c>
      <x:c r="F1774" s="1" t="str">
        <x:v>6119 N Broad St, Philadelphia, PA, 19141</x:v>
      </x:c>
      <x:c r="G1774" s="1" t="n">
        <x:v>9</x:v>
      </x:c>
      <x:c r="H1774" s="1" t="str">
        <x:v>2026-10-09</x:v>
      </x:c>
      <x:c r="I1774" s="1" t="str">
        <x:v>Listed outlets and resources require access verification</x:v>
      </x:c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  <x:c r="AA1774" s="1"/>
      <x:c r="AB1774" s="1"/>
      <x:c r="AC1774" s="1"/>
      <x:c r="AD1774" s="1"/>
      <x:c r="AE1774" s="1"/>
      <x:c r="AF1774" s="1"/>
      <x:c r="AG1774" s="1"/>
      <x:c r="AH1774" s="1"/>
      <x:c r="AI1774" s="1"/>
      <x:c r="AJ1774" s="1"/>
      <x:c r="AK1774" s="1"/>
      <x:c r="AL1774" s="1"/>
      <x:c r="AM1774" s="1"/>
      <x:c r="AN1774" s="1"/>
    </x:row>
    <x:row r="1775" ht="22" customHeight="1">
      <x:c r="A1775" s="1" t="str">
        <x:v>6410</x:v>
      </x:c>
      <x:c r="B1775" s="1" t="str">
        <x:v>Cook-Wissahickon School</x:v>
      </x:c>
      <x:c r="C1775" s="16" t="n">
        <x:v>0.6441370729129152</x:v>
      </x:c>
      <x:c r="D1775" s="1" t="str">
        <x:v>406146</x:v>
      </x:c>
      <x:c r="E1775" s="1" t="str">
        <x:v>ACME 2762</x:v>
      </x:c>
      <x:c r="F1775" s="1" t="str">
        <x:v>5927-59 Ridge Ave, Philadelphia, PA, 19128</x:v>
      </x:c>
      <x:c r="G1775" s="1" t="n">
        <x:v>1</x:v>
      </x:c>
      <x:c r="H1775" s="1" t="str">
        <x:v>2026-10-09</x:v>
      </x:c>
      <x:c r="I1775" s="1" t="str">
        <x:v>Listed outlets and resources require access verification</x:v>
      </x:c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  <x:c r="AA1775" s="1"/>
      <x:c r="AB1775" s="1"/>
      <x:c r="AC1775" s="1"/>
      <x:c r="AD1775" s="1"/>
      <x:c r="AE1775" s="1"/>
      <x:c r="AF1775" s="1"/>
      <x:c r="AG1775" s="1"/>
      <x:c r="AH1775" s="1"/>
      <x:c r="AI1775" s="1"/>
      <x:c r="AJ1775" s="1"/>
      <x:c r="AK1775" s="1"/>
      <x:c r="AL1775" s="1"/>
      <x:c r="AM1775" s="1"/>
      <x:c r="AN1775" s="1"/>
    </x:row>
    <x:row r="1776" ht="22" customHeight="1">
      <x:c r="A1776" s="1" t="str">
        <x:v>6440</x:v>
      </x:c>
      <x:c r="B1776" s="1" t="str">
        <x:v>Anna L. Lingelbach School</x:v>
      </x:c>
      <x:c r="C1776" s="16" t="n">
        <x:v>0.5091904913355288</x:v>
      </x:c>
      <x:c r="D1776" s="1" t="str">
        <x:v>536570</x:v>
      </x:c>
      <x:c r="E1776" s="1" t="str">
        <x:v>ARKADY DVOR T/A A&amp;N HOUSE OF PROD</x:v>
      </x:c>
      <x:c r="F1776" s="1" t="str">
        <x:v>5929 Greene St, Philadelphia, PA, 19144</x:v>
      </x:c>
      <x:c r="G1776" s="1" t="n">
        <x:v>12</x:v>
      </x:c>
      <x:c r="H1776" s="1" t="str">
        <x:v>2026-10-09</x:v>
      </x:c>
      <x:c r="I1776" s="1" t="str">
        <x:v>Listed outlets and resources require access verification</x:v>
      </x:c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  <x:c r="AA1776" s="1"/>
      <x:c r="AB1776" s="1"/>
      <x:c r="AC1776" s="1"/>
      <x:c r="AD1776" s="1"/>
      <x:c r="AE1776" s="1"/>
      <x:c r="AF1776" s="1"/>
      <x:c r="AG1776" s="1"/>
      <x:c r="AH1776" s="1"/>
      <x:c r="AI1776" s="1"/>
      <x:c r="AJ1776" s="1"/>
      <x:c r="AK1776" s="1"/>
      <x:c r="AL1776" s="1"/>
      <x:c r="AM1776" s="1"/>
      <x:c r="AN1776" s="1"/>
    </x:row>
    <x:row r="1777" ht="22" customHeight="1">
      <x:c r="A1777" s="1" t="str">
        <x:v>6450</x:v>
      </x:c>
      <x:c r="B1777" s="1" t="str">
        <x:v>James Dobson School</x:v>
      </x:c>
      <x:c r="C1777" s="16" t="n">
        <x:v>0.8343283051001598</x:v>
      </x:c>
      <x:c r="D1777" s="1" t="str">
        <x:v>471848</x:v>
      </x:c>
      <x:c r="E1777" s="1" t="str">
        <x:v>Shop Rite of Roxborough 519</x:v>
      </x:c>
      <x:c r="F1777" s="1" t="str">
        <x:v>6901 Ridge Ave, Philadelphia, PA, 19128</x:v>
      </x:c>
      <x:c r="G1777" s="1" t="n">
        <x:v>1</x:v>
      </x:c>
      <x:c r="H1777" s="1" t="str">
        <x:v>2026-10-09</x:v>
      </x:c>
      <x:c r="I1777" s="1" t="str">
        <x:v>Listed outlets and resources require access verification</x:v>
      </x:c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  <x:c r="AA1777" s="1"/>
      <x:c r="AB1777" s="1"/>
      <x:c r="AC1777" s="1"/>
      <x:c r="AD1777" s="1"/>
      <x:c r="AE1777" s="1"/>
      <x:c r="AF1777" s="1"/>
      <x:c r="AG1777" s="1"/>
      <x:c r="AH1777" s="1"/>
      <x:c r="AI1777" s="1"/>
      <x:c r="AJ1777" s="1"/>
      <x:c r="AK1777" s="1"/>
      <x:c r="AL1777" s="1"/>
      <x:c r="AM1777" s="1"/>
      <x:c r="AN1777" s="1"/>
    </x:row>
    <x:row r="1778" ht="22" customHeight="1">
      <x:c r="A1778" s="1" t="str">
        <x:v>6460</x:v>
      </x:c>
      <x:c r="B1778" s="1" t="str">
        <x:v>Hill-Freedman World Academy</x:v>
      </x:c>
      <x:c r="C1778" s="16" t="n">
        <x:v>0.8359956387342444</x:v>
      </x:c>
      <x:c r="D1778" s="1" t="str">
        <x:v>1241114</x:v>
      </x:c>
      <x:c r="E1778" s="1" t="str">
        <x:v>Fresh Grocer Of Wyncote 415</x:v>
      </x:c>
      <x:c r="F1778" s="1" t="str">
        <x:v>1000 Easton Rd, Wyncote, PA, 19095</x:v>
      </x:c>
      <x:c r="G1778" s="1" t="n">
        <x:v>3</x:v>
      </x:c>
      <x:c r="H1778" s="1" t="str">
        <x:v>2026-10-09</x:v>
      </x:c>
      <x:c r="I1778" s="1" t="str">
        <x:v>Listed outlets and resources require access verification</x:v>
      </x:c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  <x:c r="AA1778" s="1"/>
      <x:c r="AB1778" s="1"/>
      <x:c r="AC1778" s="1"/>
      <x:c r="AD1778" s="1"/>
      <x:c r="AE1778" s="1"/>
      <x:c r="AF1778" s="1"/>
      <x:c r="AG1778" s="1"/>
      <x:c r="AH1778" s="1"/>
      <x:c r="AI1778" s="1"/>
      <x:c r="AJ1778" s="1"/>
      <x:c r="AK1778" s="1"/>
      <x:c r="AL1778" s="1"/>
      <x:c r="AM1778" s="1"/>
      <x:c r="AN1778" s="1"/>
    </x:row>
    <x:row r="1779" ht="22" customHeight="1">
      <x:c r="A1779" s="1" t="str">
        <x:v>6470</x:v>
      </x:c>
      <x:c r="B1779" s="1" t="str">
        <x:v>John B. Kelly School</x:v>
      </x:c>
      <x:c r="C1779" s="16" t="n">
        <x:v>0.6354630684706201</x:v>
      </x:c>
      <x:c r="D1779" s="1" t="str">
        <x:v>1249280</x:v>
      </x:c>
      <x:c r="E1779" s="1" t="str">
        <x:v>Chelten Market Inc</x:v>
      </x:c>
      <x:c r="F1779" s="1" t="str">
        <x:v>176-82 W Chelten Ave, Philadelphia, PA, 19144</x:v>
      </x:c>
      <x:c r="G1779" s="1" t="n">
        <x:v>11</x:v>
      </x:c>
      <x:c r="H1779" s="1" t="str">
        <x:v>2026-10-09</x:v>
      </x:c>
      <x:c r="I1779" s="1" t="str">
        <x:v>Listed outlets and resources require access verification</x:v>
      </x:c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  <x:c r="AA1779" s="1"/>
      <x:c r="AB1779" s="1"/>
      <x:c r="AC1779" s="1"/>
      <x:c r="AD1779" s="1"/>
      <x:c r="AE1779" s="1"/>
      <x:c r="AF1779" s="1"/>
      <x:c r="AG1779" s="1"/>
      <x:c r="AH1779" s="1"/>
      <x:c r="AI1779" s="1"/>
      <x:c r="AJ1779" s="1"/>
      <x:c r="AK1779" s="1"/>
      <x:c r="AL1779" s="1"/>
      <x:c r="AM1779" s="1"/>
      <x:c r="AN1779" s="1"/>
    </x:row>
    <x:row r="1780" ht="22" customHeight="1">
      <x:c r="A1780" s="1" t="str">
        <x:v>6480</x:v>
      </x:c>
      <x:c r="B1780" s="1" t="str">
        <x:v>Academy for the Middle Years at Northwest</x:v>
      </x:c>
      <x:c r="C1780" s="16" t="n">
        <x:v>0.07651678002006093</x:v>
      </x:c>
      <x:c r="D1780" s="1" t="str">
        <x:v>406146</x:v>
      </x:c>
      <x:c r="E1780" s="1" t="str">
        <x:v>ACME 2762</x:v>
      </x:c>
      <x:c r="F1780" s="1" t="str">
        <x:v>5927-59 Ridge Ave, Philadelphia, PA, 19128</x:v>
      </x:c>
      <x:c r="G1780" s="1" t="n">
        <x:v>1</x:v>
      </x:c>
      <x:c r="H1780" s="1" t="str">
        <x:v>2026-10-09</x:v>
      </x:c>
      <x:c r="I1780" s="1" t="str">
        <x:v>Listed outlets and resources require access verification</x:v>
      </x:c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  <x:c r="AA1780" s="1"/>
      <x:c r="AB1780" s="1"/>
      <x:c r="AC1780" s="1"/>
      <x:c r="AD1780" s="1"/>
      <x:c r="AE1780" s="1"/>
      <x:c r="AF1780" s="1"/>
      <x:c r="AG1780" s="1"/>
      <x:c r="AH1780" s="1"/>
      <x:c r="AI1780" s="1"/>
      <x:c r="AJ1780" s="1"/>
      <x:c r="AK1780" s="1"/>
      <x:c r="AL1780" s="1"/>
      <x:c r="AM1780" s="1"/>
      <x:c r="AN1780" s="1"/>
    </x:row>
    <x:row r="1781" ht="22" customHeight="1">
      <x:c r="A1781" s="1" t="str">
        <x:v>6540</x:v>
      </x:c>
      <x:c r="B1781" s="1" t="str">
        <x:v>Lankenau High School</x:v>
      </x:c>
      <x:c r="C1781" s="16" t="n">
        <x:v>0.8671450843594952</x:v>
      </x:c>
      <x:c r="D1781" s="1" t="str">
        <x:v>1699087</x:v>
      </x:c>
      <x:c r="E1781" s="1" t="str">
        <x:v>Giant Food Store 6581</x:v>
      </x:c>
      <x:c r="F1781" s="1" t="str">
        <x:v>701 Cathedral Road, Philadelphia, PA, 19128</x:v>
      </x:c>
      <x:c r="G1781" s="1" t="n">
        <x:v>0</x:v>
      </x:c>
      <x:c r="H1781" s="1" t="str">
        <x:v>2026-10-09</x:v>
      </x:c>
      <x:c r="I1781" s="1" t="str">
        <x:v>Listed outlets and resources require access verification</x:v>
      </x:c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  <x:c r="AA1781" s="1"/>
      <x:c r="AB1781" s="1"/>
      <x:c r="AC1781" s="1"/>
      <x:c r="AD1781" s="1"/>
      <x:c r="AE1781" s="1"/>
      <x:c r="AF1781" s="1"/>
      <x:c r="AG1781" s="1"/>
      <x:c r="AH1781" s="1"/>
      <x:c r="AI1781" s="1"/>
      <x:c r="AJ1781" s="1"/>
      <x:c r="AK1781" s="1"/>
      <x:c r="AL1781" s="1"/>
      <x:c r="AM1781" s="1"/>
      <x:c r="AN1781" s="1"/>
    </x:row>
    <x:row r="1782" ht="22" customHeight="1">
      <x:c r="A1782" s="1" t="str">
        <x:v>7010</x:v>
      </x:c>
      <x:c r="B1782" s="1" t="str">
        <x:v>Frankford High School</x:v>
      </x:c>
      <x:c r="C1782" s="16" t="n">
        <x:v>0.4742519867131885</x:v>
      </x:c>
      <x:c r="D1782" s="1" t="str">
        <x:v>1689801</x:v>
      </x:c>
      <x:c r="E1782" s="1" t="str">
        <x:v>Cousins Grocery Market Inc.</x:v>
      </x:c>
      <x:c r="F1782" s="1" t="str">
        <x:v>1607 Bridge St, Philadelphia, PA, 19124</x:v>
      </x:c>
      <x:c r="G1782" s="1" t="n">
        <x:v>7</x:v>
      </x:c>
      <x:c r="H1782" s="1" t="str">
        <x:v>2026-10-09</x:v>
      </x:c>
      <x:c r="I1782" s="1" t="str">
        <x:v>Listed outlets and resources require access verification</x:v>
      </x:c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  <x:c r="AA1782" s="1"/>
      <x:c r="AB1782" s="1"/>
      <x:c r="AC1782" s="1"/>
      <x:c r="AD1782" s="1"/>
      <x:c r="AE1782" s="1"/>
      <x:c r="AF1782" s="1"/>
      <x:c r="AG1782" s="1"/>
      <x:c r="AH1782" s="1"/>
      <x:c r="AI1782" s="1"/>
      <x:c r="AJ1782" s="1"/>
      <x:c r="AK1782" s="1"/>
      <x:c r="AL1782" s="1"/>
      <x:c r="AM1782" s="1"/>
      <x:c r="AN1782" s="1"/>
    </x:row>
    <x:row r="1783" ht="22" customHeight="1">
      <x:c r="A1783" s="1" t="str">
        <x:v>7060</x:v>
      </x:c>
      <x:c r="B1783" s="1" t="str">
        <x:v>Olney High School</x:v>
      </x:c>
      <x:c r="C1783" s="16" t="n">
        <x:v>0.11440310296307804</x:v>
      </x:c>
      <x:c r="D1783" s="1" t="str">
        <x:v>1703266</x:v>
      </x:c>
      <x:c r="E1783" s="1" t="str">
        <x:v>GFM Food Corporation</x:v>
      </x:c>
      <x:c r="F1783" s="1" t="str">
        <x:v>180 W Duncannon Ave, Philadelphia, PA, 19120</x:v>
      </x:c>
      <x:c r="G1783" s="1" t="n">
        <x:v>8</x:v>
      </x:c>
      <x:c r="H1783" s="1" t="str">
        <x:v>2026-10-09</x:v>
      </x:c>
      <x:c r="I1783" s="1" t="str">
        <x:v>Listed outlets and resources require access verification</x:v>
      </x:c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  <x:c r="AA1783" s="1"/>
      <x:c r="AB1783" s="1"/>
      <x:c r="AC1783" s="1"/>
      <x:c r="AD1783" s="1"/>
      <x:c r="AE1783" s="1"/>
      <x:c r="AF1783" s="1"/>
      <x:c r="AG1783" s="1"/>
      <x:c r="AH1783" s="1"/>
      <x:c r="AI1783" s="1"/>
      <x:c r="AJ1783" s="1"/>
      <x:c r="AK1783" s="1"/>
      <x:c r="AL1783" s="1"/>
      <x:c r="AM1783" s="1"/>
      <x:c r="AN1783" s="1"/>
    </x:row>
    <x:row r="1784" ht="22" customHeight="1">
      <x:c r="A1784" s="1" t="str">
        <x:v>7061</x:v>
      </x:c>
      <x:c r="B1784" s="1" t="str">
        <x:v>Olney High School Continuation Academy</x:v>
      </x:c>
      <x:c r="C1784" s="16" t="n">
        <x:v>0.12853245737993235</x:v>
      </x:c>
      <x:c r="D1784" s="1" t="str">
        <x:v>1703266</x:v>
      </x:c>
      <x:c r="E1784" s="1" t="str">
        <x:v>GFM Food Corporation</x:v>
      </x:c>
      <x:c r="F1784" s="1" t="str">
        <x:v>180 W Duncannon Ave, Philadelphia, PA, 19120</x:v>
      </x:c>
      <x:c r="G1784" s="1" t="n">
        <x:v>8</x:v>
      </x:c>
      <x:c r="H1784" s="1" t="str">
        <x:v>2026-10-09</x:v>
      </x:c>
      <x:c r="I1784" s="1" t="str">
        <x:v>Listed outlets and resources require access verification</x:v>
      </x:c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  <x:c r="AA1784" s="1"/>
      <x:c r="AB1784" s="1"/>
      <x:c r="AC1784" s="1"/>
      <x:c r="AD1784" s="1"/>
      <x:c r="AE1784" s="1"/>
      <x:c r="AF1784" s="1"/>
      <x:c r="AG1784" s="1"/>
      <x:c r="AH1784" s="1"/>
      <x:c r="AI1784" s="1"/>
      <x:c r="AJ1784" s="1"/>
      <x:c r="AK1784" s="1"/>
      <x:c r="AL1784" s="1"/>
      <x:c r="AM1784" s="1"/>
      <x:c r="AN1784" s="1"/>
    </x:row>
    <x:row r="1785" ht="22" customHeight="1">
      <x:c r="A1785" s="1" t="str">
        <x:v>7069</x:v>
      </x:c>
      <x:c r="B1785" s="1" t="str">
        <x:v>Philadelphia Continuation Academy</x:v>
      </x:c>
      <x:c r="C1785" s="16" t="n">
        <x:v>0.11440310296307804</x:v>
      </x:c>
      <x:c r="D1785" s="1" t="str">
        <x:v>1703266</x:v>
      </x:c>
      <x:c r="E1785" s="1" t="str">
        <x:v>GFM Food Corporation</x:v>
      </x:c>
      <x:c r="F1785" s="1" t="str">
        <x:v>180 W Duncannon Ave, Philadelphia, PA, 19120</x:v>
      </x:c>
      <x:c r="G1785" s="1" t="n">
        <x:v>8</x:v>
      </x:c>
      <x:c r="H1785" s="1" t="str">
        <x:v>2026-10-09</x:v>
      </x:c>
      <x:c r="I1785" s="1" t="str">
        <x:v>Listed outlets and resources require access verification</x:v>
      </x:c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  <x:c r="AA1785" s="1"/>
      <x:c r="AB1785" s="1"/>
      <x:c r="AC1785" s="1"/>
      <x:c r="AD1785" s="1"/>
      <x:c r="AE1785" s="1"/>
      <x:c r="AF1785" s="1"/>
      <x:c r="AG1785" s="1"/>
      <x:c r="AH1785" s="1"/>
      <x:c r="AI1785" s="1"/>
      <x:c r="AJ1785" s="1"/>
      <x:c r="AK1785" s="1"/>
      <x:c r="AL1785" s="1"/>
      <x:c r="AM1785" s="1"/>
      <x:c r="AN1785" s="1"/>
    </x:row>
    <x:row r="1786" ht="22" customHeight="1">
      <x:c r="A1786" s="1" t="str">
        <x:v>7100</x:v>
      </x:c>
      <x:c r="B1786" s="1" t="str">
        <x:v>Jay Cooke School</x:v>
      </x:c>
      <x:c r="C1786" s="16" t="n">
        <x:v>0.3345589633179345</x:v>
      </x:c>
      <x:c r="D1786" s="1" t="str">
        <x:v>1232656</x:v>
      </x:c>
      <x:c r="E1786" s="1" t="str">
        <x:v>Save-A-Lot 60138</x:v>
      </x:c>
      <x:c r="F1786" s="1" t="str">
        <x:v>4424 N Broad St, Philadelphia, PA, 19140</x:v>
      </x:c>
      <x:c r="G1786" s="1" t="n">
        <x:v>10</x:v>
      </x:c>
      <x:c r="H1786" s="1" t="str">
        <x:v>2026-10-09</x:v>
      </x:c>
      <x:c r="I1786" s="1" t="str">
        <x:v>Listed outlets and resources require access verification</x:v>
      </x:c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  <x:c r="AA1786" s="1"/>
      <x:c r="AB1786" s="1"/>
      <x:c r="AC1786" s="1"/>
      <x:c r="AD1786" s="1"/>
      <x:c r="AE1786" s="1"/>
      <x:c r="AF1786" s="1"/>
      <x:c r="AG1786" s="1"/>
      <x:c r="AH1786" s="1"/>
      <x:c r="AI1786" s="1"/>
      <x:c r="AJ1786" s="1"/>
      <x:c r="AK1786" s="1"/>
      <x:c r="AL1786" s="1"/>
      <x:c r="AM1786" s="1"/>
      <x:c r="AN1786" s="1"/>
    </x:row>
    <x:row r="1787" ht="22" customHeight="1">
      <x:c r="A1787" s="1" t="str">
        <x:v>7110</x:v>
      </x:c>
      <x:c r="B1787" s="1" t="str">
        <x:v>Warren G. Harding Middle School</x:v>
      </x:c>
      <x:c r="C1787" s="16" t="n">
        <x:v>0.39687573751729766</x:v>
      </x:c>
      <x:c r="D1787" s="1" t="str">
        <x:v>1640730</x:v>
      </x:c>
      <x:c r="E1787" s="1" t="str">
        <x:v>ShopRite of Bridge and Harbison 495</x:v>
      </x:c>
      <x:c r="F1787" s="1" t="str">
        <x:v>5597 Tulip St, Philadelphia, PA, 19124</x:v>
      </x:c>
      <x:c r="G1787" s="1" t="n">
        <x:v>9</x:v>
      </x:c>
      <x:c r="H1787" s="1" t="str">
        <x:v>2026-10-09</x:v>
      </x:c>
      <x:c r="I1787" s="1" t="str">
        <x:v>Listed outlets and resources require access verification</x:v>
      </x:c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  <x:c r="AA1787" s="1"/>
      <x:c r="AB1787" s="1"/>
      <x:c r="AC1787" s="1"/>
      <x:c r="AD1787" s="1"/>
      <x:c r="AE1787" s="1"/>
      <x:c r="AF1787" s="1"/>
      <x:c r="AG1787" s="1"/>
      <x:c r="AH1787" s="1"/>
      <x:c r="AI1787" s="1"/>
      <x:c r="AJ1787" s="1"/>
      <x:c r="AK1787" s="1"/>
      <x:c r="AL1787" s="1"/>
      <x:c r="AM1787" s="1"/>
      <x:c r="AN1787" s="1"/>
    </x:row>
    <x:row r="1788" ht="22" customHeight="1">
      <x:c r="A1788" s="1" t="str">
        <x:v>7120</x:v>
      </x:c>
      <x:c r="B1788" s="1" t="str">
        <x:v>Samuel Fels High School</x:v>
      </x:c>
      <x:c r="C1788" s="16" t="n">
        <x:v>0.4469722876802889</x:v>
      </x:c>
      <x:c r="D1788" s="1" t="str">
        <x:v>1694834</x:v>
      </x:c>
      <x:c r="E1788" s="1" t="str">
        <x:v>No. 1 Ben City Supermarket Inc</x:v>
      </x:c>
      <x:c r="F1788" s="1" t="str">
        <x:v>5520 Whitaker Ave, Philadelphia, PA, 19124</x:v>
      </x:c>
      <x:c r="G1788" s="1" t="n">
        <x:v>6</x:v>
      </x:c>
      <x:c r="H1788" s="1" t="str">
        <x:v>2026-10-09</x:v>
      </x:c>
      <x:c r="I1788" s="1" t="str">
        <x:v>Listed outlets and resources require access verification</x:v>
      </x:c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  <x:c r="AA1788" s="1"/>
      <x:c r="AB1788" s="1"/>
      <x:c r="AC1788" s="1"/>
      <x:c r="AD1788" s="1"/>
      <x:c r="AE1788" s="1"/>
      <x:c r="AF1788" s="1"/>
      <x:c r="AG1788" s="1"/>
      <x:c r="AH1788" s="1"/>
      <x:c r="AI1788" s="1"/>
      <x:c r="AJ1788" s="1"/>
      <x:c r="AK1788" s="1"/>
      <x:c r="AL1788" s="1"/>
      <x:c r="AM1788" s="1"/>
      <x:c r="AN1788" s="1"/>
    </x:row>
    <x:row r="1789" ht="22" customHeight="1">
      <x:c r="A1789" s="1" t="str">
        <x:v>7130</x:v>
      </x:c>
      <x:c r="B1789" s="1" t="str">
        <x:v>General Louis Wagner School</x:v>
      </x:c>
      <x:c r="C1789" s="16" t="n">
        <x:v>0.41866095869762276</x:v>
      </x:c>
      <x:c r="D1789" s="1" t="str">
        <x:v>1215799</x:v>
      </x:c>
      <x:c r="E1789" s="1" t="str">
        <x:v>ALDI 60011 60011</x:v>
      </x:c>
      <x:c r="F1789" s="1" t="str">
        <x:v>6119 N Broad St, Philadelphia, PA, 19141</x:v>
      </x:c>
      <x:c r="G1789" s="1" t="n">
        <x:v>11</x:v>
      </x:c>
      <x:c r="H1789" s="1" t="str">
        <x:v>2026-10-09</x:v>
      </x:c>
      <x:c r="I1789" s="1" t="str">
        <x:v>Listed outlets and resources require access verification</x:v>
      </x:c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  <x:c r="AA1789" s="1"/>
      <x:c r="AB1789" s="1"/>
      <x:c r="AC1789" s="1"/>
      <x:c r="AD1789" s="1"/>
      <x:c r="AE1789" s="1"/>
      <x:c r="AF1789" s="1"/>
      <x:c r="AG1789" s="1"/>
      <x:c r="AH1789" s="1"/>
      <x:c r="AI1789" s="1"/>
      <x:c r="AJ1789" s="1"/>
      <x:c r="AK1789" s="1"/>
      <x:c r="AL1789" s="1"/>
      <x:c r="AM1789" s="1"/>
      <x:c r="AN1789" s="1"/>
    </x:row>
    <x:row r="1790" ht="22" customHeight="1">
      <x:c r="A1790" s="1" t="str">
        <x:v>7150</x:v>
      </x:c>
      <x:c r="B1790" s="1" t="str">
        <x:v>Juniata Park Academy</x:v>
      </x:c>
      <x:c r="C1790" s="16" t="n">
        <x:v>0.26634925426293254</x:v>
      </x:c>
      <x:c r="D1790" s="1" t="str">
        <x:v>1702680</x:v>
      </x:c>
      <x:c r="E1790" s="1" t="str">
        <x:v>Juniata Supermarket Inc. 2</x:v>
      </x:c>
      <x:c r="F1790" s="1" t="str">
        <x:v>901 E Luzerne St, Philadelphia, PA, 19124</x:v>
      </x:c>
      <x:c r="G1790" s="1" t="n">
        <x:v>3</x:v>
      </x:c>
      <x:c r="H1790" s="1" t="str">
        <x:v>2026-10-09</x:v>
      </x:c>
      <x:c r="I1790" s="1" t="str">
        <x:v>Listed outlets and resources require access verification</x:v>
      </x:c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  <x:c r="AA1790" s="1"/>
      <x:c r="AB1790" s="1"/>
      <x:c r="AC1790" s="1"/>
      <x:c r="AD1790" s="1"/>
      <x:c r="AE1790" s="1"/>
      <x:c r="AF1790" s="1"/>
      <x:c r="AG1790" s="1"/>
      <x:c r="AH1790" s="1"/>
      <x:c r="AI1790" s="1"/>
      <x:c r="AJ1790" s="1"/>
      <x:c r="AK1790" s="1"/>
      <x:c r="AL1790" s="1"/>
      <x:c r="AM1790" s="1"/>
      <x:c r="AN1790" s="1"/>
    </x:row>
    <x:row r="1791" ht="22" customHeight="1">
      <x:c r="A1791" s="1" t="str">
        <x:v>7200</x:v>
      </x:c>
      <x:c r="B1791" s="1" t="str">
        <x:v>Clara Barton School</x:v>
      </x:c>
      <x:c r="C1791" s="16" t="n">
        <x:v>0.14073385908456693</x:v>
      </x:c>
      <x:c r="D1791" s="1" t="str">
        <x:v>1708329</x:v>
      </x:c>
      <x:c r="E1791" s="1" t="str">
        <x:v>Compare &amp; Save Supermarket</x:v>
      </x:c>
      <x:c r="F1791" s="1" t="str">
        <x:v>405 E Wyoming Ave, Philadelphia, PA, 19120</x:v>
      </x:c>
      <x:c r="G1791" s="1" t="n">
        <x:v>7</x:v>
      </x:c>
      <x:c r="H1791" s="1" t="str">
        <x:v>2026-10-09</x:v>
      </x:c>
      <x:c r="I1791" s="1" t="str">
        <x:v>Listed outlets and resources require access verification</x:v>
      </x:c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  <x:c r="AA1791" s="1"/>
      <x:c r="AB1791" s="1"/>
      <x:c r="AC1791" s="1"/>
      <x:c r="AD1791" s="1"/>
      <x:c r="AE1791" s="1"/>
      <x:c r="AF1791" s="1"/>
      <x:c r="AG1791" s="1"/>
      <x:c r="AH1791" s="1"/>
      <x:c r="AI1791" s="1"/>
      <x:c r="AJ1791" s="1"/>
      <x:c r="AK1791" s="1"/>
      <x:c r="AL1791" s="1"/>
      <x:c r="AM1791" s="1"/>
      <x:c r="AN1791" s="1"/>
    </x:row>
    <x:row r="1792" ht="22" customHeight="1">
      <x:c r="A1792" s="1" t="str">
        <x:v>7220</x:v>
      </x:c>
      <x:c r="B1792" s="1" t="str">
        <x:v>Laura H. Carnell School</x:v>
      </x:c>
      <x:c r="C1792" s="16" t="n">
        <x:v>0.38637813621413586</x:v>
      </x:c>
      <x:c r="D1792" s="1" t="str">
        <x:v>744178</x:v>
      </x:c>
      <x:c r="E1792" s="1" t="str">
        <x:v>Save A Lot 60131</x:v>
      </x:c>
      <x:c r="F1792" s="1" t="str">
        <x:v>6412 Castor Ave, Philadelphia, PA, 19149</x:v>
      </x:c>
      <x:c r="G1792" s="1" t="n">
        <x:v>4</x:v>
      </x:c>
      <x:c r="H1792" s="1" t="str">
        <x:v>2026-10-09</x:v>
      </x:c>
      <x:c r="I1792" s="1" t="str">
        <x:v>Listed outlets and resources require access verification</x:v>
      </x:c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  <x:c r="AA1792" s="1"/>
      <x:c r="AB1792" s="1"/>
      <x:c r="AC1792" s="1"/>
      <x:c r="AD1792" s="1"/>
      <x:c r="AE1792" s="1"/>
      <x:c r="AF1792" s="1"/>
      <x:c r="AG1792" s="1"/>
      <x:c r="AH1792" s="1"/>
      <x:c r="AI1792" s="1"/>
      <x:c r="AJ1792" s="1"/>
      <x:c r="AK1792" s="1"/>
      <x:c r="AL1792" s="1"/>
      <x:c r="AM1792" s="1"/>
      <x:c r="AN1792" s="1"/>
    </x:row>
    <x:row r="1793" ht="22" customHeight="1">
      <x:c r="A1793" s="1" t="str">
        <x:v>7260</x:v>
      </x:c>
      <x:c r="B1793" s="1" t="str">
        <x:v>Ellwood School</x:v>
      </x:c>
      <x:c r="C1793" s="16" t="n">
        <x:v>0.5681186042219577</x:v>
      </x:c>
      <x:c r="D1793" s="1" t="str">
        <x:v>710867</x:v>
      </x:c>
      <x:c r="E1793" s="1" t="str">
        <x:v>MELROSE PARK HAR INC DBA HAN AH R</x:v>
      </x:c>
      <x:c r="F1793" s="1" t="str">
        <x:v>7320 Old York Rd, Elkins Park, PA, 19027</x:v>
      </x:c>
      <x:c r="G1793" s="1" t="n">
        <x:v>7</x:v>
      </x:c>
      <x:c r="H1793" s="1" t="str">
        <x:v>2026-10-09</x:v>
      </x:c>
      <x:c r="I1793" s="1" t="str">
        <x:v>Listed outlets and resources require access verification</x:v>
      </x:c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  <x:c r="AA1793" s="1"/>
      <x:c r="AB1793" s="1"/>
      <x:c r="AC1793" s="1"/>
      <x:c r="AD1793" s="1"/>
      <x:c r="AE1793" s="1"/>
      <x:c r="AF1793" s="1"/>
      <x:c r="AG1793" s="1"/>
      <x:c r="AH1793" s="1"/>
      <x:c r="AI1793" s="1"/>
      <x:c r="AJ1793" s="1"/>
      <x:c r="AK1793" s="1"/>
      <x:c r="AL1793" s="1"/>
      <x:c r="AM1793" s="1"/>
      <x:c r="AN1793" s="1"/>
    </x:row>
    <x:row r="1794" ht="22" customHeight="1">
      <x:c r="A1794" s="1" t="str">
        <x:v>7270</x:v>
      </x:c>
      <x:c r="B1794" s="1" t="str">
        <x:v>Thomas K. Finletter School</x:v>
      </x:c>
      <x:c r="C1794" s="16" t="n">
        <x:v>0.12118412732571376</x:v>
      </x:c>
      <x:c r="D1794" s="1" t="str">
        <x:v>1426195</x:v>
      </x:c>
      <x:c r="E1794" s="1" t="str">
        <x:v>H MART PHILADELPHIA LLC.</x:v>
      </x:c>
      <x:c r="F1794" s="1" t="str">
        <x:v>6201 N Front St, Philadelphia, PA, 19120</x:v>
      </x:c>
      <x:c r="G1794" s="1" t="n">
        <x:v>5</x:v>
      </x:c>
      <x:c r="H1794" s="1" t="str">
        <x:v>2026-10-09</x:v>
      </x:c>
      <x:c r="I1794" s="1" t="str">
        <x:v>Listed outlets and resources require access verification</x:v>
      </x:c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  <x:c r="AA1794" s="1"/>
      <x:c r="AB1794" s="1"/>
      <x:c r="AC1794" s="1"/>
      <x:c r="AD1794" s="1"/>
      <x:c r="AE1794" s="1"/>
      <x:c r="AF1794" s="1"/>
      <x:c r="AG1794" s="1"/>
      <x:c r="AH1794" s="1"/>
      <x:c r="AI1794" s="1"/>
      <x:c r="AJ1794" s="1"/>
      <x:c r="AK1794" s="1"/>
      <x:c r="AL1794" s="1"/>
      <x:c r="AM1794" s="1"/>
      <x:c r="AN1794" s="1"/>
    </x:row>
    <x:row r="1795" ht="22" customHeight="1">
      <x:c r="A1795" s="1" t="str">
        <x:v>7280</x:v>
      </x:c>
      <x:c r="B1795" s="1" t="str">
        <x:v>Benjamin Franklin Elementary School</x:v>
      </x:c>
      <x:c r="C1795" s="16" t="n">
        <x:v>0.25198509666340335</x:v>
      </x:c>
      <x:c r="D1795" s="1" t="str">
        <x:v>1689247</x:v>
      </x:c>
      <x:c r="E1795" s="1" t="str">
        <x:v>PJP Marketplace</x:v>
      </x:c>
      <x:c r="F1795" s="1" t="str">
        <x:v>537 Adams Ave, Philadelphia, PA, 19120</x:v>
      </x:c>
      <x:c r="G1795" s="1" t="n">
        <x:v>5</x:v>
      </x:c>
      <x:c r="H1795" s="1" t="str">
        <x:v>2026-10-09</x:v>
      </x:c>
      <x:c r="I1795" s="1" t="str">
        <x:v>Listed outlets and resources require access verification</x:v>
      </x:c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  <x:c r="AA1795" s="1"/>
      <x:c r="AB1795" s="1"/>
      <x:c r="AC1795" s="1"/>
      <x:c r="AD1795" s="1"/>
      <x:c r="AE1795" s="1"/>
      <x:c r="AF1795" s="1"/>
      <x:c r="AG1795" s="1"/>
      <x:c r="AH1795" s="1"/>
      <x:c r="AI1795" s="1"/>
      <x:c r="AJ1795" s="1"/>
      <x:c r="AK1795" s="1"/>
      <x:c r="AL1795" s="1"/>
      <x:c r="AM1795" s="1"/>
      <x:c r="AN1795" s="1"/>
    </x:row>
    <x:row r="1796" ht="22" customHeight="1">
      <x:c r="A1796" s="1" t="str">
        <x:v>7290</x:v>
      </x:c>
      <x:c r="B1796" s="1" t="str">
        <x:v>Allen M. Stearne School</x:v>
      </x:c>
      <x:c r="C1796" s="16" t="n">
        <x:v>0.7822023571495426</x:v>
      </x:c>
      <x:c r="D1796" s="1" t="str">
        <x:v>813824</x:v>
      </x:c>
      <x:c r="E1796" s="1" t="str">
        <x:v>Castor Avenue Market LLC</x:v>
      </x:c>
      <x:c r="F1796" s="1" t="str">
        <x:v>900 E Orthodox St, Philadelphia, PA, 19124</x:v>
      </x:c>
      <x:c r="G1796" s="1" t="n">
        <x:v>7</x:v>
      </x:c>
      <x:c r="H1796" s="1" t="str">
        <x:v>2026-10-09</x:v>
      </x:c>
      <x:c r="I1796" s="1" t="str">
        <x:v>Listed outlets and resources require access verification</x:v>
      </x:c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  <x:c r="AA1796" s="1"/>
      <x:c r="AB1796" s="1"/>
      <x:c r="AC1796" s="1"/>
      <x:c r="AD1796" s="1"/>
      <x:c r="AE1796" s="1"/>
      <x:c r="AF1796" s="1"/>
      <x:c r="AG1796" s="1"/>
      <x:c r="AH1796" s="1"/>
      <x:c r="AI1796" s="1"/>
      <x:c r="AJ1796" s="1"/>
      <x:c r="AK1796" s="1"/>
      <x:c r="AL1796" s="1"/>
      <x:c r="AM1796" s="1"/>
      <x:c r="AN1796" s="1"/>
    </x:row>
    <x:row r="1797" ht="22" customHeight="1">
      <x:c r="A1797" s="1" t="str">
        <x:v>7300</x:v>
      </x:c>
      <x:c r="B1797" s="1" t="str">
        <x:v>Francis Hopkinson School</x:v>
      </x:c>
      <x:c r="C1797" s="16" t="n">
        <x:v>0.1496540986840621</x:v>
      </x:c>
      <x:c r="D1797" s="1" t="str">
        <x:v>1443994</x:v>
      </x:c>
      <x:c r="E1797" s="1" t="str">
        <x:v>SAVE-A-LOT 60133</x:v>
      </x:c>
      <x:c r="F1797" s="1" t="str">
        <x:v>3901-29 M St, Philadelphia, PA, 19124</x:v>
      </x:c>
      <x:c r="G1797" s="1" t="n">
        <x:v>8</x:v>
      </x:c>
      <x:c r="H1797" s="1" t="str">
        <x:v>2026-10-09</x:v>
      </x:c>
      <x:c r="I1797" s="1" t="str">
        <x:v>Listed outlets and resources require access verification</x:v>
      </x:c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  <x:c r="AA1797" s="1"/>
      <x:c r="AB1797" s="1"/>
      <x:c r="AC1797" s="1"/>
      <x:c r="AD1797" s="1"/>
      <x:c r="AE1797" s="1"/>
      <x:c r="AF1797" s="1"/>
      <x:c r="AG1797" s="1"/>
      <x:c r="AH1797" s="1"/>
      <x:c r="AI1797" s="1"/>
      <x:c r="AJ1797" s="1"/>
      <x:c r="AK1797" s="1"/>
      <x:c r="AL1797" s="1"/>
      <x:c r="AM1797" s="1"/>
      <x:c r="AN1797" s="1"/>
    </x:row>
    <x:row r="1798" ht="22" customHeight="1">
      <x:c r="A1798" s="1" t="str">
        <x:v>7310</x:v>
      </x:c>
      <x:c r="B1798" s="1" t="str">
        <x:v>Feltonville Intermediate School</x:v>
      </x:c>
      <x:c r="C1798" s="16" t="n">
        <x:v>0.1704569315956346</x:v>
      </x:c>
      <x:c r="D1798" s="1" t="str">
        <x:v>1708329</x:v>
      </x:c>
      <x:c r="E1798" s="1" t="str">
        <x:v>Compare &amp; Save Supermarket</x:v>
      </x:c>
      <x:c r="F1798" s="1" t="str">
        <x:v>405 E Wyoming Ave, Philadelphia, PA, 19120</x:v>
      </x:c>
      <x:c r="G1798" s="1" t="n">
        <x:v>7</x:v>
      </x:c>
      <x:c r="H1798" s="1" t="str">
        <x:v>2026-10-09</x:v>
      </x:c>
      <x:c r="I1798" s="1" t="str">
        <x:v>Listed outlets and resources require access verification</x:v>
      </x:c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  <x:c r="AA1798" s="1"/>
      <x:c r="AB1798" s="1"/>
      <x:c r="AC1798" s="1"/>
      <x:c r="AD1798" s="1"/>
      <x:c r="AE1798" s="1"/>
      <x:c r="AF1798" s="1"/>
      <x:c r="AG1798" s="1"/>
      <x:c r="AH1798" s="1"/>
      <x:c r="AI1798" s="1"/>
      <x:c r="AJ1798" s="1"/>
      <x:c r="AK1798" s="1"/>
      <x:c r="AL1798" s="1"/>
      <x:c r="AM1798" s="1"/>
      <x:c r="AN1798" s="1"/>
    </x:row>
    <x:row r="1799" ht="22" customHeight="1">
      <x:c r="A1799" s="1" t="str">
        <x:v>7320</x:v>
      </x:c>
      <x:c r="B1799" s="1" t="str">
        <x:v>Julia W. Howe School</x:v>
      </x:c>
      <x:c r="C1799" s="16" t="n">
        <x:v>0.3998929041426872</x:v>
      </x:c>
      <x:c r="D1799" s="1" t="str">
        <x:v>1215799</x:v>
      </x:c>
      <x:c r="E1799" s="1" t="str">
        <x:v>ALDI 60011 60011</x:v>
      </x:c>
      <x:c r="F1799" s="1" t="str">
        <x:v>6119 N Broad St, Philadelphia, PA, 19141</x:v>
      </x:c>
      <x:c r="G1799" s="1" t="n">
        <x:v>8</x:v>
      </x:c>
      <x:c r="H1799" s="1" t="str">
        <x:v>2026-10-09</x:v>
      </x:c>
      <x:c r="I1799" s="1" t="str">
        <x:v>Listed outlets and resources require access verification</x:v>
      </x:c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  <x:c r="AA1799" s="1"/>
      <x:c r="AB1799" s="1"/>
      <x:c r="AC1799" s="1"/>
      <x:c r="AD1799" s="1"/>
      <x:c r="AE1799" s="1"/>
      <x:c r="AF1799" s="1"/>
      <x:c r="AG1799" s="1"/>
      <x:c r="AH1799" s="1"/>
      <x:c r="AI1799" s="1"/>
      <x:c r="AJ1799" s="1"/>
      <x:c r="AK1799" s="1"/>
      <x:c r="AL1799" s="1"/>
      <x:c r="AM1799" s="1"/>
      <x:c r="AN1799" s="1"/>
    </x:row>
    <x:row r="1800" ht="22" customHeight="1">
      <x:c r="A1800" s="1" t="str">
        <x:v>7330</x:v>
      </x:c>
      <x:c r="B1800" s="1" t="str">
        <x:v>Henry W. Lawton School</x:v>
      </x:c>
      <x:c r="C1800" s="16" t="n">
        <x:v>0.3661510505973075</x:v>
      </x:c>
      <x:c r="D1800" s="1" t="str">
        <x:v>1712142</x:v>
      </x:c>
      <x:c r="E1800" s="1" t="str">
        <x:v>6327 Meat Corp DBA Food Town</x:v>
      </x:c>
      <x:c r="F1800" s="1" t="str">
        <x:v>6327 Torresdale Ave, Philadelphia, PA, 19135</x:v>
      </x:c>
      <x:c r="G1800" s="1" t="n">
        <x:v>3</x:v>
      </x:c>
      <x:c r="H1800" s="1" t="str">
        <x:v>2026-10-09</x:v>
      </x:c>
      <x:c r="I1800" s="1" t="str">
        <x:v>Listed outlets and resources require access verification</x:v>
      </x:c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  <x:c r="AA1800" s="1"/>
      <x:c r="AB1800" s="1"/>
      <x:c r="AC1800" s="1"/>
      <x:c r="AD1800" s="1"/>
      <x:c r="AE1800" s="1"/>
      <x:c r="AF1800" s="1"/>
      <x:c r="AG1800" s="1"/>
      <x:c r="AH1800" s="1"/>
      <x:c r="AI1800" s="1"/>
      <x:c r="AJ1800" s="1"/>
      <x:c r="AK1800" s="1"/>
      <x:c r="AL1800" s="1"/>
      <x:c r="AM1800" s="1"/>
      <x:c r="AN1800" s="1"/>
    </x:row>
    <x:row r="1801" ht="22" customHeight="1">
      <x:c r="A1801" s="1" t="str">
        <x:v>7350</x:v>
      </x:c>
      <x:c r="B1801" s="1" t="str">
        <x:v>James R. Lowell School</x:v>
      </x:c>
      <x:c r="C1801" s="16" t="n">
        <x:v>0.5454043636965177</x:v>
      </x:c>
      <x:c r="D1801" s="1" t="str">
        <x:v>1443927</x:v>
      </x:c>
      <x:c r="E1801" s="1" t="str">
        <x:v>SHOPRITE 537</x:v>
      </x:c>
      <x:c r="F1801" s="1" t="str">
        <x:v>101 E Olney Ave, Philadelphia, PA, 19120</x:v>
      </x:c>
      <x:c r="G1801" s="1" t="n">
        <x:v>4</x:v>
      </x:c>
      <x:c r="H1801" s="1" t="str">
        <x:v>2026-10-09</x:v>
      </x:c>
      <x:c r="I1801" s="1" t="str">
        <x:v>Listed outlets and resources require access verification</x:v>
      </x:c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  <x:c r="AA1801" s="1"/>
      <x:c r="AB1801" s="1"/>
      <x:c r="AC1801" s="1"/>
      <x:c r="AD1801" s="1"/>
      <x:c r="AE1801" s="1"/>
      <x:c r="AF1801" s="1"/>
      <x:c r="AG1801" s="1"/>
      <x:c r="AH1801" s="1"/>
      <x:c r="AI1801" s="1"/>
      <x:c r="AJ1801" s="1"/>
      <x:c r="AK1801" s="1"/>
      <x:c r="AL1801" s="1"/>
      <x:c r="AM1801" s="1"/>
      <x:c r="AN1801" s="1"/>
    </x:row>
    <x:row r="1802" ht="22" customHeight="1">
      <x:c r="A1802" s="1" t="str">
        <x:v>7360</x:v>
      </x:c>
      <x:c r="B1802" s="1" t="str">
        <x:v>John Marshall School</x:v>
      </x:c>
      <x:c r="C1802" s="16" t="n">
        <x:v>0.5743794837728304</x:v>
      </x:c>
      <x:c r="D1802" s="1" t="str">
        <x:v>813824</x:v>
      </x:c>
      <x:c r="E1802" s="1" t="str">
        <x:v>Castor Avenue Market LLC</x:v>
      </x:c>
      <x:c r="F1802" s="1" t="str">
        <x:v>900 E Orthodox St, Philadelphia, PA, 19124</x:v>
      </x:c>
      <x:c r="G1802" s="1" t="n">
        <x:v>7</x:v>
      </x:c>
      <x:c r="H1802" s="1" t="str">
        <x:v>2026-10-09</x:v>
      </x:c>
      <x:c r="I1802" s="1" t="str">
        <x:v>Listed outlets and resources require access verification</x:v>
      </x:c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  <x:c r="AA1802" s="1"/>
      <x:c r="AB1802" s="1"/>
      <x:c r="AC1802" s="1"/>
      <x:c r="AD1802" s="1"/>
      <x:c r="AE1802" s="1"/>
      <x:c r="AF1802" s="1"/>
      <x:c r="AG1802" s="1"/>
      <x:c r="AH1802" s="1"/>
      <x:c r="AI1802" s="1"/>
      <x:c r="AJ1802" s="1"/>
      <x:c r="AK1802" s="1"/>
      <x:c r="AL1802" s="1"/>
      <x:c r="AM1802" s="1"/>
      <x:c r="AN1802" s="1"/>
    </x:row>
    <x:row r="1803" ht="22" customHeight="1">
      <x:c r="A1803" s="1" t="str">
        <x:v>7370</x:v>
      </x:c>
      <x:c r="B1803" s="1" t="str">
        <x:v>Grover Washington, Jr. Middle School</x:v>
      </x:c>
      <x:c r="C1803" s="16" t="n">
        <x:v>0.17926401142772272</x:v>
      </x:c>
      <x:c r="D1803" s="1" t="str">
        <x:v>1443927</x:v>
      </x:c>
      <x:c r="E1803" s="1" t="str">
        <x:v>SHOPRITE 537</x:v>
      </x:c>
      <x:c r="F1803" s="1" t="str">
        <x:v>101 E Olney Ave, Philadelphia, PA, 19120</x:v>
      </x:c>
      <x:c r="G1803" s="1" t="n">
        <x:v>6</x:v>
      </x:c>
      <x:c r="H1803" s="1" t="str">
        <x:v>2026-10-09</x:v>
      </x:c>
      <x:c r="I1803" s="1" t="str">
        <x:v>Listed outlets and resources require access verification</x:v>
      </x:c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  <x:c r="AA1803" s="1"/>
      <x:c r="AB1803" s="1"/>
      <x:c r="AC1803" s="1"/>
      <x:c r="AD1803" s="1"/>
      <x:c r="AE1803" s="1"/>
      <x:c r="AF1803" s="1"/>
      <x:c r="AG1803" s="1"/>
      <x:c r="AH1803" s="1"/>
      <x:c r="AI1803" s="1"/>
      <x:c r="AJ1803" s="1"/>
      <x:c r="AK1803" s="1"/>
      <x:c r="AL1803" s="1"/>
      <x:c r="AM1803" s="1"/>
      <x:c r="AN1803" s="1"/>
    </x:row>
    <x:row r="1804" ht="22" customHeight="1">
      <x:c r="A1804" s="1" t="str">
        <x:v>7380</x:v>
      </x:c>
      <x:c r="B1804" s="1" t="str">
        <x:v>Alexander K. McClure School</x:v>
      </x:c>
      <x:c r="C1804" s="16" t="n">
        <x:v>0.1960096497110867</x:v>
      </x:c>
      <x:c r="D1804" s="1" t="str">
        <x:v>497084</x:v>
      </x:c>
      <x:c r="E1804" s="1" t="str">
        <x:v>COUSINS SUPERMARKET INC. #2</x:v>
      </x:c>
      <x:c r="F1804" s="1" t="str">
        <x:v>4037 N 5th St, Philadelphia, PA, 19140</x:v>
      </x:c>
      <x:c r="G1804" s="1" t="n">
        <x:v>12</x:v>
      </x:c>
      <x:c r="H1804" s="1" t="str">
        <x:v>2026-10-09</x:v>
      </x:c>
      <x:c r="I1804" s="1" t="str">
        <x:v>Listed outlets and resources require access verification</x:v>
      </x:c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  <x:c r="AA1804" s="1"/>
      <x:c r="AB1804" s="1"/>
      <x:c r="AC1804" s="1"/>
      <x:c r="AD1804" s="1"/>
      <x:c r="AE1804" s="1"/>
      <x:c r="AF1804" s="1"/>
      <x:c r="AG1804" s="1"/>
      <x:c r="AH1804" s="1"/>
      <x:c r="AI1804" s="1"/>
      <x:c r="AJ1804" s="1"/>
      <x:c r="AK1804" s="1"/>
      <x:c r="AL1804" s="1"/>
      <x:c r="AM1804" s="1"/>
      <x:c r="AN1804" s="1"/>
    </x:row>
    <x:row r="1805" ht="22" customHeight="1">
      <x:c r="A1805" s="1" t="str">
        <x:v>7390</x:v>
      </x:c>
      <x:c r="B1805" s="1" t="str">
        <x:v>Andrew J. Morrison School</x:v>
      </x:c>
      <x:c r="C1805" s="16" t="n">
        <x:v>0.19318629483885716</x:v>
      </x:c>
      <x:c r="D1805" s="1" t="str">
        <x:v>1703266</x:v>
      </x:c>
      <x:c r="E1805" s="1" t="str">
        <x:v>GFM Food Corporation</x:v>
      </x:c>
      <x:c r="F1805" s="1" t="str">
        <x:v>180 W Duncannon Ave, Philadelphia, PA, 19120</x:v>
      </x:c>
      <x:c r="G1805" s="1" t="n">
        <x:v>9</x:v>
      </x:c>
      <x:c r="H1805" s="1" t="str">
        <x:v>2026-10-09</x:v>
      </x:c>
      <x:c r="I1805" s="1" t="str">
        <x:v>Listed outlets and resources require access verification</x:v>
      </x:c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  <x:c r="AA1805" s="1"/>
      <x:c r="AB1805" s="1"/>
      <x:c r="AC1805" s="1"/>
      <x:c r="AD1805" s="1"/>
      <x:c r="AE1805" s="1"/>
      <x:c r="AF1805" s="1"/>
      <x:c r="AG1805" s="1"/>
      <x:c r="AH1805" s="1"/>
      <x:c r="AI1805" s="1"/>
      <x:c r="AJ1805" s="1"/>
      <x:c r="AK1805" s="1"/>
      <x:c r="AL1805" s="1"/>
      <x:c r="AM1805" s="1"/>
      <x:c r="AN1805" s="1"/>
    </x:row>
    <x:row r="1806" ht="22" customHeight="1">
      <x:c r="A1806" s="1" t="str">
        <x:v>7400</x:v>
      </x:c>
      <x:c r="B1806" s="1" t="str">
        <x:v>Olney Elementary School</x:v>
      </x:c>
      <x:c r="C1806" s="16" t="n">
        <x:v>0.1645698818839141</x:v>
      </x:c>
      <x:c r="D1806" s="1" t="str">
        <x:v>1677329</x:v>
      </x:c>
      <x:c r="E1806" s="1" t="str">
        <x:v>Compare &amp; Save</x:v>
      </x:c>
      <x:c r="F1806" s="1" t="str">
        <x:v>5201 Rising Sun Ave, Philadelphia, PA, 19120</x:v>
      </x:c>
      <x:c r="G1806" s="1" t="n">
        <x:v>8</x:v>
      </x:c>
      <x:c r="H1806" s="1" t="str">
        <x:v>2026-10-09</x:v>
      </x:c>
      <x:c r="I1806" s="1" t="str">
        <x:v>Listed outlets and resources require access verification</x:v>
      </x:c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  <x:c r="AA1806" s="1"/>
      <x:c r="AB1806" s="1"/>
      <x:c r="AC1806" s="1"/>
      <x:c r="AD1806" s="1"/>
      <x:c r="AE1806" s="1"/>
      <x:c r="AF1806" s="1"/>
      <x:c r="AG1806" s="1"/>
      <x:c r="AH1806" s="1"/>
      <x:c r="AI1806" s="1"/>
      <x:c r="AJ1806" s="1"/>
      <x:c r="AK1806" s="1"/>
      <x:c r="AL1806" s="1"/>
      <x:c r="AM1806" s="1"/>
      <x:c r="AN1806" s="1"/>
    </x:row>
    <x:row r="1807" ht="22" customHeight="1">
      <x:c r="A1807" s="1" t="str">
        <x:v>7430</x:v>
      </x:c>
      <x:c r="B1807" s="1" t="str">
        <x:v>James J. Sullivan School</x:v>
      </x:c>
      <x:c r="C1807" s="16" t="n">
        <x:v>0.2466658414993645</x:v>
      </x:c>
      <x:c r="D1807" s="1" t="str">
        <x:v>1640730</x:v>
      </x:c>
      <x:c r="E1807" s="1" t="str">
        <x:v>ShopRite of Bridge and Harbison 495</x:v>
      </x:c>
      <x:c r="F1807" s="1" t="str">
        <x:v>5597 Tulip St, Philadelphia, PA, 19124</x:v>
      </x:c>
      <x:c r="G1807" s="1" t="n">
        <x:v>8</x:v>
      </x:c>
      <x:c r="H1807" s="1" t="str">
        <x:v>2026-10-09</x:v>
      </x:c>
      <x:c r="I1807" s="1" t="str">
        <x:v>Listed outlets and resources require access verification</x:v>
      </x:c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  <x:c r="AA1807" s="1"/>
      <x:c r="AB1807" s="1"/>
      <x:c r="AC1807" s="1"/>
      <x:c r="AD1807" s="1"/>
      <x:c r="AE1807" s="1"/>
      <x:c r="AF1807" s="1"/>
      <x:c r="AG1807" s="1"/>
      <x:c r="AH1807" s="1"/>
      <x:c r="AI1807" s="1"/>
      <x:c r="AJ1807" s="1"/>
      <x:c r="AK1807" s="1"/>
      <x:c r="AL1807" s="1"/>
      <x:c r="AM1807" s="1"/>
      <x:c r="AN1807" s="1"/>
    </x:row>
    <x:row r="1808" ht="22" customHeight="1">
      <x:c r="A1808" s="1" t="str">
        <x:v>7440</x:v>
      </x:c>
      <x:c r="B1808" s="1" t="str">
        <x:v>Bayard Taylor School</x:v>
      </x:c>
      <x:c r="C1808" s="16" t="n">
        <x:v>0.3832553292704573</x:v>
      </x:c>
      <x:c r="D1808" s="1" t="str">
        <x:v>497084</x:v>
      </x:c>
      <x:c r="E1808" s="1" t="str">
        <x:v>COUSINS SUPERMARKET INC. #2</x:v>
      </x:c>
      <x:c r="F1808" s="1" t="str">
        <x:v>4037 N 5th St, Philadelphia, PA, 19140</x:v>
      </x:c>
      <x:c r="G1808" s="1" t="n">
        <x:v>12</x:v>
      </x:c>
      <x:c r="H1808" s="1" t="str">
        <x:v>2026-10-09</x:v>
      </x:c>
      <x:c r="I1808" s="1" t="str">
        <x:v>Listed outlets and resources require access verification</x:v>
      </x:c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  <x:c r="AA1808" s="1"/>
      <x:c r="AB1808" s="1"/>
      <x:c r="AC1808" s="1"/>
      <x:c r="AD1808" s="1"/>
      <x:c r="AE1808" s="1"/>
      <x:c r="AF1808" s="1"/>
      <x:c r="AG1808" s="1"/>
      <x:c r="AH1808" s="1"/>
      <x:c r="AI1808" s="1"/>
      <x:c r="AJ1808" s="1"/>
      <x:c r="AK1808" s="1"/>
      <x:c r="AL1808" s="1"/>
      <x:c r="AM1808" s="1"/>
      <x:c r="AN1808" s="1"/>
    </x:row>
    <x:row r="1809" ht="22" customHeight="1">
      <x:c r="A1809" s="1" t="str">
        <x:v>7460</x:v>
      </x:c>
      <x:c r="B1809" s="1" t="str">
        <x:v>William H. Ziegler School</x:v>
      </x:c>
      <x:c r="C1809" s="16" t="n">
        <x:v>0.4804050832420565</x:v>
      </x:c>
      <x:c r="D1809" s="1" t="str">
        <x:v>1689801</x:v>
      </x:c>
      <x:c r="E1809" s="1" t="str">
        <x:v>Cousins Grocery Market Inc.</x:v>
      </x:c>
      <x:c r="F1809" s="1" t="str">
        <x:v>1607 Bridge St, Philadelphia, PA, 19124</x:v>
      </x:c>
      <x:c r="G1809" s="1" t="n">
        <x:v>5</x:v>
      </x:c>
      <x:c r="H1809" s="1" t="str">
        <x:v>2026-10-09</x:v>
      </x:c>
      <x:c r="I1809" s="1" t="str">
        <x:v>Listed outlets and resources require access verification</x:v>
      </x:c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  <x:c r="AA1809" s="1"/>
      <x:c r="AB1809" s="1"/>
      <x:c r="AC1809" s="1"/>
      <x:c r="AD1809" s="1"/>
      <x:c r="AE1809" s="1"/>
      <x:c r="AF1809" s="1"/>
      <x:c r="AG1809" s="1"/>
      <x:c r="AH1809" s="1"/>
      <x:c r="AI1809" s="1"/>
      <x:c r="AJ1809" s="1"/>
      <x:c r="AK1809" s="1"/>
      <x:c r="AL1809" s="1"/>
      <x:c r="AM1809" s="1"/>
      <x:c r="AN1809" s="1"/>
    </x:row>
    <x:row r="1810" ht="22" customHeight="1">
      <x:c r="A1810" s="1" t="str">
        <x:v>7470</x:v>
      </x:c>
      <x:c r="B1810" s="1" t="str">
        <x:v>Bridesburg School</x:v>
      </x:c>
      <x:c r="C1810" s="16" t="n">
        <x:v>0.7903587969166054</x:v>
      </x:c>
      <x:c r="D1810" s="1" t="str">
        <x:v>1640730</x:v>
      </x:c>
      <x:c r="E1810" s="1" t="str">
        <x:v>ShopRite of Bridge and Harbison 495</x:v>
      </x:c>
      <x:c r="F1810" s="1" t="str">
        <x:v>5597 Tulip St, Philadelphia, PA, 19124</x:v>
      </x:c>
      <x:c r="G1810" s="1" t="n">
        <x:v>1</x:v>
      </x:c>
      <x:c r="H1810" s="1" t="str">
        <x:v>2026-10-09</x:v>
      </x:c>
      <x:c r="I1810" s="1" t="str">
        <x:v>Listed outlets and resources require access verification</x:v>
      </x:c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  <x:c r="AA1810" s="1"/>
      <x:c r="AB1810" s="1"/>
      <x:c r="AC1810" s="1"/>
      <x:c r="AD1810" s="1"/>
      <x:c r="AE1810" s="1"/>
      <x:c r="AF1810" s="1"/>
      <x:c r="AG1810" s="1"/>
      <x:c r="AH1810" s="1"/>
      <x:c r="AI1810" s="1"/>
      <x:c r="AJ1810" s="1"/>
      <x:c r="AK1810" s="1"/>
      <x:c r="AL1810" s="1"/>
      <x:c r="AM1810" s="1"/>
      <x:c r="AN1810" s="1"/>
    </x:row>
    <x:row r="1811" ht="22" customHeight="1">
      <x:c r="A1811" s="1" t="str">
        <x:v>7490</x:v>
      </x:c>
      <x:c r="B1811" s="1" t="str">
        <x:v>Prince Hall School</x:v>
      </x:c>
      <x:c r="C1811" s="16" t="n">
        <x:v>0.35373085831047146</x:v>
      </x:c>
      <x:c r="D1811" s="1" t="str">
        <x:v>1215799</x:v>
      </x:c>
      <x:c r="E1811" s="1" t="str">
        <x:v>ALDI 60011 60011</x:v>
      </x:c>
      <x:c r="F1811" s="1" t="str">
        <x:v>6119 N Broad St, Philadelphia, PA, 19141</x:v>
      </x:c>
      <x:c r="G1811" s="1" t="n">
        <x:v>12</x:v>
      </x:c>
      <x:c r="H1811" s="1" t="str">
        <x:v>2026-10-09</x:v>
      </x:c>
      <x:c r="I1811" s="1" t="str">
        <x:v>Listed outlets and resources require access verification</x:v>
      </x:c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  <x:c r="AA1811" s="1"/>
      <x:c r="AB1811" s="1"/>
      <x:c r="AC1811" s="1"/>
      <x:c r="AD1811" s="1"/>
      <x:c r="AE1811" s="1"/>
      <x:c r="AF1811" s="1"/>
      <x:c r="AG1811" s="1"/>
      <x:c r="AH1811" s="1"/>
      <x:c r="AI1811" s="1"/>
      <x:c r="AJ1811" s="1"/>
      <x:c r="AK1811" s="1"/>
      <x:c r="AL1811" s="1"/>
      <x:c r="AM1811" s="1"/>
      <x:c r="AN1811" s="1"/>
    </x:row>
    <x:row r="1812" ht="22" customHeight="1">
      <x:c r="A1812" s="1" t="str">
        <x:v>7500</x:v>
      </x:c>
      <x:c r="B1812" s="1" t="str">
        <x:v>Feltonville School of Arts and Sciences</x:v>
      </x:c>
      <x:c r="C1812" s="16" t="n">
        <x:v>0.22562896148912306</x:v>
      </x:c>
      <x:c r="D1812" s="1" t="str">
        <x:v>1708329</x:v>
      </x:c>
      <x:c r="E1812" s="1" t="str">
        <x:v>Compare &amp; Save Supermarket</x:v>
      </x:c>
      <x:c r="F1812" s="1" t="str">
        <x:v>405 E Wyoming Ave, Philadelphia, PA, 19120</x:v>
      </x:c>
      <x:c r="G1812" s="1" t="n">
        <x:v>7</x:v>
      </x:c>
      <x:c r="H1812" s="1" t="str">
        <x:v>2026-10-09</x:v>
      </x:c>
      <x:c r="I1812" s="1" t="str">
        <x:v>Listed outlets and resources require access verification</x:v>
      </x:c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  <x:c r="AA1812" s="1"/>
      <x:c r="AB1812" s="1"/>
      <x:c r="AC1812" s="1"/>
      <x:c r="AD1812" s="1"/>
      <x:c r="AE1812" s="1"/>
      <x:c r="AF1812" s="1"/>
      <x:c r="AG1812" s="1"/>
      <x:c r="AH1812" s="1"/>
      <x:c r="AI1812" s="1"/>
      <x:c r="AJ1812" s="1"/>
      <x:c r="AK1812" s="1"/>
      <x:c r="AL1812" s="1"/>
      <x:c r="AM1812" s="1"/>
      <x:c r="AN1812" s="1"/>
    </x:row>
    <x:row r="1813" ht="22" customHeight="1">
      <x:c r="A1813" s="1" t="str">
        <x:v>7510</x:v>
      </x:c>
      <x:c r="B1813" s="1" t="str">
        <x:v>Mary M. Bethune School</x:v>
      </x:c>
      <x:c r="C1813" s="16" t="n">
        <x:v>0.6757956764185941</x:v>
      </x:c>
      <x:c r="D1813" s="1" t="str">
        <x:v>1443919</x:v>
      </x:c>
      <x:c r="E1813" s="1" t="str">
        <x:v>Save A Lot 60136</x:v>
      </x:c>
      <x:c r="F1813" s="1" t="str">
        <x:v>400 W Allegheny Ave, Philadelphia, PA, 19133</x:v>
      </x:c>
      <x:c r="G1813" s="1" t="n">
        <x:v>10</x:v>
      </x:c>
      <x:c r="H1813" s="1" t="str">
        <x:v>2026-10-09</x:v>
      </x:c>
      <x:c r="I1813" s="1" t="str">
        <x:v>Listed outlets and resources require access verification</x:v>
      </x:c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  <x:c r="AA1813" s="1"/>
      <x:c r="AB1813" s="1"/>
      <x:c r="AC1813" s="1"/>
      <x:c r="AD1813" s="1"/>
      <x:c r="AE1813" s="1"/>
      <x:c r="AF1813" s="1"/>
      <x:c r="AG1813" s="1"/>
      <x:c r="AH1813" s="1"/>
      <x:c r="AI1813" s="1"/>
      <x:c r="AJ1813" s="1"/>
      <x:c r="AK1813" s="1"/>
      <x:c r="AL1813" s="1"/>
      <x:c r="AM1813" s="1"/>
      <x:c r="AN1813" s="1"/>
    </x:row>
    <x:row r="1814" ht="22" customHeight="1">
      <x:c r="A1814" s="1" t="str">
        <x:v>7530</x:v>
      </x:c>
      <x:c r="B1814" s="1" t="str">
        <x:v>William Rowen School</x:v>
      </x:c>
      <x:c r="C1814" s="16" t="n">
        <x:v>0.6957903531749603</x:v>
      </x:c>
      <x:c r="D1814" s="1" t="str">
        <x:v>710867</x:v>
      </x:c>
      <x:c r="E1814" s="1" t="str">
        <x:v>MELROSE PARK HAR INC DBA HAN AH R</x:v>
      </x:c>
      <x:c r="F1814" s="1" t="str">
        <x:v>7320 Old York Rd, Elkins Park, PA, 19027</x:v>
      </x:c>
      <x:c r="G1814" s="1" t="n">
        <x:v>9</x:v>
      </x:c>
      <x:c r="H1814" s="1" t="str">
        <x:v>2026-10-09</x:v>
      </x:c>
      <x:c r="I1814" s="1" t="str">
        <x:v>Listed outlets and resources require access verification</x:v>
      </x:c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  <x:c r="AA1814" s="1"/>
      <x:c r="AB1814" s="1"/>
      <x:c r="AC1814" s="1"/>
      <x:c r="AD1814" s="1"/>
      <x:c r="AE1814" s="1"/>
      <x:c r="AF1814" s="1"/>
      <x:c r="AG1814" s="1"/>
      <x:c r="AH1814" s="1"/>
      <x:c r="AI1814" s="1"/>
      <x:c r="AJ1814" s="1"/>
      <x:c r="AK1814" s="1"/>
      <x:c r="AL1814" s="1"/>
      <x:c r="AM1814" s="1"/>
      <x:c r="AN1814" s="1"/>
    </x:row>
    <x:row r="1815" ht="22" customHeight="1">
      <x:c r="A1815" s="1" t="str">
        <x:v>7730</x:v>
      </x:c>
      <x:c r="B1815" s="1" t="str">
        <x:v>Roberto Clemente Middle School</x:v>
      </x:c>
      <x:c r="C1815" s="16" t="n">
        <x:v>0.5155406128169018</x:v>
      </x:c>
      <x:c r="D1815" s="1" t="str">
        <x:v>497084</x:v>
      </x:c>
      <x:c r="E1815" s="1" t="str">
        <x:v>COUSINS SUPERMARKET INC. #2</x:v>
      </x:c>
      <x:c r="F1815" s="1" t="str">
        <x:v>4037 N 5th St, Philadelphia, PA, 19140</x:v>
      </x:c>
      <x:c r="G1815" s="1" t="n">
        <x:v>9</x:v>
      </x:c>
      <x:c r="H1815" s="1" t="str">
        <x:v>2026-10-09</x:v>
      </x:c>
      <x:c r="I1815" s="1" t="str">
        <x:v>Listed outlets and resources require access verification</x:v>
      </x:c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  <x:c r="AA1815" s="1"/>
      <x:c r="AB1815" s="1"/>
      <x:c r="AC1815" s="1"/>
      <x:c r="AD1815" s="1"/>
      <x:c r="AE1815" s="1"/>
      <x:c r="AF1815" s="1"/>
      <x:c r="AG1815" s="1"/>
      <x:c r="AH1815" s="1"/>
      <x:c r="AI1815" s="1"/>
      <x:c r="AJ1815" s="1"/>
      <x:c r="AK1815" s="1"/>
      <x:c r="AL1815" s="1"/>
      <x:c r="AM1815" s="1"/>
      <x:c r="AN1815" s="1"/>
    </x:row>
    <x:row r="1816" ht="22" customHeight="1">
      <x:c r="A1816" s="1" t="str">
        <x:v>8010</x:v>
      </x:c>
      <x:c r="B1816" s="1" t="str">
        <x:v>Abraham Lincoln High School</x:v>
      </x:c>
      <x:c r="C1816" s="16" t="n">
        <x:v>0.5308778189847569</x:v>
      </x:c>
      <x:c r="D1816" s="1" t="str">
        <x:v>1338140</x:v>
      </x:c>
      <x:c r="E1816" s="1" t="str">
        <x:v>No.1 Asian Supermarket Inc</x:v>
      </x:c>
      <x:c r="F1816" s="1" t="str">
        <x:v>2842 Saint Vincent St, Philadelphia, PA, 19149</x:v>
      </x:c>
      <x:c r="G1816" s="1" t="n">
        <x:v>2</x:v>
      </x:c>
      <x:c r="H1816" s="1" t="str">
        <x:v>2026-10-09</x:v>
      </x:c>
      <x:c r="I1816" s="1" t="str">
        <x:v>Listed outlets and resources require access verification</x:v>
      </x:c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  <x:c r="AA1816" s="1"/>
      <x:c r="AB1816" s="1"/>
      <x:c r="AC1816" s="1"/>
      <x:c r="AD1816" s="1"/>
      <x:c r="AE1816" s="1"/>
      <x:c r="AF1816" s="1"/>
      <x:c r="AG1816" s="1"/>
      <x:c r="AH1816" s="1"/>
      <x:c r="AI1816" s="1"/>
      <x:c r="AJ1816" s="1"/>
      <x:c r="AK1816" s="1"/>
      <x:c r="AL1816" s="1"/>
      <x:c r="AM1816" s="1"/>
      <x:c r="AN1816" s="1"/>
    </x:row>
    <x:row r="1817" ht="22" customHeight="1">
      <x:c r="A1817" s="1" t="str">
        <x:v>8020</x:v>
      </x:c>
      <x:c r="B1817" s="1" t="str">
        <x:v>Northeast High School</x:v>
      </x:c>
      <x:c r="C1817" s="16" t="n">
        <x:v>0.37970186361207736</x:v>
      </x:c>
      <x:c r="D1817" s="1" t="str">
        <x:v>1708322</x:v>
      </x:c>
      <x:c r="E1817" s="1" t="str">
        <x:v>Jumbo Meat Market</x:v>
      </x:c>
      <x:c r="F1817" s="1" t="str">
        <x:v>7322 Castor Ave, Philadelphia, PA, 19152</x:v>
      </x:c>
      <x:c r="G1817" s="1" t="n">
        <x:v>0</x:v>
      </x:c>
      <x:c r="H1817" s="1" t="str">
        <x:v>2026-10-09</x:v>
      </x:c>
      <x:c r="I1817" s="1" t="str">
        <x:v>Listed outlets and resources require access verification</x:v>
      </x:c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  <x:c r="AA1817" s="1"/>
      <x:c r="AB1817" s="1"/>
      <x:c r="AC1817" s="1"/>
      <x:c r="AD1817" s="1"/>
      <x:c r="AE1817" s="1"/>
      <x:c r="AF1817" s="1"/>
      <x:c r="AG1817" s="1"/>
      <x:c r="AH1817" s="1"/>
      <x:c r="AI1817" s="1"/>
      <x:c r="AJ1817" s="1"/>
      <x:c r="AK1817" s="1"/>
      <x:c r="AL1817" s="1"/>
      <x:c r="AM1817" s="1"/>
      <x:c r="AN1817" s="1"/>
    </x:row>
    <x:row r="1818" ht="22" customHeight="1">
      <x:c r="A1818" s="1" t="str">
        <x:v>8030</x:v>
      </x:c>
      <x:c r="B1818" s="1" t="str">
        <x:v>George Washington High School</x:v>
      </x:c>
      <x:c r="C1818" s="16" t="n">
        <x:v>0.10160074514179536</x:v>
      </x:c>
      <x:c r="D1818" s="1" t="str">
        <x:v>1318931</x:v>
      </x:c>
      <x:c r="E1818" s="1" t="str">
        <x:v>Ali Baba Bakery Inc</x:v>
      </x:c>
      <x:c r="F1818" s="1" t="str">
        <x:v>10184 Bustleton Ave, Philadelphia, PA, 19116</x:v>
      </x:c>
      <x:c r="G1818" s="1" t="n">
        <x:v>3</x:v>
      </x:c>
      <x:c r="H1818" s="1" t="str">
        <x:v>2026-10-09</x:v>
      </x:c>
      <x:c r="I1818" s="1" t="str">
        <x:v>Listed outlets and resources require access verification</x:v>
      </x:c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  <x:c r="AA1818" s="1"/>
      <x:c r="AB1818" s="1"/>
      <x:c r="AC1818" s="1"/>
      <x:c r="AD1818" s="1"/>
      <x:c r="AE1818" s="1"/>
      <x:c r="AF1818" s="1"/>
      <x:c r="AG1818" s="1"/>
      <x:c r="AH1818" s="1"/>
      <x:c r="AI1818" s="1"/>
      <x:c r="AJ1818" s="1"/>
      <x:c r="AK1818" s="1"/>
      <x:c r="AL1818" s="1"/>
      <x:c r="AM1818" s="1"/>
      <x:c r="AN1818" s="1"/>
    </x:row>
    <x:row r="1819" ht="22" customHeight="1">
      <x:c r="A1819" s="1" t="str">
        <x:v>8040</x:v>
      </x:c>
      <x:c r="B1819" s="1" t="str">
        <x:v>Arts Academy at Benjamin Rush</x:v>
      </x:c>
      <x:c r="C1819" s="16" t="n">
        <x:v>0.3281166835630559</x:v>
      </x:c>
      <x:c r="D1819" s="1" t="str">
        <x:v>1551623</x:v>
      </x:c>
      <x:c r="E1819" s="1" t="str">
        <x:v>Grocery Outlet Of Woodhaven 750</x:v>
      </x:c>
      <x:c r="F1819" s="1" t="str">
        <x:v>4016 Woodhaven Rd, Philadelphia, PA, 19154</x:v>
      </x:c>
      <x:c r="G1819" s="1" t="n">
        <x:v>0</x:v>
      </x:c>
      <x:c r="H1819" s="1" t="str">
        <x:v>2026-10-09</x:v>
      </x:c>
      <x:c r="I1819" s="1" t="str">
        <x:v>Listed outlets and resources require access verification</x:v>
      </x:c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  <x:c r="AA1819" s="1"/>
      <x:c r="AB1819" s="1"/>
      <x:c r="AC1819" s="1"/>
      <x:c r="AD1819" s="1"/>
      <x:c r="AE1819" s="1"/>
      <x:c r="AF1819" s="1"/>
      <x:c r="AG1819" s="1"/>
      <x:c r="AH1819" s="1"/>
      <x:c r="AI1819" s="1"/>
      <x:c r="AJ1819" s="1"/>
      <x:c r="AK1819" s="1"/>
      <x:c r="AL1819" s="1"/>
      <x:c r="AM1819" s="1"/>
      <x:c r="AN1819" s="1"/>
    </x:row>
    <x:row r="1820" ht="22" customHeight="1">
      <x:c r="A1820" s="1" t="str">
        <x:v>8070</x:v>
      </x:c>
      <x:c r="B1820" s="1" t="str">
        <x:v>OIC Career and Academic Development Institute</x:v>
      </x:c>
      <x:c r="C1820" s="16" t="n">
        <x:v>0.15291218927303687</x:v>
      </x:c>
      <x:c r="D1820" s="1" t="str">
        <x:v>1329953</x:v>
      </x:c>
      <x:c r="E1820" s="1" t="str">
        <x:v>Target T3285</x:v>
      </x:c>
      <x:c r="F1820" s="1" t="str">
        <x:v>456 N 5th St, Philadelphia, PA, 19123</x:v>
      </x:c>
      <x:c r="G1820" s="1" t="n">
        <x:v>8</x:v>
      </x:c>
      <x:c r="H1820" s="1" t="str">
        <x:v>2026-10-09</x:v>
      </x:c>
      <x:c r="I1820" s="1" t="str">
        <x:v>Listed outlets and resources require access verification</x:v>
      </x:c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  <x:c r="AA1820" s="1"/>
      <x:c r="AB1820" s="1"/>
      <x:c r="AC1820" s="1"/>
      <x:c r="AD1820" s="1"/>
      <x:c r="AE1820" s="1"/>
      <x:c r="AF1820" s="1"/>
      <x:c r="AG1820" s="1"/>
      <x:c r="AH1820" s="1"/>
      <x:c r="AI1820" s="1"/>
      <x:c r="AJ1820" s="1"/>
      <x:c r="AK1820" s="1"/>
      <x:c r="AL1820" s="1"/>
      <x:c r="AM1820" s="1"/>
      <x:c r="AN1820" s="1"/>
    </x:row>
    <x:row r="1821" ht="22" customHeight="1">
      <x:c r="A1821" s="1" t="str">
        <x:v>8080</x:v>
      </x:c>
      <x:c r="B1821" s="1" t="str">
        <x:v>Excel Academy North</x:v>
      </x:c>
      <x:c r="C1821" s="16" t="n">
        <x:v>0.42951750596672367</x:v>
      </x:c>
      <x:c r="D1821" s="1" t="str">
        <x:v>1712831</x:v>
      </x:c>
      <x:c r="E1821" s="1" t="str">
        <x:v>Sharswood Grocery Outlet 731</x:v>
      </x:c>
      <x:c r="F1821" s="1" t="str">
        <x:v>2077 Ridge Ave, Philadelphia, PA, 19121</x:v>
      </x:c>
      <x:c r="G1821" s="1" t="n">
        <x:v>12</x:v>
      </x:c>
      <x:c r="H1821" s="1" t="str">
        <x:v>2026-10-09</x:v>
      </x:c>
      <x:c r="I1821" s="1" t="str">
        <x:v>Listed outlets and resources require access verification</x:v>
      </x:c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  <x:c r="AA1821" s="1"/>
      <x:c r="AB1821" s="1"/>
      <x:c r="AC1821" s="1"/>
      <x:c r="AD1821" s="1"/>
      <x:c r="AE1821" s="1"/>
      <x:c r="AF1821" s="1"/>
      <x:c r="AG1821" s="1"/>
      <x:c r="AH1821" s="1"/>
      <x:c r="AI1821" s="1"/>
      <x:c r="AJ1821" s="1"/>
      <x:c r="AK1821" s="1"/>
      <x:c r="AL1821" s="1"/>
      <x:c r="AM1821" s="1"/>
      <x:c r="AN1821" s="1"/>
    </x:row>
    <x:row r="1822" ht="22" customHeight="1">
      <x:c r="A1822" s="1" t="str">
        <x:v>8090</x:v>
      </x:c>
      <x:c r="B1822" s="1" t="str">
        <x:v>Swenson Arts and Technology High School</x:v>
      </x:c>
      <x:c r="C1822" s="16" t="n">
        <x:v>0.7464393445321578</x:v>
      </x:c>
      <x:c r="D1822" s="1" t="str">
        <x:v>1688982</x:v>
      </x:c>
      <x:c r="E1822" s="1" t="str">
        <x:v>B Js Wholesale Club 22</x:v>
      </x:c>
      <x:c r="F1822" s="1" t="str">
        <x:v>2054 Red Lion Rd, Philadelphia, PA, 19115</x:v>
      </x:c>
      <x:c r="G1822" s="1" t="n">
        <x:v>2</x:v>
      </x:c>
      <x:c r="H1822" s="1" t="str">
        <x:v>2026-10-09</x:v>
      </x:c>
      <x:c r="I1822" s="1" t="str">
        <x:v>Listed outlets and resources require access verification</x:v>
      </x:c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  <x:c r="AA1822" s="1"/>
      <x:c r="AB1822" s="1"/>
      <x:c r="AC1822" s="1"/>
      <x:c r="AD1822" s="1"/>
      <x:c r="AE1822" s="1"/>
      <x:c r="AF1822" s="1"/>
      <x:c r="AG1822" s="1"/>
      <x:c r="AH1822" s="1"/>
      <x:c r="AI1822" s="1"/>
      <x:c r="AJ1822" s="1"/>
      <x:c r="AK1822" s="1"/>
      <x:c r="AL1822" s="1"/>
      <x:c r="AM1822" s="1"/>
      <x:c r="AN1822" s="1"/>
    </x:row>
    <x:row r="1823" ht="22" customHeight="1">
      <x:c r="A1823" s="1" t="str">
        <x:v>8100</x:v>
      </x:c>
      <x:c r="B1823" s="1" t="str">
        <x:v>Gateway to College - Community College of Philadelphia</x:v>
      </x:c>
      <x:c r="C1823" s="16" t="n">
        <x:v>0.21434327892512375</x:v>
      </x:c>
      <x:c r="D1823" s="1" t="str">
        <x:v>1672967</x:v>
      </x:c>
      <x:c r="E1823" s="1" t="str">
        <x:v>Giant Food Store 6573</x:v>
      </x:c>
      <x:c r="F1823" s="1" t="str">
        <x:v>510 N Broad St, Philadelphia, PA, 19130</x:v>
      </x:c>
      <x:c r="G1823" s="1" t="n">
        <x:v>8</x:v>
      </x:c>
      <x:c r="H1823" s="1" t="str">
        <x:v>2026-10-09</x:v>
      </x:c>
      <x:c r="I1823" s="1" t="str">
        <x:v>Listed outlets and resources require access verification</x:v>
      </x:c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  <x:c r="AA1823" s="1"/>
      <x:c r="AB1823" s="1"/>
      <x:c r="AC1823" s="1"/>
      <x:c r="AD1823" s="1"/>
      <x:c r="AE1823" s="1"/>
      <x:c r="AF1823" s="1"/>
      <x:c r="AG1823" s="1"/>
      <x:c r="AH1823" s="1"/>
      <x:c r="AI1823" s="1"/>
      <x:c r="AJ1823" s="1"/>
      <x:c r="AK1823" s="1"/>
      <x:c r="AL1823" s="1"/>
      <x:c r="AM1823" s="1"/>
      <x:c r="AN1823" s="1"/>
    </x:row>
    <x:row r="1824" ht="22" customHeight="1">
      <x:c r="A1824" s="1" t="str">
        <x:v>8120</x:v>
      </x:c>
      <x:c r="B1824" s="1" t="str">
        <x:v>Castor Gardens Middle School</x:v>
      </x:c>
      <x:c r="C1824" s="16" t="n">
        <x:v>0.21854622660693576</x:v>
      </x:c>
      <x:c r="D1824" s="1" t="str">
        <x:v>1708322</x:v>
      </x:c>
      <x:c r="E1824" s="1" t="str">
        <x:v>Jumbo Meat Market</x:v>
      </x:c>
      <x:c r="F1824" s="1" t="str">
        <x:v>7322 Castor Ave, Philadelphia, PA, 19152</x:v>
      </x:c>
      <x:c r="G1824" s="1" t="n">
        <x:v>1</x:v>
      </x:c>
      <x:c r="H1824" s="1" t="str">
        <x:v>2026-10-09</x:v>
      </x:c>
      <x:c r="I1824" s="1" t="str">
        <x:v>Listed outlets and resources require access verification</x:v>
      </x:c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  <x:c r="AA1824" s="1"/>
      <x:c r="AB1824" s="1"/>
      <x:c r="AC1824" s="1"/>
      <x:c r="AD1824" s="1"/>
      <x:c r="AE1824" s="1"/>
      <x:c r="AF1824" s="1"/>
      <x:c r="AG1824" s="1"/>
      <x:c r="AH1824" s="1"/>
      <x:c r="AI1824" s="1"/>
      <x:c r="AJ1824" s="1"/>
      <x:c r="AK1824" s="1"/>
      <x:c r="AL1824" s="1"/>
      <x:c r="AM1824" s="1"/>
      <x:c r="AN1824" s="1"/>
    </x:row>
    <x:row r="1825" ht="22" customHeight="1">
      <x:c r="A1825" s="1" t="str">
        <x:v>8130</x:v>
      </x:c>
      <x:c r="B1825" s="1" t="str">
        <x:v>Northeast Community Propel Academy</x:v>
      </x:c>
      <x:c r="C1825" s="16" t="n">
        <x:v>0.6193303241956706</x:v>
      </x:c>
      <x:c r="D1825" s="1" t="str">
        <x:v>1338140</x:v>
      </x:c>
      <x:c r="E1825" s="1" t="str">
        <x:v>No.1 Asian Supermarket Inc</x:v>
      </x:c>
      <x:c r="F1825" s="1" t="str">
        <x:v>2842 Saint Vincent St, Philadelphia, PA, 19149</x:v>
      </x:c>
      <x:c r="G1825" s="1" t="n">
        <x:v>2</x:v>
      </x:c>
      <x:c r="H1825" s="1" t="str">
        <x:v>2026-10-09</x:v>
      </x:c>
      <x:c r="I1825" s="1" t="str">
        <x:v>Listed outlets and resources require access verification</x:v>
      </x:c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  <x:c r="AA1825" s="1"/>
      <x:c r="AB1825" s="1"/>
      <x:c r="AC1825" s="1"/>
      <x:c r="AD1825" s="1"/>
      <x:c r="AE1825" s="1"/>
      <x:c r="AF1825" s="1"/>
      <x:c r="AG1825" s="1"/>
      <x:c r="AH1825" s="1"/>
      <x:c r="AI1825" s="1"/>
      <x:c r="AJ1825" s="1"/>
      <x:c r="AK1825" s="1"/>
      <x:c r="AL1825" s="1"/>
      <x:c r="AM1825" s="1"/>
      <x:c r="AN1825" s="1"/>
    </x:row>
    <x:row r="1826" ht="22" customHeight="1">
      <x:c r="A1826" s="1" t="str">
        <x:v>8160</x:v>
      </x:c>
      <x:c r="B1826" s="1" t="str">
        <x:v>Charles C.A. Baldi Middle School</x:v>
      </x:c>
      <x:c r="C1826" s="16" t="n">
        <x:v>0.5635164058751747</x:v>
      </x:c>
      <x:c r="D1826" s="1" t="str">
        <x:v>1070373</x:v>
      </x:c>
      <x:c r="E1826" s="1" t="str">
        <x:v>Kashmir Garden Super Market Inc</x:v>
      </x:c>
      <x:c r="F1826" s="1" t="str">
        <x:v>9325 Krewstown Rd, Philadelphia, PA, 19115</x:v>
      </x:c>
      <x:c r="G1826" s="1" t="n">
        <x:v>0</x:v>
      </x:c>
      <x:c r="H1826" s="1" t="str">
        <x:v>2026-10-09</x:v>
      </x:c>
      <x:c r="I1826" s="1" t="str">
        <x:v>Listed outlets and resources require access verification</x:v>
      </x:c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  <x:c r="AA1826" s="1"/>
      <x:c r="AB1826" s="1"/>
      <x:c r="AC1826" s="1"/>
      <x:c r="AD1826" s="1"/>
      <x:c r="AE1826" s="1"/>
      <x:c r="AF1826" s="1"/>
      <x:c r="AG1826" s="1"/>
      <x:c r="AH1826" s="1"/>
      <x:c r="AI1826" s="1"/>
      <x:c r="AJ1826" s="1"/>
      <x:c r="AK1826" s="1"/>
      <x:c r="AL1826" s="1"/>
      <x:c r="AM1826" s="1"/>
      <x:c r="AN1826" s="1"/>
    </x:row>
    <x:row r="1827" ht="22" customHeight="1">
      <x:c r="A1827" s="1" t="str">
        <x:v>8190</x:v>
      </x:c>
      <x:c r="B1827" s="1" t="str">
        <x:v>One Bright Ray - Fairhill</x:v>
      </x:c>
      <x:c r="C1827" s="16" t="n">
        <x:v>0.3150754745130222</x:v>
      </x:c>
      <x:c r="D1827" s="1" t="str">
        <x:v>1171179</x:v>
      </x:c>
      <x:c r="E1827" s="1" t="str">
        <x:v>Save A Lot 60139</x:v>
      </x:c>
      <x:c r="F1827" s="1" t="str">
        <x:v>701 W Lehigh Ave, Philadelphia, PA, 19133</x:v>
      </x:c>
      <x:c r="G1827" s="1" t="n">
        <x:v>13</x:v>
      </x:c>
      <x:c r="H1827" s="1" t="str">
        <x:v>2026-10-09</x:v>
      </x:c>
      <x:c r="I1827" s="1" t="str">
        <x:v>Listed outlets and resources require access verification</x:v>
      </x:c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  <x:c r="AA1827" s="1"/>
      <x:c r="AB1827" s="1"/>
      <x:c r="AC1827" s="1"/>
      <x:c r="AD1827" s="1"/>
      <x:c r="AE1827" s="1"/>
      <x:c r="AF1827" s="1"/>
      <x:c r="AG1827" s="1"/>
      <x:c r="AH1827" s="1"/>
      <x:c r="AI1827" s="1"/>
      <x:c r="AJ1827" s="1"/>
      <x:c r="AK1827" s="1"/>
      <x:c r="AL1827" s="1"/>
      <x:c r="AM1827" s="1"/>
      <x:c r="AN1827" s="1"/>
    </x:row>
    <x:row r="1828" ht="22" customHeight="1">
      <x:c r="A1828" s="1" t="str">
        <x:v>8200</x:v>
      </x:c>
      <x:c r="B1828" s="1" t="str">
        <x:v>Ethan Allen School</x:v>
      </x:c>
      <x:c r="C1828" s="16" t="n">
        <x:v>0.2829452474977819</x:v>
      </x:c>
      <x:c r="D1828" s="1" t="str">
        <x:v>1700824</x:v>
      </x:c>
      <x:c r="E1828" s="1" t="str">
        <x:v>Hung Vuong Food Market Lp</x:v>
      </x:c>
      <x:c r="F1828" s="1" t="str">
        <x:v>6410 Frankford Ave, Philadelphia, PA, 19135</x:v>
      </x:c>
      <x:c r="G1828" s="1" t="n">
        <x:v>4</x:v>
      </x:c>
      <x:c r="H1828" s="1" t="str">
        <x:v>2026-10-09</x:v>
      </x:c>
      <x:c r="I1828" s="1" t="str">
        <x:v>Listed outlets and resources require access verification</x:v>
      </x:c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  <x:c r="AA1828" s="1"/>
      <x:c r="AB1828" s="1"/>
      <x:c r="AC1828" s="1"/>
      <x:c r="AD1828" s="1"/>
      <x:c r="AE1828" s="1"/>
      <x:c r="AF1828" s="1"/>
      <x:c r="AG1828" s="1"/>
      <x:c r="AH1828" s="1"/>
      <x:c r="AI1828" s="1"/>
      <x:c r="AJ1828" s="1"/>
      <x:c r="AK1828" s="1"/>
      <x:c r="AL1828" s="1"/>
      <x:c r="AM1828" s="1"/>
      <x:c r="AN1828" s="1"/>
    </x:row>
    <x:row r="1829" ht="22" customHeight="1">
      <x:c r="A1829" s="1" t="str">
        <x:v>8210</x:v>
      </x:c>
      <x:c r="B1829" s="1" t="str">
        <x:v>Joseph H. Brown School</x:v>
      </x:c>
      <x:c r="C1829" s="16" t="n">
        <x:v>0.9942284032941784</x:v>
      </x:c>
      <x:c r="D1829" s="1" t="str">
        <x:v>1689452</x:v>
      </x:c>
      <x:c r="E1829" s="1" t="str">
        <x:v>PJP Marketplace</x:v>
      </x:c>
      <x:c r="F1829" s="1" t="str">
        <x:v>8960 Frankford Avenue, Philadelphia, PA, 19136</x:v>
      </x:c>
      <x:c r="G1829" s="1" t="n">
        <x:v>1</x:v>
      </x:c>
      <x:c r="H1829" s="1" t="str">
        <x:v>2026-10-09</x:v>
      </x:c>
      <x:c r="I1829" s="1" t="str">
        <x:v>Listed outlets and resources require access verification</x:v>
      </x:c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  <x:c r="AA1829" s="1"/>
      <x:c r="AB1829" s="1"/>
      <x:c r="AC1829" s="1"/>
      <x:c r="AD1829" s="1"/>
      <x:c r="AE1829" s="1"/>
      <x:c r="AF1829" s="1"/>
      <x:c r="AG1829" s="1"/>
      <x:c r="AH1829" s="1"/>
      <x:c r="AI1829" s="1"/>
      <x:c r="AJ1829" s="1"/>
      <x:c r="AK1829" s="1"/>
      <x:c r="AL1829" s="1"/>
      <x:c r="AM1829" s="1"/>
      <x:c r="AN1829" s="1"/>
    </x:row>
    <x:row r="1830" ht="22" customHeight="1">
      <x:c r="A1830" s="1" t="str">
        <x:v>8230</x:v>
      </x:c>
      <x:c r="B1830" s="1" t="str">
        <x:v>Kennedy C. Crossan School</x:v>
      </x:c>
      <x:c r="C1830" s="16" t="n">
        <x:v>0.8246688424504663</x:v>
      </x:c>
      <x:c r="D1830" s="1" t="str">
        <x:v>252982</x:v>
      </x:c>
      <x:c r="E1830" s="1" t="str">
        <x:v>ACME 787</x:v>
      </x:c>
      <x:c r="F1830" s="1" t="str">
        <x:v>6640 Oxford Ave, Philadelphia, PA, 19111</x:v>
      </x:c>
      <x:c r="G1830" s="1" t="n">
        <x:v>2</x:v>
      </x:c>
      <x:c r="H1830" s="1" t="str">
        <x:v>2026-10-09</x:v>
      </x:c>
      <x:c r="I1830" s="1" t="str">
        <x:v>Listed outlets and resources require access verification</x:v>
      </x:c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  <x:c r="AA1830" s="1"/>
      <x:c r="AB1830" s="1"/>
      <x:c r="AC1830" s="1"/>
      <x:c r="AD1830" s="1"/>
      <x:c r="AE1830" s="1"/>
      <x:c r="AF1830" s="1"/>
      <x:c r="AG1830" s="1"/>
      <x:c r="AH1830" s="1"/>
      <x:c r="AI1830" s="1"/>
      <x:c r="AJ1830" s="1"/>
      <x:c r="AK1830" s="1"/>
      <x:c r="AL1830" s="1"/>
      <x:c r="AM1830" s="1"/>
      <x:c r="AN1830" s="1"/>
    </x:row>
    <x:row r="1831" ht="22" customHeight="1">
      <x:c r="A1831" s="1" t="str">
        <x:v>8240</x:v>
      </x:c>
      <x:c r="B1831" s="1" t="str">
        <x:v>Hamilton Disston School</x:v>
      </x:c>
      <x:c r="C1831" s="16" t="n">
        <x:v>0.3144668970186295</x:v>
      </x:c>
      <x:c r="D1831" s="1" t="str">
        <x:v>1112130</x:v>
      </x:c>
      <x:c r="E1831" s="1" t="str">
        <x:v>SAVE-A-LOT 60132</x:v>
      </x:c>
      <x:c r="F1831" s="1" t="str">
        <x:v>6801 Frankford Ave, Philadelphia, PA, 19135</x:v>
      </x:c>
      <x:c r="G1831" s="1" t="n">
        <x:v>6</x:v>
      </x:c>
      <x:c r="H1831" s="1" t="str">
        <x:v>2026-10-09</x:v>
      </x:c>
      <x:c r="I1831" s="1" t="str">
        <x:v>Listed outlets and resources require access verification</x:v>
      </x:c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  <x:c r="AA1831" s="1"/>
      <x:c r="AB1831" s="1"/>
      <x:c r="AC1831" s="1"/>
      <x:c r="AD1831" s="1"/>
      <x:c r="AE1831" s="1"/>
      <x:c r="AF1831" s="1"/>
      <x:c r="AG1831" s="1"/>
      <x:c r="AH1831" s="1"/>
      <x:c r="AI1831" s="1"/>
      <x:c r="AJ1831" s="1"/>
      <x:c r="AK1831" s="1"/>
      <x:c r="AL1831" s="1"/>
      <x:c r="AM1831" s="1"/>
      <x:c r="AN1831" s="1"/>
    </x:row>
    <x:row r="1832" ht="22" customHeight="1">
      <x:c r="A1832" s="1" t="str">
        <x:v>8250</x:v>
      </x:c>
      <x:c r="B1832" s="1" t="str">
        <x:v>Edwin Forrest School</x:v>
      </x:c>
      <x:c r="C1832" s="16" t="n">
        <x:v>0.7703459815748348</x:v>
      </x:c>
      <x:c r="D1832" s="1" t="str">
        <x:v>1112130</x:v>
      </x:c>
      <x:c r="E1832" s="1" t="str">
        <x:v>SAVE-A-LOT 60132</x:v>
      </x:c>
      <x:c r="F1832" s="1" t="str">
        <x:v>6801 Frankford Ave, Philadelphia, PA, 19135</x:v>
      </x:c>
      <x:c r="G1832" s="1" t="n">
        <x:v>3</x:v>
      </x:c>
      <x:c r="H1832" s="1" t="str">
        <x:v>2026-10-09</x:v>
      </x:c>
      <x:c r="I1832" s="1" t="str">
        <x:v>Listed outlets and resources require access verification</x:v>
      </x:c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  <x:c r="AA1832" s="1"/>
      <x:c r="AB1832" s="1"/>
      <x:c r="AC1832" s="1"/>
      <x:c r="AD1832" s="1"/>
      <x:c r="AE1832" s="1"/>
      <x:c r="AF1832" s="1"/>
      <x:c r="AG1832" s="1"/>
      <x:c r="AH1832" s="1"/>
      <x:c r="AI1832" s="1"/>
      <x:c r="AJ1832" s="1"/>
      <x:c r="AK1832" s="1"/>
      <x:c r="AL1832" s="1"/>
      <x:c r="AM1832" s="1"/>
      <x:c r="AN1832" s="1"/>
    </x:row>
    <x:row r="1833" ht="22" customHeight="1">
      <x:c r="A1833" s="1" t="str">
        <x:v>8260</x:v>
      </x:c>
      <x:c r="B1833" s="1" t="str">
        <x:v>Fox Chase School</x:v>
      </x:c>
      <x:c r="C1833" s="16" t="n">
        <x:v>0.8676567180951781</x:v>
      </x:c>
      <x:c r="D1833" s="1" t="str">
        <x:v>1621545</x:v>
      </x:c>
      <x:c r="E1833" s="1" t="str">
        <x:v>Giant Food Store 6509</x:v>
      </x:c>
      <x:c r="F1833" s="1" t="str">
        <x:v>737 Huntingdon Pike, Huntingdon Valley, PA, 19006</x:v>
      </x:c>
      <x:c r="G1833" s="1" t="n">
        <x:v>2</x:v>
      </x:c>
      <x:c r="H1833" s="1" t="str">
        <x:v>2026-10-09</x:v>
      </x:c>
      <x:c r="I1833" s="1" t="str">
        <x:v>Listed outlets and resources require access verification</x:v>
      </x:c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  <x:c r="AA1833" s="1"/>
      <x:c r="AB1833" s="1"/>
      <x:c r="AC1833" s="1"/>
      <x:c r="AD1833" s="1"/>
      <x:c r="AE1833" s="1"/>
      <x:c r="AF1833" s="1"/>
      <x:c r="AG1833" s="1"/>
      <x:c r="AH1833" s="1"/>
      <x:c r="AI1833" s="1"/>
      <x:c r="AJ1833" s="1"/>
      <x:c r="AK1833" s="1"/>
      <x:c r="AL1833" s="1"/>
      <x:c r="AM1833" s="1"/>
      <x:c r="AN1833" s="1"/>
    </x:row>
    <x:row r="1834" ht="22" customHeight="1">
      <x:c r="A1834" s="1" t="str">
        <x:v>8270</x:v>
      </x:c>
      <x:c r="B1834" s="1" t="str">
        <x:v>Thomas Holme School</x:v>
      </x:c>
      <x:c r="C1834" s="16" t="n">
        <x:v>0.2110836017486298</x:v>
      </x:c>
      <x:c r="D1834" s="1" t="str">
        <x:v>1689452</x:v>
      </x:c>
      <x:c r="E1834" s="1" t="str">
        <x:v>PJP Marketplace</x:v>
      </x:c>
      <x:c r="F1834" s="1" t="str">
        <x:v>8960 Frankford Avenue, Philadelphia, PA, 19136</x:v>
      </x:c>
      <x:c r="G1834" s="1" t="n">
        <x:v>1</x:v>
      </x:c>
      <x:c r="H1834" s="1" t="str">
        <x:v>2026-10-09</x:v>
      </x:c>
      <x:c r="I1834" s="1" t="str">
        <x:v>Listed outlets and resources require access verification</x:v>
      </x:c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  <x:c r="AA1834" s="1"/>
      <x:c r="AB1834" s="1"/>
      <x:c r="AC1834" s="1"/>
      <x:c r="AD1834" s="1"/>
      <x:c r="AE1834" s="1"/>
      <x:c r="AF1834" s="1"/>
      <x:c r="AG1834" s="1"/>
      <x:c r="AH1834" s="1"/>
      <x:c r="AI1834" s="1"/>
      <x:c r="AJ1834" s="1"/>
      <x:c r="AK1834" s="1"/>
      <x:c r="AL1834" s="1"/>
      <x:c r="AM1834" s="1"/>
      <x:c r="AN1834" s="1"/>
    </x:row>
    <x:row r="1835" ht="22" customHeight="1">
      <x:c r="A1835" s="1" t="str">
        <x:v>8300</x:v>
      </x:c>
      <x:c r="B1835" s="1" t="str">
        <x:v>Mayfair School</x:v>
      </x:c>
      <x:c r="C1835" s="16" t="n">
        <x:v>0.18475066467909304</x:v>
      </x:c>
      <x:c r="D1835" s="1" t="str">
        <x:v>1338140</x:v>
      </x:c>
      <x:c r="E1835" s="1" t="str">
        <x:v>No.1 Asian Supermarket Inc</x:v>
      </x:c>
      <x:c r="F1835" s="1" t="str">
        <x:v>2842 Saint Vincent St, Philadelphia, PA, 19149</x:v>
      </x:c>
      <x:c r="G1835" s="1" t="n">
        <x:v>2</x:v>
      </x:c>
      <x:c r="H1835" s="1" t="str">
        <x:v>2026-10-09</x:v>
      </x:c>
      <x:c r="I1835" s="1" t="str">
        <x:v>Listed outlets and resources require access verification</x:v>
      </x:c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  <x:c r="AA1835" s="1"/>
      <x:c r="AB1835" s="1"/>
      <x:c r="AC1835" s="1"/>
      <x:c r="AD1835" s="1"/>
      <x:c r="AE1835" s="1"/>
      <x:c r="AF1835" s="1"/>
      <x:c r="AG1835" s="1"/>
      <x:c r="AH1835" s="1"/>
      <x:c r="AI1835" s="1"/>
      <x:c r="AJ1835" s="1"/>
      <x:c r="AK1835" s="1"/>
      <x:c r="AL1835" s="1"/>
      <x:c r="AM1835" s="1"/>
      <x:c r="AN1835" s="1"/>
    </x:row>
    <x:row r="1836" ht="22" customHeight="1">
      <x:c r="A1836" s="1" t="str">
        <x:v>8310</x:v>
      </x:c>
      <x:c r="B1836" s="1" t="str">
        <x:v>J. Hampton Moore School</x:v>
      </x:c>
      <x:c r="C1836" s="16" t="n">
        <x:v>0.48677921687658265</x:v>
      </x:c>
      <x:c r="D1836" s="1" t="str">
        <x:v>937619</x:v>
      </x:c>
      <x:c r="E1836" s="1" t="str">
        <x:v>Meat Shoppers Plus LLC</x:v>
      </x:c>
      <x:c r="F1836" s="1" t="str">
        <x:v>6619 Castor Ave, Philadelphia, PA, 19149</x:v>
      </x:c>
      <x:c r="G1836" s="1" t="n">
        <x:v>2</x:v>
      </x:c>
      <x:c r="H1836" s="1" t="str">
        <x:v>2026-10-09</x:v>
      </x:c>
      <x:c r="I1836" s="1" t="str">
        <x:v>Listed outlets and resources require access verification</x:v>
      </x:c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  <x:c r="AA1836" s="1"/>
      <x:c r="AB1836" s="1"/>
      <x:c r="AC1836" s="1"/>
      <x:c r="AD1836" s="1"/>
      <x:c r="AE1836" s="1"/>
      <x:c r="AF1836" s="1"/>
      <x:c r="AG1836" s="1"/>
      <x:c r="AH1836" s="1"/>
      <x:c r="AI1836" s="1"/>
      <x:c r="AJ1836" s="1"/>
      <x:c r="AK1836" s="1"/>
      <x:c r="AL1836" s="1"/>
      <x:c r="AM1836" s="1"/>
      <x:c r="AN1836" s="1"/>
    </x:row>
    <x:row r="1837" ht="22" customHeight="1">
      <x:c r="A1837" s="1" t="str">
        <x:v>8340</x:v>
      </x:c>
      <x:c r="B1837" s="1" t="str">
        <x:v>Solomon Solis-Cohen School</x:v>
      </x:c>
      <x:c r="C1837" s="16" t="n">
        <x:v>0.36391859379799124</x:v>
      </x:c>
      <x:c r="D1837" s="1" t="str">
        <x:v>1219825</x:v>
      </x:c>
      <x:c r="E1837" s="1" t="str">
        <x:v>Acme 0299</x:v>
      </x:c>
      <x:c r="F1837" s="1" t="str">
        <x:v>2101 Cottman Ave, Philadelphia, PA, 19149</x:v>
      </x:c>
      <x:c r="G1837" s="1" t="n">
        <x:v>3</x:v>
      </x:c>
      <x:c r="H1837" s="1" t="str">
        <x:v>2026-10-09</x:v>
      </x:c>
      <x:c r="I1837" s="1" t="str">
        <x:v>Listed outlets and resources require access verification</x:v>
      </x:c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  <x:c r="AA1837" s="1"/>
      <x:c r="AB1837" s="1"/>
      <x:c r="AC1837" s="1"/>
      <x:c r="AD1837" s="1"/>
      <x:c r="AE1837" s="1"/>
      <x:c r="AF1837" s="1"/>
      <x:c r="AG1837" s="1"/>
      <x:c r="AH1837" s="1"/>
      <x:c r="AI1837" s="1"/>
      <x:c r="AJ1837" s="1"/>
      <x:c r="AK1837" s="1"/>
      <x:c r="AL1837" s="1"/>
      <x:c r="AM1837" s="1"/>
      <x:c r="AN1837" s="1"/>
    </x:row>
    <x:row r="1838" ht="22" customHeight="1">
      <x:c r="A1838" s="1" t="str">
        <x:v>8350</x:v>
      </x:c>
      <x:c r="B1838" s="1" t="str">
        <x:v>Gilbert Spruance School</x:v>
      </x:c>
      <x:c r="C1838" s="16" t="n">
        <x:v>0.27189586889960465</x:v>
      </x:c>
      <x:c r="D1838" s="1" t="str">
        <x:v>1694249</x:v>
      </x:c>
      <x:c r="E1838" s="1" t="str">
        <x:v>Compare &amp; Save</x:v>
      </x:c>
      <x:c r="F1838" s="1" t="str">
        <x:v>6515 Castor Ave, Philadelphia, PA, 19149</x:v>
      </x:c>
      <x:c r="G1838" s="1" t="n">
        <x:v>4</x:v>
      </x:c>
      <x:c r="H1838" s="1" t="str">
        <x:v>2026-10-09</x:v>
      </x:c>
      <x:c r="I1838" s="1" t="str">
        <x:v>Listed outlets and resources require access verification</x:v>
      </x:c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  <x:c r="AA1838" s="1"/>
      <x:c r="AB1838" s="1"/>
      <x:c r="AC1838" s="1"/>
      <x:c r="AD1838" s="1"/>
      <x:c r="AE1838" s="1"/>
      <x:c r="AF1838" s="1"/>
      <x:c r="AG1838" s="1"/>
      <x:c r="AH1838" s="1"/>
      <x:c r="AI1838" s="1"/>
      <x:c r="AJ1838" s="1"/>
      <x:c r="AK1838" s="1"/>
      <x:c r="AL1838" s="1"/>
      <x:c r="AM1838" s="1"/>
      <x:c r="AN1838" s="1"/>
    </x:row>
    <x:row r="1839" ht="22" customHeight="1">
      <x:c r="A1839" s="1" t="str">
        <x:v>8360</x:v>
      </x:c>
      <x:c r="B1839" s="1" t="str">
        <x:v>Rhawnhurst School</x:v>
      </x:c>
      <x:c r="C1839" s="16" t="n">
        <x:v>0.5143721610507015</x:v>
      </x:c>
      <x:c r="D1839" s="1" t="str">
        <x:v>1708322</x:v>
      </x:c>
      <x:c r="E1839" s="1" t="str">
        <x:v>Jumbo Meat Market</x:v>
      </x:c>
      <x:c r="F1839" s="1" t="str">
        <x:v>7322 Castor Ave, Philadelphia, PA, 19152</x:v>
      </x:c>
      <x:c r="G1839" s="1" t="n">
        <x:v>0</x:v>
      </x:c>
      <x:c r="H1839" s="1" t="str">
        <x:v>2026-10-09</x:v>
      </x:c>
      <x:c r="I1839" s="1" t="str">
        <x:v>Listed outlets and resources require access verification</x:v>
      </x:c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  <x:c r="AA1839" s="1"/>
      <x:c r="AB1839" s="1"/>
      <x:c r="AC1839" s="1"/>
      <x:c r="AD1839" s="1"/>
      <x:c r="AE1839" s="1"/>
      <x:c r="AF1839" s="1"/>
      <x:c r="AG1839" s="1"/>
      <x:c r="AH1839" s="1"/>
      <x:c r="AI1839" s="1"/>
      <x:c r="AJ1839" s="1"/>
      <x:c r="AK1839" s="1"/>
      <x:c r="AL1839" s="1"/>
      <x:c r="AM1839" s="1"/>
      <x:c r="AN1839" s="1"/>
    </x:row>
    <x:row r="1840" ht="22" customHeight="1">
      <x:c r="A1840" s="1" t="str">
        <x:v>8370</x:v>
      </x:c>
      <x:c r="B1840" s="1" t="str">
        <x:v>Watson Comly School</x:v>
      </x:c>
      <x:c r="C1840" s="16" t="n">
        <x:v>0.42671826805716384</x:v>
      </x:c>
      <x:c r="D1840" s="1" t="str">
        <x:v>536486</x:v>
      </x:c>
      <x:c r="E1840" s="1" t="str">
        <x:v>Net Cost Market 4</x:v>
      </x:c>
      <x:c r="F1840" s="1" t="str">
        <x:v>11701 Bustleton Ave, Philadelphia, PA, 19116</x:v>
      </x:c>
      <x:c r="G1840" s="1" t="n">
        <x:v>1</x:v>
      </x:c>
      <x:c r="H1840" s="1" t="str">
        <x:v>2026-10-09</x:v>
      </x:c>
      <x:c r="I1840" s="1" t="str">
        <x:v>Listed outlets and resources require access verification</x:v>
      </x:c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  <x:c r="AA1840" s="1"/>
      <x:c r="AB1840" s="1"/>
      <x:c r="AC1840" s="1"/>
      <x:c r="AD1840" s="1"/>
      <x:c r="AE1840" s="1"/>
      <x:c r="AF1840" s="1"/>
      <x:c r="AG1840" s="1"/>
      <x:c r="AH1840" s="1"/>
      <x:c r="AI1840" s="1"/>
      <x:c r="AJ1840" s="1"/>
      <x:c r="AK1840" s="1"/>
      <x:c r="AL1840" s="1"/>
      <x:c r="AM1840" s="1"/>
      <x:c r="AN1840" s="1"/>
    </x:row>
    <x:row r="1841" ht="22" customHeight="1">
      <x:c r="A1841" s="1" t="str">
        <x:v>8380</x:v>
      </x:c>
      <x:c r="B1841" s="1" t="str">
        <x:v>Louis H. Farrell School</x:v>
      </x:c>
      <x:c r="C1841" s="16" t="n">
        <x:v>0.08152945042887899</x:v>
      </x:c>
      <x:c r="D1841" s="1" t="str">
        <x:v>1682132</x:v>
      </x:c>
      <x:c r="E1841" s="1" t="str">
        <x:v>Bell's Market</x:v>
      </x:c>
      <x:c r="F1841" s="1" t="str">
        <x:v>8330 Bustleton Ave, Philadelphia, PA, 19152</x:v>
      </x:c>
      <x:c r="G1841" s="1" t="n">
        <x:v>0</x:v>
      </x:c>
      <x:c r="H1841" s="1" t="str">
        <x:v>2026-10-09</x:v>
      </x:c>
      <x:c r="I1841" s="1" t="str">
        <x:v>Listed outlets and resources require access verification</x:v>
      </x:c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  <x:c r="AA1841" s="1"/>
      <x:c r="AB1841" s="1"/>
      <x:c r="AC1841" s="1"/>
      <x:c r="AD1841" s="1"/>
      <x:c r="AE1841" s="1"/>
      <x:c r="AF1841" s="1"/>
      <x:c r="AG1841" s="1"/>
      <x:c r="AH1841" s="1"/>
      <x:c r="AI1841" s="1"/>
      <x:c r="AJ1841" s="1"/>
      <x:c r="AK1841" s="1"/>
      <x:c r="AL1841" s="1"/>
      <x:c r="AM1841" s="1"/>
      <x:c r="AN1841" s="1"/>
    </x:row>
    <x:row r="1842" ht="22" customHeight="1">
      <x:c r="A1842" s="1" t="str">
        <x:v>8390</x:v>
      </x:c>
      <x:c r="B1842" s="1" t="str">
        <x:v>Aloysius L. Fitzpatrick School</x:v>
      </x:c>
      <x:c r="C1842" s="16" t="n">
        <x:v>0.4864590234509422</x:v>
      </x:c>
      <x:c r="D1842" s="1" t="str">
        <x:v>1551623</x:v>
      </x:c>
      <x:c r="E1842" s="1" t="str">
        <x:v>Grocery Outlet Of Woodhaven 750</x:v>
      </x:c>
      <x:c r="F1842" s="1" t="str">
        <x:v>4016 Woodhaven Rd, Philadelphia, PA, 19154</x:v>
      </x:c>
      <x:c r="G1842" s="1" t="n">
        <x:v>0</x:v>
      </x:c>
      <x:c r="H1842" s="1" t="str">
        <x:v>2026-10-09</x:v>
      </x:c>
      <x:c r="I1842" s="1" t="str">
        <x:v>Listed outlets and resources require access verification</x:v>
      </x:c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  <x:c r="AA1842" s="1"/>
      <x:c r="AB1842" s="1"/>
      <x:c r="AC1842" s="1"/>
      <x:c r="AD1842" s="1"/>
      <x:c r="AE1842" s="1"/>
      <x:c r="AF1842" s="1"/>
      <x:c r="AG1842" s="1"/>
      <x:c r="AH1842" s="1"/>
      <x:c r="AI1842" s="1"/>
      <x:c r="AJ1842" s="1"/>
      <x:c r="AK1842" s="1"/>
      <x:c r="AL1842" s="1"/>
      <x:c r="AM1842" s="1"/>
      <x:c r="AN1842" s="1"/>
    </x:row>
    <x:row r="1843" ht="22" customHeight="1">
      <x:c r="A1843" s="1" t="str">
        <x:v>8400</x:v>
      </x:c>
      <x:c r="B1843" s="1" t="str">
        <x:v>Anne Frank School</x:v>
      </x:c>
      <x:c r="C1843" s="16" t="n">
        <x:v>0.3258614986175544</x:v>
      </x:c>
      <x:c r="D1843" s="1" t="str">
        <x:v>1321664</x:v>
      </x:c>
      <x:c r="E1843" s="1" t="str">
        <x:v>House Of Kosher Inc</x:v>
      </x:c>
      <x:c r="F1843" s="1" t="str">
        <x:v>9806 Bustleton Ave, Philadelphia, PA, 19115</x:v>
      </x:c>
      <x:c r="G1843" s="1" t="n">
        <x:v>2</x:v>
      </x:c>
      <x:c r="H1843" s="1" t="str">
        <x:v>2026-10-09</x:v>
      </x:c>
      <x:c r="I1843" s="1" t="str">
        <x:v>Listed outlets and resources require access verification</x:v>
      </x:c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  <x:c r="AA1843" s="1"/>
      <x:c r="AB1843" s="1"/>
      <x:c r="AC1843" s="1"/>
      <x:c r="AD1843" s="1"/>
      <x:c r="AE1843" s="1"/>
      <x:c r="AF1843" s="1"/>
      <x:c r="AG1843" s="1"/>
      <x:c r="AH1843" s="1"/>
      <x:c r="AI1843" s="1"/>
      <x:c r="AJ1843" s="1"/>
      <x:c r="AK1843" s="1"/>
      <x:c r="AL1843" s="1"/>
      <x:c r="AM1843" s="1"/>
      <x:c r="AN1843" s="1"/>
    </x:row>
    <x:row r="1844" ht="22" customHeight="1">
      <x:c r="A1844" s="1" t="str">
        <x:v>8410</x:v>
      </x:c>
      <x:c r="B1844" s="1" t="str">
        <x:v>Robert B. Pollock School</x:v>
      </x:c>
      <x:c r="C1844" s="16" t="n">
        <x:v>0.8076308631444649</x:v>
      </x:c>
      <x:c r="D1844" s="1" t="str">
        <x:v>1194818</x:v>
      </x:c>
      <x:c r="E1844" s="1" t="str">
        <x:v>Net Cost Market 9</x:v>
      </x:c>
      <x:c r="F1844" s="1" t="str">
        <x:v>2417 Welsh Rd, Philadelphia, PA, 19114</x:v>
      </x:c>
      <x:c r="G1844" s="1" t="n">
        <x:v>2</x:v>
      </x:c>
      <x:c r="H1844" s="1" t="str">
        <x:v>2026-10-09</x:v>
      </x:c>
      <x:c r="I1844" s="1" t="str">
        <x:v>Listed outlets and resources require access verification</x:v>
      </x:c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  <x:c r="AA1844" s="1"/>
      <x:c r="AB1844" s="1"/>
      <x:c r="AC1844" s="1"/>
      <x:c r="AD1844" s="1"/>
      <x:c r="AE1844" s="1"/>
      <x:c r="AF1844" s="1"/>
      <x:c r="AG1844" s="1"/>
      <x:c r="AH1844" s="1"/>
      <x:c r="AI1844" s="1"/>
      <x:c r="AJ1844" s="1"/>
      <x:c r="AK1844" s="1"/>
      <x:c r="AL1844" s="1"/>
      <x:c r="AM1844" s="1"/>
      <x:c r="AN1844" s="1"/>
    </x:row>
    <x:row r="1845" ht="22" customHeight="1">
      <x:c r="A1845" s="1" t="str">
        <x:v>8420</x:v>
      </x:c>
      <x:c r="B1845" s="1" t="str">
        <x:v>Stephen Decatur School</x:v>
      </x:c>
      <x:c r="C1845" s="16" t="n">
        <x:v>0.6602426050811474</x:v>
      </x:c>
      <x:c r="D1845" s="1" t="str">
        <x:v>1544245</x:v>
      </x:c>
      <x:c r="E1845" s="1" t="str">
        <x:v>Sam's Club 6332</x:v>
      </x:c>
      <x:c r="F1845" s="1" t="str">
        <x:v>1000 Franklin Mills Cir, Philadelphia, PA, 19154</x:v>
      </x:c>
      <x:c r="G1845" s="1" t="n">
        <x:v>1</x:v>
      </x:c>
      <x:c r="H1845" s="1" t="str">
        <x:v>2026-10-09</x:v>
      </x:c>
      <x:c r="I1845" s="1" t="str">
        <x:v>Listed outlets and resources require access verification</x:v>
      </x:c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  <x:c r="AA1845" s="1"/>
      <x:c r="AB1845" s="1"/>
      <x:c r="AC1845" s="1"/>
      <x:c r="AD1845" s="1"/>
      <x:c r="AE1845" s="1"/>
      <x:c r="AF1845" s="1"/>
      <x:c r="AG1845" s="1"/>
      <x:c r="AH1845" s="1"/>
      <x:c r="AI1845" s="1"/>
      <x:c r="AJ1845" s="1"/>
      <x:c r="AK1845" s="1"/>
      <x:c r="AL1845" s="1"/>
      <x:c r="AM1845" s="1"/>
      <x:c r="AN1845" s="1"/>
    </x:row>
    <x:row r="1846" ht="22" customHeight="1">
      <x:c r="A1846" s="1" t="str">
        <x:v>8430</x:v>
      </x:c>
      <x:c r="B1846" s="1" t="str">
        <x:v>Joseph Greenberg School</x:v>
      </x:c>
      <x:c r="C1846" s="16" t="n">
        <x:v>0.9058382307395104</x:v>
      </x:c>
      <x:c r="D1846" s="1" t="str">
        <x:v>1070373</x:v>
      </x:c>
      <x:c r="E1846" s="1" t="str">
        <x:v>Kashmir Garden Super Market Inc</x:v>
      </x:c>
      <x:c r="F1846" s="1" t="str">
        <x:v>9325 Krewstown Rd, Philadelphia, PA, 19115</x:v>
      </x:c>
      <x:c r="G1846" s="1" t="n">
        <x:v>0</x:v>
      </x:c>
      <x:c r="H1846" s="1" t="str">
        <x:v>2026-10-09</x:v>
      </x:c>
      <x:c r="I1846" s="1" t="str">
        <x:v>Listed outlets and resources require access verification</x:v>
      </x:c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  <x:c r="AA1846" s="1"/>
      <x:c r="AB1846" s="1"/>
      <x:c r="AC1846" s="1"/>
      <x:c r="AD1846" s="1"/>
      <x:c r="AE1846" s="1"/>
      <x:c r="AF1846" s="1"/>
      <x:c r="AG1846" s="1"/>
      <x:c r="AH1846" s="1"/>
      <x:c r="AI1846" s="1"/>
      <x:c r="AJ1846" s="1"/>
      <x:c r="AK1846" s="1"/>
      <x:c r="AL1846" s="1"/>
      <x:c r="AM1846" s="1"/>
      <x:c r="AN1846" s="1"/>
    </x:row>
    <x:row r="1847" ht="22" customHeight="1">
      <x:c r="A1847" s="1" t="str">
        <x:v>8440</x:v>
      </x:c>
      <x:c r="B1847" s="1" t="str">
        <x:v>William H. Loesche School</x:v>
      </x:c>
      <x:c r="C1847" s="16" t="n">
        <x:v>0.45647317626121353</x:v>
      </x:c>
      <x:c r="D1847" s="1" t="str">
        <x:v>1318931</x:v>
      </x:c>
      <x:c r="E1847" s="1" t="str">
        <x:v>Ali Baba Bakery Inc</x:v>
      </x:c>
      <x:c r="F1847" s="1" t="str">
        <x:v>10184 Bustleton Ave, Philadelphia, PA, 19116</x:v>
      </x:c>
      <x:c r="G1847" s="1" t="n">
        <x:v>4</x:v>
      </x:c>
      <x:c r="H1847" s="1" t="str">
        <x:v>2026-10-09</x:v>
      </x:c>
      <x:c r="I1847" s="1" t="str">
        <x:v>Listed outlets and resources require access verification</x:v>
      </x:c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  <x:c r="AA1847" s="1"/>
      <x:c r="AB1847" s="1"/>
      <x:c r="AC1847" s="1"/>
      <x:c r="AD1847" s="1"/>
      <x:c r="AE1847" s="1"/>
      <x:c r="AF1847" s="1"/>
      <x:c r="AG1847" s="1"/>
      <x:c r="AH1847" s="1"/>
      <x:c r="AI1847" s="1"/>
      <x:c r="AJ1847" s="1"/>
      <x:c r="AK1847" s="1"/>
      <x:c r="AL1847" s="1"/>
      <x:c r="AM1847" s="1"/>
      <x:c r="AN1847" s="1"/>
    </x:row>
    <x:row r="1848" ht="22" customHeight="1">
      <x:c r="A1848" s="1" t="str">
        <x:v>8450</x:v>
      </x:c>
      <x:c r="B1848" s="1" t="str">
        <x:v>YESPhilly</x:v>
      </x:c>
      <x:c r="C1848" s="16" t="n">
        <x:v>0.5411770428723703</x:v>
      </x:c>
      <x:c r="D1848" s="1" t="str">
        <x:v>1171179</x:v>
      </x:c>
      <x:c r="E1848" s="1" t="str">
        <x:v>Save A Lot 60139</x:v>
      </x:c>
      <x:c r="F1848" s="1" t="str">
        <x:v>701 W Lehigh Ave, Philadelphia, PA, 19133</x:v>
      </x:c>
      <x:c r="G1848" s="1" t="n">
        <x:v>15</x:v>
      </x:c>
      <x:c r="H1848" s="1" t="str">
        <x:v>2026-10-09</x:v>
      </x:c>
      <x:c r="I1848" s="1" t="str">
        <x:v>Listed outlets and resources require access verification</x:v>
      </x:c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  <x:c r="AA1848" s="1"/>
      <x:c r="AB1848" s="1"/>
      <x:c r="AC1848" s="1"/>
      <x:c r="AD1848" s="1"/>
      <x:c r="AE1848" s="1"/>
      <x:c r="AF1848" s="1"/>
      <x:c r="AG1848" s="1"/>
      <x:c r="AH1848" s="1"/>
      <x:c r="AI1848" s="1"/>
      <x:c r="AJ1848" s="1"/>
      <x:c r="AK1848" s="1"/>
      <x:c r="AL1848" s="1"/>
      <x:c r="AM1848" s="1"/>
      <x:c r="AN1848" s="1"/>
    </x:row>
    <x:row r="1849" ht="22" customHeight="1">
      <x:c r="A1849" s="1" t="str">
        <x:v>8460</x:v>
      </x:c>
      <x:c r="B1849" s="1" t="str">
        <x:v>Philadelphia Learning Academy West</x:v>
      </x:c>
      <x:c r="C1849" s="16" t="n">
        <x:v>0.66104747662638</x:v>
      </x:c>
      <x:c r="D1849" s="1" t="str">
        <x:v>1119080</x:v>
      </x:c>
      <x:c r="E1849" s="1" t="str">
        <x:v>Cousin's Fresh Market 2 Inc</x:v>
      </x:c>
      <x:c r="F1849" s="1" t="str">
        <x:v>5429 W Girard Ave, Philadelphia, PA, 19131</x:v>
      </x:c>
      <x:c r="G1849" s="1" t="n">
        <x:v>11</x:v>
      </x:c>
      <x:c r="H1849" s="1" t="str">
        <x:v>2026-10-09</x:v>
      </x:c>
      <x:c r="I1849" s="1" t="str">
        <x:v>Listed outlets and resources require access verification</x:v>
      </x:c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  <x:c r="AA1849" s="1"/>
      <x:c r="AB1849" s="1"/>
      <x:c r="AC1849" s="1"/>
      <x:c r="AD1849" s="1"/>
      <x:c r="AE1849" s="1"/>
      <x:c r="AF1849" s="1"/>
      <x:c r="AG1849" s="1"/>
      <x:c r="AH1849" s="1"/>
      <x:c r="AI1849" s="1"/>
      <x:c r="AJ1849" s="1"/>
      <x:c r="AK1849" s="1"/>
      <x:c r="AL1849" s="1"/>
      <x:c r="AM1849" s="1"/>
      <x:c r="AN1849" s="1"/>
    </x:row>
    <x:row r="1850" ht="22" customHeight="1">
      <x:c r="A1850" s="1" t="str">
        <x:v>8470</x:v>
      </x:c>
      <x:c r="B1850" s="1" t="str">
        <x:v>Philadelphia Learning Academy North</x:v>
      </x:c>
      <x:c r="C1850" s="16" t="n">
        <x:v>0.5181636732430546</x:v>
      </x:c>
      <x:c r="D1850" s="1" t="str">
        <x:v>497084</x:v>
      </x:c>
      <x:c r="E1850" s="1" t="str">
        <x:v>COUSINS SUPERMARKET INC. #2</x:v>
      </x:c>
      <x:c r="F1850" s="1" t="str">
        <x:v>4037 N 5th St, Philadelphia, PA, 19140</x:v>
      </x:c>
      <x:c r="G1850" s="1" t="n">
        <x:v>10</x:v>
      </x:c>
      <x:c r="H1850" s="1" t="str">
        <x:v>2026-10-09</x:v>
      </x:c>
      <x:c r="I1850" s="1" t="str">
        <x:v>Listed outlets and resources require access verification</x:v>
      </x:c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  <x:c r="AA1850" s="1"/>
      <x:c r="AB1850" s="1"/>
      <x:c r="AC1850" s="1"/>
      <x:c r="AD1850" s="1"/>
      <x:c r="AE1850" s="1"/>
      <x:c r="AF1850" s="1"/>
      <x:c r="AG1850" s="1"/>
      <x:c r="AH1850" s="1"/>
      <x:c r="AI1850" s="1"/>
      <x:c r="AJ1850" s="1"/>
      <x:c r="AK1850" s="1"/>
      <x:c r="AL1850" s="1"/>
      <x:c r="AM1850" s="1"/>
      <x:c r="AN1850" s="1"/>
    </x:row>
    <x:row r="1851" ht="22" customHeight="1">
      <x:c r="A1851" s="1" t="str">
        <x:v>8540</x:v>
      </x:c>
      <x:c r="B1851" s="1" t="str">
        <x:v>Pennypack House School</x:v>
      </x:c>
      <x:c r="C1851" s="16" t="n">
        <x:v>1.4877013342422842</x:v>
      </x:c>
      <x:c r="D1851" s="1" t="str">
        <x:v>1689452</x:v>
      </x:c>
      <x:c r="E1851" s="1" t="str">
        <x:v>PJP Marketplace</x:v>
      </x:c>
      <x:c r="F1851" s="1" t="str">
        <x:v>8960 Frankford Avenue, Philadelphia, PA, 19136</x:v>
      </x:c>
      <x:c r="G1851" s="1" t="n">
        <x:v>2</x:v>
      </x:c>
      <x:c r="H1851" s="1" t="str">
        <x:v>2026-10-09</x:v>
      </x:c>
      <x:c r="I1851" s="1" t="str">
        <x:v>Listed outlets and resources require access verification</x:v>
      </x:c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  <x:c r="AA1851" s="1"/>
      <x:c r="AB1851" s="1"/>
      <x:c r="AC1851" s="1"/>
      <x:c r="AD1851" s="1"/>
      <x:c r="AE1851" s="1"/>
      <x:c r="AF1851" s="1"/>
      <x:c r="AG1851" s="1"/>
      <x:c r="AH1851" s="1"/>
      <x:c r="AI1851" s="1"/>
      <x:c r="AJ1851" s="1"/>
      <x:c r="AK1851" s="1"/>
      <x:c r="AL1851" s="1"/>
      <x:c r="AM1851" s="1"/>
      <x:c r="AN1851" s="1"/>
    </x:row>
    <x:row r="1852" ht="22" customHeight="1">
      <x:c r="A1852" s="1" t="str">
        <x:v>8560</x:v>
      </x:c>
      <x:c r="B1852" s="1" t="str">
        <x:v>The Workshop High School</x:v>
      </x:c>
      <x:c r="C1852" s="16" t="n">
        <x:v>0.40195766619653583</x:v>
      </x:c>
      <x:c r="D1852" s="1" t="str">
        <x:v>647200</x:v>
      </x:c>
      <x:c r="E1852" s="1" t="str">
        <x:v>ALDI 54</x:v>
      </x:c>
      <x:c r="F1852" s="1" t="str">
        <x:v>4421 Market St, Philadelphia, PA, 19104</x:v>
      </x:c>
      <x:c r="G1852" s="1" t="n">
        <x:v>11</x:v>
      </x:c>
      <x:c r="H1852" s="1" t="str">
        <x:v>2026-10-09</x:v>
      </x:c>
      <x:c r="I1852" s="1" t="str">
        <x:v>Listed outlets and resources require access verification</x:v>
      </x:c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  <x:c r="AA1852" s="1"/>
      <x:c r="AB1852" s="1"/>
      <x:c r="AC1852" s="1"/>
      <x:c r="AD1852" s="1"/>
      <x:c r="AE1852" s="1"/>
      <x:c r="AF1852" s="1"/>
      <x:c r="AG1852" s="1"/>
      <x:c r="AH1852" s="1"/>
      <x:c r="AI1852" s="1"/>
      <x:c r="AJ1852" s="1"/>
      <x:c r="AK1852" s="1"/>
      <x:c r="AL1852" s="1"/>
      <x:c r="AM1852" s="1"/>
      <x:c r="AN1852" s="1"/>
    </x:row>
    <x:row r="1853" ht="22" customHeight="1">
      <x:c r="A1853" s="1" t="str">
        <x:v>8690</x:v>
      </x:c>
      <x:c r="B1853" s="1" t="str">
        <x:v>Crossroads Accelerated Academy</x:v>
      </x:c>
      <x:c r="C1853" s="16" t="n">
        <x:v>0.66104747662638</x:v>
      </x:c>
      <x:c r="D1853" s="1" t="str">
        <x:v>1119080</x:v>
      </x:c>
      <x:c r="E1853" s="1" t="str">
        <x:v>Cousin's Fresh Market 2 Inc</x:v>
      </x:c>
      <x:c r="F1853" s="1" t="str">
        <x:v>5429 W Girard Ave, Philadelphia, PA, 19131</x:v>
      </x:c>
      <x:c r="G1853" s="1" t="n">
        <x:v>11</x:v>
      </x:c>
      <x:c r="H1853" s="1" t="str">
        <x:v>2026-10-09</x:v>
      </x:c>
      <x:c r="I1853" s="1" t="str">
        <x:v>Listed outlets and resources require access verification</x:v>
      </x:c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  <x:c r="AA1853" s="1"/>
      <x:c r="AB1853" s="1"/>
      <x:c r="AC1853" s="1"/>
      <x:c r="AD1853" s="1"/>
      <x:c r="AE1853" s="1"/>
      <x:c r="AF1853" s="1"/>
      <x:c r="AG1853" s="1"/>
      <x:c r="AH1853" s="1"/>
      <x:c r="AI1853" s="1"/>
      <x:c r="AJ1853" s="1"/>
      <x:c r="AK1853" s="1"/>
      <x:c r="AL1853" s="1"/>
      <x:c r="AM1853" s="1"/>
      <x:c r="AN1853" s="1"/>
    </x:row>
    <x:row r="1854" ht="22" customHeight="1">
      <x:c r="A1854" s="1" t="str">
        <x:v>8770</x:v>
      </x:c>
      <x:c r="B1854" s="1" t="str">
        <x:v>Hancock, John Demonstration School</x:v>
      </x:c>
      <x:c r="C1854" s="16" t="n">
        <x:v>0.337097173993898</x:v>
      </x:c>
      <x:c r="D1854" s="1" t="str">
        <x:v>865311</x:v>
      </x:c>
      <x:c r="E1854" s="1" t="str">
        <x:v>McMenamin Family Shop Rite 450</x:v>
      </x:c>
      <x:c r="F1854" s="1" t="str">
        <x:v>9910 Frankford Avenue, Philadelphia, PA, 19114</x:v>
      </x:c>
      <x:c r="G1854" s="1" t="n">
        <x:v>0</x:v>
      </x:c>
      <x:c r="H1854" s="1" t="str">
        <x:v>2026-10-09</x:v>
      </x:c>
      <x:c r="I1854" s="1" t="str">
        <x:v>Listed outlets and resources require access verification</x:v>
      </x:c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  <x:c r="AA1854" s="1"/>
      <x:c r="AB1854" s="1"/>
      <x:c r="AC1854" s="1"/>
      <x:c r="AD1854" s="1"/>
      <x:c r="AE1854" s="1"/>
      <x:c r="AF1854" s="1"/>
      <x:c r="AG1854" s="1"/>
      <x:c r="AH1854" s="1"/>
      <x:c r="AI1854" s="1"/>
      <x:c r="AJ1854" s="1"/>
      <x:c r="AK1854" s="1"/>
      <x:c r="AL1854" s="1"/>
      <x:c r="AM1854" s="1"/>
      <x:c r="AN1854" s="1"/>
    </x:row>
    <x:row r="1855" ht="22" customHeight="1">
      <x:c r="A1855" s="1" t="str">
        <x:v>8780</x:v>
      </x:c>
      <x:c r="B1855" s="1" t="str">
        <x:v>Philadelphia Virtual Academy</x:v>
      </x:c>
      <x:c r="C1855" s="16" t="n">
        <x:v>0.1365159900872243</x:v>
      </x:c>
      <x:c r="D1855" s="1" t="str">
        <x:v>1672967</x:v>
      </x:c>
      <x:c r="E1855" s="1" t="str">
        <x:v>Giant Food Store 6573</x:v>
      </x:c>
      <x:c r="F1855" s="1" t="str">
        <x:v>510 N Broad St, Philadelphia, PA, 19130</x:v>
      </x:c>
      <x:c r="G1855" s="1" t="n">
        <x:v>10</x:v>
      </x:c>
      <x:c r="H1855" s="1" t="str">
        <x:v>2026-10-09</x:v>
      </x:c>
      <x:c r="I1855" s="1" t="str">
        <x:v>Listed outlets and resources require access verification</x:v>
      </x:c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  <x:c r="AA1855" s="1"/>
      <x:c r="AB1855" s="1"/>
      <x:c r="AC1855" s="1"/>
      <x:c r="AD1855" s="1"/>
      <x:c r="AE1855" s="1"/>
      <x:c r="AF1855" s="1"/>
      <x:c r="AG1855" s="1"/>
      <x:c r="AH1855" s="1"/>
      <x:c r="AI1855" s="1"/>
      <x:c r="AJ1855" s="1"/>
      <x:c r="AK1855" s="1"/>
      <x:c r="AL1855" s="1"/>
      <x:c r="AM1855" s="1"/>
      <x:c r="AN1855" s="1"/>
    </x:row>
    <x:row r="1856" ht="22" customHeight="1">
      <x:c r="A1856" s="1" t="str">
        <x:v>8860</x:v>
      </x:c>
      <x:c r="B1856" s="1" t="str">
        <x:v>One Bright Ray - Mansion</x:v>
      </x:c>
      <x:c r="C1856" s="16" t="n">
        <x:v>0.325702508834255</x:v>
      </x:c>
      <x:c r="D1856" s="1" t="str">
        <x:v>837205</x:v>
      </x:c>
      <x:c r="E1856" s="1" t="str">
        <x:v>SAVE-A-LOT 60146</x:v>
      </x:c>
      <x:c r="F1856" s="1" t="str">
        <x:v>2801 W Dauphin St, Philadelphia, PA, 19132</x:v>
      </x:c>
      <x:c r="G1856" s="1" t="n">
        <x:v>12</x:v>
      </x:c>
      <x:c r="H1856" s="1" t="str">
        <x:v>2026-10-09</x:v>
      </x:c>
      <x:c r="I1856" s="1" t="str">
        <x:v>Listed outlets and resources require access verification</x:v>
      </x:c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  <x:c r="AA1856" s="1"/>
      <x:c r="AB1856" s="1"/>
      <x:c r="AC1856" s="1"/>
      <x:c r="AD1856" s="1"/>
      <x:c r="AE1856" s="1"/>
      <x:c r="AF1856" s="1"/>
      <x:c r="AG1856" s="1"/>
      <x:c r="AH1856" s="1"/>
      <x:c r="AI1856" s="1"/>
      <x:c r="AJ1856" s="1"/>
      <x:c r="AK1856" s="1"/>
      <x:c r="AL1856" s="1"/>
      <x:c r="AM1856" s="1"/>
      <x:c r="AN1856" s="1"/>
    </x:row>
    <x:row r="1857" ht="22" customHeight="1">
      <x:c r="A1857" s="1" t="str">
        <x:v>8890</x:v>
      </x:c>
      <x:c r="B1857" s="1" t="str">
        <x:v>One Bright Ray - Simpson</x:v>
      </x:c>
      <x:c r="C1857" s="16" t="n">
        <x:v>0.06493995312417583</x:v>
      </x:c>
      <x:c r="D1857" s="1" t="str">
        <x:v>1378015</x:v>
      </x:c>
      <x:c r="E1857" s="1" t="str">
        <x:v>Pa Fair Farm Food Corp/Fine Fare Supermarket</x:v>
      </x:c>
      <x:c r="F1857" s="1" t="str">
        <x:v>1240 E Erie Ave, Philadelphia, PA, 19124</x:v>
      </x:c>
      <x:c r="G1857" s="1" t="n">
        <x:v>7</x:v>
      </x:c>
      <x:c r="H1857" s="1" t="str">
        <x:v>2026-10-09</x:v>
      </x:c>
      <x:c r="I1857" s="1" t="str">
        <x:v>Listed outlets and resources require access verification</x:v>
      </x:c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  <x:c r="AA1857" s="1"/>
      <x:c r="AB1857" s="1"/>
      <x:c r="AC1857" s="1"/>
      <x:c r="AD1857" s="1"/>
      <x:c r="AE1857" s="1"/>
      <x:c r="AF1857" s="1"/>
      <x:c r="AG1857" s="1"/>
      <x:c r="AH1857" s="1"/>
      <x:c r="AI1857" s="1"/>
      <x:c r="AJ1857" s="1"/>
      <x:c r="AK1857" s="1"/>
      <x:c r="AL1857" s="1"/>
      <x:c r="AM1857" s="1"/>
      <x:c r="AN1857" s="1"/>
    </x:row>
    <x:row r="1858" ht="22" customHeight="1">
      <x:c r="A1858" s="1" t="str">
        <x:v>8891</x:v>
      </x:c>
      <x:c r="B1858" s="1" t="str">
        <x:v>One Bright Ray - Simpson Evening</x:v>
      </x:c>
      <x:c r="C1858" s="16" t="n">
        <x:v>0.06490250839751906</x:v>
      </x:c>
      <x:c r="D1858" s="1" t="str">
        <x:v>1378015</x:v>
      </x:c>
      <x:c r="E1858" s="1" t="str">
        <x:v>Pa Fair Farm Food Corp/Fine Fare Supermarket</x:v>
      </x:c>
      <x:c r="F1858" s="1" t="str">
        <x:v>1240 E Erie Ave, Philadelphia, PA, 19124</x:v>
      </x:c>
      <x:c r="G1858" s="1" t="n">
        <x:v>7</x:v>
      </x:c>
      <x:c r="H1858" s="1" t="str">
        <x:v>2026-10-09</x:v>
      </x:c>
      <x:c r="I1858" s="1" t="str">
        <x:v>Listed outlets and resources require access verification</x:v>
      </x:c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  <x:c r="AA1858" s="1"/>
      <x:c r="AB1858" s="1"/>
      <x:c r="AC1858" s="1"/>
      <x:c r="AD1858" s="1"/>
      <x:c r="AE1858" s="1"/>
      <x:c r="AF1858" s="1"/>
      <x:c r="AG1858" s="1"/>
      <x:c r="AH1858" s="1"/>
      <x:c r="AI1858" s="1"/>
      <x:c r="AJ1858" s="1"/>
      <x:c r="AK1858" s="1"/>
      <x:c r="AL1858" s="1"/>
      <x:c r="AM1858" s="1"/>
      <x:c r="AN1858" s="1"/>
    </x:row>
    <x:row r="1859" ht="22" customHeight="1">
      <x:c r="A1859" s="1" t="str">
        <x:v>8900</x:v>
      </x:c>
      <x:c r="B1859" s="1" t="str">
        <x:v>Re-Engagement Center</x:v>
      </x:c>
      <x:c r="C1859" s="16" t="n">
        <x:v>0.1365159900872243</x:v>
      </x:c>
      <x:c r="D1859" s="1" t="str">
        <x:v>1672967</x:v>
      </x:c>
      <x:c r="E1859" s="1" t="str">
        <x:v>Giant Food Store 6573</x:v>
      </x:c>
      <x:c r="F1859" s="1" t="str">
        <x:v>510 N Broad St, Philadelphia, PA, 19130</x:v>
      </x:c>
      <x:c r="G1859" s="1" t="n">
        <x:v>10</x:v>
      </x:c>
      <x:c r="H1859" s="1" t="str">
        <x:v>2026-10-09</x:v>
      </x:c>
      <x:c r="I1859" s="1" t="str">
        <x:v>Listed outlets and resources require access verification</x:v>
      </x:c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  <x:c r="AA1859" s="1"/>
      <x:c r="AB1859" s="1"/>
      <x:c r="AC1859" s="1"/>
      <x:c r="AD1859" s="1"/>
      <x:c r="AE1859" s="1"/>
      <x:c r="AF1859" s="1"/>
      <x:c r="AG1859" s="1"/>
      <x:c r="AH1859" s="1"/>
      <x:c r="AI1859" s="1"/>
      <x:c r="AJ1859" s="1"/>
      <x:c r="AK1859" s="1"/>
      <x:c r="AL1859" s="1"/>
      <x:c r="AM1859" s="1"/>
      <x:c r="AN1859" s="1"/>
    </x:row>
    <x:row r="1860" ht="22" customHeight="1">
      <x:c r="A1860" s="1"/>
      <x:c r="B1860" s="1"/>
      <x:c r="C1860" s="16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  <x:c r="AA1860" s="1"/>
      <x:c r="AB1860" s="1"/>
      <x:c r="AC1860" s="1"/>
      <x:c r="AD1860" s="1"/>
      <x:c r="AE1860" s="1"/>
      <x:c r="AF1860" s="1"/>
      <x:c r="AG1860" s="1"/>
      <x:c r="AH1860" s="1"/>
      <x:c r="AI1860" s="1"/>
      <x:c r="AJ1860" s="1"/>
      <x:c r="AK1860" s="1"/>
      <x:c r="AL1860" s="1"/>
      <x:c r="AM1860" s="1"/>
      <x:c r="AN1860" s="1"/>
    </x:row>
    <x:row r="1861" ht="22" customHeight="1">
      <x:c r="A1861" s="1"/>
      <x:c r="B1861" s="1"/>
      <x:c r="C1861" s="16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  <x:c r="AA1861" s="1"/>
      <x:c r="AB1861" s="1"/>
      <x:c r="AC1861" s="1"/>
      <x:c r="AD1861" s="1"/>
      <x:c r="AE1861" s="1"/>
      <x:c r="AF1861" s="1"/>
      <x:c r="AG1861" s="1"/>
      <x:c r="AH1861" s="1"/>
      <x:c r="AI1861" s="1"/>
      <x:c r="AJ1861" s="1"/>
      <x:c r="AK1861" s="1"/>
      <x:c r="AL1861" s="1"/>
      <x:c r="AM1861" s="1"/>
      <x:c r="AN1861" s="1"/>
    </x:row>
    <x:row r="1862" ht="22" customHeight="1">
      <x:c r="A1862" s="1"/>
      <x:c r="B1862" s="1"/>
      <x:c r="C1862" s="16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  <x:c r="AA1862" s="1"/>
      <x:c r="AB1862" s="1"/>
      <x:c r="AC1862" s="1"/>
      <x:c r="AD1862" s="1"/>
      <x:c r="AE1862" s="1"/>
      <x:c r="AF1862" s="1"/>
      <x:c r="AG1862" s="1"/>
      <x:c r="AH1862" s="1"/>
      <x:c r="AI1862" s="1"/>
      <x:c r="AJ1862" s="1"/>
      <x:c r="AK1862" s="1"/>
      <x:c r="AL1862" s="1"/>
      <x:c r="AM1862" s="1"/>
      <x:c r="AN1862" s="1"/>
    </x:row>
    <x:row r="1863" ht="22" customHeight="1">
      <x:c r="A1863" s="1"/>
      <x:c r="B1863" s="1"/>
      <x:c r="C1863" s="16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  <x:c r="AA1863" s="1"/>
      <x:c r="AB1863" s="1"/>
      <x:c r="AC1863" s="1"/>
      <x:c r="AD1863" s="1"/>
      <x:c r="AE1863" s="1"/>
      <x:c r="AF1863" s="1"/>
      <x:c r="AG1863" s="1"/>
      <x:c r="AH1863" s="1"/>
      <x:c r="AI1863" s="1"/>
      <x:c r="AJ1863" s="1"/>
      <x:c r="AK1863" s="1"/>
      <x:c r="AL1863" s="1"/>
      <x:c r="AM1863" s="1"/>
      <x:c r="AN1863" s="1"/>
    </x:row>
    <x:row r="1864" ht="22" customHeight="1">
      <x:c r="A1864" s="1"/>
      <x:c r="B1864" s="1"/>
      <x:c r="C1864" s="16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  <x:c r="AA1864" s="1"/>
      <x:c r="AB1864" s="1"/>
      <x:c r="AC1864" s="1"/>
      <x:c r="AD1864" s="1"/>
      <x:c r="AE1864" s="1"/>
      <x:c r="AF1864" s="1"/>
      <x:c r="AG1864" s="1"/>
      <x:c r="AH1864" s="1"/>
      <x:c r="AI1864" s="1"/>
      <x:c r="AJ1864" s="1"/>
      <x:c r="AK1864" s="1"/>
      <x:c r="AL1864" s="1"/>
      <x:c r="AM1864" s="1"/>
      <x:c r="AN1864" s="1"/>
    </x:row>
    <x:row r="1865" ht="22" customHeight="1">
      <x:c r="A1865" s="1"/>
      <x:c r="B1865" s="1"/>
      <x:c r="C1865" s="16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  <x:c r="AA1865" s="1"/>
      <x:c r="AB1865" s="1"/>
      <x:c r="AC1865" s="1"/>
      <x:c r="AD1865" s="1"/>
      <x:c r="AE1865" s="1"/>
      <x:c r="AF1865" s="1"/>
      <x:c r="AG1865" s="1"/>
      <x:c r="AH1865" s="1"/>
      <x:c r="AI1865" s="1"/>
      <x:c r="AJ1865" s="1"/>
      <x:c r="AK1865" s="1"/>
      <x:c r="AL1865" s="1"/>
      <x:c r="AM1865" s="1"/>
      <x:c r="AN1865" s="1"/>
    </x:row>
    <x:row r="1866" ht="22" customHeight="1">
      <x:c r="A1866" s="1"/>
      <x:c r="B1866" s="1"/>
      <x:c r="C1866" s="16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  <x:c r="AA1866" s="1"/>
      <x:c r="AB1866" s="1"/>
      <x:c r="AC1866" s="1"/>
      <x:c r="AD1866" s="1"/>
      <x:c r="AE1866" s="1"/>
      <x:c r="AF1866" s="1"/>
      <x:c r="AG1866" s="1"/>
      <x:c r="AH1866" s="1"/>
      <x:c r="AI1866" s="1"/>
      <x:c r="AJ1866" s="1"/>
      <x:c r="AK1866" s="1"/>
      <x:c r="AL1866" s="1"/>
      <x:c r="AM1866" s="1"/>
      <x:c r="AN1866" s="1"/>
    </x:row>
    <x:row r="1867" ht="22" customHeight="1">
      <x:c r="A1867" s="1"/>
      <x:c r="B1867" s="1"/>
      <x:c r="C1867" s="16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  <x:c r="AA1867" s="1"/>
      <x:c r="AB1867" s="1"/>
      <x:c r="AC1867" s="1"/>
      <x:c r="AD1867" s="1"/>
      <x:c r="AE1867" s="1"/>
      <x:c r="AF1867" s="1"/>
      <x:c r="AG1867" s="1"/>
      <x:c r="AH1867" s="1"/>
      <x:c r="AI1867" s="1"/>
      <x:c r="AJ1867" s="1"/>
      <x:c r="AK1867" s="1"/>
      <x:c r="AL1867" s="1"/>
      <x:c r="AM1867" s="1"/>
      <x:c r="AN1867" s="1"/>
    </x:row>
    <x:row r="1868" ht="22" customHeight="1">
      <x:c r="A1868" s="1"/>
      <x:c r="B1868" s="1"/>
      <x:c r="C1868" s="16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  <x:c r="AA1868" s="1"/>
      <x:c r="AB1868" s="1"/>
      <x:c r="AC1868" s="1"/>
      <x:c r="AD1868" s="1"/>
      <x:c r="AE1868" s="1"/>
      <x:c r="AF1868" s="1"/>
      <x:c r="AG1868" s="1"/>
      <x:c r="AH1868" s="1"/>
      <x:c r="AI1868" s="1"/>
      <x:c r="AJ1868" s="1"/>
      <x:c r="AK1868" s="1"/>
      <x:c r="AL1868" s="1"/>
      <x:c r="AM1868" s="1"/>
      <x:c r="AN1868" s="1"/>
    </x:row>
    <x:row r="1869" ht="22" customHeight="1">
      <x:c r="A1869" s="1"/>
      <x:c r="B1869" s="1"/>
      <x:c r="C1869" s="16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  <x:c r="AA1869" s="1"/>
      <x:c r="AB1869" s="1"/>
      <x:c r="AC1869" s="1"/>
      <x:c r="AD1869" s="1"/>
      <x:c r="AE1869" s="1"/>
      <x:c r="AF1869" s="1"/>
      <x:c r="AG1869" s="1"/>
      <x:c r="AH1869" s="1"/>
      <x:c r="AI1869" s="1"/>
      <x:c r="AJ1869" s="1"/>
      <x:c r="AK1869" s="1"/>
      <x:c r="AL1869" s="1"/>
      <x:c r="AM1869" s="1"/>
      <x:c r="AN1869" s="1"/>
    </x:row>
    <x:row r="1870" ht="22" customHeight="1">
      <x:c r="A1870" s="1"/>
      <x:c r="B1870" s="1"/>
      <x:c r="C1870" s="16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  <x:c r="AA1870" s="1"/>
      <x:c r="AB1870" s="1"/>
      <x:c r="AC1870" s="1"/>
      <x:c r="AD1870" s="1"/>
      <x:c r="AE1870" s="1"/>
      <x:c r="AF1870" s="1"/>
      <x:c r="AG1870" s="1"/>
      <x:c r="AH1870" s="1"/>
      <x:c r="AI1870" s="1"/>
      <x:c r="AJ1870" s="1"/>
      <x:c r="AK1870" s="1"/>
      <x:c r="AL1870" s="1"/>
      <x:c r="AM1870" s="1"/>
      <x:c r="AN1870" s="1"/>
    </x:row>
    <x:row r="1871" ht="22" customHeight="1">
      <x:c r="A1871" s="1"/>
      <x:c r="B1871" s="1"/>
      <x:c r="C1871" s="16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  <x:c r="AA1871" s="1"/>
      <x:c r="AB1871" s="1"/>
      <x:c r="AC1871" s="1"/>
      <x:c r="AD1871" s="1"/>
      <x:c r="AE1871" s="1"/>
      <x:c r="AF1871" s="1"/>
      <x:c r="AG1871" s="1"/>
      <x:c r="AH1871" s="1"/>
      <x:c r="AI1871" s="1"/>
      <x:c r="AJ1871" s="1"/>
      <x:c r="AK1871" s="1"/>
      <x:c r="AL1871" s="1"/>
      <x:c r="AM1871" s="1"/>
      <x:c r="AN1871" s="1"/>
    </x:row>
    <x:row r="1872" ht="22" customHeight="1">
      <x:c r="A1872" s="1"/>
      <x:c r="B1872" s="1"/>
      <x:c r="C1872" s="16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  <x:c r="AA1872" s="1"/>
      <x:c r="AB1872" s="1"/>
      <x:c r="AC1872" s="1"/>
      <x:c r="AD1872" s="1"/>
      <x:c r="AE1872" s="1"/>
      <x:c r="AF1872" s="1"/>
      <x:c r="AG1872" s="1"/>
      <x:c r="AH1872" s="1"/>
      <x:c r="AI1872" s="1"/>
      <x:c r="AJ1872" s="1"/>
      <x:c r="AK1872" s="1"/>
      <x:c r="AL1872" s="1"/>
      <x:c r="AM1872" s="1"/>
      <x:c r="AN1872" s="1"/>
    </x:row>
    <x:row r="1873" ht="22" customHeight="1">
      <x:c r="A1873" s="1"/>
      <x:c r="B1873" s="1"/>
      <x:c r="C1873" s="16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  <x:c r="AA1873" s="1"/>
      <x:c r="AB1873" s="1"/>
      <x:c r="AC1873" s="1"/>
      <x:c r="AD1873" s="1"/>
      <x:c r="AE1873" s="1"/>
      <x:c r="AF1873" s="1"/>
      <x:c r="AG1873" s="1"/>
      <x:c r="AH1873" s="1"/>
      <x:c r="AI1873" s="1"/>
      <x:c r="AJ1873" s="1"/>
      <x:c r="AK1873" s="1"/>
      <x:c r="AL1873" s="1"/>
      <x:c r="AM1873" s="1"/>
      <x:c r="AN1873" s="1"/>
    </x:row>
    <x:row r="1874" ht="22" customHeight="1">
      <x:c r="A1874" s="1"/>
      <x:c r="B1874" s="1"/>
      <x:c r="C1874" s="16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  <x:c r="AA1874" s="1"/>
      <x:c r="AB1874" s="1"/>
      <x:c r="AC1874" s="1"/>
      <x:c r="AD1874" s="1"/>
      <x:c r="AE1874" s="1"/>
      <x:c r="AF1874" s="1"/>
      <x:c r="AG1874" s="1"/>
      <x:c r="AH1874" s="1"/>
      <x:c r="AI1874" s="1"/>
      <x:c r="AJ1874" s="1"/>
      <x:c r="AK1874" s="1"/>
      <x:c r="AL1874" s="1"/>
      <x:c r="AM1874" s="1"/>
      <x:c r="AN1874" s="1"/>
    </x:row>
    <x:row r="1875" ht="22" customHeight="1">
      <x:c r="A1875" s="1"/>
      <x:c r="B1875" s="1"/>
      <x:c r="C1875" s="16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  <x:c r="AA1875" s="1"/>
      <x:c r="AB1875" s="1"/>
      <x:c r="AC1875" s="1"/>
      <x:c r="AD1875" s="1"/>
      <x:c r="AE1875" s="1"/>
      <x:c r="AF1875" s="1"/>
      <x:c r="AG1875" s="1"/>
      <x:c r="AH1875" s="1"/>
      <x:c r="AI1875" s="1"/>
      <x:c r="AJ1875" s="1"/>
      <x:c r="AK1875" s="1"/>
      <x:c r="AL1875" s="1"/>
      <x:c r="AM1875" s="1"/>
      <x:c r="AN1875" s="1"/>
    </x:row>
    <x:row r="1876" ht="22" customHeight="1">
      <x:c r="A1876" s="1"/>
      <x:c r="B1876" s="1"/>
      <x:c r="C1876" s="16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  <x:c r="AA1876" s="1"/>
      <x:c r="AB1876" s="1"/>
      <x:c r="AC1876" s="1"/>
      <x:c r="AD1876" s="1"/>
      <x:c r="AE1876" s="1"/>
      <x:c r="AF1876" s="1"/>
      <x:c r="AG1876" s="1"/>
      <x:c r="AH1876" s="1"/>
      <x:c r="AI1876" s="1"/>
      <x:c r="AJ1876" s="1"/>
      <x:c r="AK1876" s="1"/>
      <x:c r="AL1876" s="1"/>
      <x:c r="AM1876" s="1"/>
      <x:c r="AN1876" s="1"/>
    </x:row>
    <x:row r="1877" ht="22" customHeight="1">
      <x:c r="A1877" s="1"/>
      <x:c r="B1877" s="1"/>
      <x:c r="C1877" s="16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  <x:c r="AA1877" s="1"/>
      <x:c r="AB1877" s="1"/>
      <x:c r="AC1877" s="1"/>
      <x:c r="AD1877" s="1"/>
      <x:c r="AE1877" s="1"/>
      <x:c r="AF1877" s="1"/>
      <x:c r="AG1877" s="1"/>
      <x:c r="AH1877" s="1"/>
      <x:c r="AI1877" s="1"/>
      <x:c r="AJ1877" s="1"/>
      <x:c r="AK1877" s="1"/>
      <x:c r="AL1877" s="1"/>
      <x:c r="AM1877" s="1"/>
      <x:c r="AN1877" s="1"/>
    </x:row>
    <x:row r="1878" ht="22" customHeight="1">
      <x:c r="A1878" s="1"/>
      <x:c r="B1878" s="1"/>
      <x:c r="C1878" s="16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  <x:c r="AA1878" s="1"/>
      <x:c r="AB1878" s="1"/>
      <x:c r="AC1878" s="1"/>
      <x:c r="AD1878" s="1"/>
      <x:c r="AE1878" s="1"/>
      <x:c r="AF1878" s="1"/>
      <x:c r="AG1878" s="1"/>
      <x:c r="AH1878" s="1"/>
      <x:c r="AI1878" s="1"/>
      <x:c r="AJ1878" s="1"/>
      <x:c r="AK1878" s="1"/>
      <x:c r="AL1878" s="1"/>
      <x:c r="AM1878" s="1"/>
      <x:c r="AN1878" s="1"/>
    </x:row>
    <x:row r="1879" ht="22" customHeight="1">
      <x:c r="A1879" s="1"/>
      <x:c r="B1879" s="1"/>
      <x:c r="C1879" s="16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  <x:c r="AA1879" s="1"/>
      <x:c r="AB1879" s="1"/>
      <x:c r="AC1879" s="1"/>
      <x:c r="AD1879" s="1"/>
      <x:c r="AE1879" s="1"/>
      <x:c r="AF1879" s="1"/>
      <x:c r="AG1879" s="1"/>
      <x:c r="AH1879" s="1"/>
      <x:c r="AI1879" s="1"/>
      <x:c r="AJ1879" s="1"/>
      <x:c r="AK1879" s="1"/>
      <x:c r="AL1879" s="1"/>
      <x:c r="AM1879" s="1"/>
      <x:c r="AN1879" s="1"/>
    </x:row>
    <x:row r="1880" ht="22" customHeight="1">
      <x:c r="A1880" s="1"/>
      <x:c r="B1880" s="1"/>
      <x:c r="C1880" s="16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  <x:c r="AA1880" s="1"/>
      <x:c r="AB1880" s="1"/>
      <x:c r="AC1880" s="1"/>
      <x:c r="AD1880" s="1"/>
      <x:c r="AE1880" s="1"/>
      <x:c r="AF1880" s="1"/>
      <x:c r="AG1880" s="1"/>
      <x:c r="AH1880" s="1"/>
      <x:c r="AI1880" s="1"/>
      <x:c r="AJ1880" s="1"/>
      <x:c r="AK1880" s="1"/>
      <x:c r="AL1880" s="1"/>
      <x:c r="AM1880" s="1"/>
      <x:c r="AN1880" s="1"/>
    </x:row>
    <x:row r="1881" ht="22" customHeight="1">
      <x:c r="A1881" s="1"/>
      <x:c r="B1881" s="1"/>
      <x:c r="C1881" s="16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  <x:c r="AA1881" s="1"/>
      <x:c r="AB1881" s="1"/>
      <x:c r="AC1881" s="1"/>
      <x:c r="AD1881" s="1"/>
      <x:c r="AE1881" s="1"/>
      <x:c r="AF1881" s="1"/>
      <x:c r="AG1881" s="1"/>
      <x:c r="AH1881" s="1"/>
      <x:c r="AI1881" s="1"/>
      <x:c r="AJ1881" s="1"/>
      <x:c r="AK1881" s="1"/>
      <x:c r="AL1881" s="1"/>
      <x:c r="AM1881" s="1"/>
      <x:c r="AN1881" s="1"/>
    </x:row>
    <x:row r="1882" ht="22" customHeight="1">
      <x:c r="A1882" s="1"/>
      <x:c r="B1882" s="1"/>
      <x:c r="C1882" s="16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  <x:c r="AA1882" s="1"/>
      <x:c r="AB1882" s="1"/>
      <x:c r="AC1882" s="1"/>
      <x:c r="AD1882" s="1"/>
      <x:c r="AE1882" s="1"/>
      <x:c r="AF1882" s="1"/>
      <x:c r="AG1882" s="1"/>
      <x:c r="AH1882" s="1"/>
      <x:c r="AI1882" s="1"/>
      <x:c r="AJ1882" s="1"/>
      <x:c r="AK1882" s="1"/>
      <x:c r="AL1882" s="1"/>
      <x:c r="AM1882" s="1"/>
      <x:c r="AN1882" s="1"/>
    </x:row>
    <x:row r="1883" ht="22" customHeight="1">
      <x:c r="A1883" s="1"/>
      <x:c r="B1883" s="1"/>
      <x:c r="C1883" s="16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  <x:c r="AA1883" s="1"/>
      <x:c r="AB1883" s="1"/>
      <x:c r="AC1883" s="1"/>
      <x:c r="AD1883" s="1"/>
      <x:c r="AE1883" s="1"/>
      <x:c r="AF1883" s="1"/>
      <x:c r="AG1883" s="1"/>
      <x:c r="AH1883" s="1"/>
      <x:c r="AI1883" s="1"/>
      <x:c r="AJ1883" s="1"/>
      <x:c r="AK1883" s="1"/>
      <x:c r="AL1883" s="1"/>
      <x:c r="AM1883" s="1"/>
      <x:c r="AN1883" s="1"/>
    </x:row>
    <x:row r="1884" ht="22" customHeight="1">
      <x:c r="A1884" s="1"/>
      <x:c r="B1884" s="1"/>
      <x:c r="C1884" s="16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  <x:c r="AA1884" s="1"/>
      <x:c r="AB1884" s="1"/>
      <x:c r="AC1884" s="1"/>
      <x:c r="AD1884" s="1"/>
      <x:c r="AE1884" s="1"/>
      <x:c r="AF1884" s="1"/>
      <x:c r="AG1884" s="1"/>
      <x:c r="AH1884" s="1"/>
      <x:c r="AI1884" s="1"/>
      <x:c r="AJ1884" s="1"/>
      <x:c r="AK1884" s="1"/>
      <x:c r="AL1884" s="1"/>
      <x:c r="AM1884" s="1"/>
      <x:c r="AN1884" s="1"/>
    </x:row>
    <x:row r="1885" ht="22" customHeight="1">
      <x:c r="A1885" s="1"/>
      <x:c r="B1885" s="1"/>
      <x:c r="C1885" s="16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  <x:c r="AA1885" s="1"/>
      <x:c r="AB1885" s="1"/>
      <x:c r="AC1885" s="1"/>
      <x:c r="AD1885" s="1"/>
      <x:c r="AE1885" s="1"/>
      <x:c r="AF1885" s="1"/>
      <x:c r="AG1885" s="1"/>
      <x:c r="AH1885" s="1"/>
      <x:c r="AI1885" s="1"/>
      <x:c r="AJ1885" s="1"/>
      <x:c r="AK1885" s="1"/>
      <x:c r="AL1885" s="1"/>
      <x:c r="AM1885" s="1"/>
      <x:c r="AN1885" s="1"/>
    </x:row>
    <x:row r="1886" ht="22" customHeight="1">
      <x:c r="A1886" s="1"/>
      <x:c r="B1886" s="1"/>
      <x:c r="C1886" s="16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  <x:c r="AA1886" s="1"/>
      <x:c r="AB1886" s="1"/>
      <x:c r="AC1886" s="1"/>
      <x:c r="AD1886" s="1"/>
      <x:c r="AE1886" s="1"/>
      <x:c r="AF1886" s="1"/>
      <x:c r="AG1886" s="1"/>
      <x:c r="AH1886" s="1"/>
      <x:c r="AI1886" s="1"/>
      <x:c r="AJ1886" s="1"/>
      <x:c r="AK1886" s="1"/>
      <x:c r="AL1886" s="1"/>
      <x:c r="AM1886" s="1"/>
      <x:c r="AN1886" s="1"/>
    </x:row>
    <x:row r="1887" ht="22" customHeight="1">
      <x:c r="A1887" s="1"/>
      <x:c r="B1887" s="1"/>
      <x:c r="C1887" s="16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  <x:c r="AA1887" s="1"/>
      <x:c r="AB1887" s="1"/>
      <x:c r="AC1887" s="1"/>
      <x:c r="AD1887" s="1"/>
      <x:c r="AE1887" s="1"/>
      <x:c r="AF1887" s="1"/>
      <x:c r="AG1887" s="1"/>
      <x:c r="AH1887" s="1"/>
      <x:c r="AI1887" s="1"/>
      <x:c r="AJ1887" s="1"/>
      <x:c r="AK1887" s="1"/>
      <x:c r="AL1887" s="1"/>
      <x:c r="AM1887" s="1"/>
      <x:c r="AN1887" s="1"/>
    </x:row>
    <x:row r="1888" ht="22" customHeight="1">
      <x:c r="A1888" s="1"/>
      <x:c r="B1888" s="1"/>
      <x:c r="C1888" s="16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  <x:c r="AA1888" s="1"/>
      <x:c r="AB1888" s="1"/>
      <x:c r="AC1888" s="1"/>
      <x:c r="AD1888" s="1"/>
      <x:c r="AE1888" s="1"/>
      <x:c r="AF1888" s="1"/>
      <x:c r="AG1888" s="1"/>
      <x:c r="AH1888" s="1"/>
      <x:c r="AI1888" s="1"/>
      <x:c r="AJ1888" s="1"/>
      <x:c r="AK1888" s="1"/>
      <x:c r="AL1888" s="1"/>
      <x:c r="AM1888" s="1"/>
      <x:c r="AN1888" s="1"/>
    </x:row>
    <x:row r="1889" ht="22" customHeight="1">
      <x:c r="A1889" s="1"/>
      <x:c r="B1889" s="1"/>
      <x:c r="C1889" s="16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  <x:c r="AA1889" s="1"/>
      <x:c r="AB1889" s="1"/>
      <x:c r="AC1889" s="1"/>
      <x:c r="AD1889" s="1"/>
      <x:c r="AE1889" s="1"/>
      <x:c r="AF1889" s="1"/>
      <x:c r="AG1889" s="1"/>
      <x:c r="AH1889" s="1"/>
      <x:c r="AI1889" s="1"/>
      <x:c r="AJ1889" s="1"/>
      <x:c r="AK1889" s="1"/>
      <x:c r="AL1889" s="1"/>
      <x:c r="AM1889" s="1"/>
      <x:c r="AN1889" s="1"/>
    </x:row>
    <x:row r="1890" ht="22" customHeight="1">
      <x:c r="A1890" s="1"/>
      <x:c r="B1890" s="1"/>
      <x:c r="C1890" s="16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  <x:c r="AA1890" s="1"/>
      <x:c r="AB1890" s="1"/>
      <x:c r="AC1890" s="1"/>
      <x:c r="AD1890" s="1"/>
      <x:c r="AE1890" s="1"/>
      <x:c r="AF1890" s="1"/>
      <x:c r="AG1890" s="1"/>
      <x:c r="AH1890" s="1"/>
      <x:c r="AI1890" s="1"/>
      <x:c r="AJ1890" s="1"/>
      <x:c r="AK1890" s="1"/>
      <x:c r="AL1890" s="1"/>
      <x:c r="AM1890" s="1"/>
      <x:c r="AN1890" s="1"/>
    </x:row>
    <x:row r="1891" ht="22" customHeight="1">
      <x:c r="A1891" s="1"/>
      <x:c r="B1891" s="1"/>
      <x:c r="C1891" s="16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  <x:c r="AA1891" s="1"/>
      <x:c r="AB1891" s="1"/>
      <x:c r="AC1891" s="1"/>
      <x:c r="AD1891" s="1"/>
      <x:c r="AE1891" s="1"/>
      <x:c r="AF1891" s="1"/>
      <x:c r="AG1891" s="1"/>
      <x:c r="AH1891" s="1"/>
      <x:c r="AI1891" s="1"/>
      <x:c r="AJ1891" s="1"/>
      <x:c r="AK1891" s="1"/>
      <x:c r="AL1891" s="1"/>
      <x:c r="AM1891" s="1"/>
      <x:c r="AN1891" s="1"/>
    </x:row>
    <x:row r="1892" ht="22" customHeight="1">
      <x:c r="A1892" s="1"/>
      <x:c r="B1892" s="1"/>
      <x:c r="C1892" s="16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  <x:c r="AA1892" s="1"/>
      <x:c r="AB1892" s="1"/>
      <x:c r="AC1892" s="1"/>
      <x:c r="AD1892" s="1"/>
      <x:c r="AE1892" s="1"/>
      <x:c r="AF1892" s="1"/>
      <x:c r="AG1892" s="1"/>
      <x:c r="AH1892" s="1"/>
      <x:c r="AI1892" s="1"/>
      <x:c r="AJ1892" s="1"/>
      <x:c r="AK1892" s="1"/>
      <x:c r="AL1892" s="1"/>
      <x:c r="AM1892" s="1"/>
      <x:c r="AN1892" s="1"/>
    </x:row>
    <x:row r="1893" ht="22" customHeight="1">
      <x:c r="A1893" s="1"/>
      <x:c r="B1893" s="1"/>
      <x:c r="C1893" s="16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  <x:c r="AA1893" s="1"/>
      <x:c r="AB1893" s="1"/>
      <x:c r="AC1893" s="1"/>
      <x:c r="AD1893" s="1"/>
      <x:c r="AE1893" s="1"/>
      <x:c r="AF1893" s="1"/>
      <x:c r="AG1893" s="1"/>
      <x:c r="AH1893" s="1"/>
      <x:c r="AI1893" s="1"/>
      <x:c r="AJ1893" s="1"/>
      <x:c r="AK1893" s="1"/>
      <x:c r="AL1893" s="1"/>
      <x:c r="AM1893" s="1"/>
      <x:c r="AN1893" s="1"/>
    </x:row>
    <x:row r="1894" ht="22" customHeight="1">
      <x:c r="A1894" s="1"/>
      <x:c r="B1894" s="1"/>
      <x:c r="C1894" s="16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  <x:c r="AA1894" s="1"/>
      <x:c r="AB1894" s="1"/>
      <x:c r="AC1894" s="1"/>
      <x:c r="AD1894" s="1"/>
      <x:c r="AE1894" s="1"/>
      <x:c r="AF1894" s="1"/>
      <x:c r="AG1894" s="1"/>
      <x:c r="AH1894" s="1"/>
      <x:c r="AI1894" s="1"/>
      <x:c r="AJ1894" s="1"/>
      <x:c r="AK1894" s="1"/>
      <x:c r="AL1894" s="1"/>
      <x:c r="AM1894" s="1"/>
      <x:c r="AN1894" s="1"/>
    </x:row>
    <x:row r="1895" ht="22" customHeight="1">
      <x:c r="A1895" s="1"/>
      <x:c r="B1895" s="1"/>
      <x:c r="C1895" s="16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  <x:c r="AA1895" s="1"/>
      <x:c r="AB1895" s="1"/>
      <x:c r="AC1895" s="1"/>
      <x:c r="AD1895" s="1"/>
      <x:c r="AE1895" s="1"/>
      <x:c r="AF1895" s="1"/>
      <x:c r="AG1895" s="1"/>
      <x:c r="AH1895" s="1"/>
      <x:c r="AI1895" s="1"/>
      <x:c r="AJ1895" s="1"/>
      <x:c r="AK1895" s="1"/>
      <x:c r="AL1895" s="1"/>
      <x:c r="AM1895" s="1"/>
      <x:c r="AN1895" s="1"/>
    </x:row>
    <x:row r="1896" ht="22" customHeight="1">
      <x:c r="A1896" s="1"/>
      <x:c r="B1896" s="1"/>
      <x:c r="C1896" s="16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  <x:c r="AA1896" s="1"/>
      <x:c r="AB1896" s="1"/>
      <x:c r="AC1896" s="1"/>
      <x:c r="AD1896" s="1"/>
      <x:c r="AE1896" s="1"/>
      <x:c r="AF1896" s="1"/>
      <x:c r="AG1896" s="1"/>
      <x:c r="AH1896" s="1"/>
      <x:c r="AI1896" s="1"/>
      <x:c r="AJ1896" s="1"/>
      <x:c r="AK1896" s="1"/>
      <x:c r="AL1896" s="1"/>
      <x:c r="AM1896" s="1"/>
      <x:c r="AN1896" s="1"/>
    </x:row>
    <x:row r="1897" ht="22" customHeight="1">
      <x:c r="A1897" s="1"/>
      <x:c r="B1897" s="1"/>
      <x:c r="C1897" s="16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  <x:c r="AA1897" s="1"/>
      <x:c r="AB1897" s="1"/>
      <x:c r="AC1897" s="1"/>
      <x:c r="AD1897" s="1"/>
      <x:c r="AE1897" s="1"/>
      <x:c r="AF1897" s="1"/>
      <x:c r="AG1897" s="1"/>
      <x:c r="AH1897" s="1"/>
      <x:c r="AI1897" s="1"/>
      <x:c r="AJ1897" s="1"/>
      <x:c r="AK1897" s="1"/>
      <x:c r="AL1897" s="1"/>
      <x:c r="AM1897" s="1"/>
      <x:c r="AN1897" s="1"/>
    </x:row>
    <x:row r="1898" ht="22" customHeight="1">
      <x:c r="A1898" s="1"/>
      <x:c r="B1898" s="1"/>
      <x:c r="C1898" s="16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  <x:c r="AA1898" s="1"/>
      <x:c r="AB1898" s="1"/>
      <x:c r="AC1898" s="1"/>
      <x:c r="AD1898" s="1"/>
      <x:c r="AE1898" s="1"/>
      <x:c r="AF1898" s="1"/>
      <x:c r="AG1898" s="1"/>
      <x:c r="AH1898" s="1"/>
      <x:c r="AI1898" s="1"/>
      <x:c r="AJ1898" s="1"/>
      <x:c r="AK1898" s="1"/>
      <x:c r="AL1898" s="1"/>
      <x:c r="AM1898" s="1"/>
      <x:c r="AN1898" s="1"/>
    </x:row>
    <x:row r="1899" ht="22" customHeight="1">
      <x:c r="A1899" s="1"/>
      <x:c r="B1899" s="1"/>
      <x:c r="C1899" s="16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  <x:c r="AA1899" s="1"/>
      <x:c r="AB1899" s="1"/>
      <x:c r="AC1899" s="1"/>
      <x:c r="AD1899" s="1"/>
      <x:c r="AE1899" s="1"/>
      <x:c r="AF1899" s="1"/>
      <x:c r="AG1899" s="1"/>
      <x:c r="AH1899" s="1"/>
      <x:c r="AI1899" s="1"/>
      <x:c r="AJ1899" s="1"/>
      <x:c r="AK1899" s="1"/>
      <x:c r="AL1899" s="1"/>
      <x:c r="AM1899" s="1"/>
      <x:c r="AN1899" s="1"/>
    </x:row>
    <x:row r="1900" ht="22" customHeight="1">
      <x:c r="A1900" s="1"/>
      <x:c r="B1900" s="1"/>
      <x:c r="C1900" s="16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  <x:c r="AA1900" s="1"/>
      <x:c r="AB1900" s="1"/>
      <x:c r="AC1900" s="1"/>
      <x:c r="AD1900" s="1"/>
      <x:c r="AE1900" s="1"/>
      <x:c r="AF1900" s="1"/>
      <x:c r="AG1900" s="1"/>
      <x:c r="AH1900" s="1"/>
      <x:c r="AI1900" s="1"/>
      <x:c r="AJ1900" s="1"/>
      <x:c r="AK1900" s="1"/>
      <x:c r="AL1900" s="1"/>
      <x:c r="AM1900" s="1"/>
      <x:c r="AN1900" s="1"/>
    </x:row>
    <x:row r="1901" ht="22" customHeight="1">
      <x:c r="A1901" s="1"/>
      <x:c r="B1901" s="1"/>
      <x:c r="C1901" s="16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  <x:c r="AA1901" s="1"/>
      <x:c r="AB1901" s="1"/>
      <x:c r="AC1901" s="1"/>
      <x:c r="AD1901" s="1"/>
      <x:c r="AE1901" s="1"/>
      <x:c r="AF1901" s="1"/>
      <x:c r="AG1901" s="1"/>
      <x:c r="AH1901" s="1"/>
      <x:c r="AI1901" s="1"/>
      <x:c r="AJ1901" s="1"/>
      <x:c r="AK1901" s="1"/>
      <x:c r="AL1901" s="1"/>
      <x:c r="AM1901" s="1"/>
      <x:c r="AN1901" s="1"/>
    </x:row>
    <x:row r="1902" ht="22" customHeight="1">
      <x:c r="A1902" s="1"/>
      <x:c r="B1902" s="1"/>
      <x:c r="C1902" s="16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  <x:c r="AA1902" s="1"/>
      <x:c r="AB1902" s="1"/>
      <x:c r="AC1902" s="1"/>
      <x:c r="AD1902" s="1"/>
      <x:c r="AE1902" s="1"/>
      <x:c r="AF1902" s="1"/>
      <x:c r="AG1902" s="1"/>
      <x:c r="AH1902" s="1"/>
      <x:c r="AI1902" s="1"/>
      <x:c r="AJ1902" s="1"/>
      <x:c r="AK1902" s="1"/>
      <x:c r="AL1902" s="1"/>
      <x:c r="AM1902" s="1"/>
      <x:c r="AN1902" s="1"/>
    </x:row>
    <x:row r="1903" ht="22" customHeight="1">
      <x:c r="A1903" s="1"/>
      <x:c r="B1903" s="1"/>
      <x:c r="C1903" s="16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  <x:c r="AA1903" s="1"/>
      <x:c r="AB1903" s="1"/>
      <x:c r="AC1903" s="1"/>
      <x:c r="AD1903" s="1"/>
      <x:c r="AE1903" s="1"/>
      <x:c r="AF1903" s="1"/>
      <x:c r="AG1903" s="1"/>
      <x:c r="AH1903" s="1"/>
      <x:c r="AI1903" s="1"/>
      <x:c r="AJ1903" s="1"/>
      <x:c r="AK1903" s="1"/>
      <x:c r="AL1903" s="1"/>
      <x:c r="AM1903" s="1"/>
      <x:c r="AN1903" s="1"/>
    </x:row>
    <x:row r="1904" ht="22" customHeight="1">
      <x:c r="A1904" s="1"/>
      <x:c r="B1904" s="1"/>
      <x:c r="C1904" s="16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  <x:c r="AA1904" s="1"/>
      <x:c r="AB1904" s="1"/>
      <x:c r="AC1904" s="1"/>
      <x:c r="AD1904" s="1"/>
      <x:c r="AE1904" s="1"/>
      <x:c r="AF1904" s="1"/>
      <x:c r="AG1904" s="1"/>
      <x:c r="AH1904" s="1"/>
      <x:c r="AI1904" s="1"/>
      <x:c r="AJ1904" s="1"/>
      <x:c r="AK1904" s="1"/>
      <x:c r="AL1904" s="1"/>
      <x:c r="AM1904" s="1"/>
      <x:c r="AN1904" s="1"/>
    </x:row>
    <x:row r="1905" ht="22" customHeight="1">
      <x:c r="A1905" s="1"/>
      <x:c r="B1905" s="1"/>
      <x:c r="C1905" s="16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  <x:c r="AA1905" s="1"/>
      <x:c r="AB1905" s="1"/>
      <x:c r="AC1905" s="1"/>
      <x:c r="AD1905" s="1"/>
      <x:c r="AE1905" s="1"/>
      <x:c r="AF1905" s="1"/>
      <x:c r="AG1905" s="1"/>
      <x:c r="AH1905" s="1"/>
      <x:c r="AI1905" s="1"/>
      <x:c r="AJ1905" s="1"/>
      <x:c r="AK1905" s="1"/>
      <x:c r="AL1905" s="1"/>
      <x:c r="AM1905" s="1"/>
      <x:c r="AN1905" s="1"/>
    </x:row>
    <x:row r="1906" ht="22" customHeight="1">
      <x:c r="A1906" s="1"/>
      <x:c r="B1906" s="1"/>
      <x:c r="C1906" s="16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  <x:c r="AA1906" s="1"/>
      <x:c r="AB1906" s="1"/>
      <x:c r="AC1906" s="1"/>
      <x:c r="AD1906" s="1"/>
      <x:c r="AE1906" s="1"/>
      <x:c r="AF1906" s="1"/>
      <x:c r="AG1906" s="1"/>
      <x:c r="AH1906" s="1"/>
      <x:c r="AI1906" s="1"/>
      <x:c r="AJ1906" s="1"/>
      <x:c r="AK1906" s="1"/>
      <x:c r="AL1906" s="1"/>
      <x:c r="AM1906" s="1"/>
      <x:c r="AN1906" s="1"/>
    </x:row>
    <x:row r="1907" ht="22" customHeight="1">
      <x:c r="A1907" s="1"/>
      <x:c r="B1907" s="1"/>
      <x:c r="C1907" s="16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  <x:c r="AA1907" s="1"/>
      <x:c r="AB1907" s="1"/>
      <x:c r="AC1907" s="1"/>
      <x:c r="AD1907" s="1"/>
      <x:c r="AE1907" s="1"/>
      <x:c r="AF1907" s="1"/>
      <x:c r="AG1907" s="1"/>
      <x:c r="AH1907" s="1"/>
      <x:c r="AI1907" s="1"/>
      <x:c r="AJ1907" s="1"/>
      <x:c r="AK1907" s="1"/>
      <x:c r="AL1907" s="1"/>
      <x:c r="AM1907" s="1"/>
      <x:c r="AN1907" s="1"/>
    </x:row>
    <x:row r="1908" ht="22" customHeight="1">
      <x:c r="A1908" s="1"/>
      <x:c r="B1908" s="1"/>
      <x:c r="C1908" s="16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  <x:c r="AA1908" s="1"/>
      <x:c r="AB1908" s="1"/>
      <x:c r="AC1908" s="1"/>
      <x:c r="AD1908" s="1"/>
      <x:c r="AE1908" s="1"/>
      <x:c r="AF1908" s="1"/>
      <x:c r="AG1908" s="1"/>
      <x:c r="AH1908" s="1"/>
      <x:c r="AI1908" s="1"/>
      <x:c r="AJ1908" s="1"/>
      <x:c r="AK1908" s="1"/>
      <x:c r="AL1908" s="1"/>
      <x:c r="AM1908" s="1"/>
      <x:c r="AN1908" s="1"/>
    </x:row>
    <x:row r="1909" ht="22" customHeight="1">
      <x:c r="A1909" s="1"/>
      <x:c r="B1909" s="1"/>
      <x:c r="C1909" s="16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  <x:c r="AA1909" s="1"/>
      <x:c r="AB1909" s="1"/>
      <x:c r="AC1909" s="1"/>
      <x:c r="AD1909" s="1"/>
      <x:c r="AE1909" s="1"/>
      <x:c r="AF1909" s="1"/>
      <x:c r="AG1909" s="1"/>
      <x:c r="AH1909" s="1"/>
      <x:c r="AI1909" s="1"/>
      <x:c r="AJ1909" s="1"/>
      <x:c r="AK1909" s="1"/>
      <x:c r="AL1909" s="1"/>
      <x:c r="AM1909" s="1"/>
      <x:c r="AN1909" s="1"/>
    </x:row>
    <x:row r="1910" ht="22" customHeight="1">
      <x:c r="A1910" s="1"/>
      <x:c r="B1910" s="1"/>
      <x:c r="C1910" s="16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  <x:c r="AA1910" s="1"/>
      <x:c r="AB1910" s="1"/>
      <x:c r="AC1910" s="1"/>
      <x:c r="AD1910" s="1"/>
      <x:c r="AE1910" s="1"/>
      <x:c r="AF1910" s="1"/>
      <x:c r="AG1910" s="1"/>
      <x:c r="AH1910" s="1"/>
      <x:c r="AI1910" s="1"/>
      <x:c r="AJ1910" s="1"/>
      <x:c r="AK1910" s="1"/>
      <x:c r="AL1910" s="1"/>
      <x:c r="AM1910" s="1"/>
      <x:c r="AN1910" s="1"/>
    </x:row>
    <x:row r="1911" ht="22" customHeight="1">
      <x:c r="A1911" s="1"/>
      <x:c r="B1911" s="1"/>
      <x:c r="C1911" s="16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  <x:c r="AA1911" s="1"/>
      <x:c r="AB1911" s="1"/>
      <x:c r="AC1911" s="1"/>
      <x:c r="AD1911" s="1"/>
      <x:c r="AE1911" s="1"/>
      <x:c r="AF1911" s="1"/>
      <x:c r="AG1911" s="1"/>
      <x:c r="AH1911" s="1"/>
      <x:c r="AI1911" s="1"/>
      <x:c r="AJ1911" s="1"/>
      <x:c r="AK1911" s="1"/>
      <x:c r="AL1911" s="1"/>
      <x:c r="AM1911" s="1"/>
      <x:c r="AN1911" s="1"/>
    </x:row>
    <x:row r="1912" ht="22" customHeight="1">
      <x:c r="A1912" s="1"/>
      <x:c r="B1912" s="1"/>
      <x:c r="C1912" s="16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  <x:c r="AA1912" s="1"/>
      <x:c r="AB1912" s="1"/>
      <x:c r="AC1912" s="1"/>
      <x:c r="AD1912" s="1"/>
      <x:c r="AE1912" s="1"/>
      <x:c r="AF1912" s="1"/>
      <x:c r="AG1912" s="1"/>
      <x:c r="AH1912" s="1"/>
      <x:c r="AI1912" s="1"/>
      <x:c r="AJ1912" s="1"/>
      <x:c r="AK1912" s="1"/>
      <x:c r="AL1912" s="1"/>
      <x:c r="AM1912" s="1"/>
      <x:c r="AN1912" s="1"/>
    </x:row>
    <x:row r="1913" ht="22" customHeight="1">
      <x:c r="A1913" s="1"/>
      <x:c r="B1913" s="1"/>
      <x:c r="C1913" s="16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  <x:c r="AA1913" s="1"/>
      <x:c r="AB1913" s="1"/>
      <x:c r="AC1913" s="1"/>
      <x:c r="AD1913" s="1"/>
      <x:c r="AE1913" s="1"/>
      <x:c r="AF1913" s="1"/>
      <x:c r="AG1913" s="1"/>
      <x:c r="AH1913" s="1"/>
      <x:c r="AI1913" s="1"/>
      <x:c r="AJ1913" s="1"/>
      <x:c r="AK1913" s="1"/>
      <x:c r="AL1913" s="1"/>
      <x:c r="AM1913" s="1"/>
      <x:c r="AN1913" s="1"/>
    </x:row>
    <x:row r="1914" ht="22" customHeight="1">
      <x:c r="A1914" s="1"/>
      <x:c r="B1914" s="1"/>
      <x:c r="C1914" s="16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  <x:c r="AA1914" s="1"/>
      <x:c r="AB1914" s="1"/>
      <x:c r="AC1914" s="1"/>
      <x:c r="AD1914" s="1"/>
      <x:c r="AE1914" s="1"/>
      <x:c r="AF1914" s="1"/>
      <x:c r="AG1914" s="1"/>
      <x:c r="AH1914" s="1"/>
      <x:c r="AI1914" s="1"/>
      <x:c r="AJ1914" s="1"/>
      <x:c r="AK1914" s="1"/>
      <x:c r="AL1914" s="1"/>
      <x:c r="AM1914" s="1"/>
      <x:c r="AN1914" s="1"/>
    </x:row>
    <x:row r="1915" ht="22" customHeight="1">
      <x:c r="A1915" s="1"/>
      <x:c r="B1915" s="1"/>
      <x:c r="C1915" s="16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  <x:c r="AA1915" s="1"/>
      <x:c r="AB1915" s="1"/>
      <x:c r="AC1915" s="1"/>
      <x:c r="AD1915" s="1"/>
      <x:c r="AE1915" s="1"/>
      <x:c r="AF1915" s="1"/>
      <x:c r="AG1915" s="1"/>
      <x:c r="AH1915" s="1"/>
      <x:c r="AI1915" s="1"/>
      <x:c r="AJ1915" s="1"/>
      <x:c r="AK1915" s="1"/>
      <x:c r="AL1915" s="1"/>
      <x:c r="AM1915" s="1"/>
      <x:c r="AN1915" s="1"/>
    </x:row>
    <x:row r="1916" ht="22" customHeight="1">
      <x:c r="A1916" s="1"/>
      <x:c r="B1916" s="1"/>
      <x:c r="C1916" s="16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  <x:c r="AA1916" s="1"/>
      <x:c r="AB1916" s="1"/>
      <x:c r="AC1916" s="1"/>
      <x:c r="AD1916" s="1"/>
      <x:c r="AE1916" s="1"/>
      <x:c r="AF1916" s="1"/>
      <x:c r="AG1916" s="1"/>
      <x:c r="AH1916" s="1"/>
      <x:c r="AI1916" s="1"/>
      <x:c r="AJ1916" s="1"/>
      <x:c r="AK1916" s="1"/>
      <x:c r="AL1916" s="1"/>
      <x:c r="AM1916" s="1"/>
      <x:c r="AN1916" s="1"/>
    </x:row>
    <x:row r="1917" ht="22" customHeight="1">
      <x:c r="A1917" s="1"/>
      <x:c r="B1917" s="1"/>
      <x:c r="C1917" s="16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  <x:c r="AA1917" s="1"/>
      <x:c r="AB1917" s="1"/>
      <x:c r="AC1917" s="1"/>
      <x:c r="AD1917" s="1"/>
      <x:c r="AE1917" s="1"/>
      <x:c r="AF1917" s="1"/>
      <x:c r="AG1917" s="1"/>
      <x:c r="AH1917" s="1"/>
      <x:c r="AI1917" s="1"/>
      <x:c r="AJ1917" s="1"/>
      <x:c r="AK1917" s="1"/>
      <x:c r="AL1917" s="1"/>
      <x:c r="AM1917" s="1"/>
      <x:c r="AN1917" s="1"/>
    </x:row>
    <x:row r="1918" ht="22" customHeight="1">
      <x:c r="A1918" s="1"/>
      <x:c r="B1918" s="1"/>
      <x:c r="C1918" s="16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  <x:c r="AA1918" s="1"/>
      <x:c r="AB1918" s="1"/>
      <x:c r="AC1918" s="1"/>
      <x:c r="AD1918" s="1"/>
      <x:c r="AE1918" s="1"/>
      <x:c r="AF1918" s="1"/>
      <x:c r="AG1918" s="1"/>
      <x:c r="AH1918" s="1"/>
      <x:c r="AI1918" s="1"/>
      <x:c r="AJ1918" s="1"/>
      <x:c r="AK1918" s="1"/>
      <x:c r="AL1918" s="1"/>
      <x:c r="AM1918" s="1"/>
      <x:c r="AN1918" s="1"/>
    </x:row>
    <x:row r="1919" ht="22" customHeight="1">
      <x:c r="A1919" s="1"/>
      <x:c r="B1919" s="1"/>
      <x:c r="C1919" s="16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  <x:c r="AA1919" s="1"/>
      <x:c r="AB1919" s="1"/>
      <x:c r="AC1919" s="1"/>
      <x:c r="AD1919" s="1"/>
      <x:c r="AE1919" s="1"/>
      <x:c r="AF1919" s="1"/>
      <x:c r="AG1919" s="1"/>
      <x:c r="AH1919" s="1"/>
      <x:c r="AI1919" s="1"/>
      <x:c r="AJ1919" s="1"/>
      <x:c r="AK1919" s="1"/>
      <x:c r="AL1919" s="1"/>
      <x:c r="AM1919" s="1"/>
      <x:c r="AN1919" s="1"/>
    </x:row>
    <x:row r="1920" ht="22" customHeight="1">
      <x:c r="A1920" s="1"/>
      <x:c r="B1920" s="1"/>
      <x:c r="C1920" s="16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  <x:c r="AA1920" s="1"/>
      <x:c r="AB1920" s="1"/>
      <x:c r="AC1920" s="1"/>
      <x:c r="AD1920" s="1"/>
      <x:c r="AE1920" s="1"/>
      <x:c r="AF1920" s="1"/>
      <x:c r="AG1920" s="1"/>
      <x:c r="AH1920" s="1"/>
      <x:c r="AI1920" s="1"/>
      <x:c r="AJ1920" s="1"/>
      <x:c r="AK1920" s="1"/>
      <x:c r="AL1920" s="1"/>
      <x:c r="AM1920" s="1"/>
      <x:c r="AN1920" s="1"/>
    </x:row>
    <x:row r="1921" ht="22" customHeight="1">
      <x:c r="A1921" s="1"/>
      <x:c r="B1921" s="1"/>
      <x:c r="C1921" s="16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  <x:c r="AA1921" s="1"/>
      <x:c r="AB1921" s="1"/>
      <x:c r="AC1921" s="1"/>
      <x:c r="AD1921" s="1"/>
      <x:c r="AE1921" s="1"/>
      <x:c r="AF1921" s="1"/>
      <x:c r="AG1921" s="1"/>
      <x:c r="AH1921" s="1"/>
      <x:c r="AI1921" s="1"/>
      <x:c r="AJ1921" s="1"/>
      <x:c r="AK1921" s="1"/>
      <x:c r="AL1921" s="1"/>
      <x:c r="AM1921" s="1"/>
      <x:c r="AN1921" s="1"/>
    </x:row>
    <x:row r="1922" ht="22" customHeight="1">
      <x:c r="A1922" s="1"/>
      <x:c r="B1922" s="1"/>
      <x:c r="C1922" s="16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  <x:c r="AA1922" s="1"/>
      <x:c r="AB1922" s="1"/>
      <x:c r="AC1922" s="1"/>
      <x:c r="AD1922" s="1"/>
      <x:c r="AE1922" s="1"/>
      <x:c r="AF1922" s="1"/>
      <x:c r="AG1922" s="1"/>
      <x:c r="AH1922" s="1"/>
      <x:c r="AI1922" s="1"/>
      <x:c r="AJ1922" s="1"/>
      <x:c r="AK1922" s="1"/>
      <x:c r="AL1922" s="1"/>
      <x:c r="AM1922" s="1"/>
      <x:c r="AN1922" s="1"/>
    </x:row>
    <x:row r="1923" ht="22" customHeight="1">
      <x:c r="A1923" s="1"/>
      <x:c r="B1923" s="1"/>
      <x:c r="C1923" s="16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  <x:c r="AA1923" s="1"/>
      <x:c r="AB1923" s="1"/>
      <x:c r="AC1923" s="1"/>
      <x:c r="AD1923" s="1"/>
      <x:c r="AE1923" s="1"/>
      <x:c r="AF1923" s="1"/>
      <x:c r="AG1923" s="1"/>
      <x:c r="AH1923" s="1"/>
      <x:c r="AI1923" s="1"/>
      <x:c r="AJ1923" s="1"/>
      <x:c r="AK1923" s="1"/>
      <x:c r="AL1923" s="1"/>
      <x:c r="AM1923" s="1"/>
      <x:c r="AN1923" s="1"/>
    </x:row>
    <x:row r="1924" ht="22" customHeight="1">
      <x:c r="A1924" s="1"/>
      <x:c r="B1924" s="1"/>
      <x:c r="C1924" s="16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  <x:c r="AA1924" s="1"/>
      <x:c r="AB1924" s="1"/>
      <x:c r="AC1924" s="1"/>
      <x:c r="AD1924" s="1"/>
      <x:c r="AE1924" s="1"/>
      <x:c r="AF1924" s="1"/>
      <x:c r="AG1924" s="1"/>
      <x:c r="AH1924" s="1"/>
      <x:c r="AI1924" s="1"/>
      <x:c r="AJ1924" s="1"/>
      <x:c r="AK1924" s="1"/>
      <x:c r="AL1924" s="1"/>
      <x:c r="AM1924" s="1"/>
      <x:c r="AN1924" s="1"/>
    </x:row>
    <x:row r="1925" ht="22" customHeight="1">
      <x:c r="A1925" s="1"/>
      <x:c r="B1925" s="1"/>
      <x:c r="C1925" s="16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  <x:c r="AA1925" s="1"/>
      <x:c r="AB1925" s="1"/>
      <x:c r="AC1925" s="1"/>
      <x:c r="AD1925" s="1"/>
      <x:c r="AE1925" s="1"/>
      <x:c r="AF1925" s="1"/>
      <x:c r="AG1925" s="1"/>
      <x:c r="AH1925" s="1"/>
      <x:c r="AI1925" s="1"/>
      <x:c r="AJ1925" s="1"/>
      <x:c r="AK1925" s="1"/>
      <x:c r="AL1925" s="1"/>
      <x:c r="AM1925" s="1"/>
      <x:c r="AN1925" s="1"/>
    </x:row>
    <x:row r="1926" ht="22" customHeight="1">
      <x:c r="A1926" s="1"/>
      <x:c r="B1926" s="1"/>
      <x:c r="C1926" s="16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  <x:c r="AA1926" s="1"/>
      <x:c r="AB1926" s="1"/>
      <x:c r="AC1926" s="1"/>
      <x:c r="AD1926" s="1"/>
      <x:c r="AE1926" s="1"/>
      <x:c r="AF1926" s="1"/>
      <x:c r="AG1926" s="1"/>
      <x:c r="AH1926" s="1"/>
      <x:c r="AI1926" s="1"/>
      <x:c r="AJ1926" s="1"/>
      <x:c r="AK1926" s="1"/>
      <x:c r="AL1926" s="1"/>
      <x:c r="AM1926" s="1"/>
      <x:c r="AN1926" s="1"/>
    </x:row>
    <x:row r="1927" ht="22" customHeight="1">
      <x:c r="A1927" s="1"/>
      <x:c r="B1927" s="1"/>
      <x:c r="C1927" s="16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  <x:c r="AA1927" s="1"/>
      <x:c r="AB1927" s="1"/>
      <x:c r="AC1927" s="1"/>
      <x:c r="AD1927" s="1"/>
      <x:c r="AE1927" s="1"/>
      <x:c r="AF1927" s="1"/>
      <x:c r="AG1927" s="1"/>
      <x:c r="AH1927" s="1"/>
      <x:c r="AI1927" s="1"/>
      <x:c r="AJ1927" s="1"/>
      <x:c r="AK1927" s="1"/>
      <x:c r="AL1927" s="1"/>
      <x:c r="AM1927" s="1"/>
      <x:c r="AN1927" s="1"/>
    </x:row>
    <x:row r="1928" ht="22" customHeight="1">
      <x:c r="A1928" s="1"/>
      <x:c r="B1928" s="1"/>
      <x:c r="C1928" s="16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  <x:c r="AA1928" s="1"/>
      <x:c r="AB1928" s="1"/>
      <x:c r="AC1928" s="1"/>
      <x:c r="AD1928" s="1"/>
      <x:c r="AE1928" s="1"/>
      <x:c r="AF1928" s="1"/>
      <x:c r="AG1928" s="1"/>
      <x:c r="AH1928" s="1"/>
      <x:c r="AI1928" s="1"/>
      <x:c r="AJ1928" s="1"/>
      <x:c r="AK1928" s="1"/>
      <x:c r="AL1928" s="1"/>
      <x:c r="AM1928" s="1"/>
      <x:c r="AN1928" s="1"/>
    </x:row>
    <x:row r="1929" ht="22" customHeight="1">
      <x:c r="A1929" s="1"/>
      <x:c r="B1929" s="1"/>
      <x:c r="C1929" s="16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  <x:c r="AA1929" s="1"/>
      <x:c r="AB1929" s="1"/>
      <x:c r="AC1929" s="1"/>
      <x:c r="AD1929" s="1"/>
      <x:c r="AE1929" s="1"/>
      <x:c r="AF1929" s="1"/>
      <x:c r="AG1929" s="1"/>
      <x:c r="AH1929" s="1"/>
      <x:c r="AI1929" s="1"/>
      <x:c r="AJ1929" s="1"/>
      <x:c r="AK1929" s="1"/>
      <x:c r="AL1929" s="1"/>
      <x:c r="AM1929" s="1"/>
      <x:c r="AN1929" s="1"/>
    </x:row>
    <x:row r="1930" ht="22" customHeight="1">
      <x:c r="A1930" s="1"/>
      <x:c r="B1930" s="1"/>
      <x:c r="C1930" s="16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  <x:c r="AA1930" s="1"/>
      <x:c r="AB1930" s="1"/>
      <x:c r="AC1930" s="1"/>
      <x:c r="AD1930" s="1"/>
      <x:c r="AE1930" s="1"/>
      <x:c r="AF1930" s="1"/>
      <x:c r="AG1930" s="1"/>
      <x:c r="AH1930" s="1"/>
      <x:c r="AI1930" s="1"/>
      <x:c r="AJ1930" s="1"/>
      <x:c r="AK1930" s="1"/>
      <x:c r="AL1930" s="1"/>
      <x:c r="AM1930" s="1"/>
      <x:c r="AN1930" s="1"/>
    </x:row>
    <x:row r="1931" ht="22" customHeight="1">
      <x:c r="A1931" s="1"/>
      <x:c r="B1931" s="1"/>
      <x:c r="C1931" s="16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  <x:c r="AA1931" s="1"/>
      <x:c r="AB1931" s="1"/>
      <x:c r="AC1931" s="1"/>
      <x:c r="AD1931" s="1"/>
      <x:c r="AE1931" s="1"/>
      <x:c r="AF1931" s="1"/>
      <x:c r="AG1931" s="1"/>
      <x:c r="AH1931" s="1"/>
      <x:c r="AI1931" s="1"/>
      <x:c r="AJ1931" s="1"/>
      <x:c r="AK1931" s="1"/>
      <x:c r="AL1931" s="1"/>
      <x:c r="AM1931" s="1"/>
      <x:c r="AN1931" s="1"/>
    </x:row>
    <x:row r="1932" ht="22" customHeight="1">
      <x:c r="A1932" s="1"/>
      <x:c r="B1932" s="1"/>
      <x:c r="C1932" s="16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  <x:c r="AA1932" s="1"/>
      <x:c r="AB1932" s="1"/>
      <x:c r="AC1932" s="1"/>
      <x:c r="AD1932" s="1"/>
      <x:c r="AE1932" s="1"/>
      <x:c r="AF1932" s="1"/>
      <x:c r="AG1932" s="1"/>
      <x:c r="AH1932" s="1"/>
      <x:c r="AI1932" s="1"/>
      <x:c r="AJ1932" s="1"/>
      <x:c r="AK1932" s="1"/>
      <x:c r="AL1932" s="1"/>
      <x:c r="AM1932" s="1"/>
      <x:c r="AN1932" s="1"/>
    </x:row>
    <x:row r="1933" ht="22" customHeight="1">
      <x:c r="A1933" s="1"/>
      <x:c r="B1933" s="1"/>
      <x:c r="C1933" s="16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  <x:c r="AA1933" s="1"/>
      <x:c r="AB1933" s="1"/>
      <x:c r="AC1933" s="1"/>
      <x:c r="AD1933" s="1"/>
      <x:c r="AE1933" s="1"/>
      <x:c r="AF1933" s="1"/>
      <x:c r="AG1933" s="1"/>
      <x:c r="AH1933" s="1"/>
      <x:c r="AI1933" s="1"/>
      <x:c r="AJ1933" s="1"/>
      <x:c r="AK1933" s="1"/>
      <x:c r="AL1933" s="1"/>
      <x:c r="AM1933" s="1"/>
      <x:c r="AN1933" s="1"/>
    </x:row>
    <x:row r="1934" ht="22" customHeight="1">
      <x:c r="A1934" s="1"/>
      <x:c r="B1934" s="1"/>
      <x:c r="C1934" s="16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  <x:c r="AA1934" s="1"/>
      <x:c r="AB1934" s="1"/>
      <x:c r="AC1934" s="1"/>
      <x:c r="AD1934" s="1"/>
      <x:c r="AE1934" s="1"/>
      <x:c r="AF1934" s="1"/>
      <x:c r="AG1934" s="1"/>
      <x:c r="AH1934" s="1"/>
      <x:c r="AI1934" s="1"/>
      <x:c r="AJ1934" s="1"/>
      <x:c r="AK1934" s="1"/>
      <x:c r="AL1934" s="1"/>
      <x:c r="AM1934" s="1"/>
      <x:c r="AN1934" s="1"/>
    </x:row>
    <x:row r="1935" ht="22" customHeight="1">
      <x:c r="A1935" s="1"/>
      <x:c r="B1935" s="1"/>
      <x:c r="C1935" s="16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  <x:c r="AA1935" s="1"/>
      <x:c r="AB1935" s="1"/>
      <x:c r="AC1935" s="1"/>
      <x:c r="AD1935" s="1"/>
      <x:c r="AE1935" s="1"/>
      <x:c r="AF1935" s="1"/>
      <x:c r="AG1935" s="1"/>
      <x:c r="AH1935" s="1"/>
      <x:c r="AI1935" s="1"/>
      <x:c r="AJ1935" s="1"/>
      <x:c r="AK1935" s="1"/>
      <x:c r="AL1935" s="1"/>
      <x:c r="AM1935" s="1"/>
      <x:c r="AN1935" s="1"/>
    </x:row>
    <x:row r="1936" ht="22" customHeight="1">
      <x:c r="A1936" s="1"/>
      <x:c r="B1936" s="1"/>
      <x:c r="C1936" s="16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  <x:c r="AA1936" s="1"/>
      <x:c r="AB1936" s="1"/>
      <x:c r="AC1936" s="1"/>
      <x:c r="AD1936" s="1"/>
      <x:c r="AE1936" s="1"/>
      <x:c r="AF1936" s="1"/>
      <x:c r="AG1936" s="1"/>
      <x:c r="AH1936" s="1"/>
      <x:c r="AI1936" s="1"/>
      <x:c r="AJ1936" s="1"/>
      <x:c r="AK1936" s="1"/>
      <x:c r="AL1936" s="1"/>
      <x:c r="AM1936" s="1"/>
      <x:c r="AN1936" s="1"/>
    </x:row>
    <x:row r="1937" ht="22" customHeight="1">
      <x:c r="A1937" s="1"/>
      <x:c r="B1937" s="1"/>
      <x:c r="C1937" s="16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  <x:c r="AA1937" s="1"/>
      <x:c r="AB1937" s="1"/>
      <x:c r="AC1937" s="1"/>
      <x:c r="AD1937" s="1"/>
      <x:c r="AE1937" s="1"/>
      <x:c r="AF1937" s="1"/>
      <x:c r="AG1937" s="1"/>
      <x:c r="AH1937" s="1"/>
      <x:c r="AI1937" s="1"/>
      <x:c r="AJ1937" s="1"/>
      <x:c r="AK1937" s="1"/>
      <x:c r="AL1937" s="1"/>
      <x:c r="AM1937" s="1"/>
      <x:c r="AN1937" s="1"/>
    </x:row>
    <x:row r="1938" ht="22" customHeight="1">
      <x:c r="A1938" s="1"/>
      <x:c r="B1938" s="1"/>
      <x:c r="C1938" s="16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  <x:c r="AA1938" s="1"/>
      <x:c r="AB1938" s="1"/>
      <x:c r="AC1938" s="1"/>
      <x:c r="AD1938" s="1"/>
      <x:c r="AE1938" s="1"/>
      <x:c r="AF1938" s="1"/>
      <x:c r="AG1938" s="1"/>
      <x:c r="AH1938" s="1"/>
      <x:c r="AI1938" s="1"/>
      <x:c r="AJ1938" s="1"/>
      <x:c r="AK1938" s="1"/>
      <x:c r="AL1938" s="1"/>
      <x:c r="AM1938" s="1"/>
      <x:c r="AN1938" s="1"/>
    </x:row>
    <x:row r="1939" ht="22" customHeight="1">
      <x:c r="A1939" s="1"/>
      <x:c r="B1939" s="1"/>
      <x:c r="C1939" s="16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  <x:c r="AA1939" s="1"/>
      <x:c r="AB1939" s="1"/>
      <x:c r="AC1939" s="1"/>
      <x:c r="AD1939" s="1"/>
      <x:c r="AE1939" s="1"/>
      <x:c r="AF1939" s="1"/>
      <x:c r="AG1939" s="1"/>
      <x:c r="AH1939" s="1"/>
      <x:c r="AI1939" s="1"/>
      <x:c r="AJ1939" s="1"/>
      <x:c r="AK1939" s="1"/>
      <x:c r="AL1939" s="1"/>
      <x:c r="AM1939" s="1"/>
      <x:c r="AN1939" s="1"/>
    </x:row>
    <x:row r="1940" ht="22" customHeight="1">
      <x:c r="A1940" s="1"/>
      <x:c r="B1940" s="1"/>
      <x:c r="C1940" s="16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  <x:c r="AA1940" s="1"/>
      <x:c r="AB1940" s="1"/>
      <x:c r="AC1940" s="1"/>
      <x:c r="AD1940" s="1"/>
      <x:c r="AE1940" s="1"/>
      <x:c r="AF1940" s="1"/>
      <x:c r="AG1940" s="1"/>
      <x:c r="AH1940" s="1"/>
      <x:c r="AI1940" s="1"/>
      <x:c r="AJ1940" s="1"/>
      <x:c r="AK1940" s="1"/>
      <x:c r="AL1940" s="1"/>
      <x:c r="AM1940" s="1"/>
      <x:c r="AN1940" s="1"/>
    </x:row>
    <x:row r="1941" ht="22" customHeight="1">
      <x:c r="A1941" s="1"/>
      <x:c r="B1941" s="1"/>
      <x:c r="C1941" s="16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  <x:c r="AA1941" s="1"/>
      <x:c r="AB1941" s="1"/>
      <x:c r="AC1941" s="1"/>
      <x:c r="AD1941" s="1"/>
      <x:c r="AE1941" s="1"/>
      <x:c r="AF1941" s="1"/>
      <x:c r="AG1941" s="1"/>
      <x:c r="AH1941" s="1"/>
      <x:c r="AI1941" s="1"/>
      <x:c r="AJ1941" s="1"/>
      <x:c r="AK1941" s="1"/>
      <x:c r="AL1941" s="1"/>
      <x:c r="AM1941" s="1"/>
      <x:c r="AN1941" s="1"/>
    </x:row>
    <x:row r="1942" ht="22" customHeight="1">
      <x:c r="A1942" s="1"/>
      <x:c r="B1942" s="1"/>
      <x:c r="C1942" s="16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  <x:c r="AA1942" s="1"/>
      <x:c r="AB1942" s="1"/>
      <x:c r="AC1942" s="1"/>
      <x:c r="AD1942" s="1"/>
      <x:c r="AE1942" s="1"/>
      <x:c r="AF1942" s="1"/>
      <x:c r="AG1942" s="1"/>
      <x:c r="AH1942" s="1"/>
      <x:c r="AI1942" s="1"/>
      <x:c r="AJ1942" s="1"/>
      <x:c r="AK1942" s="1"/>
      <x:c r="AL1942" s="1"/>
      <x:c r="AM1942" s="1"/>
      <x:c r="AN1942" s="1"/>
    </x:row>
    <x:row r="1943" ht="22" customHeight="1">
      <x:c r="A1943" s="1"/>
      <x:c r="B1943" s="1"/>
      <x:c r="C1943" s="16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  <x:c r="AA1943" s="1"/>
      <x:c r="AB1943" s="1"/>
      <x:c r="AC1943" s="1"/>
      <x:c r="AD1943" s="1"/>
      <x:c r="AE1943" s="1"/>
      <x:c r="AF1943" s="1"/>
      <x:c r="AG1943" s="1"/>
      <x:c r="AH1943" s="1"/>
      <x:c r="AI1943" s="1"/>
      <x:c r="AJ1943" s="1"/>
      <x:c r="AK1943" s="1"/>
      <x:c r="AL1943" s="1"/>
      <x:c r="AM1943" s="1"/>
      <x:c r="AN1943" s="1"/>
    </x:row>
    <x:row r="1944" ht="22" customHeight="1">
      <x:c r="A1944" s="1"/>
      <x:c r="B1944" s="1"/>
      <x:c r="C1944" s="16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  <x:c r="AA1944" s="1"/>
      <x:c r="AB1944" s="1"/>
      <x:c r="AC1944" s="1"/>
      <x:c r="AD1944" s="1"/>
      <x:c r="AE1944" s="1"/>
      <x:c r="AF1944" s="1"/>
      <x:c r="AG1944" s="1"/>
      <x:c r="AH1944" s="1"/>
      <x:c r="AI1944" s="1"/>
      <x:c r="AJ1944" s="1"/>
      <x:c r="AK1944" s="1"/>
      <x:c r="AL1944" s="1"/>
      <x:c r="AM1944" s="1"/>
      <x:c r="AN1944" s="1"/>
    </x:row>
    <x:row r="1945" ht="22" customHeight="1">
      <x:c r="A1945" s="1"/>
      <x:c r="B1945" s="1"/>
      <x:c r="C1945" s="16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  <x:c r="AA1945" s="1"/>
      <x:c r="AB1945" s="1"/>
      <x:c r="AC1945" s="1"/>
      <x:c r="AD1945" s="1"/>
      <x:c r="AE1945" s="1"/>
      <x:c r="AF1945" s="1"/>
      <x:c r="AG1945" s="1"/>
      <x:c r="AH1945" s="1"/>
      <x:c r="AI1945" s="1"/>
      <x:c r="AJ1945" s="1"/>
      <x:c r="AK1945" s="1"/>
      <x:c r="AL1945" s="1"/>
      <x:c r="AM1945" s="1"/>
      <x:c r="AN1945" s="1"/>
    </x:row>
    <x:row r="1946" ht="22" customHeight="1">
      <x:c r="A1946" s="1"/>
      <x:c r="B1946" s="1"/>
      <x:c r="C1946" s="16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  <x:c r="AA1946" s="1"/>
      <x:c r="AB1946" s="1"/>
      <x:c r="AC1946" s="1"/>
      <x:c r="AD1946" s="1"/>
      <x:c r="AE1946" s="1"/>
      <x:c r="AF1946" s="1"/>
      <x:c r="AG1946" s="1"/>
      <x:c r="AH1946" s="1"/>
      <x:c r="AI1946" s="1"/>
      <x:c r="AJ1946" s="1"/>
      <x:c r="AK1946" s="1"/>
      <x:c r="AL1946" s="1"/>
      <x:c r="AM1946" s="1"/>
      <x:c r="AN1946" s="1"/>
    </x:row>
    <x:row r="1947" ht="22" customHeight="1">
      <x:c r="A1947" s="1"/>
      <x:c r="B1947" s="1"/>
      <x:c r="C1947" s="16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  <x:c r="AA1947" s="1"/>
      <x:c r="AB1947" s="1"/>
      <x:c r="AC1947" s="1"/>
      <x:c r="AD1947" s="1"/>
      <x:c r="AE1947" s="1"/>
      <x:c r="AF1947" s="1"/>
      <x:c r="AG1947" s="1"/>
      <x:c r="AH1947" s="1"/>
      <x:c r="AI1947" s="1"/>
      <x:c r="AJ1947" s="1"/>
      <x:c r="AK1947" s="1"/>
      <x:c r="AL1947" s="1"/>
      <x:c r="AM1947" s="1"/>
      <x:c r="AN1947" s="1"/>
    </x:row>
    <x:row r="1948" ht="22" customHeight="1">
      <x:c r="A1948" s="1"/>
      <x:c r="B1948" s="1"/>
      <x:c r="C1948" s="16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  <x:c r="AA1948" s="1"/>
      <x:c r="AB1948" s="1"/>
      <x:c r="AC1948" s="1"/>
      <x:c r="AD1948" s="1"/>
      <x:c r="AE1948" s="1"/>
      <x:c r="AF1948" s="1"/>
      <x:c r="AG1948" s="1"/>
      <x:c r="AH1948" s="1"/>
      <x:c r="AI1948" s="1"/>
      <x:c r="AJ1948" s="1"/>
      <x:c r="AK1948" s="1"/>
      <x:c r="AL1948" s="1"/>
      <x:c r="AM1948" s="1"/>
      <x:c r="AN1948" s="1"/>
    </x:row>
    <x:row r="1949" ht="22" customHeight="1">
      <x:c r="A1949" s="1"/>
      <x:c r="B1949" s="1"/>
      <x:c r="C1949" s="16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  <x:c r="AA1949" s="1"/>
      <x:c r="AB1949" s="1"/>
      <x:c r="AC1949" s="1"/>
      <x:c r="AD1949" s="1"/>
      <x:c r="AE1949" s="1"/>
      <x:c r="AF1949" s="1"/>
      <x:c r="AG1949" s="1"/>
      <x:c r="AH1949" s="1"/>
      <x:c r="AI1949" s="1"/>
      <x:c r="AJ1949" s="1"/>
      <x:c r="AK1949" s="1"/>
      <x:c r="AL1949" s="1"/>
      <x:c r="AM1949" s="1"/>
      <x:c r="AN1949" s="1"/>
    </x:row>
    <x:row r="1950" ht="22" customHeight="1">
      <x:c r="A1950" s="1"/>
      <x:c r="B1950" s="1"/>
      <x:c r="C1950" s="16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  <x:c r="AA1950" s="1"/>
      <x:c r="AB1950" s="1"/>
      <x:c r="AC1950" s="1"/>
      <x:c r="AD1950" s="1"/>
      <x:c r="AE1950" s="1"/>
      <x:c r="AF1950" s="1"/>
      <x:c r="AG1950" s="1"/>
      <x:c r="AH1950" s="1"/>
      <x:c r="AI1950" s="1"/>
      <x:c r="AJ1950" s="1"/>
      <x:c r="AK1950" s="1"/>
      <x:c r="AL1950" s="1"/>
      <x:c r="AM1950" s="1"/>
      <x:c r="AN1950" s="1"/>
    </x:row>
    <x:row r="1951" ht="22" customHeight="1">
      <x:c r="A1951" s="1"/>
      <x:c r="B1951" s="1"/>
      <x:c r="C1951" s="16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  <x:c r="AA1951" s="1"/>
      <x:c r="AB1951" s="1"/>
      <x:c r="AC1951" s="1"/>
      <x:c r="AD1951" s="1"/>
      <x:c r="AE1951" s="1"/>
      <x:c r="AF1951" s="1"/>
      <x:c r="AG1951" s="1"/>
      <x:c r="AH1951" s="1"/>
      <x:c r="AI1951" s="1"/>
      <x:c r="AJ1951" s="1"/>
      <x:c r="AK1951" s="1"/>
      <x:c r="AL1951" s="1"/>
      <x:c r="AM1951" s="1"/>
      <x:c r="AN1951" s="1"/>
    </x:row>
    <x:row r="1952" ht="22" customHeight="1">
      <x:c r="A1952" s="1"/>
      <x:c r="B1952" s="1"/>
      <x:c r="C1952" s="16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  <x:c r="AA1952" s="1"/>
      <x:c r="AB1952" s="1"/>
      <x:c r="AC1952" s="1"/>
      <x:c r="AD1952" s="1"/>
      <x:c r="AE1952" s="1"/>
      <x:c r="AF1952" s="1"/>
      <x:c r="AG1952" s="1"/>
      <x:c r="AH1952" s="1"/>
      <x:c r="AI1952" s="1"/>
      <x:c r="AJ1952" s="1"/>
      <x:c r="AK1952" s="1"/>
      <x:c r="AL1952" s="1"/>
      <x:c r="AM1952" s="1"/>
      <x:c r="AN1952" s="1"/>
    </x:row>
    <x:row r="1953" ht="22" customHeight="1">
      <x:c r="A1953" s="1"/>
      <x:c r="B1953" s="1"/>
      <x:c r="C1953" s="16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  <x:c r="AA1953" s="1"/>
      <x:c r="AB1953" s="1"/>
      <x:c r="AC1953" s="1"/>
      <x:c r="AD1953" s="1"/>
      <x:c r="AE1953" s="1"/>
      <x:c r="AF1953" s="1"/>
      <x:c r="AG1953" s="1"/>
      <x:c r="AH1953" s="1"/>
      <x:c r="AI1953" s="1"/>
      <x:c r="AJ1953" s="1"/>
      <x:c r="AK1953" s="1"/>
      <x:c r="AL1953" s="1"/>
      <x:c r="AM1953" s="1"/>
      <x:c r="AN1953" s="1"/>
    </x:row>
    <x:row r="1954" ht="22" customHeight="1">
      <x:c r="A1954" s="1"/>
      <x:c r="B1954" s="1"/>
      <x:c r="C1954" s="16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  <x:c r="AA1954" s="1"/>
      <x:c r="AB1954" s="1"/>
      <x:c r="AC1954" s="1"/>
      <x:c r="AD1954" s="1"/>
      <x:c r="AE1954" s="1"/>
      <x:c r="AF1954" s="1"/>
      <x:c r="AG1954" s="1"/>
      <x:c r="AH1954" s="1"/>
      <x:c r="AI1954" s="1"/>
      <x:c r="AJ1954" s="1"/>
      <x:c r="AK1954" s="1"/>
      <x:c r="AL1954" s="1"/>
      <x:c r="AM1954" s="1"/>
      <x:c r="AN1954" s="1"/>
    </x:row>
    <x:row r="1955" ht="22" customHeight="1">
      <x:c r="A1955" s="1"/>
      <x:c r="B1955" s="1"/>
      <x:c r="C1955" s="16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  <x:c r="AA1955" s="1"/>
      <x:c r="AB1955" s="1"/>
      <x:c r="AC1955" s="1"/>
      <x:c r="AD1955" s="1"/>
      <x:c r="AE1955" s="1"/>
      <x:c r="AF1955" s="1"/>
      <x:c r="AG1955" s="1"/>
      <x:c r="AH1955" s="1"/>
      <x:c r="AI1955" s="1"/>
      <x:c r="AJ1955" s="1"/>
      <x:c r="AK1955" s="1"/>
      <x:c r="AL1955" s="1"/>
      <x:c r="AM1955" s="1"/>
      <x:c r="AN1955" s="1"/>
    </x:row>
    <x:row r="1956" ht="22" customHeight="1">
      <x:c r="A1956" s="1"/>
      <x:c r="B1956" s="1"/>
      <x:c r="C1956" s="16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  <x:c r="AA1956" s="1"/>
      <x:c r="AB1956" s="1"/>
      <x:c r="AC1956" s="1"/>
      <x:c r="AD1956" s="1"/>
      <x:c r="AE1956" s="1"/>
      <x:c r="AF1956" s="1"/>
      <x:c r="AG1956" s="1"/>
      <x:c r="AH1956" s="1"/>
      <x:c r="AI1956" s="1"/>
      <x:c r="AJ1956" s="1"/>
      <x:c r="AK1956" s="1"/>
      <x:c r="AL1956" s="1"/>
      <x:c r="AM1956" s="1"/>
      <x:c r="AN1956" s="1"/>
    </x:row>
    <x:row r="1957" ht="22" customHeight="1">
      <x:c r="A1957" s="1"/>
      <x:c r="B1957" s="1"/>
      <x:c r="C1957" s="16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  <x:c r="AA1957" s="1"/>
      <x:c r="AB1957" s="1"/>
      <x:c r="AC1957" s="1"/>
      <x:c r="AD1957" s="1"/>
      <x:c r="AE1957" s="1"/>
      <x:c r="AF1957" s="1"/>
      <x:c r="AG1957" s="1"/>
      <x:c r="AH1957" s="1"/>
      <x:c r="AI1957" s="1"/>
      <x:c r="AJ1957" s="1"/>
      <x:c r="AK1957" s="1"/>
      <x:c r="AL1957" s="1"/>
      <x:c r="AM1957" s="1"/>
      <x:c r="AN1957" s="1"/>
    </x:row>
    <x:row r="1958" ht="22" customHeight="1">
      <x:c r="A1958" s="1"/>
      <x:c r="B1958" s="1"/>
      <x:c r="C1958" s="16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  <x:c r="AA1958" s="1"/>
      <x:c r="AB1958" s="1"/>
      <x:c r="AC1958" s="1"/>
      <x:c r="AD1958" s="1"/>
      <x:c r="AE1958" s="1"/>
      <x:c r="AF1958" s="1"/>
      <x:c r="AG1958" s="1"/>
      <x:c r="AH1958" s="1"/>
      <x:c r="AI1958" s="1"/>
      <x:c r="AJ1958" s="1"/>
      <x:c r="AK1958" s="1"/>
      <x:c r="AL1958" s="1"/>
      <x:c r="AM1958" s="1"/>
      <x:c r="AN1958" s="1"/>
    </x:row>
    <x:row r="1959" ht="22" customHeight="1">
      <x:c r="A1959" s="1"/>
      <x:c r="B1959" s="1"/>
      <x:c r="C1959" s="16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  <x:c r="AA1959" s="1"/>
      <x:c r="AB1959" s="1"/>
      <x:c r="AC1959" s="1"/>
      <x:c r="AD1959" s="1"/>
      <x:c r="AE1959" s="1"/>
      <x:c r="AF1959" s="1"/>
      <x:c r="AG1959" s="1"/>
      <x:c r="AH1959" s="1"/>
      <x:c r="AI1959" s="1"/>
      <x:c r="AJ1959" s="1"/>
      <x:c r="AK1959" s="1"/>
      <x:c r="AL1959" s="1"/>
      <x:c r="AM1959" s="1"/>
      <x:c r="AN1959" s="1"/>
    </x:row>
    <x:row r="1960" ht="22" customHeight="1">
      <x:c r="A1960" s="1"/>
      <x:c r="B1960" s="1"/>
      <x:c r="C1960" s="16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  <x:c r="AA1960" s="1"/>
      <x:c r="AB1960" s="1"/>
      <x:c r="AC1960" s="1"/>
      <x:c r="AD1960" s="1"/>
      <x:c r="AE1960" s="1"/>
      <x:c r="AF1960" s="1"/>
      <x:c r="AG1960" s="1"/>
      <x:c r="AH1960" s="1"/>
      <x:c r="AI1960" s="1"/>
      <x:c r="AJ1960" s="1"/>
      <x:c r="AK1960" s="1"/>
      <x:c r="AL1960" s="1"/>
      <x:c r="AM1960" s="1"/>
      <x:c r="AN1960" s="1"/>
    </x:row>
    <x:row r="1961" ht="22" customHeight="1">
      <x:c r="A1961" s="1"/>
      <x:c r="B1961" s="1"/>
      <x:c r="C1961" s="16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  <x:c r="AA1961" s="1"/>
      <x:c r="AB1961" s="1"/>
      <x:c r="AC1961" s="1"/>
      <x:c r="AD1961" s="1"/>
      <x:c r="AE1961" s="1"/>
      <x:c r="AF1961" s="1"/>
      <x:c r="AG1961" s="1"/>
      <x:c r="AH1961" s="1"/>
      <x:c r="AI1961" s="1"/>
      <x:c r="AJ1961" s="1"/>
      <x:c r="AK1961" s="1"/>
      <x:c r="AL1961" s="1"/>
      <x:c r="AM1961" s="1"/>
      <x:c r="AN1961" s="1"/>
    </x:row>
    <x:row r="1962" ht="22" customHeight="1">
      <x:c r="A1962" s="1"/>
      <x:c r="B1962" s="1"/>
      <x:c r="C1962" s="16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  <x:c r="AA1962" s="1"/>
      <x:c r="AB1962" s="1"/>
      <x:c r="AC1962" s="1"/>
      <x:c r="AD1962" s="1"/>
      <x:c r="AE1962" s="1"/>
      <x:c r="AF1962" s="1"/>
      <x:c r="AG1962" s="1"/>
      <x:c r="AH1962" s="1"/>
      <x:c r="AI1962" s="1"/>
      <x:c r="AJ1962" s="1"/>
      <x:c r="AK1962" s="1"/>
      <x:c r="AL1962" s="1"/>
      <x:c r="AM1962" s="1"/>
      <x:c r="AN1962" s="1"/>
    </x:row>
    <x:row r="1963" ht="22" customHeight="1">
      <x:c r="A1963" s="1"/>
      <x:c r="B1963" s="1"/>
      <x:c r="C1963" s="16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  <x:c r="AA1963" s="1"/>
      <x:c r="AB1963" s="1"/>
      <x:c r="AC1963" s="1"/>
      <x:c r="AD1963" s="1"/>
      <x:c r="AE1963" s="1"/>
      <x:c r="AF1963" s="1"/>
      <x:c r="AG1963" s="1"/>
      <x:c r="AH1963" s="1"/>
      <x:c r="AI1963" s="1"/>
      <x:c r="AJ1963" s="1"/>
      <x:c r="AK1963" s="1"/>
      <x:c r="AL1963" s="1"/>
      <x:c r="AM1963" s="1"/>
      <x:c r="AN1963" s="1"/>
    </x:row>
    <x:row r="1964" ht="22" customHeight="1">
      <x:c r="A1964" s="1"/>
      <x:c r="B1964" s="1"/>
      <x:c r="C1964" s="16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  <x:c r="AA1964" s="1"/>
      <x:c r="AB1964" s="1"/>
      <x:c r="AC1964" s="1"/>
      <x:c r="AD1964" s="1"/>
      <x:c r="AE1964" s="1"/>
      <x:c r="AF1964" s="1"/>
      <x:c r="AG1964" s="1"/>
      <x:c r="AH1964" s="1"/>
      <x:c r="AI1964" s="1"/>
      <x:c r="AJ1964" s="1"/>
      <x:c r="AK1964" s="1"/>
      <x:c r="AL1964" s="1"/>
      <x:c r="AM1964" s="1"/>
      <x:c r="AN1964" s="1"/>
    </x:row>
    <x:row r="1965" ht="22" customHeight="1">
      <x:c r="A1965" s="1"/>
      <x:c r="B1965" s="1"/>
      <x:c r="C1965" s="16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  <x:c r="AA1965" s="1"/>
      <x:c r="AB1965" s="1"/>
      <x:c r="AC1965" s="1"/>
      <x:c r="AD1965" s="1"/>
      <x:c r="AE1965" s="1"/>
      <x:c r="AF1965" s="1"/>
      <x:c r="AG1965" s="1"/>
      <x:c r="AH1965" s="1"/>
      <x:c r="AI1965" s="1"/>
      <x:c r="AJ1965" s="1"/>
      <x:c r="AK1965" s="1"/>
      <x:c r="AL1965" s="1"/>
      <x:c r="AM1965" s="1"/>
      <x:c r="AN1965" s="1"/>
    </x:row>
    <x:row r="1966" ht="22" customHeight="1">
      <x:c r="A1966" s="1"/>
      <x:c r="B1966" s="1"/>
      <x:c r="C1966" s="16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  <x:c r="AA1966" s="1"/>
      <x:c r="AB1966" s="1"/>
      <x:c r="AC1966" s="1"/>
      <x:c r="AD1966" s="1"/>
      <x:c r="AE1966" s="1"/>
      <x:c r="AF1966" s="1"/>
      <x:c r="AG1966" s="1"/>
      <x:c r="AH1966" s="1"/>
      <x:c r="AI1966" s="1"/>
      <x:c r="AJ1966" s="1"/>
      <x:c r="AK1966" s="1"/>
      <x:c r="AL1966" s="1"/>
      <x:c r="AM1966" s="1"/>
      <x:c r="AN1966" s="1"/>
    </x:row>
    <x:row r="1967" ht="22" customHeight="1">
      <x:c r="A1967" s="1"/>
      <x:c r="B1967" s="1"/>
      <x:c r="C1967" s="16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  <x:c r="AA1967" s="1"/>
      <x:c r="AB1967" s="1"/>
      <x:c r="AC1967" s="1"/>
      <x:c r="AD1967" s="1"/>
      <x:c r="AE1967" s="1"/>
      <x:c r="AF1967" s="1"/>
      <x:c r="AG1967" s="1"/>
      <x:c r="AH1967" s="1"/>
      <x:c r="AI1967" s="1"/>
      <x:c r="AJ1967" s="1"/>
      <x:c r="AK1967" s="1"/>
      <x:c r="AL1967" s="1"/>
      <x:c r="AM1967" s="1"/>
      <x:c r="AN1967" s="1"/>
    </x:row>
    <x:row r="1968" ht="22" customHeight="1">
      <x:c r="A1968" s="1"/>
      <x:c r="B1968" s="1"/>
      <x:c r="C1968" s="16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  <x:c r="AA1968" s="1"/>
      <x:c r="AB1968" s="1"/>
      <x:c r="AC1968" s="1"/>
      <x:c r="AD1968" s="1"/>
      <x:c r="AE1968" s="1"/>
      <x:c r="AF1968" s="1"/>
      <x:c r="AG1968" s="1"/>
      <x:c r="AH1968" s="1"/>
      <x:c r="AI1968" s="1"/>
      <x:c r="AJ1968" s="1"/>
      <x:c r="AK1968" s="1"/>
      <x:c r="AL1968" s="1"/>
      <x:c r="AM1968" s="1"/>
      <x:c r="AN1968" s="1"/>
    </x:row>
    <x:row r="1969" ht="22" customHeight="1">
      <x:c r="A1969" s="1"/>
      <x:c r="B1969" s="1"/>
      <x:c r="C1969" s="16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  <x:c r="AA1969" s="1"/>
      <x:c r="AB1969" s="1"/>
      <x:c r="AC1969" s="1"/>
      <x:c r="AD1969" s="1"/>
      <x:c r="AE1969" s="1"/>
      <x:c r="AF1969" s="1"/>
      <x:c r="AG1969" s="1"/>
      <x:c r="AH1969" s="1"/>
      <x:c r="AI1969" s="1"/>
      <x:c r="AJ1969" s="1"/>
      <x:c r="AK1969" s="1"/>
      <x:c r="AL1969" s="1"/>
      <x:c r="AM1969" s="1"/>
      <x:c r="AN1969" s="1"/>
    </x:row>
    <x:row r="1970" ht="22" customHeight="1">
      <x:c r="A1970" s="1"/>
      <x:c r="B1970" s="1"/>
      <x:c r="C1970" s="16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  <x:c r="AA1970" s="1"/>
      <x:c r="AB1970" s="1"/>
      <x:c r="AC1970" s="1"/>
      <x:c r="AD1970" s="1"/>
      <x:c r="AE1970" s="1"/>
      <x:c r="AF1970" s="1"/>
      <x:c r="AG1970" s="1"/>
      <x:c r="AH1970" s="1"/>
      <x:c r="AI1970" s="1"/>
      <x:c r="AJ1970" s="1"/>
      <x:c r="AK1970" s="1"/>
      <x:c r="AL1970" s="1"/>
      <x:c r="AM1970" s="1"/>
      <x:c r="AN1970" s="1"/>
    </x:row>
    <x:row r="1971" ht="22" customHeight="1">
      <x:c r="A1971" s="1"/>
      <x:c r="B1971" s="1"/>
      <x:c r="C1971" s="16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  <x:c r="AA1971" s="1"/>
      <x:c r="AB1971" s="1"/>
      <x:c r="AC1971" s="1"/>
      <x:c r="AD1971" s="1"/>
      <x:c r="AE1971" s="1"/>
      <x:c r="AF1971" s="1"/>
      <x:c r="AG1971" s="1"/>
      <x:c r="AH1971" s="1"/>
      <x:c r="AI1971" s="1"/>
      <x:c r="AJ1971" s="1"/>
      <x:c r="AK1971" s="1"/>
      <x:c r="AL1971" s="1"/>
      <x:c r="AM1971" s="1"/>
      <x:c r="AN1971" s="1"/>
    </x:row>
    <x:row r="1972" ht="22" customHeight="1">
      <x:c r="A1972" s="1"/>
      <x:c r="B1972" s="1"/>
      <x:c r="C1972" s="16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  <x:c r="AA1972" s="1"/>
      <x:c r="AB1972" s="1"/>
      <x:c r="AC1972" s="1"/>
      <x:c r="AD1972" s="1"/>
      <x:c r="AE1972" s="1"/>
      <x:c r="AF1972" s="1"/>
      <x:c r="AG1972" s="1"/>
      <x:c r="AH1972" s="1"/>
      <x:c r="AI1972" s="1"/>
      <x:c r="AJ1972" s="1"/>
      <x:c r="AK1972" s="1"/>
      <x:c r="AL1972" s="1"/>
      <x:c r="AM1972" s="1"/>
      <x:c r="AN1972" s="1"/>
    </x:row>
    <x:row r="1973" ht="22" customHeight="1">
      <x:c r="A1973" s="1"/>
      <x:c r="B1973" s="1"/>
      <x:c r="C1973" s="16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  <x:c r="AA1973" s="1"/>
      <x:c r="AB1973" s="1"/>
      <x:c r="AC1973" s="1"/>
      <x:c r="AD1973" s="1"/>
      <x:c r="AE1973" s="1"/>
      <x:c r="AF1973" s="1"/>
      <x:c r="AG1973" s="1"/>
      <x:c r="AH1973" s="1"/>
      <x:c r="AI1973" s="1"/>
      <x:c r="AJ1973" s="1"/>
      <x:c r="AK1973" s="1"/>
      <x:c r="AL1973" s="1"/>
      <x:c r="AM1973" s="1"/>
      <x:c r="AN1973" s="1"/>
    </x:row>
    <x:row r="1974" ht="22" customHeight="1">
      <x:c r="A1974" s="1"/>
      <x:c r="B1974" s="1"/>
      <x:c r="C1974" s="16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  <x:c r="AA1974" s="1"/>
      <x:c r="AB1974" s="1"/>
      <x:c r="AC1974" s="1"/>
      <x:c r="AD1974" s="1"/>
      <x:c r="AE1974" s="1"/>
      <x:c r="AF1974" s="1"/>
      <x:c r="AG1974" s="1"/>
      <x:c r="AH1974" s="1"/>
      <x:c r="AI1974" s="1"/>
      <x:c r="AJ1974" s="1"/>
      <x:c r="AK1974" s="1"/>
      <x:c r="AL1974" s="1"/>
      <x:c r="AM1974" s="1"/>
      <x:c r="AN1974" s="1"/>
    </x:row>
    <x:row r="1975" ht="22" customHeight="1">
      <x:c r="A1975" s="1"/>
      <x:c r="B1975" s="1"/>
      <x:c r="C1975" s="16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  <x:c r="AA1975" s="1"/>
      <x:c r="AB1975" s="1"/>
      <x:c r="AC1975" s="1"/>
      <x:c r="AD1975" s="1"/>
      <x:c r="AE1975" s="1"/>
      <x:c r="AF1975" s="1"/>
      <x:c r="AG1975" s="1"/>
      <x:c r="AH1975" s="1"/>
      <x:c r="AI1975" s="1"/>
      <x:c r="AJ1975" s="1"/>
      <x:c r="AK1975" s="1"/>
      <x:c r="AL1975" s="1"/>
      <x:c r="AM1975" s="1"/>
      <x:c r="AN1975" s="1"/>
    </x:row>
    <x:row r="1976" ht="22" customHeight="1">
      <x:c r="A1976" s="1"/>
      <x:c r="B1976" s="1"/>
      <x:c r="C1976" s="16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  <x:c r="AA1976" s="1"/>
      <x:c r="AB1976" s="1"/>
      <x:c r="AC1976" s="1"/>
      <x:c r="AD1976" s="1"/>
      <x:c r="AE1976" s="1"/>
      <x:c r="AF1976" s="1"/>
      <x:c r="AG1976" s="1"/>
      <x:c r="AH1976" s="1"/>
      <x:c r="AI1976" s="1"/>
      <x:c r="AJ1976" s="1"/>
      <x:c r="AK1976" s="1"/>
      <x:c r="AL1976" s="1"/>
      <x:c r="AM1976" s="1"/>
      <x:c r="AN1976" s="1"/>
    </x:row>
    <x:row r="1977" ht="22" customHeight="1">
      <x:c r="A1977" s="1"/>
      <x:c r="B1977" s="1"/>
      <x:c r="C1977" s="16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  <x:c r="AA1977" s="1"/>
      <x:c r="AB1977" s="1"/>
      <x:c r="AC1977" s="1"/>
      <x:c r="AD1977" s="1"/>
      <x:c r="AE1977" s="1"/>
      <x:c r="AF1977" s="1"/>
      <x:c r="AG1977" s="1"/>
      <x:c r="AH1977" s="1"/>
      <x:c r="AI1977" s="1"/>
      <x:c r="AJ1977" s="1"/>
      <x:c r="AK1977" s="1"/>
      <x:c r="AL1977" s="1"/>
      <x:c r="AM1977" s="1"/>
      <x:c r="AN1977" s="1"/>
    </x:row>
    <x:row r="1978" ht="22" customHeight="1">
      <x:c r="A1978" s="1"/>
      <x:c r="B1978" s="1"/>
      <x:c r="C1978" s="16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  <x:c r="AA1978" s="1"/>
      <x:c r="AB1978" s="1"/>
      <x:c r="AC1978" s="1"/>
      <x:c r="AD1978" s="1"/>
      <x:c r="AE1978" s="1"/>
      <x:c r="AF1978" s="1"/>
      <x:c r="AG1978" s="1"/>
      <x:c r="AH1978" s="1"/>
      <x:c r="AI1978" s="1"/>
      <x:c r="AJ1978" s="1"/>
      <x:c r="AK1978" s="1"/>
      <x:c r="AL1978" s="1"/>
      <x:c r="AM1978" s="1"/>
      <x:c r="AN1978" s="1"/>
    </x:row>
    <x:row r="1979" ht="22" customHeight="1">
      <x:c r="A1979" s="1"/>
      <x:c r="B1979" s="1"/>
      <x:c r="C1979" s="16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  <x:c r="AA1979" s="1"/>
      <x:c r="AB1979" s="1"/>
      <x:c r="AC1979" s="1"/>
      <x:c r="AD1979" s="1"/>
      <x:c r="AE1979" s="1"/>
      <x:c r="AF1979" s="1"/>
      <x:c r="AG1979" s="1"/>
      <x:c r="AH1979" s="1"/>
      <x:c r="AI1979" s="1"/>
      <x:c r="AJ1979" s="1"/>
      <x:c r="AK1979" s="1"/>
      <x:c r="AL1979" s="1"/>
      <x:c r="AM1979" s="1"/>
      <x:c r="AN1979" s="1"/>
    </x:row>
    <x:row r="1980" ht="22" customHeight="1">
      <x:c r="A1980" s="1"/>
      <x:c r="B1980" s="1"/>
      <x:c r="C1980" s="16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  <x:c r="AA1980" s="1"/>
      <x:c r="AB1980" s="1"/>
      <x:c r="AC1980" s="1"/>
      <x:c r="AD1980" s="1"/>
      <x:c r="AE1980" s="1"/>
      <x:c r="AF1980" s="1"/>
      <x:c r="AG1980" s="1"/>
      <x:c r="AH1980" s="1"/>
      <x:c r="AI1980" s="1"/>
      <x:c r="AJ1980" s="1"/>
      <x:c r="AK1980" s="1"/>
      <x:c r="AL1980" s="1"/>
      <x:c r="AM1980" s="1"/>
      <x:c r="AN1980" s="1"/>
    </x:row>
    <x:row r="1981" ht="22" customHeight="1">
      <x:c r="A1981" s="1"/>
      <x:c r="B1981" s="1"/>
      <x:c r="C1981" s="16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  <x:c r="AA1981" s="1"/>
      <x:c r="AB1981" s="1"/>
      <x:c r="AC1981" s="1"/>
      <x:c r="AD1981" s="1"/>
      <x:c r="AE1981" s="1"/>
      <x:c r="AF1981" s="1"/>
      <x:c r="AG1981" s="1"/>
      <x:c r="AH1981" s="1"/>
      <x:c r="AI1981" s="1"/>
      <x:c r="AJ1981" s="1"/>
      <x:c r="AK1981" s="1"/>
      <x:c r="AL1981" s="1"/>
      <x:c r="AM1981" s="1"/>
      <x:c r="AN1981" s="1"/>
    </x:row>
    <x:row r="1982" ht="22" customHeight="1">
      <x:c r="A1982" s="1"/>
      <x:c r="B1982" s="1"/>
      <x:c r="C1982" s="16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  <x:c r="AA1982" s="1"/>
      <x:c r="AB1982" s="1"/>
      <x:c r="AC1982" s="1"/>
      <x:c r="AD1982" s="1"/>
      <x:c r="AE1982" s="1"/>
      <x:c r="AF1982" s="1"/>
      <x:c r="AG1982" s="1"/>
      <x:c r="AH1982" s="1"/>
      <x:c r="AI1982" s="1"/>
      <x:c r="AJ1982" s="1"/>
      <x:c r="AK1982" s="1"/>
      <x:c r="AL1982" s="1"/>
      <x:c r="AM1982" s="1"/>
      <x:c r="AN1982" s="1"/>
    </x:row>
    <x:row r="1983" ht="22" customHeight="1">
      <x:c r="A1983" s="1"/>
      <x:c r="B1983" s="1"/>
      <x:c r="C1983" s="16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  <x:c r="AA1983" s="1"/>
      <x:c r="AB1983" s="1"/>
      <x:c r="AC1983" s="1"/>
      <x:c r="AD1983" s="1"/>
      <x:c r="AE1983" s="1"/>
      <x:c r="AF1983" s="1"/>
      <x:c r="AG1983" s="1"/>
      <x:c r="AH1983" s="1"/>
      <x:c r="AI1983" s="1"/>
      <x:c r="AJ1983" s="1"/>
      <x:c r="AK1983" s="1"/>
      <x:c r="AL1983" s="1"/>
      <x:c r="AM1983" s="1"/>
      <x:c r="AN1983" s="1"/>
    </x:row>
    <x:row r="1984" ht="22" customHeight="1">
      <x:c r="A1984" s="1"/>
      <x:c r="B1984" s="1"/>
      <x:c r="C1984" s="16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  <x:c r="AA1984" s="1"/>
      <x:c r="AB1984" s="1"/>
      <x:c r="AC1984" s="1"/>
      <x:c r="AD1984" s="1"/>
      <x:c r="AE1984" s="1"/>
      <x:c r="AF1984" s="1"/>
      <x:c r="AG1984" s="1"/>
      <x:c r="AH1984" s="1"/>
      <x:c r="AI1984" s="1"/>
      <x:c r="AJ1984" s="1"/>
      <x:c r="AK1984" s="1"/>
      <x:c r="AL1984" s="1"/>
      <x:c r="AM1984" s="1"/>
      <x:c r="AN1984" s="1"/>
    </x:row>
    <x:row r="1985" ht="22" customHeight="1">
      <x:c r="A1985" s="1"/>
      <x:c r="B1985" s="1"/>
      <x:c r="C1985" s="16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  <x:c r="AA1985" s="1"/>
      <x:c r="AB1985" s="1"/>
      <x:c r="AC1985" s="1"/>
      <x:c r="AD1985" s="1"/>
      <x:c r="AE1985" s="1"/>
      <x:c r="AF1985" s="1"/>
      <x:c r="AG1985" s="1"/>
      <x:c r="AH1985" s="1"/>
      <x:c r="AI1985" s="1"/>
      <x:c r="AJ1985" s="1"/>
      <x:c r="AK1985" s="1"/>
      <x:c r="AL1985" s="1"/>
      <x:c r="AM1985" s="1"/>
      <x:c r="AN1985" s="1"/>
    </x:row>
    <x:row r="1986" ht="22" customHeight="1">
      <x:c r="A1986" s="1"/>
      <x:c r="B1986" s="1"/>
      <x:c r="C1986" s="16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  <x:c r="AA1986" s="1"/>
      <x:c r="AB1986" s="1"/>
      <x:c r="AC1986" s="1"/>
      <x:c r="AD1986" s="1"/>
      <x:c r="AE1986" s="1"/>
      <x:c r="AF1986" s="1"/>
      <x:c r="AG1986" s="1"/>
      <x:c r="AH1986" s="1"/>
      <x:c r="AI1986" s="1"/>
      <x:c r="AJ1986" s="1"/>
      <x:c r="AK1986" s="1"/>
      <x:c r="AL1986" s="1"/>
      <x:c r="AM1986" s="1"/>
      <x:c r="AN1986" s="1"/>
    </x:row>
    <x:row r="1987" ht="22" customHeight="1">
      <x:c r="A1987" s="1"/>
      <x:c r="B1987" s="1"/>
      <x:c r="C1987" s="16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  <x:c r="AA1987" s="1"/>
      <x:c r="AB1987" s="1"/>
      <x:c r="AC1987" s="1"/>
      <x:c r="AD1987" s="1"/>
      <x:c r="AE1987" s="1"/>
      <x:c r="AF1987" s="1"/>
      <x:c r="AG1987" s="1"/>
      <x:c r="AH1987" s="1"/>
      <x:c r="AI1987" s="1"/>
      <x:c r="AJ1987" s="1"/>
      <x:c r="AK1987" s="1"/>
      <x:c r="AL1987" s="1"/>
      <x:c r="AM1987" s="1"/>
      <x:c r="AN1987" s="1"/>
    </x:row>
    <x:row r="1988" ht="22" customHeight="1">
      <x:c r="A1988" s="1"/>
      <x:c r="B1988" s="1"/>
      <x:c r="C1988" s="16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  <x:c r="AA1988" s="1"/>
      <x:c r="AB1988" s="1"/>
      <x:c r="AC1988" s="1"/>
      <x:c r="AD1988" s="1"/>
      <x:c r="AE1988" s="1"/>
      <x:c r="AF1988" s="1"/>
      <x:c r="AG1988" s="1"/>
      <x:c r="AH1988" s="1"/>
      <x:c r="AI1988" s="1"/>
      <x:c r="AJ1988" s="1"/>
      <x:c r="AK1988" s="1"/>
      <x:c r="AL1988" s="1"/>
      <x:c r="AM1988" s="1"/>
      <x:c r="AN1988" s="1"/>
    </x:row>
    <x:row r="1989" ht="22" customHeight="1">
      <x:c r="A1989" s="1"/>
      <x:c r="B1989" s="1"/>
      <x:c r="C1989" s="16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  <x:c r="AA1989" s="1"/>
      <x:c r="AB1989" s="1"/>
      <x:c r="AC1989" s="1"/>
      <x:c r="AD1989" s="1"/>
      <x:c r="AE1989" s="1"/>
      <x:c r="AF1989" s="1"/>
      <x:c r="AG1989" s="1"/>
      <x:c r="AH1989" s="1"/>
      <x:c r="AI1989" s="1"/>
      <x:c r="AJ1989" s="1"/>
      <x:c r="AK1989" s="1"/>
      <x:c r="AL1989" s="1"/>
      <x:c r="AM1989" s="1"/>
      <x:c r="AN1989" s="1"/>
    </x:row>
    <x:row r="1990" ht="22" customHeight="1">
      <x:c r="A1990" s="1"/>
      <x:c r="B1990" s="1"/>
      <x:c r="C1990" s="16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  <x:c r="AA1990" s="1"/>
      <x:c r="AB1990" s="1"/>
      <x:c r="AC1990" s="1"/>
      <x:c r="AD1990" s="1"/>
      <x:c r="AE1990" s="1"/>
      <x:c r="AF1990" s="1"/>
      <x:c r="AG1990" s="1"/>
      <x:c r="AH1990" s="1"/>
      <x:c r="AI1990" s="1"/>
      <x:c r="AJ1990" s="1"/>
      <x:c r="AK1990" s="1"/>
      <x:c r="AL1990" s="1"/>
      <x:c r="AM1990" s="1"/>
      <x:c r="AN1990" s="1"/>
    </x:row>
    <x:row r="1991" ht="22" customHeight="1">
      <x:c r="A1991" s="1"/>
      <x:c r="B1991" s="1"/>
      <x:c r="C1991" s="16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  <x:c r="AA1991" s="1"/>
      <x:c r="AB1991" s="1"/>
      <x:c r="AC1991" s="1"/>
      <x:c r="AD1991" s="1"/>
      <x:c r="AE1991" s="1"/>
      <x:c r="AF1991" s="1"/>
      <x:c r="AG1991" s="1"/>
      <x:c r="AH1991" s="1"/>
      <x:c r="AI1991" s="1"/>
      <x:c r="AJ1991" s="1"/>
      <x:c r="AK1991" s="1"/>
      <x:c r="AL1991" s="1"/>
      <x:c r="AM1991" s="1"/>
      <x:c r="AN1991" s="1"/>
    </x:row>
    <x:row r="1992" ht="22" customHeight="1">
      <x:c r="A1992" s="1"/>
      <x:c r="B1992" s="1"/>
      <x:c r="C1992" s="16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  <x:c r="AA1992" s="1"/>
      <x:c r="AB1992" s="1"/>
      <x:c r="AC1992" s="1"/>
      <x:c r="AD1992" s="1"/>
      <x:c r="AE1992" s="1"/>
      <x:c r="AF1992" s="1"/>
      <x:c r="AG1992" s="1"/>
      <x:c r="AH1992" s="1"/>
      <x:c r="AI1992" s="1"/>
      <x:c r="AJ1992" s="1"/>
      <x:c r="AK1992" s="1"/>
      <x:c r="AL1992" s="1"/>
      <x:c r="AM1992" s="1"/>
      <x:c r="AN1992" s="1"/>
    </x:row>
    <x:row r="1993" ht="22" customHeight="1">
      <x:c r="A1993" s="1"/>
      <x:c r="B1993" s="1"/>
      <x:c r="C1993" s="16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  <x:c r="AA1993" s="1"/>
      <x:c r="AB1993" s="1"/>
      <x:c r="AC1993" s="1"/>
      <x:c r="AD1993" s="1"/>
      <x:c r="AE1993" s="1"/>
      <x:c r="AF1993" s="1"/>
      <x:c r="AG1993" s="1"/>
      <x:c r="AH1993" s="1"/>
      <x:c r="AI1993" s="1"/>
      <x:c r="AJ1993" s="1"/>
      <x:c r="AK1993" s="1"/>
      <x:c r="AL1993" s="1"/>
      <x:c r="AM1993" s="1"/>
      <x:c r="AN1993" s="1"/>
    </x:row>
    <x:row r="1994" ht="22" customHeight="1">
      <x:c r="A1994" s="1"/>
      <x:c r="B1994" s="1"/>
      <x:c r="C1994" s="16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  <x:c r="AA1994" s="1"/>
      <x:c r="AB1994" s="1"/>
      <x:c r="AC1994" s="1"/>
      <x:c r="AD1994" s="1"/>
      <x:c r="AE1994" s="1"/>
      <x:c r="AF1994" s="1"/>
      <x:c r="AG1994" s="1"/>
      <x:c r="AH1994" s="1"/>
      <x:c r="AI1994" s="1"/>
      <x:c r="AJ1994" s="1"/>
      <x:c r="AK1994" s="1"/>
      <x:c r="AL1994" s="1"/>
      <x:c r="AM1994" s="1"/>
      <x:c r="AN1994" s="1"/>
    </x:row>
    <x:row r="1995" ht="22" customHeight="1">
      <x:c r="A1995" s="1"/>
      <x:c r="B1995" s="1"/>
      <x:c r="C1995" s="16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  <x:c r="AA1995" s="1"/>
      <x:c r="AB1995" s="1"/>
      <x:c r="AC1995" s="1"/>
      <x:c r="AD1995" s="1"/>
      <x:c r="AE1995" s="1"/>
      <x:c r="AF1995" s="1"/>
      <x:c r="AG1995" s="1"/>
      <x:c r="AH1995" s="1"/>
      <x:c r="AI1995" s="1"/>
      <x:c r="AJ1995" s="1"/>
      <x:c r="AK1995" s="1"/>
      <x:c r="AL1995" s="1"/>
      <x:c r="AM1995" s="1"/>
      <x:c r="AN1995" s="1"/>
    </x:row>
    <x:row r="1996" ht="22" customHeight="1">
      <x:c r="A1996" s="1"/>
      <x:c r="B1996" s="1"/>
      <x:c r="C1996" s="16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  <x:c r="AA1996" s="1"/>
      <x:c r="AB1996" s="1"/>
      <x:c r="AC1996" s="1"/>
      <x:c r="AD1996" s="1"/>
      <x:c r="AE1996" s="1"/>
      <x:c r="AF1996" s="1"/>
      <x:c r="AG1996" s="1"/>
      <x:c r="AH1996" s="1"/>
      <x:c r="AI1996" s="1"/>
      <x:c r="AJ1996" s="1"/>
      <x:c r="AK1996" s="1"/>
      <x:c r="AL1996" s="1"/>
      <x:c r="AM1996" s="1"/>
      <x:c r="AN1996" s="1"/>
    </x:row>
    <x:row r="1997" ht="22" customHeight="1">
      <x:c r="A1997" s="1"/>
      <x:c r="B1997" s="1"/>
      <x:c r="C1997" s="16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  <x:c r="AA1997" s="1"/>
      <x:c r="AB1997" s="1"/>
      <x:c r="AC1997" s="1"/>
      <x:c r="AD1997" s="1"/>
      <x:c r="AE1997" s="1"/>
      <x:c r="AF1997" s="1"/>
      <x:c r="AG1997" s="1"/>
      <x:c r="AH1997" s="1"/>
      <x:c r="AI1997" s="1"/>
      <x:c r="AJ1997" s="1"/>
      <x:c r="AK1997" s="1"/>
      <x:c r="AL1997" s="1"/>
      <x:c r="AM1997" s="1"/>
      <x:c r="AN1997" s="1"/>
    </x:row>
    <x:row r="1998" ht="22" customHeight="1">
      <x:c r="A1998" s="1"/>
      <x:c r="B1998" s="1"/>
      <x:c r="C1998" s="16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  <x:c r="AA1998" s="1"/>
      <x:c r="AB1998" s="1"/>
      <x:c r="AC1998" s="1"/>
      <x:c r="AD1998" s="1"/>
      <x:c r="AE1998" s="1"/>
      <x:c r="AF1998" s="1"/>
      <x:c r="AG1998" s="1"/>
      <x:c r="AH1998" s="1"/>
      <x:c r="AI1998" s="1"/>
      <x:c r="AJ1998" s="1"/>
      <x:c r="AK1998" s="1"/>
      <x:c r="AL1998" s="1"/>
      <x:c r="AM1998" s="1"/>
      <x:c r="AN1998" s="1"/>
    </x:row>
    <x:row r="1999" ht="22" customHeight="1">
      <x:c r="A1999" s="1"/>
      <x:c r="B1999" s="1"/>
      <x:c r="C1999" s="16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  <x:c r="AA1999" s="1"/>
      <x:c r="AB1999" s="1"/>
      <x:c r="AC1999" s="1"/>
      <x:c r="AD1999" s="1"/>
      <x:c r="AE1999" s="1"/>
      <x:c r="AF1999" s="1"/>
      <x:c r="AG1999" s="1"/>
      <x:c r="AH1999" s="1"/>
      <x:c r="AI1999" s="1"/>
      <x:c r="AJ1999" s="1"/>
      <x:c r="AK1999" s="1"/>
      <x:c r="AL1999" s="1"/>
      <x:c r="AM1999" s="1"/>
      <x:c r="AN1999" s="1"/>
    </x:row>
    <x:row r="2000" ht="22" customHeight="1">
      <x:c r="A2000" s="1"/>
      <x:c r="B2000" s="1"/>
      <x:c r="C2000" s="16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  <x:c r="AA2000" s="1"/>
      <x:c r="AB2000" s="1"/>
      <x:c r="AC2000" s="1"/>
      <x:c r="AD2000" s="1"/>
      <x:c r="AE2000" s="1"/>
      <x:c r="AF2000" s="1"/>
      <x:c r="AG2000" s="1"/>
      <x:c r="AH2000" s="1"/>
      <x:c r="AI2000" s="1"/>
      <x:c r="AJ2000" s="1"/>
      <x:c r="AK2000" s="1"/>
      <x:c r="AL2000" s="1"/>
      <x:c r="AM2000" s="1"/>
      <x:c r="AN2000" s="1"/>
    </x:row>
    <x:row r="2001" ht="22" customHeight="1">
      <x:c r="A2001" s="1"/>
      <x:c r="B2001" s="1"/>
      <x:c r="C2001" s="16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  <x:c r="W2001" s="1"/>
      <x:c r="X2001" s="1"/>
      <x:c r="Y2001" s="1"/>
      <x:c r="Z2001" s="1"/>
      <x:c r="AA2001" s="1"/>
      <x:c r="AB2001" s="1"/>
      <x:c r="AC2001" s="1"/>
      <x:c r="AD2001" s="1"/>
      <x:c r="AE2001" s="1"/>
      <x:c r="AF2001" s="1"/>
      <x:c r="AG2001" s="1"/>
      <x:c r="AH2001" s="1"/>
      <x:c r="AI2001" s="1"/>
      <x:c r="AJ2001" s="1"/>
      <x:c r="AK2001" s="1"/>
      <x:c r="AL2001" s="1"/>
      <x:c r="AM2001" s="1"/>
      <x:c r="AN2001" s="1"/>
    </x:row>
    <x:row r="2002" ht="22" customHeight="1">
      <x:c r="A2002" s="1"/>
      <x:c r="B2002" s="1"/>
      <x:c r="C2002" s="16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  <x:c r="W2002" s="1"/>
      <x:c r="X2002" s="1"/>
      <x:c r="Y2002" s="1"/>
      <x:c r="Z2002" s="1"/>
      <x:c r="AA2002" s="1"/>
      <x:c r="AB2002" s="1"/>
      <x:c r="AC2002" s="1"/>
      <x:c r="AD2002" s="1"/>
      <x:c r="AE2002" s="1"/>
      <x:c r="AF2002" s="1"/>
      <x:c r="AG2002" s="1"/>
      <x:c r="AH2002" s="1"/>
      <x:c r="AI2002" s="1"/>
      <x:c r="AJ2002" s="1"/>
      <x:c r="AK2002" s="1"/>
      <x:c r="AL2002" s="1"/>
      <x:c r="AM2002" s="1"/>
      <x:c r="AN2002" s="1"/>
    </x:row>
    <x:row r="2003" ht="22" customHeight="1">
      <x:c r="A2003" s="1"/>
      <x:c r="B2003" s="1"/>
      <x:c r="C2003" s="16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  <x:c r="W2003" s="1"/>
      <x:c r="X2003" s="1"/>
      <x:c r="Y2003" s="1"/>
      <x:c r="Z2003" s="1"/>
      <x:c r="AA2003" s="1"/>
      <x:c r="AB2003" s="1"/>
      <x:c r="AC2003" s="1"/>
      <x:c r="AD2003" s="1"/>
      <x:c r="AE2003" s="1"/>
      <x:c r="AF2003" s="1"/>
      <x:c r="AG2003" s="1"/>
      <x:c r="AH2003" s="1"/>
      <x:c r="AI2003" s="1"/>
      <x:c r="AJ2003" s="1"/>
      <x:c r="AK2003" s="1"/>
      <x:c r="AL2003" s="1"/>
      <x:c r="AM2003" s="1"/>
      <x:c r="AN2003" s="1"/>
    </x:row>
    <x:row r="2004" ht="22" customHeight="1">
      <x:c r="A2004" s="1"/>
      <x:c r="B2004" s="1"/>
      <x:c r="C2004" s="16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  <x:c r="W2004" s="1"/>
      <x:c r="X2004" s="1"/>
      <x:c r="Y2004" s="1"/>
      <x:c r="Z2004" s="1"/>
      <x:c r="AA2004" s="1"/>
      <x:c r="AB2004" s="1"/>
      <x:c r="AC2004" s="1"/>
      <x:c r="AD2004" s="1"/>
      <x:c r="AE2004" s="1"/>
      <x:c r="AF2004" s="1"/>
      <x:c r="AG2004" s="1"/>
      <x:c r="AH2004" s="1"/>
      <x:c r="AI2004" s="1"/>
      <x:c r="AJ2004" s="1"/>
      <x:c r="AK2004" s="1"/>
      <x:c r="AL2004" s="1"/>
      <x:c r="AM2004" s="1"/>
      <x:c r="AN2004" s="1"/>
    </x:row>
    <x:row r="2005" ht="22" customHeight="1">
      <x:c r="A2005" s="1"/>
      <x:c r="B2005" s="1"/>
      <x:c r="C2005" s="16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  <x:c r="W2005" s="1"/>
      <x:c r="X2005" s="1"/>
      <x:c r="Y2005" s="1"/>
      <x:c r="Z2005" s="1"/>
      <x:c r="AA2005" s="1"/>
      <x:c r="AB2005" s="1"/>
      <x:c r="AC2005" s="1"/>
      <x:c r="AD2005" s="1"/>
      <x:c r="AE2005" s="1"/>
      <x:c r="AF2005" s="1"/>
      <x:c r="AG2005" s="1"/>
      <x:c r="AH2005" s="1"/>
      <x:c r="AI2005" s="1"/>
      <x:c r="AJ2005" s="1"/>
      <x:c r="AK2005" s="1"/>
      <x:c r="AL2005" s="1"/>
      <x:c r="AM2005" s="1"/>
      <x:c r="AN2005" s="1"/>
    </x:row>
    <x:row r="2006" ht="22" customHeight="1">
      <x:c r="A2006" s="1"/>
      <x:c r="B2006" s="1"/>
      <x:c r="C2006" s="16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  <x:c r="W2006" s="1"/>
      <x:c r="X2006" s="1"/>
      <x:c r="Y2006" s="1"/>
      <x:c r="Z2006" s="1"/>
      <x:c r="AA2006" s="1"/>
      <x:c r="AB2006" s="1"/>
      <x:c r="AC2006" s="1"/>
      <x:c r="AD2006" s="1"/>
      <x:c r="AE2006" s="1"/>
      <x:c r="AF2006" s="1"/>
      <x:c r="AG2006" s="1"/>
      <x:c r="AH2006" s="1"/>
      <x:c r="AI2006" s="1"/>
      <x:c r="AJ2006" s="1"/>
      <x:c r="AK2006" s="1"/>
      <x:c r="AL2006" s="1"/>
      <x:c r="AM2006" s="1"/>
      <x:c r="AN2006" s="1"/>
    </x:row>
    <x:row r="2007" ht="22" customHeight="1">
      <x:c r="A2007" s="1"/>
      <x:c r="B2007" s="1"/>
      <x:c r="C2007" s="16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  <x:c r="W2007" s="1"/>
      <x:c r="X2007" s="1"/>
      <x:c r="Y2007" s="1"/>
      <x:c r="Z2007" s="1"/>
      <x:c r="AA2007" s="1"/>
      <x:c r="AB2007" s="1"/>
      <x:c r="AC2007" s="1"/>
      <x:c r="AD2007" s="1"/>
      <x:c r="AE2007" s="1"/>
      <x:c r="AF2007" s="1"/>
      <x:c r="AG2007" s="1"/>
      <x:c r="AH2007" s="1"/>
      <x:c r="AI2007" s="1"/>
      <x:c r="AJ2007" s="1"/>
      <x:c r="AK2007" s="1"/>
      <x:c r="AL2007" s="1"/>
      <x:c r="AM2007" s="1"/>
      <x:c r="AN2007" s="1"/>
    </x:row>
    <x:row r="2008" ht="22" customHeight="1">
      <x:c r="A2008" s="1"/>
      <x:c r="B2008" s="1"/>
      <x:c r="C2008" s="16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  <x:c r="W2008" s="1"/>
      <x:c r="X2008" s="1"/>
      <x:c r="Y2008" s="1"/>
      <x:c r="Z2008" s="1"/>
      <x:c r="AA2008" s="1"/>
      <x:c r="AB2008" s="1"/>
      <x:c r="AC2008" s="1"/>
      <x:c r="AD2008" s="1"/>
      <x:c r="AE2008" s="1"/>
      <x:c r="AF2008" s="1"/>
      <x:c r="AG2008" s="1"/>
      <x:c r="AH2008" s="1"/>
      <x:c r="AI2008" s="1"/>
      <x:c r="AJ2008" s="1"/>
      <x:c r="AK2008" s="1"/>
      <x:c r="AL2008" s="1"/>
      <x:c r="AM2008" s="1"/>
      <x:c r="AN2008" s="1"/>
    </x:row>
    <x:row r="2009" ht="22" customHeight="1">
      <x:c r="A2009" s="1"/>
      <x:c r="B2009" s="1"/>
      <x:c r="C2009" s="16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  <x:c r="W2009" s="1"/>
      <x:c r="X2009" s="1"/>
      <x:c r="Y2009" s="1"/>
      <x:c r="Z2009" s="1"/>
      <x:c r="AA2009" s="1"/>
      <x:c r="AB2009" s="1"/>
      <x:c r="AC2009" s="1"/>
      <x:c r="AD2009" s="1"/>
      <x:c r="AE2009" s="1"/>
      <x:c r="AF2009" s="1"/>
      <x:c r="AG2009" s="1"/>
      <x:c r="AH2009" s="1"/>
      <x:c r="AI2009" s="1"/>
      <x:c r="AJ2009" s="1"/>
      <x:c r="AK2009" s="1"/>
      <x:c r="AL2009" s="1"/>
      <x:c r="AM2009" s="1"/>
      <x:c r="AN2009" s="1"/>
    </x:row>
    <x:row r="2010" ht="22" customHeight="1">
      <x:c r="A2010" s="1"/>
      <x:c r="B2010" s="1"/>
      <x:c r="C2010" s="16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  <x:c r="W2010" s="1"/>
      <x:c r="X2010" s="1"/>
      <x:c r="Y2010" s="1"/>
      <x:c r="Z2010" s="1"/>
      <x:c r="AA2010" s="1"/>
      <x:c r="AB2010" s="1"/>
      <x:c r="AC2010" s="1"/>
      <x:c r="AD2010" s="1"/>
      <x:c r="AE2010" s="1"/>
      <x:c r="AF2010" s="1"/>
      <x:c r="AG2010" s="1"/>
      <x:c r="AH2010" s="1"/>
      <x:c r="AI2010" s="1"/>
      <x:c r="AJ2010" s="1"/>
      <x:c r="AK2010" s="1"/>
      <x:c r="AL2010" s="1"/>
      <x:c r="AM2010" s="1"/>
      <x:c r="AN2010" s="1"/>
    </x:row>
    <x:row r="2011" ht="22" customHeight="1">
      <x:c r="A2011" s="1"/>
      <x:c r="B2011" s="1"/>
      <x:c r="C2011" s="16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  <x:c r="W2011" s="1"/>
      <x:c r="X2011" s="1"/>
      <x:c r="Y2011" s="1"/>
      <x:c r="Z2011" s="1"/>
      <x:c r="AA2011" s="1"/>
      <x:c r="AB2011" s="1"/>
      <x:c r="AC2011" s="1"/>
      <x:c r="AD2011" s="1"/>
      <x:c r="AE2011" s="1"/>
      <x:c r="AF2011" s="1"/>
      <x:c r="AG2011" s="1"/>
      <x:c r="AH2011" s="1"/>
      <x:c r="AI2011" s="1"/>
      <x:c r="AJ2011" s="1"/>
      <x:c r="AK2011" s="1"/>
      <x:c r="AL2011" s="1"/>
      <x:c r="AM2011" s="1"/>
      <x:c r="AN2011" s="1"/>
    </x:row>
    <x:row r="2012" ht="22" customHeight="1">
      <x:c r="A2012" s="1"/>
      <x:c r="B2012" s="1"/>
      <x:c r="C2012" s="16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  <x:c r="W2012" s="1"/>
      <x:c r="X2012" s="1"/>
      <x:c r="Y2012" s="1"/>
      <x:c r="Z2012" s="1"/>
      <x:c r="AA2012" s="1"/>
      <x:c r="AB2012" s="1"/>
      <x:c r="AC2012" s="1"/>
      <x:c r="AD2012" s="1"/>
      <x:c r="AE2012" s="1"/>
      <x:c r="AF2012" s="1"/>
      <x:c r="AG2012" s="1"/>
      <x:c r="AH2012" s="1"/>
      <x:c r="AI2012" s="1"/>
      <x:c r="AJ2012" s="1"/>
      <x:c r="AK2012" s="1"/>
      <x:c r="AL2012" s="1"/>
      <x:c r="AM2012" s="1"/>
      <x:c r="AN2012" s="1"/>
    </x:row>
    <x:row r="2013" ht="22" customHeight="1">
      <x:c r="A2013" s="1"/>
      <x:c r="B2013" s="1"/>
      <x:c r="C2013" s="16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  <x:c r="W2013" s="1"/>
      <x:c r="X2013" s="1"/>
      <x:c r="Y2013" s="1"/>
      <x:c r="Z2013" s="1"/>
      <x:c r="AA2013" s="1"/>
      <x:c r="AB2013" s="1"/>
      <x:c r="AC2013" s="1"/>
      <x:c r="AD2013" s="1"/>
      <x:c r="AE2013" s="1"/>
      <x:c r="AF2013" s="1"/>
      <x:c r="AG2013" s="1"/>
      <x:c r="AH2013" s="1"/>
      <x:c r="AI2013" s="1"/>
      <x:c r="AJ2013" s="1"/>
      <x:c r="AK2013" s="1"/>
      <x:c r="AL2013" s="1"/>
      <x:c r="AM2013" s="1"/>
      <x:c r="AN2013" s="1"/>
    </x:row>
    <x:row r="2014" ht="22" customHeight="1">
      <x:c r="A2014" s="1"/>
      <x:c r="B2014" s="1"/>
      <x:c r="C2014" s="16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  <x:c r="W2014" s="1"/>
      <x:c r="X2014" s="1"/>
      <x:c r="Y2014" s="1"/>
      <x:c r="Z2014" s="1"/>
      <x:c r="AA2014" s="1"/>
      <x:c r="AB2014" s="1"/>
      <x:c r="AC2014" s="1"/>
      <x:c r="AD2014" s="1"/>
      <x:c r="AE2014" s="1"/>
      <x:c r="AF2014" s="1"/>
      <x:c r="AG2014" s="1"/>
      <x:c r="AH2014" s="1"/>
      <x:c r="AI2014" s="1"/>
      <x:c r="AJ2014" s="1"/>
      <x:c r="AK2014" s="1"/>
      <x:c r="AL2014" s="1"/>
      <x:c r="AM2014" s="1"/>
      <x:c r="AN2014" s="1"/>
    </x:row>
    <x:row r="2015" ht="22" customHeight="1">
      <x:c r="A2015" s="1"/>
      <x:c r="B2015" s="1"/>
      <x:c r="C2015" s="16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  <x:c r="W2015" s="1"/>
      <x:c r="X2015" s="1"/>
      <x:c r="Y2015" s="1"/>
      <x:c r="Z2015" s="1"/>
      <x:c r="AA2015" s="1"/>
      <x:c r="AB2015" s="1"/>
      <x:c r="AC2015" s="1"/>
      <x:c r="AD2015" s="1"/>
      <x:c r="AE2015" s="1"/>
      <x:c r="AF2015" s="1"/>
      <x:c r="AG2015" s="1"/>
      <x:c r="AH2015" s="1"/>
      <x:c r="AI2015" s="1"/>
      <x:c r="AJ2015" s="1"/>
      <x:c r="AK2015" s="1"/>
      <x:c r="AL2015" s="1"/>
      <x:c r="AM2015" s="1"/>
      <x:c r="AN2015" s="1"/>
    </x:row>
    <x:row r="2016" ht="22" customHeight="1">
      <x:c r="A2016" s="1"/>
      <x:c r="B2016" s="1"/>
      <x:c r="C2016" s="16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  <x:c r="W2016" s="1"/>
      <x:c r="X2016" s="1"/>
      <x:c r="Y2016" s="1"/>
      <x:c r="Z2016" s="1"/>
      <x:c r="AA2016" s="1"/>
      <x:c r="AB2016" s="1"/>
      <x:c r="AC2016" s="1"/>
      <x:c r="AD2016" s="1"/>
      <x:c r="AE2016" s="1"/>
      <x:c r="AF2016" s="1"/>
      <x:c r="AG2016" s="1"/>
      <x:c r="AH2016" s="1"/>
      <x:c r="AI2016" s="1"/>
      <x:c r="AJ2016" s="1"/>
      <x:c r="AK2016" s="1"/>
      <x:c r="AL2016" s="1"/>
      <x:c r="AM2016" s="1"/>
      <x:c r="AN2016" s="1"/>
    </x:row>
    <x:row r="2017" ht="22" customHeight="1">
      <x:c r="A2017" s="1"/>
      <x:c r="B2017" s="1"/>
      <x:c r="C2017" s="16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  <x:c r="W2017" s="1"/>
      <x:c r="X2017" s="1"/>
      <x:c r="Y2017" s="1"/>
      <x:c r="Z2017" s="1"/>
      <x:c r="AA2017" s="1"/>
      <x:c r="AB2017" s="1"/>
      <x:c r="AC2017" s="1"/>
      <x:c r="AD2017" s="1"/>
      <x:c r="AE2017" s="1"/>
      <x:c r="AF2017" s="1"/>
      <x:c r="AG2017" s="1"/>
      <x:c r="AH2017" s="1"/>
      <x:c r="AI2017" s="1"/>
      <x:c r="AJ2017" s="1"/>
      <x:c r="AK2017" s="1"/>
      <x:c r="AL2017" s="1"/>
      <x:c r="AM2017" s="1"/>
      <x:c r="AN2017" s="1"/>
    </x:row>
    <x:row r="2018" ht="22" customHeight="1">
      <x:c r="A2018" s="1"/>
      <x:c r="B2018" s="1"/>
      <x:c r="C2018" s="16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  <x:c r="W2018" s="1"/>
      <x:c r="X2018" s="1"/>
      <x:c r="Y2018" s="1"/>
      <x:c r="Z2018" s="1"/>
      <x:c r="AA2018" s="1"/>
      <x:c r="AB2018" s="1"/>
      <x:c r="AC2018" s="1"/>
      <x:c r="AD2018" s="1"/>
      <x:c r="AE2018" s="1"/>
      <x:c r="AF2018" s="1"/>
      <x:c r="AG2018" s="1"/>
      <x:c r="AH2018" s="1"/>
      <x:c r="AI2018" s="1"/>
      <x:c r="AJ2018" s="1"/>
      <x:c r="AK2018" s="1"/>
      <x:c r="AL2018" s="1"/>
      <x:c r="AM2018" s="1"/>
      <x:c r="AN2018" s="1"/>
    </x:row>
    <x:row r="2019" ht="22" customHeight="1">
      <x:c r="A2019" s="1"/>
      <x:c r="B2019" s="1"/>
      <x:c r="C2019" s="16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  <x:c r="W2019" s="1"/>
      <x:c r="X2019" s="1"/>
      <x:c r="Y2019" s="1"/>
      <x:c r="Z2019" s="1"/>
      <x:c r="AA2019" s="1"/>
      <x:c r="AB2019" s="1"/>
      <x:c r="AC2019" s="1"/>
      <x:c r="AD2019" s="1"/>
      <x:c r="AE2019" s="1"/>
      <x:c r="AF2019" s="1"/>
      <x:c r="AG2019" s="1"/>
      <x:c r="AH2019" s="1"/>
      <x:c r="AI2019" s="1"/>
      <x:c r="AJ2019" s="1"/>
      <x:c r="AK2019" s="1"/>
      <x:c r="AL2019" s="1"/>
      <x:c r="AM2019" s="1"/>
      <x:c r="AN2019" s="1"/>
    </x:row>
    <x:row r="2020" ht="22" customHeight="1">
      <x:c r="A2020" s="1"/>
      <x:c r="B2020" s="1"/>
      <x:c r="C2020" s="16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  <x:c r="W2020" s="1"/>
      <x:c r="X2020" s="1"/>
      <x:c r="Y2020" s="1"/>
      <x:c r="Z2020" s="1"/>
      <x:c r="AA2020" s="1"/>
      <x:c r="AB2020" s="1"/>
      <x:c r="AC2020" s="1"/>
      <x:c r="AD2020" s="1"/>
      <x:c r="AE2020" s="1"/>
      <x:c r="AF2020" s="1"/>
      <x:c r="AG2020" s="1"/>
      <x:c r="AH2020" s="1"/>
      <x:c r="AI2020" s="1"/>
      <x:c r="AJ2020" s="1"/>
      <x:c r="AK2020" s="1"/>
      <x:c r="AL2020" s="1"/>
      <x:c r="AM2020" s="1"/>
      <x:c r="AN2020" s="1"/>
    </x:row>
    <x:row r="2021" ht="22" customHeight="1">
      <x:c r="A2021" s="1"/>
      <x:c r="B2021" s="1"/>
      <x:c r="C2021" s="16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  <x:c r="W2021" s="1"/>
      <x:c r="X2021" s="1"/>
      <x:c r="Y2021" s="1"/>
      <x:c r="Z2021" s="1"/>
      <x:c r="AA2021" s="1"/>
      <x:c r="AB2021" s="1"/>
      <x:c r="AC2021" s="1"/>
      <x:c r="AD2021" s="1"/>
      <x:c r="AE2021" s="1"/>
      <x:c r="AF2021" s="1"/>
      <x:c r="AG2021" s="1"/>
      <x:c r="AH2021" s="1"/>
      <x:c r="AI2021" s="1"/>
      <x:c r="AJ2021" s="1"/>
      <x:c r="AK2021" s="1"/>
      <x:c r="AL2021" s="1"/>
      <x:c r="AM2021" s="1"/>
      <x:c r="AN2021" s="1"/>
    </x:row>
    <x:row r="2022" ht="22" customHeight="1">
      <x:c r="A2022" s="1"/>
      <x:c r="B2022" s="1"/>
      <x:c r="C2022" s="16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  <x:c r="W2022" s="1"/>
      <x:c r="X2022" s="1"/>
      <x:c r="Y2022" s="1"/>
      <x:c r="Z2022" s="1"/>
      <x:c r="AA2022" s="1"/>
      <x:c r="AB2022" s="1"/>
      <x:c r="AC2022" s="1"/>
      <x:c r="AD2022" s="1"/>
      <x:c r="AE2022" s="1"/>
      <x:c r="AF2022" s="1"/>
      <x:c r="AG2022" s="1"/>
      <x:c r="AH2022" s="1"/>
      <x:c r="AI2022" s="1"/>
      <x:c r="AJ2022" s="1"/>
      <x:c r="AK2022" s="1"/>
      <x:c r="AL2022" s="1"/>
      <x:c r="AM2022" s="1"/>
      <x:c r="AN2022" s="1"/>
    </x:row>
    <x:row r="2023" ht="22" customHeight="1">
      <x:c r="A2023" s="1"/>
      <x:c r="B2023" s="1"/>
      <x:c r="C2023" s="16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  <x:c r="W2023" s="1"/>
      <x:c r="X2023" s="1"/>
      <x:c r="Y2023" s="1"/>
      <x:c r="Z2023" s="1"/>
      <x:c r="AA2023" s="1"/>
      <x:c r="AB2023" s="1"/>
      <x:c r="AC2023" s="1"/>
      <x:c r="AD2023" s="1"/>
      <x:c r="AE2023" s="1"/>
      <x:c r="AF2023" s="1"/>
      <x:c r="AG2023" s="1"/>
      <x:c r="AH2023" s="1"/>
      <x:c r="AI2023" s="1"/>
      <x:c r="AJ2023" s="1"/>
      <x:c r="AK2023" s="1"/>
      <x:c r="AL2023" s="1"/>
      <x:c r="AM2023" s="1"/>
      <x:c r="AN2023" s="1"/>
    </x:row>
    <x:row r="2024" ht="22" customHeight="1">
      <x:c r="A2024" s="1"/>
      <x:c r="B2024" s="1"/>
      <x:c r="C2024" s="16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  <x:c r="W2024" s="1"/>
      <x:c r="X2024" s="1"/>
      <x:c r="Y2024" s="1"/>
      <x:c r="Z2024" s="1"/>
      <x:c r="AA2024" s="1"/>
      <x:c r="AB2024" s="1"/>
      <x:c r="AC2024" s="1"/>
      <x:c r="AD2024" s="1"/>
      <x:c r="AE2024" s="1"/>
      <x:c r="AF2024" s="1"/>
      <x:c r="AG2024" s="1"/>
      <x:c r="AH2024" s="1"/>
      <x:c r="AI2024" s="1"/>
      <x:c r="AJ2024" s="1"/>
      <x:c r="AK2024" s="1"/>
      <x:c r="AL2024" s="1"/>
      <x:c r="AM2024" s="1"/>
      <x:c r="AN2024" s="1"/>
    </x:row>
    <x:row r="2025" ht="22" customHeight="1">
      <x:c r="A2025" s="1"/>
      <x:c r="B2025" s="1"/>
      <x:c r="C2025" s="16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  <x:c r="W2025" s="1"/>
      <x:c r="X2025" s="1"/>
      <x:c r="Y2025" s="1"/>
      <x:c r="Z2025" s="1"/>
      <x:c r="AA2025" s="1"/>
      <x:c r="AB2025" s="1"/>
      <x:c r="AC2025" s="1"/>
      <x:c r="AD2025" s="1"/>
      <x:c r="AE2025" s="1"/>
      <x:c r="AF2025" s="1"/>
      <x:c r="AG2025" s="1"/>
      <x:c r="AH2025" s="1"/>
      <x:c r="AI2025" s="1"/>
      <x:c r="AJ2025" s="1"/>
      <x:c r="AK2025" s="1"/>
      <x:c r="AL2025" s="1"/>
      <x:c r="AM2025" s="1"/>
      <x:c r="AN2025" s="1"/>
    </x:row>
    <x:row r="2026" ht="22" customHeight="1">
      <x:c r="A2026" s="1"/>
      <x:c r="B2026" s="1"/>
      <x:c r="C2026" s="16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  <x:c r="W2026" s="1"/>
      <x:c r="X2026" s="1"/>
      <x:c r="Y2026" s="1"/>
      <x:c r="Z2026" s="1"/>
      <x:c r="AA2026" s="1"/>
      <x:c r="AB2026" s="1"/>
      <x:c r="AC2026" s="1"/>
      <x:c r="AD2026" s="1"/>
      <x:c r="AE2026" s="1"/>
      <x:c r="AF2026" s="1"/>
      <x:c r="AG2026" s="1"/>
      <x:c r="AH2026" s="1"/>
      <x:c r="AI2026" s="1"/>
      <x:c r="AJ2026" s="1"/>
      <x:c r="AK2026" s="1"/>
      <x:c r="AL2026" s="1"/>
      <x:c r="AM2026" s="1"/>
      <x:c r="AN2026" s="1"/>
    </x:row>
    <x:row r="2027" ht="22" customHeight="1">
      <x:c r="A2027" s="1"/>
      <x:c r="B2027" s="1"/>
      <x:c r="C2027" s="16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  <x:c r="W2027" s="1"/>
      <x:c r="X2027" s="1"/>
      <x:c r="Y2027" s="1"/>
      <x:c r="Z2027" s="1"/>
      <x:c r="AA2027" s="1"/>
      <x:c r="AB2027" s="1"/>
      <x:c r="AC2027" s="1"/>
      <x:c r="AD2027" s="1"/>
      <x:c r="AE2027" s="1"/>
      <x:c r="AF2027" s="1"/>
      <x:c r="AG2027" s="1"/>
      <x:c r="AH2027" s="1"/>
      <x:c r="AI2027" s="1"/>
      <x:c r="AJ2027" s="1"/>
      <x:c r="AK2027" s="1"/>
      <x:c r="AL2027" s="1"/>
      <x:c r="AM2027" s="1"/>
      <x:c r="AN2027" s="1"/>
    </x:row>
    <x:row r="2028" ht="22" customHeight="1">
      <x:c r="A2028" s="1"/>
      <x:c r="B2028" s="1"/>
      <x:c r="C2028" s="16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  <x:c r="W2028" s="1"/>
      <x:c r="X2028" s="1"/>
      <x:c r="Y2028" s="1"/>
      <x:c r="Z2028" s="1"/>
      <x:c r="AA2028" s="1"/>
      <x:c r="AB2028" s="1"/>
      <x:c r="AC2028" s="1"/>
      <x:c r="AD2028" s="1"/>
      <x:c r="AE2028" s="1"/>
      <x:c r="AF2028" s="1"/>
      <x:c r="AG2028" s="1"/>
      <x:c r="AH2028" s="1"/>
      <x:c r="AI2028" s="1"/>
      <x:c r="AJ2028" s="1"/>
      <x:c r="AK2028" s="1"/>
      <x:c r="AL2028" s="1"/>
      <x:c r="AM2028" s="1"/>
      <x:c r="AN2028" s="1"/>
    </x:row>
    <x:row r="2029" ht="22" customHeight="1">
      <x:c r="A2029" s="1"/>
      <x:c r="B2029" s="1"/>
      <x:c r="C2029" s="16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  <x:c r="W2029" s="1"/>
      <x:c r="X2029" s="1"/>
      <x:c r="Y2029" s="1"/>
      <x:c r="Z2029" s="1"/>
      <x:c r="AA2029" s="1"/>
      <x:c r="AB2029" s="1"/>
      <x:c r="AC2029" s="1"/>
      <x:c r="AD2029" s="1"/>
      <x:c r="AE2029" s="1"/>
      <x:c r="AF2029" s="1"/>
      <x:c r="AG2029" s="1"/>
      <x:c r="AH2029" s="1"/>
      <x:c r="AI2029" s="1"/>
      <x:c r="AJ2029" s="1"/>
      <x:c r="AK2029" s="1"/>
      <x:c r="AL2029" s="1"/>
      <x:c r="AM2029" s="1"/>
      <x:c r="AN2029" s="1"/>
    </x:row>
    <x:row r="2030" ht="22" customHeight="1">
      <x:c r="A2030" s="1"/>
      <x:c r="B2030" s="1"/>
      <x:c r="C2030" s="16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  <x:c r="W2030" s="1"/>
      <x:c r="X2030" s="1"/>
      <x:c r="Y2030" s="1"/>
      <x:c r="Z2030" s="1"/>
      <x:c r="AA2030" s="1"/>
      <x:c r="AB2030" s="1"/>
      <x:c r="AC2030" s="1"/>
      <x:c r="AD2030" s="1"/>
      <x:c r="AE2030" s="1"/>
      <x:c r="AF2030" s="1"/>
      <x:c r="AG2030" s="1"/>
      <x:c r="AH2030" s="1"/>
      <x:c r="AI2030" s="1"/>
      <x:c r="AJ2030" s="1"/>
      <x:c r="AK2030" s="1"/>
      <x:c r="AL2030" s="1"/>
      <x:c r="AM2030" s="1"/>
      <x:c r="AN2030" s="1"/>
    </x:row>
    <x:row r="2031" ht="22" customHeight="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  <x:c r="W2031" s="1"/>
      <x:c r="X2031" s="1"/>
      <x:c r="Y2031" s="1"/>
      <x:c r="Z2031" s="1"/>
      <x:c r="AA2031" s="1"/>
      <x:c r="AB2031" s="1"/>
      <x:c r="AC2031" s="1"/>
      <x:c r="AD2031" s="1"/>
      <x:c r="AE2031" s="1"/>
      <x:c r="AF2031" s="1"/>
      <x:c r="AG2031" s="1"/>
      <x:c r="AH2031" s="1"/>
      <x:c r="AI2031" s="1"/>
      <x:c r="AJ2031" s="1"/>
      <x:c r="AK2031" s="1"/>
      <x:c r="AL2031" s="1"/>
      <x:c r="AM2031" s="1"/>
      <x:c r="AN2031" s="1"/>
    </x:row>
    <x:row r="2032" ht="22" customHeight="1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  <x:c r="W2032" s="1"/>
      <x:c r="X2032" s="1"/>
      <x:c r="Y2032" s="1"/>
      <x:c r="Z2032" s="1"/>
      <x:c r="AA2032" s="1"/>
      <x:c r="AB2032" s="1"/>
      <x:c r="AC2032" s="1"/>
      <x:c r="AD2032" s="1"/>
      <x:c r="AE2032" s="1"/>
      <x:c r="AF2032" s="1"/>
      <x:c r="AG2032" s="1"/>
      <x:c r="AH2032" s="1"/>
      <x:c r="AI2032" s="1"/>
      <x:c r="AJ2032" s="1"/>
      <x:c r="AK2032" s="1"/>
      <x:c r="AL2032" s="1"/>
      <x:c r="AM2032" s="1"/>
      <x:c r="AN2032" s="1"/>
    </x:row>
    <x:row r="2033" ht="22" customHeight="1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  <x:c r="W2033" s="1"/>
      <x:c r="X2033" s="1"/>
      <x:c r="Y2033" s="1"/>
      <x:c r="Z2033" s="1"/>
      <x:c r="AA2033" s="1"/>
      <x:c r="AB2033" s="1"/>
      <x:c r="AC2033" s="1"/>
      <x:c r="AD2033" s="1"/>
      <x:c r="AE2033" s="1"/>
      <x:c r="AF2033" s="1"/>
      <x:c r="AG2033" s="1"/>
      <x:c r="AH2033" s="1"/>
      <x:c r="AI2033" s="1"/>
      <x:c r="AJ2033" s="1"/>
      <x:c r="AK2033" s="1"/>
      <x:c r="AL2033" s="1"/>
      <x:c r="AM2033" s="1"/>
      <x:c r="AN2033" s="1"/>
    </x:row>
    <x:row r="2034" ht="22" customHeight="1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  <x:c r="W2034" s="1"/>
      <x:c r="X2034" s="1"/>
      <x:c r="Y2034" s="1"/>
      <x:c r="Z2034" s="1"/>
      <x:c r="AA2034" s="1"/>
      <x:c r="AB2034" s="1"/>
      <x:c r="AC2034" s="1"/>
      <x:c r="AD2034" s="1"/>
      <x:c r="AE2034" s="1"/>
      <x:c r="AF2034" s="1"/>
      <x:c r="AG2034" s="1"/>
      <x:c r="AH2034" s="1"/>
      <x:c r="AI2034" s="1"/>
      <x:c r="AJ2034" s="1"/>
      <x:c r="AK2034" s="1"/>
      <x:c r="AL2034" s="1"/>
      <x:c r="AM2034" s="1"/>
      <x:c r="AN2034" s="1"/>
    </x:row>
    <x:row r="2035" ht="22" customHeight="1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  <x:c r="W2035" s="1"/>
      <x:c r="X2035" s="1"/>
      <x:c r="Y2035" s="1"/>
      <x:c r="Z2035" s="1"/>
      <x:c r="AA2035" s="1"/>
      <x:c r="AB2035" s="1"/>
      <x:c r="AC2035" s="1"/>
      <x:c r="AD2035" s="1"/>
      <x:c r="AE2035" s="1"/>
      <x:c r="AF2035" s="1"/>
      <x:c r="AG2035" s="1"/>
      <x:c r="AH2035" s="1"/>
      <x:c r="AI2035" s="1"/>
      <x:c r="AJ2035" s="1"/>
      <x:c r="AK2035" s="1"/>
      <x:c r="AL2035" s="1"/>
      <x:c r="AM2035" s="1"/>
      <x:c r="AN2035" s="1"/>
    </x:row>
    <x:row r="2036" ht="22" customHeight="1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  <x:c r="W2036" s="1"/>
      <x:c r="X2036" s="1"/>
      <x:c r="Y2036" s="1"/>
      <x:c r="Z2036" s="1"/>
      <x:c r="AA2036" s="1"/>
      <x:c r="AB2036" s="1"/>
      <x:c r="AC2036" s="1"/>
      <x:c r="AD2036" s="1"/>
      <x:c r="AE2036" s="1"/>
      <x:c r="AF2036" s="1"/>
      <x:c r="AG2036" s="1"/>
      <x:c r="AH2036" s="1"/>
      <x:c r="AI2036" s="1"/>
      <x:c r="AJ2036" s="1"/>
      <x:c r="AK2036" s="1"/>
      <x:c r="AL2036" s="1"/>
      <x:c r="AM2036" s="1"/>
      <x:c r="AN2036" s="1"/>
    </x:row>
    <x:row r="2037" ht="22" customHeight="1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  <x:c r="W2037" s="1"/>
      <x:c r="X2037" s="1"/>
      <x:c r="Y2037" s="1"/>
      <x:c r="Z2037" s="1"/>
      <x:c r="AA2037" s="1"/>
      <x:c r="AB2037" s="1"/>
      <x:c r="AC2037" s="1"/>
      <x:c r="AD2037" s="1"/>
      <x:c r="AE2037" s="1"/>
      <x:c r="AF2037" s="1"/>
      <x:c r="AG2037" s="1"/>
      <x:c r="AH2037" s="1"/>
      <x:c r="AI2037" s="1"/>
      <x:c r="AJ2037" s="1"/>
      <x:c r="AK2037" s="1"/>
      <x:c r="AL2037" s="1"/>
      <x:c r="AM2037" s="1"/>
      <x:c r="AN2037" s="1"/>
    </x:row>
    <x:row r="2038" ht="22" customHeight="1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  <x:c r="W2038" s="1"/>
      <x:c r="X2038" s="1"/>
      <x:c r="Y2038" s="1"/>
      <x:c r="Z2038" s="1"/>
      <x:c r="AA2038" s="1"/>
      <x:c r="AB2038" s="1"/>
      <x:c r="AC2038" s="1"/>
      <x:c r="AD2038" s="1"/>
      <x:c r="AE2038" s="1"/>
      <x:c r="AF2038" s="1"/>
      <x:c r="AG2038" s="1"/>
      <x:c r="AH2038" s="1"/>
      <x:c r="AI2038" s="1"/>
      <x:c r="AJ2038" s="1"/>
      <x:c r="AK2038" s="1"/>
      <x:c r="AL2038" s="1"/>
      <x:c r="AM2038" s="1"/>
      <x:c r="AN2038" s="1"/>
    </x:row>
    <x:row r="2039" ht="22" customHeight="1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  <x:c r="W2039" s="1"/>
      <x:c r="X2039" s="1"/>
      <x:c r="Y2039" s="1"/>
      <x:c r="Z2039" s="1"/>
      <x:c r="AA2039" s="1"/>
      <x:c r="AB2039" s="1"/>
      <x:c r="AC2039" s="1"/>
      <x:c r="AD2039" s="1"/>
      <x:c r="AE2039" s="1"/>
      <x:c r="AF2039" s="1"/>
      <x:c r="AG2039" s="1"/>
      <x:c r="AH2039" s="1"/>
      <x:c r="AI2039" s="1"/>
      <x:c r="AJ2039" s="1"/>
      <x:c r="AK2039" s="1"/>
      <x:c r="AL2039" s="1"/>
      <x:c r="AM2039" s="1"/>
      <x:c r="AN2039" s="1"/>
    </x:row>
    <x:row r="2040" ht="22" customHeight="1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  <x:c r="W2040" s="1"/>
      <x:c r="X2040" s="1"/>
      <x:c r="Y2040" s="1"/>
      <x:c r="Z2040" s="1"/>
      <x:c r="AA2040" s="1"/>
      <x:c r="AB2040" s="1"/>
      <x:c r="AC2040" s="1"/>
      <x:c r="AD2040" s="1"/>
      <x:c r="AE2040" s="1"/>
      <x:c r="AF2040" s="1"/>
      <x:c r="AG2040" s="1"/>
      <x:c r="AH2040" s="1"/>
      <x:c r="AI2040" s="1"/>
      <x:c r="AJ2040" s="1"/>
      <x:c r="AK2040" s="1"/>
      <x:c r="AL2040" s="1"/>
      <x:c r="AM2040" s="1"/>
      <x:c r="AN2040" s="1"/>
    </x:row>
    <x:row r="2041" ht="22" customHeight="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  <x:c r="W2041" s="1"/>
      <x:c r="X2041" s="1"/>
      <x:c r="Y2041" s="1"/>
      <x:c r="Z2041" s="1"/>
      <x:c r="AA2041" s="1"/>
      <x:c r="AB2041" s="1"/>
      <x:c r="AC2041" s="1"/>
      <x:c r="AD2041" s="1"/>
      <x:c r="AE2041" s="1"/>
      <x:c r="AF2041" s="1"/>
      <x:c r="AG2041" s="1"/>
      <x:c r="AH2041" s="1"/>
      <x:c r="AI2041" s="1"/>
      <x:c r="AJ2041" s="1"/>
      <x:c r="AK2041" s="1"/>
      <x:c r="AL2041" s="1"/>
      <x:c r="AM2041" s="1"/>
      <x:c r="AN2041" s="1"/>
    </x:row>
    <x:row r="2042" ht="22" customHeight="1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  <x:c r="W2042" s="1"/>
      <x:c r="X2042" s="1"/>
      <x:c r="Y2042" s="1"/>
      <x:c r="Z2042" s="1"/>
      <x:c r="AA2042" s="1"/>
      <x:c r="AB2042" s="1"/>
      <x:c r="AC2042" s="1"/>
      <x:c r="AD2042" s="1"/>
      <x:c r="AE2042" s="1"/>
      <x:c r="AF2042" s="1"/>
      <x:c r="AG2042" s="1"/>
      <x:c r="AH2042" s="1"/>
      <x:c r="AI2042" s="1"/>
      <x:c r="AJ2042" s="1"/>
      <x:c r="AK2042" s="1"/>
      <x:c r="AL2042" s="1"/>
      <x:c r="AM2042" s="1"/>
      <x:c r="AN2042" s="1"/>
    </x:row>
    <x:row r="2043" ht="22" customHeight="1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  <x:c r="W2043" s="1"/>
      <x:c r="X2043" s="1"/>
      <x:c r="Y2043" s="1"/>
      <x:c r="Z2043" s="1"/>
      <x:c r="AA2043" s="1"/>
      <x:c r="AB2043" s="1"/>
      <x:c r="AC2043" s="1"/>
      <x:c r="AD2043" s="1"/>
      <x:c r="AE2043" s="1"/>
      <x:c r="AF2043" s="1"/>
      <x:c r="AG2043" s="1"/>
      <x:c r="AH2043" s="1"/>
      <x:c r="AI2043" s="1"/>
      <x:c r="AJ2043" s="1"/>
      <x:c r="AK2043" s="1"/>
      <x:c r="AL2043" s="1"/>
      <x:c r="AM2043" s="1"/>
      <x:c r="AN2043" s="1"/>
    </x:row>
    <x:row r="2044" ht="22" customHeight="1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  <x:c r="W2044" s="1"/>
      <x:c r="X2044" s="1"/>
      <x:c r="Y2044" s="1"/>
      <x:c r="Z2044" s="1"/>
      <x:c r="AA2044" s="1"/>
      <x:c r="AB2044" s="1"/>
      <x:c r="AC2044" s="1"/>
      <x:c r="AD2044" s="1"/>
      <x:c r="AE2044" s="1"/>
      <x:c r="AF2044" s="1"/>
      <x:c r="AG2044" s="1"/>
      <x:c r="AH2044" s="1"/>
      <x:c r="AI2044" s="1"/>
      <x:c r="AJ2044" s="1"/>
      <x:c r="AK2044" s="1"/>
      <x:c r="AL2044" s="1"/>
      <x:c r="AM2044" s="1"/>
      <x:c r="AN2044" s="1"/>
    </x:row>
    <x:row r="2045" ht="22" customHeight="1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  <x:c r="W2045" s="1"/>
      <x:c r="X2045" s="1"/>
      <x:c r="Y2045" s="1"/>
      <x:c r="Z2045" s="1"/>
      <x:c r="AA2045" s="1"/>
      <x:c r="AB2045" s="1"/>
      <x:c r="AC2045" s="1"/>
      <x:c r="AD2045" s="1"/>
      <x:c r="AE2045" s="1"/>
      <x:c r="AF2045" s="1"/>
      <x:c r="AG2045" s="1"/>
      <x:c r="AH2045" s="1"/>
      <x:c r="AI2045" s="1"/>
      <x:c r="AJ2045" s="1"/>
      <x:c r="AK2045" s="1"/>
      <x:c r="AL2045" s="1"/>
      <x:c r="AM2045" s="1"/>
      <x:c r="AN2045" s="1"/>
    </x:row>
    <x:row r="2046" ht="22" customHeight="1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  <x:c r="W2046" s="1"/>
      <x:c r="X2046" s="1"/>
      <x:c r="Y2046" s="1"/>
      <x:c r="Z2046" s="1"/>
      <x:c r="AA2046" s="1"/>
      <x:c r="AB2046" s="1"/>
      <x:c r="AC2046" s="1"/>
      <x:c r="AD2046" s="1"/>
      <x:c r="AE2046" s="1"/>
      <x:c r="AF2046" s="1"/>
      <x:c r="AG2046" s="1"/>
      <x:c r="AH2046" s="1"/>
      <x:c r="AI2046" s="1"/>
      <x:c r="AJ2046" s="1"/>
      <x:c r="AK2046" s="1"/>
      <x:c r="AL2046" s="1"/>
      <x:c r="AM2046" s="1"/>
      <x:c r="AN2046" s="1"/>
    </x:row>
    <x:row r="2047" ht="22" customHeight="1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  <x:c r="W2047" s="1"/>
      <x:c r="X2047" s="1"/>
      <x:c r="Y2047" s="1"/>
      <x:c r="Z2047" s="1"/>
      <x:c r="AA2047" s="1"/>
      <x:c r="AB2047" s="1"/>
      <x:c r="AC2047" s="1"/>
      <x:c r="AD2047" s="1"/>
      <x:c r="AE2047" s="1"/>
      <x:c r="AF2047" s="1"/>
      <x:c r="AG2047" s="1"/>
      <x:c r="AH2047" s="1"/>
      <x:c r="AI2047" s="1"/>
      <x:c r="AJ2047" s="1"/>
      <x:c r="AK2047" s="1"/>
      <x:c r="AL2047" s="1"/>
      <x:c r="AM2047" s="1"/>
      <x:c r="AN2047" s="1"/>
    </x:row>
    <x:row r="2048" ht="22" customHeight="1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  <x:c r="W2048" s="1"/>
      <x:c r="X2048" s="1"/>
      <x:c r="Y2048" s="1"/>
      <x:c r="Z2048" s="1"/>
      <x:c r="AA2048" s="1"/>
      <x:c r="AB2048" s="1"/>
      <x:c r="AC2048" s="1"/>
      <x:c r="AD2048" s="1"/>
      <x:c r="AE2048" s="1"/>
      <x:c r="AF2048" s="1"/>
      <x:c r="AG2048" s="1"/>
      <x:c r="AH2048" s="1"/>
      <x:c r="AI2048" s="1"/>
      <x:c r="AJ2048" s="1"/>
      <x:c r="AK2048" s="1"/>
      <x:c r="AL2048" s="1"/>
      <x:c r="AM2048" s="1"/>
      <x:c r="AN2048" s="1"/>
    </x:row>
    <x:row r="2049" ht="22" customHeight="1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  <x:c r="W2049" s="1"/>
      <x:c r="X2049" s="1"/>
      <x:c r="Y2049" s="1"/>
      <x:c r="Z2049" s="1"/>
      <x:c r="AA2049" s="1"/>
      <x:c r="AB2049" s="1"/>
      <x:c r="AC2049" s="1"/>
      <x:c r="AD2049" s="1"/>
      <x:c r="AE2049" s="1"/>
      <x:c r="AF2049" s="1"/>
      <x:c r="AG2049" s="1"/>
      <x:c r="AH2049" s="1"/>
      <x:c r="AI2049" s="1"/>
      <x:c r="AJ2049" s="1"/>
      <x:c r="AK2049" s="1"/>
      <x:c r="AL2049" s="1"/>
      <x:c r="AM2049" s="1"/>
      <x:c r="AN2049" s="1"/>
    </x:row>
    <x:row r="2050" ht="34" customHeight="1">
      <x:c r="A2050" s="12" t="str">
        <x:v>School ID</x:v>
      </x:c>
      <x:c r="B2050" s="12" t="str">
        <x:v>School</x:v>
      </x:c>
      <x:c r="C2050" s="12" t="str">
        <x:v>Type</x:v>
      </x:c>
      <x:c r="D2050" s="12" t="str">
        <x:v>Level</x:v>
      </x:c>
      <x:c r="E2050" s="12" t="str">
        <x:v>ZIP</x:v>
      </x:c>
      <x:c r="F2050" s="12" t="str">
        <x:v>Enrollment</x:v>
      </x:c>
      <x:c r="G2050" s="12" t="str">
        <x:v>Economic %</x:v>
      </x:c>
      <x:c r="H2050" s="12" t="str">
        <x:v>Eligible</x:v>
      </x:c>
      <x:c r="I2050" s="12" t="str">
        <x:v>Review row</x:v>
      </x:c>
      <x:c r="J2050" s="12" t="str">
        <x:v>Already served</x:v>
      </x:c>
      <x:c r="K2050" s="12" t="str">
        <x:v>Effective fresh miles</x:v>
      </x:c>
      <x:c r="L2050" s="12" t="str">
        <x:v>Effective resources</x:v>
      </x:c>
      <x:c r="M2050" s="12" t="str">
        <x:v>Fresh basis</x:v>
      </x:c>
      <x:c r="N2050" s="12" t="str">
        <x:v>Resource basis</x:v>
      </x:c>
      <x:c r="O2050" s="12" t="str">
        <x:v>Economic points</x:v>
      </x:c>
      <x:c r="P2050" s="12" t="str">
        <x:v>Fresh points</x:v>
      </x:c>
      <x:c r="Q2050" s="12" t="str">
        <x:v>Resource points</x:v>
      </x:c>
      <x:c r="R2050" s="12" t="str">
        <x:v>Reach points</x:v>
      </x:c>
      <x:c r="S2050" s="12" t="str">
        <x:v>Baseline score</x:v>
      </x:c>
      <x:c r="T2050" s="12" t="str">
        <x:v>Active score</x:v>
      </x:c>
      <x:c r="U2050" s="12" t="str">
        <x:v>Food evidence</x:v>
      </x:c>
      <x:c r="V2050" s="12" t="str">
        <x:v>Status</x:v>
      </x:c>
      <x:c r="W2050" s="12" t="str">
        <x:v>Target order</x:v>
      </x:c>
      <x:c r="X2050" s="12" t="str">
        <x:v>Need rank</x:v>
      </x:c>
      <x:c r="Y2050" s="12" t="str">
        <x:v>Search match</x:v>
      </x:c>
      <x:c r="Z2050" s="12" t="str">
        <x:v>Search order</x:v>
      </x:c>
      <x:c r="AA2050" s="12" t="str">
        <x:v>Rationale</x:v>
      </x:c>
      <x:c r="AB2050" s="12" t="str">
        <x:v>Access row</x:v>
      </x:c>
      <x:c r="AC2050" s="12" t="str">
        <x:v>Nearest supermarket</x:v>
      </x:c>
      <x:c r="AD2050" s="12" t="str">
        <x:v>Retailer address</x:v>
      </x:c>
      <x:c r="AE2050" s="12" t="str">
        <x:v>School address</x:v>
      </x:c>
      <x:c r="AF2050" s="12" t="str">
        <x:v>Latitude</x:v>
      </x:c>
      <x:c r="AG2050" s="12" t="str">
        <x:v>Longitude</x:v>
      </x:c>
      <x:c r="AH2050" s="12" t="str">
        <x:v>Contact stage</x:v>
      </x:c>
      <x:c r="AI2050" s="12" t="str">
        <x:v>Fresh review valid</x:v>
      </x:c>
      <x:c r="AJ2050" s="12" t="str">
        <x:v>Resource review valid</x:v>
      </x:c>
      <x:c r="AK2050" s="12" t="str">
        <x:v>Source key count</x:v>
      </x:c>
      <x:c r="AL2050" s="12" t="str">
        <x:v>Rankable</x:v>
      </x:c>
      <x:c r="AM2050" s="12" t="str">
        <x:v>School key</x:v>
      </x:c>
      <x:c r="AN2050" s="12" t="str">
        <x:v>Contact row</x:v>
      </x:c>
      <x:c r="AO2050" t="str">
        <x:v>Search sort</x:v>
      </x:c>
    </x:row>
    <x:row r="2051" ht="22" customHeight="1">
      <x:c r="A2051" s="1" t="str">
        <x:f>IF(A2="","",A2)</x:f>
        <x:v>1010</x:v>
      </x:c>
      <x:c r="B2051" s="1" t="str">
        <x:f>IF(A2051="","",B2)</x:f>
        <x:v>John Bartram High School</x:v>
      </x:c>
      <x:c r="C2051" s="1" t="str">
        <x:f>IF(A2051="","",C2)</x:f>
        <x:v>District</x:v>
      </x:c>
      <x:c r="D2051" s="1" t="str">
        <x:f>IF(A2051="","",E2)</x:f>
        <x:v>High</x:v>
      </x:c>
      <x:c r="E2051" s="1" t="str">
        <x:f>IF(A2051="","",H2)</x:f>
        <x:v>19142</x:v>
      </x:c>
      <x:c r="F2051" s="1" t="n">
        <x:f>IF(ISNUMBER(K2),K2,"")</x:f>
        <x:v>594</x:v>
      </x:c>
      <x:c r="G2051" s="1" t="n">
        <x:f>IF(ISNUMBER(L2),L2,"")</x:f>
        <x:v>0.8053</x:v>
      </x:c>
      <x:c r="H2051" s="1" t="str">
        <x:f>IF(A2051="","",IF(AND(UPPER(G2)="PHILADELPHIA",OR(C2051="District",AND(C2051="Charter",D2="Yes"))),"Yes","No"))</x:f>
        <x:v>Yes</x:v>
      </x:c>
      <x:c r="I2051" s="1" t="n">
        <x:f>IF(OR(A2051="",COUNTIFS('Staff Review'!$A$8:$A$507,A2051)&lt;&gt;1),0,MATCH(A2051,'Staff Review'!$A$8:$A$507,0))</x:f>
        <x:v>136</x:v>
      </x:c>
      <x:c r="J2051" s="1" t="str">
        <x:f>IF(I2051=0,"No",IF(INDEX('Staff Review'!$C$8:$C$507,I2051)="Yes","Yes","No"))</x:f>
        <x:v>No</x:v>
      </x:c>
      <x:c r="K2051" s="1" t="n">
        <x:f>IF(AI2051="Yes",INDEX('Staff Review'!$D$8:$D$507,I2051),IF(AB2051=0,"",IF(COUNT(INDEX($C$1531:$C$2030,AB2051))=1,INDEX($C$1531:$C$2030,AB2051),"")))</x:f>
        <x:v>0.3397819435174283</x:v>
      </x:c>
      <x:c r="L2051" s="1" t="n">
        <x:f>IF(AJ2051="Yes",INDEX('Staff Review'!$F$8:$F$507,I2051),IF(AB2051=0,"",IF(COUNT(INDEX($G$1531:$G$2030,AB2051))=1,INDEX($G$1531:$G$2030,AB2051),"")))</x:f>
        <x:v>4</x:v>
      </x:c>
      <x:c r="M2051" s="1" t="str">
        <x:f>IF(A2051="","",IF(AI2051="Yes","Verified","Listed"))</x:f>
        <x:v>Listed</x:v>
      </x:c>
      <x:c r="N2051" s="1" t="str">
        <x:f>IF(A2051="","",IF(AJ2051="Yes","Verified","Listed"))</x:f>
        <x:v>Listed</x:v>
      </x:c>
      <x:c r="O2051" s="1" t="n">
        <x:f>IF(AND(ISNUMBER(G2051),G2051&gt;=0,G2051&lt;=1),IF(G2051&gt;=0.9,30,IF(G2051&gt;=0.8,25,IF(G2051&gt;=0.7,20,IF(G2051&gt;=0.6,15,IF(G2051&gt;=0.5,10,IF(G2051&gt;=0.4,5,0)))))),"")</x:f>
        <x:v>25</x:v>
      </x:c>
      <x:c r="P2051" s="1" t="n">
        <x:f>IF(ISNUMBER(K2051),IF(K2051&lt;0,"",IF(K2051&gt;1,25,IF(K2051&gt;=0.75,20,IF(K2051&gt;=0.5,15,IF(K2051&gt;=0.25,10,5))))),"")</x:f>
        <x:v>10</x:v>
      </x:c>
      <x:c r="Q2051" s="1" t="n">
        <x:f>IF(NOT(ISNUMBER(L2051)),"",IF(AND(L2051&gt;=0,MOD(L2051,1)=0),MAX(0,25-5*L2051),""))</x:f>
        <x:v>5</x:v>
      </x:c>
      <x:c r="R2051" s="1" t="n">
        <x:f>IF(NOT(ISNUMBER(F2051)),"",IF(AND(F2051&gt;0,MOD(F2051,1)=0),IF(F2051&gt;=700,5,IF(F2051&gt;=500,4,IF(F2051&gt;=350,3,IF(F2051&gt;=200,2,1)))),""))</x:f>
        <x:v>4</x:v>
      </x:c>
      <x:c r="S2051" s="1" t="n">
        <x:f>IF(COUNT(O2051:R2051)=4,SUM(O2051:R2051),"")</x:f>
        <x:v>44</x:v>
      </x:c>
      <x:c r="T2051" s="1" t="n">
        <x:f>IF(OR(COUNT(O2051:R2051)&lt;&gt;4,COUNT('Top 15'!$B$35:$E$35)&lt;&gt;4,MIN('Top 15'!$B$35:$E$35)&lt;0,SUM('Top 15'!$B$35:$E$35)&lt;=0),"",ROUND(85*(O2051/30*'Top 15'!$B$35+P2051/25*'Top 15'!$C$35+Q2051/25*'Top 15'!$D$35+R2051/5*'Top 15'!$E$35)/SUM('Top 15'!$B$35:$E$35),6))</x:f>
        <x:v>44</x:v>
      </x:c>
      <x:c r="U2051" s="1" t="str">
        <x:f>IF(A2051="","",IF(AND(M2051="Verified",N2051="Verified"),"Verified",IF(AND(M2051="Listed",N2051="Listed"),"Listed","Mixed")))</x:f>
        <x:v>Listed</x:v>
      </x:c>
      <x:c r="V2051" s="1" t="str">
        <x:f>IF(A2051="","",IF(AK2051&lt;&gt;1,"Duplicate source ID",IF(COUNTIFS('Staff Review'!$A$8:$A$507,A2051)&gt;1,"Duplicate review ID",IF(H2051&lt;&gt;"Yes","Outside scope",IF(J2051="Yes","Already served",IF(NOT(ISNUMBER(T2051)),"Missing data","Candidate"))))))</x:f>
        <x:v>Candidate</x:v>
      </x:c>
      <x:c r="W2051" s="1" t="n">
        <x:f>IF(AL2051=0,"",1+COUNTIFS($AL$2051:$AL$2550,1,$T$2051:$T$2550,"&gt;"&amp;T2051)+COUNTIFS($AL$2051:$AL$2550,1,$T$2051:$T$2550,T2051,$G$2051:$G$2550,"&gt;"&amp;G2051)+COUNTIFS($AL$2051:$AL$2550,1,$T$2051:$T$2550,T2051,$G$2051:$G$2550,G2051,$F$2051:$F$2550,"&gt;"&amp;F2051)+COUNTIFS($AL$2051:$AL$2550,1,$T$2051:$T$2550,T2051,$G$2051:$G$2550,G2051,$F$2051:$F$2550,F2051,$AM$2051:$AM$2550,"&lt;"&amp;AM2051))</x:f>
        <x:v>87</x:v>
      </x:c>
      <x:c r="X2051" s="1" t="n">
        <x:f>IF(AL2051=0,"",1+COUNTIFS($AL$2051:$AL$2550,1,$T$2051:$T$2550,"&gt;"&amp;T2051))</x:f>
        <x:v>81</x:v>
      </x:c>
      <x:c r="Y2051" s="1" t="n">
        <x:f>IF(AND(H2051="Yes",OR(LEN('School Search'!$B$5)=0,ISNUMBER(SEARCH('School Search'!$B$5,B2051&amp;" "&amp;E2051&amp;" "&amp;A2051))),OR('School Search'!$D$5="All",C2051='School Search'!$D$5),OR('School Search'!$G$5="All eligible",AND('School Search'!$G$5="Not marked served",J2051&lt;&gt;"Yes"),AND('School Search'!$G$5="Missing data",V2051="Missing data"),AND('School Search'!$G$5="Marked served",J2051="Yes"))),1,0)</x:f>
        <x:v>1</x:v>
      </x:c>
      <x:c r="Z2051" s="1" t="n">
        <x:f>IF(Y2051=0,"",COUNTIFS($Y$2051:$Y$2550,1,$AO$2051:$AO$2550,"&lt;"&amp;AO2051)+COUNTIFS($Y$2051:Y2051,1,$AO$2051:AO2051,AO2051))</x:f>
        <x:v>87</x:v>
      </x:c>
      <x:c r="AA2051" s="1" t="str">
        <x:f>IF(NOT(ISNUMBER(S2051)),"Missing demographic or access input",TEXT(G2051,"0%")&amp;" economic need; "&amp;TEXT(K2051,"0.00")&amp;" mi fresh access; "&amp;L2051&amp;" nearby resources")</x:f>
        <x:v>81% economic need; 0.34 mi fresh access; 4 nearby resources</x:v>
      </x:c>
      <x:c r="AB2051" s="1" t="n">
        <x:f>IF(OR(A2051="",COUNTIFS($A$1531:$A$2030,A2051)&lt;&gt;1),0,MATCH(A2051,$A$1531:$A$2030,0))</x:f>
        <x:v>1</x:v>
      </x:c>
      <x:c r="AC2051" s="1" t="str">
        <x:f>IF(AB2051=0,"",INDEX($E$1531:$E$2030,AB2051))</x:f>
        <x:v>Cousin's Fresh Market Inc</x:v>
      </x:c>
      <x:c r="AD2051" s="1" t="str">
        <x:f>IF(AB2051=0,"",INDEX($F$1531:$F$2030,AB2051))</x:f>
        <x:v>6411 Woodland Ave, Philadelphia, PA, 19142</x:v>
      </x:c>
      <x:c r="AE2051" s="1" t="str">
        <x:f>IF(A2051="","",F2)</x:f>
        <x:v>2401 S 67TH ST</x:v>
      </x:c>
      <x:c r="AF2051" s="1" t="n">
        <x:f>IF(ISNUMBER(I2),I2,"")</x:f>
        <x:v>39.92149737</x:v>
      </x:c>
      <x:c r="AG2051" s="1" t="n">
        <x:f>IF(ISNUMBER(J2),J2,"")</x:f>
        <x:v>-75.23405562</x:v>
      </x:c>
      <x:c r="AH2051" s="1" t="str">
        <x:f>IF(I2051=0,"Not contacted",IF(INDEX('Staff Review'!$J$8:$J$507,I2051)="","Not contacted",INDEX('Staff Review'!$J$8:$J$507,I2051)))</x:f>
        <x:v>Not contacted</x:v>
      </x:c>
      <x:c r="AI2051" s="1" t="str">
        <x:f>IF(I2051=0,"No",IF(AND(COUNT(INDEX('Staff Review'!$D$8:$D$507,I2051))=1,INDEX('Staff Review'!$D$8:$D$507,I2051)&gt;=0,COUNT(INDEX('Staff Review'!$E$8:$E$507,I2051))=1,INDEX('Staff Review'!$E$8:$E$507,I2051)&gt;0,INDEX('Staff Review'!$E$8:$E$507,I2051)&lt;='Top 15'!$E$5,'Top 15'!$E$5-INDEX('Staff Review'!$E$8:$E$507,I2051)&lt;='Top 15'!$H$5,LEN(INDEX('Staff Review'!$H$8:$H$507,I2051))&gt;0),"Yes","No"))</x:f>
        <x:v>No</x:v>
      </x:c>
      <x:c r="AJ2051" s="1" t="str">
        <x:f>IF(I2051=0,"No",IF(COUNT(INDEX('Staff Review'!$F$8:$F$507,I2051))&lt;&gt;1,"No",IF(AND(INDEX('Staff Review'!$F$8:$F$507,I2051)&gt;=0,MOD(INDEX('Staff Review'!$F$8:$F$507,I2051),1)=0,COUNT(INDEX('Staff Review'!$G$8:$G$507,I2051))=1,INDEX('Staff Review'!$G$8:$G$507,I2051)&gt;0,INDEX('Staff Review'!$G$8:$G$507,I2051)&lt;='Top 15'!$E$5,'Top 15'!$E$5-INDEX('Staff Review'!$G$8:$G$507,I2051)&lt;='Top 15'!$H$5,LEN(INDEX('Staff Review'!$H$8:$H$507,I2051))&gt;0),"Yes","No")))</x:f>
        <x:v>No</x:v>
      </x:c>
      <x:c r="AK2051" s="1" t="n">
        <x:f>IF(A2051="",0,COUNTIFS($A$2:$A$501,A2051))</x:f>
        <x:v>1</x:v>
      </x:c>
      <x:c r="AL2051" s="1" t="n">
        <x:f>IF(V2051="Candidate",1,0)</x:f>
        <x:v>1</x:v>
      </x:c>
      <x:c r="AM2051" s="1" t="n">
        <x:f>IF(A2051="",0,VALUE(A2051))</x:f>
        <x:v>1010</x:v>
      </x:c>
      <x:c r="AN2051" s="1" t="n">
        <x:f>IF(OR(A2051="",COUNTIFS($T$41:$T$540,A2051)&lt;&gt;1),0,MATCH(A2051,$T$41:$T$540,0))</x:f>
        <x:v>1</x:v>
      </x:c>
      <x:c r="AO2051" t="n">
        <x:f>IF(ISNUMBER(W2051),W2051,10000+AM2051)</x:f>
        <x:v>87</x:v>
      </x:c>
    </x:row>
    <x:row r="2052" ht="22" customHeight="1">
      <x:c r="A2052" s="1" t="str">
        <x:f>IF(A3="","",A3)</x:f>
        <x:v>1020</x:v>
      </x:c>
      <x:c r="B2052" s="1" t="str">
        <x:f>IF(A2052="","",B3)</x:f>
        <x:v>West Philadelphia High School</x:v>
      </x:c>
      <x:c r="C2052" s="1" t="str">
        <x:f>IF(A2052="","",C3)</x:f>
        <x:v>District</x:v>
      </x:c>
      <x:c r="D2052" s="1" t="str">
        <x:f>IF(A2052="","",E3)</x:f>
        <x:v>High</x:v>
      </x:c>
      <x:c r="E2052" s="1" t="str">
        <x:f>IF(A2052="","",H3)</x:f>
        <x:v>19139</x:v>
      </x:c>
      <x:c r="F2052" s="1" t="n">
        <x:f>IF(ISNUMBER(K3),K3,"")</x:f>
        <x:v>729</x:v>
      </x:c>
      <x:c r="G2052" s="1" t="n">
        <x:f>IF(ISNUMBER(L3),L3,"")</x:f>
        <x:v>0.8456</x:v>
      </x:c>
      <x:c r="H2052" s="1" t="str">
        <x:f>IF(A2052="","",IF(AND(UPPER(G3)="PHILADELPHIA",OR(C2052="District",AND(C2052="Charter",D3="Yes"))),"Yes","No"))</x:f>
        <x:v>Yes</x:v>
      </x:c>
      <x:c r="I2052" s="1" t="n">
        <x:f>IF(OR(A2052="",COUNTIFS('Staff Review'!$A$8:$A$507,A2052)&lt;&gt;1),0,MATCH(A2052,'Staff Review'!$A$8:$A$507,0))</x:f>
        <x:v>310</x:v>
      </x:c>
      <x:c r="J2052" s="1" t="str">
        <x:f>IF(I2052=0,"No",IF(INDEX('Staff Review'!$C$8:$C$507,I2052)="Yes","Yes","No"))</x:f>
        <x:v>No</x:v>
      </x:c>
      <x:c r="K2052" s="1" t="n">
        <x:f>IF(AI2052="Yes",INDEX('Staff Review'!$D$8:$D$507,I2052),IF(AB2052=0,"",IF(COUNT(INDEX($C$1531:$C$2030,AB2052))=1,INDEX($C$1531:$C$2030,AB2052),"")))</x:f>
        <x:v>0.35675630166563865</x:v>
      </x:c>
      <x:c r="L2052" s="1" t="n">
        <x:f>IF(AJ2052="Yes",INDEX('Staff Review'!$F$8:$F$507,I2052),IF(AB2052=0,"",IF(COUNT(INDEX($G$1531:$G$2030,AB2052))=1,INDEX($G$1531:$G$2030,AB2052),"")))</x:f>
        <x:v>14</x:v>
      </x:c>
      <x:c r="M2052" s="1" t="str">
        <x:f>IF(A2052="","",IF(AI2052="Yes","Verified","Listed"))</x:f>
        <x:v>Listed</x:v>
      </x:c>
      <x:c r="N2052" s="1" t="str">
        <x:f>IF(A2052="","",IF(AJ2052="Yes","Verified","Listed"))</x:f>
        <x:v>Listed</x:v>
      </x:c>
      <x:c r="O2052" s="1" t="n">
        <x:f>IF(AND(ISNUMBER(G2052),G2052&gt;=0,G2052&lt;=1),IF(G2052&gt;=0.9,30,IF(G2052&gt;=0.8,25,IF(G2052&gt;=0.7,20,IF(G2052&gt;=0.6,15,IF(G2052&gt;=0.5,10,IF(G2052&gt;=0.4,5,0)))))),"")</x:f>
        <x:v>25</x:v>
      </x:c>
      <x:c r="P2052" s="1" t="n">
        <x:f>IF(ISNUMBER(K2052),IF(K2052&lt;0,"",IF(K2052&gt;1,25,IF(K2052&gt;=0.75,20,IF(K2052&gt;=0.5,15,IF(K2052&gt;=0.25,10,5))))),"")</x:f>
        <x:v>10</x:v>
      </x:c>
      <x:c r="Q2052" s="1" t="n">
        <x:f>IF(NOT(ISNUMBER(L2052)),"",IF(AND(L2052&gt;=0,MOD(L2052,1)=0),MAX(0,25-5*L2052),""))</x:f>
        <x:v>0</x:v>
      </x:c>
      <x:c r="R2052" s="1" t="n">
        <x:f>IF(NOT(ISNUMBER(F2052)),"",IF(AND(F2052&gt;0,MOD(F2052,1)=0),IF(F2052&gt;=700,5,IF(F2052&gt;=500,4,IF(F2052&gt;=350,3,IF(F2052&gt;=200,2,1)))),""))</x:f>
        <x:v>5</x:v>
      </x:c>
      <x:c r="S2052" s="1" t="n">
        <x:f>IF(COUNT(O2052:R2052)=4,SUM(O2052:R2052),"")</x:f>
        <x:v>40</x:v>
      </x:c>
      <x:c r="T2052" s="1" t="n">
        <x:f>IF(OR(COUNT(O2052:R2052)&lt;&gt;4,COUNT('Top 15'!$B$35:$E$35)&lt;&gt;4,MIN('Top 15'!$B$35:$E$35)&lt;0,SUM('Top 15'!$B$35:$E$35)&lt;=0),"",ROUND(85*(O2052/30*'Top 15'!$B$35+P2052/25*'Top 15'!$C$35+Q2052/25*'Top 15'!$D$35+R2052/5*'Top 15'!$E$35)/SUM('Top 15'!$B$35:$E$35),6))</x:f>
        <x:v>40</x:v>
      </x:c>
      <x:c r="U2052" s="1" t="str">
        <x:f>IF(A2052="","",IF(AND(M2052="Verified",N2052="Verified"),"Verified",IF(AND(M2052="Listed",N2052="Listed"),"Listed","Mixed")))</x:f>
        <x:v>Listed</x:v>
      </x:c>
      <x:c r="V2052" s="1" t="str">
        <x:f>IF(A2052="","",IF(AK2052&lt;&gt;1,"Duplicate source ID",IF(COUNTIFS('Staff Review'!$A$8:$A$507,A2052)&gt;1,"Duplicate review ID",IF(H2052&lt;&gt;"Yes","Outside scope",IF(J2052="Yes","Already served",IF(NOT(ISNUMBER(T2052)),"Missing data","Candidate"))))))</x:f>
        <x:v>Candidate</x:v>
      </x:c>
      <x:c r="W2052" s="1" t="n">
        <x:f>IF(AL2052=0,"",1+COUNTIFS($AL$2051:$AL$2550,1,$T$2051:$T$2550,"&gt;"&amp;T2052)+COUNTIFS($AL$2051:$AL$2550,1,$T$2051:$T$2550,T2052,$G$2051:$G$2550,"&gt;"&amp;G2052)+COUNTIFS($AL$2051:$AL$2550,1,$T$2051:$T$2550,T2052,$G$2051:$G$2550,G2052,$F$2051:$F$2550,"&gt;"&amp;F2052)+COUNTIFS($AL$2051:$AL$2550,1,$T$2051:$T$2550,T2052,$G$2051:$G$2550,G2052,$F$2051:$F$2550,F2052,$AM$2051:$AM$2550,"&lt;"&amp;AM2052))</x:f>
        <x:v>139</x:v>
      </x:c>
      <x:c r="X2052" s="1" t="n">
        <x:f>IF(AL2052=0,"",1+COUNTIFS($AL$2051:$AL$2550,1,$T$2051:$T$2550,"&gt;"&amp;T2052))</x:f>
        <x:v>133</x:v>
      </x:c>
      <x:c r="Y2052" s="1" t="n">
        <x:f>IF(AND(H2052="Yes",OR(LEN('School Search'!$B$5)=0,ISNUMBER(SEARCH('School Search'!$B$5,B2052&amp;" "&amp;E2052&amp;" "&amp;A2052))),OR('School Search'!$D$5="All",C2052='School Search'!$D$5),OR('School Search'!$G$5="All eligible",AND('School Search'!$G$5="Not marked served",J2052&lt;&gt;"Yes"),AND('School Search'!$G$5="Missing data",V2052="Missing data"),AND('School Search'!$G$5="Marked served",J2052="Yes"))),1,0)</x:f>
        <x:v>1</x:v>
      </x:c>
      <x:c r="Z2052" s="1" t="n">
        <x:f>IF(Y2052=0,"",COUNTIFS($Y$2051:$Y$2550,1,$AO$2051:$AO$2550,"&lt;"&amp;AO2052)+COUNTIFS($Y$2051:Y2052,1,$AO$2051:AO2052,AO2052))</x:f>
        <x:v>139</x:v>
      </x:c>
      <x:c r="AA2052" s="1" t="str">
        <x:f>IF(NOT(ISNUMBER(S2052)),"Missing demographic or access input",TEXT(G2052,"0%")&amp;" economic need; "&amp;TEXT(K2052,"0.00")&amp;" mi fresh access; "&amp;L2052&amp;" nearby resources")</x:f>
        <x:v>85% economic need; 0.36 mi fresh access; 14 nearby resources</x:v>
      </x:c>
      <x:c r="AB2052" s="1" t="n">
        <x:f>IF(OR(A2052="",COUNTIFS($A$1531:$A$2030,A2052)&lt;&gt;1),0,MATCH(A2052,$A$1531:$A$2030,0))</x:f>
        <x:v>2</x:v>
      </x:c>
      <x:c r="AC2052" s="1" t="str">
        <x:f>IF(AB2052=0,"",INDEX($E$1531:$E$2030,AB2052))</x:f>
        <x:v>Afor Market Philadelphia Llc</x:v>
      </x:c>
      <x:c r="AD2052" s="1" t="str">
        <x:f>IF(AB2052=0,"",INDEX($F$1531:$F$2030,AB2052))</x:f>
        <x:v>5228 Market St, Philadelphia, PA, 19139</x:v>
      </x:c>
      <x:c r="AE2052" s="1" t="str">
        <x:f>IF(A2052="","",F3)</x:f>
        <x:v>4901 CHESTNUT ST</x:v>
      </x:c>
      <x:c r="AF2052" s="1" t="n">
        <x:f>IF(ISNUMBER(I3),I3,"")</x:f>
        <x:v>39.95811</x:v>
      </x:c>
      <x:c r="AG2052" s="1" t="n">
        <x:f>IF(ISNUMBER(J3),J3,"")</x:f>
        <x:v>-75.219654</x:v>
      </x:c>
      <x:c r="AH2052" s="1" t="str">
        <x:f>IF(I2052=0,"Not contacted",IF(INDEX('Staff Review'!$J$8:$J$507,I2052)="","Not contacted",INDEX('Staff Review'!$J$8:$J$507,I2052)))</x:f>
        <x:v>Not contacted</x:v>
      </x:c>
      <x:c r="AI2052" s="1" t="str">
        <x:f>IF(I2052=0,"No",IF(AND(COUNT(INDEX('Staff Review'!$D$8:$D$507,I2052))=1,INDEX('Staff Review'!$D$8:$D$507,I2052)&gt;=0,COUNT(INDEX('Staff Review'!$E$8:$E$507,I2052))=1,INDEX('Staff Review'!$E$8:$E$507,I2052)&gt;0,INDEX('Staff Review'!$E$8:$E$507,I2052)&lt;='Top 15'!$E$5,'Top 15'!$E$5-INDEX('Staff Review'!$E$8:$E$507,I2052)&lt;='Top 15'!$H$5,LEN(INDEX('Staff Review'!$H$8:$H$507,I2052))&gt;0),"Yes","No"))</x:f>
        <x:v>No</x:v>
      </x:c>
      <x:c r="AJ2052" s="1" t="str">
        <x:f>IF(I2052=0,"No",IF(COUNT(INDEX('Staff Review'!$F$8:$F$507,I2052))&lt;&gt;1,"No",IF(AND(INDEX('Staff Review'!$F$8:$F$507,I2052)&gt;=0,MOD(INDEX('Staff Review'!$F$8:$F$507,I2052),1)=0,COUNT(INDEX('Staff Review'!$G$8:$G$507,I2052))=1,INDEX('Staff Review'!$G$8:$G$507,I2052)&gt;0,INDEX('Staff Review'!$G$8:$G$507,I2052)&lt;='Top 15'!$E$5,'Top 15'!$E$5-INDEX('Staff Review'!$G$8:$G$507,I2052)&lt;='Top 15'!$H$5,LEN(INDEX('Staff Review'!$H$8:$H$507,I2052))&gt;0),"Yes","No")))</x:f>
        <x:v>No</x:v>
      </x:c>
      <x:c r="AK2052" s="1" t="n">
        <x:f>IF(A2052="",0,COUNTIFS($A$2:$A$501,A2052))</x:f>
        <x:v>1</x:v>
      </x:c>
      <x:c r="AL2052" s="1" t="n">
        <x:f>IF(V2052="Candidate",1,0)</x:f>
        <x:v>1</x:v>
      </x:c>
      <x:c r="AM2052" s="1" t="n">
        <x:f>IF(A2052="",0,VALUE(A2052))</x:f>
        <x:v>1020</x:v>
      </x:c>
      <x:c r="AN2052" s="1" t="n">
        <x:f>IF(OR(A2052="",COUNTIFS($T$41:$T$540,A2052)&lt;&gt;1),0,MATCH(A2052,$T$41:$T$540,0))</x:f>
        <x:v>2</x:v>
      </x:c>
      <x:c r="AO2052" t="n">
        <x:f>IF(ISNUMBER(W2052),W2052,10000+AM2052)</x:f>
        <x:v>139</x:v>
      </x:c>
    </x:row>
    <x:row r="2053" ht="22" customHeight="1">
      <x:c r="A2053" s="1" t="str">
        <x:f>IF(A4="","",A4)</x:f>
        <x:v>1030</x:v>
      </x:c>
      <x:c r="B2053" s="1" t="str">
        <x:f>IF(A2053="","",B4)</x:f>
        <x:v>High School of the Future</x:v>
      </x:c>
      <x:c r="C2053" s="1" t="str">
        <x:f>IF(A2053="","",C4)</x:f>
        <x:v>District</x:v>
      </x:c>
      <x:c r="D2053" s="1" t="str">
        <x:f>IF(A2053="","",E4)</x:f>
        <x:v>High</x:v>
      </x:c>
      <x:c r="E2053" s="1" t="str">
        <x:f>IF(A2053="","",H4)</x:f>
        <x:v>19104</x:v>
      </x:c>
      <x:c r="F2053" s="1" t="n">
        <x:f>IF(ISNUMBER(K4),K4,"")</x:f>
        <x:v>648</x:v>
      </x:c>
      <x:c r="G2053" s="1" t="n">
        <x:f>IF(ISNUMBER(L4),L4,"")</x:f>
        <x:v>0.8416</x:v>
      </x:c>
      <x:c r="H2053" s="1" t="str">
        <x:f>IF(A2053="","",IF(AND(UPPER(G4)="PHILADELPHIA",OR(C2053="District",AND(C2053="Charter",D4="Yes"))),"Yes","No"))</x:f>
        <x:v>Yes</x:v>
      </x:c>
      <x:c r="I2053" s="1" t="n">
        <x:f>IF(OR(A2053="",COUNTIFS('Staff Review'!$A$8:$A$507,A2053)&lt;&gt;1),0,MATCH(A2053,'Staff Review'!$A$8:$A$507,0))</x:f>
        <x:v>114</x:v>
      </x:c>
      <x:c r="J2053" s="1" t="str">
        <x:f>IF(I2053=0,"No",IF(INDEX('Staff Review'!$C$8:$C$507,I2053)="Yes","Yes","No"))</x:f>
        <x:v>No</x:v>
      </x:c>
      <x:c r="K2053" s="1" t="n">
        <x:f>IF(AI2053="Yes",INDEX('Staff Review'!$D$8:$D$507,I2053),IF(AB2053=0,"",IF(COUNT(INDEX($C$1531:$C$2030,AB2053))=1,INDEX($C$1531:$C$2030,AB2053),"")))</x:f>
        <x:v>0.9271138217890725</x:v>
      </x:c>
      <x:c r="L2053" s="1" t="n">
        <x:f>IF(AJ2053="Yes",INDEX('Staff Review'!$F$8:$F$507,I2053),IF(AB2053=0,"",IF(COUNT(INDEX($G$1531:$G$2030,AB2053))=1,INDEX($G$1531:$G$2030,AB2053),"")))</x:f>
        <x:v>9</x:v>
      </x:c>
      <x:c r="M2053" s="1" t="str">
        <x:f>IF(A2053="","",IF(AI2053="Yes","Verified","Listed"))</x:f>
        <x:v>Listed</x:v>
      </x:c>
      <x:c r="N2053" s="1" t="str">
        <x:f>IF(A2053="","",IF(AJ2053="Yes","Verified","Listed"))</x:f>
        <x:v>Listed</x:v>
      </x:c>
      <x:c r="O2053" s="1" t="n">
        <x:f>IF(AND(ISNUMBER(G2053),G2053&gt;=0,G2053&lt;=1),IF(G2053&gt;=0.9,30,IF(G2053&gt;=0.8,25,IF(G2053&gt;=0.7,20,IF(G2053&gt;=0.6,15,IF(G2053&gt;=0.5,10,IF(G2053&gt;=0.4,5,0)))))),"")</x:f>
        <x:v>25</x:v>
      </x:c>
      <x:c r="P2053" s="1" t="n">
        <x:f>IF(ISNUMBER(K2053),IF(K2053&lt;0,"",IF(K2053&gt;1,25,IF(K2053&gt;=0.75,20,IF(K2053&gt;=0.5,15,IF(K2053&gt;=0.25,10,5))))),"")</x:f>
        <x:v>20</x:v>
      </x:c>
      <x:c r="Q2053" s="1" t="n">
        <x:f>IF(NOT(ISNUMBER(L2053)),"",IF(AND(L2053&gt;=0,MOD(L2053,1)=0),MAX(0,25-5*L2053),""))</x:f>
        <x:v>0</x:v>
      </x:c>
      <x:c r="R2053" s="1" t="n">
        <x:f>IF(NOT(ISNUMBER(F2053)),"",IF(AND(F2053&gt;0,MOD(F2053,1)=0),IF(F2053&gt;=700,5,IF(F2053&gt;=500,4,IF(F2053&gt;=350,3,IF(F2053&gt;=200,2,1)))),""))</x:f>
        <x:v>4</x:v>
      </x:c>
      <x:c r="S2053" s="1" t="n">
        <x:f>IF(COUNT(O2053:R2053)=4,SUM(O2053:R2053),"")</x:f>
        <x:v>49</x:v>
      </x:c>
      <x:c r="T2053" s="1" t="n">
        <x:f>IF(OR(COUNT(O2053:R2053)&lt;&gt;4,COUNT('Top 15'!$B$35:$E$35)&lt;&gt;4,MIN('Top 15'!$B$35:$E$35)&lt;0,SUM('Top 15'!$B$35:$E$35)&lt;=0),"",ROUND(85*(O2053/30*'Top 15'!$B$35+P2053/25*'Top 15'!$C$35+Q2053/25*'Top 15'!$D$35+R2053/5*'Top 15'!$E$35)/SUM('Top 15'!$B$35:$E$35),6))</x:f>
        <x:v>49</x:v>
      </x:c>
      <x:c r="U2053" s="1" t="str">
        <x:f>IF(A2053="","",IF(AND(M2053="Verified",N2053="Verified"),"Verified",IF(AND(M2053="Listed",N2053="Listed"),"Listed","Mixed")))</x:f>
        <x:v>Listed</x:v>
      </x:c>
      <x:c r="V2053" s="1" t="str">
        <x:f>IF(A2053="","",IF(AK2053&lt;&gt;1,"Duplicate source ID",IF(COUNTIFS('Staff Review'!$A$8:$A$507,A2053)&gt;1,"Duplicate review ID",IF(H2053&lt;&gt;"Yes","Outside scope",IF(J2053="Yes","Already served",IF(NOT(ISNUMBER(T2053)),"Missing data","Candidate"))))))</x:f>
        <x:v>Candidate</x:v>
      </x:c>
      <x:c r="W2053" s="1" t="n">
        <x:f>IF(AL2053=0,"",1+COUNTIFS($AL$2051:$AL$2550,1,$T$2051:$T$2550,"&gt;"&amp;T2053)+COUNTIFS($AL$2051:$AL$2550,1,$T$2051:$T$2550,T2053,$G$2051:$G$2550,"&gt;"&amp;G2053)+COUNTIFS($AL$2051:$AL$2550,1,$T$2051:$T$2550,T2053,$G$2051:$G$2550,G2053,$F$2051:$F$2550,"&gt;"&amp;F2053)+COUNTIFS($AL$2051:$AL$2550,1,$T$2051:$T$2550,T2053,$G$2051:$G$2550,G2053,$F$2051:$F$2550,F2053,$AM$2051:$AM$2550,"&lt;"&amp;AM2053))</x:f>
        <x:v>50</x:v>
      </x:c>
      <x:c r="X2053" s="1" t="n">
        <x:f>IF(AL2053=0,"",1+COUNTIFS($AL$2051:$AL$2550,1,$T$2051:$T$2550,"&gt;"&amp;T2053))</x:f>
        <x:v>46</x:v>
      </x:c>
      <x:c r="Y2053" s="1" t="n">
        <x:f>IF(AND(H2053="Yes",OR(LEN('School Search'!$B$5)=0,ISNUMBER(SEARCH('School Search'!$B$5,B2053&amp;" "&amp;E2053&amp;" "&amp;A2053))),OR('School Search'!$D$5="All",C2053='School Search'!$D$5),OR('School Search'!$G$5="All eligible",AND('School Search'!$G$5="Not marked served",J2053&lt;&gt;"Yes"),AND('School Search'!$G$5="Missing data",V2053="Missing data"),AND('School Search'!$G$5="Marked served",J2053="Yes"))),1,0)</x:f>
        <x:v>1</x:v>
      </x:c>
      <x:c r="Z2053" s="1" t="n">
        <x:f>IF(Y2053=0,"",COUNTIFS($Y$2051:$Y$2550,1,$AO$2051:$AO$2550,"&lt;"&amp;AO2053)+COUNTIFS($Y$2051:Y2053,1,$AO$2051:AO2053,AO2053))</x:f>
        <x:v>50</x:v>
      </x:c>
      <x:c r="AA2053" s="1" t="str">
        <x:f>IF(NOT(ISNUMBER(S2053)),"Missing demographic or access input",TEXT(G2053,"0%")&amp;" economic need; "&amp;TEXT(K2053,"0.00")&amp;" mi fresh access; "&amp;L2053&amp;" nearby resources")</x:f>
        <x:v>84% economic need; 0.93 mi fresh access; 9 nearby resources</x:v>
      </x:c>
      <x:c r="AB2053" s="1" t="n">
        <x:f>IF(OR(A2053="",COUNTIFS($A$1531:$A$2030,A2053)&lt;&gt;1),0,MATCH(A2053,$A$1531:$A$2030,0))</x:f>
        <x:v>3</x:v>
      </x:c>
      <x:c r="AC2053" s="1" t="str">
        <x:f>IF(AB2053=0,"",INDEX($E$1531:$E$2030,AB2053))</x:f>
        <x:v>Aldi 43</x:v>
      </x:c>
      <x:c r="AD2053" s="1" t="str">
        <x:f>IF(AB2053=0,"",INDEX($F$1531:$F$2030,AB2053))</x:f>
        <x:v>3101 W Girard Ave, Philadelphia, PA, 19130</x:v>
      </x:c>
      <x:c r="AE2053" s="1" t="str">
        <x:f>IF(A2053="","",F4)</x:f>
        <x:v>4021 PARKSIDE AVE</x:v>
      </x:c>
      <x:c r="AF2053" s="1" t="n">
        <x:f>IF(ISNUMBER(I4),I4,"")</x:f>
        <x:v>39.97465766</x:v>
      </x:c>
      <x:c r="AG2053" s="1" t="n">
        <x:f>IF(ISNUMBER(J4),J4,"")</x:f>
        <x:v>-75.2047566</x:v>
      </x:c>
      <x:c r="AH2053" s="1" t="str">
        <x:f>IF(I2053=0,"Not contacted",IF(INDEX('Staff Review'!$J$8:$J$507,I2053)="","Not contacted",INDEX('Staff Review'!$J$8:$J$507,I2053)))</x:f>
        <x:v>Not contacted</x:v>
      </x:c>
      <x:c r="AI2053" s="1" t="str">
        <x:f>IF(I2053=0,"No",IF(AND(COUNT(INDEX('Staff Review'!$D$8:$D$507,I2053))=1,INDEX('Staff Review'!$D$8:$D$507,I2053)&gt;=0,COUNT(INDEX('Staff Review'!$E$8:$E$507,I2053))=1,INDEX('Staff Review'!$E$8:$E$507,I2053)&gt;0,INDEX('Staff Review'!$E$8:$E$507,I2053)&lt;='Top 15'!$E$5,'Top 15'!$E$5-INDEX('Staff Review'!$E$8:$E$507,I2053)&lt;='Top 15'!$H$5,LEN(INDEX('Staff Review'!$H$8:$H$507,I2053))&gt;0),"Yes","No"))</x:f>
        <x:v>No</x:v>
      </x:c>
      <x:c r="AJ2053" s="1" t="str">
        <x:f>IF(I2053=0,"No",IF(COUNT(INDEX('Staff Review'!$F$8:$F$507,I2053))&lt;&gt;1,"No",IF(AND(INDEX('Staff Review'!$F$8:$F$507,I2053)&gt;=0,MOD(INDEX('Staff Review'!$F$8:$F$507,I2053),1)=0,COUNT(INDEX('Staff Review'!$G$8:$G$507,I2053))=1,INDEX('Staff Review'!$G$8:$G$507,I2053)&gt;0,INDEX('Staff Review'!$G$8:$G$507,I2053)&lt;='Top 15'!$E$5,'Top 15'!$E$5-INDEX('Staff Review'!$G$8:$G$507,I2053)&lt;='Top 15'!$H$5,LEN(INDEX('Staff Review'!$H$8:$H$507,I2053))&gt;0),"Yes","No")))</x:f>
        <x:v>No</x:v>
      </x:c>
      <x:c r="AK2053" s="1" t="n">
        <x:f>IF(A2053="",0,COUNTIFS($A$2:$A$501,A2053))</x:f>
        <x:v>1</x:v>
      </x:c>
      <x:c r="AL2053" s="1" t="n">
        <x:f>IF(V2053="Candidate",1,0)</x:f>
        <x:v>1</x:v>
      </x:c>
      <x:c r="AM2053" s="1" t="n">
        <x:f>IF(A2053="",0,VALUE(A2053))</x:f>
        <x:v>1030</x:v>
      </x:c>
      <x:c r="AN2053" s="1" t="n">
        <x:f>IF(OR(A2053="",COUNTIFS($T$41:$T$540,A2053)&lt;&gt;1),0,MATCH(A2053,$T$41:$T$540,0))</x:f>
        <x:v>3</x:v>
      </x:c>
      <x:c r="AO2053" t="n">
        <x:f>IF(ISNUMBER(W2053),W2053,10000+AM2053)</x:f>
        <x:v>50</x:v>
      </x:c>
    </x:row>
    <x:row r="2054" ht="22" customHeight="1">
      <x:c r="A2054" s="1" t="str">
        <x:f>IF(A5="","",A5)</x:f>
        <x:v>1050</x:v>
      </x:c>
      <x:c r="B2054" s="1" t="str">
        <x:f>IF(A2054="","",B5)</x:f>
        <x:v>Paul Robeson High School for Human Services</x:v>
      </x:c>
      <x:c r="C2054" s="1" t="str">
        <x:f>IF(A2054="","",C5)</x:f>
        <x:v>District</x:v>
      </x:c>
      <x:c r="D2054" s="1" t="str">
        <x:f>IF(A2054="","",E5)</x:f>
        <x:v>High</x:v>
      </x:c>
      <x:c r="E2054" s="1" t="str">
        <x:f>IF(A2054="","",H5)</x:f>
        <x:v>19104</x:v>
      </x:c>
      <x:c r="F2054" s="1" t="n">
        <x:f>IF(ISNUMBER(K5),K5,"")</x:f>
        <x:v>300</x:v>
      </x:c>
      <x:c r="G2054" s="1" t="n">
        <x:f>IF(ISNUMBER(L5),L5,"")</x:f>
        <x:v>0.7533</x:v>
      </x:c>
      <x:c r="H2054" s="1" t="str">
        <x:f>IF(A2054="","",IF(AND(UPPER(G5)="PHILADELPHIA",OR(C2054="District",AND(C2054="Charter",D5="Yes"))),"Yes","No"))</x:f>
        <x:v>Yes</x:v>
      </x:c>
      <x:c r="I2054" s="1" t="n">
        <x:f>IF(OR(A2054="",COUNTIFS('Staff Review'!$A$8:$A$507,A2054)&lt;&gt;1),0,MATCH(A2054,'Staff Review'!$A$8:$A$507,0))</x:f>
        <x:v>226</x:v>
      </x:c>
      <x:c r="J2054" s="1" t="str">
        <x:f>IF(I2054=0,"No",IF(INDEX('Staff Review'!$C$8:$C$507,I2054)="Yes","Yes","No"))</x:f>
        <x:v>No</x:v>
      </x:c>
      <x:c r="K2054" s="1" t="n">
        <x:f>IF(AI2054="Yes",INDEX('Staff Review'!$D$8:$D$507,I2054),IF(AB2054=0,"",IF(COUNT(INDEX($C$1531:$C$2030,AB2054))=1,INDEX($C$1531:$C$2030,AB2054),"")))</x:f>
        <x:v>0.1812821079384152</x:v>
      </x:c>
      <x:c r="L2054" s="1" t="n">
        <x:f>IF(AJ2054="Yes",INDEX('Staff Review'!$F$8:$F$507,I2054),IF(AB2054=0,"",IF(COUNT(INDEX($G$1531:$G$2030,AB2054))=1,INDEX($G$1531:$G$2030,AB2054),"")))</x:f>
        <x:v>12</x:v>
      </x:c>
      <x:c r="M2054" s="1" t="str">
        <x:f>IF(A2054="","",IF(AI2054="Yes","Verified","Listed"))</x:f>
        <x:v>Listed</x:v>
      </x:c>
      <x:c r="N2054" s="1" t="str">
        <x:f>IF(A2054="","",IF(AJ2054="Yes","Verified","Listed"))</x:f>
        <x:v>Listed</x:v>
      </x:c>
      <x:c r="O2054" s="1" t="n">
        <x:f>IF(AND(ISNUMBER(G2054),G2054&gt;=0,G2054&lt;=1),IF(G2054&gt;=0.9,30,IF(G2054&gt;=0.8,25,IF(G2054&gt;=0.7,20,IF(G2054&gt;=0.6,15,IF(G2054&gt;=0.5,10,IF(G2054&gt;=0.4,5,0)))))),"")</x:f>
        <x:v>20</x:v>
      </x:c>
      <x:c r="P2054" s="1" t="n">
        <x:f>IF(ISNUMBER(K2054),IF(K2054&lt;0,"",IF(K2054&gt;1,25,IF(K2054&gt;=0.75,20,IF(K2054&gt;=0.5,15,IF(K2054&gt;=0.25,10,5))))),"")</x:f>
        <x:v>5</x:v>
      </x:c>
      <x:c r="Q2054" s="1" t="n">
        <x:f>IF(NOT(ISNUMBER(L2054)),"",IF(AND(L2054&gt;=0,MOD(L2054,1)=0),MAX(0,25-5*L2054),""))</x:f>
        <x:v>0</x:v>
      </x:c>
      <x:c r="R2054" s="1" t="n">
        <x:f>IF(NOT(ISNUMBER(F2054)),"",IF(AND(F2054&gt;0,MOD(F2054,1)=0),IF(F2054&gt;=700,5,IF(F2054&gt;=500,4,IF(F2054&gt;=350,3,IF(F2054&gt;=200,2,1)))),""))</x:f>
        <x:v>2</x:v>
      </x:c>
      <x:c r="S2054" s="1" t="n">
        <x:f>IF(COUNT(O2054:R2054)=4,SUM(O2054:R2054),"")</x:f>
        <x:v>27</x:v>
      </x:c>
      <x:c r="T2054" s="1" t="n">
        <x:f>IF(OR(COUNT(O2054:R2054)&lt;&gt;4,COUNT('Top 15'!$B$35:$E$35)&lt;&gt;4,MIN('Top 15'!$B$35:$E$35)&lt;0,SUM('Top 15'!$B$35:$E$35)&lt;=0),"",ROUND(85*(O2054/30*'Top 15'!$B$35+P2054/25*'Top 15'!$C$35+Q2054/25*'Top 15'!$D$35+R2054/5*'Top 15'!$E$35)/SUM('Top 15'!$B$35:$E$35),6))</x:f>
        <x:v>27</x:v>
      </x:c>
      <x:c r="U2054" s="1" t="str">
        <x:f>IF(A2054="","",IF(AND(M2054="Verified",N2054="Verified"),"Verified",IF(AND(M2054="Listed",N2054="Listed"),"Listed","Mixed")))</x:f>
        <x:v>Listed</x:v>
      </x:c>
      <x:c r="V2054" s="1" t="str">
        <x:f>IF(A2054="","",IF(AK2054&lt;&gt;1,"Duplicate source ID",IF(COUNTIFS('Staff Review'!$A$8:$A$507,A2054)&gt;1,"Duplicate review ID",IF(H2054&lt;&gt;"Yes","Outside scope",IF(J2054="Yes","Already served",IF(NOT(ISNUMBER(T2054)),"Missing data","Candidate"))))))</x:f>
        <x:v>Candidate</x:v>
      </x:c>
      <x:c r="W2054" s="1" t="n">
        <x:f>IF(AL2054=0,"",1+COUNTIFS($AL$2051:$AL$2550,1,$T$2051:$T$2550,"&gt;"&amp;T2054)+COUNTIFS($AL$2051:$AL$2550,1,$T$2051:$T$2550,T2054,$G$2051:$G$2550,"&gt;"&amp;G2054)+COUNTIFS($AL$2051:$AL$2550,1,$T$2051:$T$2550,T2054,$G$2051:$G$2550,G2054,$F$2051:$F$2550,"&gt;"&amp;F2054)+COUNTIFS($AL$2051:$AL$2550,1,$T$2051:$T$2550,T2054,$G$2051:$G$2550,G2054,$F$2051:$F$2550,F2054,$AM$2051:$AM$2550,"&lt;"&amp;AM2054))</x:f>
        <x:v>266</x:v>
      </x:c>
      <x:c r="X2054" s="1" t="n">
        <x:f>IF(AL2054=0,"",1+COUNTIFS($AL$2051:$AL$2550,1,$T$2051:$T$2550,"&gt;"&amp;T2054))</x:f>
        <x:v>266</x:v>
      </x:c>
      <x:c r="Y2054" s="1" t="n">
        <x:f>IF(AND(H2054="Yes",OR(LEN('School Search'!$B$5)=0,ISNUMBER(SEARCH('School Search'!$B$5,B2054&amp;" "&amp;E2054&amp;" "&amp;A2054))),OR('School Search'!$D$5="All",C2054='School Search'!$D$5),OR('School Search'!$G$5="All eligible",AND('School Search'!$G$5="Not marked served",J2054&lt;&gt;"Yes"),AND('School Search'!$G$5="Missing data",V2054="Missing data"),AND('School Search'!$G$5="Marked served",J2054="Yes"))),1,0)</x:f>
        <x:v>1</x:v>
      </x:c>
      <x:c r="Z2054" s="1" t="n">
        <x:f>IF(Y2054=0,"",COUNTIFS($Y$2051:$Y$2550,1,$AO$2051:$AO$2550,"&lt;"&amp;AO2054)+COUNTIFS($Y$2051:Y2054,1,$AO$2051:AO2054,AO2054))</x:f>
        <x:v>266</x:v>
      </x:c>
      <x:c r="AA2054" s="1" t="str">
        <x:f>IF(NOT(ISNUMBER(S2054)),"Missing demographic or access input",TEXT(G2054,"0%")&amp;" economic need; "&amp;TEXT(K2054,"0.00")&amp;" mi fresh access; "&amp;L2054&amp;" nearby resources")</x:f>
        <x:v>75% economic need; 0.18 mi fresh access; 12 nearby resources</x:v>
      </x:c>
      <x:c r="AB2054" s="1" t="n">
        <x:f>IF(OR(A2054="",COUNTIFS($A$1531:$A$2030,A2054)&lt;&gt;1),0,MATCH(A2054,$A$1531:$A$2030,0))</x:f>
        <x:v>4</x:v>
      </x:c>
      <x:c r="AC2054" s="1" t="str">
        <x:f>IF(AB2054=0,"",INDEX($E$1531:$E$2030,AB2054))</x:f>
        <x:v>Acme 2397</x:v>
      </x:c>
      <x:c r="AD2054" s="1" t="str">
        <x:f>IF(AB2054=0,"",INDEX($F$1531:$F$2030,AB2054))</x:f>
        <x:v>4001 Walnut St, Philadelphia, PA, 19104</x:v>
      </x:c>
      <x:c r="AE2054" s="1" t="str">
        <x:f>IF(A2054="","",F5)</x:f>
        <x:v>4125 LUDLOW ST</x:v>
      </x:c>
      <x:c r="AF2054" s="1" t="n">
        <x:f>IF(ISNUMBER(I5),I5,"")</x:f>
        <x:v>39.95679553</x:v>
      </x:c>
      <x:c r="AG2054" s="1" t="n">
        <x:f>IF(ISNUMBER(J5),J5,"")</x:f>
        <x:v>-75.20476311</x:v>
      </x:c>
      <x:c r="AH2054" s="1" t="str">
        <x:f>IF(I2054=0,"Not contacted",IF(INDEX('Staff Review'!$J$8:$J$507,I2054)="","Not contacted",INDEX('Staff Review'!$J$8:$J$507,I2054)))</x:f>
        <x:v>Not contacted</x:v>
      </x:c>
      <x:c r="AI2054" s="1" t="str">
        <x:f>IF(I2054=0,"No",IF(AND(COUNT(INDEX('Staff Review'!$D$8:$D$507,I2054))=1,INDEX('Staff Review'!$D$8:$D$507,I2054)&gt;=0,COUNT(INDEX('Staff Review'!$E$8:$E$507,I2054))=1,INDEX('Staff Review'!$E$8:$E$507,I2054)&gt;0,INDEX('Staff Review'!$E$8:$E$507,I2054)&lt;='Top 15'!$E$5,'Top 15'!$E$5-INDEX('Staff Review'!$E$8:$E$507,I2054)&lt;='Top 15'!$H$5,LEN(INDEX('Staff Review'!$H$8:$H$507,I2054))&gt;0),"Yes","No"))</x:f>
        <x:v>No</x:v>
      </x:c>
      <x:c r="AJ2054" s="1" t="str">
        <x:f>IF(I2054=0,"No",IF(COUNT(INDEX('Staff Review'!$F$8:$F$507,I2054))&lt;&gt;1,"No",IF(AND(INDEX('Staff Review'!$F$8:$F$507,I2054)&gt;=0,MOD(INDEX('Staff Review'!$F$8:$F$507,I2054),1)=0,COUNT(INDEX('Staff Review'!$G$8:$G$507,I2054))=1,INDEX('Staff Review'!$G$8:$G$507,I2054)&gt;0,INDEX('Staff Review'!$G$8:$G$507,I2054)&lt;='Top 15'!$E$5,'Top 15'!$E$5-INDEX('Staff Review'!$G$8:$G$507,I2054)&lt;='Top 15'!$H$5,LEN(INDEX('Staff Review'!$H$8:$H$507,I2054))&gt;0),"Yes","No")))</x:f>
        <x:v>No</x:v>
      </x:c>
      <x:c r="AK2054" s="1" t="n">
        <x:f>IF(A2054="",0,COUNTIFS($A$2:$A$501,A2054))</x:f>
        <x:v>1</x:v>
      </x:c>
      <x:c r="AL2054" s="1" t="n">
        <x:f>IF(V2054="Candidate",1,0)</x:f>
        <x:v>1</x:v>
      </x:c>
      <x:c r="AM2054" s="1" t="n">
        <x:f>IF(A2054="",0,VALUE(A2054))</x:f>
        <x:v>1050</x:v>
      </x:c>
      <x:c r="AN2054" s="1" t="n">
        <x:f>IF(OR(A2054="",COUNTIFS($T$41:$T$540,A2054)&lt;&gt;1),0,MATCH(A2054,$T$41:$T$540,0))</x:f>
        <x:v>4</x:v>
      </x:c>
      <x:c r="AO2054" t="n">
        <x:f>IF(ISNUMBER(W2054),W2054,10000+AM2054)</x:f>
        <x:v>266</x:v>
      </x:c>
    </x:row>
    <x:row r="2055" ht="22" customHeight="1">
      <x:c r="A2055" s="1" t="str">
        <x:f>IF(A6="","",A6)</x:f>
        <x:v>1100</x:v>
      </x:c>
      <x:c r="B2055" s="1" t="str">
        <x:f>IF(A2055="","",B6)</x:f>
        <x:v>William L. Sayre High School</x:v>
      </x:c>
      <x:c r="C2055" s="1" t="str">
        <x:f>IF(A2055="","",C6)</x:f>
        <x:v>District</x:v>
      </x:c>
      <x:c r="D2055" s="1" t="str">
        <x:f>IF(A2055="","",E6)</x:f>
        <x:v>High</x:v>
      </x:c>
      <x:c r="E2055" s="1" t="str">
        <x:f>IF(A2055="","",H6)</x:f>
        <x:v>19139</x:v>
      </x:c>
      <x:c r="F2055" s="1" t="n">
        <x:f>IF(ISNUMBER(K6),K6,"")</x:f>
        <x:v>439</x:v>
      </x:c>
      <x:c r="G2055" s="1" t="n">
        <x:f>IF(ISNUMBER(L6),L6,"")</x:f>
        <x:v>0.8084</x:v>
      </x:c>
      <x:c r="H2055" s="1" t="str">
        <x:f>IF(A2055="","",IF(AND(UPPER(G6)="PHILADELPHIA",OR(C2055="District",AND(C2055="Charter",D6="Yes"))),"Yes","No"))</x:f>
        <x:v>Yes</x:v>
      </x:c>
      <x:c r="I2055" s="1" t="n">
        <x:f>IF(OR(A2055="",COUNTIFS('Staff Review'!$A$8:$A$507,A2055)&lt;&gt;1),0,MATCH(A2055,'Staff Review'!$A$8:$A$507,0))</x:f>
        <x:v>320</x:v>
      </x:c>
      <x:c r="J2055" s="1" t="str">
        <x:f>IF(I2055=0,"No",IF(INDEX('Staff Review'!$C$8:$C$507,I2055)="Yes","Yes","No"))</x:f>
        <x:v>No</x:v>
      </x:c>
      <x:c r="K2055" s="1" t="n">
        <x:f>IF(AI2055="Yes",INDEX('Staff Review'!$D$8:$D$507,I2055),IF(AB2055=0,"",IF(COUNT(INDEX($C$1531:$C$2030,AB2055))=1,INDEX($C$1531:$C$2030,AB2055),"")))</x:f>
        <x:v>0.29370303689259636</x:v>
      </x:c>
      <x:c r="L2055" s="1" t="n">
        <x:f>IF(AJ2055="Yes",INDEX('Staff Review'!$F$8:$F$507,I2055),IF(AB2055=0,"",IF(COUNT(INDEX($G$1531:$G$2030,AB2055))=1,INDEX($G$1531:$G$2030,AB2055),"")))</x:f>
        <x:v>13</x:v>
      </x:c>
      <x:c r="M2055" s="1" t="str">
        <x:f>IF(A2055="","",IF(AI2055="Yes","Verified","Listed"))</x:f>
        <x:v>Listed</x:v>
      </x:c>
      <x:c r="N2055" s="1" t="str">
        <x:f>IF(A2055="","",IF(AJ2055="Yes","Verified","Listed"))</x:f>
        <x:v>Listed</x:v>
      </x:c>
      <x:c r="O2055" s="1" t="n">
        <x:f>IF(AND(ISNUMBER(G2055),G2055&gt;=0,G2055&lt;=1),IF(G2055&gt;=0.9,30,IF(G2055&gt;=0.8,25,IF(G2055&gt;=0.7,20,IF(G2055&gt;=0.6,15,IF(G2055&gt;=0.5,10,IF(G2055&gt;=0.4,5,0)))))),"")</x:f>
        <x:v>25</x:v>
      </x:c>
      <x:c r="P2055" s="1" t="n">
        <x:f>IF(ISNUMBER(K2055),IF(K2055&lt;0,"",IF(K2055&gt;1,25,IF(K2055&gt;=0.75,20,IF(K2055&gt;=0.5,15,IF(K2055&gt;=0.25,10,5))))),"")</x:f>
        <x:v>10</x:v>
      </x:c>
      <x:c r="Q2055" s="1" t="n">
        <x:f>IF(NOT(ISNUMBER(L2055)),"",IF(AND(L2055&gt;=0,MOD(L2055,1)=0),MAX(0,25-5*L2055),""))</x:f>
        <x:v>0</x:v>
      </x:c>
      <x:c r="R2055" s="1" t="n">
        <x:f>IF(NOT(ISNUMBER(F2055)),"",IF(AND(F2055&gt;0,MOD(F2055,1)=0),IF(F2055&gt;=700,5,IF(F2055&gt;=500,4,IF(F2055&gt;=350,3,IF(F2055&gt;=200,2,1)))),""))</x:f>
        <x:v>3</x:v>
      </x:c>
      <x:c r="S2055" s="1" t="n">
        <x:f>IF(COUNT(O2055:R2055)=4,SUM(O2055:R2055),"")</x:f>
        <x:v>38</x:v>
      </x:c>
      <x:c r="T2055" s="1" t="n">
        <x:f>IF(OR(COUNT(O2055:R2055)&lt;&gt;4,COUNT('Top 15'!$B$35:$E$35)&lt;&gt;4,MIN('Top 15'!$B$35:$E$35)&lt;0,SUM('Top 15'!$B$35:$E$35)&lt;=0),"",ROUND(85*(O2055/30*'Top 15'!$B$35+P2055/25*'Top 15'!$C$35+Q2055/25*'Top 15'!$D$35+R2055/5*'Top 15'!$E$35)/SUM('Top 15'!$B$35:$E$35),6))</x:f>
        <x:v>38</x:v>
      </x:c>
      <x:c r="U2055" s="1" t="str">
        <x:f>IF(A2055="","",IF(AND(M2055="Verified",N2055="Verified"),"Verified",IF(AND(M2055="Listed",N2055="Listed"),"Listed","Mixed")))</x:f>
        <x:v>Listed</x:v>
      </x:c>
      <x:c r="V2055" s="1" t="str">
        <x:f>IF(A2055="","",IF(AK2055&lt;&gt;1,"Duplicate source ID",IF(COUNTIFS('Staff Review'!$A$8:$A$507,A2055)&gt;1,"Duplicate review ID",IF(H2055&lt;&gt;"Yes","Outside scope",IF(J2055="Yes","Already served",IF(NOT(ISNUMBER(T2055)),"Missing data","Candidate"))))))</x:f>
        <x:v>Candidate</x:v>
      </x:c>
      <x:c r="W2055" s="1" t="n">
        <x:f>IF(AL2055=0,"",1+COUNTIFS($AL$2051:$AL$2550,1,$T$2051:$T$2550,"&gt;"&amp;T2055)+COUNTIFS($AL$2051:$AL$2550,1,$T$2051:$T$2550,T2055,$G$2051:$G$2550,"&gt;"&amp;G2055)+COUNTIFS($AL$2051:$AL$2550,1,$T$2051:$T$2550,T2055,$G$2051:$G$2550,G2055,$F$2051:$F$2550,"&gt;"&amp;F2055)+COUNTIFS($AL$2051:$AL$2550,1,$T$2051:$T$2550,T2055,$G$2051:$G$2550,G2055,$F$2051:$F$2550,F2055,$AM$2051:$AM$2550,"&lt;"&amp;AM2055))</x:f>
        <x:v>178</x:v>
      </x:c>
      <x:c r="X2055" s="1" t="n">
        <x:f>IF(AL2055=0,"",1+COUNTIFS($AL$2051:$AL$2550,1,$T$2051:$T$2550,"&gt;"&amp;T2055))</x:f>
        <x:v>166</x:v>
      </x:c>
      <x:c r="Y2055" s="1" t="n">
        <x:f>IF(AND(H2055="Yes",OR(LEN('School Search'!$B$5)=0,ISNUMBER(SEARCH('School Search'!$B$5,B2055&amp;" "&amp;E2055&amp;" "&amp;A2055))),OR('School Search'!$D$5="All",C2055='School Search'!$D$5),OR('School Search'!$G$5="All eligible",AND('School Search'!$G$5="Not marked served",J2055&lt;&gt;"Yes"),AND('School Search'!$G$5="Missing data",V2055="Missing data"),AND('School Search'!$G$5="Marked served",J2055="Yes"))),1,0)</x:f>
        <x:v>1</x:v>
      </x:c>
      <x:c r="Z2055" s="1" t="n">
        <x:f>IF(Y2055=0,"",COUNTIFS($Y$2051:$Y$2550,1,$AO$2051:$AO$2550,"&lt;"&amp;AO2055)+COUNTIFS($Y$2051:Y2055,1,$AO$2051:AO2055,AO2055))</x:f>
        <x:v>178</x:v>
      </x:c>
      <x:c r="AA2055" s="1" t="str">
        <x:f>IF(NOT(ISNUMBER(S2055)),"Missing demographic or access input",TEXT(G2055,"0%")&amp;" economic need; "&amp;TEXT(K2055,"0.00")&amp;" mi fresh access; "&amp;L2055&amp;" nearby resources")</x:f>
        <x:v>81% economic need; 0.29 mi fresh access; 13 nearby resources</x:v>
      </x:c>
      <x:c r="AB2055" s="1" t="n">
        <x:f>IF(OR(A2055="",COUNTIFS($A$1531:$A$2030,A2055)&lt;&gt;1),0,MATCH(A2055,$A$1531:$A$2030,0))</x:f>
        <x:v>5</x:v>
      </x:c>
      <x:c r="AC2055" s="1" t="str">
        <x:f>IF(AB2055=0,"",INDEX($E$1531:$E$2030,AB2055))</x:f>
        <x:v>FRESH GROCER</x:v>
      </x:c>
      <x:c r="AD2055" s="1" t="str">
        <x:f>IF(AB2055=0,"",INDEX($F$1531:$F$2030,AB2055))</x:f>
        <x:v>5601 Chestnut St, Philadelphia, PA, 19139</x:v>
      </x:c>
      <x:c r="AE2055" s="1" t="str">
        <x:f>IF(A2055="","",F6)</x:f>
        <x:v>5800 WALNUT ST</x:v>
      </x:c>
      <x:c r="AF2055" s="1" t="n">
        <x:f>IF(ISNUMBER(I6),I6,"")</x:f>
        <x:v>39.95759354</x:v>
      </x:c>
      <x:c r="AG2055" s="1" t="n">
        <x:f>IF(ISNUMBER(J6),J6,"")</x:f>
        <x:v>-75.23859405</x:v>
      </x:c>
      <x:c r="AH2055" s="1" t="str">
        <x:f>IF(I2055=0,"Not contacted",IF(INDEX('Staff Review'!$J$8:$J$507,I2055)="","Not contacted",INDEX('Staff Review'!$J$8:$J$507,I2055)))</x:f>
        <x:v>Not contacted</x:v>
      </x:c>
      <x:c r="AI2055" s="1" t="str">
        <x:f>IF(I2055=0,"No",IF(AND(COUNT(INDEX('Staff Review'!$D$8:$D$507,I2055))=1,INDEX('Staff Review'!$D$8:$D$507,I2055)&gt;=0,COUNT(INDEX('Staff Review'!$E$8:$E$507,I2055))=1,INDEX('Staff Review'!$E$8:$E$507,I2055)&gt;0,INDEX('Staff Review'!$E$8:$E$507,I2055)&lt;='Top 15'!$E$5,'Top 15'!$E$5-INDEX('Staff Review'!$E$8:$E$507,I2055)&lt;='Top 15'!$H$5,LEN(INDEX('Staff Review'!$H$8:$H$507,I2055))&gt;0),"Yes","No"))</x:f>
        <x:v>No</x:v>
      </x:c>
      <x:c r="AJ2055" s="1" t="str">
        <x:f>IF(I2055=0,"No",IF(COUNT(INDEX('Staff Review'!$F$8:$F$507,I2055))&lt;&gt;1,"No",IF(AND(INDEX('Staff Review'!$F$8:$F$507,I2055)&gt;=0,MOD(INDEX('Staff Review'!$F$8:$F$507,I2055),1)=0,COUNT(INDEX('Staff Review'!$G$8:$G$507,I2055))=1,INDEX('Staff Review'!$G$8:$G$507,I2055)&gt;0,INDEX('Staff Review'!$G$8:$G$507,I2055)&lt;='Top 15'!$E$5,'Top 15'!$E$5-INDEX('Staff Review'!$G$8:$G$507,I2055)&lt;='Top 15'!$H$5,LEN(INDEX('Staff Review'!$H$8:$H$507,I2055))&gt;0),"Yes","No")))</x:f>
        <x:v>No</x:v>
      </x:c>
      <x:c r="AK2055" s="1" t="n">
        <x:f>IF(A2055="",0,COUNTIFS($A$2:$A$501,A2055))</x:f>
        <x:v>1</x:v>
      </x:c>
      <x:c r="AL2055" s="1" t="n">
        <x:f>IF(V2055="Candidate",1,0)</x:f>
        <x:v>1</x:v>
      </x:c>
      <x:c r="AM2055" s="1" t="n">
        <x:f>IF(A2055="",0,VALUE(A2055))</x:f>
        <x:v>1100</x:v>
      </x:c>
      <x:c r="AN2055" s="1" t="n">
        <x:f>IF(OR(A2055="",COUNTIFS($T$41:$T$540,A2055)&lt;&gt;1),0,MATCH(A2055,$T$41:$T$540,0))</x:f>
        <x:v>5</x:v>
      </x:c>
      <x:c r="AO2055" t="n">
        <x:f>IF(ISNUMBER(W2055),W2055,10000+AM2055)</x:f>
        <x:v>178</x:v>
      </x:c>
    </x:row>
    <x:row r="2056" ht="22" customHeight="1">
      <x:c r="A2056" s="1" t="str">
        <x:f>IF(A7="","",A7)</x:f>
        <x:v>1130</x:v>
      </x:c>
      <x:c r="B2056" s="1" t="str">
        <x:f>IF(A2056="","",B7)</x:f>
        <x:v>William T. Tilden Middle School</x:v>
      </x:c>
      <x:c r="C2056" s="1" t="str">
        <x:f>IF(A2056="","",C7)</x:f>
        <x:v>District</x:v>
      </x:c>
      <x:c r="D2056" s="1" t="str">
        <x:f>IF(A2056="","",E7)</x:f>
        <x:v>Middle</x:v>
      </x:c>
      <x:c r="E2056" s="1" t="str">
        <x:f>IF(A2056="","",H7)</x:f>
        <x:v>19142</x:v>
      </x:c>
      <x:c r="F2056" s="1" t="n">
        <x:f>IF(ISNUMBER(K7),K7,"")</x:f>
        <x:v>230</x:v>
      </x:c>
      <x:c r="G2056" s="1" t="n">
        <x:f>IF(ISNUMBER(L7),L7,"")</x:f>
        <x:v>0.8787</x:v>
      </x:c>
      <x:c r="H2056" s="1" t="str">
        <x:f>IF(A2056="","",IF(AND(UPPER(G7)="PHILADELPHIA",OR(C2056="District",AND(C2056="Charter",D7="Yes"))),"Yes","No"))</x:f>
        <x:v>Yes</x:v>
      </x:c>
      <x:c r="I2056" s="1" t="n">
        <x:f>IF(OR(A2056="",COUNTIFS('Staff Review'!$A$8:$A$507,A2056)&lt;&gt;1),0,MATCH(A2056,'Staff Review'!$A$8:$A$507,0))</x:f>
        <x:v>324</x:v>
      </x:c>
      <x:c r="J2056" s="1" t="str">
        <x:f>IF(I2056=0,"No",IF(INDEX('Staff Review'!$C$8:$C$507,I2056)="Yes","Yes","No"))</x:f>
        <x:v>No</x:v>
      </x:c>
      <x:c r="K2056" s="1" t="n">
        <x:f>IF(AI2056="Yes",INDEX('Staff Review'!$D$8:$D$507,I2056),IF(AB2056=0,"",IF(COUNT(INDEX($C$1531:$C$2030,AB2056))=1,INDEX($C$1531:$C$2030,AB2056),"")))</x:f>
        <x:v>0.385327144615068</x:v>
      </x:c>
      <x:c r="L2056" s="1" t="n">
        <x:f>IF(AJ2056="Yes",INDEX('Staff Review'!$F$8:$F$507,I2056),IF(AB2056=0,"",IF(COUNT(INDEX($G$1531:$G$2030,AB2056))=1,INDEX($G$1531:$G$2030,AB2056),"")))</x:f>
        <x:v>4</x:v>
      </x:c>
      <x:c r="M2056" s="1" t="str">
        <x:f>IF(A2056="","",IF(AI2056="Yes","Verified","Listed"))</x:f>
        <x:v>Listed</x:v>
      </x:c>
      <x:c r="N2056" s="1" t="str">
        <x:f>IF(A2056="","",IF(AJ2056="Yes","Verified","Listed"))</x:f>
        <x:v>Listed</x:v>
      </x:c>
      <x:c r="O2056" s="1" t="n">
        <x:f>IF(AND(ISNUMBER(G2056),G2056&gt;=0,G2056&lt;=1),IF(G2056&gt;=0.9,30,IF(G2056&gt;=0.8,25,IF(G2056&gt;=0.7,20,IF(G2056&gt;=0.6,15,IF(G2056&gt;=0.5,10,IF(G2056&gt;=0.4,5,0)))))),"")</x:f>
        <x:v>25</x:v>
      </x:c>
      <x:c r="P2056" s="1" t="n">
        <x:f>IF(ISNUMBER(K2056),IF(K2056&lt;0,"",IF(K2056&gt;1,25,IF(K2056&gt;=0.75,20,IF(K2056&gt;=0.5,15,IF(K2056&gt;=0.25,10,5))))),"")</x:f>
        <x:v>10</x:v>
      </x:c>
      <x:c r="Q2056" s="1" t="n">
        <x:f>IF(NOT(ISNUMBER(L2056)),"",IF(AND(L2056&gt;=0,MOD(L2056,1)=0),MAX(0,25-5*L2056),""))</x:f>
        <x:v>5</x:v>
      </x:c>
      <x:c r="R2056" s="1" t="n">
        <x:f>IF(NOT(ISNUMBER(F2056)),"",IF(AND(F2056&gt;0,MOD(F2056,1)=0),IF(F2056&gt;=700,5,IF(F2056&gt;=500,4,IF(F2056&gt;=350,3,IF(F2056&gt;=200,2,1)))),""))</x:f>
        <x:v>2</x:v>
      </x:c>
      <x:c r="S2056" s="1" t="n">
        <x:f>IF(COUNT(O2056:R2056)=4,SUM(O2056:R2056),"")</x:f>
        <x:v>42</x:v>
      </x:c>
      <x:c r="T2056" s="1" t="n">
        <x:f>IF(OR(COUNT(O2056:R2056)&lt;&gt;4,COUNT('Top 15'!$B$35:$E$35)&lt;&gt;4,MIN('Top 15'!$B$35:$E$35)&lt;0,SUM('Top 15'!$B$35:$E$35)&lt;=0),"",ROUND(85*(O2056/30*'Top 15'!$B$35+P2056/25*'Top 15'!$C$35+Q2056/25*'Top 15'!$D$35+R2056/5*'Top 15'!$E$35)/SUM('Top 15'!$B$35:$E$35),6))</x:f>
        <x:v>42</x:v>
      </x:c>
      <x:c r="U2056" s="1" t="str">
        <x:f>IF(A2056="","",IF(AND(M2056="Verified",N2056="Verified"),"Verified",IF(AND(M2056="Listed",N2056="Listed"),"Listed","Mixed")))</x:f>
        <x:v>Listed</x:v>
      </x:c>
      <x:c r="V2056" s="1" t="str">
        <x:f>IF(A2056="","",IF(AK2056&lt;&gt;1,"Duplicate source ID",IF(COUNTIFS('Staff Review'!$A$8:$A$507,A2056)&gt;1,"Duplicate review ID",IF(H2056&lt;&gt;"Yes","Outside scope",IF(J2056="Yes","Already served",IF(NOT(ISNUMBER(T2056)),"Missing data","Candidate"))))))</x:f>
        <x:v>Candidate</x:v>
      </x:c>
      <x:c r="W2056" s="1" t="n">
        <x:f>IF(AL2056=0,"",1+COUNTIFS($AL$2051:$AL$2550,1,$T$2051:$T$2550,"&gt;"&amp;T2056)+COUNTIFS($AL$2051:$AL$2550,1,$T$2051:$T$2550,T2056,$G$2051:$G$2550,"&gt;"&amp;G2056)+COUNTIFS($AL$2051:$AL$2550,1,$T$2051:$T$2550,T2056,$G$2051:$G$2550,G2056,$F$2051:$F$2550,"&gt;"&amp;F2056)+COUNTIFS($AL$2051:$AL$2550,1,$T$2051:$T$2550,T2056,$G$2051:$G$2550,G2056,$F$2051:$F$2550,F2056,$AM$2051:$AM$2550,"&lt;"&amp;AM2056))</x:f>
        <x:v>114</x:v>
      </x:c>
      <x:c r="X2056" s="1" t="n">
        <x:f>IF(AL2056=0,"",1+COUNTIFS($AL$2051:$AL$2550,1,$T$2051:$T$2550,"&gt;"&amp;T2056))</x:f>
        <x:v>101</x:v>
      </x:c>
      <x:c r="Y2056" s="1" t="n">
        <x:f>IF(AND(H2056="Yes",OR(LEN('School Search'!$B$5)=0,ISNUMBER(SEARCH('School Search'!$B$5,B2056&amp;" "&amp;E2056&amp;" "&amp;A2056))),OR('School Search'!$D$5="All",C2056='School Search'!$D$5),OR('School Search'!$G$5="All eligible",AND('School Search'!$G$5="Not marked served",J2056&lt;&gt;"Yes"),AND('School Search'!$G$5="Missing data",V2056="Missing data"),AND('School Search'!$G$5="Marked served",J2056="Yes"))),1,0)</x:f>
        <x:v>1</x:v>
      </x:c>
      <x:c r="Z2056" s="1" t="n">
        <x:f>IF(Y2056=0,"",COUNTIFS($Y$2051:$Y$2550,1,$AO$2051:$AO$2550,"&lt;"&amp;AO2056)+COUNTIFS($Y$2051:Y2056,1,$AO$2051:AO2056,AO2056))</x:f>
        <x:v>114</x:v>
      </x:c>
      <x:c r="AA2056" s="1" t="str">
        <x:f>IF(NOT(ISNUMBER(S2056)),"Missing demographic or access input",TEXT(G2056,"0%")&amp;" economic need; "&amp;TEXT(K2056,"0.00")&amp;" mi fresh access; "&amp;L2056&amp;" nearby resources")</x:f>
        <x:v>88% economic need; 0.39 mi fresh access; 4 nearby resources</x:v>
      </x:c>
      <x:c r="AB2056" s="1" t="n">
        <x:f>IF(OR(A2056="",COUNTIFS($A$1531:$A$2030,A2056)&lt;&gt;1),0,MATCH(A2056,$A$1531:$A$2030,0))</x:f>
        <x:v>6</x:v>
      </x:c>
      <x:c r="AC2056" s="1" t="str">
        <x:f>IF(AB2056=0,"",INDEX($E$1531:$E$2030,AB2056))</x:f>
        <x:v>Cousin's Fresh Market Inc</x:v>
      </x:c>
      <x:c r="AD2056" s="1" t="str">
        <x:f>IF(AB2056=0,"",INDEX($F$1531:$F$2030,AB2056))</x:f>
        <x:v>6411 Woodland Ave, Philadelphia, PA, 19142</x:v>
      </x:c>
      <x:c r="AE2056" s="1" t="str">
        <x:f>IF(A2056="","",F7)</x:f>
        <x:v>6601 ELMWOOD AVE</x:v>
      </x:c>
      <x:c r="AF2056" s="1" t="n">
        <x:f>IF(ISNUMBER(I7),I7,"")</x:f>
        <x:v>39.92093619</x:v>
      </x:c>
      <x:c r="AG2056" s="1" t="n">
        <x:f>IF(ISNUMBER(J7),J7,"")</x:f>
        <x:v>-75.23227632</x:v>
      </x:c>
      <x:c r="AH2056" s="1" t="str">
        <x:f>IF(I2056=0,"Not contacted",IF(INDEX('Staff Review'!$J$8:$J$507,I2056)="","Not contacted",INDEX('Staff Review'!$J$8:$J$507,I2056)))</x:f>
        <x:v>Not contacted</x:v>
      </x:c>
      <x:c r="AI2056" s="1" t="str">
        <x:f>IF(I2056=0,"No",IF(AND(COUNT(INDEX('Staff Review'!$D$8:$D$507,I2056))=1,INDEX('Staff Review'!$D$8:$D$507,I2056)&gt;=0,COUNT(INDEX('Staff Review'!$E$8:$E$507,I2056))=1,INDEX('Staff Review'!$E$8:$E$507,I2056)&gt;0,INDEX('Staff Review'!$E$8:$E$507,I2056)&lt;='Top 15'!$E$5,'Top 15'!$E$5-INDEX('Staff Review'!$E$8:$E$507,I2056)&lt;='Top 15'!$H$5,LEN(INDEX('Staff Review'!$H$8:$H$507,I2056))&gt;0),"Yes","No"))</x:f>
        <x:v>No</x:v>
      </x:c>
      <x:c r="AJ2056" s="1" t="str">
        <x:f>IF(I2056=0,"No",IF(COUNT(INDEX('Staff Review'!$F$8:$F$507,I2056))&lt;&gt;1,"No",IF(AND(INDEX('Staff Review'!$F$8:$F$507,I2056)&gt;=0,MOD(INDEX('Staff Review'!$F$8:$F$507,I2056),1)=0,COUNT(INDEX('Staff Review'!$G$8:$G$507,I2056))=1,INDEX('Staff Review'!$G$8:$G$507,I2056)&gt;0,INDEX('Staff Review'!$G$8:$G$507,I2056)&lt;='Top 15'!$E$5,'Top 15'!$E$5-INDEX('Staff Review'!$G$8:$G$507,I2056)&lt;='Top 15'!$H$5,LEN(INDEX('Staff Review'!$H$8:$H$507,I2056))&gt;0),"Yes","No")))</x:f>
        <x:v>No</x:v>
      </x:c>
      <x:c r="AK2056" s="1" t="n">
        <x:f>IF(A2056="",0,COUNTIFS($A$2:$A$501,A2056))</x:f>
        <x:v>1</x:v>
      </x:c>
      <x:c r="AL2056" s="1" t="n">
        <x:f>IF(V2056="Candidate",1,0)</x:f>
        <x:v>1</x:v>
      </x:c>
      <x:c r="AM2056" s="1" t="n">
        <x:f>IF(A2056="",0,VALUE(A2056))</x:f>
        <x:v>1130</x:v>
      </x:c>
      <x:c r="AN2056" s="1" t="n">
        <x:f>IF(OR(A2056="",COUNTIFS($T$41:$T$540,A2056)&lt;&gt;1),0,MATCH(A2056,$T$41:$T$540,0))</x:f>
        <x:v>6</x:v>
      </x:c>
      <x:c r="AO2056" t="n">
        <x:f>IF(ISNUMBER(W2056),W2056,10000+AM2056)</x:f>
        <x:v>114</x:v>
      </x:c>
    </x:row>
    <x:row r="2057" ht="22" customHeight="1">
      <x:c r="A2057" s="1" t="str">
        <x:f>IF(A8="","",A8)</x:f>
        <x:v>1190</x:v>
      </x:c>
      <x:c r="B2057" s="1" t="str">
        <x:f>IF(A2057="","",B8)</x:f>
        <x:v>Motivation High School</x:v>
      </x:c>
      <x:c r="C2057" s="1" t="str">
        <x:f>IF(A2057="","",C8)</x:f>
        <x:v>District</x:v>
      </x:c>
      <x:c r="D2057" s="1" t="str">
        <x:f>IF(A2057="","",E8)</x:f>
        <x:v>High</x:v>
      </x:c>
      <x:c r="E2057" s="1" t="str">
        <x:f>IF(A2057="","",H8)</x:f>
        <x:v>19143</x:v>
      </x:c>
      <x:c r="F2057" s="1" t="n">
        <x:f>IF(ISNUMBER(K8),K8,"")</x:f>
        <x:v>151</x:v>
      </x:c>
      <x:c r="G2057" s="1" t="n">
        <x:f>IF(ISNUMBER(L8),L8,"")</x:f>
        <x:v>0.8344</x:v>
      </x:c>
      <x:c r="H2057" s="1" t="str">
        <x:f>IF(A2057="","",IF(AND(UPPER(G8)="PHILADELPHIA",OR(C2057="District",AND(C2057="Charter",D8="Yes"))),"Yes","No"))</x:f>
        <x:v>Yes</x:v>
      </x:c>
      <x:c r="I2057" s="1" t="n">
        <x:f>IF(OR(A2057="",COUNTIFS('Staff Review'!$A$8:$A$507,A2057)&lt;&gt;1),0,MATCH(A2057,'Staff Review'!$A$8:$A$507,0))</x:f>
        <x:v>201</x:v>
      </x:c>
      <x:c r="J2057" s="1" t="str">
        <x:f>IF(I2057=0,"No",IF(INDEX('Staff Review'!$C$8:$C$507,I2057)="Yes","Yes","No"))</x:f>
        <x:v>No</x:v>
      </x:c>
      <x:c r="K2057" s="1" t="n">
        <x:f>IF(AI2057="Yes",INDEX('Staff Review'!$D$8:$D$507,I2057),IF(AB2057=0,"",IF(COUNT(INDEX($C$1531:$C$2030,AB2057))=1,INDEX($C$1531:$C$2030,AB2057),"")))</x:f>
        <x:v>0.2506320247265274</x:v>
      </x:c>
      <x:c r="L2057" s="1" t="n">
        <x:f>IF(AJ2057="Yes",INDEX('Staff Review'!$F$8:$F$507,I2057),IF(AB2057=0,"",IF(COUNT(INDEX($G$1531:$G$2030,AB2057))=1,INDEX($G$1531:$G$2030,AB2057),"")))</x:f>
        <x:v>5</x:v>
      </x:c>
      <x:c r="M2057" s="1" t="str">
        <x:f>IF(A2057="","",IF(AI2057="Yes","Verified","Listed"))</x:f>
        <x:v>Listed</x:v>
      </x:c>
      <x:c r="N2057" s="1" t="str">
        <x:f>IF(A2057="","",IF(AJ2057="Yes","Verified","Listed"))</x:f>
        <x:v>Listed</x:v>
      </x:c>
      <x:c r="O2057" s="1" t="n">
        <x:f>IF(AND(ISNUMBER(G2057),G2057&gt;=0,G2057&lt;=1),IF(G2057&gt;=0.9,30,IF(G2057&gt;=0.8,25,IF(G2057&gt;=0.7,20,IF(G2057&gt;=0.6,15,IF(G2057&gt;=0.5,10,IF(G2057&gt;=0.4,5,0)))))),"")</x:f>
        <x:v>25</x:v>
      </x:c>
      <x:c r="P2057" s="1" t="n">
        <x:f>IF(ISNUMBER(K2057),IF(K2057&lt;0,"",IF(K2057&gt;1,25,IF(K2057&gt;=0.75,20,IF(K2057&gt;=0.5,15,IF(K2057&gt;=0.25,10,5))))),"")</x:f>
        <x:v>10</x:v>
      </x:c>
      <x:c r="Q2057" s="1" t="n">
        <x:f>IF(NOT(ISNUMBER(L2057)),"",IF(AND(L2057&gt;=0,MOD(L2057,1)=0),MAX(0,25-5*L2057),""))</x:f>
        <x:v>0</x:v>
      </x:c>
      <x:c r="R2057" s="1" t="n">
        <x:f>IF(NOT(ISNUMBER(F2057)),"",IF(AND(F2057&gt;0,MOD(F2057,1)=0),IF(F2057&gt;=700,5,IF(F2057&gt;=500,4,IF(F2057&gt;=350,3,IF(F2057&gt;=200,2,1)))),""))</x:f>
        <x:v>1</x:v>
      </x:c>
      <x:c r="S2057" s="1" t="n">
        <x:f>IF(COUNT(O2057:R2057)=4,SUM(O2057:R2057),"")</x:f>
        <x:v>36</x:v>
      </x:c>
      <x:c r="T2057" s="1" t="n">
        <x:f>IF(OR(COUNT(O2057:R2057)&lt;&gt;4,COUNT('Top 15'!$B$35:$E$35)&lt;&gt;4,MIN('Top 15'!$B$35:$E$35)&lt;0,SUM('Top 15'!$B$35:$E$35)&lt;=0),"",ROUND(85*(O2057/30*'Top 15'!$B$35+P2057/25*'Top 15'!$C$35+Q2057/25*'Top 15'!$D$35+R2057/5*'Top 15'!$E$35)/SUM('Top 15'!$B$35:$E$35),6))</x:f>
        <x:v>36</x:v>
      </x:c>
      <x:c r="U2057" s="1" t="str">
        <x:f>IF(A2057="","",IF(AND(M2057="Verified",N2057="Verified"),"Verified",IF(AND(M2057="Listed",N2057="Listed"),"Listed","Mixed")))</x:f>
        <x:v>Listed</x:v>
      </x:c>
      <x:c r="V2057" s="1" t="str">
        <x:f>IF(A2057="","",IF(AK2057&lt;&gt;1,"Duplicate source ID",IF(COUNTIFS('Staff Review'!$A$8:$A$507,A2057)&gt;1,"Duplicate review ID",IF(H2057&lt;&gt;"Yes","Outside scope",IF(J2057="Yes","Already served",IF(NOT(ISNUMBER(T2057)),"Missing data","Candidate"))))))</x:f>
        <x:v>Candidate</x:v>
      </x:c>
      <x:c r="W2057" s="1" t="n">
        <x:f>IF(AL2057=0,"",1+COUNTIFS($AL$2051:$AL$2550,1,$T$2051:$T$2550,"&gt;"&amp;T2057)+COUNTIFS($AL$2051:$AL$2550,1,$T$2051:$T$2550,T2057,$G$2051:$G$2550,"&gt;"&amp;G2057)+COUNTIFS($AL$2051:$AL$2550,1,$T$2051:$T$2550,T2057,$G$2051:$G$2550,G2057,$F$2051:$F$2550,"&gt;"&amp;F2057)+COUNTIFS($AL$2051:$AL$2550,1,$T$2051:$T$2550,T2057,$G$2051:$G$2550,G2057,$F$2051:$F$2550,F2057,$AM$2051:$AM$2550,"&lt;"&amp;AM2057))</x:f>
        <x:v>207</x:v>
      </x:c>
      <x:c r="X2057" s="1" t="n">
        <x:f>IF(AL2057=0,"",1+COUNTIFS($AL$2051:$AL$2550,1,$T$2051:$T$2550,"&gt;"&amp;T2057))</x:f>
        <x:v>205</x:v>
      </x:c>
      <x:c r="Y2057" s="1" t="n">
        <x:f>IF(AND(H2057="Yes",OR(LEN('School Search'!$B$5)=0,ISNUMBER(SEARCH('School Search'!$B$5,B2057&amp;" "&amp;E2057&amp;" "&amp;A2057))),OR('School Search'!$D$5="All",C2057='School Search'!$D$5),OR('School Search'!$G$5="All eligible",AND('School Search'!$G$5="Not marked served",J2057&lt;&gt;"Yes"),AND('School Search'!$G$5="Missing data",V2057="Missing data"),AND('School Search'!$G$5="Marked served",J2057="Yes"))),1,0)</x:f>
        <x:v>1</x:v>
      </x:c>
      <x:c r="Z2057" s="1" t="n">
        <x:f>IF(Y2057=0,"",COUNTIFS($Y$2051:$Y$2550,1,$AO$2051:$AO$2550,"&lt;"&amp;AO2057)+COUNTIFS($Y$2051:Y2057,1,$AO$2051:AO2057,AO2057))</x:f>
        <x:v>207</x:v>
      </x:c>
      <x:c r="AA2057" s="1" t="str">
        <x:f>IF(NOT(ISNUMBER(S2057)),"Missing demographic or access input",TEXT(G2057,"0%")&amp;" economic need; "&amp;TEXT(K2057,"0.00")&amp;" mi fresh access; "&amp;L2057&amp;" nearby resources")</x:f>
        <x:v>83% economic need; 0.25 mi fresh access; 5 nearby resources</x:v>
      </x:c>
      <x:c r="AB2057" s="1" t="n">
        <x:f>IF(OR(A2057="",COUNTIFS($A$1531:$A$2030,A2057)&lt;&gt;1),0,MATCH(A2057,$A$1531:$A$2030,0))</x:f>
        <x:v>7</x:v>
      </x:c>
      <x:c r="AC2057" s="1" t="str">
        <x:f>IF(AB2057=0,"",INDEX($E$1531:$E$2030,AB2057))</x:f>
        <x:v>Cousin's Fresh Market 3 Llc</x:v>
      </x:c>
      <x:c r="AD2057" s="1" t="str">
        <x:f>IF(AB2057=0,"",INDEX($F$1531:$F$2030,AB2057))</x:f>
        <x:v>5704 Baltimore Ave, Philadelphia, PA, 19143</x:v>
      </x:c>
      <x:c r="AE2057" s="1" t="str">
        <x:f>IF(A2057="","",F8)</x:f>
        <x:v>5900 BALTIMORE AVE</x:v>
      </x:c>
      <x:c r="AF2057" s="1" t="n">
        <x:f>IF(ISNUMBER(I8),I8,"")</x:f>
        <x:v>39.94453199</x:v>
      </x:c>
      <x:c r="AG2057" s="1" t="n">
        <x:f>IF(ISNUMBER(J8),J8,"")</x:f>
        <x:v>-75.24184422</x:v>
      </x:c>
      <x:c r="AH2057" s="1" t="str">
        <x:f>IF(I2057=0,"Not contacted",IF(INDEX('Staff Review'!$J$8:$J$507,I2057)="","Not contacted",INDEX('Staff Review'!$J$8:$J$507,I2057)))</x:f>
        <x:v>Not contacted</x:v>
      </x:c>
      <x:c r="AI2057" s="1" t="str">
        <x:f>IF(I2057=0,"No",IF(AND(COUNT(INDEX('Staff Review'!$D$8:$D$507,I2057))=1,INDEX('Staff Review'!$D$8:$D$507,I2057)&gt;=0,COUNT(INDEX('Staff Review'!$E$8:$E$507,I2057))=1,INDEX('Staff Review'!$E$8:$E$507,I2057)&gt;0,INDEX('Staff Review'!$E$8:$E$507,I2057)&lt;='Top 15'!$E$5,'Top 15'!$E$5-INDEX('Staff Review'!$E$8:$E$507,I2057)&lt;='Top 15'!$H$5,LEN(INDEX('Staff Review'!$H$8:$H$507,I2057))&gt;0),"Yes","No"))</x:f>
        <x:v>No</x:v>
      </x:c>
      <x:c r="AJ2057" s="1" t="str">
        <x:f>IF(I2057=0,"No",IF(COUNT(INDEX('Staff Review'!$F$8:$F$507,I2057))&lt;&gt;1,"No",IF(AND(INDEX('Staff Review'!$F$8:$F$507,I2057)&gt;=0,MOD(INDEX('Staff Review'!$F$8:$F$507,I2057),1)=0,COUNT(INDEX('Staff Review'!$G$8:$G$507,I2057))=1,INDEX('Staff Review'!$G$8:$G$507,I2057)&gt;0,INDEX('Staff Review'!$G$8:$G$507,I2057)&lt;='Top 15'!$E$5,'Top 15'!$E$5-INDEX('Staff Review'!$G$8:$G$507,I2057)&lt;='Top 15'!$H$5,LEN(INDEX('Staff Review'!$H$8:$H$507,I2057))&gt;0),"Yes","No")))</x:f>
        <x:v>No</x:v>
      </x:c>
      <x:c r="AK2057" s="1" t="n">
        <x:f>IF(A2057="",0,COUNTIFS($A$2:$A$501,A2057))</x:f>
        <x:v>1</x:v>
      </x:c>
      <x:c r="AL2057" s="1" t="n">
        <x:f>IF(V2057="Candidate",1,0)</x:f>
        <x:v>1</x:v>
      </x:c>
      <x:c r="AM2057" s="1" t="n">
        <x:f>IF(A2057="",0,VALUE(A2057))</x:f>
        <x:v>1190</x:v>
      </x:c>
      <x:c r="AN2057" s="1" t="n">
        <x:f>IF(OR(A2057="",COUNTIFS($T$41:$T$540,A2057)&lt;&gt;1),0,MATCH(A2057,$T$41:$T$540,0))</x:f>
        <x:v>7</x:v>
      </x:c>
      <x:c r="AO2057" t="n">
        <x:f>IF(ISNUMBER(W2057),W2057,10000+AM2057)</x:f>
        <x:v>207</x:v>
      </x:c>
    </x:row>
    <x:row r="2058" ht="22" customHeight="1">
      <x:c r="A2058" s="1" t="str">
        <x:f>IF(A9="","",A9)</x:f>
        <x:v>1200</x:v>
      </x:c>
      <x:c r="B2058" s="1" t="str">
        <x:f>IF(A2058="","",B9)</x:f>
        <x:v>John Barry School</x:v>
      </x:c>
      <x:c r="C2058" s="1" t="str">
        <x:f>IF(A2058="","",C9)</x:f>
        <x:v>District</x:v>
      </x:c>
      <x:c r="D2058" s="1" t="str">
        <x:f>IF(A2058="","",E9)</x:f>
        <x:v>Elementary-Middle</x:v>
      </x:c>
      <x:c r="E2058" s="1" t="str">
        <x:f>IF(A2058="","",H9)</x:f>
        <x:v>19139</x:v>
      </x:c>
      <x:c r="F2058" s="1" t="n">
        <x:f>IF(ISNUMBER(K9),K9,"")</x:f>
        <x:v>442</x:v>
      </x:c>
      <x:c r="G2058" s="1" t="n">
        <x:f>IF(ISNUMBER(L9),L9,"")</x:f>
        <x:v>0.9118</x:v>
      </x:c>
      <x:c r="H2058" s="1" t="str">
        <x:f>IF(A2058="","",IF(AND(UPPER(G9)="PHILADELPHIA",OR(C2058="District",AND(C2058="Charter",D9="Yes"))),"Yes","No"))</x:f>
        <x:v>Yes</x:v>
      </x:c>
      <x:c r="I2058" s="1" t="n">
        <x:f>IF(OR(A2058="",COUNTIFS('Staff Review'!$A$8:$A$507,A2058)&lt;&gt;1),0,MATCH(A2058,'Staff Review'!$A$8:$A$507,0))</x:f>
        <x:v>135</x:v>
      </x:c>
      <x:c r="J2058" s="1" t="str">
        <x:f>IF(I2058=0,"No",IF(INDEX('Staff Review'!$C$8:$C$507,I2058)="Yes","Yes","No"))</x:f>
        <x:v>No</x:v>
      </x:c>
      <x:c r="K2058" s="1" t="n">
        <x:f>IF(AI2058="Yes",INDEX('Staff Review'!$D$8:$D$507,I2058),IF(AB2058=0,"",IF(COUNT(INDEX($C$1531:$C$2030,AB2058))=1,INDEX($C$1531:$C$2030,AB2058),"")))</x:f>
        <x:v>0.35473149935309223</x:v>
      </x:c>
      <x:c r="L2058" s="1" t="n">
        <x:f>IF(AJ2058="Yes",INDEX('Staff Review'!$F$8:$F$507,I2058),IF(AB2058=0,"",IF(COUNT(INDEX($G$1531:$G$2030,AB2058))=1,INDEX($G$1531:$G$2030,AB2058),"")))</x:f>
        <x:v>11</x:v>
      </x:c>
      <x:c r="M2058" s="1" t="str">
        <x:f>IF(A2058="","",IF(AI2058="Yes","Verified","Listed"))</x:f>
        <x:v>Listed</x:v>
      </x:c>
      <x:c r="N2058" s="1" t="str">
        <x:f>IF(A2058="","",IF(AJ2058="Yes","Verified","Listed"))</x:f>
        <x:v>Listed</x:v>
      </x:c>
      <x:c r="O2058" s="1" t="n">
        <x:f>IF(AND(ISNUMBER(G2058),G2058&gt;=0,G2058&lt;=1),IF(G2058&gt;=0.9,30,IF(G2058&gt;=0.8,25,IF(G2058&gt;=0.7,20,IF(G2058&gt;=0.6,15,IF(G2058&gt;=0.5,10,IF(G2058&gt;=0.4,5,0)))))),"")</x:f>
        <x:v>30</x:v>
      </x:c>
      <x:c r="P2058" s="1" t="n">
        <x:f>IF(ISNUMBER(K2058),IF(K2058&lt;0,"",IF(K2058&gt;1,25,IF(K2058&gt;=0.75,20,IF(K2058&gt;=0.5,15,IF(K2058&gt;=0.25,10,5))))),"")</x:f>
        <x:v>10</x:v>
      </x:c>
      <x:c r="Q2058" s="1" t="n">
        <x:f>IF(NOT(ISNUMBER(L2058)),"",IF(AND(L2058&gt;=0,MOD(L2058,1)=0),MAX(0,25-5*L2058),""))</x:f>
        <x:v>0</x:v>
      </x:c>
      <x:c r="R2058" s="1" t="n">
        <x:f>IF(NOT(ISNUMBER(F2058)),"",IF(AND(F2058&gt;0,MOD(F2058,1)=0),IF(F2058&gt;=700,5,IF(F2058&gt;=500,4,IF(F2058&gt;=350,3,IF(F2058&gt;=200,2,1)))),""))</x:f>
        <x:v>3</x:v>
      </x:c>
      <x:c r="S2058" s="1" t="n">
        <x:f>IF(COUNT(O2058:R2058)=4,SUM(O2058:R2058),"")</x:f>
        <x:v>43</x:v>
      </x:c>
      <x:c r="T2058" s="1" t="n">
        <x:f>IF(OR(COUNT(O2058:R2058)&lt;&gt;4,COUNT('Top 15'!$B$35:$E$35)&lt;&gt;4,MIN('Top 15'!$B$35:$E$35)&lt;0,SUM('Top 15'!$B$35:$E$35)&lt;=0),"",ROUND(85*(O2058/30*'Top 15'!$B$35+P2058/25*'Top 15'!$C$35+Q2058/25*'Top 15'!$D$35+R2058/5*'Top 15'!$E$35)/SUM('Top 15'!$B$35:$E$35),6))</x:f>
        <x:v>43</x:v>
      </x:c>
      <x:c r="U2058" s="1" t="str">
        <x:f>IF(A2058="","",IF(AND(M2058="Verified",N2058="Verified"),"Verified",IF(AND(M2058="Listed",N2058="Listed"),"Listed","Mixed")))</x:f>
        <x:v>Listed</x:v>
      </x:c>
      <x:c r="V2058" s="1" t="str">
        <x:f>IF(A2058="","",IF(AK2058&lt;&gt;1,"Duplicate source ID",IF(COUNTIFS('Staff Review'!$A$8:$A$507,A2058)&gt;1,"Duplicate review ID",IF(H2058&lt;&gt;"Yes","Outside scope",IF(J2058="Yes","Already served",IF(NOT(ISNUMBER(T2058)),"Missing data","Candidate"))))))</x:f>
        <x:v>Candidate</x:v>
      </x:c>
      <x:c r="W2058" s="1" t="n">
        <x:f>IF(AL2058=0,"",1+COUNTIFS($AL$2051:$AL$2550,1,$T$2051:$T$2550,"&gt;"&amp;T2058)+COUNTIFS($AL$2051:$AL$2550,1,$T$2051:$T$2550,T2058,$G$2051:$G$2550,"&gt;"&amp;G2058)+COUNTIFS($AL$2051:$AL$2550,1,$T$2051:$T$2550,T2058,$G$2051:$G$2550,G2058,$F$2051:$F$2550,"&gt;"&amp;F2058)+COUNTIFS($AL$2051:$AL$2550,1,$T$2051:$T$2550,T2058,$G$2051:$G$2550,G2058,$F$2051:$F$2550,F2058,$AM$2051:$AM$2550,"&lt;"&amp;AM2058))</x:f>
        <x:v>92</x:v>
      </x:c>
      <x:c r="X2058" s="1" t="n">
        <x:f>IF(AL2058=0,"",1+COUNTIFS($AL$2051:$AL$2550,1,$T$2051:$T$2550,"&gt;"&amp;T2058))</x:f>
        <x:v>90</x:v>
      </x:c>
      <x:c r="Y2058" s="1" t="n">
        <x:f>IF(AND(H2058="Yes",OR(LEN('School Search'!$B$5)=0,ISNUMBER(SEARCH('School Search'!$B$5,B2058&amp;" "&amp;E2058&amp;" "&amp;A2058))),OR('School Search'!$D$5="All",C2058='School Search'!$D$5),OR('School Search'!$G$5="All eligible",AND('School Search'!$G$5="Not marked served",J2058&lt;&gt;"Yes"),AND('School Search'!$G$5="Missing data",V2058="Missing data"),AND('School Search'!$G$5="Marked served",J2058="Yes"))),1,0)</x:f>
        <x:v>1</x:v>
      </x:c>
      <x:c r="Z2058" s="1" t="n">
        <x:f>IF(Y2058=0,"",COUNTIFS($Y$2051:$Y$2550,1,$AO$2051:$AO$2550,"&lt;"&amp;AO2058)+COUNTIFS($Y$2051:Y2058,1,$AO$2051:AO2058,AO2058))</x:f>
        <x:v>92</x:v>
      </x:c>
      <x:c r="AA2058" s="1" t="str">
        <x:f>IF(NOT(ISNUMBER(S2058)),"Missing demographic or access input",TEXT(G2058,"0%")&amp;" economic need; "&amp;TEXT(K2058,"0.00")&amp;" mi fresh access; "&amp;L2058&amp;" nearby resources")</x:f>
        <x:v>91% economic need; 0.35 mi fresh access; 11 nearby resources</x:v>
      </x:c>
      <x:c r="AB2058" s="1" t="n">
        <x:f>IF(OR(A2058="",COUNTIFS($A$1531:$A$2030,A2058)&lt;&gt;1),0,MATCH(A2058,$A$1531:$A$2030,0))</x:f>
        <x:v>8</x:v>
      </x:c>
      <x:c r="AC2058" s="1" t="str">
        <x:f>IF(AB2058=0,"",INDEX($E$1531:$E$2030,AB2058))</x:f>
        <x:v>Save A Lot 24712</x:v>
      </x:c>
      <x:c r="AD2058" s="1" t="str">
        <x:f>IF(AB2058=0,"",INDEX($F$1531:$F$2030,AB2058))</x:f>
        <x:v>5601 Vine St, Philadelphia, PA, 19139</x:v>
      </x:c>
      <x:c r="AE2058" s="1" t="str">
        <x:f>IF(A2058="","",F9)</x:f>
        <x:v>5900 RACE ST</x:v>
      </x:c>
      <x:c r="AF2058" s="1" t="n">
        <x:f>IF(ISNUMBER(I9),I9,"")</x:f>
        <x:v>39.96437494</x:v>
      </x:c>
      <x:c r="AG2058" s="1" t="n">
        <x:f>IF(ISNUMBER(J9),J9,"")</x:f>
        <x:v>-75.23860376</x:v>
      </x:c>
      <x:c r="AH2058" s="1" t="str">
        <x:f>IF(I2058=0,"Not contacted",IF(INDEX('Staff Review'!$J$8:$J$507,I2058)="","Not contacted",INDEX('Staff Review'!$J$8:$J$507,I2058)))</x:f>
        <x:v>Not contacted</x:v>
      </x:c>
      <x:c r="AI2058" s="1" t="str">
        <x:f>IF(I2058=0,"No",IF(AND(COUNT(INDEX('Staff Review'!$D$8:$D$507,I2058))=1,INDEX('Staff Review'!$D$8:$D$507,I2058)&gt;=0,COUNT(INDEX('Staff Review'!$E$8:$E$507,I2058))=1,INDEX('Staff Review'!$E$8:$E$507,I2058)&gt;0,INDEX('Staff Review'!$E$8:$E$507,I2058)&lt;='Top 15'!$E$5,'Top 15'!$E$5-INDEX('Staff Review'!$E$8:$E$507,I2058)&lt;='Top 15'!$H$5,LEN(INDEX('Staff Review'!$H$8:$H$507,I2058))&gt;0),"Yes","No"))</x:f>
        <x:v>No</x:v>
      </x:c>
      <x:c r="AJ2058" s="1" t="str">
        <x:f>IF(I2058=0,"No",IF(COUNT(INDEX('Staff Review'!$F$8:$F$507,I2058))&lt;&gt;1,"No",IF(AND(INDEX('Staff Review'!$F$8:$F$507,I2058)&gt;=0,MOD(INDEX('Staff Review'!$F$8:$F$507,I2058),1)=0,COUNT(INDEX('Staff Review'!$G$8:$G$507,I2058))=1,INDEX('Staff Review'!$G$8:$G$507,I2058)&gt;0,INDEX('Staff Review'!$G$8:$G$507,I2058)&lt;='Top 15'!$E$5,'Top 15'!$E$5-INDEX('Staff Review'!$G$8:$G$507,I2058)&lt;='Top 15'!$H$5,LEN(INDEX('Staff Review'!$H$8:$H$507,I2058))&gt;0),"Yes","No")))</x:f>
        <x:v>No</x:v>
      </x:c>
      <x:c r="AK2058" s="1" t="n">
        <x:f>IF(A2058="",0,COUNTIFS($A$2:$A$501,A2058))</x:f>
        <x:v>1</x:v>
      </x:c>
      <x:c r="AL2058" s="1" t="n">
        <x:f>IF(V2058="Candidate",1,0)</x:f>
        <x:v>1</x:v>
      </x:c>
      <x:c r="AM2058" s="1" t="n">
        <x:f>IF(A2058="",0,VALUE(A2058))</x:f>
        <x:v>1200</x:v>
      </x:c>
      <x:c r="AN2058" s="1" t="n">
        <x:f>IF(OR(A2058="",COUNTIFS($T$41:$T$540,A2058)&lt;&gt;1),0,MATCH(A2058,$T$41:$T$540,0))</x:f>
        <x:v>8</x:v>
      </x:c>
      <x:c r="AO2058" t="n">
        <x:f>IF(ISNUMBER(W2058),W2058,10000+AM2058)</x:f>
        <x:v>92</x:v>
      </x:c>
    </x:row>
    <x:row r="2059" ht="22" customHeight="1">
      <x:c r="A2059" s="1" t="str">
        <x:f>IF(A10="","",A10)</x:f>
        <x:v>1230</x:v>
      </x:c>
      <x:c r="B2059" s="1" t="str">
        <x:f>IF(A2059="","",B10)</x:f>
        <x:v>William C. Bryant School</x:v>
      </x:c>
      <x:c r="C2059" s="1" t="str">
        <x:f>IF(A2059="","",C10)</x:f>
        <x:v>District</x:v>
      </x:c>
      <x:c r="D2059" s="1" t="str">
        <x:f>IF(A2059="","",E10)</x:f>
        <x:v>Elementary-Middle</x:v>
      </x:c>
      <x:c r="E2059" s="1" t="str">
        <x:f>IF(A2059="","",H10)</x:f>
        <x:v>19143</x:v>
      </x:c>
      <x:c r="F2059" s="1" t="n">
        <x:f>IF(ISNUMBER(K10),K10,"")</x:f>
        <x:v>332</x:v>
      </x:c>
      <x:c r="G2059" s="1" t="n">
        <x:f>IF(ISNUMBER(L10),L10,"")</x:f>
        <x:v>0.9023</x:v>
      </x:c>
      <x:c r="H2059" s="1" t="str">
        <x:f>IF(A2059="","",IF(AND(UPPER(G10)="PHILADELPHIA",OR(C2059="District",AND(C2059="Charter",D10="Yes"))),"Yes","No"))</x:f>
        <x:v>Yes</x:v>
      </x:c>
      <x:c r="I2059" s="1" t="n">
        <x:f>IF(OR(A2059="",COUNTIFS('Staff Review'!$A$8:$A$507,A2059)&lt;&gt;1),0,MATCH(A2059,'Staff Review'!$A$8:$A$507,0))</x:f>
        <x:v>312</x:v>
      </x:c>
      <x:c r="J2059" s="1" t="str">
        <x:f>IF(I2059=0,"No",IF(INDEX('Staff Review'!$C$8:$C$507,I2059)="Yes","Yes","No"))</x:f>
        <x:v>No</x:v>
      </x:c>
      <x:c r="K2059" s="1" t="n">
        <x:f>IF(AI2059="Yes",INDEX('Staff Review'!$D$8:$D$507,I2059),IF(AB2059=0,"",IF(COUNT(INDEX($C$1531:$C$2030,AB2059))=1,INDEX($C$1531:$C$2030,AB2059),"")))</x:f>
        <x:v>0.5592374728388604</x:v>
      </x:c>
      <x:c r="L2059" s="1" t="n">
        <x:f>IF(AJ2059="Yes",INDEX('Staff Review'!$F$8:$F$507,I2059),IF(AB2059=0,"",IF(COUNT(INDEX($G$1531:$G$2030,AB2059))=1,INDEX($G$1531:$G$2030,AB2059),"")))</x:f>
        <x:v>5</x:v>
      </x:c>
      <x:c r="M2059" s="1" t="str">
        <x:f>IF(A2059="","",IF(AI2059="Yes","Verified","Listed"))</x:f>
        <x:v>Listed</x:v>
      </x:c>
      <x:c r="N2059" s="1" t="str">
        <x:f>IF(A2059="","",IF(AJ2059="Yes","Verified","Listed"))</x:f>
        <x:v>Listed</x:v>
      </x:c>
      <x:c r="O2059" s="1" t="n">
        <x:f>IF(AND(ISNUMBER(G2059),G2059&gt;=0,G2059&lt;=1),IF(G2059&gt;=0.9,30,IF(G2059&gt;=0.8,25,IF(G2059&gt;=0.7,20,IF(G2059&gt;=0.6,15,IF(G2059&gt;=0.5,10,IF(G2059&gt;=0.4,5,0)))))),"")</x:f>
        <x:v>30</x:v>
      </x:c>
      <x:c r="P2059" s="1" t="n">
        <x:f>IF(ISNUMBER(K2059),IF(K2059&lt;0,"",IF(K2059&gt;1,25,IF(K2059&gt;=0.75,20,IF(K2059&gt;=0.5,15,IF(K2059&gt;=0.25,10,5))))),"")</x:f>
        <x:v>15</x:v>
      </x:c>
      <x:c r="Q2059" s="1" t="n">
        <x:f>IF(NOT(ISNUMBER(L2059)),"",IF(AND(L2059&gt;=0,MOD(L2059,1)=0),MAX(0,25-5*L2059),""))</x:f>
        <x:v>0</x:v>
      </x:c>
      <x:c r="R2059" s="1" t="n">
        <x:f>IF(NOT(ISNUMBER(F2059)),"",IF(AND(F2059&gt;0,MOD(F2059,1)=0),IF(F2059&gt;=700,5,IF(F2059&gt;=500,4,IF(F2059&gt;=350,3,IF(F2059&gt;=200,2,1)))),""))</x:f>
        <x:v>2</x:v>
      </x:c>
      <x:c r="S2059" s="1" t="n">
        <x:f>IF(COUNT(O2059:R2059)=4,SUM(O2059:R2059),"")</x:f>
        <x:v>47</x:v>
      </x:c>
      <x:c r="T2059" s="1" t="n">
        <x:f>IF(OR(COUNT(O2059:R2059)&lt;&gt;4,COUNT('Top 15'!$B$35:$E$35)&lt;&gt;4,MIN('Top 15'!$B$35:$E$35)&lt;0,SUM('Top 15'!$B$35:$E$35)&lt;=0),"",ROUND(85*(O2059/30*'Top 15'!$B$35+P2059/25*'Top 15'!$C$35+Q2059/25*'Top 15'!$D$35+R2059/5*'Top 15'!$E$35)/SUM('Top 15'!$B$35:$E$35),6))</x:f>
        <x:v>47</x:v>
      </x:c>
      <x:c r="U2059" s="1" t="str">
        <x:f>IF(A2059="","",IF(AND(M2059="Verified",N2059="Verified"),"Verified",IF(AND(M2059="Listed",N2059="Listed"),"Listed","Mixed")))</x:f>
        <x:v>Listed</x:v>
      </x:c>
      <x:c r="V2059" s="1" t="str">
        <x:f>IF(A2059="","",IF(AK2059&lt;&gt;1,"Duplicate source ID",IF(COUNTIFS('Staff Review'!$A$8:$A$507,A2059)&gt;1,"Duplicate review ID",IF(H2059&lt;&gt;"Yes","Outside scope",IF(J2059="Yes","Already served",IF(NOT(ISNUMBER(T2059)),"Missing data","Candidate"))))))</x:f>
        <x:v>Candidate</x:v>
      </x:c>
      <x:c r="W2059" s="1" t="n">
        <x:f>IF(AL2059=0,"",1+COUNTIFS($AL$2051:$AL$2550,1,$T$2051:$T$2550,"&gt;"&amp;T2059)+COUNTIFS($AL$2051:$AL$2550,1,$T$2051:$T$2550,T2059,$G$2051:$G$2550,"&gt;"&amp;G2059)+COUNTIFS($AL$2051:$AL$2550,1,$T$2051:$T$2550,T2059,$G$2051:$G$2550,G2059,$F$2051:$F$2550,"&gt;"&amp;F2059)+COUNTIFS($AL$2051:$AL$2550,1,$T$2051:$T$2550,T2059,$G$2051:$G$2550,G2059,$F$2051:$F$2550,F2059,$AM$2051:$AM$2550,"&lt;"&amp;AM2059))</x:f>
        <x:v>67</x:v>
      </x:c>
      <x:c r="X2059" s="1" t="n">
        <x:f>IF(AL2059=0,"",1+COUNTIFS($AL$2051:$AL$2550,1,$T$2051:$T$2550,"&gt;"&amp;T2059))</x:f>
        <x:v>64</x:v>
      </x:c>
      <x:c r="Y2059" s="1" t="n">
        <x:f>IF(AND(H2059="Yes",OR(LEN('School Search'!$B$5)=0,ISNUMBER(SEARCH('School Search'!$B$5,B2059&amp;" "&amp;E2059&amp;" "&amp;A2059))),OR('School Search'!$D$5="All",C2059='School Search'!$D$5),OR('School Search'!$G$5="All eligible",AND('School Search'!$G$5="Not marked served",J2059&lt;&gt;"Yes"),AND('School Search'!$G$5="Missing data",V2059="Missing data"),AND('School Search'!$G$5="Marked served",J2059="Yes"))),1,0)</x:f>
        <x:v>1</x:v>
      </x:c>
      <x:c r="Z2059" s="1" t="n">
        <x:f>IF(Y2059=0,"",COUNTIFS($Y$2051:$Y$2550,1,$AO$2051:$AO$2550,"&lt;"&amp;AO2059)+COUNTIFS($Y$2051:Y2059,1,$AO$2051:AO2059,AO2059))</x:f>
        <x:v>67</x:v>
      </x:c>
      <x:c r="AA2059" s="1" t="str">
        <x:f>IF(NOT(ISNUMBER(S2059)),"Missing demographic or access input",TEXT(G2059,"0%")&amp;" economic need; "&amp;TEXT(K2059,"0.00")&amp;" mi fresh access; "&amp;L2059&amp;" nearby resources")</x:f>
        <x:v>90% economic need; 0.56 mi fresh access; 5 nearby resources</x:v>
      </x:c>
      <x:c r="AB2059" s="1" t="n">
        <x:f>IF(OR(A2059="",COUNTIFS($A$1531:$A$2030,A2059)&lt;&gt;1),0,MATCH(A2059,$A$1531:$A$2030,0))</x:f>
        <x:v>9</x:v>
      </x:c>
      <x:c r="AC2059" s="1" t="str">
        <x:f>IF(AB2059=0,"",INDEX($E$1531:$E$2030,AB2059))</x:f>
        <x:v>Cousin's Fresh Market 3 Llc</x:v>
      </x:c>
      <x:c r="AD2059" s="1" t="str">
        <x:f>IF(AB2059=0,"",INDEX($F$1531:$F$2030,AB2059))</x:f>
        <x:v>5704 Baltimore Ave, Philadelphia, PA, 19143</x:v>
      </x:c>
      <x:c r="AE2059" s="1" t="str">
        <x:f>IF(A2059="","",F10)</x:f>
        <x:v>6001 CEDAR AVE</x:v>
      </x:c>
      <x:c r="AF2059" s="1" t="n">
        <x:f>IF(ISNUMBER(I10),I10,"")</x:f>
        <x:v>39.952687</x:v>
      </x:c>
      <x:c r="AG2059" s="1" t="n">
        <x:f>IF(ISNUMBER(J10),J10,"")</x:f>
        <x:v>-75.243691</x:v>
      </x:c>
      <x:c r="AH2059" s="1" t="str">
        <x:f>IF(I2059=0,"Not contacted",IF(INDEX('Staff Review'!$J$8:$J$507,I2059)="","Not contacted",INDEX('Staff Review'!$J$8:$J$507,I2059)))</x:f>
        <x:v>Not contacted</x:v>
      </x:c>
      <x:c r="AI2059" s="1" t="str">
        <x:f>IF(I2059=0,"No",IF(AND(COUNT(INDEX('Staff Review'!$D$8:$D$507,I2059))=1,INDEX('Staff Review'!$D$8:$D$507,I2059)&gt;=0,COUNT(INDEX('Staff Review'!$E$8:$E$507,I2059))=1,INDEX('Staff Review'!$E$8:$E$507,I2059)&gt;0,INDEX('Staff Review'!$E$8:$E$507,I2059)&lt;='Top 15'!$E$5,'Top 15'!$E$5-INDEX('Staff Review'!$E$8:$E$507,I2059)&lt;='Top 15'!$H$5,LEN(INDEX('Staff Review'!$H$8:$H$507,I2059))&gt;0),"Yes","No"))</x:f>
        <x:v>No</x:v>
      </x:c>
      <x:c r="AJ2059" s="1" t="str">
        <x:f>IF(I2059=0,"No",IF(COUNT(INDEX('Staff Review'!$F$8:$F$507,I2059))&lt;&gt;1,"No",IF(AND(INDEX('Staff Review'!$F$8:$F$507,I2059)&gt;=0,MOD(INDEX('Staff Review'!$F$8:$F$507,I2059),1)=0,COUNT(INDEX('Staff Review'!$G$8:$G$507,I2059))=1,INDEX('Staff Review'!$G$8:$G$507,I2059)&gt;0,INDEX('Staff Review'!$G$8:$G$507,I2059)&lt;='Top 15'!$E$5,'Top 15'!$E$5-INDEX('Staff Review'!$G$8:$G$507,I2059)&lt;='Top 15'!$H$5,LEN(INDEX('Staff Review'!$H$8:$H$507,I2059))&gt;0),"Yes","No")))</x:f>
        <x:v>No</x:v>
      </x:c>
      <x:c r="AK2059" s="1" t="n">
        <x:f>IF(A2059="",0,COUNTIFS($A$2:$A$501,A2059))</x:f>
        <x:v>1</x:v>
      </x:c>
      <x:c r="AL2059" s="1" t="n">
        <x:f>IF(V2059="Candidate",1,0)</x:f>
        <x:v>1</x:v>
      </x:c>
      <x:c r="AM2059" s="1" t="n">
        <x:f>IF(A2059="",0,VALUE(A2059))</x:f>
        <x:v>1230</x:v>
      </x:c>
      <x:c r="AN2059" s="1" t="n">
        <x:f>IF(OR(A2059="",COUNTIFS($T$41:$T$540,A2059)&lt;&gt;1),0,MATCH(A2059,$T$41:$T$540,0))</x:f>
        <x:v>9</x:v>
      </x:c>
      <x:c r="AO2059" t="n">
        <x:f>IF(ISNUMBER(W2059),W2059,10000+AM2059)</x:f>
        <x:v>67</x:v>
      </x:c>
    </x:row>
    <x:row r="2060" ht="22" customHeight="1">
      <x:c r="A2060" s="1" t="str">
        <x:f>IF(A11="","",A11)</x:f>
        <x:v>1250</x:v>
      </x:c>
      <x:c r="B2060" s="1" t="str">
        <x:f>IF(A2060="","",B11)</x:f>
        <x:v>Joseph W. Catharine School</x:v>
      </x:c>
      <x:c r="C2060" s="1" t="str">
        <x:f>IF(A2060="","",C11)</x:f>
        <x:v>District</x:v>
      </x:c>
      <x:c r="D2060" s="1" t="str">
        <x:f>IF(A2060="","",E11)</x:f>
        <x:v>Elementary</x:v>
      </x:c>
      <x:c r="E2060" s="1" t="str">
        <x:f>IF(A2060="","",H11)</x:f>
        <x:v>19142</x:v>
      </x:c>
      <x:c r="F2060" s="1" t="n">
        <x:f>IF(ISNUMBER(K11),K11,"")</x:f>
        <x:v>377</x:v>
      </x:c>
      <x:c r="G2060" s="1" t="n">
        <x:f>IF(ISNUMBER(L11),L11,"")</x:f>
        <x:v>0.782</x:v>
      </x:c>
      <x:c r="H2060" s="1" t="str">
        <x:f>IF(A2060="","",IF(AND(UPPER(G11)="PHILADELPHIA",OR(C2060="District",AND(C2060="Charter",D11="Yes"))),"Yes","No"))</x:f>
        <x:v>Yes</x:v>
      </x:c>
      <x:c r="I2060" s="1" t="n">
        <x:f>IF(OR(A2060="",COUNTIFS('Staff Review'!$A$8:$A$507,A2060)&lt;&gt;1),0,MATCH(A2060,'Staff Review'!$A$8:$A$507,0))</x:f>
        <x:v>149</x:v>
      </x:c>
      <x:c r="J2060" s="1" t="str">
        <x:f>IF(I2060=0,"No",IF(INDEX('Staff Review'!$C$8:$C$507,I2060)="Yes","Yes","No"))</x:f>
        <x:v>No</x:v>
      </x:c>
      <x:c r="K2060" s="1" t="n">
        <x:f>IF(AI2060="Yes",INDEX('Staff Review'!$D$8:$D$507,I2060),IF(AB2060=0,"",IF(COUNT(INDEX($C$1531:$C$2030,AB2060))=1,INDEX($C$1531:$C$2030,AB2060),"")))</x:f>
        <x:v>0.3372905963622923</x:v>
      </x:c>
      <x:c r="L2060" s="1" t="n">
        <x:f>IF(AJ2060="Yes",INDEX('Staff Review'!$F$8:$F$507,I2060),IF(AB2060=0,"",IF(COUNT(INDEX($G$1531:$G$2030,AB2060))=1,INDEX($G$1531:$G$2030,AB2060),"")))</x:f>
        <x:v>5</x:v>
      </x:c>
      <x:c r="M2060" s="1" t="str">
        <x:f>IF(A2060="","",IF(AI2060="Yes","Verified","Listed"))</x:f>
        <x:v>Listed</x:v>
      </x:c>
      <x:c r="N2060" s="1" t="str">
        <x:f>IF(A2060="","",IF(AJ2060="Yes","Verified","Listed"))</x:f>
        <x:v>Listed</x:v>
      </x:c>
      <x:c r="O2060" s="1" t="n">
        <x:f>IF(AND(ISNUMBER(G2060),G2060&gt;=0,G2060&lt;=1),IF(G2060&gt;=0.9,30,IF(G2060&gt;=0.8,25,IF(G2060&gt;=0.7,20,IF(G2060&gt;=0.6,15,IF(G2060&gt;=0.5,10,IF(G2060&gt;=0.4,5,0)))))),"")</x:f>
        <x:v>20</x:v>
      </x:c>
      <x:c r="P2060" s="1" t="n">
        <x:f>IF(ISNUMBER(K2060),IF(K2060&lt;0,"",IF(K2060&gt;1,25,IF(K2060&gt;=0.75,20,IF(K2060&gt;=0.5,15,IF(K2060&gt;=0.25,10,5))))),"")</x:f>
        <x:v>10</x:v>
      </x:c>
      <x:c r="Q2060" s="1" t="n">
        <x:f>IF(NOT(ISNUMBER(L2060)),"",IF(AND(L2060&gt;=0,MOD(L2060,1)=0),MAX(0,25-5*L2060),""))</x:f>
        <x:v>0</x:v>
      </x:c>
      <x:c r="R2060" s="1" t="n">
        <x:f>IF(NOT(ISNUMBER(F2060)),"",IF(AND(F2060&gt;0,MOD(F2060,1)=0),IF(F2060&gt;=700,5,IF(F2060&gt;=500,4,IF(F2060&gt;=350,3,IF(F2060&gt;=200,2,1)))),""))</x:f>
        <x:v>3</x:v>
      </x:c>
      <x:c r="S2060" s="1" t="n">
        <x:f>IF(COUNT(O2060:R2060)=4,SUM(O2060:R2060),"")</x:f>
        <x:v>33</x:v>
      </x:c>
      <x:c r="T2060" s="1" t="n">
        <x:f>IF(OR(COUNT(O2060:R2060)&lt;&gt;4,COUNT('Top 15'!$B$35:$E$35)&lt;&gt;4,MIN('Top 15'!$B$35:$E$35)&lt;0,SUM('Top 15'!$B$35:$E$35)&lt;=0),"",ROUND(85*(O2060/30*'Top 15'!$B$35+P2060/25*'Top 15'!$C$35+Q2060/25*'Top 15'!$D$35+R2060/5*'Top 15'!$E$35)/SUM('Top 15'!$B$35:$E$35),6))</x:f>
        <x:v>33</x:v>
      </x:c>
      <x:c r="U2060" s="1" t="str">
        <x:f>IF(A2060="","",IF(AND(M2060="Verified",N2060="Verified"),"Verified",IF(AND(M2060="Listed",N2060="Listed"),"Listed","Mixed")))</x:f>
        <x:v>Listed</x:v>
      </x:c>
      <x:c r="V2060" s="1" t="str">
        <x:f>IF(A2060="","",IF(AK2060&lt;&gt;1,"Duplicate source ID",IF(COUNTIFS('Staff Review'!$A$8:$A$507,A2060)&gt;1,"Duplicate review ID",IF(H2060&lt;&gt;"Yes","Outside scope",IF(J2060="Yes","Already served",IF(NOT(ISNUMBER(T2060)),"Missing data","Candidate"))))))</x:f>
        <x:v>Candidate</x:v>
      </x:c>
      <x:c r="W2060" s="1" t="n">
        <x:f>IF(AL2060=0,"",1+COUNTIFS($AL$2051:$AL$2550,1,$T$2051:$T$2550,"&gt;"&amp;T2060)+COUNTIFS($AL$2051:$AL$2550,1,$T$2051:$T$2550,T2060,$G$2051:$G$2550,"&gt;"&amp;G2060)+COUNTIFS($AL$2051:$AL$2550,1,$T$2051:$T$2550,T2060,$G$2051:$G$2550,G2060,$F$2051:$F$2550,"&gt;"&amp;F2060)+COUNTIFS($AL$2051:$AL$2550,1,$T$2051:$T$2550,T2060,$G$2051:$G$2550,G2060,$F$2051:$F$2550,F2060,$AM$2051:$AM$2550,"&lt;"&amp;AM2060))</x:f>
        <x:v>238</x:v>
      </x:c>
      <x:c r="X2060" s="1" t="n">
        <x:f>IF(AL2060=0,"",1+COUNTIFS($AL$2051:$AL$2550,1,$T$2051:$T$2550,"&gt;"&amp;T2060))</x:f>
        <x:v>233</x:v>
      </x:c>
      <x:c r="Y2060" s="1" t="n">
        <x:f>IF(AND(H2060="Yes",OR(LEN('School Search'!$B$5)=0,ISNUMBER(SEARCH('School Search'!$B$5,B2060&amp;" "&amp;E2060&amp;" "&amp;A2060))),OR('School Search'!$D$5="All",C2060='School Search'!$D$5),OR('School Search'!$G$5="All eligible",AND('School Search'!$G$5="Not marked served",J2060&lt;&gt;"Yes"),AND('School Search'!$G$5="Missing data",V2060="Missing data"),AND('School Search'!$G$5="Marked served",J2060="Yes"))),1,0)</x:f>
        <x:v>1</x:v>
      </x:c>
      <x:c r="Z2060" s="1" t="n">
        <x:f>IF(Y2060=0,"",COUNTIFS($Y$2051:$Y$2550,1,$AO$2051:$AO$2550,"&lt;"&amp;AO2060)+COUNTIFS($Y$2051:Y2060,1,$AO$2051:AO2060,AO2060))</x:f>
        <x:v>238</x:v>
      </x:c>
      <x:c r="AA2060" s="1" t="str">
        <x:f>IF(NOT(ISNUMBER(S2060)),"Missing demographic or access input",TEXT(G2060,"0%")&amp;" economic need; "&amp;TEXT(K2060,"0.00")&amp;" mi fresh access; "&amp;L2060&amp;" nearby resources")</x:f>
        <x:v>78% economic need; 0.34 mi fresh access; 5 nearby resources</x:v>
      </x:c>
      <x:c r="AB2060" s="1" t="n">
        <x:f>IF(OR(A2060="",COUNTIFS($A$1531:$A$2030,A2060)&lt;&gt;1),0,MATCH(A2060,$A$1531:$A$2030,0))</x:f>
        <x:v>10</x:v>
      </x:c>
      <x:c r="AC2060" s="1" t="str">
        <x:f>IF(AB2060=0,"",INDEX($E$1531:$E$2030,AB2060))</x:f>
        <x:v>Cousin's Fresh Market Inc</x:v>
      </x:c>
      <x:c r="AD2060" s="1" t="str">
        <x:f>IF(AB2060=0,"",INDEX($F$1531:$F$2030,AB2060))</x:f>
        <x:v>6411 Woodland Ave, Philadelphia, PA, 19142</x:v>
      </x:c>
      <x:c r="AE2060" s="1" t="str">
        <x:f>IF(A2060="","",F11)</x:f>
        <x:v>6600 CHESTER AVE</x:v>
      </x:c>
      <x:c r="AF2060" s="1" t="n">
        <x:f>IF(ISNUMBER(I11),I11,"")</x:f>
        <x:v>39.927435</x:v>
      </x:c>
      <x:c r="AG2060" s="1" t="n">
        <x:f>IF(ISNUMBER(J11),J11,"")</x:f>
        <x:v>-75.239911</x:v>
      </x:c>
      <x:c r="AH2060" s="1" t="str">
        <x:f>IF(I2060=0,"Not contacted",IF(INDEX('Staff Review'!$J$8:$J$507,I2060)="","Not contacted",INDEX('Staff Review'!$J$8:$J$507,I2060)))</x:f>
        <x:v>Not contacted</x:v>
      </x:c>
      <x:c r="AI2060" s="1" t="str">
        <x:f>IF(I2060=0,"No",IF(AND(COUNT(INDEX('Staff Review'!$D$8:$D$507,I2060))=1,INDEX('Staff Review'!$D$8:$D$507,I2060)&gt;=0,COUNT(INDEX('Staff Review'!$E$8:$E$507,I2060))=1,INDEX('Staff Review'!$E$8:$E$507,I2060)&gt;0,INDEX('Staff Review'!$E$8:$E$507,I2060)&lt;='Top 15'!$E$5,'Top 15'!$E$5-INDEX('Staff Review'!$E$8:$E$507,I2060)&lt;='Top 15'!$H$5,LEN(INDEX('Staff Review'!$H$8:$H$507,I2060))&gt;0),"Yes","No"))</x:f>
        <x:v>No</x:v>
      </x:c>
      <x:c r="AJ2060" s="1" t="str">
        <x:f>IF(I2060=0,"No",IF(COUNT(INDEX('Staff Review'!$F$8:$F$507,I2060))&lt;&gt;1,"No",IF(AND(INDEX('Staff Review'!$F$8:$F$507,I2060)&gt;=0,MOD(INDEX('Staff Review'!$F$8:$F$507,I2060),1)=0,COUNT(INDEX('Staff Review'!$G$8:$G$507,I2060))=1,INDEX('Staff Review'!$G$8:$G$507,I2060)&gt;0,INDEX('Staff Review'!$G$8:$G$507,I2060)&lt;='Top 15'!$E$5,'Top 15'!$E$5-INDEX('Staff Review'!$G$8:$G$507,I2060)&lt;='Top 15'!$H$5,LEN(INDEX('Staff Review'!$H$8:$H$507,I2060))&gt;0),"Yes","No")))</x:f>
        <x:v>No</x:v>
      </x:c>
      <x:c r="AK2060" s="1" t="n">
        <x:f>IF(A2060="",0,COUNTIFS($A$2:$A$501,A2060))</x:f>
        <x:v>1</x:v>
      </x:c>
      <x:c r="AL2060" s="1" t="n">
        <x:f>IF(V2060="Candidate",1,0)</x:f>
        <x:v>1</x:v>
      </x:c>
      <x:c r="AM2060" s="1" t="n">
        <x:f>IF(A2060="",0,VALUE(A2060))</x:f>
        <x:v>1250</x:v>
      </x:c>
      <x:c r="AN2060" s="1" t="n">
        <x:f>IF(OR(A2060="",COUNTIFS($T$41:$T$540,A2060)&lt;&gt;1),0,MATCH(A2060,$T$41:$T$540,0))</x:f>
        <x:v>10</x:v>
      </x:c>
      <x:c r="AO2060" t="n">
        <x:f>IF(ISNUMBER(W2060),W2060,10000+AM2060)</x:f>
        <x:v>238</x:v>
      </x:c>
    </x:row>
    <x:row r="2061" ht="22" customHeight="1">
      <x:c r="A2061" s="1" t="str">
        <x:f>IF(A12="","",A12)</x:f>
        <x:v>1260</x:v>
      </x:c>
      <x:c r="B2061" s="1" t="str">
        <x:f>IF(A2061="","",B12)</x:f>
        <x:v>Benjamin B. Comegys School</x:v>
      </x:c>
      <x:c r="C2061" s="1" t="str">
        <x:f>IF(A2061="","",C12)</x:f>
        <x:v>District</x:v>
      </x:c>
      <x:c r="D2061" s="1" t="str">
        <x:f>IF(A2061="","",E12)</x:f>
        <x:v>Elementary-Middle</x:v>
      </x:c>
      <x:c r="E2061" s="1" t="str">
        <x:f>IF(A2061="","",H12)</x:f>
        <x:v>19143</x:v>
      </x:c>
      <x:c r="F2061" s="1" t="n">
        <x:f>IF(ISNUMBER(K12),K12,"")</x:f>
        <x:v>213</x:v>
      </x:c>
      <x:c r="G2061" s="1" t="n">
        <x:f>IF(ISNUMBER(L12),L12,"")</x:f>
        <x:v>0.9014</x:v>
      </x:c>
      <x:c r="H2061" s="1" t="str">
        <x:f>IF(A2061="","",IF(AND(UPPER(G12)="PHILADELPHIA",OR(C2061="District",AND(C2061="Charter",D12="Yes"))),"Yes","No"))</x:f>
        <x:v>Yes</x:v>
      </x:c>
      <x:c r="I2061" s="1" t="n">
        <x:f>IF(OR(A2061="",COUNTIFS('Staff Review'!$A$8:$A$507,A2061)&lt;&gt;1),0,MATCH(A2061,'Staff Review'!$A$8:$A$507,0))</x:f>
        <x:v>30</x:v>
      </x:c>
      <x:c r="J2061" s="1" t="str">
        <x:f>IF(I2061=0,"No",IF(INDEX('Staff Review'!$C$8:$C$507,I2061)="Yes","Yes","No"))</x:f>
        <x:v>No</x:v>
      </x:c>
      <x:c r="K2061" s="1" t="n">
        <x:f>IF(AI2061="Yes",INDEX('Staff Review'!$D$8:$D$507,I2061),IF(AB2061=0,"",IF(COUNT(INDEX($C$1531:$C$2030,AB2061))=1,INDEX($C$1531:$C$2030,AB2061),"")))</x:f>
        <x:v>0.5645578372206855</x:v>
      </x:c>
      <x:c r="L2061" s="1" t="n">
        <x:f>IF(AJ2061="Yes",INDEX('Staff Review'!$F$8:$F$507,I2061),IF(AB2061=0,"",IF(COUNT(INDEX($G$1531:$G$2030,AB2061))=1,INDEX($G$1531:$G$2030,AB2061),"")))</x:f>
        <x:v>7</x:v>
      </x:c>
      <x:c r="M2061" s="1" t="str">
        <x:f>IF(A2061="","",IF(AI2061="Yes","Verified","Listed"))</x:f>
        <x:v>Listed</x:v>
      </x:c>
      <x:c r="N2061" s="1" t="str">
        <x:f>IF(A2061="","",IF(AJ2061="Yes","Verified","Listed"))</x:f>
        <x:v>Listed</x:v>
      </x:c>
      <x:c r="O2061" s="1" t="n">
        <x:f>IF(AND(ISNUMBER(G2061),G2061&gt;=0,G2061&lt;=1),IF(G2061&gt;=0.9,30,IF(G2061&gt;=0.8,25,IF(G2061&gt;=0.7,20,IF(G2061&gt;=0.6,15,IF(G2061&gt;=0.5,10,IF(G2061&gt;=0.4,5,0)))))),"")</x:f>
        <x:v>30</x:v>
      </x:c>
      <x:c r="P2061" s="1" t="n">
        <x:f>IF(ISNUMBER(K2061),IF(K2061&lt;0,"",IF(K2061&gt;1,25,IF(K2061&gt;=0.75,20,IF(K2061&gt;=0.5,15,IF(K2061&gt;=0.25,10,5))))),"")</x:f>
        <x:v>15</x:v>
      </x:c>
      <x:c r="Q2061" s="1" t="n">
        <x:f>IF(NOT(ISNUMBER(L2061)),"",IF(AND(L2061&gt;=0,MOD(L2061,1)=0),MAX(0,25-5*L2061),""))</x:f>
        <x:v>0</x:v>
      </x:c>
      <x:c r="R2061" s="1" t="n">
        <x:f>IF(NOT(ISNUMBER(F2061)),"",IF(AND(F2061&gt;0,MOD(F2061,1)=0),IF(F2061&gt;=700,5,IF(F2061&gt;=500,4,IF(F2061&gt;=350,3,IF(F2061&gt;=200,2,1)))),""))</x:f>
        <x:v>2</x:v>
      </x:c>
      <x:c r="S2061" s="1" t="n">
        <x:f>IF(COUNT(O2061:R2061)=4,SUM(O2061:R2061),"")</x:f>
        <x:v>47</x:v>
      </x:c>
      <x:c r="T2061" s="1" t="n">
        <x:f>IF(OR(COUNT(O2061:R2061)&lt;&gt;4,COUNT('Top 15'!$B$35:$E$35)&lt;&gt;4,MIN('Top 15'!$B$35:$E$35)&lt;0,SUM('Top 15'!$B$35:$E$35)&lt;=0),"",ROUND(85*(O2061/30*'Top 15'!$B$35+P2061/25*'Top 15'!$C$35+Q2061/25*'Top 15'!$D$35+R2061/5*'Top 15'!$E$35)/SUM('Top 15'!$B$35:$E$35),6))</x:f>
        <x:v>47</x:v>
      </x:c>
      <x:c r="U2061" s="1" t="str">
        <x:f>IF(A2061="","",IF(AND(M2061="Verified",N2061="Verified"),"Verified",IF(AND(M2061="Listed",N2061="Listed"),"Listed","Mixed")))</x:f>
        <x:v>Listed</x:v>
      </x:c>
      <x:c r="V2061" s="1" t="str">
        <x:f>IF(A2061="","",IF(AK2061&lt;&gt;1,"Duplicate source ID",IF(COUNTIFS('Staff Review'!$A$8:$A$507,A2061)&gt;1,"Duplicate review ID",IF(H2061&lt;&gt;"Yes","Outside scope",IF(J2061="Yes","Already served",IF(NOT(ISNUMBER(T2061)),"Missing data","Candidate"))))))</x:f>
        <x:v>Candidate</x:v>
      </x:c>
      <x:c r="W2061" s="1" t="n">
        <x:f>IF(AL2061=0,"",1+COUNTIFS($AL$2051:$AL$2550,1,$T$2051:$T$2550,"&gt;"&amp;T2061)+COUNTIFS($AL$2051:$AL$2550,1,$T$2051:$T$2550,T2061,$G$2051:$G$2550,"&gt;"&amp;G2061)+COUNTIFS($AL$2051:$AL$2550,1,$T$2051:$T$2550,T2061,$G$2051:$G$2550,G2061,$F$2051:$F$2550,"&gt;"&amp;F2061)+COUNTIFS($AL$2051:$AL$2550,1,$T$2051:$T$2550,T2061,$G$2051:$G$2550,G2061,$F$2051:$F$2550,F2061,$AM$2051:$AM$2550,"&lt;"&amp;AM2061))</x:f>
        <x:v>69</x:v>
      </x:c>
      <x:c r="X2061" s="1" t="n">
        <x:f>IF(AL2061=0,"",1+COUNTIFS($AL$2051:$AL$2550,1,$T$2051:$T$2550,"&gt;"&amp;T2061))</x:f>
        <x:v>64</x:v>
      </x:c>
      <x:c r="Y2061" s="1" t="n">
        <x:f>IF(AND(H2061="Yes",OR(LEN('School Search'!$B$5)=0,ISNUMBER(SEARCH('School Search'!$B$5,B2061&amp;" "&amp;E2061&amp;" "&amp;A2061))),OR('School Search'!$D$5="All",C2061='School Search'!$D$5),OR('School Search'!$G$5="All eligible",AND('School Search'!$G$5="Not marked served",J2061&lt;&gt;"Yes"),AND('School Search'!$G$5="Missing data",V2061="Missing data"),AND('School Search'!$G$5="Marked served",J2061="Yes"))),1,0)</x:f>
        <x:v>1</x:v>
      </x:c>
      <x:c r="Z2061" s="1" t="n">
        <x:f>IF(Y2061=0,"",COUNTIFS($Y$2051:$Y$2550,1,$AO$2051:$AO$2550,"&lt;"&amp;AO2061)+COUNTIFS($Y$2051:Y2061,1,$AO$2051:AO2061,AO2061))</x:f>
        <x:v>69</x:v>
      </x:c>
      <x:c r="AA2061" s="1" t="str">
        <x:f>IF(NOT(ISNUMBER(S2061)),"Missing demographic or access input",TEXT(G2061,"0%")&amp;" economic need; "&amp;TEXT(K2061,"0.00")&amp;" mi fresh access; "&amp;L2061&amp;" nearby resources")</x:f>
        <x:v>90% economic need; 0.56 mi fresh access; 7 nearby resources</x:v>
      </x:c>
      <x:c r="AB2061" s="1" t="n">
        <x:f>IF(OR(A2061="",COUNTIFS($A$1531:$A$2030,A2061)&lt;&gt;1),0,MATCH(A2061,$A$1531:$A$2030,0))</x:f>
        <x:v>11</x:v>
      </x:c>
      <x:c r="AC2061" s="1" t="str">
        <x:f>IF(AB2061=0,"",INDEX($E$1531:$E$2030,AB2061))</x:f>
        <x:v>Mariposa Food Coop</x:v>
      </x:c>
      <x:c r="AD2061" s="1" t="str">
        <x:f>IF(AB2061=0,"",INDEX($F$1531:$F$2030,AB2061))</x:f>
        <x:v>4824 Baltimore Ave, Philadelphia, PA, 19143</x:v>
      </x:c>
      <x:c r="AE2061" s="1" t="str">
        <x:f>IF(A2061="","",F12)</x:f>
        <x:v>5100 GREENWAY AVE</x:v>
      </x:c>
      <x:c r="AF2061" s="1" t="n">
        <x:f>IF(ISNUMBER(I12),I12,"")</x:f>
        <x:v>39.94052</x:v>
      </x:c>
      <x:c r="AG2061" s="1" t="n">
        <x:f>IF(ISNUMBER(J12),J12,"")</x:f>
        <x:v>-75.216289</x:v>
      </x:c>
      <x:c r="AH2061" s="1" t="str">
        <x:f>IF(I2061=0,"Not contacted",IF(INDEX('Staff Review'!$J$8:$J$507,I2061)="","Not contacted",INDEX('Staff Review'!$J$8:$J$507,I2061)))</x:f>
        <x:v>Not contacted</x:v>
      </x:c>
      <x:c r="AI2061" s="1" t="str">
        <x:f>IF(I2061=0,"No",IF(AND(COUNT(INDEX('Staff Review'!$D$8:$D$507,I2061))=1,INDEX('Staff Review'!$D$8:$D$507,I2061)&gt;=0,COUNT(INDEX('Staff Review'!$E$8:$E$507,I2061))=1,INDEX('Staff Review'!$E$8:$E$507,I2061)&gt;0,INDEX('Staff Review'!$E$8:$E$507,I2061)&lt;='Top 15'!$E$5,'Top 15'!$E$5-INDEX('Staff Review'!$E$8:$E$507,I2061)&lt;='Top 15'!$H$5,LEN(INDEX('Staff Review'!$H$8:$H$507,I2061))&gt;0),"Yes","No"))</x:f>
        <x:v>No</x:v>
      </x:c>
      <x:c r="AJ2061" s="1" t="str">
        <x:f>IF(I2061=0,"No",IF(COUNT(INDEX('Staff Review'!$F$8:$F$507,I2061))&lt;&gt;1,"No",IF(AND(INDEX('Staff Review'!$F$8:$F$507,I2061)&gt;=0,MOD(INDEX('Staff Review'!$F$8:$F$507,I2061),1)=0,COUNT(INDEX('Staff Review'!$G$8:$G$507,I2061))=1,INDEX('Staff Review'!$G$8:$G$507,I2061)&gt;0,INDEX('Staff Review'!$G$8:$G$507,I2061)&lt;='Top 15'!$E$5,'Top 15'!$E$5-INDEX('Staff Review'!$G$8:$G$507,I2061)&lt;='Top 15'!$H$5,LEN(INDEX('Staff Review'!$H$8:$H$507,I2061))&gt;0),"Yes","No")))</x:f>
        <x:v>No</x:v>
      </x:c>
      <x:c r="AK2061" s="1" t="n">
        <x:f>IF(A2061="",0,COUNTIFS($A$2:$A$501,A2061))</x:f>
        <x:v>1</x:v>
      </x:c>
      <x:c r="AL2061" s="1" t="n">
        <x:f>IF(V2061="Candidate",1,0)</x:f>
        <x:v>1</x:v>
      </x:c>
      <x:c r="AM2061" s="1" t="n">
        <x:f>IF(A2061="",0,VALUE(A2061))</x:f>
        <x:v>1260</x:v>
      </x:c>
      <x:c r="AN2061" s="1" t="n">
        <x:f>IF(OR(A2061="",COUNTIFS($T$41:$T$540,A2061)&lt;&gt;1),0,MATCH(A2061,$T$41:$T$540,0))</x:f>
        <x:v>11</x:v>
      </x:c>
      <x:c r="AO2061" t="n">
        <x:f>IF(ISNUMBER(W2061),W2061,10000+AM2061)</x:f>
        <x:v>69</x:v>
      </x:c>
    </x:row>
    <x:row r="2062" ht="22" customHeight="1">
      <x:c r="A2062" s="1" t="str">
        <x:f>IF(A13="","",A13)</x:f>
        <x:v>1280</x:v>
      </x:c>
      <x:c r="B2062" s="1" t="str">
        <x:f>IF(A2062="","",B13)</x:f>
        <x:v>Sadie T.M. Alexander UPenn Partnership School</x:v>
      </x:c>
      <x:c r="C2062" s="1" t="str">
        <x:f>IF(A2062="","",C13)</x:f>
        <x:v>District</x:v>
      </x:c>
      <x:c r="D2062" s="1" t="str">
        <x:f>IF(A2062="","",E13)</x:f>
        <x:v>Elementary-Middle</x:v>
      </x:c>
      <x:c r="E2062" s="1" t="str">
        <x:f>IF(A2062="","",H13)</x:f>
        <x:v>19104</x:v>
      </x:c>
      <x:c r="F2062" s="1" t="n">
        <x:f>IF(ISNUMBER(K13),K13,"")</x:f>
        <x:v>601</x:v>
      </x:c>
      <x:c r="G2062" s="1" t="n">
        <x:f>IF(ISNUMBER(L13),L13,"")</x:f>
        <x:v>0.2288</x:v>
      </x:c>
      <x:c r="H2062" s="1" t="str">
        <x:f>IF(A2062="","",IF(AND(UPPER(G13)="PHILADELPHIA",OR(C2062="District",AND(C2062="Charter",D13="Yes"))),"Yes","No"))</x:f>
        <x:v>Yes</x:v>
      </x:c>
      <x:c r="I2062" s="1" t="n">
        <x:f>IF(OR(A2062="",COUNTIFS('Staff Review'!$A$8:$A$507,A2062)&lt;&gt;1),0,MATCH(A2062,'Staff Review'!$A$8:$A$507,0))</x:f>
        <x:v>260</x:v>
      </x:c>
      <x:c r="J2062" s="1" t="str">
        <x:f>IF(I2062=0,"No",IF(INDEX('Staff Review'!$C$8:$C$507,I2062)="Yes","Yes","No"))</x:f>
        <x:v>No</x:v>
      </x:c>
      <x:c r="K2062" s="1" t="n">
        <x:f>IF(AI2062="Yes",INDEX('Staff Review'!$D$8:$D$507,I2062),IF(AB2062=0,"",IF(COUNT(INDEX($C$1531:$C$2030,AB2062))=1,INDEX($C$1531:$C$2030,AB2062),"")))</x:f>
        <x:v>0.13992622182183717</x:v>
      </x:c>
      <x:c r="L2062" s="1" t="n">
        <x:f>IF(AJ2062="Yes",INDEX('Staff Review'!$F$8:$F$507,I2062),IF(AB2062=0,"",IF(COUNT(INDEX($G$1531:$G$2030,AB2062))=1,INDEX($G$1531:$G$2030,AB2062),"")))</x:f>
        <x:v>10</x:v>
      </x:c>
      <x:c r="M2062" s="1" t="str">
        <x:f>IF(A2062="","",IF(AI2062="Yes","Verified","Listed"))</x:f>
        <x:v>Listed</x:v>
      </x:c>
      <x:c r="N2062" s="1" t="str">
        <x:f>IF(A2062="","",IF(AJ2062="Yes","Verified","Listed"))</x:f>
        <x:v>Listed</x:v>
      </x:c>
      <x:c r="O2062" s="1" t="n">
        <x:f>IF(AND(ISNUMBER(G2062),G2062&gt;=0,G2062&lt;=1),IF(G2062&gt;=0.9,30,IF(G2062&gt;=0.8,25,IF(G2062&gt;=0.7,20,IF(G2062&gt;=0.6,15,IF(G2062&gt;=0.5,10,IF(G2062&gt;=0.4,5,0)))))),"")</x:f>
        <x:v>0</x:v>
      </x:c>
      <x:c r="P2062" s="1" t="n">
        <x:f>IF(ISNUMBER(K2062),IF(K2062&lt;0,"",IF(K2062&gt;1,25,IF(K2062&gt;=0.75,20,IF(K2062&gt;=0.5,15,IF(K2062&gt;=0.25,10,5))))),"")</x:f>
        <x:v>5</x:v>
      </x:c>
      <x:c r="Q2062" s="1" t="n">
        <x:f>IF(NOT(ISNUMBER(L2062)),"",IF(AND(L2062&gt;=0,MOD(L2062,1)=0),MAX(0,25-5*L2062),""))</x:f>
        <x:v>0</x:v>
      </x:c>
      <x:c r="R2062" s="1" t="n">
        <x:f>IF(NOT(ISNUMBER(F2062)),"",IF(AND(F2062&gt;0,MOD(F2062,1)=0),IF(F2062&gt;=700,5,IF(F2062&gt;=500,4,IF(F2062&gt;=350,3,IF(F2062&gt;=200,2,1)))),""))</x:f>
        <x:v>4</x:v>
      </x:c>
      <x:c r="S2062" s="1" t="n">
        <x:f>IF(COUNT(O2062:R2062)=4,SUM(O2062:R2062),"")</x:f>
        <x:v>9</x:v>
      </x:c>
      <x:c r="T2062" s="1" t="n">
        <x:f>IF(OR(COUNT(O2062:R2062)&lt;&gt;4,COUNT('Top 15'!$B$35:$E$35)&lt;&gt;4,MIN('Top 15'!$B$35:$E$35)&lt;0,SUM('Top 15'!$B$35:$E$35)&lt;=0),"",ROUND(85*(O2062/30*'Top 15'!$B$35+P2062/25*'Top 15'!$C$35+Q2062/25*'Top 15'!$D$35+R2062/5*'Top 15'!$E$35)/SUM('Top 15'!$B$35:$E$35),6))</x:f>
        <x:v>9</x:v>
      </x:c>
      <x:c r="U2062" s="1" t="str">
        <x:f>IF(A2062="","",IF(AND(M2062="Verified",N2062="Verified"),"Verified",IF(AND(M2062="Listed",N2062="Listed"),"Listed","Mixed")))</x:f>
        <x:v>Listed</x:v>
      </x:c>
      <x:c r="V2062" s="1" t="str">
        <x:f>IF(A2062="","",IF(AK2062&lt;&gt;1,"Duplicate source ID",IF(COUNTIFS('Staff Review'!$A$8:$A$507,A2062)&gt;1,"Duplicate review ID",IF(H2062&lt;&gt;"Yes","Outside scope",IF(J2062="Yes","Already served",IF(NOT(ISNUMBER(T2062)),"Missing data","Candidate"))))))</x:f>
        <x:v>Candidate</x:v>
      </x:c>
      <x:c r="W2062" s="1" t="n">
        <x:f>IF(AL2062=0,"",1+COUNTIFS($AL$2051:$AL$2550,1,$T$2051:$T$2550,"&gt;"&amp;T2062)+COUNTIFS($AL$2051:$AL$2550,1,$T$2051:$T$2550,T2062,$G$2051:$G$2550,"&gt;"&amp;G2062)+COUNTIFS($AL$2051:$AL$2550,1,$T$2051:$T$2550,T2062,$G$2051:$G$2550,G2062,$F$2051:$F$2550,"&gt;"&amp;F2062)+COUNTIFS($AL$2051:$AL$2550,1,$T$2051:$T$2550,T2062,$G$2051:$G$2550,G2062,$F$2051:$F$2550,F2062,$AM$2051:$AM$2550,"&lt;"&amp;AM2062))</x:f>
        <x:v>293</x:v>
      </x:c>
      <x:c r="X2062" s="1" t="n">
        <x:f>IF(AL2062=0,"",1+COUNTIFS($AL$2051:$AL$2550,1,$T$2051:$T$2550,"&gt;"&amp;T2062))</x:f>
        <x:v>293</x:v>
      </x:c>
      <x:c r="Y2062" s="1" t="n">
        <x:f>IF(AND(H2062="Yes",OR(LEN('School Search'!$B$5)=0,ISNUMBER(SEARCH('School Search'!$B$5,B2062&amp;" "&amp;E2062&amp;" "&amp;A2062))),OR('School Search'!$D$5="All",C2062='School Search'!$D$5),OR('School Search'!$G$5="All eligible",AND('School Search'!$G$5="Not marked served",J2062&lt;&gt;"Yes"),AND('School Search'!$G$5="Missing data",V2062="Missing data"),AND('School Search'!$G$5="Marked served",J2062="Yes"))),1,0)</x:f>
        <x:v>1</x:v>
      </x:c>
      <x:c r="Z2062" s="1" t="n">
        <x:f>IF(Y2062=0,"",COUNTIFS($Y$2051:$Y$2550,1,$AO$2051:$AO$2550,"&lt;"&amp;AO2062)+COUNTIFS($Y$2051:Y2062,1,$AO$2051:AO2062,AO2062))</x:f>
        <x:v>293</x:v>
      </x:c>
      <x:c r="AA2062" s="1" t="str">
        <x:f>IF(NOT(ISNUMBER(S2062)),"Missing demographic or access input",TEXT(G2062,"0%")&amp;" economic need; "&amp;TEXT(K2062,"0.00")&amp;" mi fresh access; "&amp;L2062&amp;" nearby resources")</x:f>
        <x:v>23% economic need; 0.14 mi fresh access; 10 nearby resources</x:v>
      </x:c>
      <x:c r="AB2062" s="1" t="n">
        <x:f>IF(OR(A2062="",COUNTIFS($A$1531:$A$2030,A2062)&lt;&gt;1),0,MATCH(A2062,$A$1531:$A$2030,0))</x:f>
        <x:v>12</x:v>
      </x:c>
      <x:c r="AC2062" s="1" t="str">
        <x:f>IF(AB2062=0,"",INDEX($E$1531:$E$2030,AB2062))</x:f>
        <x:v>WALNUT FOODS LLC</x:v>
      </x:c>
      <x:c r="AD2062" s="1" t="str">
        <x:f>IF(AB2062=0,"",INDEX($F$1531:$F$2030,AB2062))</x:f>
        <x:v>4301 Walnut St, Philadelphia, PA, 19104</x:v>
      </x:c>
      <x:c r="AE2062" s="1" t="str">
        <x:f>IF(A2062="","",F13)</x:f>
        <x:v>4209 SPRUCE ST</x:v>
      </x:c>
      <x:c r="AF2062" s="1" t="n">
        <x:f>IF(ISNUMBER(I13),I13,"")</x:f>
        <x:v>39.953099</x:v>
      </x:c>
      <x:c r="AG2062" s="1" t="n">
        <x:f>IF(ISNUMBER(J13),J13,"")</x:f>
        <x:v>-75.208187</x:v>
      </x:c>
      <x:c r="AH2062" s="1" t="str">
        <x:f>IF(I2062=0,"Not contacted",IF(INDEX('Staff Review'!$J$8:$J$507,I2062)="","Not contacted",INDEX('Staff Review'!$J$8:$J$507,I2062)))</x:f>
        <x:v>Not contacted</x:v>
      </x:c>
      <x:c r="AI2062" s="1" t="str">
        <x:f>IF(I2062=0,"No",IF(AND(COUNT(INDEX('Staff Review'!$D$8:$D$507,I2062))=1,INDEX('Staff Review'!$D$8:$D$507,I2062)&gt;=0,COUNT(INDEX('Staff Review'!$E$8:$E$507,I2062))=1,INDEX('Staff Review'!$E$8:$E$507,I2062)&gt;0,INDEX('Staff Review'!$E$8:$E$507,I2062)&lt;='Top 15'!$E$5,'Top 15'!$E$5-INDEX('Staff Review'!$E$8:$E$507,I2062)&lt;='Top 15'!$H$5,LEN(INDEX('Staff Review'!$H$8:$H$507,I2062))&gt;0),"Yes","No"))</x:f>
        <x:v>No</x:v>
      </x:c>
      <x:c r="AJ2062" s="1" t="str">
        <x:f>IF(I2062=0,"No",IF(COUNT(INDEX('Staff Review'!$F$8:$F$507,I2062))&lt;&gt;1,"No",IF(AND(INDEX('Staff Review'!$F$8:$F$507,I2062)&gt;=0,MOD(INDEX('Staff Review'!$F$8:$F$507,I2062),1)=0,COUNT(INDEX('Staff Review'!$G$8:$G$507,I2062))=1,INDEX('Staff Review'!$G$8:$G$507,I2062)&gt;0,INDEX('Staff Review'!$G$8:$G$507,I2062)&lt;='Top 15'!$E$5,'Top 15'!$E$5-INDEX('Staff Review'!$G$8:$G$507,I2062)&lt;='Top 15'!$H$5,LEN(INDEX('Staff Review'!$H$8:$H$507,I2062))&gt;0),"Yes","No")))</x:f>
        <x:v>No</x:v>
      </x:c>
      <x:c r="AK2062" s="1" t="n">
        <x:f>IF(A2062="",0,COUNTIFS($A$2:$A$501,A2062))</x:f>
        <x:v>1</x:v>
      </x:c>
      <x:c r="AL2062" s="1" t="n">
        <x:f>IF(V2062="Candidate",1,0)</x:f>
        <x:v>1</x:v>
      </x:c>
      <x:c r="AM2062" s="1" t="n">
        <x:f>IF(A2062="",0,VALUE(A2062))</x:f>
        <x:v>1280</x:v>
      </x:c>
      <x:c r="AN2062" s="1" t="n">
        <x:f>IF(OR(A2062="",COUNTIFS($T$41:$T$540,A2062)&lt;&gt;1),0,MATCH(A2062,$T$41:$T$540,0))</x:f>
        <x:v>12</x:v>
      </x:c>
      <x:c r="AO2062" t="n">
        <x:f>IF(ISNUMBER(W2062),W2062,10000+AM2062)</x:f>
        <x:v>293</x:v>
      </x:c>
    </x:row>
    <x:row r="2063" ht="22" customHeight="1">
      <x:c r="A2063" s="1" t="str">
        <x:f>IF(A14="","",A14)</x:f>
        <x:v>1290</x:v>
      </x:c>
      <x:c r="B2063" s="1" t="str">
        <x:f>IF(A2063="","",B14)</x:f>
        <x:v>Andrew Hamilton School</x:v>
      </x:c>
      <x:c r="C2063" s="1" t="str">
        <x:f>IF(A2063="","",C14)</x:f>
        <x:v>District</x:v>
      </x:c>
      <x:c r="D2063" s="1" t="str">
        <x:f>IF(A2063="","",E14)</x:f>
        <x:v>Elementary-Middle</x:v>
      </x:c>
      <x:c r="E2063" s="1" t="str">
        <x:f>IF(A2063="","",H14)</x:f>
        <x:v>19139</x:v>
      </x:c>
      <x:c r="F2063" s="1" t="n">
        <x:f>IF(ISNUMBER(K14),K14,"")</x:f>
        <x:v>366</x:v>
      </x:c>
      <x:c r="G2063" s="1" t="n">
        <x:f>IF(ISNUMBER(L14),L14,"")</x:f>
        <x:v>0.9013</x:v>
      </x:c>
      <x:c r="H2063" s="1" t="str">
        <x:f>IF(A2063="","",IF(AND(UPPER(G14)="PHILADELPHIA",OR(C2063="District",AND(C2063="Charter",D14="Yes"))),"Yes","No"))</x:f>
        <x:v>Yes</x:v>
      </x:c>
      <x:c r="I2063" s="1" t="n">
        <x:f>IF(OR(A2063="",COUNTIFS('Staff Review'!$A$8:$A$507,A2063)&lt;&gt;1),0,MATCH(A2063,'Staff Review'!$A$8:$A$507,0))</x:f>
        <x:v>18</x:v>
      </x:c>
      <x:c r="J2063" s="1" t="str">
        <x:f>IF(I2063=0,"No",IF(INDEX('Staff Review'!$C$8:$C$507,I2063)="Yes","Yes","No"))</x:f>
        <x:v>No</x:v>
      </x:c>
      <x:c r="K2063" s="1" t="n">
        <x:f>IF(AI2063="Yes",INDEX('Staff Review'!$D$8:$D$507,I2063),IF(AB2063=0,"",IF(COUNT(INDEX($C$1531:$C$2030,AB2063))=1,INDEX($C$1531:$C$2030,AB2063),"")))</x:f>
        <x:v>0.30289871613356184</x:v>
      </x:c>
      <x:c r="L2063" s="1" t="n">
        <x:f>IF(AJ2063="Yes",INDEX('Staff Review'!$F$8:$F$507,I2063),IF(AB2063=0,"",IF(COUNT(INDEX($G$1531:$G$2030,AB2063))=1,INDEX($G$1531:$G$2030,AB2063),"")))</x:f>
        <x:v>10</x:v>
      </x:c>
      <x:c r="M2063" s="1" t="str">
        <x:f>IF(A2063="","",IF(AI2063="Yes","Verified","Listed"))</x:f>
        <x:v>Listed</x:v>
      </x:c>
      <x:c r="N2063" s="1" t="str">
        <x:f>IF(A2063="","",IF(AJ2063="Yes","Verified","Listed"))</x:f>
        <x:v>Listed</x:v>
      </x:c>
      <x:c r="O2063" s="1" t="n">
        <x:f>IF(AND(ISNUMBER(G2063),G2063&gt;=0,G2063&lt;=1),IF(G2063&gt;=0.9,30,IF(G2063&gt;=0.8,25,IF(G2063&gt;=0.7,20,IF(G2063&gt;=0.6,15,IF(G2063&gt;=0.5,10,IF(G2063&gt;=0.4,5,0)))))),"")</x:f>
        <x:v>30</x:v>
      </x:c>
      <x:c r="P2063" s="1" t="n">
        <x:f>IF(ISNUMBER(K2063),IF(K2063&lt;0,"",IF(K2063&gt;1,25,IF(K2063&gt;=0.75,20,IF(K2063&gt;=0.5,15,IF(K2063&gt;=0.25,10,5))))),"")</x:f>
        <x:v>10</x:v>
      </x:c>
      <x:c r="Q2063" s="1" t="n">
        <x:f>IF(NOT(ISNUMBER(L2063)),"",IF(AND(L2063&gt;=0,MOD(L2063,1)=0),MAX(0,25-5*L2063),""))</x:f>
        <x:v>0</x:v>
      </x:c>
      <x:c r="R2063" s="1" t="n">
        <x:f>IF(NOT(ISNUMBER(F2063)),"",IF(AND(F2063&gt;0,MOD(F2063,1)=0),IF(F2063&gt;=700,5,IF(F2063&gt;=500,4,IF(F2063&gt;=350,3,IF(F2063&gt;=200,2,1)))),""))</x:f>
        <x:v>3</x:v>
      </x:c>
      <x:c r="S2063" s="1" t="n">
        <x:f>IF(COUNT(O2063:R2063)=4,SUM(O2063:R2063),"")</x:f>
        <x:v>43</x:v>
      </x:c>
      <x:c r="T2063" s="1" t="n">
        <x:f>IF(OR(COUNT(O2063:R2063)&lt;&gt;4,COUNT('Top 15'!$B$35:$E$35)&lt;&gt;4,MIN('Top 15'!$B$35:$E$35)&lt;0,SUM('Top 15'!$B$35:$E$35)&lt;=0),"",ROUND(85*(O2063/30*'Top 15'!$B$35+P2063/25*'Top 15'!$C$35+Q2063/25*'Top 15'!$D$35+R2063/5*'Top 15'!$E$35)/SUM('Top 15'!$B$35:$E$35),6))</x:f>
        <x:v>43</x:v>
      </x:c>
      <x:c r="U2063" s="1" t="str">
        <x:f>IF(A2063="","",IF(AND(M2063="Verified",N2063="Verified"),"Verified",IF(AND(M2063="Listed",N2063="Listed"),"Listed","Mixed")))</x:f>
        <x:v>Listed</x:v>
      </x:c>
      <x:c r="V2063" s="1" t="str">
        <x:f>IF(A2063="","",IF(AK2063&lt;&gt;1,"Duplicate source ID",IF(COUNTIFS('Staff Review'!$A$8:$A$507,A2063)&gt;1,"Duplicate review ID",IF(H2063&lt;&gt;"Yes","Outside scope",IF(J2063="Yes","Already served",IF(NOT(ISNUMBER(T2063)),"Missing data","Candidate"))))))</x:f>
        <x:v>Candidate</x:v>
      </x:c>
      <x:c r="W2063" s="1" t="n">
        <x:f>IF(AL2063=0,"",1+COUNTIFS($AL$2051:$AL$2550,1,$T$2051:$T$2550,"&gt;"&amp;T2063)+COUNTIFS($AL$2051:$AL$2550,1,$T$2051:$T$2550,T2063,$G$2051:$G$2550,"&gt;"&amp;G2063)+COUNTIFS($AL$2051:$AL$2550,1,$T$2051:$T$2550,T2063,$G$2051:$G$2550,G2063,$F$2051:$F$2550,"&gt;"&amp;F2063)+COUNTIFS($AL$2051:$AL$2550,1,$T$2051:$T$2550,T2063,$G$2051:$G$2550,G2063,$F$2051:$F$2550,F2063,$AM$2051:$AM$2550,"&lt;"&amp;AM2063))</x:f>
        <x:v>95</x:v>
      </x:c>
      <x:c r="X2063" s="1" t="n">
        <x:f>IF(AL2063=0,"",1+COUNTIFS($AL$2051:$AL$2550,1,$T$2051:$T$2550,"&gt;"&amp;T2063))</x:f>
        <x:v>90</x:v>
      </x:c>
      <x:c r="Y2063" s="1" t="n">
        <x:f>IF(AND(H2063="Yes",OR(LEN('School Search'!$B$5)=0,ISNUMBER(SEARCH('School Search'!$B$5,B2063&amp;" "&amp;E2063&amp;" "&amp;A2063))),OR('School Search'!$D$5="All",C2063='School Search'!$D$5),OR('School Search'!$G$5="All eligible",AND('School Search'!$G$5="Not marked served",J2063&lt;&gt;"Yes"),AND('School Search'!$G$5="Missing data",V2063="Missing data"),AND('School Search'!$G$5="Marked served",J2063="Yes"))),1,0)</x:f>
        <x:v>1</x:v>
      </x:c>
      <x:c r="Z2063" s="1" t="n">
        <x:f>IF(Y2063=0,"",COUNTIFS($Y$2051:$Y$2550,1,$AO$2051:$AO$2550,"&lt;"&amp;AO2063)+COUNTIFS($Y$2051:Y2063,1,$AO$2051:AO2063,AO2063))</x:f>
        <x:v>95</x:v>
      </x:c>
      <x:c r="AA2063" s="1" t="str">
        <x:f>IF(NOT(ISNUMBER(S2063)),"Missing demographic or access input",TEXT(G2063,"0%")&amp;" economic need; "&amp;TEXT(K2063,"0.00")&amp;" mi fresh access; "&amp;L2063&amp;" nearby resources")</x:f>
        <x:v>90% economic need; 0.30 mi fresh access; 10 nearby resources</x:v>
      </x:c>
      <x:c r="AB2063" s="1" t="n">
        <x:f>IF(OR(A2063="",COUNTIFS($A$1531:$A$2030,A2063)&lt;&gt;1),0,MATCH(A2063,$A$1531:$A$2030,0))</x:f>
        <x:v>13</x:v>
      </x:c>
      <x:c r="AC2063" s="1" t="str">
        <x:f>IF(AB2063=0,"",INDEX($E$1531:$E$2030,AB2063))</x:f>
        <x:v>FRESH GROCER</x:v>
      </x:c>
      <x:c r="AD2063" s="1" t="str">
        <x:f>IF(AB2063=0,"",INDEX($F$1531:$F$2030,AB2063))</x:f>
        <x:v>5601 Chestnut St, Philadelphia, PA, 19139</x:v>
      </x:c>
      <x:c r="AE2063" s="1" t="str">
        <x:f>IF(A2063="","",F14)</x:f>
        <x:v>5640 SPRUCE ST</x:v>
      </x:c>
      <x:c r="AF2063" s="1" t="n">
        <x:f>IF(ISNUMBER(I14),I14,"")</x:f>
        <x:v>39.955438</x:v>
      </x:c>
      <x:c r="AG2063" s="1" t="n">
        <x:f>IF(ISNUMBER(J14),J14,"")</x:f>
        <x:v>-75.235543</x:v>
      </x:c>
      <x:c r="AH2063" s="1" t="str">
        <x:f>IF(I2063=0,"Not contacted",IF(INDEX('Staff Review'!$J$8:$J$507,I2063)="","Not contacted",INDEX('Staff Review'!$J$8:$J$507,I2063)))</x:f>
        <x:v>Not contacted</x:v>
      </x:c>
      <x:c r="AI2063" s="1" t="str">
        <x:f>IF(I2063=0,"No",IF(AND(COUNT(INDEX('Staff Review'!$D$8:$D$507,I2063))=1,INDEX('Staff Review'!$D$8:$D$507,I2063)&gt;=0,COUNT(INDEX('Staff Review'!$E$8:$E$507,I2063))=1,INDEX('Staff Review'!$E$8:$E$507,I2063)&gt;0,INDEX('Staff Review'!$E$8:$E$507,I2063)&lt;='Top 15'!$E$5,'Top 15'!$E$5-INDEX('Staff Review'!$E$8:$E$507,I2063)&lt;='Top 15'!$H$5,LEN(INDEX('Staff Review'!$H$8:$H$507,I2063))&gt;0),"Yes","No"))</x:f>
        <x:v>No</x:v>
      </x:c>
      <x:c r="AJ2063" s="1" t="str">
        <x:f>IF(I2063=0,"No",IF(COUNT(INDEX('Staff Review'!$F$8:$F$507,I2063))&lt;&gt;1,"No",IF(AND(INDEX('Staff Review'!$F$8:$F$507,I2063)&gt;=0,MOD(INDEX('Staff Review'!$F$8:$F$507,I2063),1)=0,COUNT(INDEX('Staff Review'!$G$8:$G$507,I2063))=1,INDEX('Staff Review'!$G$8:$G$507,I2063)&gt;0,INDEX('Staff Review'!$G$8:$G$507,I2063)&lt;='Top 15'!$E$5,'Top 15'!$E$5-INDEX('Staff Review'!$G$8:$G$507,I2063)&lt;='Top 15'!$H$5,LEN(INDEX('Staff Review'!$H$8:$H$507,I2063))&gt;0),"Yes","No")))</x:f>
        <x:v>No</x:v>
      </x:c>
      <x:c r="AK2063" s="1" t="n">
        <x:f>IF(A2063="",0,COUNTIFS($A$2:$A$501,A2063))</x:f>
        <x:v>1</x:v>
      </x:c>
      <x:c r="AL2063" s="1" t="n">
        <x:f>IF(V2063="Candidate",1,0)</x:f>
        <x:v>1</x:v>
      </x:c>
      <x:c r="AM2063" s="1" t="n">
        <x:f>IF(A2063="",0,VALUE(A2063))</x:f>
        <x:v>1290</x:v>
      </x:c>
      <x:c r="AN2063" s="1" t="n">
        <x:f>IF(OR(A2063="",COUNTIFS($T$41:$T$540,A2063)&lt;&gt;1),0,MATCH(A2063,$T$41:$T$540,0))</x:f>
        <x:v>13</x:v>
      </x:c>
      <x:c r="AO2063" t="n">
        <x:f>IF(ISNUMBER(W2063),W2063,10000+AM2063)</x:f>
        <x:v>95</x:v>
      </x:c>
    </x:row>
    <x:row r="2064" ht="22" customHeight="1">
      <x:c r="A2064" s="1" t="str">
        <x:f>IF(A15="","",A15)</x:f>
        <x:v>1300</x:v>
      </x:c>
      <x:c r="B2064" s="1" t="str">
        <x:f>IF(A2064="","",B15)</x:f>
        <x:v>Avery D. Harrington School</x:v>
      </x:c>
      <x:c r="C2064" s="1" t="str">
        <x:f>IF(A2064="","",C15)</x:f>
        <x:v>District</x:v>
      </x:c>
      <x:c r="D2064" s="1" t="str">
        <x:f>IF(A2064="","",E15)</x:f>
        <x:v>Elementary-Middle</x:v>
      </x:c>
      <x:c r="E2064" s="1" t="str">
        <x:f>IF(A2064="","",H15)</x:f>
        <x:v>19143</x:v>
      </x:c>
      <x:c r="F2064" s="1" t="n">
        <x:f>IF(ISNUMBER(K15),K15,"")</x:f>
        <x:v>259</x:v>
      </x:c>
      <x:c r="G2064" s="1" t="n">
        <x:f>IF(ISNUMBER(L15),L15,"")</x:f>
        <x:v>0.874</x:v>
      </x:c>
      <x:c r="H2064" s="1" t="str">
        <x:f>IF(A2064="","",IF(AND(UPPER(G15)="PHILADELPHIA",OR(C2064="District",AND(C2064="Charter",D15="Yes"))),"Yes","No"))</x:f>
        <x:v>Yes</x:v>
      </x:c>
      <x:c r="I2064" s="1" t="n">
        <x:f>IF(OR(A2064="",COUNTIFS('Staff Review'!$A$8:$A$507,A2064)&lt;&gt;1),0,MATCH(A2064,'Staff Review'!$A$8:$A$507,0))</x:f>
        <x:v>25</x:v>
      </x:c>
      <x:c r="J2064" s="1" t="str">
        <x:f>IF(I2064=0,"No",IF(INDEX('Staff Review'!$C$8:$C$507,I2064)="Yes","Yes","No"))</x:f>
        <x:v>No</x:v>
      </x:c>
      <x:c r="K2064" s="1" t="n">
        <x:f>IF(AI2064="Yes",INDEX('Staff Review'!$D$8:$D$507,I2064),IF(AB2064=0,"",IF(COUNT(INDEX($C$1531:$C$2030,AB2064))=1,INDEX($C$1531:$C$2030,AB2064),"")))</x:f>
        <x:v>0.3799079600097622</x:v>
      </x:c>
      <x:c r="L2064" s="1" t="n">
        <x:f>IF(AJ2064="Yes",INDEX('Staff Review'!$F$8:$F$507,I2064),IF(AB2064=0,"",IF(COUNT(INDEX($G$1531:$G$2030,AB2064))=1,INDEX($G$1531:$G$2030,AB2064),"")))</x:f>
        <x:v>11</x:v>
      </x:c>
      <x:c r="M2064" s="1" t="str">
        <x:f>IF(A2064="","",IF(AI2064="Yes","Verified","Listed"))</x:f>
        <x:v>Listed</x:v>
      </x:c>
      <x:c r="N2064" s="1" t="str">
        <x:f>IF(A2064="","",IF(AJ2064="Yes","Verified","Listed"))</x:f>
        <x:v>Listed</x:v>
      </x:c>
      <x:c r="O2064" s="1" t="n">
        <x:f>IF(AND(ISNUMBER(G2064),G2064&gt;=0,G2064&lt;=1),IF(G2064&gt;=0.9,30,IF(G2064&gt;=0.8,25,IF(G2064&gt;=0.7,20,IF(G2064&gt;=0.6,15,IF(G2064&gt;=0.5,10,IF(G2064&gt;=0.4,5,0)))))),"")</x:f>
        <x:v>25</x:v>
      </x:c>
      <x:c r="P2064" s="1" t="n">
        <x:f>IF(ISNUMBER(K2064),IF(K2064&lt;0,"",IF(K2064&gt;1,25,IF(K2064&gt;=0.75,20,IF(K2064&gt;=0.5,15,IF(K2064&gt;=0.25,10,5))))),"")</x:f>
        <x:v>10</x:v>
      </x:c>
      <x:c r="Q2064" s="1" t="n">
        <x:f>IF(NOT(ISNUMBER(L2064)),"",IF(AND(L2064&gt;=0,MOD(L2064,1)=0),MAX(0,25-5*L2064),""))</x:f>
        <x:v>0</x:v>
      </x:c>
      <x:c r="R2064" s="1" t="n">
        <x:f>IF(NOT(ISNUMBER(F2064)),"",IF(AND(F2064&gt;0,MOD(F2064,1)=0),IF(F2064&gt;=700,5,IF(F2064&gt;=500,4,IF(F2064&gt;=350,3,IF(F2064&gt;=200,2,1)))),""))</x:f>
        <x:v>2</x:v>
      </x:c>
      <x:c r="S2064" s="1" t="n">
        <x:f>IF(COUNT(O2064:R2064)=4,SUM(O2064:R2064),"")</x:f>
        <x:v>37</x:v>
      </x:c>
      <x:c r="T2064" s="1" t="n">
        <x:f>IF(OR(COUNT(O2064:R2064)&lt;&gt;4,COUNT('Top 15'!$B$35:$E$35)&lt;&gt;4,MIN('Top 15'!$B$35:$E$35)&lt;0,SUM('Top 15'!$B$35:$E$35)&lt;=0),"",ROUND(85*(O2064/30*'Top 15'!$B$35+P2064/25*'Top 15'!$C$35+Q2064/25*'Top 15'!$D$35+R2064/5*'Top 15'!$E$35)/SUM('Top 15'!$B$35:$E$35),6))</x:f>
        <x:v>37</x:v>
      </x:c>
      <x:c r="U2064" s="1" t="str">
        <x:f>IF(A2064="","",IF(AND(M2064="Verified",N2064="Verified"),"Verified",IF(AND(M2064="Listed",N2064="Listed"),"Listed","Mixed")))</x:f>
        <x:v>Listed</x:v>
      </x:c>
      <x:c r="V2064" s="1" t="str">
        <x:f>IF(A2064="","",IF(AK2064&lt;&gt;1,"Duplicate source ID",IF(COUNTIFS('Staff Review'!$A$8:$A$507,A2064)&gt;1,"Duplicate review ID",IF(H2064&lt;&gt;"Yes","Outside scope",IF(J2064="Yes","Already served",IF(NOT(ISNUMBER(T2064)),"Missing data","Candidate"))))))</x:f>
        <x:v>Candidate</x:v>
      </x:c>
      <x:c r="W2064" s="1" t="n">
        <x:f>IF(AL2064=0,"",1+COUNTIFS($AL$2051:$AL$2550,1,$T$2051:$T$2550,"&gt;"&amp;T2064)+COUNTIFS($AL$2051:$AL$2550,1,$T$2051:$T$2550,T2064,$G$2051:$G$2550,"&gt;"&amp;G2064)+COUNTIFS($AL$2051:$AL$2550,1,$T$2051:$T$2550,T2064,$G$2051:$G$2550,G2064,$F$2051:$F$2550,"&gt;"&amp;F2064)+COUNTIFS($AL$2051:$AL$2550,1,$T$2051:$T$2550,T2064,$G$2051:$G$2550,G2064,$F$2051:$F$2550,F2064,$AM$2051:$AM$2550,"&lt;"&amp;AM2064))</x:f>
        <x:v>189</x:v>
      </x:c>
      <x:c r="X2064" s="1" t="n">
        <x:f>IF(AL2064=0,"",1+COUNTIFS($AL$2051:$AL$2550,1,$T$2051:$T$2550,"&gt;"&amp;T2064))</x:f>
        <x:v>182</x:v>
      </x:c>
      <x:c r="Y2064" s="1" t="n">
        <x:f>IF(AND(H2064="Yes",OR(LEN('School Search'!$B$5)=0,ISNUMBER(SEARCH('School Search'!$B$5,B2064&amp;" "&amp;E2064&amp;" "&amp;A2064))),OR('School Search'!$D$5="All",C2064='School Search'!$D$5),OR('School Search'!$G$5="All eligible",AND('School Search'!$G$5="Not marked served",J2064&lt;&gt;"Yes"),AND('School Search'!$G$5="Missing data",V2064="Missing data"),AND('School Search'!$G$5="Marked served",J2064="Yes"))),1,0)</x:f>
        <x:v>1</x:v>
      </x:c>
      <x:c r="Z2064" s="1" t="n">
        <x:f>IF(Y2064=0,"",COUNTIFS($Y$2051:$Y$2550,1,$AO$2051:$AO$2550,"&lt;"&amp;AO2064)+COUNTIFS($Y$2051:Y2064,1,$AO$2051:AO2064,AO2064))</x:f>
        <x:v>189</x:v>
      </x:c>
      <x:c r="AA2064" s="1" t="str">
        <x:f>IF(NOT(ISNUMBER(S2064)),"Missing demographic or access input",TEXT(G2064,"0%")&amp;" economic need; "&amp;TEXT(K2064,"0.00")&amp;" mi fresh access; "&amp;L2064&amp;" nearby resources")</x:f>
        <x:v>87% economic need; 0.38 mi fresh access; 11 nearby resources</x:v>
      </x:c>
      <x:c r="AB2064" s="1" t="n">
        <x:f>IF(OR(A2064="",COUNTIFS($A$1531:$A$2030,A2064)&lt;&gt;1),0,MATCH(A2064,$A$1531:$A$2030,0))</x:f>
        <x:v>14</x:v>
      </x:c>
      <x:c r="AC2064" s="1" t="str">
        <x:f>IF(AB2064=0,"",INDEX($E$1531:$E$2030,AB2064))</x:f>
        <x:v>Cousin's Fresh Market 3 Llc</x:v>
      </x:c>
      <x:c r="AD2064" s="1" t="str">
        <x:f>IF(AB2064=0,"",INDEX($F$1531:$F$2030,AB2064))</x:f>
        <x:v>5704 Baltimore Ave, Philadelphia, PA, 19143</x:v>
      </x:c>
      <x:c r="AE2064" s="1" t="str">
        <x:f>IF(A2064="","",F15)</x:f>
        <x:v>5300 BALTIMORE AVE</x:v>
      </x:c>
      <x:c r="AF2064" s="1" t="n">
        <x:f>IF(ISNUMBER(I15),I15,"")</x:f>
        <x:v>39.94736517</x:v>
      </x:c>
      <x:c r="AG2064" s="1" t="n">
        <x:f>IF(ISNUMBER(J15),J15,"")</x:f>
        <x:v>-75.23059508</x:v>
      </x:c>
      <x:c r="AH2064" s="1" t="str">
        <x:f>IF(I2064=0,"Not contacted",IF(INDEX('Staff Review'!$J$8:$J$507,I2064)="","Not contacted",INDEX('Staff Review'!$J$8:$J$507,I2064)))</x:f>
        <x:v>Not contacted</x:v>
      </x:c>
      <x:c r="AI2064" s="1" t="str">
        <x:f>IF(I2064=0,"No",IF(AND(COUNT(INDEX('Staff Review'!$D$8:$D$507,I2064))=1,INDEX('Staff Review'!$D$8:$D$507,I2064)&gt;=0,COUNT(INDEX('Staff Review'!$E$8:$E$507,I2064))=1,INDEX('Staff Review'!$E$8:$E$507,I2064)&gt;0,INDEX('Staff Review'!$E$8:$E$507,I2064)&lt;='Top 15'!$E$5,'Top 15'!$E$5-INDEX('Staff Review'!$E$8:$E$507,I2064)&lt;='Top 15'!$H$5,LEN(INDEX('Staff Review'!$H$8:$H$507,I2064))&gt;0),"Yes","No"))</x:f>
        <x:v>No</x:v>
      </x:c>
      <x:c r="AJ2064" s="1" t="str">
        <x:f>IF(I2064=0,"No",IF(COUNT(INDEX('Staff Review'!$F$8:$F$507,I2064))&lt;&gt;1,"No",IF(AND(INDEX('Staff Review'!$F$8:$F$507,I2064)&gt;=0,MOD(INDEX('Staff Review'!$F$8:$F$507,I2064),1)=0,COUNT(INDEX('Staff Review'!$G$8:$G$507,I2064))=1,INDEX('Staff Review'!$G$8:$G$507,I2064)&gt;0,INDEX('Staff Review'!$G$8:$G$507,I2064)&lt;='Top 15'!$E$5,'Top 15'!$E$5-INDEX('Staff Review'!$G$8:$G$507,I2064)&lt;='Top 15'!$H$5,LEN(INDEX('Staff Review'!$H$8:$H$507,I2064))&gt;0),"Yes","No")))</x:f>
        <x:v>No</x:v>
      </x:c>
      <x:c r="AK2064" s="1" t="n">
        <x:f>IF(A2064="",0,COUNTIFS($A$2:$A$501,A2064))</x:f>
        <x:v>1</x:v>
      </x:c>
      <x:c r="AL2064" s="1" t="n">
        <x:f>IF(V2064="Candidate",1,0)</x:f>
        <x:v>1</x:v>
      </x:c>
      <x:c r="AM2064" s="1" t="n">
        <x:f>IF(A2064="",0,VALUE(A2064))</x:f>
        <x:v>1300</x:v>
      </x:c>
      <x:c r="AN2064" s="1" t="n">
        <x:f>IF(OR(A2064="",COUNTIFS($T$41:$T$540,A2064)&lt;&gt;1),0,MATCH(A2064,$T$41:$T$540,0))</x:f>
        <x:v>14</x:v>
      </x:c>
      <x:c r="AO2064" t="n">
        <x:f>IF(ISNUMBER(W2064),W2064,10000+AM2064)</x:f>
        <x:v>189</x:v>
      </x:c>
    </x:row>
    <x:row r="2065" ht="22" customHeight="1">
      <x:c r="A2065" s="1" t="str">
        <x:f>IF(A16="","",A16)</x:f>
        <x:v>1340</x:v>
      </x:c>
      <x:c r="B2065" s="1" t="str">
        <x:f>IF(A2065="","",B16)</x:f>
        <x:v>Henry C. Lea School</x:v>
      </x:c>
      <x:c r="C2065" s="1" t="str">
        <x:f>IF(A2065="","",C16)</x:f>
        <x:v>District</x:v>
      </x:c>
      <x:c r="D2065" s="1" t="str">
        <x:f>IF(A2065="","",E16)</x:f>
        <x:v>Elementary-Middle</x:v>
      </x:c>
      <x:c r="E2065" s="1" t="str">
        <x:f>IF(A2065="","",H16)</x:f>
        <x:v>19139</x:v>
      </x:c>
      <x:c r="F2065" s="1" t="n">
        <x:f>IF(ISNUMBER(K16),K16,"")</x:f>
        <x:v>463</x:v>
      </x:c>
      <x:c r="G2065" s="1" t="n">
        <x:f>IF(ISNUMBER(L16),L16,"")</x:f>
        <x:v>0.7081</x:v>
      </x:c>
      <x:c r="H2065" s="1" t="str">
        <x:f>IF(A2065="","",IF(AND(UPPER(G16)="PHILADELPHIA",OR(C2065="District",AND(C2065="Charter",D16="Yes"))),"Yes","No"))</x:f>
        <x:v>Yes</x:v>
      </x:c>
      <x:c r="I2065" s="1" t="n">
        <x:f>IF(OR(A2065="",COUNTIFS('Staff Review'!$A$8:$A$507,A2065)&lt;&gt;1),0,MATCH(A2065,'Staff Review'!$A$8:$A$507,0))</x:f>
        <x:v>110</x:v>
      </x:c>
      <x:c r="J2065" s="1" t="str">
        <x:f>IF(I2065=0,"No",IF(INDEX('Staff Review'!$C$8:$C$507,I2065)="Yes","Yes","No"))</x:f>
        <x:v>No</x:v>
      </x:c>
      <x:c r="K2065" s="1" t="n">
        <x:f>IF(AI2065="Yes",INDEX('Staff Review'!$D$8:$D$507,I2065),IF(AB2065=0,"",IF(COUNT(INDEX($C$1531:$C$2030,AB2065))=1,INDEX($C$1531:$C$2030,AB2065),"")))</x:f>
        <x:v>0.3737142810571998</x:v>
      </x:c>
      <x:c r="L2065" s="1" t="n">
        <x:f>IF(AJ2065="Yes",INDEX('Staff Review'!$F$8:$F$507,I2065),IF(AB2065=0,"",IF(COUNT(INDEX($G$1531:$G$2030,AB2065))=1,INDEX($G$1531:$G$2030,AB2065),"")))</x:f>
        <x:v>12</x:v>
      </x:c>
      <x:c r="M2065" s="1" t="str">
        <x:f>IF(A2065="","",IF(AI2065="Yes","Verified","Listed"))</x:f>
        <x:v>Listed</x:v>
      </x:c>
      <x:c r="N2065" s="1" t="str">
        <x:f>IF(A2065="","",IF(AJ2065="Yes","Verified","Listed"))</x:f>
        <x:v>Listed</x:v>
      </x:c>
      <x:c r="O2065" s="1" t="n">
        <x:f>IF(AND(ISNUMBER(G2065),G2065&gt;=0,G2065&lt;=1),IF(G2065&gt;=0.9,30,IF(G2065&gt;=0.8,25,IF(G2065&gt;=0.7,20,IF(G2065&gt;=0.6,15,IF(G2065&gt;=0.5,10,IF(G2065&gt;=0.4,5,0)))))),"")</x:f>
        <x:v>20</x:v>
      </x:c>
      <x:c r="P2065" s="1" t="n">
        <x:f>IF(ISNUMBER(K2065),IF(K2065&lt;0,"",IF(K2065&gt;1,25,IF(K2065&gt;=0.75,20,IF(K2065&gt;=0.5,15,IF(K2065&gt;=0.25,10,5))))),"")</x:f>
        <x:v>10</x:v>
      </x:c>
      <x:c r="Q2065" s="1" t="n">
        <x:f>IF(NOT(ISNUMBER(L2065)),"",IF(AND(L2065&gt;=0,MOD(L2065,1)=0),MAX(0,25-5*L2065),""))</x:f>
        <x:v>0</x:v>
      </x:c>
      <x:c r="R2065" s="1" t="n">
        <x:f>IF(NOT(ISNUMBER(F2065)),"",IF(AND(F2065&gt;0,MOD(F2065,1)=0),IF(F2065&gt;=700,5,IF(F2065&gt;=500,4,IF(F2065&gt;=350,3,IF(F2065&gt;=200,2,1)))),""))</x:f>
        <x:v>3</x:v>
      </x:c>
      <x:c r="S2065" s="1" t="n">
        <x:f>IF(COUNT(O2065:R2065)=4,SUM(O2065:R2065),"")</x:f>
        <x:v>33</x:v>
      </x:c>
      <x:c r="T2065" s="1" t="n">
        <x:f>IF(OR(COUNT(O2065:R2065)&lt;&gt;4,COUNT('Top 15'!$B$35:$E$35)&lt;&gt;4,MIN('Top 15'!$B$35:$E$35)&lt;0,SUM('Top 15'!$B$35:$E$35)&lt;=0),"",ROUND(85*(O2065/30*'Top 15'!$B$35+P2065/25*'Top 15'!$C$35+Q2065/25*'Top 15'!$D$35+R2065/5*'Top 15'!$E$35)/SUM('Top 15'!$B$35:$E$35),6))</x:f>
        <x:v>33</x:v>
      </x:c>
      <x:c r="U2065" s="1" t="str">
        <x:f>IF(A2065="","",IF(AND(M2065="Verified",N2065="Verified"),"Verified",IF(AND(M2065="Listed",N2065="Listed"),"Listed","Mixed")))</x:f>
        <x:v>Listed</x:v>
      </x:c>
      <x:c r="V2065" s="1" t="str">
        <x:f>IF(A2065="","",IF(AK2065&lt;&gt;1,"Duplicate source ID",IF(COUNTIFS('Staff Review'!$A$8:$A$507,A2065)&gt;1,"Duplicate review ID",IF(H2065&lt;&gt;"Yes","Outside scope",IF(J2065="Yes","Already served",IF(NOT(ISNUMBER(T2065)),"Missing data","Candidate"))))))</x:f>
        <x:v>Candidate</x:v>
      </x:c>
      <x:c r="W2065" s="1" t="n">
        <x:f>IF(AL2065=0,"",1+COUNTIFS($AL$2051:$AL$2550,1,$T$2051:$T$2550,"&gt;"&amp;T2065)+COUNTIFS($AL$2051:$AL$2550,1,$T$2051:$T$2550,T2065,$G$2051:$G$2550,"&gt;"&amp;G2065)+COUNTIFS($AL$2051:$AL$2550,1,$T$2051:$T$2550,T2065,$G$2051:$G$2550,G2065,$F$2051:$F$2550,"&gt;"&amp;F2065)+COUNTIFS($AL$2051:$AL$2550,1,$T$2051:$T$2550,T2065,$G$2051:$G$2550,G2065,$F$2051:$F$2550,F2065,$AM$2051:$AM$2550,"&lt;"&amp;AM2065))</x:f>
        <x:v>241</x:v>
      </x:c>
      <x:c r="X2065" s="1" t="n">
        <x:f>IF(AL2065=0,"",1+COUNTIFS($AL$2051:$AL$2550,1,$T$2051:$T$2550,"&gt;"&amp;T2065))</x:f>
        <x:v>233</x:v>
      </x:c>
      <x:c r="Y2065" s="1" t="n">
        <x:f>IF(AND(H2065="Yes",OR(LEN('School Search'!$B$5)=0,ISNUMBER(SEARCH('School Search'!$B$5,B2065&amp;" "&amp;E2065&amp;" "&amp;A2065))),OR('School Search'!$D$5="All",C2065='School Search'!$D$5),OR('School Search'!$G$5="All eligible",AND('School Search'!$G$5="Not marked served",J2065&lt;&gt;"Yes"),AND('School Search'!$G$5="Missing data",V2065="Missing data"),AND('School Search'!$G$5="Marked served",J2065="Yes"))),1,0)</x:f>
        <x:v>1</x:v>
      </x:c>
      <x:c r="Z2065" s="1" t="n">
        <x:f>IF(Y2065=0,"",COUNTIFS($Y$2051:$Y$2550,1,$AO$2051:$AO$2550,"&lt;"&amp;AO2065)+COUNTIFS($Y$2051:Y2065,1,$AO$2051:AO2065,AO2065))</x:f>
        <x:v>241</x:v>
      </x:c>
      <x:c r="AA2065" s="1" t="str">
        <x:f>IF(NOT(ISNUMBER(S2065)),"Missing demographic or access input",TEXT(G2065,"0%")&amp;" economic need; "&amp;TEXT(K2065,"0.00")&amp;" mi fresh access; "&amp;L2065&amp;" nearby resources")</x:f>
        <x:v>71% economic need; 0.37 mi fresh access; 12 nearby resources</x:v>
      </x:c>
      <x:c r="AB2065" s="1" t="n">
        <x:f>IF(OR(A2065="",COUNTIFS($A$1531:$A$2030,A2065)&lt;&gt;1),0,MATCH(A2065,$A$1531:$A$2030,0))</x:f>
        <x:v>15</x:v>
      </x:c>
      <x:c r="AC2065" s="1" t="str">
        <x:f>IF(AB2065=0,"",INDEX($E$1531:$E$2030,AB2065))</x:f>
        <x:v>ALDI 54</x:v>
      </x:c>
      <x:c r="AD2065" s="1" t="str">
        <x:f>IF(AB2065=0,"",INDEX($F$1531:$F$2030,AB2065))</x:f>
        <x:v>4421 Market St, Philadelphia, PA, 19104</x:v>
      </x:c>
      <x:c r="AE2065" s="1" t="str">
        <x:f>IF(A2065="","",F16)</x:f>
        <x:v>4700 LOCUST ST</x:v>
      </x:c>
      <x:c r="AF2065" s="1" t="n">
        <x:f>IF(ISNUMBER(I16),I16,"")</x:f>
        <x:v>39.954515</x:v>
      </x:c>
      <x:c r="AG2065" s="1" t="n">
        <x:f>IF(ISNUMBER(J16),J16,"")</x:f>
        <x:v>-75.216347</x:v>
      </x:c>
      <x:c r="AH2065" s="1" t="str">
        <x:f>IF(I2065=0,"Not contacted",IF(INDEX('Staff Review'!$J$8:$J$507,I2065)="","Not contacted",INDEX('Staff Review'!$J$8:$J$507,I2065)))</x:f>
        <x:v>Not contacted</x:v>
      </x:c>
      <x:c r="AI2065" s="1" t="str">
        <x:f>IF(I2065=0,"No",IF(AND(COUNT(INDEX('Staff Review'!$D$8:$D$507,I2065))=1,INDEX('Staff Review'!$D$8:$D$507,I2065)&gt;=0,COUNT(INDEX('Staff Review'!$E$8:$E$507,I2065))=1,INDEX('Staff Review'!$E$8:$E$507,I2065)&gt;0,INDEX('Staff Review'!$E$8:$E$507,I2065)&lt;='Top 15'!$E$5,'Top 15'!$E$5-INDEX('Staff Review'!$E$8:$E$507,I2065)&lt;='Top 15'!$H$5,LEN(INDEX('Staff Review'!$H$8:$H$507,I2065))&gt;0),"Yes","No"))</x:f>
        <x:v>No</x:v>
      </x:c>
      <x:c r="AJ2065" s="1" t="str">
        <x:f>IF(I2065=0,"No",IF(COUNT(INDEX('Staff Review'!$F$8:$F$507,I2065))&lt;&gt;1,"No",IF(AND(INDEX('Staff Review'!$F$8:$F$507,I2065)&gt;=0,MOD(INDEX('Staff Review'!$F$8:$F$507,I2065),1)=0,COUNT(INDEX('Staff Review'!$G$8:$G$507,I2065))=1,INDEX('Staff Review'!$G$8:$G$507,I2065)&gt;0,INDEX('Staff Review'!$G$8:$G$507,I2065)&lt;='Top 15'!$E$5,'Top 15'!$E$5-INDEX('Staff Review'!$G$8:$G$507,I2065)&lt;='Top 15'!$H$5,LEN(INDEX('Staff Review'!$H$8:$H$507,I2065))&gt;0),"Yes","No")))</x:f>
        <x:v>No</x:v>
      </x:c>
      <x:c r="AK2065" s="1" t="n">
        <x:f>IF(A2065="",0,COUNTIFS($A$2:$A$501,A2065))</x:f>
        <x:v>1</x:v>
      </x:c>
      <x:c r="AL2065" s="1" t="n">
        <x:f>IF(V2065="Candidate",1,0)</x:f>
        <x:v>1</x:v>
      </x:c>
      <x:c r="AM2065" s="1" t="n">
        <x:f>IF(A2065="",0,VALUE(A2065))</x:f>
        <x:v>1340</x:v>
      </x:c>
      <x:c r="AN2065" s="1" t="n">
        <x:f>IF(OR(A2065="",COUNTIFS($T$41:$T$540,A2065)&lt;&gt;1),0,MATCH(A2065,$T$41:$T$540,0))</x:f>
        <x:v>15</x:v>
      </x:c>
      <x:c r="AO2065" t="n">
        <x:f>IF(ISNUMBER(W2065),W2065,10000+AM2065)</x:f>
        <x:v>241</x:v>
      </x:c>
    </x:row>
    <x:row r="2066" ht="22" customHeight="1">
      <x:c r="A2066" s="1" t="str">
        <x:f>IF(A17="","",A17)</x:f>
        <x:v>1350</x:v>
      </x:c>
      <x:c r="B2066" s="1" t="str">
        <x:f>IF(A2066="","",B17)</x:f>
        <x:v>William C. Longstreth School</x:v>
      </x:c>
      <x:c r="C2066" s="1" t="str">
        <x:f>IF(A2066="","",C17)</x:f>
        <x:v>District</x:v>
      </x:c>
      <x:c r="D2066" s="1" t="str">
        <x:f>IF(A2066="","",E17)</x:f>
        <x:v>Elementary-Middle</x:v>
      </x:c>
      <x:c r="E2066" s="1" t="str">
        <x:f>IF(A2066="","",H17)</x:f>
        <x:v>19143</x:v>
      </x:c>
      <x:c r="F2066" s="1" t="n">
        <x:f>IF(ISNUMBER(K17),K17,"")</x:f>
        <x:v>259</x:v>
      </x:c>
      <x:c r="G2066" s="1" t="n">
        <x:f>IF(ISNUMBER(L17),L17,"")</x:f>
        <x:v>0.8958</x:v>
      </x:c>
      <x:c r="H2066" s="1" t="str">
        <x:f>IF(A2066="","",IF(AND(UPPER(G17)="PHILADELPHIA",OR(C2066="District",AND(C2066="Charter",D17="Yes"))),"Yes","No"))</x:f>
        <x:v>Yes</x:v>
      </x:c>
      <x:c r="I2066" s="1" t="n">
        <x:f>IF(OR(A2066="",COUNTIFS('Staff Review'!$A$8:$A$507,A2066)&lt;&gt;1),0,MATCH(A2066,'Staff Review'!$A$8:$A$507,0))</x:f>
        <x:v>313</x:v>
      </x:c>
      <x:c r="J2066" s="1" t="str">
        <x:f>IF(I2066=0,"No",IF(INDEX('Staff Review'!$C$8:$C$507,I2066)="Yes","Yes","No"))</x:f>
        <x:v>No</x:v>
      </x:c>
      <x:c r="K2066" s="1" t="n">
        <x:f>IF(AI2066="Yes",INDEX('Staff Review'!$D$8:$D$507,I2066),IF(AB2066=0,"",IF(COUNT(INDEX($C$1531:$C$2030,AB2066))=1,INDEX($C$1531:$C$2030,AB2066),"")))</x:f>
        <x:v>0.451746240814321</x:v>
      </x:c>
      <x:c r="L2066" s="1" t="n">
        <x:f>IF(AJ2066="Yes",INDEX('Staff Review'!$F$8:$F$507,I2066),IF(AB2066=0,"",IF(COUNT(INDEX($G$1531:$G$2030,AB2066))=1,INDEX($G$1531:$G$2030,AB2066),"")))</x:f>
        <x:v>8</x:v>
      </x:c>
      <x:c r="M2066" s="1" t="str">
        <x:f>IF(A2066="","",IF(AI2066="Yes","Verified","Listed"))</x:f>
        <x:v>Listed</x:v>
      </x:c>
      <x:c r="N2066" s="1" t="str">
        <x:f>IF(A2066="","",IF(AJ2066="Yes","Verified","Listed"))</x:f>
        <x:v>Listed</x:v>
      </x:c>
      <x:c r="O2066" s="1" t="n">
        <x:f>IF(AND(ISNUMBER(G2066),G2066&gt;=0,G2066&lt;=1),IF(G2066&gt;=0.9,30,IF(G2066&gt;=0.8,25,IF(G2066&gt;=0.7,20,IF(G2066&gt;=0.6,15,IF(G2066&gt;=0.5,10,IF(G2066&gt;=0.4,5,0)))))),"")</x:f>
        <x:v>25</x:v>
      </x:c>
      <x:c r="P2066" s="1" t="n">
        <x:f>IF(ISNUMBER(K2066),IF(K2066&lt;0,"",IF(K2066&gt;1,25,IF(K2066&gt;=0.75,20,IF(K2066&gt;=0.5,15,IF(K2066&gt;=0.25,10,5))))),"")</x:f>
        <x:v>10</x:v>
      </x:c>
      <x:c r="Q2066" s="1" t="n">
        <x:f>IF(NOT(ISNUMBER(L2066)),"",IF(AND(L2066&gt;=0,MOD(L2066,1)=0),MAX(0,25-5*L2066),""))</x:f>
        <x:v>0</x:v>
      </x:c>
      <x:c r="R2066" s="1" t="n">
        <x:f>IF(NOT(ISNUMBER(F2066)),"",IF(AND(F2066&gt;0,MOD(F2066,1)=0),IF(F2066&gt;=700,5,IF(F2066&gt;=500,4,IF(F2066&gt;=350,3,IF(F2066&gt;=200,2,1)))),""))</x:f>
        <x:v>2</x:v>
      </x:c>
      <x:c r="S2066" s="1" t="n">
        <x:f>IF(COUNT(O2066:R2066)=4,SUM(O2066:R2066),"")</x:f>
        <x:v>37</x:v>
      </x:c>
      <x:c r="T2066" s="1" t="n">
        <x:f>IF(OR(COUNT(O2066:R2066)&lt;&gt;4,COUNT('Top 15'!$B$35:$E$35)&lt;&gt;4,MIN('Top 15'!$B$35:$E$35)&lt;0,SUM('Top 15'!$B$35:$E$35)&lt;=0),"",ROUND(85*(O2066/30*'Top 15'!$B$35+P2066/25*'Top 15'!$C$35+Q2066/25*'Top 15'!$D$35+R2066/5*'Top 15'!$E$35)/SUM('Top 15'!$B$35:$E$35),6))</x:f>
        <x:v>37</x:v>
      </x:c>
      <x:c r="U2066" s="1" t="str">
        <x:f>IF(A2066="","",IF(AND(M2066="Verified",N2066="Verified"),"Verified",IF(AND(M2066="Listed",N2066="Listed"),"Listed","Mixed")))</x:f>
        <x:v>Listed</x:v>
      </x:c>
      <x:c r="V2066" s="1" t="str">
        <x:f>IF(A2066="","",IF(AK2066&lt;&gt;1,"Duplicate source ID",IF(COUNTIFS('Staff Review'!$A$8:$A$507,A2066)&gt;1,"Duplicate review ID",IF(H2066&lt;&gt;"Yes","Outside scope",IF(J2066="Yes","Already served",IF(NOT(ISNUMBER(T2066)),"Missing data","Candidate"))))))</x:f>
        <x:v>Candidate</x:v>
      </x:c>
      <x:c r="W2066" s="1" t="n">
        <x:f>IF(AL2066=0,"",1+COUNTIFS($AL$2051:$AL$2550,1,$T$2051:$T$2550,"&gt;"&amp;T2066)+COUNTIFS($AL$2051:$AL$2550,1,$T$2051:$T$2550,T2066,$G$2051:$G$2550,"&gt;"&amp;G2066)+COUNTIFS($AL$2051:$AL$2550,1,$T$2051:$T$2550,T2066,$G$2051:$G$2550,G2066,$F$2051:$F$2550,"&gt;"&amp;F2066)+COUNTIFS($AL$2051:$AL$2550,1,$T$2051:$T$2550,T2066,$G$2051:$G$2550,G2066,$F$2051:$F$2550,F2066,$AM$2051:$AM$2550,"&lt;"&amp;AM2066))</x:f>
        <x:v>185</x:v>
      </x:c>
      <x:c r="X2066" s="1" t="n">
        <x:f>IF(AL2066=0,"",1+COUNTIFS($AL$2051:$AL$2550,1,$T$2051:$T$2550,"&gt;"&amp;T2066))</x:f>
        <x:v>182</x:v>
      </x:c>
      <x:c r="Y2066" s="1" t="n">
        <x:f>IF(AND(H2066="Yes",OR(LEN('School Search'!$B$5)=0,ISNUMBER(SEARCH('School Search'!$B$5,B2066&amp;" "&amp;E2066&amp;" "&amp;A2066))),OR('School Search'!$D$5="All",C2066='School Search'!$D$5),OR('School Search'!$G$5="All eligible",AND('School Search'!$G$5="Not marked served",J2066&lt;&gt;"Yes"),AND('School Search'!$G$5="Missing data",V2066="Missing data"),AND('School Search'!$G$5="Marked served",J2066="Yes"))),1,0)</x:f>
        <x:v>1</x:v>
      </x:c>
      <x:c r="Z2066" s="1" t="n">
        <x:f>IF(Y2066=0,"",COUNTIFS($Y$2051:$Y$2550,1,$AO$2051:$AO$2550,"&lt;"&amp;AO2066)+COUNTIFS($Y$2051:Y2066,1,$AO$2051:AO2066,AO2066))</x:f>
        <x:v>185</x:v>
      </x:c>
      <x:c r="AA2066" s="1" t="str">
        <x:f>IF(NOT(ISNUMBER(S2066)),"Missing demographic or access input",TEXT(G2066,"0%")&amp;" economic need; "&amp;TEXT(K2066,"0.00")&amp;" mi fresh access; "&amp;L2066&amp;" nearby resources")</x:f>
        <x:v>90% economic need; 0.45 mi fresh access; 8 nearby resources</x:v>
      </x:c>
      <x:c r="AB2066" s="1" t="n">
        <x:f>IF(OR(A2066="",COUNTIFS($A$1531:$A$2030,A2066)&lt;&gt;1),0,MATCH(A2066,$A$1531:$A$2030,0))</x:f>
        <x:v>16</x:v>
      </x:c>
      <x:c r="AC2066" s="1" t="str">
        <x:f>IF(AB2066=0,"",INDEX($E$1531:$E$2030,AB2066))</x:f>
        <x:v>Cousin's Fresh Market 3 Llc</x:v>
      </x:c>
      <x:c r="AD2066" s="1" t="str">
        <x:f>IF(AB2066=0,"",INDEX($F$1531:$F$2030,AB2066))</x:f>
        <x:v>5704 Baltimore Ave, Philadelphia, PA, 19143</x:v>
      </x:c>
      <x:c r="AE2066" s="1" t="str">
        <x:f>IF(A2066="","",F17)</x:f>
        <x:v>5700 WILLOWS AVE</x:v>
      </x:c>
      <x:c r="AF2066" s="1" t="n">
        <x:f>IF(ISNUMBER(I17),I17,"")</x:f>
        <x:v>39.94090823</x:v>
      </x:c>
      <x:c r="AG2066" s="1" t="n">
        <x:f>IF(ISNUMBER(J17),J17,"")</x:f>
        <x:v>-75.23237316</x:v>
      </x:c>
      <x:c r="AH2066" s="1" t="str">
        <x:f>IF(I2066=0,"Not contacted",IF(INDEX('Staff Review'!$J$8:$J$507,I2066)="","Not contacted",INDEX('Staff Review'!$J$8:$J$507,I2066)))</x:f>
        <x:v>Not contacted</x:v>
      </x:c>
      <x:c r="AI2066" s="1" t="str">
        <x:f>IF(I2066=0,"No",IF(AND(COUNT(INDEX('Staff Review'!$D$8:$D$507,I2066))=1,INDEX('Staff Review'!$D$8:$D$507,I2066)&gt;=0,COUNT(INDEX('Staff Review'!$E$8:$E$507,I2066))=1,INDEX('Staff Review'!$E$8:$E$507,I2066)&gt;0,INDEX('Staff Review'!$E$8:$E$507,I2066)&lt;='Top 15'!$E$5,'Top 15'!$E$5-INDEX('Staff Review'!$E$8:$E$507,I2066)&lt;='Top 15'!$H$5,LEN(INDEX('Staff Review'!$H$8:$H$507,I2066))&gt;0),"Yes","No"))</x:f>
        <x:v>No</x:v>
      </x:c>
      <x:c r="AJ2066" s="1" t="str">
        <x:f>IF(I2066=0,"No",IF(COUNT(INDEX('Staff Review'!$F$8:$F$507,I2066))&lt;&gt;1,"No",IF(AND(INDEX('Staff Review'!$F$8:$F$507,I2066)&gt;=0,MOD(INDEX('Staff Review'!$F$8:$F$507,I2066),1)=0,COUNT(INDEX('Staff Review'!$G$8:$G$507,I2066))=1,INDEX('Staff Review'!$G$8:$G$507,I2066)&gt;0,INDEX('Staff Review'!$G$8:$G$507,I2066)&lt;='Top 15'!$E$5,'Top 15'!$E$5-INDEX('Staff Review'!$G$8:$G$507,I2066)&lt;='Top 15'!$H$5,LEN(INDEX('Staff Review'!$H$8:$H$507,I2066))&gt;0),"Yes","No")))</x:f>
        <x:v>No</x:v>
      </x:c>
      <x:c r="AK2066" s="1" t="n">
        <x:f>IF(A2066="",0,COUNTIFS($A$2:$A$501,A2066))</x:f>
        <x:v>1</x:v>
      </x:c>
      <x:c r="AL2066" s="1" t="n">
        <x:f>IF(V2066="Candidate",1,0)</x:f>
        <x:v>1</x:v>
      </x:c>
      <x:c r="AM2066" s="1" t="n">
        <x:f>IF(A2066="",0,VALUE(A2066))</x:f>
        <x:v>1350</x:v>
      </x:c>
      <x:c r="AN2066" s="1" t="n">
        <x:f>IF(OR(A2066="",COUNTIFS($T$41:$T$540,A2066)&lt;&gt;1),0,MATCH(A2066,$T$41:$T$540,0))</x:f>
        <x:v>16</x:v>
      </x:c>
      <x:c r="AO2066" t="n">
        <x:f>IF(ISNUMBER(W2066),W2066,10000+AM2066)</x:f>
        <x:v>185</x:v>
      </x:c>
    </x:row>
    <x:row r="2067" ht="22" customHeight="1">
      <x:c r="A2067" s="1" t="str">
        <x:f>IF(A18="","",A18)</x:f>
        <x:v>1360</x:v>
      </x:c>
      <x:c r="B2067" s="1" t="str">
        <x:f>IF(A2067="","",B18)</x:f>
        <x:v>Morton McMichael School</x:v>
      </x:c>
      <x:c r="C2067" s="1" t="str">
        <x:f>IF(A2067="","",C18)</x:f>
        <x:v>District</x:v>
      </x:c>
      <x:c r="D2067" s="1" t="str">
        <x:f>IF(A2067="","",E18)</x:f>
        <x:v>Elementary-Middle</x:v>
      </x:c>
      <x:c r="E2067" s="1" t="str">
        <x:f>IF(A2067="","",H18)</x:f>
        <x:v>19104</x:v>
      </x:c>
      <x:c r="F2067" s="1" t="n">
        <x:f>IF(ISNUMBER(K18),K18,"")</x:f>
        <x:v>286</x:v>
      </x:c>
      <x:c r="G2067" s="1" t="n">
        <x:f>IF(ISNUMBER(L18),L18,"")</x:f>
        <x:v>0.9264</x:v>
      </x:c>
      <x:c r="H2067" s="1" t="str">
        <x:f>IF(A2067="","",IF(AND(UPPER(G18)="PHILADELPHIA",OR(C2067="District",AND(C2067="Charter",D18="Yes"))),"Yes","No"))</x:f>
        <x:v>Yes</x:v>
      </x:c>
      <x:c r="I2067" s="1" t="n">
        <x:f>IF(OR(A2067="",COUNTIFS('Staff Review'!$A$8:$A$507,A2067)&lt;&gt;1),0,MATCH(A2067,'Staff Review'!$A$8:$A$507,0))</x:f>
        <x:v>200</x:v>
      </x:c>
      <x:c r="J2067" s="1" t="str">
        <x:f>IF(I2067=0,"No",IF(INDEX('Staff Review'!$C$8:$C$507,I2067)="Yes","Yes","No"))</x:f>
        <x:v>No</x:v>
      </x:c>
      <x:c r="K2067" s="1" t="n">
        <x:f>IF(AI2067="Yes",INDEX('Staff Review'!$D$8:$D$507,I2067),IF(AB2067=0,"",IF(COUNT(INDEX($C$1531:$C$2030,AB2067))=1,INDEX($C$1531:$C$2030,AB2067),"")))</x:f>
        <x:v>0.7139799402420749</x:v>
      </x:c>
      <x:c r="L2067" s="1" t="n">
        <x:f>IF(AJ2067="Yes",INDEX('Staff Review'!$F$8:$F$507,I2067),IF(AB2067=0,"",IF(COUNT(INDEX($G$1531:$G$2030,AB2067))=1,INDEX($G$1531:$G$2030,AB2067),"")))</x:f>
        <x:v>11</x:v>
      </x:c>
      <x:c r="M2067" s="1" t="str">
        <x:f>IF(A2067="","",IF(AI2067="Yes","Verified","Listed"))</x:f>
        <x:v>Listed</x:v>
      </x:c>
      <x:c r="N2067" s="1" t="str">
        <x:f>IF(A2067="","",IF(AJ2067="Yes","Verified","Listed"))</x:f>
        <x:v>Listed</x:v>
      </x:c>
      <x:c r="O2067" s="1" t="n">
        <x:f>IF(AND(ISNUMBER(G2067),G2067&gt;=0,G2067&lt;=1),IF(G2067&gt;=0.9,30,IF(G2067&gt;=0.8,25,IF(G2067&gt;=0.7,20,IF(G2067&gt;=0.6,15,IF(G2067&gt;=0.5,10,IF(G2067&gt;=0.4,5,0)))))),"")</x:f>
        <x:v>30</x:v>
      </x:c>
      <x:c r="P2067" s="1" t="n">
        <x:f>IF(ISNUMBER(K2067),IF(K2067&lt;0,"",IF(K2067&gt;1,25,IF(K2067&gt;=0.75,20,IF(K2067&gt;=0.5,15,IF(K2067&gt;=0.25,10,5))))),"")</x:f>
        <x:v>15</x:v>
      </x:c>
      <x:c r="Q2067" s="1" t="n">
        <x:f>IF(NOT(ISNUMBER(L2067)),"",IF(AND(L2067&gt;=0,MOD(L2067,1)=0),MAX(0,25-5*L2067),""))</x:f>
        <x:v>0</x:v>
      </x:c>
      <x:c r="R2067" s="1" t="n">
        <x:f>IF(NOT(ISNUMBER(F2067)),"",IF(AND(F2067&gt;0,MOD(F2067,1)=0),IF(F2067&gt;=700,5,IF(F2067&gt;=500,4,IF(F2067&gt;=350,3,IF(F2067&gt;=200,2,1)))),""))</x:f>
        <x:v>2</x:v>
      </x:c>
      <x:c r="S2067" s="1" t="n">
        <x:f>IF(COUNT(O2067:R2067)=4,SUM(O2067:R2067),"")</x:f>
        <x:v>47</x:v>
      </x:c>
      <x:c r="T2067" s="1" t="n">
        <x:f>IF(OR(COUNT(O2067:R2067)&lt;&gt;4,COUNT('Top 15'!$B$35:$E$35)&lt;&gt;4,MIN('Top 15'!$B$35:$E$35)&lt;0,SUM('Top 15'!$B$35:$E$35)&lt;=0),"",ROUND(85*(O2067/30*'Top 15'!$B$35+P2067/25*'Top 15'!$C$35+Q2067/25*'Top 15'!$D$35+R2067/5*'Top 15'!$E$35)/SUM('Top 15'!$B$35:$E$35),6))</x:f>
        <x:v>47</x:v>
      </x:c>
      <x:c r="U2067" s="1" t="str">
        <x:f>IF(A2067="","",IF(AND(M2067="Verified",N2067="Verified"),"Verified",IF(AND(M2067="Listed",N2067="Listed"),"Listed","Mixed")))</x:f>
        <x:v>Listed</x:v>
      </x:c>
      <x:c r="V2067" s="1" t="str">
        <x:f>IF(A2067="","",IF(AK2067&lt;&gt;1,"Duplicate source ID",IF(COUNTIFS('Staff Review'!$A$8:$A$507,A2067)&gt;1,"Duplicate review ID",IF(H2067&lt;&gt;"Yes","Outside scope",IF(J2067="Yes","Already served",IF(NOT(ISNUMBER(T2067)),"Missing data","Candidate"))))))</x:f>
        <x:v>Candidate</x:v>
      </x:c>
      <x:c r="W2067" s="1" t="n">
        <x:f>IF(AL2067=0,"",1+COUNTIFS($AL$2051:$AL$2550,1,$T$2051:$T$2550,"&gt;"&amp;T2067)+COUNTIFS($AL$2051:$AL$2550,1,$T$2051:$T$2550,T2067,$G$2051:$G$2550,"&gt;"&amp;G2067)+COUNTIFS($AL$2051:$AL$2550,1,$T$2051:$T$2550,T2067,$G$2051:$G$2550,G2067,$F$2051:$F$2550,"&gt;"&amp;F2067)+COUNTIFS($AL$2051:$AL$2550,1,$T$2051:$T$2550,T2067,$G$2051:$G$2550,G2067,$F$2051:$F$2550,F2067,$AM$2051:$AM$2550,"&lt;"&amp;AM2067))</x:f>
        <x:v>64</x:v>
      </x:c>
      <x:c r="X2067" s="1" t="n">
        <x:f>IF(AL2067=0,"",1+COUNTIFS($AL$2051:$AL$2550,1,$T$2051:$T$2550,"&gt;"&amp;T2067))</x:f>
        <x:v>64</x:v>
      </x:c>
      <x:c r="Y2067" s="1" t="n">
        <x:f>IF(AND(H2067="Yes",OR(LEN('School Search'!$B$5)=0,ISNUMBER(SEARCH('School Search'!$B$5,B2067&amp;" "&amp;E2067&amp;" "&amp;A2067))),OR('School Search'!$D$5="All",C2067='School Search'!$D$5),OR('School Search'!$G$5="All eligible",AND('School Search'!$G$5="Not marked served",J2067&lt;&gt;"Yes"),AND('School Search'!$G$5="Missing data",V2067="Missing data"),AND('School Search'!$G$5="Marked served",J2067="Yes"))),1,0)</x:f>
        <x:v>1</x:v>
      </x:c>
      <x:c r="Z2067" s="1" t="n">
        <x:f>IF(Y2067=0,"",COUNTIFS($Y$2051:$Y$2550,1,$AO$2051:$AO$2550,"&lt;"&amp;AO2067)+COUNTIFS($Y$2051:Y2067,1,$AO$2051:AO2067,AO2067))</x:f>
        <x:v>64</x:v>
      </x:c>
      <x:c r="AA2067" s="1" t="str">
        <x:f>IF(NOT(ISNUMBER(S2067)),"Missing demographic or access input",TEXT(G2067,"0%")&amp;" economic need; "&amp;TEXT(K2067,"0.00")&amp;" mi fresh access; "&amp;L2067&amp;" nearby resources")</x:f>
        <x:v>93% economic need; 0.71 mi fresh access; 11 nearby resources</x:v>
      </x:c>
      <x:c r="AB2067" s="1" t="n">
        <x:f>IF(OR(A2067="",COUNTIFS($A$1531:$A$2030,A2067)&lt;&gt;1),0,MATCH(A2067,$A$1531:$A$2030,0))</x:f>
        <x:v>17</x:v>
      </x:c>
      <x:c r="AC2067" s="1" t="str">
        <x:f>IF(AB2067=0,"",INDEX($E$1531:$E$2030,AB2067))</x:f>
        <x:v>Aldi 43</x:v>
      </x:c>
      <x:c r="AD2067" s="1" t="str">
        <x:f>IF(AB2067=0,"",INDEX($F$1531:$F$2030,AB2067))</x:f>
        <x:v>3101 W Girard Ave, Philadelphia, PA, 19130</x:v>
      </x:c>
      <x:c r="AE2067" s="1" t="str">
        <x:f>IF(A2067="","",F18)</x:f>
        <x:v>3543 FAIRMOUNT AVE</x:v>
      </x:c>
      <x:c r="AF2067" s="1" t="n">
        <x:f>IF(ISNUMBER(I18),I18,"")</x:f>
        <x:v>39.96619727</x:v>
      </x:c>
      <x:c r="AG2067" s="1" t="n">
        <x:f>IF(ISNUMBER(J18),J18,"")</x:f>
        <x:v>-75.19411487</x:v>
      </x:c>
      <x:c r="AH2067" s="1" t="str">
        <x:f>IF(I2067=0,"Not contacted",IF(INDEX('Staff Review'!$J$8:$J$507,I2067)="","Not contacted",INDEX('Staff Review'!$J$8:$J$507,I2067)))</x:f>
        <x:v>Not contacted</x:v>
      </x:c>
      <x:c r="AI2067" s="1" t="str">
        <x:f>IF(I2067=0,"No",IF(AND(COUNT(INDEX('Staff Review'!$D$8:$D$507,I2067))=1,INDEX('Staff Review'!$D$8:$D$507,I2067)&gt;=0,COUNT(INDEX('Staff Review'!$E$8:$E$507,I2067))=1,INDEX('Staff Review'!$E$8:$E$507,I2067)&gt;0,INDEX('Staff Review'!$E$8:$E$507,I2067)&lt;='Top 15'!$E$5,'Top 15'!$E$5-INDEX('Staff Review'!$E$8:$E$507,I2067)&lt;='Top 15'!$H$5,LEN(INDEX('Staff Review'!$H$8:$H$507,I2067))&gt;0),"Yes","No"))</x:f>
        <x:v>No</x:v>
      </x:c>
      <x:c r="AJ2067" s="1" t="str">
        <x:f>IF(I2067=0,"No",IF(COUNT(INDEX('Staff Review'!$F$8:$F$507,I2067))&lt;&gt;1,"No",IF(AND(INDEX('Staff Review'!$F$8:$F$507,I2067)&gt;=0,MOD(INDEX('Staff Review'!$F$8:$F$507,I2067),1)=0,COUNT(INDEX('Staff Review'!$G$8:$G$507,I2067))=1,INDEX('Staff Review'!$G$8:$G$507,I2067)&gt;0,INDEX('Staff Review'!$G$8:$G$507,I2067)&lt;='Top 15'!$E$5,'Top 15'!$E$5-INDEX('Staff Review'!$G$8:$G$507,I2067)&lt;='Top 15'!$H$5,LEN(INDEX('Staff Review'!$H$8:$H$507,I2067))&gt;0),"Yes","No")))</x:f>
        <x:v>No</x:v>
      </x:c>
      <x:c r="AK2067" s="1" t="n">
        <x:f>IF(A2067="",0,COUNTIFS($A$2:$A$501,A2067))</x:f>
        <x:v>1</x:v>
      </x:c>
      <x:c r="AL2067" s="1" t="n">
        <x:f>IF(V2067="Candidate",1,0)</x:f>
        <x:v>1</x:v>
      </x:c>
      <x:c r="AM2067" s="1" t="n">
        <x:f>IF(A2067="",0,VALUE(A2067))</x:f>
        <x:v>1360</x:v>
      </x:c>
      <x:c r="AN2067" s="1" t="n">
        <x:f>IF(OR(A2067="",COUNTIFS($T$41:$T$540,A2067)&lt;&gt;1),0,MATCH(A2067,$T$41:$T$540,0))</x:f>
        <x:v>17</x:v>
      </x:c>
      <x:c r="AO2067" t="n">
        <x:f>IF(ISNUMBER(W2067),W2067,10000+AM2067)</x:f>
        <x:v>64</x:v>
      </x:c>
    </x:row>
    <x:row r="2068" ht="22" customHeight="1">
      <x:c r="A2068" s="1" t="str">
        <x:f>IF(A19="","",A19)</x:f>
        <x:v>1370</x:v>
      </x:c>
      <x:c r="B2068" s="1" t="str">
        <x:f>IF(A2068="","",B19)</x:f>
        <x:v>S. Weir Mitchell School</x:v>
      </x:c>
      <x:c r="C2068" s="1" t="str">
        <x:f>IF(A2068="","",C19)</x:f>
        <x:v>District</x:v>
      </x:c>
      <x:c r="D2068" s="1" t="str">
        <x:f>IF(A2068="","",E19)</x:f>
        <x:v>Elementary-Middle</x:v>
      </x:c>
      <x:c r="E2068" s="1" t="str">
        <x:f>IF(A2068="","",H19)</x:f>
        <x:v>19143</x:v>
      </x:c>
      <x:c r="F2068" s="1" t="n">
        <x:f>IF(ISNUMBER(K19),K19,"")</x:f>
        <x:v>271</x:v>
      </x:c>
      <x:c r="G2068" s="1" t="n">
        <x:f>IF(ISNUMBER(L19),L19,"")</x:f>
        <x:v>0.8726</x:v>
      </x:c>
      <x:c r="H2068" s="1" t="str">
        <x:f>IF(A2068="","",IF(AND(UPPER(G19)="PHILADELPHIA",OR(C2068="District",AND(C2068="Charter",D19="Yes"))),"Yes","No"))</x:f>
        <x:v>Yes</x:v>
      </x:c>
      <x:c r="I2068" s="1" t="n">
        <x:f>IF(OR(A2068="",COUNTIFS('Staff Review'!$A$8:$A$507,A2068)&lt;&gt;1),0,MATCH(A2068,'Staff Review'!$A$8:$A$507,0))</x:f>
        <x:v>259</x:v>
      </x:c>
      <x:c r="J2068" s="1" t="str">
        <x:f>IF(I2068=0,"No",IF(INDEX('Staff Review'!$C$8:$C$507,I2068)="Yes","Yes","No"))</x:f>
        <x:v>No</x:v>
      </x:c>
      <x:c r="K2068" s="1" t="n">
        <x:f>IF(AI2068="Yes",INDEX('Staff Review'!$D$8:$D$507,I2068),IF(AB2068=0,"",IF(COUNT(INDEX($C$1531:$C$2030,AB2068))=1,INDEX($C$1531:$C$2030,AB2068),"")))</x:f>
        <x:v>0.33494930534260714</x:v>
      </x:c>
      <x:c r="L2068" s="1" t="n">
        <x:f>IF(AJ2068="Yes",INDEX('Staff Review'!$F$8:$F$507,I2068),IF(AB2068=0,"",IF(COUNT(INDEX($G$1531:$G$2030,AB2068))=1,INDEX($G$1531:$G$2030,AB2068),"")))</x:f>
        <x:v>9</x:v>
      </x:c>
      <x:c r="M2068" s="1" t="str">
        <x:f>IF(A2068="","",IF(AI2068="Yes","Verified","Listed"))</x:f>
        <x:v>Listed</x:v>
      </x:c>
      <x:c r="N2068" s="1" t="str">
        <x:f>IF(A2068="","",IF(AJ2068="Yes","Verified","Listed"))</x:f>
        <x:v>Listed</x:v>
      </x:c>
      <x:c r="O2068" s="1" t="n">
        <x:f>IF(AND(ISNUMBER(G2068),G2068&gt;=0,G2068&lt;=1),IF(G2068&gt;=0.9,30,IF(G2068&gt;=0.8,25,IF(G2068&gt;=0.7,20,IF(G2068&gt;=0.6,15,IF(G2068&gt;=0.5,10,IF(G2068&gt;=0.4,5,0)))))),"")</x:f>
        <x:v>25</x:v>
      </x:c>
      <x:c r="P2068" s="1" t="n">
        <x:f>IF(ISNUMBER(K2068),IF(K2068&lt;0,"",IF(K2068&gt;1,25,IF(K2068&gt;=0.75,20,IF(K2068&gt;=0.5,15,IF(K2068&gt;=0.25,10,5))))),"")</x:f>
        <x:v>10</x:v>
      </x:c>
      <x:c r="Q2068" s="1" t="n">
        <x:f>IF(NOT(ISNUMBER(L2068)),"",IF(AND(L2068&gt;=0,MOD(L2068,1)=0),MAX(0,25-5*L2068),""))</x:f>
        <x:v>0</x:v>
      </x:c>
      <x:c r="R2068" s="1" t="n">
        <x:f>IF(NOT(ISNUMBER(F2068)),"",IF(AND(F2068&gt;0,MOD(F2068,1)=0),IF(F2068&gt;=700,5,IF(F2068&gt;=500,4,IF(F2068&gt;=350,3,IF(F2068&gt;=200,2,1)))),""))</x:f>
        <x:v>2</x:v>
      </x:c>
      <x:c r="S2068" s="1" t="n">
        <x:f>IF(COUNT(O2068:R2068)=4,SUM(O2068:R2068),"")</x:f>
        <x:v>37</x:v>
      </x:c>
      <x:c r="T2068" s="1" t="n">
        <x:f>IF(OR(COUNT(O2068:R2068)&lt;&gt;4,COUNT('Top 15'!$B$35:$E$35)&lt;&gt;4,MIN('Top 15'!$B$35:$E$35)&lt;0,SUM('Top 15'!$B$35:$E$35)&lt;=0),"",ROUND(85*(O2068/30*'Top 15'!$B$35+P2068/25*'Top 15'!$C$35+Q2068/25*'Top 15'!$D$35+R2068/5*'Top 15'!$E$35)/SUM('Top 15'!$B$35:$E$35),6))</x:f>
        <x:v>37</x:v>
      </x:c>
      <x:c r="U2068" s="1" t="str">
        <x:f>IF(A2068="","",IF(AND(M2068="Verified",N2068="Verified"),"Verified",IF(AND(M2068="Listed",N2068="Listed"),"Listed","Mixed")))</x:f>
        <x:v>Listed</x:v>
      </x:c>
      <x:c r="V2068" s="1" t="str">
        <x:f>IF(A2068="","",IF(AK2068&lt;&gt;1,"Duplicate source ID",IF(COUNTIFS('Staff Review'!$A$8:$A$507,A2068)&gt;1,"Duplicate review ID",IF(H2068&lt;&gt;"Yes","Outside scope",IF(J2068="Yes","Already served",IF(NOT(ISNUMBER(T2068)),"Missing data","Candidate"))))))</x:f>
        <x:v>Candidate</x:v>
      </x:c>
      <x:c r="W2068" s="1" t="n">
        <x:f>IF(AL2068=0,"",1+COUNTIFS($AL$2051:$AL$2550,1,$T$2051:$T$2550,"&gt;"&amp;T2068)+COUNTIFS($AL$2051:$AL$2550,1,$T$2051:$T$2550,T2068,$G$2051:$G$2550,"&gt;"&amp;G2068)+COUNTIFS($AL$2051:$AL$2550,1,$T$2051:$T$2550,T2068,$G$2051:$G$2550,G2068,$F$2051:$F$2550,"&gt;"&amp;F2068)+COUNTIFS($AL$2051:$AL$2550,1,$T$2051:$T$2550,T2068,$G$2051:$G$2550,G2068,$F$2051:$F$2550,F2068,$AM$2051:$AM$2550,"&lt;"&amp;AM2068))</x:f>
        <x:v>192</x:v>
      </x:c>
      <x:c r="X2068" s="1" t="n">
        <x:f>IF(AL2068=0,"",1+COUNTIFS($AL$2051:$AL$2550,1,$T$2051:$T$2550,"&gt;"&amp;T2068))</x:f>
        <x:v>182</x:v>
      </x:c>
      <x:c r="Y2068" s="1" t="n">
        <x:f>IF(AND(H2068="Yes",OR(LEN('School Search'!$B$5)=0,ISNUMBER(SEARCH('School Search'!$B$5,B2068&amp;" "&amp;E2068&amp;" "&amp;A2068))),OR('School Search'!$D$5="All",C2068='School Search'!$D$5),OR('School Search'!$G$5="All eligible",AND('School Search'!$G$5="Not marked served",J2068&lt;&gt;"Yes"),AND('School Search'!$G$5="Missing data",V2068="Missing data"),AND('School Search'!$G$5="Marked served",J2068="Yes"))),1,0)</x:f>
        <x:v>1</x:v>
      </x:c>
      <x:c r="Z2068" s="1" t="n">
        <x:f>IF(Y2068=0,"",COUNTIFS($Y$2051:$Y$2550,1,$AO$2051:$AO$2550,"&lt;"&amp;AO2068)+COUNTIFS($Y$2051:Y2068,1,$AO$2051:AO2068,AO2068))</x:f>
        <x:v>192</x:v>
      </x:c>
      <x:c r="AA2068" s="1" t="str">
        <x:f>IF(NOT(ISNUMBER(S2068)),"Missing demographic or access input",TEXT(G2068,"0%")&amp;" economic need; "&amp;TEXT(K2068,"0.00")&amp;" mi fresh access; "&amp;L2068&amp;" nearby resources")</x:f>
        <x:v>87% economic need; 0.33 mi fresh access; 9 nearby resources</x:v>
      </x:c>
      <x:c r="AB2068" s="1" t="n">
        <x:f>IF(OR(A2068="",COUNTIFS($A$1531:$A$2030,A2068)&lt;&gt;1),0,MATCH(A2068,$A$1531:$A$2030,0))</x:f>
        <x:v>18</x:v>
      </x:c>
      <x:c r="AC2068" s="1" t="str">
        <x:f>IF(AB2068=0,"",INDEX($E$1531:$E$2030,AB2068))</x:f>
        <x:v>SAVE-A-LOT 60135</x:v>
      </x:c>
      <x:c r="AD2068" s="1" t="str">
        <x:f>IF(AB2068=0,"",INDEX($F$1531:$F$2030,AB2068))</x:f>
        <x:v>5800 Woodland Ave, Philadelphia, PA, 19143</x:v>
      </x:c>
      <x:c r="AE2068" s="1" t="str">
        <x:f>IF(A2068="","",F19)</x:f>
        <x:v>5500 KINGSESSING AVE</x:v>
      </x:c>
      <x:c r="AF2068" s="1" t="n">
        <x:f>IF(ISNUMBER(I19),I19,"")</x:f>
        <x:v>39.93681427</x:v>
      </x:c>
      <x:c r="AG2068" s="1" t="n">
        <x:f>IF(ISNUMBER(J19),J19,"")</x:f>
        <x:v>-75.223291</x:v>
      </x:c>
      <x:c r="AH2068" s="1" t="str">
        <x:f>IF(I2068=0,"Not contacted",IF(INDEX('Staff Review'!$J$8:$J$507,I2068)="","Not contacted",INDEX('Staff Review'!$J$8:$J$507,I2068)))</x:f>
        <x:v>Not contacted</x:v>
      </x:c>
      <x:c r="AI2068" s="1" t="str">
        <x:f>IF(I2068=0,"No",IF(AND(COUNT(INDEX('Staff Review'!$D$8:$D$507,I2068))=1,INDEX('Staff Review'!$D$8:$D$507,I2068)&gt;=0,COUNT(INDEX('Staff Review'!$E$8:$E$507,I2068))=1,INDEX('Staff Review'!$E$8:$E$507,I2068)&gt;0,INDEX('Staff Review'!$E$8:$E$507,I2068)&lt;='Top 15'!$E$5,'Top 15'!$E$5-INDEX('Staff Review'!$E$8:$E$507,I2068)&lt;='Top 15'!$H$5,LEN(INDEX('Staff Review'!$H$8:$H$507,I2068))&gt;0),"Yes","No"))</x:f>
        <x:v>No</x:v>
      </x:c>
      <x:c r="AJ2068" s="1" t="str">
        <x:f>IF(I2068=0,"No",IF(COUNT(INDEX('Staff Review'!$F$8:$F$507,I2068))&lt;&gt;1,"No",IF(AND(INDEX('Staff Review'!$F$8:$F$507,I2068)&gt;=0,MOD(INDEX('Staff Review'!$F$8:$F$507,I2068),1)=0,COUNT(INDEX('Staff Review'!$G$8:$G$507,I2068))=1,INDEX('Staff Review'!$G$8:$G$507,I2068)&gt;0,INDEX('Staff Review'!$G$8:$G$507,I2068)&lt;='Top 15'!$E$5,'Top 15'!$E$5-INDEX('Staff Review'!$G$8:$G$507,I2068)&lt;='Top 15'!$H$5,LEN(INDEX('Staff Review'!$H$8:$H$507,I2068))&gt;0),"Yes","No")))</x:f>
        <x:v>No</x:v>
      </x:c>
      <x:c r="AK2068" s="1" t="n">
        <x:f>IF(A2068="",0,COUNTIFS($A$2:$A$501,A2068))</x:f>
        <x:v>1</x:v>
      </x:c>
      <x:c r="AL2068" s="1" t="n">
        <x:f>IF(V2068="Candidate",1,0)</x:f>
        <x:v>1</x:v>
      </x:c>
      <x:c r="AM2068" s="1" t="n">
        <x:f>IF(A2068="",0,VALUE(A2068))</x:f>
        <x:v>1370</x:v>
      </x:c>
      <x:c r="AN2068" s="1" t="n">
        <x:f>IF(OR(A2068="",COUNTIFS($T$41:$T$540,A2068)&lt;&gt;1),0,MATCH(A2068,$T$41:$T$540,0))</x:f>
        <x:v>18</x:v>
      </x:c>
      <x:c r="AO2068" t="n">
        <x:f>IF(ISNUMBER(W2068),W2068,10000+AM2068)</x:f>
        <x:v>192</x:v>
      </x:c>
    </x:row>
    <x:row r="2069" ht="22" customHeight="1">
      <x:c r="A2069" s="1" t="str">
        <x:f>IF(A20="","",A20)</x:f>
        <x:v>1380</x:v>
      </x:c>
      <x:c r="B2069" s="1" t="str">
        <x:f>IF(A2069="","",B20)</x:f>
        <x:v>Thomas G. Morton School</x:v>
      </x:c>
      <x:c r="C2069" s="1" t="str">
        <x:f>IF(A2069="","",C20)</x:f>
        <x:v>District</x:v>
      </x:c>
      <x:c r="D2069" s="1" t="str">
        <x:f>IF(A2069="","",E20)</x:f>
        <x:v>Elementary</x:v>
      </x:c>
      <x:c r="E2069" s="1" t="str">
        <x:f>IF(A2069="","",H20)</x:f>
        <x:v>19142</x:v>
      </x:c>
      <x:c r="F2069" s="1" t="n">
        <x:f>IF(ISNUMBER(K20),K20,"")</x:f>
        <x:v>363</x:v>
      </x:c>
      <x:c r="G2069" s="1" t="n">
        <x:f>IF(ISNUMBER(L20),L20,"")</x:f>
        <x:v>0.8457</x:v>
      </x:c>
      <x:c r="H2069" s="1" t="str">
        <x:f>IF(A2069="","",IF(AND(UPPER(G20)="PHILADELPHIA",OR(C2069="District",AND(C2069="Charter",D20="Yes"))),"Yes","No"))</x:f>
        <x:v>Yes</x:v>
      </x:c>
      <x:c r="I2069" s="1" t="n">
        <x:f>IF(OR(A2069="",COUNTIFS('Staff Review'!$A$8:$A$507,A2069)&lt;&gt;1),0,MATCH(A2069,'Staff Review'!$A$8:$A$507,0))</x:f>
        <x:v>293</x:v>
      </x:c>
      <x:c r="J2069" s="1" t="str">
        <x:f>IF(I2069=0,"No",IF(INDEX('Staff Review'!$C$8:$C$507,I2069)="Yes","Yes","No"))</x:f>
        <x:v>No</x:v>
      </x:c>
      <x:c r="K2069" s="1" t="n">
        <x:f>IF(AI2069="Yes",INDEX('Staff Review'!$D$8:$D$507,I2069),IF(AB2069=0,"",IF(COUNT(INDEX($C$1531:$C$2030,AB2069))=1,INDEX($C$1531:$C$2030,AB2069),"")))</x:f>
        <x:v>0.4130231541918818</x:v>
      </x:c>
      <x:c r="L2069" s="1" t="n">
        <x:f>IF(AJ2069="Yes",INDEX('Staff Review'!$F$8:$F$507,I2069),IF(AB2069=0,"",IF(COUNT(INDEX($G$1531:$G$2030,AB2069))=1,INDEX($G$1531:$G$2030,AB2069),"")))</x:f>
        <x:v>5</x:v>
      </x:c>
      <x:c r="M2069" s="1" t="str">
        <x:f>IF(A2069="","",IF(AI2069="Yes","Verified","Listed"))</x:f>
        <x:v>Listed</x:v>
      </x:c>
      <x:c r="N2069" s="1" t="str">
        <x:f>IF(A2069="","",IF(AJ2069="Yes","Verified","Listed"))</x:f>
        <x:v>Listed</x:v>
      </x:c>
      <x:c r="O2069" s="1" t="n">
        <x:f>IF(AND(ISNUMBER(G2069),G2069&gt;=0,G2069&lt;=1),IF(G2069&gt;=0.9,30,IF(G2069&gt;=0.8,25,IF(G2069&gt;=0.7,20,IF(G2069&gt;=0.6,15,IF(G2069&gt;=0.5,10,IF(G2069&gt;=0.4,5,0)))))),"")</x:f>
        <x:v>25</x:v>
      </x:c>
      <x:c r="P2069" s="1" t="n">
        <x:f>IF(ISNUMBER(K2069),IF(K2069&lt;0,"",IF(K2069&gt;1,25,IF(K2069&gt;=0.75,20,IF(K2069&gt;=0.5,15,IF(K2069&gt;=0.25,10,5))))),"")</x:f>
        <x:v>10</x:v>
      </x:c>
      <x:c r="Q2069" s="1" t="n">
        <x:f>IF(NOT(ISNUMBER(L2069)),"",IF(AND(L2069&gt;=0,MOD(L2069,1)=0),MAX(0,25-5*L2069),""))</x:f>
        <x:v>0</x:v>
      </x:c>
      <x:c r="R2069" s="1" t="n">
        <x:f>IF(NOT(ISNUMBER(F2069)),"",IF(AND(F2069&gt;0,MOD(F2069,1)=0),IF(F2069&gt;=700,5,IF(F2069&gt;=500,4,IF(F2069&gt;=350,3,IF(F2069&gt;=200,2,1)))),""))</x:f>
        <x:v>3</x:v>
      </x:c>
      <x:c r="S2069" s="1" t="n">
        <x:f>IF(COUNT(O2069:R2069)=4,SUM(O2069:R2069),"")</x:f>
        <x:v>38</x:v>
      </x:c>
      <x:c r="T2069" s="1" t="n">
        <x:f>IF(OR(COUNT(O2069:R2069)&lt;&gt;4,COUNT('Top 15'!$B$35:$E$35)&lt;&gt;4,MIN('Top 15'!$B$35:$E$35)&lt;0,SUM('Top 15'!$B$35:$E$35)&lt;=0),"",ROUND(85*(O2069/30*'Top 15'!$B$35+P2069/25*'Top 15'!$C$35+Q2069/25*'Top 15'!$D$35+R2069/5*'Top 15'!$E$35)/SUM('Top 15'!$B$35:$E$35),6))</x:f>
        <x:v>38</x:v>
      </x:c>
      <x:c r="U2069" s="1" t="str">
        <x:f>IF(A2069="","",IF(AND(M2069="Verified",N2069="Verified"),"Verified",IF(AND(M2069="Listed",N2069="Listed"),"Listed","Mixed")))</x:f>
        <x:v>Listed</x:v>
      </x:c>
      <x:c r="V2069" s="1" t="str">
        <x:f>IF(A2069="","",IF(AK2069&lt;&gt;1,"Duplicate source ID",IF(COUNTIFS('Staff Review'!$A$8:$A$507,A2069)&gt;1,"Duplicate review ID",IF(H2069&lt;&gt;"Yes","Outside scope",IF(J2069="Yes","Already served",IF(NOT(ISNUMBER(T2069)),"Missing data","Candidate"))))))</x:f>
        <x:v>Candidate</x:v>
      </x:c>
      <x:c r="W2069" s="1" t="n">
        <x:f>IF(AL2069=0,"",1+COUNTIFS($AL$2051:$AL$2550,1,$T$2051:$T$2550,"&gt;"&amp;T2069)+COUNTIFS($AL$2051:$AL$2550,1,$T$2051:$T$2550,T2069,$G$2051:$G$2550,"&gt;"&amp;G2069)+COUNTIFS($AL$2051:$AL$2550,1,$T$2051:$T$2550,T2069,$G$2051:$G$2550,G2069,$F$2051:$F$2550,"&gt;"&amp;F2069)+COUNTIFS($AL$2051:$AL$2550,1,$T$2051:$T$2550,T2069,$G$2051:$G$2550,G2069,$F$2051:$F$2550,F2069,$AM$2051:$AM$2550,"&lt;"&amp;AM2069))</x:f>
        <x:v>175</x:v>
      </x:c>
      <x:c r="X2069" s="1" t="n">
        <x:f>IF(AL2069=0,"",1+COUNTIFS($AL$2051:$AL$2550,1,$T$2051:$T$2550,"&gt;"&amp;T2069))</x:f>
        <x:v>166</x:v>
      </x:c>
      <x:c r="Y2069" s="1" t="n">
        <x:f>IF(AND(H2069="Yes",OR(LEN('School Search'!$B$5)=0,ISNUMBER(SEARCH('School Search'!$B$5,B2069&amp;" "&amp;E2069&amp;" "&amp;A2069))),OR('School Search'!$D$5="All",C2069='School Search'!$D$5),OR('School Search'!$G$5="All eligible",AND('School Search'!$G$5="Not marked served",J2069&lt;&gt;"Yes"),AND('School Search'!$G$5="Missing data",V2069="Missing data"),AND('School Search'!$G$5="Marked served",J2069="Yes"))),1,0)</x:f>
        <x:v>1</x:v>
      </x:c>
      <x:c r="Z2069" s="1" t="n">
        <x:f>IF(Y2069=0,"",COUNTIFS($Y$2051:$Y$2550,1,$AO$2051:$AO$2550,"&lt;"&amp;AO2069)+COUNTIFS($Y$2051:Y2069,1,$AO$2051:AO2069,AO2069))</x:f>
        <x:v>175</x:v>
      </x:c>
      <x:c r="AA2069" s="1" t="str">
        <x:f>IF(NOT(ISNUMBER(S2069)),"Missing demographic or access input",TEXT(G2069,"0%")&amp;" economic need; "&amp;TEXT(K2069,"0.00")&amp;" mi fresh access; "&amp;L2069&amp;" nearby resources")</x:f>
        <x:v>85% economic need; 0.41 mi fresh access; 5 nearby resources</x:v>
      </x:c>
      <x:c r="AB2069" s="1" t="n">
        <x:f>IF(OR(A2069="",COUNTIFS($A$1531:$A$2030,A2069)&lt;&gt;1),0,MATCH(A2069,$A$1531:$A$2030,0))</x:f>
        <x:v>19</x:v>
      </x:c>
      <x:c r="AC2069" s="1" t="str">
        <x:f>IF(AB2069=0,"",INDEX($E$1531:$E$2030,AB2069))</x:f>
        <x:v>Cousin's Fresh Market Inc</x:v>
      </x:c>
      <x:c r="AD2069" s="1" t="str">
        <x:f>IF(AB2069=0,"",INDEX($F$1531:$F$2030,AB2069))</x:f>
        <x:v>6411 Woodland Ave, Philadelphia, PA, 19142</x:v>
      </x:c>
      <x:c r="AE2069" s="1" t="str">
        <x:f>IF(A2069="","",F20)</x:f>
        <x:v>2501 S 63RD ST</x:v>
      </x:c>
      <x:c r="AF2069" s="1" t="n">
        <x:f>IF(ISNUMBER(I20),I20,"")</x:f>
        <x:v>39.92346826</x:v>
      </x:c>
      <x:c r="AG2069" s="1" t="n">
        <x:f>IF(ISNUMBER(J20),J20,"")</x:f>
        <x:v>-75.22690015</x:v>
      </x:c>
      <x:c r="AH2069" s="1" t="str">
        <x:f>IF(I2069=0,"Not contacted",IF(INDEX('Staff Review'!$J$8:$J$507,I2069)="","Not contacted",INDEX('Staff Review'!$J$8:$J$507,I2069)))</x:f>
        <x:v>Not contacted</x:v>
      </x:c>
      <x:c r="AI2069" s="1" t="str">
        <x:f>IF(I2069=0,"No",IF(AND(COUNT(INDEX('Staff Review'!$D$8:$D$507,I2069))=1,INDEX('Staff Review'!$D$8:$D$507,I2069)&gt;=0,COUNT(INDEX('Staff Review'!$E$8:$E$507,I2069))=1,INDEX('Staff Review'!$E$8:$E$507,I2069)&gt;0,INDEX('Staff Review'!$E$8:$E$507,I2069)&lt;='Top 15'!$E$5,'Top 15'!$E$5-INDEX('Staff Review'!$E$8:$E$507,I2069)&lt;='Top 15'!$H$5,LEN(INDEX('Staff Review'!$H$8:$H$507,I2069))&gt;0),"Yes","No"))</x:f>
        <x:v>No</x:v>
      </x:c>
      <x:c r="AJ2069" s="1" t="str">
        <x:f>IF(I2069=0,"No",IF(COUNT(INDEX('Staff Review'!$F$8:$F$507,I2069))&lt;&gt;1,"No",IF(AND(INDEX('Staff Review'!$F$8:$F$507,I2069)&gt;=0,MOD(INDEX('Staff Review'!$F$8:$F$507,I2069),1)=0,COUNT(INDEX('Staff Review'!$G$8:$G$507,I2069))=1,INDEX('Staff Review'!$G$8:$G$507,I2069)&gt;0,INDEX('Staff Review'!$G$8:$G$507,I2069)&lt;='Top 15'!$E$5,'Top 15'!$E$5-INDEX('Staff Review'!$G$8:$G$507,I2069)&lt;='Top 15'!$H$5,LEN(INDEX('Staff Review'!$H$8:$H$507,I2069))&gt;0),"Yes","No")))</x:f>
        <x:v>No</x:v>
      </x:c>
      <x:c r="AK2069" s="1" t="n">
        <x:f>IF(A2069="",0,COUNTIFS($A$2:$A$501,A2069))</x:f>
        <x:v>1</x:v>
      </x:c>
      <x:c r="AL2069" s="1" t="n">
        <x:f>IF(V2069="Candidate",1,0)</x:f>
        <x:v>1</x:v>
      </x:c>
      <x:c r="AM2069" s="1" t="n">
        <x:f>IF(A2069="",0,VALUE(A2069))</x:f>
        <x:v>1380</x:v>
      </x:c>
      <x:c r="AN2069" s="1" t="n">
        <x:f>IF(OR(A2069="",COUNTIFS($T$41:$T$540,A2069)&lt;&gt;1),0,MATCH(A2069,$T$41:$T$540,0))</x:f>
        <x:v>19</x:v>
      </x:c>
      <x:c r="AO2069" t="n">
        <x:f>IF(ISNUMBER(W2069),W2069,10000+AM2069)</x:f>
        <x:v>175</x:v>
      </x:c>
    </x:row>
    <x:row r="2070" ht="22" customHeight="1">
      <x:c r="A2070" s="1" t="str">
        <x:f>IF(A21="","",A21)</x:f>
        <x:v>1390</x:v>
      </x:c>
      <x:c r="B2070" s="1" t="str">
        <x:f>IF(A2070="","",B21)</x:f>
        <x:v>Samuel Powel School</x:v>
      </x:c>
      <x:c r="C2070" s="1" t="str">
        <x:f>IF(A2070="","",C21)</x:f>
        <x:v>District</x:v>
      </x:c>
      <x:c r="D2070" s="1" t="str">
        <x:f>IF(A2070="","",E21)</x:f>
        <x:v>Elementary</x:v>
      </x:c>
      <x:c r="E2070" s="1" t="str">
        <x:f>IF(A2070="","",H21)</x:f>
        <x:v>19104</x:v>
      </x:c>
      <x:c r="F2070" s="1" t="n">
        <x:f>IF(ISNUMBER(K21),K21,"")</x:f>
        <x:v>342</x:v>
      </x:c>
      <x:c r="G2070" s="1" t="n">
        <x:f>IF(ISNUMBER(L21),L21,"")</x:f>
        <x:v>0.4736</x:v>
      </x:c>
      <x:c r="H2070" s="1" t="str">
        <x:f>IF(A2070="","",IF(AND(UPPER(G21)="PHILADELPHIA",OR(C2070="District",AND(C2070="Charter",D21="Yes"))),"Yes","No"))</x:f>
        <x:v>Yes</x:v>
      </x:c>
      <x:c r="I2070" s="1" t="n">
        <x:f>IF(OR(A2070="",COUNTIFS('Staff Review'!$A$8:$A$507,A2070)&lt;&gt;1),0,MATCH(A2070,'Staff Review'!$A$8:$A$507,0))</x:f>
        <x:v>264</x:v>
      </x:c>
      <x:c r="J2070" s="1" t="str">
        <x:f>IF(I2070=0,"No",IF(INDEX('Staff Review'!$C$8:$C$507,I2070)="Yes","Yes","No"))</x:f>
        <x:v>No</x:v>
      </x:c>
      <x:c r="K2070" s="1" t="n">
        <x:f>IF(AI2070="Yes",INDEX('Staff Review'!$D$8:$D$507,I2070),IF(AB2070=0,"",IF(COUNT(INDEX($C$1531:$C$2030,AB2070))=1,INDEX($C$1531:$C$2030,AB2070),"")))</x:f>
        <x:v>0.24657974806699834</x:v>
      </x:c>
      <x:c r="L2070" s="1" t="n">
        <x:f>IF(AJ2070="Yes",INDEX('Staff Review'!$F$8:$F$507,I2070),IF(AB2070=0,"",IF(COUNT(INDEX($G$1531:$G$2030,AB2070))=1,INDEX($G$1531:$G$2030,AB2070),"")))</x:f>
        <x:v>10</x:v>
      </x:c>
      <x:c r="M2070" s="1" t="str">
        <x:f>IF(A2070="","",IF(AI2070="Yes","Verified","Listed"))</x:f>
        <x:v>Listed</x:v>
      </x:c>
      <x:c r="N2070" s="1" t="str">
        <x:f>IF(A2070="","",IF(AJ2070="Yes","Verified","Listed"))</x:f>
        <x:v>Listed</x:v>
      </x:c>
      <x:c r="O2070" s="1" t="n">
        <x:f>IF(AND(ISNUMBER(G2070),G2070&gt;=0,G2070&lt;=1),IF(G2070&gt;=0.9,30,IF(G2070&gt;=0.8,25,IF(G2070&gt;=0.7,20,IF(G2070&gt;=0.6,15,IF(G2070&gt;=0.5,10,IF(G2070&gt;=0.4,5,0)))))),"")</x:f>
        <x:v>5</x:v>
      </x:c>
      <x:c r="P2070" s="1" t="n">
        <x:f>IF(ISNUMBER(K2070),IF(K2070&lt;0,"",IF(K2070&gt;1,25,IF(K2070&gt;=0.75,20,IF(K2070&gt;=0.5,15,IF(K2070&gt;=0.25,10,5))))),"")</x:f>
        <x:v>5</x:v>
      </x:c>
      <x:c r="Q2070" s="1" t="n">
        <x:f>IF(NOT(ISNUMBER(L2070)),"",IF(AND(L2070&gt;=0,MOD(L2070,1)=0),MAX(0,25-5*L2070),""))</x:f>
        <x:v>0</x:v>
      </x:c>
      <x:c r="R2070" s="1" t="n">
        <x:f>IF(NOT(ISNUMBER(F2070)),"",IF(AND(F2070&gt;0,MOD(F2070,1)=0),IF(F2070&gt;=700,5,IF(F2070&gt;=500,4,IF(F2070&gt;=350,3,IF(F2070&gt;=200,2,1)))),""))</x:f>
        <x:v>2</x:v>
      </x:c>
      <x:c r="S2070" s="1" t="n">
        <x:f>IF(COUNT(O2070:R2070)=4,SUM(O2070:R2070),"")</x:f>
        <x:v>12</x:v>
      </x:c>
      <x:c r="T2070" s="1" t="n">
        <x:f>IF(OR(COUNT(O2070:R2070)&lt;&gt;4,COUNT('Top 15'!$B$35:$E$35)&lt;&gt;4,MIN('Top 15'!$B$35:$E$35)&lt;0,SUM('Top 15'!$B$35:$E$35)&lt;=0),"",ROUND(85*(O2070/30*'Top 15'!$B$35+P2070/25*'Top 15'!$C$35+Q2070/25*'Top 15'!$D$35+R2070/5*'Top 15'!$E$35)/SUM('Top 15'!$B$35:$E$35),6))</x:f>
        <x:v>12</x:v>
      </x:c>
      <x:c r="U2070" s="1" t="str">
        <x:f>IF(A2070="","",IF(AND(M2070="Verified",N2070="Verified"),"Verified",IF(AND(M2070="Listed",N2070="Listed"),"Listed","Mixed")))</x:f>
        <x:v>Listed</x:v>
      </x:c>
      <x:c r="V2070" s="1" t="str">
        <x:f>IF(A2070="","",IF(AK2070&lt;&gt;1,"Duplicate source ID",IF(COUNTIFS('Staff Review'!$A$8:$A$507,A2070)&gt;1,"Duplicate review ID",IF(H2070&lt;&gt;"Yes","Outside scope",IF(J2070="Yes","Already served",IF(NOT(ISNUMBER(T2070)),"Missing data","Candidate"))))))</x:f>
        <x:v>Candidate</x:v>
      </x:c>
      <x:c r="W2070" s="1" t="n">
        <x:f>IF(AL2070=0,"",1+COUNTIFS($AL$2051:$AL$2550,1,$T$2051:$T$2550,"&gt;"&amp;T2070)+COUNTIFS($AL$2051:$AL$2550,1,$T$2051:$T$2550,T2070,$G$2051:$G$2550,"&gt;"&amp;G2070)+COUNTIFS($AL$2051:$AL$2550,1,$T$2051:$T$2550,T2070,$G$2051:$G$2550,G2070,$F$2051:$F$2550,"&gt;"&amp;F2070)+COUNTIFS($AL$2051:$AL$2550,1,$T$2051:$T$2550,T2070,$G$2051:$G$2550,G2070,$F$2051:$F$2550,F2070,$AM$2051:$AM$2550,"&lt;"&amp;AM2070))</x:f>
        <x:v>288</x:v>
      </x:c>
      <x:c r="X2070" s="1" t="n">
        <x:f>IF(AL2070=0,"",1+COUNTIFS($AL$2051:$AL$2550,1,$T$2051:$T$2550,"&gt;"&amp;T2070))</x:f>
        <x:v>288</x:v>
      </x:c>
      <x:c r="Y2070" s="1" t="n">
        <x:f>IF(AND(H2070="Yes",OR(LEN('School Search'!$B$5)=0,ISNUMBER(SEARCH('School Search'!$B$5,B2070&amp;" "&amp;E2070&amp;" "&amp;A2070))),OR('School Search'!$D$5="All",C2070='School Search'!$D$5),OR('School Search'!$G$5="All eligible",AND('School Search'!$G$5="Not marked served",J2070&lt;&gt;"Yes"),AND('School Search'!$G$5="Missing data",V2070="Missing data"),AND('School Search'!$G$5="Marked served",J2070="Yes"))),1,0)</x:f>
        <x:v>1</x:v>
      </x:c>
      <x:c r="Z2070" s="1" t="n">
        <x:f>IF(Y2070=0,"",COUNTIFS($Y$2051:$Y$2550,1,$AO$2051:$AO$2550,"&lt;"&amp;AO2070)+COUNTIFS($Y$2051:Y2070,1,$AO$2051:AO2070,AO2070))</x:f>
        <x:v>288</x:v>
      </x:c>
      <x:c r="AA2070" s="1" t="str">
        <x:f>IF(NOT(ISNUMBER(S2070)),"Missing demographic or access input",TEXT(G2070,"0%")&amp;" economic need; "&amp;TEXT(K2070,"0.00")&amp;" mi fresh access; "&amp;L2070&amp;" nearby resources")</x:f>
        <x:v>47% economic need; 0.25 mi fresh access; 10 nearby resources</x:v>
      </x:c>
      <x:c r="AB2070" s="1" t="n">
        <x:f>IF(OR(A2070="",COUNTIFS($A$1531:$A$2030,A2070)&lt;&gt;1),0,MATCH(A2070,$A$1531:$A$2030,0))</x:f>
        <x:v>20</x:v>
      </x:c>
      <x:c r="AC2070" s="1" t="str">
        <x:f>IF(AB2070=0,"",INDEX($E$1531:$E$2030,AB2070))</x:f>
        <x:v>Giant Heirloom Market 6551</x:v>
      </x:c>
      <x:c r="AD2070" s="1" t="str">
        <x:f>IF(AB2070=0,"",INDEX($F$1531:$F$2030,AB2070))</x:f>
        <x:v>3401 Chestnut St, Philadelphia, PA, 19104</x:v>
      </x:c>
      <x:c r="AE2070" s="1" t="str">
        <x:f>IF(A2070="","",F21)</x:f>
        <x:v>3610 WARREN ST</x:v>
      </x:c>
      <x:c r="AF2070" s="1" t="n">
        <x:f>IF(ISNUMBER(I21),I21,"")</x:f>
        <x:v>39.9579628</x:v>
      </x:c>
      <x:c r="AG2070" s="1" t="n">
        <x:f>IF(ISNUMBER(J21),J21,"")</x:f>
        <x:v>-75.1939177</x:v>
      </x:c>
      <x:c r="AH2070" s="1" t="str">
        <x:f>IF(I2070=0,"Not contacted",IF(INDEX('Staff Review'!$J$8:$J$507,I2070)="","Not contacted",INDEX('Staff Review'!$J$8:$J$507,I2070)))</x:f>
        <x:v>Not contacted</x:v>
      </x:c>
      <x:c r="AI2070" s="1" t="str">
        <x:f>IF(I2070=0,"No",IF(AND(COUNT(INDEX('Staff Review'!$D$8:$D$507,I2070))=1,INDEX('Staff Review'!$D$8:$D$507,I2070)&gt;=0,COUNT(INDEX('Staff Review'!$E$8:$E$507,I2070))=1,INDEX('Staff Review'!$E$8:$E$507,I2070)&gt;0,INDEX('Staff Review'!$E$8:$E$507,I2070)&lt;='Top 15'!$E$5,'Top 15'!$E$5-INDEX('Staff Review'!$E$8:$E$507,I2070)&lt;='Top 15'!$H$5,LEN(INDEX('Staff Review'!$H$8:$H$507,I2070))&gt;0),"Yes","No"))</x:f>
        <x:v>No</x:v>
      </x:c>
      <x:c r="AJ2070" s="1" t="str">
        <x:f>IF(I2070=0,"No",IF(COUNT(INDEX('Staff Review'!$F$8:$F$507,I2070))&lt;&gt;1,"No",IF(AND(INDEX('Staff Review'!$F$8:$F$507,I2070)&gt;=0,MOD(INDEX('Staff Review'!$F$8:$F$507,I2070),1)=0,COUNT(INDEX('Staff Review'!$G$8:$G$507,I2070))=1,INDEX('Staff Review'!$G$8:$G$507,I2070)&gt;0,INDEX('Staff Review'!$G$8:$G$507,I2070)&lt;='Top 15'!$E$5,'Top 15'!$E$5-INDEX('Staff Review'!$G$8:$G$507,I2070)&lt;='Top 15'!$H$5,LEN(INDEX('Staff Review'!$H$8:$H$507,I2070))&gt;0),"Yes","No")))</x:f>
        <x:v>No</x:v>
      </x:c>
      <x:c r="AK2070" s="1" t="n">
        <x:f>IF(A2070="",0,COUNTIFS($A$2:$A$501,A2070))</x:f>
        <x:v>1</x:v>
      </x:c>
      <x:c r="AL2070" s="1" t="n">
        <x:f>IF(V2070="Candidate",1,0)</x:f>
        <x:v>1</x:v>
      </x:c>
      <x:c r="AM2070" s="1" t="n">
        <x:f>IF(A2070="",0,VALUE(A2070))</x:f>
        <x:v>1390</x:v>
      </x:c>
      <x:c r="AN2070" s="1" t="n">
        <x:f>IF(OR(A2070="",COUNTIFS($T$41:$T$540,A2070)&lt;&gt;1),0,MATCH(A2070,$T$41:$T$540,0))</x:f>
        <x:v>20</x:v>
      </x:c>
      <x:c r="AO2070" t="n">
        <x:f>IF(ISNUMBER(W2070),W2070,10000+AM2070)</x:f>
        <x:v>288</x:v>
      </x:c>
    </x:row>
    <x:row r="2071" ht="22" customHeight="1">
      <x:c r="A2071" s="1" t="str">
        <x:f>IF(A22="","",A22)</x:f>
        <x:v>1400</x:v>
      </x:c>
      <x:c r="B2071" s="1" t="str">
        <x:f>IF(A2071="","",B22)</x:f>
        <x:v>John M. Patterson School</x:v>
      </x:c>
      <x:c r="C2071" s="1" t="str">
        <x:f>IF(A2071="","",C22)</x:f>
        <x:v>District</x:v>
      </x:c>
      <x:c r="D2071" s="1" t="str">
        <x:f>IF(A2071="","",E22)</x:f>
        <x:v>Elementary</x:v>
      </x:c>
      <x:c r="E2071" s="1" t="str">
        <x:f>IF(A2071="","",H22)</x:f>
        <x:v>19142</x:v>
      </x:c>
      <x:c r="F2071" s="1" t="n">
        <x:f>IF(ISNUMBER(K22),K22,"")</x:f>
        <x:v>353</x:v>
      </x:c>
      <x:c r="G2071" s="1" t="n">
        <x:f>IF(ISNUMBER(L22),L22,"")</x:f>
        <x:v>0.8425</x:v>
      </x:c>
      <x:c r="H2071" s="1" t="str">
        <x:f>IF(A2071="","",IF(AND(UPPER(G22)="PHILADELPHIA",OR(C2071="District",AND(C2071="Charter",D22="Yes"))),"Yes","No"))</x:f>
        <x:v>Yes</x:v>
      </x:c>
      <x:c r="I2071" s="1" t="n">
        <x:f>IF(OR(A2071="",COUNTIFS('Staff Review'!$A$8:$A$507,A2071)&lt;&gt;1),0,MATCH(A2071,'Staff Review'!$A$8:$A$507,0))</x:f>
        <x:v>141</x:v>
      </x:c>
      <x:c r="J2071" s="1" t="str">
        <x:f>IF(I2071=0,"No",IF(INDEX('Staff Review'!$C$8:$C$507,I2071)="Yes","Yes","No"))</x:f>
        <x:v>No</x:v>
      </x:c>
      <x:c r="K2071" s="1" t="n">
        <x:f>IF(AI2071="Yes",INDEX('Staff Review'!$D$8:$D$507,I2071),IF(AB2071=0,"",IF(COUNT(INDEX($C$1531:$C$2030,AB2071))=1,INDEX($C$1531:$C$2030,AB2071),"")))</x:f>
        <x:v>0.7308741942799558</x:v>
      </x:c>
      <x:c r="L2071" s="1" t="n">
        <x:f>IF(AJ2071="Yes",INDEX('Staff Review'!$F$8:$F$507,I2071),IF(AB2071=0,"",IF(COUNT(INDEX($G$1531:$G$2030,AB2071))=1,INDEX($G$1531:$G$2030,AB2071),"")))</x:f>
        <x:v>3</x:v>
      </x:c>
      <x:c r="M2071" s="1" t="str">
        <x:f>IF(A2071="","",IF(AI2071="Yes","Verified","Listed"))</x:f>
        <x:v>Listed</x:v>
      </x:c>
      <x:c r="N2071" s="1" t="str">
        <x:f>IF(A2071="","",IF(AJ2071="Yes","Verified","Listed"))</x:f>
        <x:v>Listed</x:v>
      </x:c>
      <x:c r="O2071" s="1" t="n">
        <x:f>IF(AND(ISNUMBER(G2071),G2071&gt;=0,G2071&lt;=1),IF(G2071&gt;=0.9,30,IF(G2071&gt;=0.8,25,IF(G2071&gt;=0.7,20,IF(G2071&gt;=0.6,15,IF(G2071&gt;=0.5,10,IF(G2071&gt;=0.4,5,0)))))),"")</x:f>
        <x:v>25</x:v>
      </x:c>
      <x:c r="P2071" s="1" t="n">
        <x:f>IF(ISNUMBER(K2071),IF(K2071&lt;0,"",IF(K2071&gt;1,25,IF(K2071&gt;=0.75,20,IF(K2071&gt;=0.5,15,IF(K2071&gt;=0.25,10,5))))),"")</x:f>
        <x:v>15</x:v>
      </x:c>
      <x:c r="Q2071" s="1" t="n">
        <x:f>IF(NOT(ISNUMBER(L2071)),"",IF(AND(L2071&gt;=0,MOD(L2071,1)=0),MAX(0,25-5*L2071),""))</x:f>
        <x:v>10</x:v>
      </x:c>
      <x:c r="R2071" s="1" t="n">
        <x:f>IF(NOT(ISNUMBER(F2071)),"",IF(AND(F2071&gt;0,MOD(F2071,1)=0),IF(F2071&gt;=700,5,IF(F2071&gt;=500,4,IF(F2071&gt;=350,3,IF(F2071&gt;=200,2,1)))),""))</x:f>
        <x:v>3</x:v>
      </x:c>
      <x:c r="S2071" s="1" t="n">
        <x:f>IF(COUNT(O2071:R2071)=4,SUM(O2071:R2071),"")</x:f>
        <x:v>53</x:v>
      </x:c>
      <x:c r="T2071" s="1" t="n">
        <x:f>IF(OR(COUNT(O2071:R2071)&lt;&gt;4,COUNT('Top 15'!$B$35:$E$35)&lt;&gt;4,MIN('Top 15'!$B$35:$E$35)&lt;0,SUM('Top 15'!$B$35:$E$35)&lt;=0),"",ROUND(85*(O2071/30*'Top 15'!$B$35+P2071/25*'Top 15'!$C$35+Q2071/25*'Top 15'!$D$35+R2071/5*'Top 15'!$E$35)/SUM('Top 15'!$B$35:$E$35),6))</x:f>
        <x:v>53</x:v>
      </x:c>
      <x:c r="U2071" s="1" t="str">
        <x:f>IF(A2071="","",IF(AND(M2071="Verified",N2071="Verified"),"Verified",IF(AND(M2071="Listed",N2071="Listed"),"Listed","Mixed")))</x:f>
        <x:v>Listed</x:v>
      </x:c>
      <x:c r="V2071" s="1" t="str">
        <x:f>IF(A2071="","",IF(AK2071&lt;&gt;1,"Duplicate source ID",IF(COUNTIFS('Staff Review'!$A$8:$A$507,A2071)&gt;1,"Duplicate review ID",IF(H2071&lt;&gt;"Yes","Outside scope",IF(J2071="Yes","Already served",IF(NOT(ISNUMBER(T2071)),"Missing data","Candidate"))))))</x:f>
        <x:v>Candidate</x:v>
      </x:c>
      <x:c r="W2071" s="1" t="n">
        <x:f>IF(AL2071=0,"",1+COUNTIFS($AL$2051:$AL$2550,1,$T$2051:$T$2550,"&gt;"&amp;T2071)+COUNTIFS($AL$2051:$AL$2550,1,$T$2051:$T$2550,T2071,$G$2051:$G$2550,"&gt;"&amp;G2071)+COUNTIFS($AL$2051:$AL$2550,1,$T$2051:$T$2550,T2071,$G$2051:$G$2550,G2071,$F$2051:$F$2550,"&gt;"&amp;F2071)+COUNTIFS($AL$2051:$AL$2550,1,$T$2051:$T$2550,T2071,$G$2051:$G$2550,G2071,$F$2051:$F$2550,F2071,$AM$2051:$AM$2550,"&lt;"&amp;AM2071))</x:f>
        <x:v>35</x:v>
      </x:c>
      <x:c r="X2071" s="1" t="n">
        <x:f>IF(AL2071=0,"",1+COUNTIFS($AL$2051:$AL$2550,1,$T$2051:$T$2550,"&gt;"&amp;T2071))</x:f>
        <x:v>35</x:v>
      </x:c>
      <x:c r="Y2071" s="1" t="n">
        <x:f>IF(AND(H2071="Yes",OR(LEN('School Search'!$B$5)=0,ISNUMBER(SEARCH('School Search'!$B$5,B2071&amp;" "&amp;E2071&amp;" "&amp;A2071))),OR('School Search'!$D$5="All",C2071='School Search'!$D$5),OR('School Search'!$G$5="All eligible",AND('School Search'!$G$5="Not marked served",J2071&lt;&gt;"Yes"),AND('School Search'!$G$5="Missing data",V2071="Missing data"),AND('School Search'!$G$5="Marked served",J2071="Yes"))),1,0)</x:f>
        <x:v>1</x:v>
      </x:c>
      <x:c r="Z2071" s="1" t="n">
        <x:f>IF(Y2071=0,"",COUNTIFS($Y$2051:$Y$2550,1,$AO$2051:$AO$2550,"&lt;"&amp;AO2071)+COUNTIFS($Y$2051:Y2071,1,$AO$2051:AO2071,AO2071))</x:f>
        <x:v>35</x:v>
      </x:c>
      <x:c r="AA2071" s="1" t="str">
        <x:f>IF(NOT(ISNUMBER(S2071)),"Missing demographic or access input",TEXT(G2071,"0%")&amp;" economic need; "&amp;TEXT(K2071,"0.00")&amp;" mi fresh access; "&amp;L2071&amp;" nearby resources")</x:f>
        <x:v>84% economic need; 0.73 mi fresh access; 3 nearby resources</x:v>
      </x:c>
      <x:c r="AB2071" s="1" t="n">
        <x:f>IF(OR(A2071="",COUNTIFS($A$1531:$A$2030,A2071)&lt;&gt;1),0,MATCH(A2071,$A$1531:$A$2030,0))</x:f>
        <x:v>21</x:v>
      </x:c>
      <x:c r="AC2071" s="1" t="str">
        <x:f>IF(AB2071=0,"",INDEX($E$1531:$E$2030,AB2071))</x:f>
        <x:v>Cousin's Fresh Market Inc</x:v>
      </x:c>
      <x:c r="AD2071" s="1" t="str">
        <x:f>IF(AB2071=0,"",INDEX($F$1531:$F$2030,AB2071))</x:f>
        <x:v>6411 Woodland Ave, Philadelphia, PA, 19142</x:v>
      </x:c>
      <x:c r="AE2071" s="1" t="str">
        <x:f>IF(A2071="","",F22)</x:f>
        <x:v>7000 BUIST AVE</x:v>
      </x:c>
      <x:c r="AF2071" s="1" t="n">
        <x:f>IF(ISNUMBER(I22),I22,"")</x:f>
        <x:v>39.916095</x:v>
      </x:c>
      <x:c r="AG2071" s="1" t="n">
        <x:f>IF(ISNUMBER(J22),J22,"")</x:f>
        <x:v>-75.236762</x:v>
      </x:c>
      <x:c r="AH2071" s="1" t="str">
        <x:f>IF(I2071=0,"Not contacted",IF(INDEX('Staff Review'!$J$8:$J$507,I2071)="","Not contacted",INDEX('Staff Review'!$J$8:$J$507,I2071)))</x:f>
        <x:v>Not contacted</x:v>
      </x:c>
      <x:c r="AI2071" s="1" t="str">
        <x:f>IF(I2071=0,"No",IF(AND(COUNT(INDEX('Staff Review'!$D$8:$D$507,I2071))=1,INDEX('Staff Review'!$D$8:$D$507,I2071)&gt;=0,COUNT(INDEX('Staff Review'!$E$8:$E$507,I2071))=1,INDEX('Staff Review'!$E$8:$E$507,I2071)&gt;0,INDEX('Staff Review'!$E$8:$E$507,I2071)&lt;='Top 15'!$E$5,'Top 15'!$E$5-INDEX('Staff Review'!$E$8:$E$507,I2071)&lt;='Top 15'!$H$5,LEN(INDEX('Staff Review'!$H$8:$H$507,I2071))&gt;0),"Yes","No"))</x:f>
        <x:v>No</x:v>
      </x:c>
      <x:c r="AJ2071" s="1" t="str">
        <x:f>IF(I2071=0,"No",IF(COUNT(INDEX('Staff Review'!$F$8:$F$507,I2071))&lt;&gt;1,"No",IF(AND(INDEX('Staff Review'!$F$8:$F$507,I2071)&gt;=0,MOD(INDEX('Staff Review'!$F$8:$F$507,I2071),1)=0,COUNT(INDEX('Staff Review'!$G$8:$G$507,I2071))=1,INDEX('Staff Review'!$G$8:$G$507,I2071)&gt;0,INDEX('Staff Review'!$G$8:$G$507,I2071)&lt;='Top 15'!$E$5,'Top 15'!$E$5-INDEX('Staff Review'!$G$8:$G$507,I2071)&lt;='Top 15'!$H$5,LEN(INDEX('Staff Review'!$H$8:$H$507,I2071))&gt;0),"Yes","No")))</x:f>
        <x:v>No</x:v>
      </x:c>
      <x:c r="AK2071" s="1" t="n">
        <x:f>IF(A2071="",0,COUNTIFS($A$2:$A$501,A2071))</x:f>
        <x:v>1</x:v>
      </x:c>
      <x:c r="AL2071" s="1" t="n">
        <x:f>IF(V2071="Candidate",1,0)</x:f>
        <x:v>1</x:v>
      </x:c>
      <x:c r="AM2071" s="1" t="n">
        <x:f>IF(A2071="",0,VALUE(A2071))</x:f>
        <x:v>1400</x:v>
      </x:c>
      <x:c r="AN2071" s="1" t="n">
        <x:f>IF(OR(A2071="",COUNTIFS($T$41:$T$540,A2071)&lt;&gt;1),0,MATCH(A2071,$T$41:$T$540,0))</x:f>
        <x:v>21</x:v>
      </x:c>
      <x:c r="AO2071" t="n">
        <x:f>IF(ISNUMBER(W2071),W2071,10000+AM2071)</x:f>
        <x:v>35</x:v>
      </x:c>
    </x:row>
    <x:row r="2072" ht="22" customHeight="1">
      <x:c r="A2072" s="1" t="str">
        <x:f>IF(A23="","",A23)</x:f>
        <x:v>1410</x:v>
      </x:c>
      <x:c r="B2072" s="1" t="str">
        <x:f>IF(A2072="","",B23)</x:f>
        <x:v>James Rhoads School</x:v>
      </x:c>
      <x:c r="C2072" s="1" t="str">
        <x:f>IF(A2072="","",C23)</x:f>
        <x:v>District</x:v>
      </x:c>
      <x:c r="D2072" s="1" t="str">
        <x:f>IF(A2072="","",E23)</x:f>
        <x:v>Elementary-Middle</x:v>
      </x:c>
      <x:c r="E2072" s="1" t="str">
        <x:f>IF(A2072="","",H23)</x:f>
        <x:v>19139</x:v>
      </x:c>
      <x:c r="F2072" s="1" t="n">
        <x:f>IF(ISNUMBER(K23),K23,"")</x:f>
        <x:v>415</x:v>
      </x:c>
      <x:c r="G2072" s="1" t="n">
        <x:f>IF(ISNUMBER(L23),L23,"")</x:f>
        <x:v>0.927</x:v>
      </x:c>
      <x:c r="H2072" s="1" t="str">
        <x:f>IF(A2072="","",IF(AND(UPPER(G23)="PHILADELPHIA",OR(C2072="District",AND(C2072="Charter",D23="Yes"))),"Yes","No"))</x:f>
        <x:v>Yes</x:v>
      </x:c>
      <x:c r="I2072" s="1" t="n">
        <x:f>IF(OR(A2072="",COUNTIFS('Staff Review'!$A$8:$A$507,A2072)&lt;&gt;1),0,MATCH(A2072,'Staff Review'!$A$8:$A$507,0))</x:f>
        <x:v>131</x:v>
      </x:c>
      <x:c r="J2072" s="1" t="str">
        <x:f>IF(I2072=0,"No",IF(INDEX('Staff Review'!$C$8:$C$507,I2072)="Yes","Yes","No"))</x:f>
        <x:v>No</x:v>
      </x:c>
      <x:c r="K2072" s="1" t="n">
        <x:f>IF(AI2072="Yes",INDEX('Staff Review'!$D$8:$D$507,I2072),IF(AB2072=0,"",IF(COUNT(INDEX($C$1531:$C$2030,AB2072))=1,INDEX($C$1531:$C$2030,AB2072),"")))</x:f>
        <x:v>0.3555034706883109</x:v>
      </x:c>
      <x:c r="L2072" s="1" t="n">
        <x:f>IF(AJ2072="Yes",INDEX('Staff Review'!$F$8:$F$507,I2072),IF(AB2072=0,"",IF(COUNT(INDEX($G$1531:$G$2030,AB2072))=1,INDEX($G$1531:$G$2030,AB2072),"")))</x:f>
        <x:v>12</x:v>
      </x:c>
      <x:c r="M2072" s="1" t="str">
        <x:f>IF(A2072="","",IF(AI2072="Yes","Verified","Listed"))</x:f>
        <x:v>Listed</x:v>
      </x:c>
      <x:c r="N2072" s="1" t="str">
        <x:f>IF(A2072="","",IF(AJ2072="Yes","Verified","Listed"))</x:f>
        <x:v>Listed</x:v>
      </x:c>
      <x:c r="O2072" s="1" t="n">
        <x:f>IF(AND(ISNUMBER(G2072),G2072&gt;=0,G2072&lt;=1),IF(G2072&gt;=0.9,30,IF(G2072&gt;=0.8,25,IF(G2072&gt;=0.7,20,IF(G2072&gt;=0.6,15,IF(G2072&gt;=0.5,10,IF(G2072&gt;=0.4,5,0)))))),"")</x:f>
        <x:v>30</x:v>
      </x:c>
      <x:c r="P2072" s="1" t="n">
        <x:f>IF(ISNUMBER(K2072),IF(K2072&lt;0,"",IF(K2072&gt;1,25,IF(K2072&gt;=0.75,20,IF(K2072&gt;=0.5,15,IF(K2072&gt;=0.25,10,5))))),"")</x:f>
        <x:v>10</x:v>
      </x:c>
      <x:c r="Q2072" s="1" t="n">
        <x:f>IF(NOT(ISNUMBER(L2072)),"",IF(AND(L2072&gt;=0,MOD(L2072,1)=0),MAX(0,25-5*L2072),""))</x:f>
        <x:v>0</x:v>
      </x:c>
      <x:c r="R2072" s="1" t="n">
        <x:f>IF(NOT(ISNUMBER(F2072)),"",IF(AND(F2072&gt;0,MOD(F2072,1)=0),IF(F2072&gt;=700,5,IF(F2072&gt;=500,4,IF(F2072&gt;=350,3,IF(F2072&gt;=200,2,1)))),""))</x:f>
        <x:v>3</x:v>
      </x:c>
      <x:c r="S2072" s="1" t="n">
        <x:f>IF(COUNT(O2072:R2072)=4,SUM(O2072:R2072),"")</x:f>
        <x:v>43</x:v>
      </x:c>
      <x:c r="T2072" s="1" t="n">
        <x:f>IF(OR(COUNT(O2072:R2072)&lt;&gt;4,COUNT('Top 15'!$B$35:$E$35)&lt;&gt;4,MIN('Top 15'!$B$35:$E$35)&lt;0,SUM('Top 15'!$B$35:$E$35)&lt;=0),"",ROUND(85*(O2072/30*'Top 15'!$B$35+P2072/25*'Top 15'!$C$35+Q2072/25*'Top 15'!$D$35+R2072/5*'Top 15'!$E$35)/SUM('Top 15'!$B$35:$E$35),6))</x:f>
        <x:v>43</x:v>
      </x:c>
      <x:c r="U2072" s="1" t="str">
        <x:f>IF(A2072="","",IF(AND(M2072="Verified",N2072="Verified"),"Verified",IF(AND(M2072="Listed",N2072="Listed"),"Listed","Mixed")))</x:f>
        <x:v>Listed</x:v>
      </x:c>
      <x:c r="V2072" s="1" t="str">
        <x:f>IF(A2072="","",IF(AK2072&lt;&gt;1,"Duplicate source ID",IF(COUNTIFS('Staff Review'!$A$8:$A$507,A2072)&gt;1,"Duplicate review ID",IF(H2072&lt;&gt;"Yes","Outside scope",IF(J2072="Yes","Already served",IF(NOT(ISNUMBER(T2072)),"Missing data","Candidate"))))))</x:f>
        <x:v>Candidate</x:v>
      </x:c>
      <x:c r="W2072" s="1" t="n">
        <x:f>IF(AL2072=0,"",1+COUNTIFS($AL$2051:$AL$2550,1,$T$2051:$T$2550,"&gt;"&amp;T2072)+COUNTIFS($AL$2051:$AL$2550,1,$T$2051:$T$2550,T2072,$G$2051:$G$2550,"&gt;"&amp;G2072)+COUNTIFS($AL$2051:$AL$2550,1,$T$2051:$T$2550,T2072,$G$2051:$G$2550,G2072,$F$2051:$F$2550,"&gt;"&amp;F2072)+COUNTIFS($AL$2051:$AL$2550,1,$T$2051:$T$2550,T2072,$G$2051:$G$2550,G2072,$F$2051:$F$2550,F2072,$AM$2051:$AM$2550,"&lt;"&amp;AM2072))</x:f>
        <x:v>91</x:v>
      </x:c>
      <x:c r="X2072" s="1" t="n">
        <x:f>IF(AL2072=0,"",1+COUNTIFS($AL$2051:$AL$2550,1,$T$2051:$T$2550,"&gt;"&amp;T2072))</x:f>
        <x:v>90</x:v>
      </x:c>
      <x:c r="Y2072" s="1" t="n">
        <x:f>IF(AND(H2072="Yes",OR(LEN('School Search'!$B$5)=0,ISNUMBER(SEARCH('School Search'!$B$5,B2072&amp;" "&amp;E2072&amp;" "&amp;A2072))),OR('School Search'!$D$5="All",C2072='School Search'!$D$5),OR('School Search'!$G$5="All eligible",AND('School Search'!$G$5="Not marked served",J2072&lt;&gt;"Yes"),AND('School Search'!$G$5="Missing data",V2072="Missing data"),AND('School Search'!$G$5="Marked served",J2072="Yes"))),1,0)</x:f>
        <x:v>1</x:v>
      </x:c>
      <x:c r="Z2072" s="1" t="n">
        <x:f>IF(Y2072=0,"",COUNTIFS($Y$2051:$Y$2550,1,$AO$2051:$AO$2550,"&lt;"&amp;AO2072)+COUNTIFS($Y$2051:Y2072,1,$AO$2051:AO2072,AO2072))</x:f>
        <x:v>91</x:v>
      </x:c>
      <x:c r="AA2072" s="1" t="str">
        <x:f>IF(NOT(ISNUMBER(S2072)),"Missing demographic or access input",TEXT(G2072,"0%")&amp;" economic need; "&amp;TEXT(K2072,"0.00")&amp;" mi fresh access; "&amp;L2072&amp;" nearby resources")</x:f>
        <x:v>93% economic need; 0.36 mi fresh access; 12 nearby resources</x:v>
      </x:c>
      <x:c r="AB2072" s="1" t="n">
        <x:f>IF(OR(A2072="",COUNTIFS($A$1531:$A$2030,A2072)&lt;&gt;1),0,MATCH(A2072,$A$1531:$A$2030,0))</x:f>
        <x:v>22</x:v>
      </x:c>
      <x:c r="AC2072" s="1" t="str">
        <x:f>IF(AB2072=0,"",INDEX($E$1531:$E$2030,AB2072))</x:f>
        <x:v>Cousin's Fresh Market 2 Inc</x:v>
      </x:c>
      <x:c r="AD2072" s="1" t="str">
        <x:f>IF(AB2072=0,"",INDEX($F$1531:$F$2030,AB2072))</x:f>
        <x:v>5429 W Girard Ave, Philadelphia, PA, 19131</x:v>
      </x:c>
      <x:c r="AE2072" s="1" t="str">
        <x:f>IF(A2072="","",F23)</x:f>
        <x:v>4901 PARRISH ST</x:v>
      </x:c>
      <x:c r="AF2072" s="1" t="n">
        <x:f>IF(ISNUMBER(I23),I23,"")</x:f>
        <x:v>39.967339</x:v>
      </x:c>
      <x:c r="AG2072" s="1" t="n">
        <x:f>IF(ISNUMBER(J23),J23,"")</x:f>
        <x:v>-75.220063</x:v>
      </x:c>
      <x:c r="AH2072" s="1" t="str">
        <x:f>IF(I2072=0,"Not contacted",IF(INDEX('Staff Review'!$J$8:$J$507,I2072)="","Not contacted",INDEX('Staff Review'!$J$8:$J$507,I2072)))</x:f>
        <x:v>Not contacted</x:v>
      </x:c>
      <x:c r="AI2072" s="1" t="str">
        <x:f>IF(I2072=0,"No",IF(AND(COUNT(INDEX('Staff Review'!$D$8:$D$507,I2072))=1,INDEX('Staff Review'!$D$8:$D$507,I2072)&gt;=0,COUNT(INDEX('Staff Review'!$E$8:$E$507,I2072))=1,INDEX('Staff Review'!$E$8:$E$507,I2072)&gt;0,INDEX('Staff Review'!$E$8:$E$507,I2072)&lt;='Top 15'!$E$5,'Top 15'!$E$5-INDEX('Staff Review'!$E$8:$E$507,I2072)&lt;='Top 15'!$H$5,LEN(INDEX('Staff Review'!$H$8:$H$507,I2072))&gt;0),"Yes","No"))</x:f>
        <x:v>No</x:v>
      </x:c>
      <x:c r="AJ2072" s="1" t="str">
        <x:f>IF(I2072=0,"No",IF(COUNT(INDEX('Staff Review'!$F$8:$F$507,I2072))&lt;&gt;1,"No",IF(AND(INDEX('Staff Review'!$F$8:$F$507,I2072)&gt;=0,MOD(INDEX('Staff Review'!$F$8:$F$507,I2072),1)=0,COUNT(INDEX('Staff Review'!$G$8:$G$507,I2072))=1,INDEX('Staff Review'!$G$8:$G$507,I2072)&gt;0,INDEX('Staff Review'!$G$8:$G$507,I2072)&lt;='Top 15'!$E$5,'Top 15'!$E$5-INDEX('Staff Review'!$G$8:$G$507,I2072)&lt;='Top 15'!$H$5,LEN(INDEX('Staff Review'!$H$8:$H$507,I2072))&gt;0),"Yes","No")))</x:f>
        <x:v>No</x:v>
      </x:c>
      <x:c r="AK2072" s="1" t="n">
        <x:f>IF(A2072="",0,COUNTIFS($A$2:$A$501,A2072))</x:f>
        <x:v>1</x:v>
      </x:c>
      <x:c r="AL2072" s="1" t="n">
        <x:f>IF(V2072="Candidate",1,0)</x:f>
        <x:v>1</x:v>
      </x:c>
      <x:c r="AM2072" s="1" t="n">
        <x:f>IF(A2072="",0,VALUE(A2072))</x:f>
        <x:v>1410</x:v>
      </x:c>
      <x:c r="AN2072" s="1" t="n">
        <x:f>IF(OR(A2072="",COUNTIFS($T$41:$T$540,A2072)&lt;&gt;1),0,MATCH(A2072,$T$41:$T$540,0))</x:f>
        <x:v>22</x:v>
      </x:c>
      <x:c r="AO2072" t="n">
        <x:f>IF(ISNUMBER(W2072),W2072,10000+AM2072)</x:f>
        <x:v>91</x:v>
      </x:c>
    </x:row>
    <x:row r="2073" ht="22" customHeight="1">
      <x:c r="A2073" s="1" t="str">
        <x:f>IF(A24="","",A24)</x:f>
        <x:v>1420</x:v>
      </x:c>
      <x:c r="B2073" s="1" t="str">
        <x:f>IF(A2073="","",B24)</x:f>
        <x:v>Martha Washington School</x:v>
      </x:c>
      <x:c r="C2073" s="1" t="str">
        <x:f>IF(A2073="","",C24)</x:f>
        <x:v>District</x:v>
      </x:c>
      <x:c r="D2073" s="1" t="str">
        <x:f>IF(A2073="","",E24)</x:f>
        <x:v>Elementary-Middle</x:v>
      </x:c>
      <x:c r="E2073" s="1" t="str">
        <x:f>IF(A2073="","",H24)</x:f>
        <x:v>19104</x:v>
      </x:c>
      <x:c r="F2073" s="1" t="n">
        <x:f>IF(ISNUMBER(K24),K24,"")</x:f>
        <x:v>213</x:v>
      </x:c>
      <x:c r="G2073" s="1" t="n">
        <x:f>IF(ISNUMBER(L24),L24,"")</x:f>
        <x:v>0.9245</x:v>
      </x:c>
      <x:c r="H2073" s="1" t="str">
        <x:f>IF(A2073="","",IF(AND(UPPER(G24)="PHILADELPHIA",OR(C2073="District",AND(C2073="Charter",D24="Yes"))),"Yes","No"))</x:f>
        <x:v>Yes</x:v>
      </x:c>
      <x:c r="I2073" s="1" t="n">
        <x:f>IF(OR(A2073="",COUNTIFS('Staff Review'!$A$8:$A$507,A2073)&lt;&gt;1),0,MATCH(A2073,'Staff Review'!$A$8:$A$507,0))</x:f>
        <x:v>176</x:v>
      </x:c>
      <x:c r="J2073" s="1" t="str">
        <x:f>IF(I2073=0,"No",IF(INDEX('Staff Review'!$C$8:$C$507,I2073)="Yes","Yes","No"))</x:f>
        <x:v>No</x:v>
      </x:c>
      <x:c r="K2073" s="1" t="n">
        <x:f>IF(AI2073="Yes",INDEX('Staff Review'!$D$8:$D$507,I2073),IF(AB2073=0,"",IF(COUNT(INDEX($C$1531:$C$2030,AB2073))=1,INDEX($C$1531:$C$2030,AB2073),"")))</x:f>
        <x:v>0.4881622186295951</x:v>
      </x:c>
      <x:c r="L2073" s="1" t="n">
        <x:f>IF(AJ2073="Yes",INDEX('Staff Review'!$F$8:$F$507,I2073),IF(AB2073=0,"",IF(COUNT(INDEX($G$1531:$G$2030,AB2073))=1,INDEX($G$1531:$G$2030,AB2073),"")))</x:f>
        <x:v>14</x:v>
      </x:c>
      <x:c r="M2073" s="1" t="str">
        <x:f>IF(A2073="","",IF(AI2073="Yes","Verified","Listed"))</x:f>
        <x:v>Listed</x:v>
      </x:c>
      <x:c r="N2073" s="1" t="str">
        <x:f>IF(A2073="","",IF(AJ2073="Yes","Verified","Listed"))</x:f>
        <x:v>Listed</x:v>
      </x:c>
      <x:c r="O2073" s="1" t="n">
        <x:f>IF(AND(ISNUMBER(G2073),G2073&gt;=0,G2073&lt;=1),IF(G2073&gt;=0.9,30,IF(G2073&gt;=0.8,25,IF(G2073&gt;=0.7,20,IF(G2073&gt;=0.6,15,IF(G2073&gt;=0.5,10,IF(G2073&gt;=0.4,5,0)))))),"")</x:f>
        <x:v>30</x:v>
      </x:c>
      <x:c r="P2073" s="1" t="n">
        <x:f>IF(ISNUMBER(K2073),IF(K2073&lt;0,"",IF(K2073&gt;1,25,IF(K2073&gt;=0.75,20,IF(K2073&gt;=0.5,15,IF(K2073&gt;=0.25,10,5))))),"")</x:f>
        <x:v>10</x:v>
      </x:c>
      <x:c r="Q2073" s="1" t="n">
        <x:f>IF(NOT(ISNUMBER(L2073)),"",IF(AND(L2073&gt;=0,MOD(L2073,1)=0),MAX(0,25-5*L2073),""))</x:f>
        <x:v>0</x:v>
      </x:c>
      <x:c r="R2073" s="1" t="n">
        <x:f>IF(NOT(ISNUMBER(F2073)),"",IF(AND(F2073&gt;0,MOD(F2073,1)=0),IF(F2073&gt;=700,5,IF(F2073&gt;=500,4,IF(F2073&gt;=350,3,IF(F2073&gt;=200,2,1)))),""))</x:f>
        <x:v>2</x:v>
      </x:c>
      <x:c r="S2073" s="1" t="n">
        <x:f>IF(COUNT(O2073:R2073)=4,SUM(O2073:R2073),"")</x:f>
        <x:v>42</x:v>
      </x:c>
      <x:c r="T2073" s="1" t="n">
        <x:f>IF(OR(COUNT(O2073:R2073)&lt;&gt;4,COUNT('Top 15'!$B$35:$E$35)&lt;&gt;4,MIN('Top 15'!$B$35:$E$35)&lt;0,SUM('Top 15'!$B$35:$E$35)&lt;=0),"",ROUND(85*(O2073/30*'Top 15'!$B$35+P2073/25*'Top 15'!$C$35+Q2073/25*'Top 15'!$D$35+R2073/5*'Top 15'!$E$35)/SUM('Top 15'!$B$35:$E$35),6))</x:f>
        <x:v>42</x:v>
      </x:c>
      <x:c r="U2073" s="1" t="str">
        <x:f>IF(A2073="","",IF(AND(M2073="Verified",N2073="Verified"),"Verified",IF(AND(M2073="Listed",N2073="Listed"),"Listed","Mixed")))</x:f>
        <x:v>Listed</x:v>
      </x:c>
      <x:c r="V2073" s="1" t="str">
        <x:f>IF(A2073="","",IF(AK2073&lt;&gt;1,"Duplicate source ID",IF(COUNTIFS('Staff Review'!$A$8:$A$507,A2073)&gt;1,"Duplicate review ID",IF(H2073&lt;&gt;"Yes","Outside scope",IF(J2073="Yes","Already served",IF(NOT(ISNUMBER(T2073)),"Missing data","Candidate"))))))</x:f>
        <x:v>Candidate</x:v>
      </x:c>
      <x:c r="W2073" s="1" t="n">
        <x:f>IF(AL2073=0,"",1+COUNTIFS($AL$2051:$AL$2550,1,$T$2051:$T$2550,"&gt;"&amp;T2073)+COUNTIFS($AL$2051:$AL$2550,1,$T$2051:$T$2550,T2073,$G$2051:$G$2550,"&gt;"&amp;G2073)+COUNTIFS($AL$2051:$AL$2550,1,$T$2051:$T$2550,T2073,$G$2051:$G$2550,G2073,$F$2051:$F$2550,"&gt;"&amp;F2073)+COUNTIFS($AL$2051:$AL$2550,1,$T$2051:$T$2550,T2073,$G$2051:$G$2550,G2073,$F$2051:$F$2550,F2073,$AM$2051:$AM$2550,"&lt;"&amp;AM2073))</x:f>
        <x:v>105</x:v>
      </x:c>
      <x:c r="X2073" s="1" t="n">
        <x:f>IF(AL2073=0,"",1+COUNTIFS($AL$2051:$AL$2550,1,$T$2051:$T$2550,"&gt;"&amp;T2073))</x:f>
        <x:v>101</x:v>
      </x:c>
      <x:c r="Y2073" s="1" t="n">
        <x:f>IF(AND(H2073="Yes",OR(LEN('School Search'!$B$5)=0,ISNUMBER(SEARCH('School Search'!$B$5,B2073&amp;" "&amp;E2073&amp;" "&amp;A2073))),OR('School Search'!$D$5="All",C2073='School Search'!$D$5),OR('School Search'!$G$5="All eligible",AND('School Search'!$G$5="Not marked served",J2073&lt;&gt;"Yes"),AND('School Search'!$G$5="Missing data",V2073="Missing data"),AND('School Search'!$G$5="Marked served",J2073="Yes"))),1,0)</x:f>
        <x:v>1</x:v>
      </x:c>
      <x:c r="Z2073" s="1" t="n">
        <x:f>IF(Y2073=0,"",COUNTIFS($Y$2051:$Y$2550,1,$AO$2051:$AO$2550,"&lt;"&amp;AO2073)+COUNTIFS($Y$2051:Y2073,1,$AO$2051:AO2073,AO2073))</x:f>
        <x:v>105</x:v>
      </x:c>
      <x:c r="AA2073" s="1" t="str">
        <x:f>IF(NOT(ISNUMBER(S2073)),"Missing demographic or access input",TEXT(G2073,"0%")&amp;" economic need; "&amp;TEXT(K2073,"0.00")&amp;" mi fresh access; "&amp;L2073&amp;" nearby resources")</x:f>
        <x:v>92% economic need; 0.49 mi fresh access; 14 nearby resources</x:v>
      </x:c>
      <x:c r="AB2073" s="1" t="n">
        <x:f>IF(OR(A2073="",COUNTIFS($A$1531:$A$2030,A2073)&lt;&gt;1),0,MATCH(A2073,$A$1531:$A$2030,0))</x:f>
        <x:v>23</x:v>
      </x:c>
      <x:c r="AC2073" s="1" t="str">
        <x:f>IF(AB2073=0,"",INDEX($E$1531:$E$2030,AB2073))</x:f>
        <x:v>ALDI 54</x:v>
      </x:c>
      <x:c r="AD2073" s="1" t="str">
        <x:f>IF(AB2073=0,"",INDEX($F$1531:$F$2030,AB2073))</x:f>
        <x:v>4421 Market St, Philadelphia, PA, 19104</x:v>
      </x:c>
      <x:c r="AE2073" s="1" t="str">
        <x:f>IF(A2073="","",F24)</x:f>
        <x:v>766 N 44TH ST</x:v>
      </x:c>
      <x:c r="AF2073" s="1" t="n">
        <x:f>IF(ISNUMBER(I24),I24,"")</x:f>
        <x:v>39.966206</x:v>
      </x:c>
      <x:c r="AG2073" s="1" t="n">
        <x:f>IF(ISNUMBER(J24),J24,"")</x:f>
        <x:v>-75.211179</x:v>
      </x:c>
      <x:c r="AH2073" s="1" t="str">
        <x:f>IF(I2073=0,"Not contacted",IF(INDEX('Staff Review'!$J$8:$J$507,I2073)="","Not contacted",INDEX('Staff Review'!$J$8:$J$507,I2073)))</x:f>
        <x:v>Not contacted</x:v>
      </x:c>
      <x:c r="AI2073" s="1" t="str">
        <x:f>IF(I2073=0,"No",IF(AND(COUNT(INDEX('Staff Review'!$D$8:$D$507,I2073))=1,INDEX('Staff Review'!$D$8:$D$507,I2073)&gt;=0,COUNT(INDEX('Staff Review'!$E$8:$E$507,I2073))=1,INDEX('Staff Review'!$E$8:$E$507,I2073)&gt;0,INDEX('Staff Review'!$E$8:$E$507,I2073)&lt;='Top 15'!$E$5,'Top 15'!$E$5-INDEX('Staff Review'!$E$8:$E$507,I2073)&lt;='Top 15'!$H$5,LEN(INDEX('Staff Review'!$H$8:$H$507,I2073))&gt;0),"Yes","No"))</x:f>
        <x:v>No</x:v>
      </x:c>
      <x:c r="AJ2073" s="1" t="str">
        <x:f>IF(I2073=0,"No",IF(COUNT(INDEX('Staff Review'!$F$8:$F$507,I2073))&lt;&gt;1,"No",IF(AND(INDEX('Staff Review'!$F$8:$F$507,I2073)&gt;=0,MOD(INDEX('Staff Review'!$F$8:$F$507,I2073),1)=0,COUNT(INDEX('Staff Review'!$G$8:$G$507,I2073))=1,INDEX('Staff Review'!$G$8:$G$507,I2073)&gt;0,INDEX('Staff Review'!$G$8:$G$507,I2073)&lt;='Top 15'!$E$5,'Top 15'!$E$5-INDEX('Staff Review'!$G$8:$G$507,I2073)&lt;='Top 15'!$H$5,LEN(INDEX('Staff Review'!$H$8:$H$507,I2073))&gt;0),"Yes","No")))</x:f>
        <x:v>No</x:v>
      </x:c>
      <x:c r="AK2073" s="1" t="n">
        <x:f>IF(A2073="",0,COUNTIFS($A$2:$A$501,A2073))</x:f>
        <x:v>1</x:v>
      </x:c>
      <x:c r="AL2073" s="1" t="n">
        <x:f>IF(V2073="Candidate",1,0)</x:f>
        <x:v>1</x:v>
      </x:c>
      <x:c r="AM2073" s="1" t="n">
        <x:f>IF(A2073="",0,VALUE(A2073))</x:f>
        <x:v>1420</x:v>
      </x:c>
      <x:c r="AN2073" s="1" t="n">
        <x:f>IF(OR(A2073="",COUNTIFS($T$41:$T$540,A2073)&lt;&gt;1),0,MATCH(A2073,$T$41:$T$540,0))</x:f>
        <x:v>23</x:v>
      </x:c>
      <x:c r="AO2073" t="n">
        <x:f>IF(ISNUMBER(W2073),W2073,10000+AM2073)</x:f>
        <x:v>105</x:v>
      </x:c>
    </x:row>
    <x:row r="2074" ht="22" customHeight="1">
      <x:c r="A2074" s="1" t="str">
        <x:f>IF(A25="","",A25)</x:f>
        <x:v>1440</x:v>
      </x:c>
      <x:c r="B2074" s="1" t="str">
        <x:f>IF(A2074="","",B25)</x:f>
        <x:v>Penrose School</x:v>
      </x:c>
      <x:c r="C2074" s="1" t="str">
        <x:f>IF(A2074="","",C25)</x:f>
        <x:v>District</x:v>
      </x:c>
      <x:c r="D2074" s="1" t="str">
        <x:f>IF(A2074="","",E25)</x:f>
        <x:v>Elementary-Middle</x:v>
      </x:c>
      <x:c r="E2074" s="1" t="str">
        <x:f>IF(A2074="","",H25)</x:f>
        <x:v>19153</x:v>
      </x:c>
      <x:c r="F2074" s="1" t="n">
        <x:f>IF(ISNUMBER(K25),K25,"")</x:f>
        <x:v>429</x:v>
      </x:c>
      <x:c r="G2074" s="1" t="n">
        <x:f>IF(ISNUMBER(L25),L25,"")</x:f>
        <x:v>0.8372</x:v>
      </x:c>
      <x:c r="H2074" s="1" t="str">
        <x:f>IF(A2074="","",IF(AND(UPPER(G25)="PHILADELPHIA",OR(C2074="District",AND(C2074="Charter",D25="Yes"))),"Yes","No"))</x:f>
        <x:v>Yes</x:v>
      </x:c>
      <x:c r="I2074" s="1" t="n">
        <x:f>IF(OR(A2074="",COUNTIFS('Staff Review'!$A$8:$A$507,A2074)&lt;&gt;1),0,MATCH(A2074,'Staff Review'!$A$8:$A$507,0))</x:f>
        <x:v>229</x:v>
      </x:c>
      <x:c r="J2074" s="1" t="str">
        <x:f>IF(I2074=0,"No",IF(INDEX('Staff Review'!$C$8:$C$507,I2074)="Yes","Yes","No"))</x:f>
        <x:v>No</x:v>
      </x:c>
      <x:c r="K2074" s="1" t="n">
        <x:f>IF(AI2074="Yes",INDEX('Staff Review'!$D$8:$D$507,I2074),IF(AB2074=0,"",IF(COUNT(INDEX($C$1531:$C$2030,AB2074))=1,INDEX($C$1531:$C$2030,AB2074),"")))</x:f>
        <x:v>0.5015430898164202</x:v>
      </x:c>
      <x:c r="L2074" s="1" t="n">
        <x:f>IF(AJ2074="Yes",INDEX('Staff Review'!$F$8:$F$507,I2074),IF(AB2074=0,"",IF(COUNT(INDEX($G$1531:$G$2030,AB2074))=1,INDEX($G$1531:$G$2030,AB2074),"")))</x:f>
        <x:v>1</x:v>
      </x:c>
      <x:c r="M2074" s="1" t="str">
        <x:f>IF(A2074="","",IF(AI2074="Yes","Verified","Listed"))</x:f>
        <x:v>Listed</x:v>
      </x:c>
      <x:c r="N2074" s="1" t="str">
        <x:f>IF(A2074="","",IF(AJ2074="Yes","Verified","Listed"))</x:f>
        <x:v>Listed</x:v>
      </x:c>
      <x:c r="O2074" s="1" t="n">
        <x:f>IF(AND(ISNUMBER(G2074),G2074&gt;=0,G2074&lt;=1),IF(G2074&gt;=0.9,30,IF(G2074&gt;=0.8,25,IF(G2074&gt;=0.7,20,IF(G2074&gt;=0.6,15,IF(G2074&gt;=0.5,10,IF(G2074&gt;=0.4,5,0)))))),"")</x:f>
        <x:v>25</x:v>
      </x:c>
      <x:c r="P2074" s="1" t="n">
        <x:f>IF(ISNUMBER(K2074),IF(K2074&lt;0,"",IF(K2074&gt;1,25,IF(K2074&gt;=0.75,20,IF(K2074&gt;=0.5,15,IF(K2074&gt;=0.25,10,5))))),"")</x:f>
        <x:v>15</x:v>
      </x:c>
      <x:c r="Q2074" s="1" t="n">
        <x:f>IF(NOT(ISNUMBER(L2074)),"",IF(AND(L2074&gt;=0,MOD(L2074,1)=0),MAX(0,25-5*L2074),""))</x:f>
        <x:v>20</x:v>
      </x:c>
      <x:c r="R2074" s="1" t="n">
        <x:f>IF(NOT(ISNUMBER(F2074)),"",IF(AND(F2074&gt;0,MOD(F2074,1)=0),IF(F2074&gt;=700,5,IF(F2074&gt;=500,4,IF(F2074&gt;=350,3,IF(F2074&gt;=200,2,1)))),""))</x:f>
        <x:v>3</x:v>
      </x:c>
      <x:c r="S2074" s="1" t="n">
        <x:f>IF(COUNT(O2074:R2074)=4,SUM(O2074:R2074),"")</x:f>
        <x:v>63</x:v>
      </x:c>
      <x:c r="T2074" s="1" t="n">
        <x:f>IF(OR(COUNT(O2074:R2074)&lt;&gt;4,COUNT('Top 15'!$B$35:$E$35)&lt;&gt;4,MIN('Top 15'!$B$35:$E$35)&lt;0,SUM('Top 15'!$B$35:$E$35)&lt;=0),"",ROUND(85*(O2074/30*'Top 15'!$B$35+P2074/25*'Top 15'!$C$35+Q2074/25*'Top 15'!$D$35+R2074/5*'Top 15'!$E$35)/SUM('Top 15'!$B$35:$E$35),6))</x:f>
        <x:v>63</x:v>
      </x:c>
      <x:c r="U2074" s="1" t="str">
        <x:f>IF(A2074="","",IF(AND(M2074="Verified",N2074="Verified"),"Verified",IF(AND(M2074="Listed",N2074="Listed"),"Listed","Mixed")))</x:f>
        <x:v>Listed</x:v>
      </x:c>
      <x:c r="V2074" s="1" t="str">
        <x:f>IF(A2074="","",IF(AK2074&lt;&gt;1,"Duplicate source ID",IF(COUNTIFS('Staff Review'!$A$8:$A$507,A2074)&gt;1,"Duplicate review ID",IF(H2074&lt;&gt;"Yes","Outside scope",IF(J2074="Yes","Already served",IF(NOT(ISNUMBER(T2074)),"Missing data","Candidate"))))))</x:f>
        <x:v>Candidate</x:v>
      </x:c>
      <x:c r="W2074" s="1" t="n">
        <x:f>IF(AL2074=0,"",1+COUNTIFS($AL$2051:$AL$2550,1,$T$2051:$T$2550,"&gt;"&amp;T2074)+COUNTIFS($AL$2051:$AL$2550,1,$T$2051:$T$2550,T2074,$G$2051:$G$2550,"&gt;"&amp;G2074)+COUNTIFS($AL$2051:$AL$2550,1,$T$2051:$T$2550,T2074,$G$2051:$G$2550,G2074,$F$2051:$F$2550,"&gt;"&amp;F2074)+COUNTIFS($AL$2051:$AL$2550,1,$T$2051:$T$2550,T2074,$G$2051:$G$2550,G2074,$F$2051:$F$2550,F2074,$AM$2051:$AM$2550,"&lt;"&amp;AM2074))</x:f>
        <x:v>7</x:v>
      </x:c>
      <x:c r="X2074" s="1" t="n">
        <x:f>IF(AL2074=0,"",1+COUNTIFS($AL$2051:$AL$2550,1,$T$2051:$T$2550,"&gt;"&amp;T2074))</x:f>
        <x:v>7</x:v>
      </x:c>
      <x:c r="Y2074" s="1" t="n">
        <x:f>IF(AND(H2074="Yes",OR(LEN('School Search'!$B$5)=0,ISNUMBER(SEARCH('School Search'!$B$5,B2074&amp;" "&amp;E2074&amp;" "&amp;A2074))),OR('School Search'!$D$5="All",C2074='School Search'!$D$5),OR('School Search'!$G$5="All eligible",AND('School Search'!$G$5="Not marked served",J2074&lt;&gt;"Yes"),AND('School Search'!$G$5="Missing data",V2074="Missing data"),AND('School Search'!$G$5="Marked served",J2074="Yes"))),1,0)</x:f>
        <x:v>1</x:v>
      </x:c>
      <x:c r="Z2074" s="1" t="n">
        <x:f>IF(Y2074=0,"",COUNTIFS($Y$2051:$Y$2550,1,$AO$2051:$AO$2550,"&lt;"&amp;AO2074)+COUNTIFS($Y$2051:Y2074,1,$AO$2051:AO2074,AO2074))</x:f>
        <x:v>7</x:v>
      </x:c>
      <x:c r="AA2074" s="1" t="str">
        <x:f>IF(NOT(ISNUMBER(S2074)),"Missing demographic or access input",TEXT(G2074,"0%")&amp;" economic need; "&amp;TEXT(K2074,"0.00")&amp;" mi fresh access; "&amp;L2074&amp;" nearby resources")</x:f>
        <x:v>84% economic need; 0.50 mi fresh access; 1 nearby resources</x:v>
      </x:c>
      <x:c r="AB2074" s="1" t="n">
        <x:f>IF(OR(A2074="",COUNTIFS($A$1531:$A$2030,A2074)&lt;&gt;1),0,MATCH(A2074,$A$1531:$A$2030,0))</x:f>
        <x:v>24</x:v>
      </x:c>
      <x:c r="AC2074" s="1" t="str">
        <x:f>IF(AB2074=0,"",INDEX($E$1531:$E$2030,AB2074))</x:f>
        <x:v>Shoprite of Island Ave 423</x:v>
      </x:c>
      <x:c r="AD2074" s="1" t="str">
        <x:f>IF(AB2074=0,"",INDEX($F$1531:$F$2030,AB2074))</x:f>
        <x:v>2946 Island Ave, Philadelphia, PA, 19153</x:v>
      </x:c>
      <x:c r="AE2074" s="1" t="str">
        <x:f>IF(A2074="","",F25)</x:f>
        <x:v>2515 S 78TH ST</x:v>
      </x:c>
      <x:c r="AF2074" s="1" t="n">
        <x:f>IF(ISNUMBER(I25),I25,"")</x:f>
        <x:v>39.90692358</x:v>
      </x:c>
      <x:c r="AG2074" s="1" t="n">
        <x:f>IF(ISNUMBER(J25),J25,"")</x:f>
        <x:v>-75.24865833</x:v>
      </x:c>
      <x:c r="AH2074" s="1" t="str">
        <x:f>IF(I2074=0,"Not contacted",IF(INDEX('Staff Review'!$J$8:$J$507,I2074)="","Not contacted",INDEX('Staff Review'!$J$8:$J$507,I2074)))</x:f>
        <x:v>Not contacted</x:v>
      </x:c>
      <x:c r="AI2074" s="1" t="str">
        <x:f>IF(I2074=0,"No",IF(AND(COUNT(INDEX('Staff Review'!$D$8:$D$507,I2074))=1,INDEX('Staff Review'!$D$8:$D$507,I2074)&gt;=0,COUNT(INDEX('Staff Review'!$E$8:$E$507,I2074))=1,INDEX('Staff Review'!$E$8:$E$507,I2074)&gt;0,INDEX('Staff Review'!$E$8:$E$507,I2074)&lt;='Top 15'!$E$5,'Top 15'!$E$5-INDEX('Staff Review'!$E$8:$E$507,I2074)&lt;='Top 15'!$H$5,LEN(INDEX('Staff Review'!$H$8:$H$507,I2074))&gt;0),"Yes","No"))</x:f>
        <x:v>No</x:v>
      </x:c>
      <x:c r="AJ2074" s="1" t="str">
        <x:f>IF(I2074=0,"No",IF(COUNT(INDEX('Staff Review'!$F$8:$F$507,I2074))&lt;&gt;1,"No",IF(AND(INDEX('Staff Review'!$F$8:$F$507,I2074)&gt;=0,MOD(INDEX('Staff Review'!$F$8:$F$507,I2074),1)=0,COUNT(INDEX('Staff Review'!$G$8:$G$507,I2074))=1,INDEX('Staff Review'!$G$8:$G$507,I2074)&gt;0,INDEX('Staff Review'!$G$8:$G$507,I2074)&lt;='Top 15'!$E$5,'Top 15'!$E$5-INDEX('Staff Review'!$G$8:$G$507,I2074)&lt;='Top 15'!$H$5,LEN(INDEX('Staff Review'!$H$8:$H$507,I2074))&gt;0),"Yes","No")))</x:f>
        <x:v>No</x:v>
      </x:c>
      <x:c r="AK2074" s="1" t="n">
        <x:f>IF(A2074="",0,COUNTIFS($A$2:$A$501,A2074))</x:f>
        <x:v>1</x:v>
      </x:c>
      <x:c r="AL2074" s="1" t="n">
        <x:f>IF(V2074="Candidate",1,0)</x:f>
        <x:v>1</x:v>
      </x:c>
      <x:c r="AM2074" s="1" t="n">
        <x:f>IF(A2074="",0,VALUE(A2074))</x:f>
        <x:v>1440</x:v>
      </x:c>
      <x:c r="AN2074" s="1" t="n">
        <x:f>IF(OR(A2074="",COUNTIFS($T$41:$T$540,A2074)&lt;&gt;1),0,MATCH(A2074,$T$41:$T$540,0))</x:f>
        <x:v>24</x:v>
      </x:c>
      <x:c r="AO2074" t="n">
        <x:f>IF(ISNUMBER(W2074),W2074,10000+AM2074)</x:f>
        <x:v>7</x:v>
      </x:c>
    </x:row>
    <x:row r="2075" ht="22" customHeight="1">
      <x:c r="A2075" s="1" t="str">
        <x:f>IF(A26="","",A26)</x:f>
        <x:v>1460</x:v>
      </x:c>
      <x:c r="B2075" s="1" t="str">
        <x:f>IF(A2075="","",B26)</x:f>
        <x:v>Add B. Anderson School</x:v>
      </x:c>
      <x:c r="C2075" s="1" t="str">
        <x:f>IF(A2075="","",C26)</x:f>
        <x:v>District</x:v>
      </x:c>
      <x:c r="D2075" s="1" t="str">
        <x:f>IF(A2075="","",E26)</x:f>
        <x:v>Elementary-Middle</x:v>
      </x:c>
      <x:c r="E2075" s="1" t="str">
        <x:f>IF(A2075="","",H26)</x:f>
        <x:v>19143</x:v>
      </x:c>
      <x:c r="F2075" s="1" t="n">
        <x:f>IF(ISNUMBER(K26),K26,"")</x:f>
        <x:v>318</x:v>
      </x:c>
      <x:c r="G2075" s="1" t="n">
        <x:f>IF(ISNUMBER(L26),L26,"")</x:f>
        <x:v>0.8646</x:v>
      </x:c>
      <x:c r="H2075" s="1" t="str">
        <x:f>IF(A2075="","",IF(AND(UPPER(G26)="PHILADELPHIA",OR(C2075="District",AND(C2075="Charter",D26="Yes"))),"Yes","No"))</x:f>
        <x:v>Yes</x:v>
      </x:c>
      <x:c r="I2075" s="1" t="n">
        <x:f>IF(OR(A2075="",COUNTIFS('Staff Review'!$A$8:$A$507,A2075)&lt;&gt;1),0,MATCH(A2075,'Staff Review'!$A$8:$A$507,0))</x:f>
        <x:v>9</x:v>
      </x:c>
      <x:c r="J2075" s="1" t="str">
        <x:f>IF(I2075=0,"No",IF(INDEX('Staff Review'!$C$8:$C$507,I2075)="Yes","Yes","No"))</x:f>
        <x:v>No</x:v>
      </x:c>
      <x:c r="K2075" s="1" t="n">
        <x:f>IF(AI2075="Yes",INDEX('Staff Review'!$D$8:$D$507,I2075),IF(AB2075=0,"",IF(COUNT(INDEX($C$1531:$C$2030,AB2075))=1,INDEX($C$1531:$C$2030,AB2075),"")))</x:f>
        <x:v>0.4336669545442868</x:v>
      </x:c>
      <x:c r="L2075" s="1" t="n">
        <x:f>IF(AJ2075="Yes",INDEX('Staff Review'!$F$8:$F$507,I2075),IF(AB2075=0,"",IF(COUNT(INDEX($G$1531:$G$2030,AB2075))=1,INDEX($G$1531:$G$2030,AB2075),"")))</x:f>
        <x:v>6</x:v>
      </x:c>
      <x:c r="M2075" s="1" t="str">
        <x:f>IF(A2075="","",IF(AI2075="Yes","Verified","Listed"))</x:f>
        <x:v>Listed</x:v>
      </x:c>
      <x:c r="N2075" s="1" t="str">
        <x:f>IF(A2075="","",IF(AJ2075="Yes","Verified","Listed"))</x:f>
        <x:v>Listed</x:v>
      </x:c>
      <x:c r="O2075" s="1" t="n">
        <x:f>IF(AND(ISNUMBER(G2075),G2075&gt;=0,G2075&lt;=1),IF(G2075&gt;=0.9,30,IF(G2075&gt;=0.8,25,IF(G2075&gt;=0.7,20,IF(G2075&gt;=0.6,15,IF(G2075&gt;=0.5,10,IF(G2075&gt;=0.4,5,0)))))),"")</x:f>
        <x:v>25</x:v>
      </x:c>
      <x:c r="P2075" s="1" t="n">
        <x:f>IF(ISNUMBER(K2075),IF(K2075&lt;0,"",IF(K2075&gt;1,25,IF(K2075&gt;=0.75,20,IF(K2075&gt;=0.5,15,IF(K2075&gt;=0.25,10,5))))),"")</x:f>
        <x:v>10</x:v>
      </x:c>
      <x:c r="Q2075" s="1" t="n">
        <x:f>IF(NOT(ISNUMBER(L2075)),"",IF(AND(L2075&gt;=0,MOD(L2075,1)=0),MAX(0,25-5*L2075),""))</x:f>
        <x:v>0</x:v>
      </x:c>
      <x:c r="R2075" s="1" t="n">
        <x:f>IF(NOT(ISNUMBER(F2075)),"",IF(AND(F2075&gt;0,MOD(F2075,1)=0),IF(F2075&gt;=700,5,IF(F2075&gt;=500,4,IF(F2075&gt;=350,3,IF(F2075&gt;=200,2,1)))),""))</x:f>
        <x:v>2</x:v>
      </x:c>
      <x:c r="S2075" s="1" t="n">
        <x:f>IF(COUNT(O2075:R2075)=4,SUM(O2075:R2075),"")</x:f>
        <x:v>37</x:v>
      </x:c>
      <x:c r="T2075" s="1" t="n">
        <x:f>IF(OR(COUNT(O2075:R2075)&lt;&gt;4,COUNT('Top 15'!$B$35:$E$35)&lt;&gt;4,MIN('Top 15'!$B$35:$E$35)&lt;0,SUM('Top 15'!$B$35:$E$35)&lt;=0),"",ROUND(85*(O2075/30*'Top 15'!$B$35+P2075/25*'Top 15'!$C$35+Q2075/25*'Top 15'!$D$35+R2075/5*'Top 15'!$E$35)/SUM('Top 15'!$B$35:$E$35),6))</x:f>
        <x:v>37</x:v>
      </x:c>
      <x:c r="U2075" s="1" t="str">
        <x:f>IF(A2075="","",IF(AND(M2075="Verified",N2075="Verified"),"Verified",IF(AND(M2075="Listed",N2075="Listed"),"Listed","Mixed")))</x:f>
        <x:v>Listed</x:v>
      </x:c>
      <x:c r="V2075" s="1" t="str">
        <x:f>IF(A2075="","",IF(AK2075&lt;&gt;1,"Duplicate source ID",IF(COUNTIFS('Staff Review'!$A$8:$A$507,A2075)&gt;1,"Duplicate review ID",IF(H2075&lt;&gt;"Yes","Outside scope",IF(J2075="Yes","Already served",IF(NOT(ISNUMBER(T2075)),"Missing data","Candidate"))))))</x:f>
        <x:v>Candidate</x:v>
      </x:c>
      <x:c r="W2075" s="1" t="n">
        <x:f>IF(AL2075=0,"",1+COUNTIFS($AL$2051:$AL$2550,1,$T$2051:$T$2550,"&gt;"&amp;T2075)+COUNTIFS($AL$2051:$AL$2550,1,$T$2051:$T$2550,T2075,$G$2051:$G$2550,"&gt;"&amp;G2075)+COUNTIFS($AL$2051:$AL$2550,1,$T$2051:$T$2550,T2075,$G$2051:$G$2550,G2075,$F$2051:$F$2550,"&gt;"&amp;F2075)+COUNTIFS($AL$2051:$AL$2550,1,$T$2051:$T$2550,T2075,$G$2051:$G$2550,G2075,$F$2051:$F$2550,F2075,$AM$2051:$AM$2550,"&lt;"&amp;AM2075))</x:f>
        <x:v>195</x:v>
      </x:c>
      <x:c r="X2075" s="1" t="n">
        <x:f>IF(AL2075=0,"",1+COUNTIFS($AL$2051:$AL$2550,1,$T$2051:$T$2550,"&gt;"&amp;T2075))</x:f>
        <x:v>182</x:v>
      </x:c>
      <x:c r="Y2075" s="1" t="n">
        <x:f>IF(AND(H2075="Yes",OR(LEN('School Search'!$B$5)=0,ISNUMBER(SEARCH('School Search'!$B$5,B2075&amp;" "&amp;E2075&amp;" "&amp;A2075))),OR('School Search'!$D$5="All",C2075='School Search'!$D$5),OR('School Search'!$G$5="All eligible",AND('School Search'!$G$5="Not marked served",J2075&lt;&gt;"Yes"),AND('School Search'!$G$5="Missing data",V2075="Missing data"),AND('School Search'!$G$5="Marked served",J2075="Yes"))),1,0)</x:f>
        <x:v>1</x:v>
      </x:c>
      <x:c r="Z2075" s="1" t="n">
        <x:f>IF(Y2075=0,"",COUNTIFS($Y$2051:$Y$2550,1,$AO$2051:$AO$2550,"&lt;"&amp;AO2075)+COUNTIFS($Y$2051:Y2075,1,$AO$2051:AO2075,AO2075))</x:f>
        <x:v>195</x:v>
      </x:c>
      <x:c r="AA2075" s="1" t="str">
        <x:f>IF(NOT(ISNUMBER(S2075)),"Missing demographic or access input",TEXT(G2075,"0%")&amp;" economic need; "&amp;TEXT(K2075,"0.00")&amp;" mi fresh access; "&amp;L2075&amp;" nearby resources")</x:f>
        <x:v>86% economic need; 0.43 mi fresh access; 6 nearby resources</x:v>
      </x:c>
      <x:c r="AB2075" s="1" t="n">
        <x:f>IF(OR(A2075="",COUNTIFS($A$1531:$A$2030,A2075)&lt;&gt;1),0,MATCH(A2075,$A$1531:$A$2030,0))</x:f>
        <x:v>25</x:v>
      </x:c>
      <x:c r="AC2075" s="1" t="str">
        <x:f>IF(AB2075=0,"",INDEX($E$1531:$E$2030,AB2075))</x:f>
        <x:v>Cousin's Fresh Market 3 Llc</x:v>
      </x:c>
      <x:c r="AD2075" s="1" t="str">
        <x:f>IF(AB2075=0,"",INDEX($F$1531:$F$2030,AB2075))</x:f>
        <x:v>5704 Baltimore Ave, Philadelphia, PA, 19143</x:v>
      </x:c>
      <x:c r="AE2075" s="1" t="str">
        <x:f>IF(A2075="","",F26)</x:f>
        <x:v>1034 S 60TH ST</x:v>
      </x:c>
      <x:c r="AF2075" s="1" t="n">
        <x:f>IF(ISNUMBER(I26),I26,"")</x:f>
        <x:v>39.946726</x:v>
      </x:c>
      <x:c r="AG2075" s="1" t="n">
        <x:f>IF(ISNUMBER(J26),J26,"")</x:f>
        <x:v>-75.245717</x:v>
      </x:c>
      <x:c r="AH2075" s="1" t="str">
        <x:f>IF(I2075=0,"Not contacted",IF(INDEX('Staff Review'!$J$8:$J$507,I2075)="","Not contacted",INDEX('Staff Review'!$J$8:$J$507,I2075)))</x:f>
        <x:v>Not contacted</x:v>
      </x:c>
      <x:c r="AI2075" s="1" t="str">
        <x:f>IF(I2075=0,"No",IF(AND(COUNT(INDEX('Staff Review'!$D$8:$D$507,I2075))=1,INDEX('Staff Review'!$D$8:$D$507,I2075)&gt;=0,COUNT(INDEX('Staff Review'!$E$8:$E$507,I2075))=1,INDEX('Staff Review'!$E$8:$E$507,I2075)&gt;0,INDEX('Staff Review'!$E$8:$E$507,I2075)&lt;='Top 15'!$E$5,'Top 15'!$E$5-INDEX('Staff Review'!$E$8:$E$507,I2075)&lt;='Top 15'!$H$5,LEN(INDEX('Staff Review'!$H$8:$H$507,I2075))&gt;0),"Yes","No"))</x:f>
        <x:v>No</x:v>
      </x:c>
      <x:c r="AJ2075" s="1" t="str">
        <x:f>IF(I2075=0,"No",IF(COUNT(INDEX('Staff Review'!$F$8:$F$507,I2075))&lt;&gt;1,"No",IF(AND(INDEX('Staff Review'!$F$8:$F$507,I2075)&gt;=0,MOD(INDEX('Staff Review'!$F$8:$F$507,I2075),1)=0,COUNT(INDEX('Staff Review'!$G$8:$G$507,I2075))=1,INDEX('Staff Review'!$G$8:$G$507,I2075)&gt;0,INDEX('Staff Review'!$G$8:$G$507,I2075)&lt;='Top 15'!$E$5,'Top 15'!$E$5-INDEX('Staff Review'!$G$8:$G$507,I2075)&lt;='Top 15'!$H$5,LEN(INDEX('Staff Review'!$H$8:$H$507,I2075))&gt;0),"Yes","No")))</x:f>
        <x:v>No</x:v>
      </x:c>
      <x:c r="AK2075" s="1" t="n">
        <x:f>IF(A2075="",0,COUNTIFS($A$2:$A$501,A2075))</x:f>
        <x:v>1</x:v>
      </x:c>
      <x:c r="AL2075" s="1" t="n">
        <x:f>IF(V2075="Candidate",1,0)</x:f>
        <x:v>1</x:v>
      </x:c>
      <x:c r="AM2075" s="1" t="n">
        <x:f>IF(A2075="",0,VALUE(A2075))</x:f>
        <x:v>1460</x:v>
      </x:c>
      <x:c r="AN2075" s="1" t="n">
        <x:f>IF(OR(A2075="",COUNTIFS($T$41:$T$540,A2075)&lt;&gt;1),0,MATCH(A2075,$T$41:$T$540,0))</x:f>
        <x:v>25</x:v>
      </x:c>
      <x:c r="AO2075" t="n">
        <x:f>IF(ISNUMBER(W2075),W2075,10000+AM2075)</x:f>
        <x:v>195</x:v>
      </x:c>
    </x:row>
    <x:row r="2076" ht="22" customHeight="1">
      <x:c r="A2076" s="1" t="str">
        <x:f>IF(A27="","",A27)</x:f>
        <x:v>1470</x:v>
      </x:c>
      <x:c r="B2076" s="1" t="str">
        <x:f>IF(A2076="","",B27)</x:f>
        <x:v>Alain Locke School</x:v>
      </x:c>
      <x:c r="C2076" s="1" t="str">
        <x:f>IF(A2076="","",C27)</x:f>
        <x:v>District</x:v>
      </x:c>
      <x:c r="D2076" s="1" t="str">
        <x:f>IF(A2076="","",E27)</x:f>
        <x:v>Elementary-Middle</x:v>
      </x:c>
      <x:c r="E2076" s="1" t="str">
        <x:f>IF(A2076="","",H27)</x:f>
        <x:v>19139</x:v>
      </x:c>
      <x:c r="F2076" s="1" t="n">
        <x:f>IF(ISNUMBER(K27),K27,"")</x:f>
        <x:v>276</x:v>
      </x:c>
      <x:c r="G2076" s="1" t="n">
        <x:f>IF(ISNUMBER(L27),L27,"")</x:f>
        <x:v>0.829</x:v>
      </x:c>
      <x:c r="H2076" s="1" t="str">
        <x:f>IF(A2076="","",IF(AND(UPPER(G27)="PHILADELPHIA",OR(C2076="District",AND(C2076="Charter",D27="Yes"))),"Yes","No"))</x:f>
        <x:v>Yes</x:v>
      </x:c>
      <x:c r="I2076" s="1" t="n">
        <x:f>IF(OR(A2076="",COUNTIFS('Staff Review'!$A$8:$A$507,A2076)&lt;&gt;1),0,MATCH(A2076,'Staff Review'!$A$8:$A$507,0))</x:f>
        <x:v>10</x:v>
      </x:c>
      <x:c r="J2076" s="1" t="str">
        <x:f>IF(I2076=0,"No",IF(INDEX('Staff Review'!$C$8:$C$507,I2076)="Yes","Yes","No"))</x:f>
        <x:v>No</x:v>
      </x:c>
      <x:c r="K2076" s="1" t="n">
        <x:f>IF(AI2076="Yes",INDEX('Staff Review'!$D$8:$D$507,I2076),IF(AB2076=0,"",IF(COUNT(INDEX($C$1531:$C$2030,AB2076))=1,INDEX($C$1531:$C$2030,AB2076),"")))</x:f>
        <x:v>0.23280418789792304</x:v>
      </x:c>
      <x:c r="L2076" s="1" t="n">
        <x:f>IF(AJ2076="Yes",INDEX('Staff Review'!$F$8:$F$507,I2076),IF(AB2076=0,"",IF(COUNT(INDEX($G$1531:$G$2030,AB2076))=1,INDEX($G$1531:$G$2030,AB2076),"")))</x:f>
        <x:v>15</x:v>
      </x:c>
      <x:c r="M2076" s="1" t="str">
        <x:f>IF(A2076="","",IF(AI2076="Yes","Verified","Listed"))</x:f>
        <x:v>Listed</x:v>
      </x:c>
      <x:c r="N2076" s="1" t="str">
        <x:f>IF(A2076="","",IF(AJ2076="Yes","Verified","Listed"))</x:f>
        <x:v>Listed</x:v>
      </x:c>
      <x:c r="O2076" s="1" t="n">
        <x:f>IF(AND(ISNUMBER(G2076),G2076&gt;=0,G2076&lt;=1),IF(G2076&gt;=0.9,30,IF(G2076&gt;=0.8,25,IF(G2076&gt;=0.7,20,IF(G2076&gt;=0.6,15,IF(G2076&gt;=0.5,10,IF(G2076&gt;=0.4,5,0)))))),"")</x:f>
        <x:v>25</x:v>
      </x:c>
      <x:c r="P2076" s="1" t="n">
        <x:f>IF(ISNUMBER(K2076),IF(K2076&lt;0,"",IF(K2076&gt;1,25,IF(K2076&gt;=0.75,20,IF(K2076&gt;=0.5,15,IF(K2076&gt;=0.25,10,5))))),"")</x:f>
        <x:v>5</x:v>
      </x:c>
      <x:c r="Q2076" s="1" t="n">
        <x:f>IF(NOT(ISNUMBER(L2076)),"",IF(AND(L2076&gt;=0,MOD(L2076,1)=0),MAX(0,25-5*L2076),""))</x:f>
        <x:v>0</x:v>
      </x:c>
      <x:c r="R2076" s="1" t="n">
        <x:f>IF(NOT(ISNUMBER(F2076)),"",IF(AND(F2076&gt;0,MOD(F2076,1)=0),IF(F2076&gt;=700,5,IF(F2076&gt;=500,4,IF(F2076&gt;=350,3,IF(F2076&gt;=200,2,1)))),""))</x:f>
        <x:v>2</x:v>
      </x:c>
      <x:c r="S2076" s="1" t="n">
        <x:f>IF(COUNT(O2076:R2076)=4,SUM(O2076:R2076),"")</x:f>
        <x:v>32</x:v>
      </x:c>
      <x:c r="T2076" s="1" t="n">
        <x:f>IF(OR(COUNT(O2076:R2076)&lt;&gt;4,COUNT('Top 15'!$B$35:$E$35)&lt;&gt;4,MIN('Top 15'!$B$35:$E$35)&lt;0,SUM('Top 15'!$B$35:$E$35)&lt;=0),"",ROUND(85*(O2076/30*'Top 15'!$B$35+P2076/25*'Top 15'!$C$35+Q2076/25*'Top 15'!$D$35+R2076/5*'Top 15'!$E$35)/SUM('Top 15'!$B$35:$E$35),6))</x:f>
        <x:v>32</x:v>
      </x:c>
      <x:c r="U2076" s="1" t="str">
        <x:f>IF(A2076="","",IF(AND(M2076="Verified",N2076="Verified"),"Verified",IF(AND(M2076="Listed",N2076="Listed"),"Listed","Mixed")))</x:f>
        <x:v>Listed</x:v>
      </x:c>
      <x:c r="V2076" s="1" t="str">
        <x:f>IF(A2076="","",IF(AK2076&lt;&gt;1,"Duplicate source ID",IF(COUNTIFS('Staff Review'!$A$8:$A$507,A2076)&gt;1,"Duplicate review ID",IF(H2076&lt;&gt;"Yes","Outside scope",IF(J2076="Yes","Already served",IF(NOT(ISNUMBER(T2076)),"Missing data","Candidate"))))))</x:f>
        <x:v>Candidate</x:v>
      </x:c>
      <x:c r="W2076" s="1" t="n">
        <x:f>IF(AL2076=0,"",1+COUNTIFS($AL$2051:$AL$2550,1,$T$2051:$T$2550,"&gt;"&amp;T2076)+COUNTIFS($AL$2051:$AL$2550,1,$T$2051:$T$2550,T2076,$G$2051:$G$2550,"&gt;"&amp;G2076)+COUNTIFS($AL$2051:$AL$2550,1,$T$2051:$T$2550,T2076,$G$2051:$G$2550,G2076,$F$2051:$F$2550,"&gt;"&amp;F2076)+COUNTIFS($AL$2051:$AL$2550,1,$T$2051:$T$2550,T2076,$G$2051:$G$2550,G2076,$F$2051:$F$2550,F2076,$AM$2051:$AM$2550,"&lt;"&amp;AM2076))</x:f>
        <x:v>247</x:v>
      </x:c>
      <x:c r="X2076" s="1" t="n">
        <x:f>IF(AL2076=0,"",1+COUNTIFS($AL$2051:$AL$2550,1,$T$2051:$T$2550,"&gt;"&amp;T2076))</x:f>
        <x:v>243</x:v>
      </x:c>
      <x:c r="Y2076" s="1" t="n">
        <x:f>IF(AND(H2076="Yes",OR(LEN('School Search'!$B$5)=0,ISNUMBER(SEARCH('School Search'!$B$5,B2076&amp;" "&amp;E2076&amp;" "&amp;A2076))),OR('School Search'!$D$5="All",C2076='School Search'!$D$5),OR('School Search'!$G$5="All eligible",AND('School Search'!$G$5="Not marked served",J2076&lt;&gt;"Yes"),AND('School Search'!$G$5="Missing data",V2076="Missing data"),AND('School Search'!$G$5="Marked served",J2076="Yes"))),1,0)</x:f>
        <x:v>1</x:v>
      </x:c>
      <x:c r="Z2076" s="1" t="n">
        <x:f>IF(Y2076=0,"",COUNTIFS($Y$2051:$Y$2550,1,$AO$2051:$AO$2550,"&lt;"&amp;AO2076)+COUNTIFS($Y$2051:Y2076,1,$AO$2051:AO2076,AO2076))</x:f>
        <x:v>247</x:v>
      </x:c>
      <x:c r="AA2076" s="1" t="str">
        <x:f>IF(NOT(ISNUMBER(S2076)),"Missing demographic or access input",TEXT(G2076,"0%")&amp;" economic need; "&amp;TEXT(K2076,"0.00")&amp;" mi fresh access; "&amp;L2076&amp;" nearby resources")</x:f>
        <x:v>83% economic need; 0.23 mi fresh access; 15 nearby resources</x:v>
      </x:c>
      <x:c r="AB2076" s="1" t="n">
        <x:f>IF(OR(A2076="",COUNTIFS($A$1531:$A$2030,A2076)&lt;&gt;1),0,MATCH(A2076,$A$1531:$A$2030,0))</x:f>
        <x:v>26</x:v>
      </x:c>
      <x:c r="AC2076" s="1" t="str">
        <x:f>IF(AB2076=0,"",INDEX($E$1531:$E$2030,AB2076))</x:f>
        <x:v>ALDI 54</x:v>
      </x:c>
      <x:c r="AD2076" s="1" t="str">
        <x:f>IF(AB2076=0,"",INDEX($F$1531:$F$2030,AB2076))</x:f>
        <x:v>4421 Market St, Philadelphia, PA, 19104</x:v>
      </x:c>
      <x:c r="AE2076" s="1" t="str">
        <x:f>IF(A2076="","",F27)</x:f>
        <x:v>4550 HAVERFORD AVE</x:v>
      </x:c>
      <x:c r="AF2076" s="1" t="n">
        <x:f>IF(ISNUMBER(I27),I27,"")</x:f>
        <x:v>39.96262376</x:v>
      </x:c>
      <x:c r="AG2076" s="1" t="n">
        <x:f>IF(ISNUMBER(J27),J27,"")</x:f>
        <x:v>-75.21245097</x:v>
      </x:c>
      <x:c r="AH2076" s="1" t="str">
        <x:f>IF(I2076=0,"Not contacted",IF(INDEX('Staff Review'!$J$8:$J$507,I2076)="","Not contacted",INDEX('Staff Review'!$J$8:$J$507,I2076)))</x:f>
        <x:v>Not contacted</x:v>
      </x:c>
      <x:c r="AI2076" s="1" t="str">
        <x:f>IF(I2076=0,"No",IF(AND(COUNT(INDEX('Staff Review'!$D$8:$D$507,I2076))=1,INDEX('Staff Review'!$D$8:$D$507,I2076)&gt;=0,COUNT(INDEX('Staff Review'!$E$8:$E$507,I2076))=1,INDEX('Staff Review'!$E$8:$E$507,I2076)&gt;0,INDEX('Staff Review'!$E$8:$E$507,I2076)&lt;='Top 15'!$E$5,'Top 15'!$E$5-INDEX('Staff Review'!$E$8:$E$507,I2076)&lt;='Top 15'!$H$5,LEN(INDEX('Staff Review'!$H$8:$H$507,I2076))&gt;0),"Yes","No"))</x:f>
        <x:v>No</x:v>
      </x:c>
      <x:c r="AJ2076" s="1" t="str">
        <x:f>IF(I2076=0,"No",IF(COUNT(INDEX('Staff Review'!$F$8:$F$507,I2076))&lt;&gt;1,"No",IF(AND(INDEX('Staff Review'!$F$8:$F$507,I2076)&gt;=0,MOD(INDEX('Staff Review'!$F$8:$F$507,I2076),1)=0,COUNT(INDEX('Staff Review'!$G$8:$G$507,I2076))=1,INDEX('Staff Review'!$G$8:$G$507,I2076)&gt;0,INDEX('Staff Review'!$G$8:$G$507,I2076)&lt;='Top 15'!$E$5,'Top 15'!$E$5-INDEX('Staff Review'!$G$8:$G$507,I2076)&lt;='Top 15'!$H$5,LEN(INDEX('Staff Review'!$H$8:$H$507,I2076))&gt;0),"Yes","No")))</x:f>
        <x:v>No</x:v>
      </x:c>
      <x:c r="AK2076" s="1" t="n">
        <x:f>IF(A2076="",0,COUNTIFS($A$2:$A$501,A2076))</x:f>
        <x:v>1</x:v>
      </x:c>
      <x:c r="AL2076" s="1" t="n">
        <x:f>IF(V2076="Candidate",1,0)</x:f>
        <x:v>1</x:v>
      </x:c>
      <x:c r="AM2076" s="1" t="n">
        <x:f>IF(A2076="",0,VALUE(A2076))</x:f>
        <x:v>1470</x:v>
      </x:c>
      <x:c r="AN2076" s="1" t="n">
        <x:f>IF(OR(A2076="",COUNTIFS($T$41:$T$540,A2076)&lt;&gt;1),0,MATCH(A2076,$T$41:$T$540,0))</x:f>
        <x:v>26</x:v>
      </x:c>
      <x:c r="AO2076" t="n">
        <x:f>IF(ISNUMBER(W2076),W2076,10000+AM2076)</x:f>
        <x:v>247</x:v>
      </x:c>
    </x:row>
    <x:row r="2077" ht="22" customHeight="1">
      <x:c r="A2077" s="1" t="str">
        <x:f>IF(A28="","",A28)</x:f>
        <x:v>1490</x:v>
      </x:c>
      <x:c r="B2077" s="1" t="str">
        <x:f>IF(A2077="","",B28)</x:f>
        <x:v>Rudolph Blankenburg School</x:v>
      </x:c>
      <x:c r="C2077" s="1" t="str">
        <x:f>IF(A2077="","",C28)</x:f>
        <x:v>District</x:v>
      </x:c>
      <x:c r="D2077" s="1" t="str">
        <x:f>IF(A2077="","",E28)</x:f>
        <x:v>Elementary-Middle</x:v>
      </x:c>
      <x:c r="E2077" s="1" t="str">
        <x:f>IF(A2077="","",H28)</x:f>
        <x:v>19131</x:v>
      </x:c>
      <x:c r="F2077" s="1" t="n">
        <x:f>IF(ISNUMBER(K28),K28,"")</x:f>
        <x:v>228</x:v>
      </x:c>
      <x:c r="G2077" s="1" t="n">
        <x:f>IF(ISNUMBER(L28),L28,"")</x:f>
        <x:v>0.8979</x:v>
      </x:c>
      <x:c r="H2077" s="1" t="str">
        <x:f>IF(A2077="","",IF(AND(UPPER(G28)="PHILADELPHIA",OR(C2077="District",AND(C2077="Charter",D28="Yes"))),"Yes","No"))</x:f>
        <x:v>Yes</x:v>
      </x:c>
      <x:c r="I2077" s="1" t="n">
        <x:f>IF(OR(A2077="",COUNTIFS('Staff Review'!$A$8:$A$507,A2077)&lt;&gt;1),0,MATCH(A2077,'Staff Review'!$A$8:$A$507,0))</x:f>
        <x:v>256</x:v>
      </x:c>
      <x:c r="J2077" s="1" t="str">
        <x:f>IF(I2077=0,"No",IF(INDEX('Staff Review'!$C$8:$C$507,I2077)="Yes","Yes","No"))</x:f>
        <x:v>No</x:v>
      </x:c>
      <x:c r="K2077" s="1" t="n">
        <x:f>IF(AI2077="Yes",INDEX('Staff Review'!$D$8:$D$507,I2077),IF(AB2077=0,"",IF(COUNT(INDEX($C$1531:$C$2030,AB2077))=1,INDEX($C$1531:$C$2030,AB2077),"")))</x:f>
        <x:v>0.44216629364402876</x:v>
      </x:c>
      <x:c r="L2077" s="1" t="n">
        <x:f>IF(AJ2077="Yes",INDEX('Staff Review'!$F$8:$F$507,I2077),IF(AB2077=0,"",IF(COUNT(INDEX($G$1531:$G$2030,AB2077))=1,INDEX($G$1531:$G$2030,AB2077),"")))</x:f>
        <x:v>9</x:v>
      </x:c>
      <x:c r="M2077" s="1" t="str">
        <x:f>IF(A2077="","",IF(AI2077="Yes","Verified","Listed"))</x:f>
        <x:v>Listed</x:v>
      </x:c>
      <x:c r="N2077" s="1" t="str">
        <x:f>IF(A2077="","",IF(AJ2077="Yes","Verified","Listed"))</x:f>
        <x:v>Listed</x:v>
      </x:c>
      <x:c r="O2077" s="1" t="n">
        <x:f>IF(AND(ISNUMBER(G2077),G2077&gt;=0,G2077&lt;=1),IF(G2077&gt;=0.9,30,IF(G2077&gt;=0.8,25,IF(G2077&gt;=0.7,20,IF(G2077&gt;=0.6,15,IF(G2077&gt;=0.5,10,IF(G2077&gt;=0.4,5,0)))))),"")</x:f>
        <x:v>25</x:v>
      </x:c>
      <x:c r="P2077" s="1" t="n">
        <x:f>IF(ISNUMBER(K2077),IF(K2077&lt;0,"",IF(K2077&gt;1,25,IF(K2077&gt;=0.75,20,IF(K2077&gt;=0.5,15,IF(K2077&gt;=0.25,10,5))))),"")</x:f>
        <x:v>10</x:v>
      </x:c>
      <x:c r="Q2077" s="1" t="n">
        <x:f>IF(NOT(ISNUMBER(L2077)),"",IF(AND(L2077&gt;=0,MOD(L2077,1)=0),MAX(0,25-5*L2077),""))</x:f>
        <x:v>0</x:v>
      </x:c>
      <x:c r="R2077" s="1" t="n">
        <x:f>IF(NOT(ISNUMBER(F2077)),"",IF(AND(F2077&gt;0,MOD(F2077,1)=0),IF(F2077&gt;=700,5,IF(F2077&gt;=500,4,IF(F2077&gt;=350,3,IF(F2077&gt;=200,2,1)))),""))</x:f>
        <x:v>2</x:v>
      </x:c>
      <x:c r="S2077" s="1" t="n">
        <x:f>IF(COUNT(O2077:R2077)=4,SUM(O2077:R2077),"")</x:f>
        <x:v>37</x:v>
      </x:c>
      <x:c r="T2077" s="1" t="n">
        <x:f>IF(OR(COUNT(O2077:R2077)&lt;&gt;4,COUNT('Top 15'!$B$35:$E$35)&lt;&gt;4,MIN('Top 15'!$B$35:$E$35)&lt;0,SUM('Top 15'!$B$35:$E$35)&lt;=0),"",ROUND(85*(O2077/30*'Top 15'!$B$35+P2077/25*'Top 15'!$C$35+Q2077/25*'Top 15'!$D$35+R2077/5*'Top 15'!$E$35)/SUM('Top 15'!$B$35:$E$35),6))</x:f>
        <x:v>37</x:v>
      </x:c>
      <x:c r="U2077" s="1" t="str">
        <x:f>IF(A2077="","",IF(AND(M2077="Verified",N2077="Verified"),"Verified",IF(AND(M2077="Listed",N2077="Listed"),"Listed","Mixed")))</x:f>
        <x:v>Listed</x:v>
      </x:c>
      <x:c r="V2077" s="1" t="str">
        <x:f>IF(A2077="","",IF(AK2077&lt;&gt;1,"Duplicate source ID",IF(COUNTIFS('Staff Review'!$A$8:$A$507,A2077)&gt;1,"Duplicate review ID",IF(H2077&lt;&gt;"Yes","Outside scope",IF(J2077="Yes","Already served",IF(NOT(ISNUMBER(T2077)),"Missing data","Candidate"))))))</x:f>
        <x:v>Candidate</x:v>
      </x:c>
      <x:c r="W2077" s="1" t="n">
        <x:f>IF(AL2077=0,"",1+COUNTIFS($AL$2051:$AL$2550,1,$T$2051:$T$2550,"&gt;"&amp;T2077)+COUNTIFS($AL$2051:$AL$2550,1,$T$2051:$T$2550,T2077,$G$2051:$G$2550,"&gt;"&amp;G2077)+COUNTIFS($AL$2051:$AL$2550,1,$T$2051:$T$2550,T2077,$G$2051:$G$2550,G2077,$F$2051:$F$2550,"&gt;"&amp;F2077)+COUNTIFS($AL$2051:$AL$2550,1,$T$2051:$T$2550,T2077,$G$2051:$G$2550,G2077,$F$2051:$F$2550,F2077,$AM$2051:$AM$2550,"&lt;"&amp;AM2077))</x:f>
        <x:v>183</x:v>
      </x:c>
      <x:c r="X2077" s="1" t="n">
        <x:f>IF(AL2077=0,"",1+COUNTIFS($AL$2051:$AL$2550,1,$T$2051:$T$2550,"&gt;"&amp;T2077))</x:f>
        <x:v>182</x:v>
      </x:c>
      <x:c r="Y2077" s="1" t="n">
        <x:f>IF(AND(H2077="Yes",OR(LEN('School Search'!$B$5)=0,ISNUMBER(SEARCH('School Search'!$B$5,B2077&amp;" "&amp;E2077&amp;" "&amp;A2077))),OR('School Search'!$D$5="All",C2077='School Search'!$D$5),OR('School Search'!$G$5="All eligible",AND('School Search'!$G$5="Not marked served",J2077&lt;&gt;"Yes"),AND('School Search'!$G$5="Missing data",V2077="Missing data"),AND('School Search'!$G$5="Marked served",J2077="Yes"))),1,0)</x:f>
        <x:v>1</x:v>
      </x:c>
      <x:c r="Z2077" s="1" t="n">
        <x:f>IF(Y2077=0,"",COUNTIFS($Y$2051:$Y$2550,1,$AO$2051:$AO$2550,"&lt;"&amp;AO2077)+COUNTIFS($Y$2051:Y2077,1,$AO$2051:AO2077,AO2077))</x:f>
        <x:v>183</x:v>
      </x:c>
      <x:c r="AA2077" s="1" t="str">
        <x:f>IF(NOT(ISNUMBER(S2077)),"Missing demographic or access input",TEXT(G2077,"0%")&amp;" economic need; "&amp;TEXT(K2077,"0.00")&amp;" mi fresh access; "&amp;L2077&amp;" nearby resources")</x:f>
        <x:v>90% economic need; 0.44 mi fresh access; 9 nearby resources</x:v>
      </x:c>
      <x:c r="AB2077" s="1" t="n">
        <x:f>IF(OR(A2077="",COUNTIFS($A$1531:$A$2030,A2077)&lt;&gt;1),0,MATCH(A2077,$A$1531:$A$2030,0))</x:f>
        <x:v>27</x:v>
      </x:c>
      <x:c r="AC2077" s="1" t="str">
        <x:f>IF(AB2077=0,"",INDEX($E$1531:$E$2030,AB2077))</x:f>
        <x:v>Cousin's Fresh Market 2 Inc</x:v>
      </x:c>
      <x:c r="AD2077" s="1" t="str">
        <x:f>IF(AB2077=0,"",INDEX($F$1531:$F$2030,AB2077))</x:f>
        <x:v>5429 W Girard Ave, Philadelphia, PA, 19131</x:v>
      </x:c>
      <x:c r="AE2077" s="1" t="str">
        <x:f>IF(A2077="","",F28)</x:f>
        <x:v>4600 W GIRARD AVE</x:v>
      </x:c>
      <x:c r="AF2077" s="1" t="n">
        <x:f>IF(ISNUMBER(I28),I28,"")</x:f>
        <x:v>39.97296312</x:v>
      </x:c>
      <x:c r="AG2077" s="1" t="n">
        <x:f>IF(ISNUMBER(J28),J28,"")</x:f>
        <x:v>-75.21388868</x:v>
      </x:c>
      <x:c r="AH2077" s="1" t="str">
        <x:f>IF(I2077=0,"Not contacted",IF(INDEX('Staff Review'!$J$8:$J$507,I2077)="","Not contacted",INDEX('Staff Review'!$J$8:$J$507,I2077)))</x:f>
        <x:v>Not contacted</x:v>
      </x:c>
      <x:c r="AI2077" s="1" t="str">
        <x:f>IF(I2077=0,"No",IF(AND(COUNT(INDEX('Staff Review'!$D$8:$D$507,I2077))=1,INDEX('Staff Review'!$D$8:$D$507,I2077)&gt;=0,COUNT(INDEX('Staff Review'!$E$8:$E$507,I2077))=1,INDEX('Staff Review'!$E$8:$E$507,I2077)&gt;0,INDEX('Staff Review'!$E$8:$E$507,I2077)&lt;='Top 15'!$E$5,'Top 15'!$E$5-INDEX('Staff Review'!$E$8:$E$507,I2077)&lt;='Top 15'!$H$5,LEN(INDEX('Staff Review'!$H$8:$H$507,I2077))&gt;0),"Yes","No"))</x:f>
        <x:v>No</x:v>
      </x:c>
      <x:c r="AJ2077" s="1" t="str">
        <x:f>IF(I2077=0,"No",IF(COUNT(INDEX('Staff Review'!$F$8:$F$507,I2077))&lt;&gt;1,"No",IF(AND(INDEX('Staff Review'!$F$8:$F$507,I2077)&gt;=0,MOD(INDEX('Staff Review'!$F$8:$F$507,I2077),1)=0,COUNT(INDEX('Staff Review'!$G$8:$G$507,I2077))=1,INDEX('Staff Review'!$G$8:$G$507,I2077)&gt;0,INDEX('Staff Review'!$G$8:$G$507,I2077)&lt;='Top 15'!$E$5,'Top 15'!$E$5-INDEX('Staff Review'!$G$8:$G$507,I2077)&lt;='Top 15'!$H$5,LEN(INDEX('Staff Review'!$H$8:$H$507,I2077))&gt;0),"Yes","No")))</x:f>
        <x:v>No</x:v>
      </x:c>
      <x:c r="AK2077" s="1" t="n">
        <x:f>IF(A2077="",0,COUNTIFS($A$2:$A$501,A2077))</x:f>
        <x:v>1</x:v>
      </x:c>
      <x:c r="AL2077" s="1" t="n">
        <x:f>IF(V2077="Candidate",1,0)</x:f>
        <x:v>1</x:v>
      </x:c>
      <x:c r="AM2077" s="1" t="n">
        <x:f>IF(A2077="",0,VALUE(A2077))</x:f>
        <x:v>1490</x:v>
      </x:c>
      <x:c r="AN2077" s="1" t="n">
        <x:f>IF(OR(A2077="",COUNTIFS($T$41:$T$540,A2077)&lt;&gt;1),0,MATCH(A2077,$T$41:$T$540,0))</x:f>
        <x:v>27</x:v>
      </x:c>
      <x:c r="AO2077" t="n">
        <x:f>IF(ISNUMBER(W2077),W2077,10000+AM2077)</x:f>
        <x:v>183</x:v>
      </x:c>
    </x:row>
    <x:row r="2078" ht="22" customHeight="1">
      <x:c r="A2078" s="1" t="str">
        <x:f>IF(A29="","",A29)</x:f>
        <x:v>1580</x:v>
      </x:c>
      <x:c r="B2078" s="1" t="str">
        <x:f>IF(A2078="","",B29)</x:f>
        <x:v>Middle Years Alternative School</x:v>
      </x:c>
      <x:c r="C2078" s="1" t="str">
        <x:f>IF(A2078="","",C29)</x:f>
        <x:v>District</x:v>
      </x:c>
      <x:c r="D2078" s="1" t="str">
        <x:f>IF(A2078="","",E29)</x:f>
        <x:v>Middle</x:v>
      </x:c>
      <x:c r="E2078" s="1" t="str">
        <x:f>IF(A2078="","",H29)</x:f>
        <x:v>19139</x:v>
      </x:c>
      <x:c r="F2078" s="1" t="n">
        <x:f>IF(ISNUMBER(K29),K29,"")</x:f>
        <x:v>122</x:v>
      </x:c>
      <x:c r="G2078" s="1" t="n">
        <x:f>IF(ISNUMBER(L29),L29,"")</x:f>
        <x:v>0.8</x:v>
      </x:c>
      <x:c r="H2078" s="1" t="str">
        <x:f>IF(A2078="","",IF(AND(UPPER(G29)="PHILADELPHIA",OR(C2078="District",AND(C2078="Charter",D29="Yes"))),"Yes","No"))</x:f>
        <x:v>Yes</x:v>
      </x:c>
      <x:c r="I2078" s="1" t="n">
        <x:f>IF(OR(A2078="",COUNTIFS('Staff Review'!$A$8:$A$507,A2078)&lt;&gt;1),0,MATCH(A2078,'Staff Review'!$A$8:$A$507,0))</x:f>
        <x:v>199</x:v>
      </x:c>
      <x:c r="J2078" s="1" t="str">
        <x:f>IF(I2078=0,"No",IF(INDEX('Staff Review'!$C$8:$C$507,I2078)="Yes","Yes","No"))</x:f>
        <x:v>No</x:v>
      </x:c>
      <x:c r="K2078" s="1" t="n">
        <x:f>IF(AI2078="Yes",INDEX('Staff Review'!$D$8:$D$507,I2078),IF(AB2078=0,"",IF(COUNT(INDEX($C$1531:$C$2030,AB2078))=1,INDEX($C$1531:$C$2030,AB2078),"")))</x:f>
        <x:v>0.36728004506671763</x:v>
      </x:c>
      <x:c r="L2078" s="1" t="n">
        <x:f>IF(AJ2078="Yes",INDEX('Staff Review'!$F$8:$F$507,I2078),IF(AB2078=0,"",IF(COUNT(INDEX($G$1531:$G$2030,AB2078))=1,INDEX($G$1531:$G$2030,AB2078),"")))</x:f>
        <x:v>14</x:v>
      </x:c>
      <x:c r="M2078" s="1" t="str">
        <x:f>IF(A2078="","",IF(AI2078="Yes","Verified","Listed"))</x:f>
        <x:v>Listed</x:v>
      </x:c>
      <x:c r="N2078" s="1" t="str">
        <x:f>IF(A2078="","",IF(AJ2078="Yes","Verified","Listed"))</x:f>
        <x:v>Listed</x:v>
      </x:c>
      <x:c r="O2078" s="1" t="n">
        <x:f>IF(AND(ISNUMBER(G2078),G2078&gt;=0,G2078&lt;=1),IF(G2078&gt;=0.9,30,IF(G2078&gt;=0.8,25,IF(G2078&gt;=0.7,20,IF(G2078&gt;=0.6,15,IF(G2078&gt;=0.5,10,IF(G2078&gt;=0.4,5,0)))))),"")</x:f>
        <x:v>25</x:v>
      </x:c>
      <x:c r="P2078" s="1" t="n">
        <x:f>IF(ISNUMBER(K2078),IF(K2078&lt;0,"",IF(K2078&gt;1,25,IF(K2078&gt;=0.75,20,IF(K2078&gt;=0.5,15,IF(K2078&gt;=0.25,10,5))))),"")</x:f>
        <x:v>10</x:v>
      </x:c>
      <x:c r="Q2078" s="1" t="n">
        <x:f>IF(NOT(ISNUMBER(L2078)),"",IF(AND(L2078&gt;=0,MOD(L2078,1)=0),MAX(0,25-5*L2078),""))</x:f>
        <x:v>0</x:v>
      </x:c>
      <x:c r="R2078" s="1" t="n">
        <x:f>IF(NOT(ISNUMBER(F2078)),"",IF(AND(F2078&gt;0,MOD(F2078,1)=0),IF(F2078&gt;=700,5,IF(F2078&gt;=500,4,IF(F2078&gt;=350,3,IF(F2078&gt;=200,2,1)))),""))</x:f>
        <x:v>1</x:v>
      </x:c>
      <x:c r="S2078" s="1" t="n">
        <x:f>IF(COUNT(O2078:R2078)=4,SUM(O2078:R2078),"")</x:f>
        <x:v>36</x:v>
      </x:c>
      <x:c r="T2078" s="1" t="n">
        <x:f>IF(OR(COUNT(O2078:R2078)&lt;&gt;4,COUNT('Top 15'!$B$35:$E$35)&lt;&gt;4,MIN('Top 15'!$B$35:$E$35)&lt;0,SUM('Top 15'!$B$35:$E$35)&lt;=0),"",ROUND(85*(O2078/30*'Top 15'!$B$35+P2078/25*'Top 15'!$C$35+Q2078/25*'Top 15'!$D$35+R2078/5*'Top 15'!$E$35)/SUM('Top 15'!$B$35:$E$35),6))</x:f>
        <x:v>36</x:v>
      </x:c>
      <x:c r="U2078" s="1" t="str">
        <x:f>IF(A2078="","",IF(AND(M2078="Verified",N2078="Verified"),"Verified",IF(AND(M2078="Listed",N2078="Listed"),"Listed","Mixed")))</x:f>
        <x:v>Listed</x:v>
      </x:c>
      <x:c r="V2078" s="1" t="str">
        <x:f>IF(A2078="","",IF(AK2078&lt;&gt;1,"Duplicate source ID",IF(COUNTIFS('Staff Review'!$A$8:$A$507,A2078)&gt;1,"Duplicate review ID",IF(H2078&lt;&gt;"Yes","Outside scope",IF(J2078="Yes","Already served",IF(NOT(ISNUMBER(T2078)),"Missing data","Candidate"))))))</x:f>
        <x:v>Candidate</x:v>
      </x:c>
      <x:c r="W2078" s="1" t="n">
        <x:f>IF(AL2078=0,"",1+COUNTIFS($AL$2051:$AL$2550,1,$T$2051:$T$2550,"&gt;"&amp;T2078)+COUNTIFS($AL$2051:$AL$2550,1,$T$2051:$T$2550,T2078,$G$2051:$G$2550,"&gt;"&amp;G2078)+COUNTIFS($AL$2051:$AL$2550,1,$T$2051:$T$2550,T2078,$G$2051:$G$2550,G2078,$F$2051:$F$2550,"&gt;"&amp;F2078)+COUNTIFS($AL$2051:$AL$2550,1,$T$2051:$T$2550,T2078,$G$2051:$G$2550,G2078,$F$2051:$F$2550,F2078,$AM$2051:$AM$2550,"&lt;"&amp;AM2078))</x:f>
        <x:v>208</x:v>
      </x:c>
      <x:c r="X2078" s="1" t="n">
        <x:f>IF(AL2078=0,"",1+COUNTIFS($AL$2051:$AL$2550,1,$T$2051:$T$2550,"&gt;"&amp;T2078))</x:f>
        <x:v>205</x:v>
      </x:c>
      <x:c r="Y2078" s="1" t="n">
        <x:f>IF(AND(H2078="Yes",OR(LEN('School Search'!$B$5)=0,ISNUMBER(SEARCH('School Search'!$B$5,B2078&amp;" "&amp;E2078&amp;" "&amp;A2078))),OR('School Search'!$D$5="All",C2078='School Search'!$D$5),OR('School Search'!$G$5="All eligible",AND('School Search'!$G$5="Not marked served",J2078&lt;&gt;"Yes"),AND('School Search'!$G$5="Missing data",V2078="Missing data"),AND('School Search'!$G$5="Marked served",J2078="Yes"))),1,0)</x:f>
        <x:v>1</x:v>
      </x:c>
      <x:c r="Z2078" s="1" t="n">
        <x:f>IF(Y2078=0,"",COUNTIFS($Y$2051:$Y$2550,1,$AO$2051:$AO$2550,"&lt;"&amp;AO2078)+COUNTIFS($Y$2051:Y2078,1,$AO$2051:AO2078,AO2078))</x:f>
        <x:v>208</x:v>
      </x:c>
      <x:c r="AA2078" s="1" t="str">
        <x:f>IF(NOT(ISNUMBER(S2078)),"Missing demographic or access input",TEXT(G2078,"0%")&amp;" economic need; "&amp;TEXT(K2078,"0.00")&amp;" mi fresh access; "&amp;L2078&amp;" nearby resources")</x:f>
        <x:v>80% economic need; 0.37 mi fresh access; 14 nearby resources</x:v>
      </x:c>
      <x:c r="AB2078" s="1" t="n">
        <x:f>IF(OR(A2078="",COUNTIFS($A$1531:$A$2030,A2078)&lt;&gt;1),0,MATCH(A2078,$A$1531:$A$2030,0))</x:f>
        <x:v>28</x:v>
      </x:c>
      <x:c r="AC2078" s="1" t="str">
        <x:f>IF(AB2078=0,"",INDEX($E$1531:$E$2030,AB2078))</x:f>
        <x:v>ALDI 54</x:v>
      </x:c>
      <x:c r="AD2078" s="1" t="str">
        <x:f>IF(AB2078=0,"",INDEX($F$1531:$F$2030,AB2078))</x:f>
        <x:v>4421 Market St, Philadelphia, PA, 19104</x:v>
      </x:c>
      <x:c r="AE2078" s="1" t="str">
        <x:f>IF(A2078="","",F29)</x:f>
        <x:v>4725 FAIRMOUNT AVE</x:v>
      </x:c>
      <x:c r="AF2078" s="1" t="n">
        <x:f>IF(ISNUMBER(I29),I29,"")</x:f>
        <x:v>39.96425379</x:v>
      </x:c>
      <x:c r="AG2078" s="1" t="n">
        <x:f>IF(ISNUMBER(J29),J29,"")</x:f>
        <x:v>-75.21546704</x:v>
      </x:c>
      <x:c r="AH2078" s="1" t="str">
        <x:f>IF(I2078=0,"Not contacted",IF(INDEX('Staff Review'!$J$8:$J$507,I2078)="","Not contacted",INDEX('Staff Review'!$J$8:$J$507,I2078)))</x:f>
        <x:v>Not contacted</x:v>
      </x:c>
      <x:c r="AI2078" s="1" t="str">
        <x:f>IF(I2078=0,"No",IF(AND(COUNT(INDEX('Staff Review'!$D$8:$D$507,I2078))=1,INDEX('Staff Review'!$D$8:$D$507,I2078)&gt;=0,COUNT(INDEX('Staff Review'!$E$8:$E$507,I2078))=1,INDEX('Staff Review'!$E$8:$E$507,I2078)&gt;0,INDEX('Staff Review'!$E$8:$E$507,I2078)&lt;='Top 15'!$E$5,'Top 15'!$E$5-INDEX('Staff Review'!$E$8:$E$507,I2078)&lt;='Top 15'!$H$5,LEN(INDEX('Staff Review'!$H$8:$H$507,I2078))&gt;0),"Yes","No"))</x:f>
        <x:v>No</x:v>
      </x:c>
      <x:c r="AJ2078" s="1" t="str">
        <x:f>IF(I2078=0,"No",IF(COUNT(INDEX('Staff Review'!$F$8:$F$507,I2078))&lt;&gt;1,"No",IF(AND(INDEX('Staff Review'!$F$8:$F$507,I2078)&gt;=0,MOD(INDEX('Staff Review'!$F$8:$F$507,I2078),1)=0,COUNT(INDEX('Staff Review'!$G$8:$G$507,I2078))=1,INDEX('Staff Review'!$G$8:$G$507,I2078)&gt;0,INDEX('Staff Review'!$G$8:$G$507,I2078)&lt;='Top 15'!$E$5,'Top 15'!$E$5-INDEX('Staff Review'!$G$8:$G$507,I2078)&lt;='Top 15'!$H$5,LEN(INDEX('Staff Review'!$H$8:$H$507,I2078))&gt;0),"Yes","No")))</x:f>
        <x:v>No</x:v>
      </x:c>
      <x:c r="AK2078" s="1" t="n">
        <x:f>IF(A2078="",0,COUNTIFS($A$2:$A$501,A2078))</x:f>
        <x:v>1</x:v>
      </x:c>
      <x:c r="AL2078" s="1" t="n">
        <x:f>IF(V2078="Candidate",1,0)</x:f>
        <x:v>1</x:v>
      </x:c>
      <x:c r="AM2078" s="1" t="n">
        <x:f>IF(A2078="",0,VALUE(A2078))</x:f>
        <x:v>1580</x:v>
      </x:c>
      <x:c r="AN2078" s="1" t="n">
        <x:f>IF(OR(A2078="",COUNTIFS($T$41:$T$540,A2078)&lt;&gt;1),0,MATCH(A2078,$T$41:$T$540,0))</x:f>
        <x:v>28</x:v>
      </x:c>
      <x:c r="AO2078" t="n">
        <x:f>IF(ISNUMBER(W2078),W2078,10000+AM2078)</x:f>
        <x:v>208</x:v>
      </x:c>
    </x:row>
    <x:row r="2079" ht="22" customHeight="1">
      <x:c r="A2079" s="1" t="str">
        <x:f>IF(A30="","",A30)</x:f>
        <x:v>2000</x:v>
      </x:c>
      <x:c r="B2079" s="1" t="str">
        <x:f>IF(A2079="","",B30)</x:f>
        <x:v>South Philadelphia High School</x:v>
      </x:c>
      <x:c r="C2079" s="1" t="str">
        <x:f>IF(A2079="","",C30)</x:f>
        <x:v>District</x:v>
      </x:c>
      <x:c r="D2079" s="1" t="str">
        <x:f>IF(A2079="","",E30)</x:f>
        <x:v>High</x:v>
      </x:c>
      <x:c r="E2079" s="1" t="str">
        <x:f>IF(A2079="","",H30)</x:f>
        <x:v>19148</x:v>
      </x:c>
      <x:c r="F2079" s="1" t="n">
        <x:f>IF(ISNUMBER(K30),K30,"")</x:f>
        <x:v>647</x:v>
      </x:c>
      <x:c r="G2079" s="1" t="n">
        <x:f>IF(ISNUMBER(L30),L30,"")</x:f>
        <x:v>0.7803</x:v>
      </x:c>
      <x:c r="H2079" s="1" t="str">
        <x:f>IF(A2079="","",IF(AND(UPPER(G30)="PHILADELPHIA",OR(C2079="District",AND(C2079="Charter",D30="Yes"))),"Yes","No"))</x:f>
        <x:v>Yes</x:v>
      </x:c>
      <x:c r="I2079" s="1" t="n">
        <x:f>IF(OR(A2079="",COUNTIFS('Staff Review'!$A$8:$A$507,A2079)&lt;&gt;1),0,MATCH(A2079,'Staff Review'!$A$8:$A$507,0))</x:f>
        <x:v>270</x:v>
      </x:c>
      <x:c r="J2079" s="1" t="str">
        <x:f>IF(I2079=0,"No",IF(INDEX('Staff Review'!$C$8:$C$507,I2079)="Yes","Yes","No"))</x:f>
        <x:v>No</x:v>
      </x:c>
      <x:c r="K2079" s="1" t="n">
        <x:f>IF(AI2079="Yes",INDEX('Staff Review'!$D$8:$D$507,I2079),IF(AB2079=0,"",IF(COUNT(INDEX($C$1531:$C$2030,AB2079))=1,INDEX($C$1531:$C$2030,AB2079),"")))</x:f>
        <x:v>0.0677150100802512</x:v>
      </x:c>
      <x:c r="L2079" s="1" t="n">
        <x:f>IF(AJ2079="Yes",INDEX('Staff Review'!$F$8:$F$507,I2079),IF(AB2079=0,"",IF(COUNT(INDEX($G$1531:$G$2030,AB2079))=1,INDEX($G$1531:$G$2030,AB2079),"")))</x:f>
        <x:v>10</x:v>
      </x:c>
      <x:c r="M2079" s="1" t="str">
        <x:f>IF(A2079="","",IF(AI2079="Yes","Verified","Listed"))</x:f>
        <x:v>Listed</x:v>
      </x:c>
      <x:c r="N2079" s="1" t="str">
        <x:f>IF(A2079="","",IF(AJ2079="Yes","Verified","Listed"))</x:f>
        <x:v>Listed</x:v>
      </x:c>
      <x:c r="O2079" s="1" t="n">
        <x:f>IF(AND(ISNUMBER(G2079),G2079&gt;=0,G2079&lt;=1),IF(G2079&gt;=0.9,30,IF(G2079&gt;=0.8,25,IF(G2079&gt;=0.7,20,IF(G2079&gt;=0.6,15,IF(G2079&gt;=0.5,10,IF(G2079&gt;=0.4,5,0)))))),"")</x:f>
        <x:v>20</x:v>
      </x:c>
      <x:c r="P2079" s="1" t="n">
        <x:f>IF(ISNUMBER(K2079),IF(K2079&lt;0,"",IF(K2079&gt;1,25,IF(K2079&gt;=0.75,20,IF(K2079&gt;=0.5,15,IF(K2079&gt;=0.25,10,5))))),"")</x:f>
        <x:v>5</x:v>
      </x:c>
      <x:c r="Q2079" s="1" t="n">
        <x:f>IF(NOT(ISNUMBER(L2079)),"",IF(AND(L2079&gt;=0,MOD(L2079,1)=0),MAX(0,25-5*L2079),""))</x:f>
        <x:v>0</x:v>
      </x:c>
      <x:c r="R2079" s="1" t="n">
        <x:f>IF(NOT(ISNUMBER(F2079)),"",IF(AND(F2079&gt;0,MOD(F2079,1)=0),IF(F2079&gt;=700,5,IF(F2079&gt;=500,4,IF(F2079&gt;=350,3,IF(F2079&gt;=200,2,1)))),""))</x:f>
        <x:v>4</x:v>
      </x:c>
      <x:c r="S2079" s="1" t="n">
        <x:f>IF(COUNT(O2079:R2079)=4,SUM(O2079:R2079),"")</x:f>
        <x:v>29</x:v>
      </x:c>
      <x:c r="T2079" s="1" t="n">
        <x:f>IF(OR(COUNT(O2079:R2079)&lt;&gt;4,COUNT('Top 15'!$B$35:$E$35)&lt;&gt;4,MIN('Top 15'!$B$35:$E$35)&lt;0,SUM('Top 15'!$B$35:$E$35)&lt;=0),"",ROUND(85*(O2079/30*'Top 15'!$B$35+P2079/25*'Top 15'!$C$35+Q2079/25*'Top 15'!$D$35+R2079/5*'Top 15'!$E$35)/SUM('Top 15'!$B$35:$E$35),6))</x:f>
        <x:v>29</x:v>
      </x:c>
      <x:c r="U2079" s="1" t="str">
        <x:f>IF(A2079="","",IF(AND(M2079="Verified",N2079="Verified"),"Verified",IF(AND(M2079="Listed",N2079="Listed"),"Listed","Mixed")))</x:f>
        <x:v>Listed</x:v>
      </x:c>
      <x:c r="V2079" s="1" t="str">
        <x:f>IF(A2079="","",IF(AK2079&lt;&gt;1,"Duplicate source ID",IF(COUNTIFS('Staff Review'!$A$8:$A$507,A2079)&gt;1,"Duplicate review ID",IF(H2079&lt;&gt;"Yes","Outside scope",IF(J2079="Yes","Already served",IF(NOT(ISNUMBER(T2079)),"Missing data","Candidate"))))))</x:f>
        <x:v>Candidate</x:v>
      </x:c>
      <x:c r="W2079" s="1" t="n">
        <x:f>IF(AL2079=0,"",1+COUNTIFS($AL$2051:$AL$2550,1,$T$2051:$T$2550,"&gt;"&amp;T2079)+COUNTIFS($AL$2051:$AL$2550,1,$T$2051:$T$2550,T2079,$G$2051:$G$2550,"&gt;"&amp;G2079)+COUNTIFS($AL$2051:$AL$2550,1,$T$2051:$T$2550,T2079,$G$2051:$G$2550,G2079,$F$2051:$F$2550,"&gt;"&amp;F2079)+COUNTIFS($AL$2051:$AL$2550,1,$T$2051:$T$2550,T2079,$G$2051:$G$2550,G2079,$F$2051:$F$2550,F2079,$AM$2051:$AM$2550,"&lt;"&amp;AM2079))</x:f>
        <x:v>263</x:v>
      </x:c>
      <x:c r="X2079" s="1" t="n">
        <x:f>IF(AL2079=0,"",1+COUNTIFS($AL$2051:$AL$2550,1,$T$2051:$T$2550,"&gt;"&amp;T2079))</x:f>
        <x:v>263</x:v>
      </x:c>
      <x:c r="Y2079" s="1" t="n">
        <x:f>IF(AND(H2079="Yes",OR(LEN('School Search'!$B$5)=0,ISNUMBER(SEARCH('School Search'!$B$5,B2079&amp;" "&amp;E2079&amp;" "&amp;A2079))),OR('School Search'!$D$5="All",C2079='School Search'!$D$5),OR('School Search'!$G$5="All eligible",AND('School Search'!$G$5="Not marked served",J2079&lt;&gt;"Yes"),AND('School Search'!$G$5="Missing data",V2079="Missing data"),AND('School Search'!$G$5="Marked served",J2079="Yes"))),1,0)</x:f>
        <x:v>1</x:v>
      </x:c>
      <x:c r="Z2079" s="1" t="n">
        <x:f>IF(Y2079=0,"",COUNTIFS($Y$2051:$Y$2550,1,$AO$2051:$AO$2550,"&lt;"&amp;AO2079)+COUNTIFS($Y$2051:Y2079,1,$AO$2051:AO2079,AO2079))</x:f>
        <x:v>263</x:v>
      </x:c>
      <x:c r="AA2079" s="1" t="str">
        <x:f>IF(NOT(ISNUMBER(S2079)),"Missing demographic or access input",TEXT(G2079,"0%")&amp;" economic need; "&amp;TEXT(K2079,"0.00")&amp;" mi fresh access; "&amp;L2079&amp;" nearby resources")</x:f>
        <x:v>78% economic need; 0.07 mi fresh access; 10 nearby resources</x:v>
      </x:c>
      <x:c r="AB2079" s="1" t="n">
        <x:f>IF(OR(A2079="",COUNTIFS($A$1531:$A$2030,A2079)&lt;&gt;1),0,MATCH(A2079,$A$1531:$A$2030,0))</x:f>
        <x:v>29</x:v>
      </x:c>
      <x:c r="AC2079" s="1" t="str">
        <x:f>IF(AB2079=0,"",INDEX($E$1531:$E$2030,AB2079))</x:f>
        <x:v>South Philly Food Co-op</x:v>
      </x:c>
      <x:c r="AD2079" s="1" t="str">
        <x:f>IF(AB2079=0,"",INDEX($F$1531:$F$2030,AB2079))</x:f>
        <x:v>2031 S Juniper St, Philadelphia, PA, 19148</x:v>
      </x:c>
      <x:c r="AE2079" s="1" t="str">
        <x:f>IF(A2079="","",F30)</x:f>
        <x:v>2101 S BROAD ST</x:v>
      </x:c>
      <x:c r="AF2079" s="1" t="n">
        <x:f>IF(ISNUMBER(I30),I30,"")</x:f>
        <x:v>39.9238987</x:v>
      </x:c>
      <x:c r="AG2079" s="1" t="n">
        <x:f>IF(ISNUMBER(J30),J30,"")</x:f>
        <x:v>-75.1691065</x:v>
      </x:c>
      <x:c r="AH2079" s="1" t="str">
        <x:f>IF(I2079=0,"Not contacted",IF(INDEX('Staff Review'!$J$8:$J$507,I2079)="","Not contacted",INDEX('Staff Review'!$J$8:$J$507,I2079)))</x:f>
        <x:v>Not contacted</x:v>
      </x:c>
      <x:c r="AI2079" s="1" t="str">
        <x:f>IF(I2079=0,"No",IF(AND(COUNT(INDEX('Staff Review'!$D$8:$D$507,I2079))=1,INDEX('Staff Review'!$D$8:$D$507,I2079)&gt;=0,COUNT(INDEX('Staff Review'!$E$8:$E$507,I2079))=1,INDEX('Staff Review'!$E$8:$E$507,I2079)&gt;0,INDEX('Staff Review'!$E$8:$E$507,I2079)&lt;='Top 15'!$E$5,'Top 15'!$E$5-INDEX('Staff Review'!$E$8:$E$507,I2079)&lt;='Top 15'!$H$5,LEN(INDEX('Staff Review'!$H$8:$H$507,I2079))&gt;0),"Yes","No"))</x:f>
        <x:v>No</x:v>
      </x:c>
      <x:c r="AJ2079" s="1" t="str">
        <x:f>IF(I2079=0,"No",IF(COUNT(INDEX('Staff Review'!$F$8:$F$507,I2079))&lt;&gt;1,"No",IF(AND(INDEX('Staff Review'!$F$8:$F$507,I2079)&gt;=0,MOD(INDEX('Staff Review'!$F$8:$F$507,I2079),1)=0,COUNT(INDEX('Staff Review'!$G$8:$G$507,I2079))=1,INDEX('Staff Review'!$G$8:$G$507,I2079)&gt;0,INDEX('Staff Review'!$G$8:$G$507,I2079)&lt;='Top 15'!$E$5,'Top 15'!$E$5-INDEX('Staff Review'!$G$8:$G$507,I2079)&lt;='Top 15'!$H$5,LEN(INDEX('Staff Review'!$H$8:$H$507,I2079))&gt;0),"Yes","No")))</x:f>
        <x:v>No</x:v>
      </x:c>
      <x:c r="AK2079" s="1" t="n">
        <x:f>IF(A2079="",0,COUNTIFS($A$2:$A$501,A2079))</x:f>
        <x:v>1</x:v>
      </x:c>
      <x:c r="AL2079" s="1" t="n">
        <x:f>IF(V2079="Candidate",1,0)</x:f>
        <x:v>1</x:v>
      </x:c>
      <x:c r="AM2079" s="1" t="n">
        <x:f>IF(A2079="",0,VALUE(A2079))</x:f>
        <x:v>2000</x:v>
      </x:c>
      <x:c r="AN2079" s="1" t="n">
        <x:f>IF(OR(A2079="",COUNTIFS($T$41:$T$540,A2079)&lt;&gt;1),0,MATCH(A2079,$T$41:$T$540,0))</x:f>
        <x:v>29</x:v>
      </x:c>
      <x:c r="AO2079" t="n">
        <x:f>IF(ISNUMBER(W2079),W2079,10000+AM2079)</x:f>
        <x:v>263</x:v>
      </x:c>
    </x:row>
    <x:row r="2080" ht="22" customHeight="1">
      <x:c r="A2080" s="1" t="str">
        <x:f>IF(A31="","",A31)</x:f>
        <x:v>2010</x:v>
      </x:c>
      <x:c r="B2080" s="1" t="str">
        <x:f>IF(A2080="","",B31)</x:f>
        <x:v>Benjamin Franklin High School</x:v>
      </x:c>
      <x:c r="C2080" s="1" t="str">
        <x:f>IF(A2080="","",C31)</x:f>
        <x:v>District</x:v>
      </x:c>
      <x:c r="D2080" s="1" t="str">
        <x:f>IF(A2080="","",E31)</x:f>
        <x:v>High</x:v>
      </x:c>
      <x:c r="E2080" s="1" t="str">
        <x:f>IF(A2080="","",H31)</x:f>
        <x:v>19130</x:v>
      </x:c>
      <x:c r="F2080" s="1" t="n">
        <x:f>IF(ISNUMBER(K31),K31,"")</x:f>
        <x:v>530</x:v>
      </x:c>
      <x:c r="G2080" s="1" t="n">
        <x:f>IF(ISNUMBER(L31),L31,"")</x:f>
        <x:v>0.831</x:v>
      </x:c>
      <x:c r="H2080" s="1" t="str">
        <x:f>IF(A2080="","",IF(AND(UPPER(G31)="PHILADELPHIA",OR(C2080="District",AND(C2080="Charter",D31="Yes"))),"Yes","No"))</x:f>
        <x:v>Yes</x:v>
      </x:c>
      <x:c r="I2080" s="1" t="n">
        <x:f>IF(OR(A2080="",COUNTIFS('Staff Review'!$A$8:$A$507,A2080)&lt;&gt;1),0,MATCH(A2080,'Staff Review'!$A$8:$A$507,0))</x:f>
        <x:v>32</x:v>
      </x:c>
      <x:c r="J2080" s="1" t="str">
        <x:f>IF(I2080=0,"No",IF(INDEX('Staff Review'!$C$8:$C$507,I2080)="Yes","Yes","No"))</x:f>
        <x:v>No</x:v>
      </x:c>
      <x:c r="K2080" s="1" t="n">
        <x:f>IF(AI2080="Yes",INDEX('Staff Review'!$D$8:$D$507,I2080),IF(AB2080=0,"",IF(COUNT(INDEX($C$1531:$C$2030,AB2080))=1,INDEX($C$1531:$C$2030,AB2080),"")))</x:f>
        <x:v>0.04947958575697192</x:v>
      </x:c>
      <x:c r="L2080" s="1" t="n">
        <x:f>IF(AJ2080="Yes",INDEX('Staff Review'!$F$8:$F$507,I2080),IF(AB2080=0,"",IF(COUNT(INDEX($G$1531:$G$2030,AB2080))=1,INDEX($G$1531:$G$2030,AB2080),"")))</x:f>
        <x:v>10</x:v>
      </x:c>
      <x:c r="M2080" s="1" t="str">
        <x:f>IF(A2080="","",IF(AI2080="Yes","Verified","Listed"))</x:f>
        <x:v>Listed</x:v>
      </x:c>
      <x:c r="N2080" s="1" t="str">
        <x:f>IF(A2080="","",IF(AJ2080="Yes","Verified","Listed"))</x:f>
        <x:v>Listed</x:v>
      </x:c>
      <x:c r="O2080" s="1" t="n">
        <x:f>IF(AND(ISNUMBER(G2080),G2080&gt;=0,G2080&lt;=1),IF(G2080&gt;=0.9,30,IF(G2080&gt;=0.8,25,IF(G2080&gt;=0.7,20,IF(G2080&gt;=0.6,15,IF(G2080&gt;=0.5,10,IF(G2080&gt;=0.4,5,0)))))),"")</x:f>
        <x:v>25</x:v>
      </x:c>
      <x:c r="P2080" s="1" t="n">
        <x:f>IF(ISNUMBER(K2080),IF(K2080&lt;0,"",IF(K2080&gt;1,25,IF(K2080&gt;=0.75,20,IF(K2080&gt;=0.5,15,IF(K2080&gt;=0.25,10,5))))),"")</x:f>
        <x:v>5</x:v>
      </x:c>
      <x:c r="Q2080" s="1" t="n">
        <x:f>IF(NOT(ISNUMBER(L2080)),"",IF(AND(L2080&gt;=0,MOD(L2080,1)=0),MAX(0,25-5*L2080),""))</x:f>
        <x:v>0</x:v>
      </x:c>
      <x:c r="R2080" s="1" t="n">
        <x:f>IF(NOT(ISNUMBER(F2080)),"",IF(AND(F2080&gt;0,MOD(F2080,1)=0),IF(F2080&gt;=700,5,IF(F2080&gt;=500,4,IF(F2080&gt;=350,3,IF(F2080&gt;=200,2,1)))),""))</x:f>
        <x:v>4</x:v>
      </x:c>
      <x:c r="S2080" s="1" t="n">
        <x:f>IF(COUNT(O2080:R2080)=4,SUM(O2080:R2080),"")</x:f>
        <x:v>34</x:v>
      </x:c>
      <x:c r="T2080" s="1" t="n">
        <x:f>IF(OR(COUNT(O2080:R2080)&lt;&gt;4,COUNT('Top 15'!$B$35:$E$35)&lt;&gt;4,MIN('Top 15'!$B$35:$E$35)&lt;0,SUM('Top 15'!$B$35:$E$35)&lt;=0),"",ROUND(85*(O2080/30*'Top 15'!$B$35+P2080/25*'Top 15'!$C$35+Q2080/25*'Top 15'!$D$35+R2080/5*'Top 15'!$E$35)/SUM('Top 15'!$B$35:$E$35),6))</x:f>
        <x:v>34</x:v>
      </x:c>
      <x:c r="U2080" s="1" t="str">
        <x:f>IF(A2080="","",IF(AND(M2080="Verified",N2080="Verified"),"Verified",IF(AND(M2080="Listed",N2080="Listed"),"Listed","Mixed")))</x:f>
        <x:v>Listed</x:v>
      </x:c>
      <x:c r="V2080" s="1" t="str">
        <x:f>IF(A2080="","",IF(AK2080&lt;&gt;1,"Duplicate source ID",IF(COUNTIFS('Staff Review'!$A$8:$A$507,A2080)&gt;1,"Duplicate review ID",IF(H2080&lt;&gt;"Yes","Outside scope",IF(J2080="Yes","Already served",IF(NOT(ISNUMBER(T2080)),"Missing data","Candidate"))))))</x:f>
        <x:v>Candidate</x:v>
      </x:c>
      <x:c r="W2080" s="1" t="n">
        <x:f>IF(AL2080=0,"",1+COUNTIFS($AL$2051:$AL$2550,1,$T$2051:$T$2550,"&gt;"&amp;T2080)+COUNTIFS($AL$2051:$AL$2550,1,$T$2051:$T$2550,T2080,$G$2051:$G$2550,"&gt;"&amp;G2080)+COUNTIFS($AL$2051:$AL$2550,1,$T$2051:$T$2550,T2080,$G$2051:$G$2550,G2080,$F$2051:$F$2550,"&gt;"&amp;F2080)+COUNTIFS($AL$2051:$AL$2550,1,$T$2051:$T$2550,T2080,$G$2051:$G$2550,G2080,$F$2051:$F$2550,F2080,$AM$2051:$AM$2550,"&lt;"&amp;AM2080))</x:f>
        <x:v>224</x:v>
      </x:c>
      <x:c r="X2080" s="1" t="n">
        <x:f>IF(AL2080=0,"",1+COUNTIFS($AL$2051:$AL$2550,1,$T$2051:$T$2550,"&gt;"&amp;T2080))</x:f>
        <x:v>221</x:v>
      </x:c>
      <x:c r="Y2080" s="1" t="n">
        <x:f>IF(AND(H2080="Yes",OR(LEN('School Search'!$B$5)=0,ISNUMBER(SEARCH('School Search'!$B$5,B2080&amp;" "&amp;E2080&amp;" "&amp;A2080))),OR('School Search'!$D$5="All",C2080='School Search'!$D$5),OR('School Search'!$G$5="All eligible",AND('School Search'!$G$5="Not marked served",J2080&lt;&gt;"Yes"),AND('School Search'!$G$5="Missing data",V2080="Missing data"),AND('School Search'!$G$5="Marked served",J2080="Yes"))),1,0)</x:f>
        <x:v>1</x:v>
      </x:c>
      <x:c r="Z2080" s="1" t="n">
        <x:f>IF(Y2080=0,"",COUNTIFS($Y$2051:$Y$2550,1,$AO$2051:$AO$2550,"&lt;"&amp;AO2080)+COUNTIFS($Y$2051:Y2080,1,$AO$2051:AO2080,AO2080))</x:f>
        <x:v>224</x:v>
      </x:c>
      <x:c r="AA2080" s="1" t="str">
        <x:f>IF(NOT(ISNUMBER(S2080)),"Missing demographic or access input",TEXT(G2080,"0%")&amp;" economic need; "&amp;TEXT(K2080,"0.00")&amp;" mi fresh access; "&amp;L2080&amp;" nearby resources")</x:f>
        <x:v>83% economic need; 0.05 mi fresh access; 10 nearby resources</x:v>
      </x:c>
      <x:c r="AB2080" s="1" t="n">
        <x:f>IF(OR(A2080="",COUNTIFS($A$1531:$A$2030,A2080)&lt;&gt;1),0,MATCH(A2080,$A$1531:$A$2030,0))</x:f>
        <x:v>30</x:v>
      </x:c>
      <x:c r="AC2080" s="1" t="str">
        <x:f>IF(AB2080=0,"",INDEX($E$1531:$E$2030,AB2080))</x:f>
        <x:v>Giant Food Store 6573</x:v>
      </x:c>
      <x:c r="AD2080" s="1" t="str">
        <x:f>IF(AB2080=0,"",INDEX($F$1531:$F$2030,AB2080))</x:f>
        <x:v>510 N Broad St, Philadelphia, PA, 19130</x:v>
      </x:c>
      <x:c r="AE2080" s="1" t="str">
        <x:f>IF(A2080="","",F31)</x:f>
        <x:v>550 N BROAD ST</x:v>
      </x:c>
      <x:c r="AF2080" s="1" t="n">
        <x:f>IF(ISNUMBER(I31),I31,"")</x:f>
        <x:v>39.96353</x:v>
      </x:c>
      <x:c r="AG2080" s="1" t="n">
        <x:f>IF(ISNUMBER(J31),J31,"")</x:f>
        <x:v>-75.16164</x:v>
      </x:c>
      <x:c r="AH2080" s="1" t="str">
        <x:f>IF(I2080=0,"Not contacted",IF(INDEX('Staff Review'!$J$8:$J$507,I2080)="","Not contacted",INDEX('Staff Review'!$J$8:$J$507,I2080)))</x:f>
        <x:v>Not contacted</x:v>
      </x:c>
      <x:c r="AI2080" s="1" t="str">
        <x:f>IF(I2080=0,"No",IF(AND(COUNT(INDEX('Staff Review'!$D$8:$D$507,I2080))=1,INDEX('Staff Review'!$D$8:$D$507,I2080)&gt;=0,COUNT(INDEX('Staff Review'!$E$8:$E$507,I2080))=1,INDEX('Staff Review'!$E$8:$E$507,I2080)&gt;0,INDEX('Staff Review'!$E$8:$E$507,I2080)&lt;='Top 15'!$E$5,'Top 15'!$E$5-INDEX('Staff Review'!$E$8:$E$507,I2080)&lt;='Top 15'!$H$5,LEN(INDEX('Staff Review'!$H$8:$H$507,I2080))&gt;0),"Yes","No"))</x:f>
        <x:v>No</x:v>
      </x:c>
      <x:c r="AJ2080" s="1" t="str">
        <x:f>IF(I2080=0,"No",IF(COUNT(INDEX('Staff Review'!$F$8:$F$507,I2080))&lt;&gt;1,"No",IF(AND(INDEX('Staff Review'!$F$8:$F$507,I2080)&gt;=0,MOD(INDEX('Staff Review'!$F$8:$F$507,I2080),1)=0,COUNT(INDEX('Staff Review'!$G$8:$G$507,I2080))=1,INDEX('Staff Review'!$G$8:$G$507,I2080)&gt;0,INDEX('Staff Review'!$G$8:$G$507,I2080)&lt;='Top 15'!$E$5,'Top 15'!$E$5-INDEX('Staff Review'!$G$8:$G$507,I2080)&lt;='Top 15'!$H$5,LEN(INDEX('Staff Review'!$H$8:$H$507,I2080))&gt;0),"Yes","No")))</x:f>
        <x:v>No</x:v>
      </x:c>
      <x:c r="AK2080" s="1" t="n">
        <x:f>IF(A2080="",0,COUNTIFS($A$2:$A$501,A2080))</x:f>
        <x:v>1</x:v>
      </x:c>
      <x:c r="AL2080" s="1" t="n">
        <x:f>IF(V2080="Candidate",1,0)</x:f>
        <x:v>1</x:v>
      </x:c>
      <x:c r="AM2080" s="1" t="n">
        <x:f>IF(A2080="",0,VALUE(A2080))</x:f>
        <x:v>2010</x:v>
      </x:c>
      <x:c r="AN2080" s="1" t="n">
        <x:f>IF(OR(A2080="",COUNTIFS($T$41:$T$540,A2080)&lt;&gt;1),0,MATCH(A2080,$T$41:$T$540,0))</x:f>
        <x:v>30</x:v>
      </x:c>
      <x:c r="AO2080" t="n">
        <x:f>IF(ISNUMBER(W2080),W2080,10000+AM2080)</x:f>
        <x:v>224</x:v>
      </x:c>
    </x:row>
    <x:row r="2081" ht="22" customHeight="1">
      <x:c r="A2081" s="1" t="str">
        <x:f>IF(A32="","",A32)</x:f>
        <x:v>2020</x:v>
      </x:c>
      <x:c r="B2081" s="1" t="str">
        <x:f>IF(A2081="","",B32)</x:f>
        <x:v>High School for Creative and Performing Arts</x:v>
      </x:c>
      <x:c r="C2081" s="1" t="str">
        <x:f>IF(A2081="","",C32)</x:f>
        <x:v>District</x:v>
      </x:c>
      <x:c r="D2081" s="1" t="str">
        <x:f>IF(A2081="","",E32)</x:f>
        <x:v>High</x:v>
      </x:c>
      <x:c r="E2081" s="1" t="str">
        <x:f>IF(A2081="","",H32)</x:f>
        <x:v>19147</x:v>
      </x:c>
      <x:c r="F2081" s="1" t="n">
        <x:f>IF(ISNUMBER(K32),K32,"")</x:f>
        <x:v>597</x:v>
      </x:c>
      <x:c r="G2081" s="1" t="n">
        <x:f>IF(ISNUMBER(L32),L32,"")</x:f>
        <x:v>0.4815</x:v>
      </x:c>
      <x:c r="H2081" s="1" t="str">
        <x:f>IF(A2081="","",IF(AND(UPPER(G32)="PHILADELPHIA",OR(C2081="District",AND(C2081="Charter",D32="Yes"))),"Yes","No"))</x:f>
        <x:v>Yes</x:v>
      </x:c>
      <x:c r="I2081" s="1" t="n">
        <x:f>IF(OR(A2081="",COUNTIFS('Staff Review'!$A$8:$A$507,A2081)&lt;&gt;1),0,MATCH(A2081,'Staff Review'!$A$8:$A$507,0))</x:f>
        <x:v>113</x:v>
      </x:c>
      <x:c r="J2081" s="1" t="str">
        <x:f>IF(I2081=0,"No",IF(INDEX('Staff Review'!$C$8:$C$507,I2081)="Yes","Yes","No"))</x:f>
        <x:v>No</x:v>
      </x:c>
      <x:c r="K2081" s="1" t="n">
        <x:f>IF(AI2081="Yes",INDEX('Staff Review'!$D$8:$D$507,I2081),IF(AB2081=0,"",IF(COUNT(INDEX($C$1531:$C$2030,AB2081))=1,INDEX($C$1531:$C$2030,AB2081),"")))</x:f>
        <x:v>0.07500843857021407</x:v>
      </x:c>
      <x:c r="L2081" s="1" t="n">
        <x:f>IF(AJ2081="Yes",INDEX('Staff Review'!$F$8:$F$507,I2081),IF(AB2081=0,"",IF(COUNT(INDEX($G$1531:$G$2030,AB2081))=1,INDEX($G$1531:$G$2030,AB2081),"")))</x:f>
        <x:v>13</x:v>
      </x:c>
      <x:c r="M2081" s="1" t="str">
        <x:f>IF(A2081="","",IF(AI2081="Yes","Verified","Listed"))</x:f>
        <x:v>Listed</x:v>
      </x:c>
      <x:c r="N2081" s="1" t="str">
        <x:f>IF(A2081="","",IF(AJ2081="Yes","Verified","Listed"))</x:f>
        <x:v>Listed</x:v>
      </x:c>
      <x:c r="O2081" s="1" t="n">
        <x:f>IF(AND(ISNUMBER(G2081),G2081&gt;=0,G2081&lt;=1),IF(G2081&gt;=0.9,30,IF(G2081&gt;=0.8,25,IF(G2081&gt;=0.7,20,IF(G2081&gt;=0.6,15,IF(G2081&gt;=0.5,10,IF(G2081&gt;=0.4,5,0)))))),"")</x:f>
        <x:v>5</x:v>
      </x:c>
      <x:c r="P2081" s="1" t="n">
        <x:f>IF(ISNUMBER(K2081),IF(K2081&lt;0,"",IF(K2081&gt;1,25,IF(K2081&gt;=0.75,20,IF(K2081&gt;=0.5,15,IF(K2081&gt;=0.25,10,5))))),"")</x:f>
        <x:v>5</x:v>
      </x:c>
      <x:c r="Q2081" s="1" t="n">
        <x:f>IF(NOT(ISNUMBER(L2081)),"",IF(AND(L2081&gt;=0,MOD(L2081,1)=0),MAX(0,25-5*L2081),""))</x:f>
        <x:v>0</x:v>
      </x:c>
      <x:c r="R2081" s="1" t="n">
        <x:f>IF(NOT(ISNUMBER(F2081)),"",IF(AND(F2081&gt;0,MOD(F2081,1)=0),IF(F2081&gt;=700,5,IF(F2081&gt;=500,4,IF(F2081&gt;=350,3,IF(F2081&gt;=200,2,1)))),""))</x:f>
        <x:v>4</x:v>
      </x:c>
      <x:c r="S2081" s="1" t="n">
        <x:f>IF(COUNT(O2081:R2081)=4,SUM(O2081:R2081),"")</x:f>
        <x:v>14</x:v>
      </x:c>
      <x:c r="T2081" s="1" t="n">
        <x:f>IF(OR(COUNT(O2081:R2081)&lt;&gt;4,COUNT('Top 15'!$B$35:$E$35)&lt;&gt;4,MIN('Top 15'!$B$35:$E$35)&lt;0,SUM('Top 15'!$B$35:$E$35)&lt;=0),"",ROUND(85*(O2081/30*'Top 15'!$B$35+P2081/25*'Top 15'!$C$35+Q2081/25*'Top 15'!$D$35+R2081/5*'Top 15'!$E$35)/SUM('Top 15'!$B$35:$E$35),6))</x:f>
        <x:v>14</x:v>
      </x:c>
      <x:c r="U2081" s="1" t="str">
        <x:f>IF(A2081="","",IF(AND(M2081="Verified",N2081="Verified"),"Verified",IF(AND(M2081="Listed",N2081="Listed"),"Listed","Mixed")))</x:f>
        <x:v>Listed</x:v>
      </x:c>
      <x:c r="V2081" s="1" t="str">
        <x:f>IF(A2081="","",IF(AK2081&lt;&gt;1,"Duplicate source ID",IF(COUNTIFS('Staff Review'!$A$8:$A$507,A2081)&gt;1,"Duplicate review ID",IF(H2081&lt;&gt;"Yes","Outside scope",IF(J2081="Yes","Already served",IF(NOT(ISNUMBER(T2081)),"Missing data","Candidate"))))))</x:f>
        <x:v>Candidate</x:v>
      </x:c>
      <x:c r="W2081" s="1" t="n">
        <x:f>IF(AL2081=0,"",1+COUNTIFS($AL$2051:$AL$2550,1,$T$2051:$T$2550,"&gt;"&amp;T2081)+COUNTIFS($AL$2051:$AL$2550,1,$T$2051:$T$2550,T2081,$G$2051:$G$2550,"&gt;"&amp;G2081)+COUNTIFS($AL$2051:$AL$2550,1,$T$2051:$T$2550,T2081,$G$2051:$G$2550,G2081,$F$2051:$F$2550,"&gt;"&amp;F2081)+COUNTIFS($AL$2051:$AL$2550,1,$T$2051:$T$2550,T2081,$G$2051:$G$2550,G2081,$F$2051:$F$2550,F2081,$AM$2051:$AM$2550,"&lt;"&amp;AM2081))</x:f>
        <x:v>283</x:v>
      </x:c>
      <x:c r="X2081" s="1" t="n">
        <x:f>IF(AL2081=0,"",1+COUNTIFS($AL$2051:$AL$2550,1,$T$2051:$T$2550,"&gt;"&amp;T2081))</x:f>
        <x:v>283</x:v>
      </x:c>
      <x:c r="Y2081" s="1" t="n">
        <x:f>IF(AND(H2081="Yes",OR(LEN('School Search'!$B$5)=0,ISNUMBER(SEARCH('School Search'!$B$5,B2081&amp;" "&amp;E2081&amp;" "&amp;A2081))),OR('School Search'!$D$5="All",C2081='School Search'!$D$5),OR('School Search'!$G$5="All eligible",AND('School Search'!$G$5="Not marked served",J2081&lt;&gt;"Yes"),AND('School Search'!$G$5="Missing data",V2081="Missing data"),AND('School Search'!$G$5="Marked served",J2081="Yes"))),1,0)</x:f>
        <x:v>1</x:v>
      </x:c>
      <x:c r="Z2081" s="1" t="n">
        <x:f>IF(Y2081=0,"",COUNTIFS($Y$2051:$Y$2550,1,$AO$2051:$AO$2550,"&lt;"&amp;AO2081)+COUNTIFS($Y$2051:Y2081,1,$AO$2051:AO2081,AO2081))</x:f>
        <x:v>283</x:v>
      </x:c>
      <x:c r="AA2081" s="1" t="str">
        <x:f>IF(NOT(ISNUMBER(S2081)),"Missing demographic or access input",TEXT(G2081,"0%")&amp;" economic need; "&amp;TEXT(K2081,"0.00")&amp;" mi fresh access; "&amp;L2081&amp;" nearby resources")</x:f>
        <x:v>48% economic need; 0.08 mi fresh access; 13 nearby resources</x:v>
      </x:c>
      <x:c r="AB2081" s="1" t="n">
        <x:f>IF(OR(A2081="",COUNTIFS($A$1531:$A$2030,A2081)&lt;&gt;1),0,MATCH(A2081,$A$1531:$A$2030,0))</x:f>
        <x:v>31</x:v>
      </x:c>
      <x:c r="AC2081" s="1" t="str">
        <x:f>IF(AB2081=0,"",INDEX($E$1531:$E$2030,AB2081))</x:f>
        <x:v>Sprouts Farmers Market 850</x:v>
      </x:c>
      <x:c r="AD2081" s="1" t="str">
        <x:f>IF(AB2081=0,"",INDEX($F$1531:$F$2030,AB2081))</x:f>
        <x:v>1000 S Broad St, Philadelphia, PA, 19146</x:v>
      </x:c>
      <x:c r="AE2081" s="1" t="str">
        <x:f>IF(A2081="","",F32)</x:f>
        <x:v>901 S BROAD ST</x:v>
      </x:c>
      <x:c r="AF2081" s="1" t="n">
        <x:f>IF(ISNUMBER(I32),I32,"")</x:f>
        <x:v>39.93941992</x:v>
      </x:c>
      <x:c r="AG2081" s="1" t="n">
        <x:f>IF(ISNUMBER(J32),J32,"")</x:f>
        <x:v>-75.16548375</x:v>
      </x:c>
      <x:c r="AH2081" s="1" t="str">
        <x:f>IF(I2081=0,"Not contacted",IF(INDEX('Staff Review'!$J$8:$J$507,I2081)="","Not contacted",INDEX('Staff Review'!$J$8:$J$507,I2081)))</x:f>
        <x:v>Not contacted</x:v>
      </x:c>
      <x:c r="AI2081" s="1" t="str">
        <x:f>IF(I2081=0,"No",IF(AND(COUNT(INDEX('Staff Review'!$D$8:$D$507,I2081))=1,INDEX('Staff Review'!$D$8:$D$507,I2081)&gt;=0,COUNT(INDEX('Staff Review'!$E$8:$E$507,I2081))=1,INDEX('Staff Review'!$E$8:$E$507,I2081)&gt;0,INDEX('Staff Review'!$E$8:$E$507,I2081)&lt;='Top 15'!$E$5,'Top 15'!$E$5-INDEX('Staff Review'!$E$8:$E$507,I2081)&lt;='Top 15'!$H$5,LEN(INDEX('Staff Review'!$H$8:$H$507,I2081))&gt;0),"Yes","No"))</x:f>
        <x:v>No</x:v>
      </x:c>
      <x:c r="AJ2081" s="1" t="str">
        <x:f>IF(I2081=0,"No",IF(COUNT(INDEX('Staff Review'!$F$8:$F$507,I2081))&lt;&gt;1,"No",IF(AND(INDEX('Staff Review'!$F$8:$F$507,I2081)&gt;=0,MOD(INDEX('Staff Review'!$F$8:$F$507,I2081),1)=0,COUNT(INDEX('Staff Review'!$G$8:$G$507,I2081))=1,INDEX('Staff Review'!$G$8:$G$507,I2081)&gt;0,INDEX('Staff Review'!$G$8:$G$507,I2081)&lt;='Top 15'!$E$5,'Top 15'!$E$5-INDEX('Staff Review'!$G$8:$G$507,I2081)&lt;='Top 15'!$H$5,LEN(INDEX('Staff Review'!$H$8:$H$507,I2081))&gt;0),"Yes","No")))</x:f>
        <x:v>No</x:v>
      </x:c>
      <x:c r="AK2081" s="1" t="n">
        <x:f>IF(A2081="",0,COUNTIFS($A$2:$A$501,A2081))</x:f>
        <x:v>1</x:v>
      </x:c>
      <x:c r="AL2081" s="1" t="n">
        <x:f>IF(V2081="Candidate",1,0)</x:f>
        <x:v>1</x:v>
      </x:c>
      <x:c r="AM2081" s="1" t="n">
        <x:f>IF(A2081="",0,VALUE(A2081))</x:f>
        <x:v>2020</x:v>
      </x:c>
      <x:c r="AN2081" s="1" t="n">
        <x:f>IF(OR(A2081="",COUNTIFS($T$41:$T$540,A2081)&lt;&gt;1),0,MATCH(A2081,$T$41:$T$540,0))</x:f>
        <x:v>31</x:v>
      </x:c>
      <x:c r="AO2081" t="n">
        <x:f>IF(ISNUMBER(W2081),W2081,10000+AM2081)</x:f>
        <x:v>283</x:v>
      </x:c>
    </x:row>
    <x:row r="2082" ht="22" customHeight="1">
      <x:c r="A2082" s="1" t="str">
        <x:f>IF(A33="","",A33)</x:f>
        <x:v>2050</x:v>
      </x:c>
      <x:c r="B2082" s="1" t="str">
        <x:f>IF(A2082="","",B33)</x:f>
        <x:v>Science Leadership Academy Middle School</x:v>
      </x:c>
      <x:c r="C2082" s="1" t="str">
        <x:f>IF(A2082="","",C33)</x:f>
        <x:v>District</x:v>
      </x:c>
      <x:c r="D2082" s="1" t="str">
        <x:f>IF(A2082="","",E33)</x:f>
        <x:v>Middle</x:v>
      </x:c>
      <x:c r="E2082" s="1" t="str">
        <x:f>IF(A2082="","",H33)</x:f>
        <x:v>19104</x:v>
      </x:c>
      <x:c r="F2082" s="1" t="n">
        <x:f>IF(ISNUMBER(K33),K33,"")</x:f>
        <x:v>351</x:v>
      </x:c>
      <x:c r="G2082" s="1" t="n">
        <x:f>IF(ISNUMBER(L33),L33,"")</x:f>
        <x:v>0.51</x:v>
      </x:c>
      <x:c r="H2082" s="1" t="str">
        <x:f>IF(A2082="","",IF(AND(UPPER(G33)="PHILADELPHIA",OR(C2082="District",AND(C2082="Charter",D33="Yes"))),"Yes","No"))</x:f>
        <x:v>Yes</x:v>
      </x:c>
      <x:c r="I2082" s="1" t="n">
        <x:f>IF(OR(A2082="",COUNTIFS('Staff Review'!$A$8:$A$507,A2082)&lt;&gt;1),0,MATCH(A2082,'Staff Review'!$A$8:$A$507,0))</x:f>
        <x:v>267</x:v>
      </x:c>
      <x:c r="J2082" s="1" t="str">
        <x:f>IF(I2082=0,"No",IF(INDEX('Staff Review'!$C$8:$C$507,I2082)="Yes","Yes","No"))</x:f>
        <x:v>No</x:v>
      </x:c>
      <x:c r="K2082" s="1" t="n">
        <x:f>IF(AI2082="Yes",INDEX('Staff Review'!$D$8:$D$507,I2082),IF(AB2082=0,"",IF(COUNT(INDEX($C$1531:$C$2030,AB2082))=1,INDEX($C$1531:$C$2030,AB2082),"")))</x:f>
        <x:v>0.24657974806699834</x:v>
      </x:c>
      <x:c r="L2082" s="1" t="n">
        <x:f>IF(AJ2082="Yes",INDEX('Staff Review'!$F$8:$F$507,I2082),IF(AB2082=0,"",IF(COUNT(INDEX($G$1531:$G$2030,AB2082))=1,INDEX($G$1531:$G$2030,AB2082),"")))</x:f>
        <x:v>10</x:v>
      </x:c>
      <x:c r="M2082" s="1" t="str">
        <x:f>IF(A2082="","",IF(AI2082="Yes","Verified","Listed"))</x:f>
        <x:v>Listed</x:v>
      </x:c>
      <x:c r="N2082" s="1" t="str">
        <x:f>IF(A2082="","",IF(AJ2082="Yes","Verified","Listed"))</x:f>
        <x:v>Listed</x:v>
      </x:c>
      <x:c r="O2082" s="1" t="n">
        <x:f>IF(AND(ISNUMBER(G2082),G2082&gt;=0,G2082&lt;=1),IF(G2082&gt;=0.9,30,IF(G2082&gt;=0.8,25,IF(G2082&gt;=0.7,20,IF(G2082&gt;=0.6,15,IF(G2082&gt;=0.5,10,IF(G2082&gt;=0.4,5,0)))))),"")</x:f>
        <x:v>10</x:v>
      </x:c>
      <x:c r="P2082" s="1" t="n">
        <x:f>IF(ISNUMBER(K2082),IF(K2082&lt;0,"",IF(K2082&gt;1,25,IF(K2082&gt;=0.75,20,IF(K2082&gt;=0.5,15,IF(K2082&gt;=0.25,10,5))))),"")</x:f>
        <x:v>5</x:v>
      </x:c>
      <x:c r="Q2082" s="1" t="n">
        <x:f>IF(NOT(ISNUMBER(L2082)),"",IF(AND(L2082&gt;=0,MOD(L2082,1)=0),MAX(0,25-5*L2082),""))</x:f>
        <x:v>0</x:v>
      </x:c>
      <x:c r="R2082" s="1" t="n">
        <x:f>IF(NOT(ISNUMBER(F2082)),"",IF(AND(F2082&gt;0,MOD(F2082,1)=0),IF(F2082&gt;=700,5,IF(F2082&gt;=500,4,IF(F2082&gt;=350,3,IF(F2082&gt;=200,2,1)))),""))</x:f>
        <x:v>3</x:v>
      </x:c>
      <x:c r="S2082" s="1" t="n">
        <x:f>IF(COUNT(O2082:R2082)=4,SUM(O2082:R2082),"")</x:f>
        <x:v>18</x:v>
      </x:c>
      <x:c r="T2082" s="1" t="n">
        <x:f>IF(OR(COUNT(O2082:R2082)&lt;&gt;4,COUNT('Top 15'!$B$35:$E$35)&lt;&gt;4,MIN('Top 15'!$B$35:$E$35)&lt;0,SUM('Top 15'!$B$35:$E$35)&lt;=0),"",ROUND(85*(O2082/30*'Top 15'!$B$35+P2082/25*'Top 15'!$C$35+Q2082/25*'Top 15'!$D$35+R2082/5*'Top 15'!$E$35)/SUM('Top 15'!$B$35:$E$35),6))</x:f>
        <x:v>18</x:v>
      </x:c>
      <x:c r="U2082" s="1" t="str">
        <x:f>IF(A2082="","",IF(AND(M2082="Verified",N2082="Verified"),"Verified",IF(AND(M2082="Listed",N2082="Listed"),"Listed","Mixed")))</x:f>
        <x:v>Listed</x:v>
      </x:c>
      <x:c r="V2082" s="1" t="str">
        <x:f>IF(A2082="","",IF(AK2082&lt;&gt;1,"Duplicate source ID",IF(COUNTIFS('Staff Review'!$A$8:$A$507,A2082)&gt;1,"Duplicate review ID",IF(H2082&lt;&gt;"Yes","Outside scope",IF(J2082="Yes","Already served",IF(NOT(ISNUMBER(T2082)),"Missing data","Candidate"))))))</x:f>
        <x:v>Candidate</x:v>
      </x:c>
      <x:c r="W2082" s="1" t="n">
        <x:f>IF(AL2082=0,"",1+COUNTIFS($AL$2051:$AL$2550,1,$T$2051:$T$2550,"&gt;"&amp;T2082)+COUNTIFS($AL$2051:$AL$2550,1,$T$2051:$T$2550,T2082,$G$2051:$G$2550,"&gt;"&amp;G2082)+COUNTIFS($AL$2051:$AL$2550,1,$T$2051:$T$2550,T2082,$G$2051:$G$2550,G2082,$F$2051:$F$2550,"&gt;"&amp;F2082)+COUNTIFS($AL$2051:$AL$2550,1,$T$2051:$T$2550,T2082,$G$2051:$G$2550,G2082,$F$2051:$F$2550,F2082,$AM$2051:$AM$2550,"&lt;"&amp;AM2082))</x:f>
        <x:v>281</x:v>
      </x:c>
      <x:c r="X2082" s="1" t="n">
        <x:f>IF(AL2082=0,"",1+COUNTIFS($AL$2051:$AL$2550,1,$T$2051:$T$2550,"&gt;"&amp;T2082))</x:f>
        <x:v>281</x:v>
      </x:c>
      <x:c r="Y2082" s="1" t="n">
        <x:f>IF(AND(H2082="Yes",OR(LEN('School Search'!$B$5)=0,ISNUMBER(SEARCH('School Search'!$B$5,B2082&amp;" "&amp;E2082&amp;" "&amp;A2082))),OR('School Search'!$D$5="All",C2082='School Search'!$D$5),OR('School Search'!$G$5="All eligible",AND('School Search'!$G$5="Not marked served",J2082&lt;&gt;"Yes"),AND('School Search'!$G$5="Missing data",V2082="Missing data"),AND('School Search'!$G$5="Marked served",J2082="Yes"))),1,0)</x:f>
        <x:v>1</x:v>
      </x:c>
      <x:c r="Z2082" s="1" t="n">
        <x:f>IF(Y2082=0,"",COUNTIFS($Y$2051:$Y$2550,1,$AO$2051:$AO$2550,"&lt;"&amp;AO2082)+COUNTIFS($Y$2051:Y2082,1,$AO$2051:AO2082,AO2082))</x:f>
        <x:v>281</x:v>
      </x:c>
      <x:c r="AA2082" s="1" t="str">
        <x:f>IF(NOT(ISNUMBER(S2082)),"Missing demographic or access input",TEXT(G2082,"0%")&amp;" economic need; "&amp;TEXT(K2082,"0.00")&amp;" mi fresh access; "&amp;L2082&amp;" nearby resources")</x:f>
        <x:v>51% economic need; 0.25 mi fresh access; 10 nearby resources</x:v>
      </x:c>
      <x:c r="AB2082" s="1" t="n">
        <x:f>IF(OR(A2082="",COUNTIFS($A$1531:$A$2030,A2082)&lt;&gt;1),0,MATCH(A2082,$A$1531:$A$2030,0))</x:f>
        <x:v>32</x:v>
      </x:c>
      <x:c r="AC2082" s="1" t="str">
        <x:f>IF(AB2082=0,"",INDEX($E$1531:$E$2030,AB2082))</x:f>
        <x:v>Giant Heirloom Market 6551</x:v>
      </x:c>
      <x:c r="AD2082" s="1" t="str">
        <x:f>IF(AB2082=0,"",INDEX($F$1531:$F$2030,AB2082))</x:f>
        <x:v>3401 Chestnut St, Philadelphia, PA, 19104</x:v>
      </x:c>
      <x:c r="AE2082" s="1" t="str">
        <x:f>IF(A2082="","",F33)</x:f>
        <x:v>3610 WARREN ST</x:v>
      </x:c>
      <x:c r="AF2082" s="1" t="n">
        <x:f>IF(ISNUMBER(I33),I33,"")</x:f>
        <x:v>39.9579628</x:v>
      </x:c>
      <x:c r="AG2082" s="1" t="n">
        <x:f>IF(ISNUMBER(J33),J33,"")</x:f>
        <x:v>-75.1939177</x:v>
      </x:c>
      <x:c r="AH2082" s="1" t="str">
        <x:f>IF(I2082=0,"Not contacted",IF(INDEX('Staff Review'!$J$8:$J$507,I2082)="","Not contacted",INDEX('Staff Review'!$J$8:$J$507,I2082)))</x:f>
        <x:v>Not contacted</x:v>
      </x:c>
      <x:c r="AI2082" s="1" t="str">
        <x:f>IF(I2082=0,"No",IF(AND(COUNT(INDEX('Staff Review'!$D$8:$D$507,I2082))=1,INDEX('Staff Review'!$D$8:$D$507,I2082)&gt;=0,COUNT(INDEX('Staff Review'!$E$8:$E$507,I2082))=1,INDEX('Staff Review'!$E$8:$E$507,I2082)&gt;0,INDEX('Staff Review'!$E$8:$E$507,I2082)&lt;='Top 15'!$E$5,'Top 15'!$E$5-INDEX('Staff Review'!$E$8:$E$507,I2082)&lt;='Top 15'!$H$5,LEN(INDEX('Staff Review'!$H$8:$H$507,I2082))&gt;0),"Yes","No"))</x:f>
        <x:v>No</x:v>
      </x:c>
      <x:c r="AJ2082" s="1" t="str">
        <x:f>IF(I2082=0,"No",IF(COUNT(INDEX('Staff Review'!$F$8:$F$507,I2082))&lt;&gt;1,"No",IF(AND(INDEX('Staff Review'!$F$8:$F$507,I2082)&gt;=0,MOD(INDEX('Staff Review'!$F$8:$F$507,I2082),1)=0,COUNT(INDEX('Staff Review'!$G$8:$G$507,I2082))=1,INDEX('Staff Review'!$G$8:$G$507,I2082)&gt;0,INDEX('Staff Review'!$G$8:$G$507,I2082)&lt;='Top 15'!$E$5,'Top 15'!$E$5-INDEX('Staff Review'!$G$8:$G$507,I2082)&lt;='Top 15'!$H$5,LEN(INDEX('Staff Review'!$H$8:$H$507,I2082))&gt;0),"Yes","No")))</x:f>
        <x:v>No</x:v>
      </x:c>
      <x:c r="AK2082" s="1" t="n">
        <x:f>IF(A2082="",0,COUNTIFS($A$2:$A$501,A2082))</x:f>
        <x:v>1</x:v>
      </x:c>
      <x:c r="AL2082" s="1" t="n">
        <x:f>IF(V2082="Candidate",1,0)</x:f>
        <x:v>1</x:v>
      </x:c>
      <x:c r="AM2082" s="1" t="n">
        <x:f>IF(A2082="",0,VALUE(A2082))</x:f>
        <x:v>2050</x:v>
      </x:c>
      <x:c r="AN2082" s="1" t="n">
        <x:f>IF(OR(A2082="",COUNTIFS($T$41:$T$540,A2082)&lt;&gt;1),0,MATCH(A2082,$T$41:$T$540,0))</x:f>
        <x:v>32</x:v>
      </x:c>
      <x:c r="AO2082" t="n">
        <x:f>IF(ISNUMBER(W2082),W2082,10000+AM2082)</x:f>
        <x:v>281</x:v>
      </x:c>
    </x:row>
    <x:row r="2083" ht="22" customHeight="1">
      <x:c r="A2083" s="1" t="str">
        <x:f>IF(A34="","",A34)</x:f>
        <x:v>2140</x:v>
      </x:c>
      <x:c r="B2083" s="1" t="str">
        <x:f>IF(A2083="","",B34)</x:f>
        <x:v>Julia R. Masterman High School</x:v>
      </x:c>
      <x:c r="C2083" s="1" t="str">
        <x:f>IF(A2083="","",C34)</x:f>
        <x:v>District</x:v>
      </x:c>
      <x:c r="D2083" s="1" t="str">
        <x:f>IF(A2083="","",E34)</x:f>
        <x:v>Middle-High</x:v>
      </x:c>
      <x:c r="E2083" s="1" t="str">
        <x:f>IF(A2083="","",H34)</x:f>
        <x:v>19130</x:v>
      </x:c>
      <x:c r="F2083" s="1" t="n">
        <x:f>IF(ISNUMBER(K34),K34,"")</x:f>
        <x:v>1221</x:v>
      </x:c>
      <x:c r="G2083" s="1" t="n">
        <x:f>IF(ISNUMBER(L34),L34,"")</x:f>
        <x:v>0.3778</x:v>
      </x:c>
      <x:c r="H2083" s="1" t="str">
        <x:f>IF(A2083="","",IF(AND(UPPER(G34)="PHILADELPHIA",OR(C2083="District",AND(C2083="Charter",D34="Yes"))),"Yes","No"))</x:f>
        <x:v>Yes</x:v>
      </x:c>
      <x:c r="I2083" s="1" t="n">
        <x:f>IF(OR(A2083="",COUNTIFS('Staff Review'!$A$8:$A$507,A2083)&lt;&gt;1),0,MATCH(A2083,'Staff Review'!$A$8:$A$507,0))</x:f>
        <x:v>152</x:v>
      </x:c>
      <x:c r="J2083" s="1" t="str">
        <x:f>IF(I2083=0,"No",IF(INDEX('Staff Review'!$C$8:$C$507,I2083)="Yes","Yes","No"))</x:f>
        <x:v>No</x:v>
      </x:c>
      <x:c r="K2083" s="1" t="n">
        <x:f>IF(AI2083="Yes",INDEX('Staff Review'!$D$8:$D$507,I2083),IF(AB2083=0,"",IF(COUNT(INDEX($C$1531:$C$2030,AB2083))=1,INDEX($C$1531:$C$2030,AB2083),"")))</x:f>
        <x:v>0.2115534996326848</x:v>
      </x:c>
      <x:c r="L2083" s="1" t="n">
        <x:f>IF(AJ2083="Yes",INDEX('Staff Review'!$F$8:$F$507,I2083),IF(AB2083=0,"",IF(COUNT(INDEX($G$1531:$G$2030,AB2083))=1,INDEX($G$1531:$G$2030,AB2083),"")))</x:f>
        <x:v>8</x:v>
      </x:c>
      <x:c r="M2083" s="1" t="str">
        <x:f>IF(A2083="","",IF(AI2083="Yes","Verified","Listed"))</x:f>
        <x:v>Listed</x:v>
      </x:c>
      <x:c r="N2083" s="1" t="str">
        <x:f>IF(A2083="","",IF(AJ2083="Yes","Verified","Listed"))</x:f>
        <x:v>Listed</x:v>
      </x:c>
      <x:c r="O2083" s="1" t="n">
        <x:f>IF(AND(ISNUMBER(G2083),G2083&gt;=0,G2083&lt;=1),IF(G2083&gt;=0.9,30,IF(G2083&gt;=0.8,25,IF(G2083&gt;=0.7,20,IF(G2083&gt;=0.6,15,IF(G2083&gt;=0.5,10,IF(G2083&gt;=0.4,5,0)))))),"")</x:f>
        <x:v>0</x:v>
      </x:c>
      <x:c r="P2083" s="1" t="n">
        <x:f>IF(ISNUMBER(K2083),IF(K2083&lt;0,"",IF(K2083&gt;1,25,IF(K2083&gt;=0.75,20,IF(K2083&gt;=0.5,15,IF(K2083&gt;=0.25,10,5))))),"")</x:f>
        <x:v>5</x:v>
      </x:c>
      <x:c r="Q2083" s="1" t="n">
        <x:f>IF(NOT(ISNUMBER(L2083)),"",IF(AND(L2083&gt;=0,MOD(L2083,1)=0),MAX(0,25-5*L2083),""))</x:f>
        <x:v>0</x:v>
      </x:c>
      <x:c r="R2083" s="1" t="n">
        <x:f>IF(NOT(ISNUMBER(F2083)),"",IF(AND(F2083&gt;0,MOD(F2083,1)=0),IF(F2083&gt;=700,5,IF(F2083&gt;=500,4,IF(F2083&gt;=350,3,IF(F2083&gt;=200,2,1)))),""))</x:f>
        <x:v>5</x:v>
      </x:c>
      <x:c r="S2083" s="1" t="n">
        <x:f>IF(COUNT(O2083:R2083)=4,SUM(O2083:R2083),"")</x:f>
        <x:v>10</x:v>
      </x:c>
      <x:c r="T2083" s="1" t="n">
        <x:f>IF(OR(COUNT(O2083:R2083)&lt;&gt;4,COUNT('Top 15'!$B$35:$E$35)&lt;&gt;4,MIN('Top 15'!$B$35:$E$35)&lt;0,SUM('Top 15'!$B$35:$E$35)&lt;=0),"",ROUND(85*(O2083/30*'Top 15'!$B$35+P2083/25*'Top 15'!$C$35+Q2083/25*'Top 15'!$D$35+R2083/5*'Top 15'!$E$35)/SUM('Top 15'!$B$35:$E$35),6))</x:f>
        <x:v>10</x:v>
      </x:c>
      <x:c r="U2083" s="1" t="str">
        <x:f>IF(A2083="","",IF(AND(M2083="Verified",N2083="Verified"),"Verified",IF(AND(M2083="Listed",N2083="Listed"),"Listed","Mixed")))</x:f>
        <x:v>Listed</x:v>
      </x:c>
      <x:c r="V2083" s="1" t="str">
        <x:f>IF(A2083="","",IF(AK2083&lt;&gt;1,"Duplicate source ID",IF(COUNTIFS('Staff Review'!$A$8:$A$507,A2083)&gt;1,"Duplicate review ID",IF(H2083&lt;&gt;"Yes","Outside scope",IF(J2083="Yes","Already served",IF(NOT(ISNUMBER(T2083)),"Missing data","Candidate"))))))</x:f>
        <x:v>Candidate</x:v>
      </x:c>
      <x:c r="W2083" s="1" t="n">
        <x:f>IF(AL2083=0,"",1+COUNTIFS($AL$2051:$AL$2550,1,$T$2051:$T$2550,"&gt;"&amp;T2083)+COUNTIFS($AL$2051:$AL$2550,1,$T$2051:$T$2550,T2083,$G$2051:$G$2550,"&gt;"&amp;G2083)+COUNTIFS($AL$2051:$AL$2550,1,$T$2051:$T$2550,T2083,$G$2051:$G$2550,G2083,$F$2051:$F$2550,"&gt;"&amp;F2083)+COUNTIFS($AL$2051:$AL$2550,1,$T$2051:$T$2550,T2083,$G$2051:$G$2550,G2083,$F$2051:$F$2550,F2083,$AM$2051:$AM$2550,"&lt;"&amp;AM2083))</x:f>
        <x:v>290</x:v>
      </x:c>
      <x:c r="X2083" s="1" t="n">
        <x:f>IF(AL2083=0,"",1+COUNTIFS($AL$2051:$AL$2550,1,$T$2051:$T$2550,"&gt;"&amp;T2083))</x:f>
        <x:v>290</x:v>
      </x:c>
      <x:c r="Y2083" s="1" t="n">
        <x:f>IF(AND(H2083="Yes",OR(LEN('School Search'!$B$5)=0,ISNUMBER(SEARCH('School Search'!$B$5,B2083&amp;" "&amp;E2083&amp;" "&amp;A2083))),OR('School Search'!$D$5="All",C2083='School Search'!$D$5),OR('School Search'!$G$5="All eligible",AND('School Search'!$G$5="Not marked served",J2083&lt;&gt;"Yes"),AND('School Search'!$G$5="Missing data",V2083="Missing data"),AND('School Search'!$G$5="Marked served",J2083="Yes"))),1,0)</x:f>
        <x:v>1</x:v>
      </x:c>
      <x:c r="Z2083" s="1" t="n">
        <x:f>IF(Y2083=0,"",COUNTIFS($Y$2051:$Y$2550,1,$AO$2051:$AO$2550,"&lt;"&amp;AO2083)+COUNTIFS($Y$2051:Y2083,1,$AO$2051:AO2083,AO2083))</x:f>
        <x:v>290</x:v>
      </x:c>
      <x:c r="AA2083" s="1" t="str">
        <x:f>IF(NOT(ISNUMBER(S2083)),"Missing demographic or access input",TEXT(G2083,"0%")&amp;" economic need; "&amp;TEXT(K2083,"0.00")&amp;" mi fresh access; "&amp;L2083&amp;" nearby resources")</x:f>
        <x:v>38% economic need; 0.21 mi fresh access; 8 nearby resources</x:v>
      </x:c>
      <x:c r="AB2083" s="1" t="n">
        <x:f>IF(OR(A2083="",COUNTIFS($A$1531:$A$2030,A2083)&lt;&gt;1),0,MATCH(A2083,$A$1531:$A$2030,0))</x:f>
        <x:v>33</x:v>
      </x:c>
      <x:c r="AC2083" s="1" t="str">
        <x:f>IF(AB2083=0,"",INDEX($E$1531:$E$2030,AB2083))</x:f>
        <x:v>Giant Food Store 6573</x:v>
      </x:c>
      <x:c r="AD2083" s="1" t="str">
        <x:f>IF(AB2083=0,"",INDEX($F$1531:$F$2030,AB2083))</x:f>
        <x:v>510 N Broad St, Philadelphia, PA, 19130</x:v>
      </x:c>
      <x:c r="AE2083" s="1" t="str">
        <x:f>IF(A2083="","",F34)</x:f>
        <x:v>1699 SPRING GARDEN ST</x:v>
      </x:c>
      <x:c r="AF2083" s="1" t="n">
        <x:f>IF(ISNUMBER(I34),I34,"")</x:f>
        <x:v>39.96320031</x:v>
      </x:c>
      <x:c r="AG2083" s="1" t="n">
        <x:f>IF(ISNUMBER(J34),J34,"")</x:f>
        <x:v>-75.16620758</x:v>
      </x:c>
      <x:c r="AH2083" s="1" t="str">
        <x:f>IF(I2083=0,"Not contacted",IF(INDEX('Staff Review'!$J$8:$J$507,I2083)="","Not contacted",INDEX('Staff Review'!$J$8:$J$507,I2083)))</x:f>
        <x:v>Not contacted</x:v>
      </x:c>
      <x:c r="AI2083" s="1" t="str">
        <x:f>IF(I2083=0,"No",IF(AND(COUNT(INDEX('Staff Review'!$D$8:$D$507,I2083))=1,INDEX('Staff Review'!$D$8:$D$507,I2083)&gt;=0,COUNT(INDEX('Staff Review'!$E$8:$E$507,I2083))=1,INDEX('Staff Review'!$E$8:$E$507,I2083)&gt;0,INDEX('Staff Review'!$E$8:$E$507,I2083)&lt;='Top 15'!$E$5,'Top 15'!$E$5-INDEX('Staff Review'!$E$8:$E$507,I2083)&lt;='Top 15'!$H$5,LEN(INDEX('Staff Review'!$H$8:$H$507,I2083))&gt;0),"Yes","No"))</x:f>
        <x:v>No</x:v>
      </x:c>
      <x:c r="AJ2083" s="1" t="str">
        <x:f>IF(I2083=0,"No",IF(COUNT(INDEX('Staff Review'!$F$8:$F$507,I2083))&lt;&gt;1,"No",IF(AND(INDEX('Staff Review'!$F$8:$F$507,I2083)&gt;=0,MOD(INDEX('Staff Review'!$F$8:$F$507,I2083),1)=0,COUNT(INDEX('Staff Review'!$G$8:$G$507,I2083))=1,INDEX('Staff Review'!$G$8:$G$507,I2083)&gt;0,INDEX('Staff Review'!$G$8:$G$507,I2083)&lt;='Top 15'!$E$5,'Top 15'!$E$5-INDEX('Staff Review'!$G$8:$G$507,I2083)&lt;='Top 15'!$H$5,LEN(INDEX('Staff Review'!$H$8:$H$507,I2083))&gt;0),"Yes","No")))</x:f>
        <x:v>No</x:v>
      </x:c>
      <x:c r="AK2083" s="1" t="n">
        <x:f>IF(A2083="",0,COUNTIFS($A$2:$A$501,A2083))</x:f>
        <x:v>1</x:v>
      </x:c>
      <x:c r="AL2083" s="1" t="n">
        <x:f>IF(V2083="Candidate",1,0)</x:f>
        <x:v>1</x:v>
      </x:c>
      <x:c r="AM2083" s="1" t="n">
        <x:f>IF(A2083="",0,VALUE(A2083))</x:f>
        <x:v>2140</x:v>
      </x:c>
      <x:c r="AN2083" s="1" t="n">
        <x:f>IF(OR(A2083="",COUNTIFS($T$41:$T$540,A2083)&lt;&gt;1),0,MATCH(A2083,$T$41:$T$540,0))</x:f>
        <x:v>33</x:v>
      </x:c>
      <x:c r="AO2083" t="n">
        <x:f>IF(ISNUMBER(W2083),W2083,10000+AM2083)</x:f>
        <x:v>290</x:v>
      </x:c>
    </x:row>
    <x:row r="2084" ht="22" customHeight="1">
      <x:c r="A2084" s="1" t="str">
        <x:f>IF(A35="","",A35)</x:f>
        <x:v>2160</x:v>
      </x:c>
      <x:c r="B2084" s="1" t="str">
        <x:f>IF(A2084="","",B35)</x:f>
        <x:v>Horace Furness High School</x:v>
      </x:c>
      <x:c r="C2084" s="1" t="str">
        <x:f>IF(A2084="","",C35)</x:f>
        <x:v>District</x:v>
      </x:c>
      <x:c r="D2084" s="1" t="str">
        <x:f>IF(A2084="","",E35)</x:f>
        <x:v>High</x:v>
      </x:c>
      <x:c r="E2084" s="1" t="str">
        <x:f>IF(A2084="","",H35)</x:f>
        <x:v>19148</x:v>
      </x:c>
      <x:c r="F2084" s="1" t="n">
        <x:f>IF(ISNUMBER(K35),K35,"")</x:f>
        <x:v>836</x:v>
      </x:c>
      <x:c r="G2084" s="1" t="n">
        <x:f>IF(ISNUMBER(L35),L35,"")</x:f>
        <x:v>0.6889</x:v>
      </x:c>
      <x:c r="H2084" s="1" t="str">
        <x:f>IF(A2084="","",IF(AND(UPPER(G35)="PHILADELPHIA",OR(C2084="District",AND(C2084="Charter",D35="Yes"))),"Yes","No"))</x:f>
        <x:v>Yes</x:v>
      </x:c>
      <x:c r="I2084" s="1" t="n">
        <x:f>IF(OR(A2084="",COUNTIFS('Staff Review'!$A$8:$A$507,A2084)&lt;&gt;1),0,MATCH(A2084,'Staff Review'!$A$8:$A$507,0))</x:f>
        <x:v>117</x:v>
      </x:c>
      <x:c r="J2084" s="1" t="str">
        <x:f>IF(I2084=0,"No",IF(INDEX('Staff Review'!$C$8:$C$507,I2084)="Yes","Yes","No"))</x:f>
        <x:v>No</x:v>
      </x:c>
      <x:c r="K2084" s="1" t="n">
        <x:f>IF(AI2084="Yes",INDEX('Staff Review'!$D$8:$D$507,I2084),IF(AB2084=0,"",IF(COUNT(INDEX($C$1531:$C$2030,AB2084))=1,INDEX($C$1531:$C$2030,AB2084),"")))</x:f>
        <x:v>0.19535268348524887</x:v>
      </x:c>
      <x:c r="L2084" s="1" t="n">
        <x:f>IF(AJ2084="Yes",INDEX('Staff Review'!$F$8:$F$507,I2084),IF(AB2084=0,"",IF(COUNT(INDEX($G$1531:$G$2030,AB2084))=1,INDEX($G$1531:$G$2030,AB2084),"")))</x:f>
        <x:v>6</x:v>
      </x:c>
      <x:c r="M2084" s="1" t="str">
        <x:f>IF(A2084="","",IF(AI2084="Yes","Verified","Listed"))</x:f>
        <x:v>Listed</x:v>
      </x:c>
      <x:c r="N2084" s="1" t="str">
        <x:f>IF(A2084="","",IF(AJ2084="Yes","Verified","Listed"))</x:f>
        <x:v>Listed</x:v>
      </x:c>
      <x:c r="O2084" s="1" t="n">
        <x:f>IF(AND(ISNUMBER(G2084),G2084&gt;=0,G2084&lt;=1),IF(G2084&gt;=0.9,30,IF(G2084&gt;=0.8,25,IF(G2084&gt;=0.7,20,IF(G2084&gt;=0.6,15,IF(G2084&gt;=0.5,10,IF(G2084&gt;=0.4,5,0)))))),"")</x:f>
        <x:v>15</x:v>
      </x:c>
      <x:c r="P2084" s="1" t="n">
        <x:f>IF(ISNUMBER(K2084),IF(K2084&lt;0,"",IF(K2084&gt;1,25,IF(K2084&gt;=0.75,20,IF(K2084&gt;=0.5,15,IF(K2084&gt;=0.25,10,5))))),"")</x:f>
        <x:v>5</x:v>
      </x:c>
      <x:c r="Q2084" s="1" t="n">
        <x:f>IF(NOT(ISNUMBER(L2084)),"",IF(AND(L2084&gt;=0,MOD(L2084,1)=0),MAX(0,25-5*L2084),""))</x:f>
        <x:v>0</x:v>
      </x:c>
      <x:c r="R2084" s="1" t="n">
        <x:f>IF(NOT(ISNUMBER(F2084)),"",IF(AND(F2084&gt;0,MOD(F2084,1)=0),IF(F2084&gt;=700,5,IF(F2084&gt;=500,4,IF(F2084&gt;=350,3,IF(F2084&gt;=200,2,1)))),""))</x:f>
        <x:v>5</x:v>
      </x:c>
      <x:c r="S2084" s="1" t="n">
        <x:f>IF(COUNT(O2084:R2084)=4,SUM(O2084:R2084),"")</x:f>
        <x:v>25</x:v>
      </x:c>
      <x:c r="T2084" s="1" t="n">
        <x:f>IF(OR(COUNT(O2084:R2084)&lt;&gt;4,COUNT('Top 15'!$B$35:$E$35)&lt;&gt;4,MIN('Top 15'!$B$35:$E$35)&lt;0,SUM('Top 15'!$B$35:$E$35)&lt;=0),"",ROUND(85*(O2084/30*'Top 15'!$B$35+P2084/25*'Top 15'!$C$35+Q2084/25*'Top 15'!$D$35+R2084/5*'Top 15'!$E$35)/SUM('Top 15'!$B$35:$E$35),6))</x:f>
        <x:v>25</x:v>
      </x:c>
      <x:c r="U2084" s="1" t="str">
        <x:f>IF(A2084="","",IF(AND(M2084="Verified",N2084="Verified"),"Verified",IF(AND(M2084="Listed",N2084="Listed"),"Listed","Mixed")))</x:f>
        <x:v>Listed</x:v>
      </x:c>
      <x:c r="V2084" s="1" t="str">
        <x:f>IF(A2084="","",IF(AK2084&lt;&gt;1,"Duplicate source ID",IF(COUNTIFS('Staff Review'!$A$8:$A$507,A2084)&gt;1,"Duplicate review ID",IF(H2084&lt;&gt;"Yes","Outside scope",IF(J2084="Yes","Already served",IF(NOT(ISNUMBER(T2084)),"Missing data","Candidate"))))))</x:f>
        <x:v>Candidate</x:v>
      </x:c>
      <x:c r="W2084" s="1" t="n">
        <x:f>IF(AL2084=0,"",1+COUNTIFS($AL$2051:$AL$2550,1,$T$2051:$T$2550,"&gt;"&amp;T2084)+COUNTIFS($AL$2051:$AL$2550,1,$T$2051:$T$2550,T2084,$G$2051:$G$2550,"&gt;"&amp;G2084)+COUNTIFS($AL$2051:$AL$2550,1,$T$2051:$T$2550,T2084,$G$2051:$G$2550,G2084,$F$2051:$F$2550,"&gt;"&amp;F2084)+COUNTIFS($AL$2051:$AL$2550,1,$T$2051:$T$2550,T2084,$G$2051:$G$2550,G2084,$F$2051:$F$2550,F2084,$AM$2051:$AM$2550,"&lt;"&amp;AM2084))</x:f>
        <x:v>269</x:v>
      </x:c>
      <x:c r="X2084" s="1" t="n">
        <x:f>IF(AL2084=0,"",1+COUNTIFS($AL$2051:$AL$2550,1,$T$2051:$T$2550,"&gt;"&amp;T2084))</x:f>
        <x:v>269</x:v>
      </x:c>
      <x:c r="Y2084" s="1" t="n">
        <x:f>IF(AND(H2084="Yes",OR(LEN('School Search'!$B$5)=0,ISNUMBER(SEARCH('School Search'!$B$5,B2084&amp;" "&amp;E2084&amp;" "&amp;A2084))),OR('School Search'!$D$5="All",C2084='School Search'!$D$5),OR('School Search'!$G$5="All eligible",AND('School Search'!$G$5="Not marked served",J2084&lt;&gt;"Yes"),AND('School Search'!$G$5="Missing data",V2084="Missing data"),AND('School Search'!$G$5="Marked served",J2084="Yes"))),1,0)</x:f>
        <x:v>1</x:v>
      </x:c>
      <x:c r="Z2084" s="1" t="n">
        <x:f>IF(Y2084=0,"",COUNTIFS($Y$2051:$Y$2550,1,$AO$2051:$AO$2550,"&lt;"&amp;AO2084)+COUNTIFS($Y$2051:Y2084,1,$AO$2051:AO2084,AO2084))</x:f>
        <x:v>269</x:v>
      </x:c>
      <x:c r="AA2084" s="1" t="str">
        <x:f>IF(NOT(ISNUMBER(S2084)),"Missing demographic or access input",TEXT(G2084,"0%")&amp;" economic need; "&amp;TEXT(K2084,"0.00")&amp;" mi fresh access; "&amp;L2084&amp;" nearby resources")</x:f>
        <x:v>69% economic need; 0.20 mi fresh access; 6 nearby resources</x:v>
      </x:c>
      <x:c r="AB2084" s="1" t="n">
        <x:f>IF(OR(A2084="",COUNTIFS($A$1531:$A$2030,A2084)&lt;&gt;1),0,MATCH(A2084,$A$1531:$A$2030,0))</x:f>
        <x:v>34</x:v>
      </x:c>
      <x:c r="AC2084" s="1" t="str">
        <x:f>IF(AB2084=0,"",INDEX($E$1531:$E$2030,AB2084))</x:f>
        <x:v>Target Store 1443</x:v>
      </x:c>
      <x:c r="AD2084" s="1" t="str">
        <x:f>IF(AB2084=0,"",INDEX($F$1531:$F$2030,AB2084))</x:f>
        <x:v>1 Mifflin St, Philadelphia, PA, 19148</x:v>
      </x:c>
      <x:c r="AE2084" s="1" t="str">
        <x:f>IF(A2084="","",F35)</x:f>
        <x:v>1900 S 3RD ST</x:v>
      </x:c>
      <x:c r="AF2084" s="1" t="n">
        <x:f>IF(ISNUMBER(I35),I35,"")</x:f>
        <x:v>39.923762</x:v>
      </x:c>
      <x:c r="AG2084" s="1" t="n">
        <x:f>IF(ISNUMBER(J35),J35,"")</x:f>
        <x:v>-75.150585</x:v>
      </x:c>
      <x:c r="AH2084" s="1" t="str">
        <x:f>IF(I2084=0,"Not contacted",IF(INDEX('Staff Review'!$J$8:$J$507,I2084)="","Not contacted",INDEX('Staff Review'!$J$8:$J$507,I2084)))</x:f>
        <x:v>Not contacted</x:v>
      </x:c>
      <x:c r="AI2084" s="1" t="str">
        <x:f>IF(I2084=0,"No",IF(AND(COUNT(INDEX('Staff Review'!$D$8:$D$507,I2084))=1,INDEX('Staff Review'!$D$8:$D$507,I2084)&gt;=0,COUNT(INDEX('Staff Review'!$E$8:$E$507,I2084))=1,INDEX('Staff Review'!$E$8:$E$507,I2084)&gt;0,INDEX('Staff Review'!$E$8:$E$507,I2084)&lt;='Top 15'!$E$5,'Top 15'!$E$5-INDEX('Staff Review'!$E$8:$E$507,I2084)&lt;='Top 15'!$H$5,LEN(INDEX('Staff Review'!$H$8:$H$507,I2084))&gt;0),"Yes","No"))</x:f>
        <x:v>No</x:v>
      </x:c>
      <x:c r="AJ2084" s="1" t="str">
        <x:f>IF(I2084=0,"No",IF(COUNT(INDEX('Staff Review'!$F$8:$F$507,I2084))&lt;&gt;1,"No",IF(AND(INDEX('Staff Review'!$F$8:$F$507,I2084)&gt;=0,MOD(INDEX('Staff Review'!$F$8:$F$507,I2084),1)=0,COUNT(INDEX('Staff Review'!$G$8:$G$507,I2084))=1,INDEX('Staff Review'!$G$8:$G$507,I2084)&gt;0,INDEX('Staff Review'!$G$8:$G$507,I2084)&lt;='Top 15'!$E$5,'Top 15'!$E$5-INDEX('Staff Review'!$G$8:$G$507,I2084)&lt;='Top 15'!$H$5,LEN(INDEX('Staff Review'!$H$8:$H$507,I2084))&gt;0),"Yes","No")))</x:f>
        <x:v>No</x:v>
      </x:c>
      <x:c r="AK2084" s="1" t="n">
        <x:f>IF(A2084="",0,COUNTIFS($A$2:$A$501,A2084))</x:f>
        <x:v>1</x:v>
      </x:c>
      <x:c r="AL2084" s="1" t="n">
        <x:f>IF(V2084="Candidate",1,0)</x:f>
        <x:v>1</x:v>
      </x:c>
      <x:c r="AM2084" s="1" t="n">
        <x:f>IF(A2084="",0,VALUE(A2084))</x:f>
        <x:v>2160</x:v>
      </x:c>
      <x:c r="AN2084" s="1" t="n">
        <x:f>IF(OR(A2084="",COUNTIFS($T$41:$T$540,A2084)&lt;&gt;1),0,MATCH(A2084,$T$41:$T$540,0))</x:f>
        <x:v>34</x:v>
      </x:c>
      <x:c r="AO2084" t="n">
        <x:f>IF(ISNUMBER(W2084),W2084,10000+AM2084)</x:f>
        <x:v>269</x:v>
      </x:c>
    </x:row>
    <x:row r="2085" ht="22" customHeight="1">
      <x:c r="A2085" s="1" t="str">
        <x:f>IF(A36="","",A36)</x:f>
        <x:v>2190</x:v>
      </x:c>
      <x:c r="B2085" s="1" t="str">
        <x:f>IF(A2085="","",B36)</x:f>
        <x:v>D. Newlin Fell School</x:v>
      </x:c>
      <x:c r="C2085" s="1" t="str">
        <x:f>IF(A2085="","",C36)</x:f>
        <x:v>District</x:v>
      </x:c>
      <x:c r="D2085" s="1" t="str">
        <x:f>IF(A2085="","",E36)</x:f>
        <x:v>Elementary-Middle</x:v>
      </x:c>
      <x:c r="E2085" s="1" t="str">
        <x:f>IF(A2085="","",H36)</x:f>
        <x:v>19148</x:v>
      </x:c>
      <x:c r="F2085" s="1" t="n">
        <x:f>IF(ISNUMBER(K36),K36,"")</x:f>
        <x:v>519</x:v>
      </x:c>
      <x:c r="G2085" s="1" t="n">
        <x:f>IF(ISNUMBER(L36),L36,"")</x:f>
        <x:v>0.7552</x:v>
      </x:c>
      <x:c r="H2085" s="1" t="str">
        <x:f>IF(A2085="","",IF(AND(UPPER(G36)="PHILADELPHIA",OR(C2085="District",AND(C2085="Charter",D36="Yes"))),"Yes","No"))</x:f>
        <x:v>Yes</x:v>
      </x:c>
      <x:c r="I2085" s="1" t="n">
        <x:f>IF(OR(A2085="",COUNTIFS('Staff Review'!$A$8:$A$507,A2085)&lt;&gt;1),0,MATCH(A2085,'Staff Review'!$A$8:$A$507,0))</x:f>
        <x:v>49</x:v>
      </x:c>
      <x:c r="J2085" s="1" t="str">
        <x:f>IF(I2085=0,"No",IF(INDEX('Staff Review'!$C$8:$C$507,I2085)="Yes","Yes","No"))</x:f>
        <x:v>No</x:v>
      </x:c>
      <x:c r="K2085" s="1" t="n">
        <x:f>IF(AI2085="Yes",INDEX('Staff Review'!$D$8:$D$507,I2085),IF(AB2085=0,"",IF(COUNT(INDEX($C$1531:$C$2030,AB2085))=1,INDEX($C$1531:$C$2030,AB2085),"")))</x:f>
        <x:v>0.428348615876103</x:v>
      </x:c>
      <x:c r="L2085" s="1" t="n">
        <x:f>IF(AJ2085="Yes",INDEX('Staff Review'!$F$8:$F$507,I2085),IF(AB2085=0,"",IF(COUNT(INDEX($G$1531:$G$2030,AB2085))=1,INDEX($G$1531:$G$2030,AB2085),"")))</x:f>
        <x:v>5</x:v>
      </x:c>
      <x:c r="M2085" s="1" t="str">
        <x:f>IF(A2085="","",IF(AI2085="Yes","Verified","Listed"))</x:f>
        <x:v>Listed</x:v>
      </x:c>
      <x:c r="N2085" s="1" t="str">
        <x:f>IF(A2085="","",IF(AJ2085="Yes","Verified","Listed"))</x:f>
        <x:v>Listed</x:v>
      </x:c>
      <x:c r="O2085" s="1" t="n">
        <x:f>IF(AND(ISNUMBER(G2085),G2085&gt;=0,G2085&lt;=1),IF(G2085&gt;=0.9,30,IF(G2085&gt;=0.8,25,IF(G2085&gt;=0.7,20,IF(G2085&gt;=0.6,15,IF(G2085&gt;=0.5,10,IF(G2085&gt;=0.4,5,0)))))),"")</x:f>
        <x:v>20</x:v>
      </x:c>
      <x:c r="P2085" s="1" t="n">
        <x:f>IF(ISNUMBER(K2085),IF(K2085&lt;0,"",IF(K2085&gt;1,25,IF(K2085&gt;=0.75,20,IF(K2085&gt;=0.5,15,IF(K2085&gt;=0.25,10,5))))),"")</x:f>
        <x:v>10</x:v>
      </x:c>
      <x:c r="Q2085" s="1" t="n">
        <x:f>IF(NOT(ISNUMBER(L2085)),"",IF(AND(L2085&gt;=0,MOD(L2085,1)=0),MAX(0,25-5*L2085),""))</x:f>
        <x:v>0</x:v>
      </x:c>
      <x:c r="R2085" s="1" t="n">
        <x:f>IF(NOT(ISNUMBER(F2085)),"",IF(AND(F2085&gt;0,MOD(F2085,1)=0),IF(F2085&gt;=700,5,IF(F2085&gt;=500,4,IF(F2085&gt;=350,3,IF(F2085&gt;=200,2,1)))),""))</x:f>
        <x:v>4</x:v>
      </x:c>
      <x:c r="S2085" s="1" t="n">
        <x:f>IF(COUNT(O2085:R2085)=4,SUM(O2085:R2085),"")</x:f>
        <x:v>34</x:v>
      </x:c>
      <x:c r="T2085" s="1" t="n">
        <x:f>IF(OR(COUNT(O2085:R2085)&lt;&gt;4,COUNT('Top 15'!$B$35:$E$35)&lt;&gt;4,MIN('Top 15'!$B$35:$E$35)&lt;0,SUM('Top 15'!$B$35:$E$35)&lt;=0),"",ROUND(85*(O2085/30*'Top 15'!$B$35+P2085/25*'Top 15'!$C$35+Q2085/25*'Top 15'!$D$35+R2085/5*'Top 15'!$E$35)/SUM('Top 15'!$B$35:$E$35),6))</x:f>
        <x:v>34</x:v>
      </x:c>
      <x:c r="U2085" s="1" t="str">
        <x:f>IF(A2085="","",IF(AND(M2085="Verified",N2085="Verified"),"Verified",IF(AND(M2085="Listed",N2085="Listed"),"Listed","Mixed")))</x:f>
        <x:v>Listed</x:v>
      </x:c>
      <x:c r="V2085" s="1" t="str">
        <x:f>IF(A2085="","",IF(AK2085&lt;&gt;1,"Duplicate source ID",IF(COUNTIFS('Staff Review'!$A$8:$A$507,A2085)&gt;1,"Duplicate review ID",IF(H2085&lt;&gt;"Yes","Outside scope",IF(J2085="Yes","Already served",IF(NOT(ISNUMBER(T2085)),"Missing data","Candidate"))))))</x:f>
        <x:v>Candidate</x:v>
      </x:c>
      <x:c r="W2085" s="1" t="n">
        <x:f>IF(AL2085=0,"",1+COUNTIFS($AL$2051:$AL$2550,1,$T$2051:$T$2550,"&gt;"&amp;T2085)+COUNTIFS($AL$2051:$AL$2550,1,$T$2051:$T$2550,T2085,$G$2051:$G$2550,"&gt;"&amp;G2085)+COUNTIFS($AL$2051:$AL$2550,1,$T$2051:$T$2550,T2085,$G$2051:$G$2550,G2085,$F$2051:$F$2550,"&gt;"&amp;F2085)+COUNTIFS($AL$2051:$AL$2550,1,$T$2051:$T$2550,T2085,$G$2051:$G$2550,G2085,$F$2051:$F$2550,F2085,$AM$2051:$AM$2550,"&lt;"&amp;AM2085))</x:f>
        <x:v>229</x:v>
      </x:c>
      <x:c r="X2085" s="1" t="n">
        <x:f>IF(AL2085=0,"",1+COUNTIFS($AL$2051:$AL$2550,1,$T$2051:$T$2550,"&gt;"&amp;T2085))</x:f>
        <x:v>221</x:v>
      </x:c>
      <x:c r="Y2085" s="1" t="n">
        <x:f>IF(AND(H2085="Yes",OR(LEN('School Search'!$B$5)=0,ISNUMBER(SEARCH('School Search'!$B$5,B2085&amp;" "&amp;E2085&amp;" "&amp;A2085))),OR('School Search'!$D$5="All",C2085='School Search'!$D$5),OR('School Search'!$G$5="All eligible",AND('School Search'!$G$5="Not marked served",J2085&lt;&gt;"Yes"),AND('School Search'!$G$5="Missing data",V2085="Missing data"),AND('School Search'!$G$5="Marked served",J2085="Yes"))),1,0)</x:f>
        <x:v>1</x:v>
      </x:c>
      <x:c r="Z2085" s="1" t="n">
        <x:f>IF(Y2085=0,"",COUNTIFS($Y$2051:$Y$2550,1,$AO$2051:$AO$2550,"&lt;"&amp;AO2085)+COUNTIFS($Y$2051:Y2085,1,$AO$2051:AO2085,AO2085))</x:f>
        <x:v>229</x:v>
      </x:c>
      <x:c r="AA2085" s="1" t="str">
        <x:f>IF(NOT(ISNUMBER(S2085)),"Missing demographic or access input",TEXT(G2085,"0%")&amp;" economic need; "&amp;TEXT(K2085,"0.00")&amp;" mi fresh access; "&amp;L2085&amp;" nearby resources")</x:f>
        <x:v>76% economic need; 0.43 mi fresh access; 5 nearby resources</x:v>
      </x:c>
      <x:c r="AB2085" s="1" t="n">
        <x:f>IF(OR(A2085="",COUNTIFS($A$1531:$A$2030,A2085)&lt;&gt;1),0,MATCH(A2085,$A$1531:$A$2030,0))</x:f>
        <x:v>35</x:v>
      </x:c>
      <x:c r="AC2085" s="1" t="str">
        <x:f>IF(AB2085=0,"",INDEX($E$1531:$E$2030,AB2085))</x:f>
        <x:v>ShopRite of Whitman Plaza 411</x:v>
      </x:c>
      <x:c r="AD2085" s="1" t="str">
        <x:f>IF(AB2085=0,"",INDEX($F$1531:$F$2030,AB2085))</x:f>
        <x:v>330 W Oregon Ave, Philadelphia, PA, 19148</x:v>
      </x:c>
      <x:c r="AE2085" s="1" t="str">
        <x:f>IF(A2085="","",F36)</x:f>
        <x:v>900 W OREGON AVE</x:v>
      </x:c>
      <x:c r="AF2085" s="1" t="n">
        <x:f>IF(ISNUMBER(I36),I36,"")</x:f>
        <x:v>39.91558638</x:v>
      </x:c>
      <x:c r="AG2085" s="1" t="n">
        <x:f>IF(ISNUMBER(J36),J36,"")</x:f>
        <x:v>-75.16300858</x:v>
      </x:c>
      <x:c r="AH2085" s="1" t="str">
        <x:f>IF(I2085=0,"Not contacted",IF(INDEX('Staff Review'!$J$8:$J$507,I2085)="","Not contacted",INDEX('Staff Review'!$J$8:$J$507,I2085)))</x:f>
        <x:v>Not contacted</x:v>
      </x:c>
      <x:c r="AI2085" s="1" t="str">
        <x:f>IF(I2085=0,"No",IF(AND(COUNT(INDEX('Staff Review'!$D$8:$D$507,I2085))=1,INDEX('Staff Review'!$D$8:$D$507,I2085)&gt;=0,COUNT(INDEX('Staff Review'!$E$8:$E$507,I2085))=1,INDEX('Staff Review'!$E$8:$E$507,I2085)&gt;0,INDEX('Staff Review'!$E$8:$E$507,I2085)&lt;='Top 15'!$E$5,'Top 15'!$E$5-INDEX('Staff Review'!$E$8:$E$507,I2085)&lt;='Top 15'!$H$5,LEN(INDEX('Staff Review'!$H$8:$H$507,I2085))&gt;0),"Yes","No"))</x:f>
        <x:v>No</x:v>
      </x:c>
      <x:c r="AJ2085" s="1" t="str">
        <x:f>IF(I2085=0,"No",IF(COUNT(INDEX('Staff Review'!$F$8:$F$507,I2085))&lt;&gt;1,"No",IF(AND(INDEX('Staff Review'!$F$8:$F$507,I2085)&gt;=0,MOD(INDEX('Staff Review'!$F$8:$F$507,I2085),1)=0,COUNT(INDEX('Staff Review'!$G$8:$G$507,I2085))=1,INDEX('Staff Review'!$G$8:$G$507,I2085)&gt;0,INDEX('Staff Review'!$G$8:$G$507,I2085)&lt;='Top 15'!$E$5,'Top 15'!$E$5-INDEX('Staff Review'!$G$8:$G$507,I2085)&lt;='Top 15'!$H$5,LEN(INDEX('Staff Review'!$H$8:$H$507,I2085))&gt;0),"Yes","No")))</x:f>
        <x:v>No</x:v>
      </x:c>
      <x:c r="AK2085" s="1" t="n">
        <x:f>IF(A2085="",0,COUNTIFS($A$2:$A$501,A2085))</x:f>
        <x:v>1</x:v>
      </x:c>
      <x:c r="AL2085" s="1" t="n">
        <x:f>IF(V2085="Candidate",1,0)</x:f>
        <x:v>1</x:v>
      </x:c>
      <x:c r="AM2085" s="1" t="n">
        <x:f>IF(A2085="",0,VALUE(A2085))</x:f>
        <x:v>2190</x:v>
      </x:c>
      <x:c r="AN2085" s="1" t="n">
        <x:f>IF(OR(A2085="",COUNTIFS($T$41:$T$540,A2085)&lt;&gt;1),0,MATCH(A2085,$T$41:$T$540,0))</x:f>
        <x:v>35</x:v>
      </x:c>
      <x:c r="AO2085" t="n">
        <x:f>IF(ISNUMBER(W2085),W2085,10000+AM2085)</x:f>
        <x:v>229</x:v>
      </x:c>
    </x:row>
    <x:row r="2086" ht="22" customHeight="1">
      <x:c r="A2086" s="1" t="str">
        <x:f>IF(A37="","",A37)</x:f>
        <x:v>2210</x:v>
      </x:c>
      <x:c r="B2086" s="1" t="str">
        <x:f>IF(A2086="","",B37)</x:f>
        <x:v>Bache-Martin School</x:v>
      </x:c>
      <x:c r="C2086" s="1" t="str">
        <x:f>IF(A2086="","",C37)</x:f>
        <x:v>District</x:v>
      </x:c>
      <x:c r="D2086" s="1" t="str">
        <x:f>IF(A2086="","",E37)</x:f>
        <x:v>Elementary-Middle</x:v>
      </x:c>
      <x:c r="E2086" s="1" t="str">
        <x:f>IF(A2086="","",H37)</x:f>
        <x:v>19130</x:v>
      </x:c>
      <x:c r="F2086" s="1" t="n">
        <x:f>IF(ISNUMBER(K37),K37,"")</x:f>
        <x:v>622</x:v>
      </x:c>
      <x:c r="G2086" s="1" t="n">
        <x:f>IF(ISNUMBER(L37),L37,"")</x:f>
        <x:v>0.5334</x:v>
      </x:c>
      <x:c r="H2086" s="1" t="str">
        <x:f>IF(A2086="","",IF(AND(UPPER(G37)="PHILADELPHIA",OR(C2086="District",AND(C2086="Charter",D37="Yes"))),"Yes","No"))</x:f>
        <x:v>Yes</x:v>
      </x:c>
      <x:c r="I2086" s="1" t="n">
        <x:f>IF(OR(A2086="",COUNTIFS('Staff Review'!$A$8:$A$507,A2086)&lt;&gt;1),0,MATCH(A2086,'Staff Review'!$A$8:$A$507,0))</x:f>
        <x:v>26</x:v>
      </x:c>
      <x:c r="J2086" s="1" t="str">
        <x:f>IF(I2086=0,"No",IF(INDEX('Staff Review'!$C$8:$C$507,I2086)="Yes","Yes","No"))</x:f>
        <x:v>No</x:v>
      </x:c>
      <x:c r="K2086" s="1" t="n">
        <x:f>IF(AI2086="Yes",INDEX('Staff Review'!$D$8:$D$507,I2086),IF(AB2086=0,"",IF(COUNT(INDEX($C$1531:$C$2030,AB2086))=1,INDEX($C$1531:$C$2030,AB2086),"")))</x:f>
        <x:v>0.29713947061757184</x:v>
      </x:c>
      <x:c r="L2086" s="1" t="n">
        <x:f>IF(AJ2086="Yes",INDEX('Staff Review'!$F$8:$F$507,I2086),IF(AB2086=0,"",IF(COUNT(INDEX($G$1531:$G$2030,AB2086))=1,INDEX($G$1531:$G$2030,AB2086),"")))</x:f>
        <x:v>7</x:v>
      </x:c>
      <x:c r="M2086" s="1" t="str">
        <x:f>IF(A2086="","",IF(AI2086="Yes","Verified","Listed"))</x:f>
        <x:v>Listed</x:v>
      </x:c>
      <x:c r="N2086" s="1" t="str">
        <x:f>IF(A2086="","",IF(AJ2086="Yes","Verified","Listed"))</x:f>
        <x:v>Listed</x:v>
      </x:c>
      <x:c r="O2086" s="1" t="n">
        <x:f>IF(AND(ISNUMBER(G2086),G2086&gt;=0,G2086&lt;=1),IF(G2086&gt;=0.9,30,IF(G2086&gt;=0.8,25,IF(G2086&gt;=0.7,20,IF(G2086&gt;=0.6,15,IF(G2086&gt;=0.5,10,IF(G2086&gt;=0.4,5,0)))))),"")</x:f>
        <x:v>10</x:v>
      </x:c>
      <x:c r="P2086" s="1" t="n">
        <x:f>IF(ISNUMBER(K2086),IF(K2086&lt;0,"",IF(K2086&gt;1,25,IF(K2086&gt;=0.75,20,IF(K2086&gt;=0.5,15,IF(K2086&gt;=0.25,10,5))))),"")</x:f>
        <x:v>10</x:v>
      </x:c>
      <x:c r="Q2086" s="1" t="n">
        <x:f>IF(NOT(ISNUMBER(L2086)),"",IF(AND(L2086&gt;=0,MOD(L2086,1)=0),MAX(0,25-5*L2086),""))</x:f>
        <x:v>0</x:v>
      </x:c>
      <x:c r="R2086" s="1" t="n">
        <x:f>IF(NOT(ISNUMBER(F2086)),"",IF(AND(F2086&gt;0,MOD(F2086,1)=0),IF(F2086&gt;=700,5,IF(F2086&gt;=500,4,IF(F2086&gt;=350,3,IF(F2086&gt;=200,2,1)))),""))</x:f>
        <x:v>4</x:v>
      </x:c>
      <x:c r="S2086" s="1" t="n">
        <x:f>IF(COUNT(O2086:R2086)=4,SUM(O2086:R2086),"")</x:f>
        <x:v>24</x:v>
      </x:c>
      <x:c r="T2086" s="1" t="n">
        <x:f>IF(OR(COUNT(O2086:R2086)&lt;&gt;4,COUNT('Top 15'!$B$35:$E$35)&lt;&gt;4,MIN('Top 15'!$B$35:$E$35)&lt;0,SUM('Top 15'!$B$35:$E$35)&lt;=0),"",ROUND(85*(O2086/30*'Top 15'!$B$35+P2086/25*'Top 15'!$C$35+Q2086/25*'Top 15'!$D$35+R2086/5*'Top 15'!$E$35)/SUM('Top 15'!$B$35:$E$35),6))</x:f>
        <x:v>24</x:v>
      </x:c>
      <x:c r="U2086" s="1" t="str">
        <x:f>IF(A2086="","",IF(AND(M2086="Verified",N2086="Verified"),"Verified",IF(AND(M2086="Listed",N2086="Listed"),"Listed","Mixed")))</x:f>
        <x:v>Listed</x:v>
      </x:c>
      <x:c r="V2086" s="1" t="str">
        <x:f>IF(A2086="","",IF(AK2086&lt;&gt;1,"Duplicate source ID",IF(COUNTIFS('Staff Review'!$A$8:$A$507,A2086)&gt;1,"Duplicate review ID",IF(H2086&lt;&gt;"Yes","Outside scope",IF(J2086="Yes","Already served",IF(NOT(ISNUMBER(T2086)),"Missing data","Candidate"))))))</x:f>
        <x:v>Candidate</x:v>
      </x:c>
      <x:c r="W2086" s="1" t="n">
        <x:f>IF(AL2086=0,"",1+COUNTIFS($AL$2051:$AL$2550,1,$T$2051:$T$2550,"&gt;"&amp;T2086)+COUNTIFS($AL$2051:$AL$2550,1,$T$2051:$T$2550,T2086,$G$2051:$G$2550,"&gt;"&amp;G2086)+COUNTIFS($AL$2051:$AL$2550,1,$T$2051:$T$2550,T2086,$G$2051:$G$2550,G2086,$F$2051:$F$2550,"&gt;"&amp;F2086)+COUNTIFS($AL$2051:$AL$2550,1,$T$2051:$T$2550,T2086,$G$2051:$G$2550,G2086,$F$2051:$F$2550,F2086,$AM$2051:$AM$2550,"&lt;"&amp;AM2086))</x:f>
        <x:v>273</x:v>
      </x:c>
      <x:c r="X2086" s="1" t="n">
        <x:f>IF(AL2086=0,"",1+COUNTIFS($AL$2051:$AL$2550,1,$T$2051:$T$2550,"&gt;"&amp;T2086))</x:f>
        <x:v>272</x:v>
      </x:c>
      <x:c r="Y2086" s="1" t="n">
        <x:f>IF(AND(H2086="Yes",OR(LEN('School Search'!$B$5)=0,ISNUMBER(SEARCH('School Search'!$B$5,B2086&amp;" "&amp;E2086&amp;" "&amp;A2086))),OR('School Search'!$D$5="All",C2086='School Search'!$D$5),OR('School Search'!$G$5="All eligible",AND('School Search'!$G$5="Not marked served",J2086&lt;&gt;"Yes"),AND('School Search'!$G$5="Missing data",V2086="Missing data"),AND('School Search'!$G$5="Marked served",J2086="Yes"))),1,0)</x:f>
        <x:v>1</x:v>
      </x:c>
      <x:c r="Z2086" s="1" t="n">
        <x:f>IF(Y2086=0,"",COUNTIFS($Y$2051:$Y$2550,1,$AO$2051:$AO$2550,"&lt;"&amp;AO2086)+COUNTIFS($Y$2051:Y2086,1,$AO$2051:AO2086,AO2086))</x:f>
        <x:v>273</x:v>
      </x:c>
      <x:c r="AA2086" s="1" t="str">
        <x:f>IF(NOT(ISNUMBER(S2086)),"Missing demographic or access input",TEXT(G2086,"0%")&amp;" economic need; "&amp;TEXT(K2086,"0.00")&amp;" mi fresh access; "&amp;L2086&amp;" nearby resources")</x:f>
        <x:v>53% economic need; 0.30 mi fresh access; 7 nearby resources</x:v>
      </x:c>
      <x:c r="AB2086" s="1" t="n">
        <x:f>IF(OR(A2086="",COUNTIFS($A$1531:$A$2030,A2086)&lt;&gt;1),0,MATCH(A2086,$A$1531:$A$2030,0))</x:f>
        <x:v>36</x:v>
      </x:c>
      <x:c r="AC2086" s="1" t="str">
        <x:f>IF(AB2086=0,"",INDEX($E$1531:$E$2030,AB2086))</x:f>
        <x:v>Kleins Supermarket </x:v>
      </x:c>
      <x:c r="AD2086" s="1" t="str">
        <x:f>IF(AB2086=0,"",INDEX($F$1531:$F$2030,AB2086))</x:f>
        <x:v>2401 Pennsylvania Ave, Philadelphia, PA, 19130</x:v>
      </x:c>
      <x:c r="AE2086" s="1" t="str">
        <x:f>IF(A2086="","",F37)</x:f>
        <x:v>2201 BROWN ST</x:v>
      </x:c>
      <x:c r="AF2086" s="1" t="n">
        <x:f>IF(ISNUMBER(I37),I37,"")</x:f>
        <x:v>39.96967782</x:v>
      </x:c>
      <x:c r="AG2086" s="1" t="n">
        <x:f>IF(ISNUMBER(J37),J37,"")</x:f>
        <x:v>-75.17384692</x:v>
      </x:c>
      <x:c r="AH2086" s="1" t="str">
        <x:f>IF(I2086=0,"Not contacted",IF(INDEX('Staff Review'!$J$8:$J$507,I2086)="","Not contacted",INDEX('Staff Review'!$J$8:$J$507,I2086)))</x:f>
        <x:v>Not contacted</x:v>
      </x:c>
      <x:c r="AI2086" s="1" t="str">
        <x:f>IF(I2086=0,"No",IF(AND(COUNT(INDEX('Staff Review'!$D$8:$D$507,I2086))=1,INDEX('Staff Review'!$D$8:$D$507,I2086)&gt;=0,COUNT(INDEX('Staff Review'!$E$8:$E$507,I2086))=1,INDEX('Staff Review'!$E$8:$E$507,I2086)&gt;0,INDEX('Staff Review'!$E$8:$E$507,I2086)&lt;='Top 15'!$E$5,'Top 15'!$E$5-INDEX('Staff Review'!$E$8:$E$507,I2086)&lt;='Top 15'!$H$5,LEN(INDEX('Staff Review'!$H$8:$H$507,I2086))&gt;0),"Yes","No"))</x:f>
        <x:v>No</x:v>
      </x:c>
      <x:c r="AJ2086" s="1" t="str">
        <x:f>IF(I2086=0,"No",IF(COUNT(INDEX('Staff Review'!$F$8:$F$507,I2086))&lt;&gt;1,"No",IF(AND(INDEX('Staff Review'!$F$8:$F$507,I2086)&gt;=0,MOD(INDEX('Staff Review'!$F$8:$F$507,I2086),1)=0,COUNT(INDEX('Staff Review'!$G$8:$G$507,I2086))=1,INDEX('Staff Review'!$G$8:$G$507,I2086)&gt;0,INDEX('Staff Review'!$G$8:$G$507,I2086)&lt;='Top 15'!$E$5,'Top 15'!$E$5-INDEX('Staff Review'!$G$8:$G$507,I2086)&lt;='Top 15'!$H$5,LEN(INDEX('Staff Review'!$H$8:$H$507,I2086))&gt;0),"Yes","No")))</x:f>
        <x:v>No</x:v>
      </x:c>
      <x:c r="AK2086" s="1" t="n">
        <x:f>IF(A2086="",0,COUNTIFS($A$2:$A$501,A2086))</x:f>
        <x:v>1</x:v>
      </x:c>
      <x:c r="AL2086" s="1" t="n">
        <x:f>IF(V2086="Candidate",1,0)</x:f>
        <x:v>1</x:v>
      </x:c>
      <x:c r="AM2086" s="1" t="n">
        <x:f>IF(A2086="",0,VALUE(A2086))</x:f>
        <x:v>2210</x:v>
      </x:c>
      <x:c r="AN2086" s="1" t="n">
        <x:f>IF(OR(A2086="",COUNTIFS($T$41:$T$540,A2086)&lt;&gt;1),0,MATCH(A2086,$T$41:$T$540,0))</x:f>
        <x:v>36</x:v>
      </x:c>
      <x:c r="AO2086" t="n">
        <x:f>IF(ISNUMBER(W2086),W2086,10000+AM2086)</x:f>
        <x:v>273</x:v>
      </x:c>
    </x:row>
    <x:row r="2087" ht="22" customHeight="1">
      <x:c r="A2087" s="1" t="str">
        <x:f>IF(A38="","",A38)</x:f>
        <x:v>2240</x:v>
      </x:c>
      <x:c r="B2087" s="1" t="str">
        <x:f>IF(A2087="","",B38)</x:f>
        <x:v>F. Amedee Bregy School</x:v>
      </x:c>
      <x:c r="C2087" s="1" t="str">
        <x:f>IF(A2087="","",C38)</x:f>
        <x:v>District</x:v>
      </x:c>
      <x:c r="D2087" s="1" t="str">
        <x:f>IF(A2087="","",E38)</x:f>
        <x:v>Elementary-Middle</x:v>
      </x:c>
      <x:c r="E2087" s="1" t="str">
        <x:f>IF(A2087="","",H38)</x:f>
        <x:v>19145</x:v>
      </x:c>
      <x:c r="F2087" s="1" t="n">
        <x:f>IF(ISNUMBER(K38),K38,"")</x:f>
        <x:v>244</x:v>
      </x:c>
      <x:c r="G2087" s="1" t="n">
        <x:f>IF(ISNUMBER(L38),L38,"")</x:f>
        <x:v>0.8191</x:v>
      </x:c>
      <x:c r="H2087" s="1" t="str">
        <x:f>IF(A2087="","",IF(AND(UPPER(G38)="PHILADELPHIA",OR(C2087="District",AND(C2087="Charter",D38="Yes"))),"Yes","No"))</x:f>
        <x:v>Yes</x:v>
      </x:c>
      <x:c r="I2087" s="1" t="n">
        <x:f>IF(OR(A2087="",COUNTIFS('Staff Review'!$A$8:$A$507,A2087)&lt;&gt;1),0,MATCH(A2087,'Staff Review'!$A$8:$A$507,0))</x:f>
        <x:v>71</x:v>
      </x:c>
      <x:c r="J2087" s="1" t="str">
        <x:f>IF(I2087=0,"No",IF(INDEX('Staff Review'!$C$8:$C$507,I2087)="Yes","Yes","No"))</x:f>
        <x:v>No</x:v>
      </x:c>
      <x:c r="K2087" s="1" t="n">
        <x:f>IF(AI2087="Yes",INDEX('Staff Review'!$D$8:$D$507,I2087),IF(AB2087=0,"",IF(COUNT(INDEX($C$1531:$C$2030,AB2087))=1,INDEX($C$1531:$C$2030,AB2087),"")))</x:f>
        <x:v>0.2488858573081863</x:v>
      </x:c>
      <x:c r="L2087" s="1" t="n">
        <x:f>IF(AJ2087="Yes",INDEX('Staff Review'!$F$8:$F$507,I2087),IF(AB2087=0,"",IF(COUNT(INDEX($G$1531:$G$2030,AB2087))=1,INDEX($G$1531:$G$2030,AB2087),"")))</x:f>
        <x:v>1</x:v>
      </x:c>
      <x:c r="M2087" s="1" t="str">
        <x:f>IF(A2087="","",IF(AI2087="Yes","Verified","Listed"))</x:f>
        <x:v>Listed</x:v>
      </x:c>
      <x:c r="N2087" s="1" t="str">
        <x:f>IF(A2087="","",IF(AJ2087="Yes","Verified","Listed"))</x:f>
        <x:v>Listed</x:v>
      </x:c>
      <x:c r="O2087" s="1" t="n">
        <x:f>IF(AND(ISNUMBER(G2087),G2087&gt;=0,G2087&lt;=1),IF(G2087&gt;=0.9,30,IF(G2087&gt;=0.8,25,IF(G2087&gt;=0.7,20,IF(G2087&gt;=0.6,15,IF(G2087&gt;=0.5,10,IF(G2087&gt;=0.4,5,0)))))),"")</x:f>
        <x:v>25</x:v>
      </x:c>
      <x:c r="P2087" s="1" t="n">
        <x:f>IF(ISNUMBER(K2087),IF(K2087&lt;0,"",IF(K2087&gt;1,25,IF(K2087&gt;=0.75,20,IF(K2087&gt;=0.5,15,IF(K2087&gt;=0.25,10,5))))),"")</x:f>
        <x:v>5</x:v>
      </x:c>
      <x:c r="Q2087" s="1" t="n">
        <x:f>IF(NOT(ISNUMBER(L2087)),"",IF(AND(L2087&gt;=0,MOD(L2087,1)=0),MAX(0,25-5*L2087),""))</x:f>
        <x:v>20</x:v>
      </x:c>
      <x:c r="R2087" s="1" t="n">
        <x:f>IF(NOT(ISNUMBER(F2087)),"",IF(AND(F2087&gt;0,MOD(F2087,1)=0),IF(F2087&gt;=700,5,IF(F2087&gt;=500,4,IF(F2087&gt;=350,3,IF(F2087&gt;=200,2,1)))),""))</x:f>
        <x:v>2</x:v>
      </x:c>
      <x:c r="S2087" s="1" t="n">
        <x:f>IF(COUNT(O2087:R2087)=4,SUM(O2087:R2087),"")</x:f>
        <x:v>52</x:v>
      </x:c>
      <x:c r="T2087" s="1" t="n">
        <x:f>IF(OR(COUNT(O2087:R2087)&lt;&gt;4,COUNT('Top 15'!$B$35:$E$35)&lt;&gt;4,MIN('Top 15'!$B$35:$E$35)&lt;0,SUM('Top 15'!$B$35:$E$35)&lt;=0),"",ROUND(85*(O2087/30*'Top 15'!$B$35+P2087/25*'Top 15'!$C$35+Q2087/25*'Top 15'!$D$35+R2087/5*'Top 15'!$E$35)/SUM('Top 15'!$B$35:$E$35),6))</x:f>
        <x:v>52</x:v>
      </x:c>
      <x:c r="U2087" s="1" t="str">
        <x:f>IF(A2087="","",IF(AND(M2087="Verified",N2087="Verified"),"Verified",IF(AND(M2087="Listed",N2087="Listed"),"Listed","Mixed")))</x:f>
        <x:v>Listed</x:v>
      </x:c>
      <x:c r="V2087" s="1" t="str">
        <x:f>IF(A2087="","",IF(AK2087&lt;&gt;1,"Duplicate source ID",IF(COUNTIFS('Staff Review'!$A$8:$A$507,A2087)&gt;1,"Duplicate review ID",IF(H2087&lt;&gt;"Yes","Outside scope",IF(J2087="Yes","Already served",IF(NOT(ISNUMBER(T2087)),"Missing data","Candidate"))))))</x:f>
        <x:v>Candidate</x:v>
      </x:c>
      <x:c r="W2087" s="1" t="n">
        <x:f>IF(AL2087=0,"",1+COUNTIFS($AL$2051:$AL$2550,1,$T$2051:$T$2550,"&gt;"&amp;T2087)+COUNTIFS($AL$2051:$AL$2550,1,$T$2051:$T$2550,T2087,$G$2051:$G$2550,"&gt;"&amp;G2087)+COUNTIFS($AL$2051:$AL$2550,1,$T$2051:$T$2550,T2087,$G$2051:$G$2550,G2087,$F$2051:$F$2550,"&gt;"&amp;F2087)+COUNTIFS($AL$2051:$AL$2550,1,$T$2051:$T$2550,T2087,$G$2051:$G$2550,G2087,$F$2051:$F$2550,F2087,$AM$2051:$AM$2550,"&lt;"&amp;AM2087))</x:f>
        <x:v>38</x:v>
      </x:c>
      <x:c r="X2087" s="1" t="n">
        <x:f>IF(AL2087=0,"",1+COUNTIFS($AL$2051:$AL$2550,1,$T$2051:$T$2550,"&gt;"&amp;T2087))</x:f>
        <x:v>36</x:v>
      </x:c>
      <x:c r="Y2087" s="1" t="n">
        <x:f>IF(AND(H2087="Yes",OR(LEN('School Search'!$B$5)=0,ISNUMBER(SEARCH('School Search'!$B$5,B2087&amp;" "&amp;E2087&amp;" "&amp;A2087))),OR('School Search'!$D$5="All",C2087='School Search'!$D$5),OR('School Search'!$G$5="All eligible",AND('School Search'!$G$5="Not marked served",J2087&lt;&gt;"Yes"),AND('School Search'!$G$5="Missing data",V2087="Missing data"),AND('School Search'!$G$5="Marked served",J2087="Yes"))),1,0)</x:f>
        <x:v>1</x:v>
      </x:c>
      <x:c r="Z2087" s="1" t="n">
        <x:f>IF(Y2087=0,"",COUNTIFS($Y$2051:$Y$2550,1,$AO$2051:$AO$2550,"&lt;"&amp;AO2087)+COUNTIFS($Y$2051:Y2087,1,$AO$2051:AO2087,AO2087))</x:f>
        <x:v>38</x:v>
      </x:c>
      <x:c r="AA2087" s="1" t="str">
        <x:f>IF(NOT(ISNUMBER(S2087)),"Missing demographic or access input",TEXT(G2087,"0%")&amp;" economic need; "&amp;TEXT(K2087,"0.00")&amp;" mi fresh access; "&amp;L2087&amp;" nearby resources")</x:f>
        <x:v>82% economic need; 0.25 mi fresh access; 1 nearby resources</x:v>
      </x:c>
      <x:c r="AB2087" s="1" t="n">
        <x:f>IF(OR(A2087="",COUNTIFS($A$1531:$A$2030,A2087)&lt;&gt;1),0,MATCH(A2087,$A$1531:$A$2030,0))</x:f>
        <x:v>37</x:v>
      </x:c>
      <x:c r="AC2087" s="1" t="str">
        <x:f>IF(AB2087=0,"",INDEX($E$1531:$E$2030,AB2087))</x:f>
        <x:v>ACME 4715</x:v>
      </x:c>
      <x:c r="AD2087" s="1" t="str">
        <x:f>IF(AB2087=0,"",INDEX($F$1531:$F$2030,AB2087))</x:f>
        <x:v>1901 Johnston St, Philadelphia, PA, 19145</x:v>
      </x:c>
      <x:c r="AE2087" s="1" t="str">
        <x:f>IF(A2087="","",F38)</x:f>
        <x:v>1700 BIGLER ST</x:v>
      </x:c>
      <x:c r="AF2087" s="1" t="n">
        <x:f>IF(ISNUMBER(I38),I38,"")</x:f>
        <x:v>39.914699</x:v>
      </x:c>
      <x:c r="AG2087" s="1" t="n">
        <x:f>IF(ISNUMBER(J38),J38,"")</x:f>
        <x:v>-75.176674</x:v>
      </x:c>
      <x:c r="AH2087" s="1" t="str">
        <x:f>IF(I2087=0,"Not contacted",IF(INDEX('Staff Review'!$J$8:$J$507,I2087)="","Not contacted",INDEX('Staff Review'!$J$8:$J$507,I2087)))</x:f>
        <x:v>Not contacted</x:v>
      </x:c>
      <x:c r="AI2087" s="1" t="str">
        <x:f>IF(I2087=0,"No",IF(AND(COUNT(INDEX('Staff Review'!$D$8:$D$507,I2087))=1,INDEX('Staff Review'!$D$8:$D$507,I2087)&gt;=0,COUNT(INDEX('Staff Review'!$E$8:$E$507,I2087))=1,INDEX('Staff Review'!$E$8:$E$507,I2087)&gt;0,INDEX('Staff Review'!$E$8:$E$507,I2087)&lt;='Top 15'!$E$5,'Top 15'!$E$5-INDEX('Staff Review'!$E$8:$E$507,I2087)&lt;='Top 15'!$H$5,LEN(INDEX('Staff Review'!$H$8:$H$507,I2087))&gt;0),"Yes","No"))</x:f>
        <x:v>No</x:v>
      </x:c>
      <x:c r="AJ2087" s="1" t="str">
        <x:f>IF(I2087=0,"No",IF(COUNT(INDEX('Staff Review'!$F$8:$F$507,I2087))&lt;&gt;1,"No",IF(AND(INDEX('Staff Review'!$F$8:$F$507,I2087)&gt;=0,MOD(INDEX('Staff Review'!$F$8:$F$507,I2087),1)=0,COUNT(INDEX('Staff Review'!$G$8:$G$507,I2087))=1,INDEX('Staff Review'!$G$8:$G$507,I2087)&gt;0,INDEX('Staff Review'!$G$8:$G$507,I2087)&lt;='Top 15'!$E$5,'Top 15'!$E$5-INDEX('Staff Review'!$G$8:$G$507,I2087)&lt;='Top 15'!$H$5,LEN(INDEX('Staff Review'!$H$8:$H$507,I2087))&gt;0),"Yes","No")))</x:f>
        <x:v>No</x:v>
      </x:c>
      <x:c r="AK2087" s="1" t="n">
        <x:f>IF(A2087="",0,COUNTIFS($A$2:$A$501,A2087))</x:f>
        <x:v>1</x:v>
      </x:c>
      <x:c r="AL2087" s="1" t="n">
        <x:f>IF(V2087="Candidate",1,0)</x:f>
        <x:v>1</x:v>
      </x:c>
      <x:c r="AM2087" s="1" t="n">
        <x:f>IF(A2087="",0,VALUE(A2087))</x:f>
        <x:v>2240</x:v>
      </x:c>
      <x:c r="AN2087" s="1" t="n">
        <x:f>IF(OR(A2087="",COUNTIFS($T$41:$T$540,A2087)&lt;&gt;1),0,MATCH(A2087,$T$41:$T$540,0))</x:f>
        <x:v>37</x:v>
      </x:c>
      <x:c r="AO2087" t="n">
        <x:f>IF(ISNUMBER(W2087),W2087,10000+AM2087)</x:f>
        <x:v>38</x:v>
      </x:c>
    </x:row>
    <x:row r="2088" ht="22" customHeight="1">
      <x:c r="A2088" s="1" t="str">
        <x:f>IF(A39="","",A39)</x:f>
        <x:v>2260</x:v>
      </x:c>
      <x:c r="B2088" s="1" t="str">
        <x:f>IF(A2088="","",B39)</x:f>
        <x:v>George W. Childs School</x:v>
      </x:c>
      <x:c r="C2088" s="1" t="str">
        <x:f>IF(A2088="","",C39)</x:f>
        <x:v>District</x:v>
      </x:c>
      <x:c r="D2088" s="1" t="str">
        <x:f>IF(A2088="","",E39)</x:f>
        <x:v>Elementary-Middle</x:v>
      </x:c>
      <x:c r="E2088" s="1" t="str">
        <x:f>IF(A2088="","",H39)</x:f>
        <x:v>19146</x:v>
      </x:c>
      <x:c r="F2088" s="1" t="n">
        <x:f>IF(ISNUMBER(K39),K39,"")</x:f>
        <x:v>443</x:v>
      </x:c>
      <x:c r="G2088" s="1" t="n">
        <x:f>IF(ISNUMBER(L39),L39,"")</x:f>
        <x:v>0.7626</x:v>
      </x:c>
      <x:c r="H2088" s="1" t="str">
        <x:f>IF(A2088="","",IF(AND(UPPER(G39)="PHILADELPHIA",OR(C2088="District",AND(C2088="Charter",D39="Yes"))),"Yes","No"))</x:f>
        <x:v>Yes</x:v>
      </x:c>
      <x:c r="I2088" s="1" t="n">
        <x:f>IF(OR(A2088="",COUNTIFS('Staff Review'!$A$8:$A$507,A2088)&lt;&gt;1),0,MATCH(A2088,'Staff Review'!$A$8:$A$507,0))</x:f>
        <x:v>94</x:v>
      </x:c>
      <x:c r="J2088" s="1" t="str">
        <x:f>IF(I2088=0,"No",IF(INDEX('Staff Review'!$C$8:$C$507,I2088)="Yes","Yes","No"))</x:f>
        <x:v>No</x:v>
      </x:c>
      <x:c r="K2088" s="1" t="n">
        <x:f>IF(AI2088="Yes",INDEX('Staff Review'!$D$8:$D$507,I2088),IF(AB2088=0,"",IF(COUNT(INDEX($C$1531:$C$2030,AB2088))=1,INDEX($C$1531:$C$2030,AB2088),"")))</x:f>
        <x:v>0.3433018637346939</x:v>
      </x:c>
      <x:c r="L2088" s="1" t="n">
        <x:f>IF(AJ2088="Yes",INDEX('Staff Review'!$F$8:$F$507,I2088),IF(AB2088=0,"",IF(COUNT(INDEX($G$1531:$G$2030,AB2088))=1,INDEX($G$1531:$G$2030,AB2088),"")))</x:f>
        <x:v>16</x:v>
      </x:c>
      <x:c r="M2088" s="1" t="str">
        <x:f>IF(A2088="","",IF(AI2088="Yes","Verified","Listed"))</x:f>
        <x:v>Listed</x:v>
      </x:c>
      <x:c r="N2088" s="1" t="str">
        <x:f>IF(A2088="","",IF(AJ2088="Yes","Verified","Listed"))</x:f>
        <x:v>Listed</x:v>
      </x:c>
      <x:c r="O2088" s="1" t="n">
        <x:f>IF(AND(ISNUMBER(G2088),G2088&gt;=0,G2088&lt;=1),IF(G2088&gt;=0.9,30,IF(G2088&gt;=0.8,25,IF(G2088&gt;=0.7,20,IF(G2088&gt;=0.6,15,IF(G2088&gt;=0.5,10,IF(G2088&gt;=0.4,5,0)))))),"")</x:f>
        <x:v>20</x:v>
      </x:c>
      <x:c r="P2088" s="1" t="n">
        <x:f>IF(ISNUMBER(K2088),IF(K2088&lt;0,"",IF(K2088&gt;1,25,IF(K2088&gt;=0.75,20,IF(K2088&gt;=0.5,15,IF(K2088&gt;=0.25,10,5))))),"")</x:f>
        <x:v>10</x:v>
      </x:c>
      <x:c r="Q2088" s="1" t="n">
        <x:f>IF(NOT(ISNUMBER(L2088)),"",IF(AND(L2088&gt;=0,MOD(L2088,1)=0),MAX(0,25-5*L2088),""))</x:f>
        <x:v>0</x:v>
      </x:c>
      <x:c r="R2088" s="1" t="n">
        <x:f>IF(NOT(ISNUMBER(F2088)),"",IF(AND(F2088&gt;0,MOD(F2088,1)=0),IF(F2088&gt;=700,5,IF(F2088&gt;=500,4,IF(F2088&gt;=350,3,IF(F2088&gt;=200,2,1)))),""))</x:f>
        <x:v>3</x:v>
      </x:c>
      <x:c r="S2088" s="1" t="n">
        <x:f>IF(COUNT(O2088:R2088)=4,SUM(O2088:R2088),"")</x:f>
        <x:v>33</x:v>
      </x:c>
      <x:c r="T2088" s="1" t="n">
        <x:f>IF(OR(COUNT(O2088:R2088)&lt;&gt;4,COUNT('Top 15'!$B$35:$E$35)&lt;&gt;4,MIN('Top 15'!$B$35:$E$35)&lt;0,SUM('Top 15'!$B$35:$E$35)&lt;=0),"",ROUND(85*(O2088/30*'Top 15'!$B$35+P2088/25*'Top 15'!$C$35+Q2088/25*'Top 15'!$D$35+R2088/5*'Top 15'!$E$35)/SUM('Top 15'!$B$35:$E$35),6))</x:f>
        <x:v>33</x:v>
      </x:c>
      <x:c r="U2088" s="1" t="str">
        <x:f>IF(A2088="","",IF(AND(M2088="Verified",N2088="Verified"),"Verified",IF(AND(M2088="Listed",N2088="Listed"),"Listed","Mixed")))</x:f>
        <x:v>Listed</x:v>
      </x:c>
      <x:c r="V2088" s="1" t="str">
        <x:f>IF(A2088="","",IF(AK2088&lt;&gt;1,"Duplicate source ID",IF(COUNTIFS('Staff Review'!$A$8:$A$507,A2088)&gt;1,"Duplicate review ID",IF(H2088&lt;&gt;"Yes","Outside scope",IF(J2088="Yes","Already served",IF(NOT(ISNUMBER(T2088)),"Missing data","Candidate"))))))</x:f>
        <x:v>Candidate</x:v>
      </x:c>
      <x:c r="W2088" s="1" t="n">
        <x:f>IF(AL2088=0,"",1+COUNTIFS($AL$2051:$AL$2550,1,$T$2051:$T$2550,"&gt;"&amp;T2088)+COUNTIFS($AL$2051:$AL$2550,1,$T$2051:$T$2550,T2088,$G$2051:$G$2550,"&gt;"&amp;G2088)+COUNTIFS($AL$2051:$AL$2550,1,$T$2051:$T$2550,T2088,$G$2051:$G$2550,G2088,$F$2051:$F$2550,"&gt;"&amp;F2088)+COUNTIFS($AL$2051:$AL$2550,1,$T$2051:$T$2550,T2088,$G$2051:$G$2550,G2088,$F$2051:$F$2550,F2088,$AM$2051:$AM$2550,"&lt;"&amp;AM2088))</x:f>
        <x:v>240</x:v>
      </x:c>
      <x:c r="X2088" s="1" t="n">
        <x:f>IF(AL2088=0,"",1+COUNTIFS($AL$2051:$AL$2550,1,$T$2051:$T$2550,"&gt;"&amp;T2088))</x:f>
        <x:v>233</x:v>
      </x:c>
      <x:c r="Y2088" s="1" t="n">
        <x:f>IF(AND(H2088="Yes",OR(LEN('School Search'!$B$5)=0,ISNUMBER(SEARCH('School Search'!$B$5,B2088&amp;" "&amp;E2088&amp;" "&amp;A2088))),OR('School Search'!$D$5="All",C2088='School Search'!$D$5),OR('School Search'!$G$5="All eligible",AND('School Search'!$G$5="Not marked served",J2088&lt;&gt;"Yes"),AND('School Search'!$G$5="Missing data",V2088="Missing data"),AND('School Search'!$G$5="Marked served",J2088="Yes"))),1,0)</x:f>
        <x:v>1</x:v>
      </x:c>
      <x:c r="Z2088" s="1" t="n">
        <x:f>IF(Y2088=0,"",COUNTIFS($Y$2051:$Y$2550,1,$AO$2051:$AO$2550,"&lt;"&amp;AO2088)+COUNTIFS($Y$2051:Y2088,1,$AO$2051:AO2088,AO2088))</x:f>
        <x:v>240</x:v>
      </x:c>
      <x:c r="AA2088" s="1" t="str">
        <x:f>IF(NOT(ISNUMBER(S2088)),"Missing demographic or access input",TEXT(G2088,"0%")&amp;" economic need; "&amp;TEXT(K2088,"0.00")&amp;" mi fresh access; "&amp;L2088&amp;" nearby resources")</x:f>
        <x:v>76% economic need; 0.34 mi fresh access; 16 nearby resources</x:v>
      </x:c>
      <x:c r="AB2088" s="1" t="n">
        <x:f>IF(OR(A2088="",COUNTIFS($A$1531:$A$2030,A2088)&lt;&gt;1),0,MATCH(A2088,$A$1531:$A$2030,0))</x:f>
        <x:v>38</x:v>
      </x:c>
      <x:c r="AC2088" s="1" t="str">
        <x:f>IF(AB2088=0,"",INDEX($E$1531:$E$2030,AB2088))</x:f>
        <x:v>Target T3263</x:v>
      </x:c>
      <x:c r="AD2088" s="1" t="str">
        <x:f>IF(AB2088=0,"",INDEX($F$1531:$F$2030,AB2088))</x:f>
        <x:v>1020 S Broad St, Philadelphia, PA, 19146</x:v>
      </x:c>
      <x:c r="AE2088" s="1" t="str">
        <x:f>IF(A2088="","",F39)</x:f>
        <x:v>1599 WHARTON ST</x:v>
      </x:c>
      <x:c r="AF2088" s="1" t="n">
        <x:f>IF(ISNUMBER(I39),I39,"")</x:f>
        <x:v>39.934637</x:v>
      </x:c>
      <x:c r="AG2088" s="1" t="n">
        <x:f>IF(ISNUMBER(J39),J39,"")</x:f>
        <x:v>-75.170493</x:v>
      </x:c>
      <x:c r="AH2088" s="1" t="str">
        <x:f>IF(I2088=0,"Not contacted",IF(INDEX('Staff Review'!$J$8:$J$507,I2088)="","Not contacted",INDEX('Staff Review'!$J$8:$J$507,I2088)))</x:f>
        <x:v>Not contacted</x:v>
      </x:c>
      <x:c r="AI2088" s="1" t="str">
        <x:f>IF(I2088=0,"No",IF(AND(COUNT(INDEX('Staff Review'!$D$8:$D$507,I2088))=1,INDEX('Staff Review'!$D$8:$D$507,I2088)&gt;=0,COUNT(INDEX('Staff Review'!$E$8:$E$507,I2088))=1,INDEX('Staff Review'!$E$8:$E$507,I2088)&gt;0,INDEX('Staff Review'!$E$8:$E$507,I2088)&lt;='Top 15'!$E$5,'Top 15'!$E$5-INDEX('Staff Review'!$E$8:$E$507,I2088)&lt;='Top 15'!$H$5,LEN(INDEX('Staff Review'!$H$8:$H$507,I2088))&gt;0),"Yes","No"))</x:f>
        <x:v>No</x:v>
      </x:c>
      <x:c r="AJ2088" s="1" t="str">
        <x:f>IF(I2088=0,"No",IF(COUNT(INDEX('Staff Review'!$F$8:$F$507,I2088))&lt;&gt;1,"No",IF(AND(INDEX('Staff Review'!$F$8:$F$507,I2088)&gt;=0,MOD(INDEX('Staff Review'!$F$8:$F$507,I2088),1)=0,COUNT(INDEX('Staff Review'!$G$8:$G$507,I2088))=1,INDEX('Staff Review'!$G$8:$G$507,I2088)&gt;0,INDEX('Staff Review'!$G$8:$G$507,I2088)&lt;='Top 15'!$E$5,'Top 15'!$E$5-INDEX('Staff Review'!$G$8:$G$507,I2088)&lt;='Top 15'!$H$5,LEN(INDEX('Staff Review'!$H$8:$H$507,I2088))&gt;0),"Yes","No")))</x:f>
        <x:v>No</x:v>
      </x:c>
      <x:c r="AK2088" s="1" t="n">
        <x:f>IF(A2088="",0,COUNTIFS($A$2:$A$501,A2088))</x:f>
        <x:v>1</x:v>
      </x:c>
      <x:c r="AL2088" s="1" t="n">
        <x:f>IF(V2088="Candidate",1,0)</x:f>
        <x:v>1</x:v>
      </x:c>
      <x:c r="AM2088" s="1" t="n">
        <x:f>IF(A2088="",0,VALUE(A2088))</x:f>
        <x:v>2260</x:v>
      </x:c>
      <x:c r="AN2088" s="1" t="n">
        <x:f>IF(OR(A2088="",COUNTIFS($T$41:$T$540,A2088)&lt;&gt;1),0,MATCH(A2088,$T$41:$T$540,0))</x:f>
        <x:v>38</x:v>
      </x:c>
      <x:c r="AO2088" t="n">
        <x:f>IF(ISNUMBER(W2088),W2088,10000+AM2088)</x:f>
        <x:v>240</x:v>
      </x:c>
    </x:row>
    <x:row r="2089" ht="22" customHeight="1">
      <x:c r="A2089" s="1" t="str">
        <x:f>IF(A40="","",A40)</x:f>
        <x:v>2290</x:v>
      </x:c>
      <x:c r="B2089" s="1" t="str">
        <x:f>IF(A2089="","",B40)</x:f>
        <x:v>Franklin Learning Center</x:v>
      </x:c>
      <x:c r="C2089" s="1" t="str">
        <x:f>IF(A2089="","",C40)</x:f>
        <x:v>District</x:v>
      </x:c>
      <x:c r="D2089" s="1" t="str">
        <x:f>IF(A2089="","",E40)</x:f>
        <x:v>High</x:v>
      </x:c>
      <x:c r="E2089" s="1" t="str">
        <x:f>IF(A2089="","",H40)</x:f>
        <x:v>19130</x:v>
      </x:c>
      <x:c r="F2089" s="1" t="n">
        <x:f>IF(ISNUMBER(K40),K40,"")</x:f>
        <x:v>975</x:v>
      </x:c>
      <x:c r="G2089" s="1" t="n">
        <x:f>IF(ISNUMBER(L40),L40,"")</x:f>
        <x:v>0.7603</x:v>
      </x:c>
      <x:c r="H2089" s="1" t="str">
        <x:f>IF(A2089="","",IF(AND(UPPER(G40)="PHILADELPHIA",OR(C2089="District",AND(C2089="Charter",D40="Yes"))),"Yes","No"))</x:f>
        <x:v>Yes</x:v>
      </x:c>
      <x:c r="I2089" s="1" t="n">
        <x:f>IF(OR(A2089="",COUNTIFS('Staff Review'!$A$8:$A$507,A2089)&lt;&gt;1),0,MATCH(A2089,'Staff Review'!$A$8:$A$507,0))</x:f>
        <x:v>83</x:v>
      </x:c>
      <x:c r="J2089" s="1" t="str">
        <x:f>IF(I2089=0,"No",IF(INDEX('Staff Review'!$C$8:$C$507,I2089)="Yes","Yes","No"))</x:f>
        <x:v>No</x:v>
      </x:c>
      <x:c r="K2089" s="1" t="n">
        <x:f>IF(AI2089="Yes",INDEX('Staff Review'!$D$8:$D$507,I2089),IF(AB2089=0,"",IF(COUNT(INDEX($C$1531:$C$2030,AB2089))=1,INDEX($C$1531:$C$2030,AB2089),"")))</x:f>
        <x:v>0.14628358627531837</x:v>
      </x:c>
      <x:c r="L2089" s="1" t="n">
        <x:f>IF(AJ2089="Yes",INDEX('Staff Review'!$F$8:$F$507,I2089),IF(AB2089=0,"",IF(COUNT(INDEX($G$1531:$G$2030,AB2089))=1,INDEX($G$1531:$G$2030,AB2089),"")))</x:f>
        <x:v>10</x:v>
      </x:c>
      <x:c r="M2089" s="1" t="str">
        <x:f>IF(A2089="","",IF(AI2089="Yes","Verified","Listed"))</x:f>
        <x:v>Listed</x:v>
      </x:c>
      <x:c r="N2089" s="1" t="str">
        <x:f>IF(A2089="","",IF(AJ2089="Yes","Verified","Listed"))</x:f>
        <x:v>Listed</x:v>
      </x:c>
      <x:c r="O2089" s="1" t="n">
        <x:f>IF(AND(ISNUMBER(G2089),G2089&gt;=0,G2089&lt;=1),IF(G2089&gt;=0.9,30,IF(G2089&gt;=0.8,25,IF(G2089&gt;=0.7,20,IF(G2089&gt;=0.6,15,IF(G2089&gt;=0.5,10,IF(G2089&gt;=0.4,5,0)))))),"")</x:f>
        <x:v>20</x:v>
      </x:c>
      <x:c r="P2089" s="1" t="n">
        <x:f>IF(ISNUMBER(K2089),IF(K2089&lt;0,"",IF(K2089&gt;1,25,IF(K2089&gt;=0.75,20,IF(K2089&gt;=0.5,15,IF(K2089&gt;=0.25,10,5))))),"")</x:f>
        <x:v>5</x:v>
      </x:c>
      <x:c r="Q2089" s="1" t="n">
        <x:f>IF(NOT(ISNUMBER(L2089)),"",IF(AND(L2089&gt;=0,MOD(L2089,1)=0),MAX(0,25-5*L2089),""))</x:f>
        <x:v>0</x:v>
      </x:c>
      <x:c r="R2089" s="1" t="n">
        <x:f>IF(NOT(ISNUMBER(F2089)),"",IF(AND(F2089&gt;0,MOD(F2089,1)=0),IF(F2089&gt;=700,5,IF(F2089&gt;=500,4,IF(F2089&gt;=350,3,IF(F2089&gt;=200,2,1)))),""))</x:f>
        <x:v>5</x:v>
      </x:c>
      <x:c r="S2089" s="1" t="n">
        <x:f>IF(COUNT(O2089:R2089)=4,SUM(O2089:R2089),"")</x:f>
        <x:v>30</x:v>
      </x:c>
      <x:c r="T2089" s="1" t="n">
        <x:f>IF(OR(COUNT(O2089:R2089)&lt;&gt;4,COUNT('Top 15'!$B$35:$E$35)&lt;&gt;4,MIN('Top 15'!$B$35:$E$35)&lt;0,SUM('Top 15'!$B$35:$E$35)&lt;=0),"",ROUND(85*(O2089/30*'Top 15'!$B$35+P2089/25*'Top 15'!$C$35+Q2089/25*'Top 15'!$D$35+R2089/5*'Top 15'!$E$35)/SUM('Top 15'!$B$35:$E$35),6))</x:f>
        <x:v>30</x:v>
      </x:c>
      <x:c r="U2089" s="1" t="str">
        <x:f>IF(A2089="","",IF(AND(M2089="Verified",N2089="Verified"),"Verified",IF(AND(M2089="Listed",N2089="Listed"),"Listed","Mixed")))</x:f>
        <x:v>Listed</x:v>
      </x:c>
      <x:c r="V2089" s="1" t="str">
        <x:f>IF(A2089="","",IF(AK2089&lt;&gt;1,"Duplicate source ID",IF(COUNTIFS('Staff Review'!$A$8:$A$507,A2089)&gt;1,"Duplicate review ID",IF(H2089&lt;&gt;"Yes","Outside scope",IF(J2089="Yes","Already served",IF(NOT(ISNUMBER(T2089)),"Missing data","Candidate"))))))</x:f>
        <x:v>Candidate</x:v>
      </x:c>
      <x:c r="W2089" s="1" t="n">
        <x:f>IF(AL2089=0,"",1+COUNTIFS($AL$2051:$AL$2550,1,$T$2051:$T$2550,"&gt;"&amp;T2089)+COUNTIFS($AL$2051:$AL$2550,1,$T$2051:$T$2550,T2089,$G$2051:$G$2550,"&gt;"&amp;G2089)+COUNTIFS($AL$2051:$AL$2550,1,$T$2051:$T$2550,T2089,$G$2051:$G$2550,G2089,$F$2051:$F$2550,"&gt;"&amp;F2089)+COUNTIFS($AL$2051:$AL$2550,1,$T$2051:$T$2550,T2089,$G$2051:$G$2550,G2089,$F$2051:$F$2550,F2089,$AM$2051:$AM$2550,"&lt;"&amp;AM2089))</x:f>
        <x:v>254</x:v>
      </x:c>
      <x:c r="X2089" s="1" t="n">
        <x:f>IF(AL2089=0,"",1+COUNTIFS($AL$2051:$AL$2550,1,$T$2051:$T$2550,"&gt;"&amp;T2089))</x:f>
        <x:v>253</x:v>
      </x:c>
      <x:c r="Y2089" s="1" t="n">
        <x:f>IF(AND(H2089="Yes",OR(LEN('School Search'!$B$5)=0,ISNUMBER(SEARCH('School Search'!$B$5,B2089&amp;" "&amp;E2089&amp;" "&amp;A2089))),OR('School Search'!$D$5="All",C2089='School Search'!$D$5),OR('School Search'!$G$5="All eligible",AND('School Search'!$G$5="Not marked served",J2089&lt;&gt;"Yes"),AND('School Search'!$G$5="Missing data",V2089="Missing data"),AND('School Search'!$G$5="Marked served",J2089="Yes"))),1,0)</x:f>
        <x:v>1</x:v>
      </x:c>
      <x:c r="Z2089" s="1" t="n">
        <x:f>IF(Y2089=0,"",COUNTIFS($Y$2051:$Y$2550,1,$AO$2051:$AO$2550,"&lt;"&amp;AO2089)+COUNTIFS($Y$2051:Y2089,1,$AO$2051:AO2089,AO2089))</x:f>
        <x:v>254</x:v>
      </x:c>
      <x:c r="AA2089" s="1" t="str">
        <x:f>IF(NOT(ISNUMBER(S2089)),"Missing demographic or access input",TEXT(G2089,"0%")&amp;" economic need; "&amp;TEXT(K2089,"0.00")&amp;" mi fresh access; "&amp;L2089&amp;" nearby resources")</x:f>
        <x:v>76% economic need; 0.15 mi fresh access; 10 nearby resources</x:v>
      </x:c>
      <x:c r="AB2089" s="1" t="n">
        <x:f>IF(OR(A2089="",COUNTIFS($A$1531:$A$2030,A2089)&lt;&gt;1),0,MATCH(A2089,$A$1531:$A$2030,0))</x:f>
        <x:v>39</x:v>
      </x:c>
      <x:c r="AC2089" s="1" t="str">
        <x:f>IF(AB2089=0,"",INDEX($E$1531:$E$2030,AB2089))</x:f>
        <x:v>Giant Food Store 6573</x:v>
      </x:c>
      <x:c r="AD2089" s="1" t="str">
        <x:f>IF(AB2089=0,"",INDEX($F$1531:$F$2030,AB2089))</x:f>
        <x:v>510 N Broad St, Philadelphia, PA, 19130</x:v>
      </x:c>
      <x:c r="AE2089" s="1" t="str">
        <x:f>IF(A2089="","",F40)</x:f>
        <x:v>616 N 15TH ST</x:v>
      </x:c>
      <x:c r="AF2089" s="1" t="n">
        <x:f>IF(ISNUMBER(I40),I40,"")</x:f>
        <x:v>39.965049</x:v>
      </x:c>
      <x:c r="AG2089" s="1" t="n">
        <x:f>IF(ISNUMBER(J40),J40,"")</x:f>
        <x:v>-75.162753</x:v>
      </x:c>
      <x:c r="AH2089" s="1" t="str">
        <x:f>IF(I2089=0,"Not contacted",IF(INDEX('Staff Review'!$J$8:$J$507,I2089)="","Not contacted",INDEX('Staff Review'!$J$8:$J$507,I2089)))</x:f>
        <x:v>Not contacted</x:v>
      </x:c>
      <x:c r="AI2089" s="1" t="str">
        <x:f>IF(I2089=0,"No",IF(AND(COUNT(INDEX('Staff Review'!$D$8:$D$507,I2089))=1,INDEX('Staff Review'!$D$8:$D$507,I2089)&gt;=0,COUNT(INDEX('Staff Review'!$E$8:$E$507,I2089))=1,INDEX('Staff Review'!$E$8:$E$507,I2089)&gt;0,INDEX('Staff Review'!$E$8:$E$507,I2089)&lt;='Top 15'!$E$5,'Top 15'!$E$5-INDEX('Staff Review'!$E$8:$E$507,I2089)&lt;='Top 15'!$H$5,LEN(INDEX('Staff Review'!$H$8:$H$507,I2089))&gt;0),"Yes","No"))</x:f>
        <x:v>No</x:v>
      </x:c>
      <x:c r="AJ2089" s="1" t="str">
        <x:f>IF(I2089=0,"No",IF(COUNT(INDEX('Staff Review'!$F$8:$F$507,I2089))&lt;&gt;1,"No",IF(AND(INDEX('Staff Review'!$F$8:$F$507,I2089)&gt;=0,MOD(INDEX('Staff Review'!$F$8:$F$507,I2089),1)=0,COUNT(INDEX('Staff Review'!$G$8:$G$507,I2089))=1,INDEX('Staff Review'!$G$8:$G$507,I2089)&gt;0,INDEX('Staff Review'!$G$8:$G$507,I2089)&lt;='Top 15'!$E$5,'Top 15'!$E$5-INDEX('Staff Review'!$G$8:$G$507,I2089)&lt;='Top 15'!$H$5,LEN(INDEX('Staff Review'!$H$8:$H$507,I2089))&gt;0),"Yes","No")))</x:f>
        <x:v>No</x:v>
      </x:c>
      <x:c r="AK2089" s="1" t="n">
        <x:f>IF(A2089="",0,COUNTIFS($A$2:$A$501,A2089))</x:f>
        <x:v>1</x:v>
      </x:c>
      <x:c r="AL2089" s="1" t="n">
        <x:f>IF(V2089="Candidate",1,0)</x:f>
        <x:v>1</x:v>
      </x:c>
      <x:c r="AM2089" s="1" t="n">
        <x:f>IF(A2089="",0,VALUE(A2089))</x:f>
        <x:v>2290</x:v>
      </x:c>
      <x:c r="AN2089" s="1" t="n">
        <x:f>IF(OR(A2089="",COUNTIFS($T$41:$T$540,A2089)&lt;&gt;1),0,MATCH(A2089,$T$41:$T$540,0))</x:f>
        <x:v>39</x:v>
      </x:c>
      <x:c r="AO2089" t="n">
        <x:f>IF(ISNUMBER(W2089),W2089,10000+AM2089)</x:f>
        <x:v>254</x:v>
      </x:c>
    </x:row>
    <x:row r="2090" ht="22" customHeight="1">
      <x:c r="A2090" s="1" t="str">
        <x:f>IF(A41="","",A41)</x:f>
        <x:v>2310</x:v>
      </x:c>
      <x:c r="B2090" s="1" t="str">
        <x:f>IF(A2090="","",B41)</x:f>
        <x:v>Achieve Academy of Philadelphia</x:v>
      </x:c>
      <x:c r="C2090" s="1" t="str">
        <x:f>IF(A2090="","",C41)</x:f>
        <x:v>Contracted</x:v>
      </x:c>
      <x:c r="D2090" s="1" t="str">
        <x:f>IF(A2090="","",E41)</x:f>
        <x:v>Transition/Overage School</x:v>
      </x:c>
      <x:c r="E2090" s="1" t="str">
        <x:f>IF(A2090="","",H41)</x:f>
        <x:v>19121</x:v>
      </x:c>
      <x:c r="F2090" s="1" t="n">
        <x:f>IF(ISNUMBER(K41),K41,"")</x:f>
        <x:v>49</x:v>
      </x:c>
      <x:c r="G2090" s="1" t="str">
        <x:f>IF(ISNUMBER(L41),L41,"")</x:f>
      </x:c>
      <x:c r="H2090" s="1" t="str">
        <x:f>IF(A2090="","",IF(AND(UPPER(G41)="PHILADELPHIA",OR(C2090="District",AND(C2090="Charter",D41="Yes"))),"Yes","No"))</x:f>
        <x:v>No</x:v>
      </x:c>
      <x:c r="I2090" s="1" t="n">
        <x:f>IF(OR(A2090="",COUNTIFS('Staff Review'!$A$8:$A$507,A2090)&lt;&gt;1),0,MATCH(A2090,'Staff Review'!$A$8:$A$507,0))</x:f>
        <x:v>6</x:v>
      </x:c>
      <x:c r="J2090" s="1" t="str">
        <x:f>IF(I2090=0,"No",IF(INDEX('Staff Review'!$C$8:$C$507,I2090)="Yes","Yes","No"))</x:f>
        <x:v>No</x:v>
      </x:c>
      <x:c r="K2090" s="1" t="n">
        <x:f>IF(AI2090="Yes",INDEX('Staff Review'!$D$8:$D$507,I2090),IF(AB2090=0,"",IF(COUNT(INDEX($C$1531:$C$2030,AB2090))=1,INDEX($C$1531:$C$2030,AB2090),"")))</x:f>
        <x:v>0.42951750596672367</x:v>
      </x:c>
      <x:c r="L2090" s="1" t="n">
        <x:f>IF(AJ2090="Yes",INDEX('Staff Review'!$F$8:$F$507,I2090),IF(AB2090=0,"",IF(COUNT(INDEX($G$1531:$G$2030,AB2090))=1,INDEX($G$1531:$G$2030,AB2090),"")))</x:f>
        <x:v>12</x:v>
      </x:c>
      <x:c r="M2090" s="1" t="str">
        <x:f>IF(A2090="","",IF(AI2090="Yes","Verified","Listed"))</x:f>
        <x:v>Listed</x:v>
      </x:c>
      <x:c r="N2090" s="1" t="str">
        <x:f>IF(A2090="","",IF(AJ2090="Yes","Verified","Listed"))</x:f>
        <x:v>Listed</x:v>
      </x:c>
      <x:c r="O2090" s="1" t="str">
        <x:f>IF(AND(ISNUMBER(G2090),G2090&gt;=0,G2090&lt;=1),IF(G2090&gt;=0.9,30,IF(G2090&gt;=0.8,25,IF(G2090&gt;=0.7,20,IF(G2090&gt;=0.6,15,IF(G2090&gt;=0.5,10,IF(G2090&gt;=0.4,5,0)))))),"")</x:f>
      </x:c>
      <x:c r="P2090" s="1" t="n">
        <x:f>IF(ISNUMBER(K2090),IF(K2090&lt;0,"",IF(K2090&gt;1,25,IF(K2090&gt;=0.75,20,IF(K2090&gt;=0.5,15,IF(K2090&gt;=0.25,10,5))))),"")</x:f>
        <x:v>10</x:v>
      </x:c>
      <x:c r="Q2090" s="1" t="n">
        <x:f>IF(NOT(ISNUMBER(L2090)),"",IF(AND(L2090&gt;=0,MOD(L2090,1)=0),MAX(0,25-5*L2090),""))</x:f>
        <x:v>0</x:v>
      </x:c>
      <x:c r="R2090" s="1" t="n">
        <x:f>IF(NOT(ISNUMBER(F2090)),"",IF(AND(F2090&gt;0,MOD(F2090,1)=0),IF(F2090&gt;=700,5,IF(F2090&gt;=500,4,IF(F2090&gt;=350,3,IF(F2090&gt;=200,2,1)))),""))</x:f>
        <x:v>1</x:v>
      </x:c>
      <x:c r="S2090" s="1" t="str">
        <x:f>IF(COUNT(O2090:R2090)=4,SUM(O2090:R2090),"")</x:f>
      </x:c>
      <x:c r="T2090" s="1" t="str">
        <x:f>IF(OR(COUNT(O2090:R2090)&lt;&gt;4,COUNT('Top 15'!$B$35:$E$35)&lt;&gt;4,MIN('Top 15'!$B$35:$E$35)&lt;0,SUM('Top 15'!$B$35:$E$35)&lt;=0),"",ROUND(85*(O2090/30*'Top 15'!$B$35+P2090/25*'Top 15'!$C$35+Q2090/25*'Top 15'!$D$35+R2090/5*'Top 15'!$E$35)/SUM('Top 15'!$B$35:$E$35),6))</x:f>
      </x:c>
      <x:c r="U2090" s="1" t="str">
        <x:f>IF(A2090="","",IF(AND(M2090="Verified",N2090="Verified"),"Verified",IF(AND(M2090="Listed",N2090="Listed"),"Listed","Mixed")))</x:f>
        <x:v>Listed</x:v>
      </x:c>
      <x:c r="V2090" s="1" t="str">
        <x:f>IF(A2090="","",IF(AK2090&lt;&gt;1,"Duplicate source ID",IF(COUNTIFS('Staff Review'!$A$8:$A$507,A2090)&gt;1,"Duplicate review ID",IF(H2090&lt;&gt;"Yes","Outside scope",IF(J2090="Yes","Already served",IF(NOT(ISNUMBER(T2090)),"Missing data","Candidate"))))))</x:f>
        <x:v>Outside scope</x:v>
      </x:c>
      <x:c r="W2090" s="1" t="str">
        <x:f>IF(AL2090=0,"",1+COUNTIFS($AL$2051:$AL$2550,1,$T$2051:$T$2550,"&gt;"&amp;T2090)+COUNTIFS($AL$2051:$AL$2550,1,$T$2051:$T$2550,T2090,$G$2051:$G$2550,"&gt;"&amp;G2090)+COUNTIFS($AL$2051:$AL$2550,1,$T$2051:$T$2550,T2090,$G$2051:$G$2550,G2090,$F$2051:$F$2550,"&gt;"&amp;F2090)+COUNTIFS($AL$2051:$AL$2550,1,$T$2051:$T$2550,T2090,$G$2051:$G$2550,G2090,$F$2051:$F$2550,F2090,$AM$2051:$AM$2550,"&lt;"&amp;AM2090))</x:f>
      </x:c>
      <x:c r="X2090" s="1" t="str">
        <x:f>IF(AL2090=0,"",1+COUNTIFS($AL$2051:$AL$2550,1,$T$2051:$T$2550,"&gt;"&amp;T2090))</x:f>
      </x:c>
      <x:c r="Y2090" s="1" t="n">
        <x:f>IF(AND(H2090="Yes",OR(LEN('School Search'!$B$5)=0,ISNUMBER(SEARCH('School Search'!$B$5,B2090&amp;" "&amp;E2090&amp;" "&amp;A2090))),OR('School Search'!$D$5="All",C2090='School Search'!$D$5),OR('School Search'!$G$5="All eligible",AND('School Search'!$G$5="Not marked served",J2090&lt;&gt;"Yes"),AND('School Search'!$G$5="Missing data",V2090="Missing data"),AND('School Search'!$G$5="Marked served",J2090="Yes"))),1,0)</x:f>
        <x:v>0</x:v>
      </x:c>
      <x:c r="Z2090" s="1" t="str">
        <x:f>IF(Y2090=0,"",COUNTIFS($Y$2051:$Y$2550,1,$AO$2051:$AO$2550,"&lt;"&amp;AO2090)+COUNTIFS($Y$2051:Y2090,1,$AO$2051:AO2090,AO2090))</x:f>
      </x:c>
      <x:c r="AA2090" s="1" t="str">
        <x:f>IF(NOT(ISNUMBER(S2090)),"Missing demographic or access input",TEXT(G2090,"0%")&amp;" economic need; "&amp;TEXT(K2090,"0.00")&amp;" mi fresh access; "&amp;L2090&amp;" nearby resources")</x:f>
        <x:v>Missing demographic or access input</x:v>
      </x:c>
      <x:c r="AB2090" s="1" t="n">
        <x:f>IF(OR(A2090="",COUNTIFS($A$1531:$A$2030,A2090)&lt;&gt;1),0,MATCH(A2090,$A$1531:$A$2030,0))</x:f>
        <x:v>40</x:v>
      </x:c>
      <x:c r="AC2090" s="1" t="str">
        <x:f>IF(AB2090=0,"",INDEX($E$1531:$E$2030,AB2090))</x:f>
        <x:v>Sharswood Grocery Outlet 731</x:v>
      </x:c>
      <x:c r="AD2090" s="1" t="str">
        <x:f>IF(AB2090=0,"",INDEX($F$1531:$F$2030,AB2090))</x:f>
        <x:v>2077 Ridge Ave, Philadelphia, PA, 19121</x:v>
      </x:c>
      <x:c r="AE2090" s="1" t="str">
        <x:f>IF(A2090="","",F41)</x:f>
        <x:v>1435 N 26TH ST</x:v>
      </x:c>
      <x:c r="AF2090" s="1" t="n">
        <x:f>IF(ISNUMBER(I41),I41,"")</x:f>
        <x:v>39.978134</x:v>
      </x:c>
      <x:c r="AG2090" s="1" t="n">
        <x:f>IF(ISNUMBER(J41),J41,"")</x:f>
        <x:v>-75.177658</x:v>
      </x:c>
      <x:c r="AH2090" s="1" t="str">
        <x:f>IF(I2090=0,"Not contacted",IF(INDEX('Staff Review'!$J$8:$J$507,I2090)="","Not contacted",INDEX('Staff Review'!$J$8:$J$507,I2090)))</x:f>
        <x:v>Not contacted</x:v>
      </x:c>
      <x:c r="AI2090" s="1" t="str">
        <x:f>IF(I2090=0,"No",IF(AND(COUNT(INDEX('Staff Review'!$D$8:$D$507,I2090))=1,INDEX('Staff Review'!$D$8:$D$507,I2090)&gt;=0,COUNT(INDEX('Staff Review'!$E$8:$E$507,I2090))=1,INDEX('Staff Review'!$E$8:$E$507,I2090)&gt;0,INDEX('Staff Review'!$E$8:$E$507,I2090)&lt;='Top 15'!$E$5,'Top 15'!$E$5-INDEX('Staff Review'!$E$8:$E$507,I2090)&lt;='Top 15'!$H$5,LEN(INDEX('Staff Review'!$H$8:$H$507,I2090))&gt;0),"Yes","No"))</x:f>
        <x:v>No</x:v>
      </x:c>
      <x:c r="AJ2090" s="1" t="str">
        <x:f>IF(I2090=0,"No",IF(COUNT(INDEX('Staff Review'!$F$8:$F$507,I2090))&lt;&gt;1,"No",IF(AND(INDEX('Staff Review'!$F$8:$F$507,I2090)&gt;=0,MOD(INDEX('Staff Review'!$F$8:$F$507,I2090),1)=0,COUNT(INDEX('Staff Review'!$G$8:$G$507,I2090))=1,INDEX('Staff Review'!$G$8:$G$507,I2090)&gt;0,INDEX('Staff Review'!$G$8:$G$507,I2090)&lt;='Top 15'!$E$5,'Top 15'!$E$5-INDEX('Staff Review'!$G$8:$G$507,I2090)&lt;='Top 15'!$H$5,LEN(INDEX('Staff Review'!$H$8:$H$507,I2090))&gt;0),"Yes","No")))</x:f>
        <x:v>No</x:v>
      </x:c>
      <x:c r="AK2090" s="1" t="n">
        <x:f>IF(A2090="",0,COUNTIFS($A$2:$A$501,A2090))</x:f>
        <x:v>1</x:v>
      </x:c>
      <x:c r="AL2090" s="1" t="n">
        <x:f>IF(V2090="Candidate",1,0)</x:f>
        <x:v>0</x:v>
      </x:c>
      <x:c r="AM2090" s="1" t="n">
        <x:f>IF(A2090="",0,VALUE(A2090))</x:f>
        <x:v>2310</x:v>
      </x:c>
      <x:c r="AN2090" s="1" t="n">
        <x:f>IF(OR(A2090="",COUNTIFS($T$41:$T$540,A2090)&lt;&gt;1),0,MATCH(A2090,$T$41:$T$540,0))</x:f>
        <x:v>40</x:v>
      </x:c>
      <x:c r="AO2090" t="n">
        <x:f>IF(ISNUMBER(W2090),W2090,10000+AM2090)</x:f>
        <x:v>12310</x:v>
      </x:c>
    </x:row>
    <x:row r="2091" ht="22" customHeight="1">
      <x:c r="A2091" s="1" t="str">
        <x:f>IF(A42="","",A42)</x:f>
        <x:v>2320</x:v>
      </x:c>
      <x:c r="B2091" s="1" t="str">
        <x:f>IF(A2091="","",B42)</x:f>
        <x:v>Stephen Girard School</x:v>
      </x:c>
      <x:c r="C2091" s="1" t="str">
        <x:f>IF(A2091="","",C42)</x:f>
        <x:v>District</x:v>
      </x:c>
      <x:c r="D2091" s="1" t="str">
        <x:f>IF(A2091="","",E42)</x:f>
        <x:v>Elementary</x:v>
      </x:c>
      <x:c r="E2091" s="1" t="str">
        <x:f>IF(A2091="","",H42)</x:f>
        <x:v>19145</x:v>
      </x:c>
      <x:c r="F2091" s="1" t="n">
        <x:f>IF(ISNUMBER(K42),K42,"")</x:f>
        <x:v>304</x:v>
      </x:c>
      <x:c r="G2091" s="1" t="n">
        <x:f>IF(ISNUMBER(L42),L42,"")</x:f>
        <x:v>0.8411</x:v>
      </x:c>
      <x:c r="H2091" s="1" t="str">
        <x:f>IF(A2091="","",IF(AND(UPPER(G42)="PHILADELPHIA",OR(C2091="District",AND(C2091="Charter",D42="Yes"))),"Yes","No"))</x:f>
        <x:v>Yes</x:v>
      </x:c>
      <x:c r="I2091" s="1" t="n">
        <x:f>IF(OR(A2091="",COUNTIFS('Staff Review'!$A$8:$A$507,A2091)&lt;&gt;1),0,MATCH(A2091,'Staff Review'!$A$8:$A$507,0))</x:f>
        <x:v>276</x:v>
      </x:c>
      <x:c r="J2091" s="1" t="str">
        <x:f>IF(I2091=0,"No",IF(INDEX('Staff Review'!$C$8:$C$507,I2091)="Yes","Yes","No"))</x:f>
        <x:v>No</x:v>
      </x:c>
      <x:c r="K2091" s="1" t="n">
        <x:f>IF(AI2091="Yes",INDEX('Staff Review'!$D$8:$D$507,I2091),IF(AB2091=0,"",IF(COUNT(INDEX($C$1531:$C$2030,AB2091))=1,INDEX($C$1531:$C$2030,AB2091),"")))</x:f>
        <x:v>0.34467862061523435</x:v>
      </x:c>
      <x:c r="L2091" s="1" t="n">
        <x:f>IF(AJ2091="Yes",INDEX('Staff Review'!$F$8:$F$507,I2091),IF(AB2091=0,"",IF(COUNT(INDEX($G$1531:$G$2030,AB2091))=1,INDEX($G$1531:$G$2030,AB2091),"")))</x:f>
        <x:v>12</x:v>
      </x:c>
      <x:c r="M2091" s="1" t="str">
        <x:f>IF(A2091="","",IF(AI2091="Yes","Verified","Listed"))</x:f>
        <x:v>Listed</x:v>
      </x:c>
      <x:c r="N2091" s="1" t="str">
        <x:f>IF(A2091="","",IF(AJ2091="Yes","Verified","Listed"))</x:f>
        <x:v>Listed</x:v>
      </x:c>
      <x:c r="O2091" s="1" t="n">
        <x:f>IF(AND(ISNUMBER(G2091),G2091&gt;=0,G2091&lt;=1),IF(G2091&gt;=0.9,30,IF(G2091&gt;=0.8,25,IF(G2091&gt;=0.7,20,IF(G2091&gt;=0.6,15,IF(G2091&gt;=0.5,10,IF(G2091&gt;=0.4,5,0)))))),"")</x:f>
        <x:v>25</x:v>
      </x:c>
      <x:c r="P2091" s="1" t="n">
        <x:f>IF(ISNUMBER(K2091),IF(K2091&lt;0,"",IF(K2091&gt;1,25,IF(K2091&gt;=0.75,20,IF(K2091&gt;=0.5,15,IF(K2091&gt;=0.25,10,5))))),"")</x:f>
        <x:v>10</x:v>
      </x:c>
      <x:c r="Q2091" s="1" t="n">
        <x:f>IF(NOT(ISNUMBER(L2091)),"",IF(AND(L2091&gt;=0,MOD(L2091,1)=0),MAX(0,25-5*L2091),""))</x:f>
        <x:v>0</x:v>
      </x:c>
      <x:c r="R2091" s="1" t="n">
        <x:f>IF(NOT(ISNUMBER(F2091)),"",IF(AND(F2091&gt;0,MOD(F2091,1)=0),IF(F2091&gt;=700,5,IF(F2091&gt;=500,4,IF(F2091&gt;=350,3,IF(F2091&gt;=200,2,1)))),""))</x:f>
        <x:v>2</x:v>
      </x:c>
      <x:c r="S2091" s="1" t="n">
        <x:f>IF(COUNT(O2091:R2091)=4,SUM(O2091:R2091),"")</x:f>
        <x:v>37</x:v>
      </x:c>
      <x:c r="T2091" s="1" t="n">
        <x:f>IF(OR(COUNT(O2091:R2091)&lt;&gt;4,COUNT('Top 15'!$B$35:$E$35)&lt;&gt;4,MIN('Top 15'!$B$35:$E$35)&lt;0,SUM('Top 15'!$B$35:$E$35)&lt;=0),"",ROUND(85*(O2091/30*'Top 15'!$B$35+P2091/25*'Top 15'!$C$35+Q2091/25*'Top 15'!$D$35+R2091/5*'Top 15'!$E$35)/SUM('Top 15'!$B$35:$E$35),6))</x:f>
        <x:v>37</x:v>
      </x:c>
      <x:c r="U2091" s="1" t="str">
        <x:f>IF(A2091="","",IF(AND(M2091="Verified",N2091="Verified"),"Verified",IF(AND(M2091="Listed",N2091="Listed"),"Listed","Mixed")))</x:f>
        <x:v>Listed</x:v>
      </x:c>
      <x:c r="V2091" s="1" t="str">
        <x:f>IF(A2091="","",IF(AK2091&lt;&gt;1,"Duplicate source ID",IF(COUNTIFS('Staff Review'!$A$8:$A$507,A2091)&gt;1,"Duplicate review ID",IF(H2091&lt;&gt;"Yes","Outside scope",IF(J2091="Yes","Already served",IF(NOT(ISNUMBER(T2091)),"Missing data","Candidate"))))))</x:f>
        <x:v>Candidate</x:v>
      </x:c>
      <x:c r="W2091" s="1" t="n">
        <x:f>IF(AL2091=0,"",1+COUNTIFS($AL$2051:$AL$2550,1,$T$2051:$T$2550,"&gt;"&amp;T2091)+COUNTIFS($AL$2051:$AL$2550,1,$T$2051:$T$2550,T2091,$G$2051:$G$2550,"&gt;"&amp;G2091)+COUNTIFS($AL$2051:$AL$2550,1,$T$2051:$T$2550,T2091,$G$2051:$G$2550,G2091,$F$2051:$F$2550,"&gt;"&amp;F2091)+COUNTIFS($AL$2051:$AL$2550,1,$T$2051:$T$2550,T2091,$G$2051:$G$2550,G2091,$F$2051:$F$2550,F2091,$AM$2051:$AM$2550,"&lt;"&amp;AM2091))</x:f>
        <x:v>198</x:v>
      </x:c>
      <x:c r="X2091" s="1" t="n">
        <x:f>IF(AL2091=0,"",1+COUNTIFS($AL$2051:$AL$2550,1,$T$2051:$T$2550,"&gt;"&amp;T2091))</x:f>
        <x:v>182</x:v>
      </x:c>
      <x:c r="Y2091" s="1" t="n">
        <x:f>IF(AND(H2091="Yes",OR(LEN('School Search'!$B$5)=0,ISNUMBER(SEARCH('School Search'!$B$5,B2091&amp;" "&amp;E2091&amp;" "&amp;A2091))),OR('School Search'!$D$5="All",C2091='School Search'!$D$5),OR('School Search'!$G$5="All eligible",AND('School Search'!$G$5="Not marked served",J2091&lt;&gt;"Yes"),AND('School Search'!$G$5="Missing data",V2091="Missing data"),AND('School Search'!$G$5="Marked served",J2091="Yes"))),1,0)</x:f>
        <x:v>1</x:v>
      </x:c>
      <x:c r="Z2091" s="1" t="n">
        <x:f>IF(Y2091=0,"",COUNTIFS($Y$2051:$Y$2550,1,$AO$2051:$AO$2550,"&lt;"&amp;AO2091)+COUNTIFS($Y$2051:Y2091,1,$AO$2051:AO2091,AO2091))</x:f>
        <x:v>198</x:v>
      </x:c>
      <x:c r="AA2091" s="1" t="str">
        <x:f>IF(NOT(ISNUMBER(S2091)),"Missing demographic or access input",TEXT(G2091,"0%")&amp;" economic need; "&amp;TEXT(K2091,"0.00")&amp;" mi fresh access; "&amp;L2091&amp;" nearby resources")</x:f>
        <x:v>84% economic need; 0.34 mi fresh access; 12 nearby resources</x:v>
      </x:c>
      <x:c r="AB2091" s="1" t="n">
        <x:f>IF(OR(A2091="",COUNTIFS($A$1531:$A$2030,A2091)&lt;&gt;1),0,MATCH(A2091,$A$1531:$A$2030,0))</x:f>
        <x:v>41</x:v>
      </x:c>
      <x:c r="AC2091" s="1" t="str">
        <x:f>IF(AB2091=0,"",INDEX($E$1531:$E$2030,AB2091))</x:f>
        <x:v>Metfresh Supermarket</x:v>
      </x:c>
      <x:c r="AD2091" s="1" t="str">
        <x:f>IF(AB2091=0,"",INDEX($F$1531:$F$2030,AB2091))</x:f>
        <x:v>2014 S Broad St, Philadelphia, PA, 19145</x:v>
      </x:c>
      <x:c r="AE2091" s="1" t="str">
        <x:f>IF(A2091="","",F42)</x:f>
        <x:v>1800 SNYDER AVE</x:v>
      </x:c>
      <x:c r="AF2091" s="1" t="n">
        <x:f>IF(ISNUMBER(I42),I42,"")</x:f>
        <x:v>39.925059</x:v>
      </x:c>
      <x:c r="AG2091" s="1" t="n">
        <x:f>IF(ISNUMBER(J42),J42,"")</x:f>
        <x:v>-75.176611</x:v>
      </x:c>
      <x:c r="AH2091" s="1" t="str">
        <x:f>IF(I2091=0,"Not contacted",IF(INDEX('Staff Review'!$J$8:$J$507,I2091)="","Not contacted",INDEX('Staff Review'!$J$8:$J$507,I2091)))</x:f>
        <x:v>Not contacted</x:v>
      </x:c>
      <x:c r="AI2091" s="1" t="str">
        <x:f>IF(I2091=0,"No",IF(AND(COUNT(INDEX('Staff Review'!$D$8:$D$507,I2091))=1,INDEX('Staff Review'!$D$8:$D$507,I2091)&gt;=0,COUNT(INDEX('Staff Review'!$E$8:$E$507,I2091))=1,INDEX('Staff Review'!$E$8:$E$507,I2091)&gt;0,INDEX('Staff Review'!$E$8:$E$507,I2091)&lt;='Top 15'!$E$5,'Top 15'!$E$5-INDEX('Staff Review'!$E$8:$E$507,I2091)&lt;='Top 15'!$H$5,LEN(INDEX('Staff Review'!$H$8:$H$507,I2091))&gt;0),"Yes","No"))</x:f>
        <x:v>No</x:v>
      </x:c>
      <x:c r="AJ2091" s="1" t="str">
        <x:f>IF(I2091=0,"No",IF(COUNT(INDEX('Staff Review'!$F$8:$F$507,I2091))&lt;&gt;1,"No",IF(AND(INDEX('Staff Review'!$F$8:$F$507,I2091)&gt;=0,MOD(INDEX('Staff Review'!$F$8:$F$507,I2091),1)=0,COUNT(INDEX('Staff Review'!$G$8:$G$507,I2091))=1,INDEX('Staff Review'!$G$8:$G$507,I2091)&gt;0,INDEX('Staff Review'!$G$8:$G$507,I2091)&lt;='Top 15'!$E$5,'Top 15'!$E$5-INDEX('Staff Review'!$G$8:$G$507,I2091)&lt;='Top 15'!$H$5,LEN(INDEX('Staff Review'!$H$8:$H$507,I2091))&gt;0),"Yes","No")))</x:f>
        <x:v>No</x:v>
      </x:c>
      <x:c r="AK2091" s="1" t="n">
        <x:f>IF(A2091="",0,COUNTIFS($A$2:$A$501,A2091))</x:f>
        <x:v>1</x:v>
      </x:c>
      <x:c r="AL2091" s="1" t="n">
        <x:f>IF(V2091="Candidate",1,0)</x:f>
        <x:v>1</x:v>
      </x:c>
      <x:c r="AM2091" s="1" t="n">
        <x:f>IF(A2091="",0,VALUE(A2091))</x:f>
        <x:v>2320</x:v>
      </x:c>
      <x:c r="AN2091" s="1" t="n">
        <x:f>IF(OR(A2091="",COUNTIFS($T$41:$T$540,A2091)&lt;&gt;1),0,MATCH(A2091,$T$41:$T$540,0))</x:f>
        <x:v>41</x:v>
      </x:c>
      <x:c r="AO2091" t="n">
        <x:f>IF(ISNUMBER(W2091),W2091,10000+AM2091)</x:f>
        <x:v>198</x:v>
      </x:c>
    </x:row>
    <x:row r="2092" ht="22" customHeight="1">
      <x:c r="A2092" s="1" t="str">
        <x:f>IF(A43="","",A43)</x:f>
        <x:v>2340</x:v>
      </x:c>
      <x:c r="B2092" s="1" t="str">
        <x:f>IF(A2092="","",B43)</x:f>
        <x:v>General George A. McCall School</x:v>
      </x:c>
      <x:c r="C2092" s="1" t="str">
        <x:f>IF(A2092="","",C43)</x:f>
        <x:v>District</x:v>
      </x:c>
      <x:c r="D2092" s="1" t="str">
        <x:f>IF(A2092="","",E43)</x:f>
        <x:v>Elementary-Middle</x:v>
      </x:c>
      <x:c r="E2092" s="1" t="str">
        <x:f>IF(A2092="","",H43)</x:f>
        <x:v>19106</x:v>
      </x:c>
      <x:c r="F2092" s="1" t="n">
        <x:f>IF(ISNUMBER(K43),K43,"")</x:f>
        <x:v>667</x:v>
      </x:c>
      <x:c r="G2092" s="1" t="n">
        <x:f>IF(ISNUMBER(L43),L43,"")</x:f>
        <x:v>0.4009</x:v>
      </x:c>
      <x:c r="H2092" s="1" t="str">
        <x:f>IF(A2092="","",IF(AND(UPPER(G43)="PHILADELPHIA",OR(C2092="District",AND(C2092="Charter",D43="Yes"))),"Yes","No"))</x:f>
        <x:v>Yes</x:v>
      </x:c>
      <x:c r="I2092" s="1" t="n">
        <x:f>IF(OR(A2092="",COUNTIFS('Staff Review'!$A$8:$A$507,A2092)&lt;&gt;1),0,MATCH(A2092,'Staff Review'!$A$8:$A$507,0))</x:f>
        <x:v>90</x:v>
      </x:c>
      <x:c r="J2092" s="1" t="str">
        <x:f>IF(I2092=0,"No",IF(INDEX('Staff Review'!$C$8:$C$507,I2092)="Yes","Yes","No"))</x:f>
        <x:v>No</x:v>
      </x:c>
      <x:c r="K2092" s="1" t="n">
        <x:f>IF(AI2092="Yes",INDEX('Staff Review'!$D$8:$D$507,I2092),IF(AB2092=0,"",IF(COUNT(INDEX($C$1531:$C$2030,AB2092))=1,INDEX($C$1531:$C$2030,AB2092),"")))</x:f>
        <x:v>0.1635639506954112</x:v>
      </x:c>
      <x:c r="L2092" s="1" t="n">
        <x:f>IF(AJ2092="Yes",INDEX('Staff Review'!$F$8:$F$507,I2092),IF(AB2092=0,"",IF(COUNT(INDEX($G$1531:$G$2030,AB2092))=1,INDEX($G$1531:$G$2030,AB2092),"")))</x:f>
        <x:v>7</x:v>
      </x:c>
      <x:c r="M2092" s="1" t="str">
        <x:f>IF(A2092="","",IF(AI2092="Yes","Verified","Listed"))</x:f>
        <x:v>Listed</x:v>
      </x:c>
      <x:c r="N2092" s="1" t="str">
        <x:f>IF(A2092="","",IF(AJ2092="Yes","Verified","Listed"))</x:f>
        <x:v>Listed</x:v>
      </x:c>
      <x:c r="O2092" s="1" t="n">
        <x:f>IF(AND(ISNUMBER(G2092),G2092&gt;=0,G2092&lt;=1),IF(G2092&gt;=0.9,30,IF(G2092&gt;=0.8,25,IF(G2092&gt;=0.7,20,IF(G2092&gt;=0.6,15,IF(G2092&gt;=0.5,10,IF(G2092&gt;=0.4,5,0)))))),"")</x:f>
        <x:v>5</x:v>
      </x:c>
      <x:c r="P2092" s="1" t="n">
        <x:f>IF(ISNUMBER(K2092),IF(K2092&lt;0,"",IF(K2092&gt;1,25,IF(K2092&gt;=0.75,20,IF(K2092&gt;=0.5,15,IF(K2092&gt;=0.25,10,5))))),"")</x:f>
        <x:v>5</x:v>
      </x:c>
      <x:c r="Q2092" s="1" t="n">
        <x:f>IF(NOT(ISNUMBER(L2092)),"",IF(AND(L2092&gt;=0,MOD(L2092,1)=0),MAX(0,25-5*L2092),""))</x:f>
        <x:v>0</x:v>
      </x:c>
      <x:c r="R2092" s="1" t="n">
        <x:f>IF(NOT(ISNUMBER(F2092)),"",IF(AND(F2092&gt;0,MOD(F2092,1)=0),IF(F2092&gt;=700,5,IF(F2092&gt;=500,4,IF(F2092&gt;=350,3,IF(F2092&gt;=200,2,1)))),""))</x:f>
        <x:v>4</x:v>
      </x:c>
      <x:c r="S2092" s="1" t="n">
        <x:f>IF(COUNT(O2092:R2092)=4,SUM(O2092:R2092),"")</x:f>
        <x:v>14</x:v>
      </x:c>
      <x:c r="T2092" s="1" t="n">
        <x:f>IF(OR(COUNT(O2092:R2092)&lt;&gt;4,COUNT('Top 15'!$B$35:$E$35)&lt;&gt;4,MIN('Top 15'!$B$35:$E$35)&lt;0,SUM('Top 15'!$B$35:$E$35)&lt;=0),"",ROUND(85*(O2092/30*'Top 15'!$B$35+P2092/25*'Top 15'!$C$35+Q2092/25*'Top 15'!$D$35+R2092/5*'Top 15'!$E$35)/SUM('Top 15'!$B$35:$E$35),6))</x:f>
        <x:v>14</x:v>
      </x:c>
      <x:c r="U2092" s="1" t="str">
        <x:f>IF(A2092="","",IF(AND(M2092="Verified",N2092="Verified"),"Verified",IF(AND(M2092="Listed",N2092="Listed"),"Listed","Mixed")))</x:f>
        <x:v>Listed</x:v>
      </x:c>
      <x:c r="V2092" s="1" t="str">
        <x:f>IF(A2092="","",IF(AK2092&lt;&gt;1,"Duplicate source ID",IF(COUNTIFS('Staff Review'!$A$8:$A$507,A2092)&gt;1,"Duplicate review ID",IF(H2092&lt;&gt;"Yes","Outside scope",IF(J2092="Yes","Already served",IF(NOT(ISNUMBER(T2092)),"Missing data","Candidate"))))))</x:f>
        <x:v>Candidate</x:v>
      </x:c>
      <x:c r="W2092" s="1" t="n">
        <x:f>IF(AL2092=0,"",1+COUNTIFS($AL$2051:$AL$2550,1,$T$2051:$T$2550,"&gt;"&amp;T2092)+COUNTIFS($AL$2051:$AL$2550,1,$T$2051:$T$2550,T2092,$G$2051:$G$2550,"&gt;"&amp;G2092)+COUNTIFS($AL$2051:$AL$2550,1,$T$2051:$T$2550,T2092,$G$2051:$G$2550,G2092,$F$2051:$F$2550,"&gt;"&amp;F2092)+COUNTIFS($AL$2051:$AL$2550,1,$T$2051:$T$2550,T2092,$G$2051:$G$2550,G2092,$F$2051:$F$2550,F2092,$AM$2051:$AM$2550,"&lt;"&amp;AM2092))</x:f>
        <x:v>286</x:v>
      </x:c>
      <x:c r="X2092" s="1" t="n">
        <x:f>IF(AL2092=0,"",1+COUNTIFS($AL$2051:$AL$2550,1,$T$2051:$T$2550,"&gt;"&amp;T2092))</x:f>
        <x:v>283</x:v>
      </x:c>
      <x:c r="Y2092" s="1" t="n">
        <x:f>IF(AND(H2092="Yes",OR(LEN('School Search'!$B$5)=0,ISNUMBER(SEARCH('School Search'!$B$5,B2092&amp;" "&amp;E2092&amp;" "&amp;A2092))),OR('School Search'!$D$5="All",C2092='School Search'!$D$5),OR('School Search'!$G$5="All eligible",AND('School Search'!$G$5="Not marked served",J2092&lt;&gt;"Yes"),AND('School Search'!$G$5="Missing data",V2092="Missing data"),AND('School Search'!$G$5="Marked served",J2092="Yes"))),1,0)</x:f>
        <x:v>1</x:v>
      </x:c>
      <x:c r="Z2092" s="1" t="n">
        <x:f>IF(Y2092=0,"",COUNTIFS($Y$2051:$Y$2550,1,$AO$2051:$AO$2550,"&lt;"&amp;AO2092)+COUNTIFS($Y$2051:Y2092,1,$AO$2051:AO2092,AO2092))</x:f>
        <x:v>286</x:v>
      </x:c>
      <x:c r="AA2092" s="1" t="str">
        <x:f>IF(NOT(ISNUMBER(S2092)),"Missing demographic or access input",TEXT(G2092,"0%")&amp;" economic need; "&amp;TEXT(K2092,"0.00")&amp;" mi fresh access; "&amp;L2092&amp;" nearby resources")</x:f>
        <x:v>40% economic need; 0.16 mi fresh access; 7 nearby resources</x:v>
      </x:c>
      <x:c r="AB2092" s="1" t="n">
        <x:f>IF(OR(A2092="",COUNTIFS($A$1531:$A$2030,A2092)&lt;&gt;1),0,MATCH(A2092,$A$1531:$A$2030,0))</x:f>
        <x:v>42</x:v>
      </x:c>
      <x:c r="AC2092" s="1" t="str">
        <x:f>IF(AB2092=0,"",INDEX($E$1531:$E$2030,AB2092))</x:f>
        <x:v>Acme 2638</x:v>
      </x:c>
      <x:c r="AD2092" s="1" t="str">
        <x:f>IF(AB2092=0,"",INDEX($F$1531:$F$2030,AB2092))</x:f>
        <x:v>309 S 5th St, Philadelphia, PA, 19106</x:v>
      </x:c>
      <x:c r="AE2092" s="1" t="str">
        <x:f>IF(A2092="","",F43)</x:f>
        <x:v>325 S 7TH ST</x:v>
      </x:c>
      <x:c r="AF2092" s="1" t="n">
        <x:f>IF(ISNUMBER(I43),I43,"")</x:f>
        <x:v>39.944635</x:v>
      </x:c>
      <x:c r="AG2092" s="1" t="n">
        <x:f>IF(ISNUMBER(J43),J43,"")</x:f>
        <x:v>-75.15318</x:v>
      </x:c>
      <x:c r="AH2092" s="1" t="str">
        <x:f>IF(I2092=0,"Not contacted",IF(INDEX('Staff Review'!$J$8:$J$507,I2092)="","Not contacted",INDEX('Staff Review'!$J$8:$J$507,I2092)))</x:f>
        <x:v>Not contacted</x:v>
      </x:c>
      <x:c r="AI2092" s="1" t="str">
        <x:f>IF(I2092=0,"No",IF(AND(COUNT(INDEX('Staff Review'!$D$8:$D$507,I2092))=1,INDEX('Staff Review'!$D$8:$D$507,I2092)&gt;=0,COUNT(INDEX('Staff Review'!$E$8:$E$507,I2092))=1,INDEX('Staff Review'!$E$8:$E$507,I2092)&gt;0,INDEX('Staff Review'!$E$8:$E$507,I2092)&lt;='Top 15'!$E$5,'Top 15'!$E$5-INDEX('Staff Review'!$E$8:$E$507,I2092)&lt;='Top 15'!$H$5,LEN(INDEX('Staff Review'!$H$8:$H$507,I2092))&gt;0),"Yes","No"))</x:f>
        <x:v>No</x:v>
      </x:c>
      <x:c r="AJ2092" s="1" t="str">
        <x:f>IF(I2092=0,"No",IF(COUNT(INDEX('Staff Review'!$F$8:$F$507,I2092))&lt;&gt;1,"No",IF(AND(INDEX('Staff Review'!$F$8:$F$507,I2092)&gt;=0,MOD(INDEX('Staff Review'!$F$8:$F$507,I2092),1)=0,COUNT(INDEX('Staff Review'!$G$8:$G$507,I2092))=1,INDEX('Staff Review'!$G$8:$G$507,I2092)&gt;0,INDEX('Staff Review'!$G$8:$G$507,I2092)&lt;='Top 15'!$E$5,'Top 15'!$E$5-INDEX('Staff Review'!$G$8:$G$507,I2092)&lt;='Top 15'!$H$5,LEN(INDEX('Staff Review'!$H$8:$H$507,I2092))&gt;0),"Yes","No")))</x:f>
        <x:v>No</x:v>
      </x:c>
      <x:c r="AK2092" s="1" t="n">
        <x:f>IF(A2092="",0,COUNTIFS($A$2:$A$501,A2092))</x:f>
        <x:v>1</x:v>
      </x:c>
      <x:c r="AL2092" s="1" t="n">
        <x:f>IF(V2092="Candidate",1,0)</x:f>
        <x:v>1</x:v>
      </x:c>
      <x:c r="AM2092" s="1" t="n">
        <x:f>IF(A2092="",0,VALUE(A2092))</x:f>
        <x:v>2340</x:v>
      </x:c>
      <x:c r="AN2092" s="1" t="n">
        <x:f>IF(OR(A2092="",COUNTIFS($T$41:$T$540,A2092)&lt;&gt;1),0,MATCH(A2092,$T$41:$T$540,0))</x:f>
        <x:v>42</x:v>
      </x:c>
      <x:c r="AO2092" t="n">
        <x:f>IF(ISNUMBER(W2092),W2092,10000+AM2092)</x:f>
        <x:v>286</x:v>
      </x:c>
    </x:row>
    <x:row r="2093" ht="22" customHeight="1">
      <x:c r="A2093" s="1" t="str">
        <x:f>IF(A44="","",A44)</x:f>
        <x:v>2370</x:v>
      </x:c>
      <x:c r="B2093" s="1" t="str">
        <x:f>IF(A2093="","",B44)</x:f>
        <x:v>Delaplaine McDaniel School</x:v>
      </x:c>
      <x:c r="C2093" s="1" t="str">
        <x:f>IF(A2093="","",C44)</x:f>
        <x:v>District</x:v>
      </x:c>
      <x:c r="D2093" s="1" t="str">
        <x:f>IF(A2093="","",E44)</x:f>
        <x:v>Elementary-Middle</x:v>
      </x:c>
      <x:c r="E2093" s="1" t="str">
        <x:f>IF(A2093="","",H44)</x:f>
        <x:v>19145</x:v>
      </x:c>
      <x:c r="F2093" s="1" t="n">
        <x:f>IF(ISNUMBER(K44),K44,"")</x:f>
        <x:v>240</x:v>
      </x:c>
      <x:c r="G2093" s="1" t="n">
        <x:f>IF(ISNUMBER(L44),L44,"")</x:f>
        <x:v>0.8547</x:v>
      </x:c>
      <x:c r="H2093" s="1" t="str">
        <x:f>IF(A2093="","",IF(AND(UPPER(G44)="PHILADELPHIA",OR(C2093="District",AND(C2093="Charter",D44="Yes"))),"Yes","No"))</x:f>
        <x:v>Yes</x:v>
      </x:c>
      <x:c r="I2093" s="1" t="n">
        <x:f>IF(OR(A2093="",COUNTIFS('Staff Review'!$A$8:$A$507,A2093)&lt;&gt;1),0,MATCH(A2093,'Staff Review'!$A$8:$A$507,0))</x:f>
        <x:v>51</x:v>
      </x:c>
      <x:c r="J2093" s="1" t="str">
        <x:f>IF(I2093=0,"No",IF(INDEX('Staff Review'!$C$8:$C$507,I2093)="Yes","Yes","No"))</x:f>
        <x:v>No</x:v>
      </x:c>
      <x:c r="K2093" s="1" t="n">
        <x:f>IF(AI2093="Yes",INDEX('Staff Review'!$D$8:$D$507,I2093),IF(AB2093=0,"",IF(COUNT(INDEX($C$1531:$C$2030,AB2093))=1,INDEX($C$1531:$C$2030,AB2093),"")))</x:f>
        <x:v>0.7037705628683641</x:v>
      </x:c>
      <x:c r="L2093" s="1" t="n">
        <x:f>IF(AJ2093="Yes",INDEX('Staff Review'!$F$8:$F$507,I2093),IF(AB2093=0,"",IF(COUNT(INDEX($G$1531:$G$2030,AB2093))=1,INDEX($G$1531:$G$2030,AB2093),"")))</x:f>
        <x:v>11</x:v>
      </x:c>
      <x:c r="M2093" s="1" t="str">
        <x:f>IF(A2093="","",IF(AI2093="Yes","Verified","Listed"))</x:f>
        <x:v>Listed</x:v>
      </x:c>
      <x:c r="N2093" s="1" t="str">
        <x:f>IF(A2093="","",IF(AJ2093="Yes","Verified","Listed"))</x:f>
        <x:v>Listed</x:v>
      </x:c>
      <x:c r="O2093" s="1" t="n">
        <x:f>IF(AND(ISNUMBER(G2093),G2093&gt;=0,G2093&lt;=1),IF(G2093&gt;=0.9,30,IF(G2093&gt;=0.8,25,IF(G2093&gt;=0.7,20,IF(G2093&gt;=0.6,15,IF(G2093&gt;=0.5,10,IF(G2093&gt;=0.4,5,0)))))),"")</x:f>
        <x:v>25</x:v>
      </x:c>
      <x:c r="P2093" s="1" t="n">
        <x:f>IF(ISNUMBER(K2093),IF(K2093&lt;0,"",IF(K2093&gt;1,25,IF(K2093&gt;=0.75,20,IF(K2093&gt;=0.5,15,IF(K2093&gt;=0.25,10,5))))),"")</x:f>
        <x:v>15</x:v>
      </x:c>
      <x:c r="Q2093" s="1" t="n">
        <x:f>IF(NOT(ISNUMBER(L2093)),"",IF(AND(L2093&gt;=0,MOD(L2093,1)=0),MAX(0,25-5*L2093),""))</x:f>
        <x:v>0</x:v>
      </x:c>
      <x:c r="R2093" s="1" t="n">
        <x:f>IF(NOT(ISNUMBER(F2093)),"",IF(AND(F2093&gt;0,MOD(F2093,1)=0),IF(F2093&gt;=700,5,IF(F2093&gt;=500,4,IF(F2093&gt;=350,3,IF(F2093&gt;=200,2,1)))),""))</x:f>
        <x:v>2</x:v>
      </x:c>
      <x:c r="S2093" s="1" t="n">
        <x:f>IF(COUNT(O2093:R2093)=4,SUM(O2093:R2093),"")</x:f>
        <x:v>42</x:v>
      </x:c>
      <x:c r="T2093" s="1" t="n">
        <x:f>IF(OR(COUNT(O2093:R2093)&lt;&gt;4,COUNT('Top 15'!$B$35:$E$35)&lt;&gt;4,MIN('Top 15'!$B$35:$E$35)&lt;0,SUM('Top 15'!$B$35:$E$35)&lt;=0),"",ROUND(85*(O2093/30*'Top 15'!$B$35+P2093/25*'Top 15'!$C$35+Q2093/25*'Top 15'!$D$35+R2093/5*'Top 15'!$E$35)/SUM('Top 15'!$B$35:$E$35),6))</x:f>
        <x:v>42</x:v>
      </x:c>
      <x:c r="U2093" s="1" t="str">
        <x:f>IF(A2093="","",IF(AND(M2093="Verified",N2093="Verified"),"Verified",IF(AND(M2093="Listed",N2093="Listed"),"Listed","Mixed")))</x:f>
        <x:v>Listed</x:v>
      </x:c>
      <x:c r="V2093" s="1" t="str">
        <x:f>IF(A2093="","",IF(AK2093&lt;&gt;1,"Duplicate source ID",IF(COUNTIFS('Staff Review'!$A$8:$A$507,A2093)&gt;1,"Duplicate review ID",IF(H2093&lt;&gt;"Yes","Outside scope",IF(J2093="Yes","Already served",IF(NOT(ISNUMBER(T2093)),"Missing data","Candidate"))))))</x:f>
        <x:v>Candidate</x:v>
      </x:c>
      <x:c r="W2093" s="1" t="n">
        <x:f>IF(AL2093=0,"",1+COUNTIFS($AL$2051:$AL$2550,1,$T$2051:$T$2550,"&gt;"&amp;T2093)+COUNTIFS($AL$2051:$AL$2550,1,$T$2051:$T$2550,T2093,$G$2051:$G$2550,"&gt;"&amp;G2093)+COUNTIFS($AL$2051:$AL$2550,1,$T$2051:$T$2550,T2093,$G$2051:$G$2550,G2093,$F$2051:$F$2550,"&gt;"&amp;F2093)+COUNTIFS($AL$2051:$AL$2550,1,$T$2051:$T$2550,T2093,$G$2051:$G$2550,G2093,$F$2051:$F$2550,F2093,$AM$2051:$AM$2550,"&lt;"&amp;AM2093))</x:f>
        <x:v>120</x:v>
      </x:c>
      <x:c r="X2093" s="1" t="n">
        <x:f>IF(AL2093=0,"",1+COUNTIFS($AL$2051:$AL$2550,1,$T$2051:$T$2550,"&gt;"&amp;T2093))</x:f>
        <x:v>101</x:v>
      </x:c>
      <x:c r="Y2093" s="1" t="n">
        <x:f>IF(AND(H2093="Yes",OR(LEN('School Search'!$B$5)=0,ISNUMBER(SEARCH('School Search'!$B$5,B2093&amp;" "&amp;E2093&amp;" "&amp;A2093))),OR('School Search'!$D$5="All",C2093='School Search'!$D$5),OR('School Search'!$G$5="All eligible",AND('School Search'!$G$5="Not marked served",J2093&lt;&gt;"Yes"),AND('School Search'!$G$5="Missing data",V2093="Missing data"),AND('School Search'!$G$5="Marked served",J2093="Yes"))),1,0)</x:f>
        <x:v>1</x:v>
      </x:c>
      <x:c r="Z2093" s="1" t="n">
        <x:f>IF(Y2093=0,"",COUNTIFS($Y$2051:$Y$2550,1,$AO$2051:$AO$2550,"&lt;"&amp;AO2093)+COUNTIFS($Y$2051:Y2093,1,$AO$2051:AO2093,AO2093))</x:f>
        <x:v>120</x:v>
      </x:c>
      <x:c r="AA2093" s="1" t="str">
        <x:f>IF(NOT(ISNUMBER(S2093)),"Missing demographic or access input",TEXT(G2093,"0%")&amp;" economic need; "&amp;TEXT(K2093,"0.00")&amp;" mi fresh access; "&amp;L2093&amp;" nearby resources")</x:f>
        <x:v>85% economic need; 0.70 mi fresh access; 11 nearby resources</x:v>
      </x:c>
      <x:c r="AB2093" s="1" t="n">
        <x:f>IF(OR(A2093="",COUNTIFS($A$1531:$A$2030,A2093)&lt;&gt;1),0,MATCH(A2093,$A$1531:$A$2030,0))</x:f>
        <x:v>43</x:v>
      </x:c>
      <x:c r="AC2093" s="1" t="str">
        <x:f>IF(AB2093=0,"",INDEX($E$1531:$E$2030,AB2093))</x:f>
        <x:v>Metfresh Supermarket</x:v>
      </x:c>
      <x:c r="AD2093" s="1" t="str">
        <x:f>IF(AB2093=0,"",INDEX($F$1531:$F$2030,AB2093))</x:f>
        <x:v>2014 S Broad St, Philadelphia, PA, 19145</x:v>
      </x:c>
      <x:c r="AE2093" s="1" t="str">
        <x:f>IF(A2093="","",F44)</x:f>
        <x:v>1801 S 22ND ST</x:v>
      </x:c>
      <x:c r="AF2093" s="1" t="n">
        <x:f>IF(ISNUMBER(I44),I44,"")</x:f>
        <x:v>39.929592</x:v>
      </x:c>
      <x:c r="AG2093" s="1" t="n">
        <x:f>IF(ISNUMBER(J44),J44,"")</x:f>
        <x:v>-75.181793</x:v>
      </x:c>
      <x:c r="AH2093" s="1" t="str">
        <x:f>IF(I2093=0,"Not contacted",IF(INDEX('Staff Review'!$J$8:$J$507,I2093)="","Not contacted",INDEX('Staff Review'!$J$8:$J$507,I2093)))</x:f>
        <x:v>Not contacted</x:v>
      </x:c>
      <x:c r="AI2093" s="1" t="str">
        <x:f>IF(I2093=0,"No",IF(AND(COUNT(INDEX('Staff Review'!$D$8:$D$507,I2093))=1,INDEX('Staff Review'!$D$8:$D$507,I2093)&gt;=0,COUNT(INDEX('Staff Review'!$E$8:$E$507,I2093))=1,INDEX('Staff Review'!$E$8:$E$507,I2093)&gt;0,INDEX('Staff Review'!$E$8:$E$507,I2093)&lt;='Top 15'!$E$5,'Top 15'!$E$5-INDEX('Staff Review'!$E$8:$E$507,I2093)&lt;='Top 15'!$H$5,LEN(INDEX('Staff Review'!$H$8:$H$507,I2093))&gt;0),"Yes","No"))</x:f>
        <x:v>No</x:v>
      </x:c>
      <x:c r="AJ2093" s="1" t="str">
        <x:f>IF(I2093=0,"No",IF(COUNT(INDEX('Staff Review'!$F$8:$F$507,I2093))&lt;&gt;1,"No",IF(AND(INDEX('Staff Review'!$F$8:$F$507,I2093)&gt;=0,MOD(INDEX('Staff Review'!$F$8:$F$507,I2093),1)=0,COUNT(INDEX('Staff Review'!$G$8:$G$507,I2093))=1,INDEX('Staff Review'!$G$8:$G$507,I2093)&gt;0,INDEX('Staff Review'!$G$8:$G$507,I2093)&lt;='Top 15'!$E$5,'Top 15'!$E$5-INDEX('Staff Review'!$G$8:$G$507,I2093)&lt;='Top 15'!$H$5,LEN(INDEX('Staff Review'!$H$8:$H$507,I2093))&gt;0),"Yes","No")))</x:f>
        <x:v>No</x:v>
      </x:c>
      <x:c r="AK2093" s="1" t="n">
        <x:f>IF(A2093="",0,COUNTIFS($A$2:$A$501,A2093))</x:f>
        <x:v>1</x:v>
      </x:c>
      <x:c r="AL2093" s="1" t="n">
        <x:f>IF(V2093="Candidate",1,0)</x:f>
        <x:v>1</x:v>
      </x:c>
      <x:c r="AM2093" s="1" t="n">
        <x:f>IF(A2093="",0,VALUE(A2093))</x:f>
        <x:v>2370</x:v>
      </x:c>
      <x:c r="AN2093" s="1" t="n">
        <x:f>IF(OR(A2093="",COUNTIFS($T$41:$T$540,A2093)&lt;&gt;1),0,MATCH(A2093,$T$41:$T$540,0))</x:f>
        <x:v>43</x:v>
      </x:c>
      <x:c r="AO2093" t="n">
        <x:f>IF(ISNUMBER(W2093),W2093,10000+AM2093)</x:f>
        <x:v>120</x:v>
      </x:c>
    </x:row>
    <x:row r="2094" ht="22" customHeight="1">
      <x:c r="A2094" s="1" t="str">
        <x:f>IF(A45="","",A45)</x:f>
        <x:v>2380</x:v>
      </x:c>
      <x:c r="B2094" s="1" t="str">
        <x:f>IF(A2094="","",B45)</x:f>
        <x:v>William M. Meredith School</x:v>
      </x:c>
      <x:c r="C2094" s="1" t="str">
        <x:f>IF(A2094="","",C45)</x:f>
        <x:v>District</x:v>
      </x:c>
      <x:c r="D2094" s="1" t="str">
        <x:f>IF(A2094="","",E45)</x:f>
        <x:v>Elementary-Middle</x:v>
      </x:c>
      <x:c r="E2094" s="1" t="str">
        <x:f>IF(A2094="","",H45)</x:f>
        <x:v>19147</x:v>
      </x:c>
      <x:c r="F2094" s="1" t="n">
        <x:f>IF(ISNUMBER(K45),K45,"")</x:f>
        <x:v>579</x:v>
      </x:c>
      <x:c r="G2094" s="1" t="n">
        <x:f>IF(ISNUMBER(L45),L45,"")</x:f>
        <x:v>0.1539</x:v>
      </x:c>
      <x:c r="H2094" s="1" t="str">
        <x:f>IF(A2094="","",IF(AND(UPPER(G45)="PHILADELPHIA",OR(C2094="District",AND(C2094="Charter",D45="Yes"))),"Yes","No"))</x:f>
        <x:v>Yes</x:v>
      </x:c>
      <x:c r="I2094" s="1" t="n">
        <x:f>IF(OR(A2094="",COUNTIFS('Staff Review'!$A$8:$A$507,A2094)&lt;&gt;1),0,MATCH(A2094,'Staff Review'!$A$8:$A$507,0))</x:f>
        <x:v>321</x:v>
      </x:c>
      <x:c r="J2094" s="1" t="str">
        <x:f>IF(I2094=0,"No",IF(INDEX('Staff Review'!$C$8:$C$507,I2094)="Yes","Yes","No"))</x:f>
        <x:v>No</x:v>
      </x:c>
      <x:c r="K2094" s="1" t="n">
        <x:f>IF(AI2094="Yes",INDEX('Staff Review'!$D$8:$D$507,I2094),IF(AB2094=0,"",IF(COUNT(INDEX($C$1531:$C$2030,AB2094))=1,INDEX($C$1531:$C$2030,AB2094),"")))</x:f>
        <x:v>0.358221084673787</x:v>
      </x:c>
      <x:c r="L2094" s="1" t="n">
        <x:f>IF(AJ2094="Yes",INDEX('Staff Review'!$F$8:$F$507,I2094),IF(AB2094=0,"",IF(COUNT(INDEX($G$1531:$G$2030,AB2094))=1,INDEX($G$1531:$G$2030,AB2094),"")))</x:f>
        <x:v>6</x:v>
      </x:c>
      <x:c r="M2094" s="1" t="str">
        <x:f>IF(A2094="","",IF(AI2094="Yes","Verified","Listed"))</x:f>
        <x:v>Listed</x:v>
      </x:c>
      <x:c r="N2094" s="1" t="str">
        <x:f>IF(A2094="","",IF(AJ2094="Yes","Verified","Listed"))</x:f>
        <x:v>Listed</x:v>
      </x:c>
      <x:c r="O2094" s="1" t="n">
        <x:f>IF(AND(ISNUMBER(G2094),G2094&gt;=0,G2094&lt;=1),IF(G2094&gt;=0.9,30,IF(G2094&gt;=0.8,25,IF(G2094&gt;=0.7,20,IF(G2094&gt;=0.6,15,IF(G2094&gt;=0.5,10,IF(G2094&gt;=0.4,5,0)))))),"")</x:f>
        <x:v>0</x:v>
      </x:c>
      <x:c r="P2094" s="1" t="n">
        <x:f>IF(ISNUMBER(K2094),IF(K2094&lt;0,"",IF(K2094&gt;1,25,IF(K2094&gt;=0.75,20,IF(K2094&gt;=0.5,15,IF(K2094&gt;=0.25,10,5))))),"")</x:f>
        <x:v>10</x:v>
      </x:c>
      <x:c r="Q2094" s="1" t="n">
        <x:f>IF(NOT(ISNUMBER(L2094)),"",IF(AND(L2094&gt;=0,MOD(L2094,1)=0),MAX(0,25-5*L2094),""))</x:f>
        <x:v>0</x:v>
      </x:c>
      <x:c r="R2094" s="1" t="n">
        <x:f>IF(NOT(ISNUMBER(F2094)),"",IF(AND(F2094&gt;0,MOD(F2094,1)=0),IF(F2094&gt;=700,5,IF(F2094&gt;=500,4,IF(F2094&gt;=350,3,IF(F2094&gt;=200,2,1)))),""))</x:f>
        <x:v>4</x:v>
      </x:c>
      <x:c r="S2094" s="1" t="n">
        <x:f>IF(COUNT(O2094:R2094)=4,SUM(O2094:R2094),"")</x:f>
        <x:v>14</x:v>
      </x:c>
      <x:c r="T2094" s="1" t="n">
        <x:f>IF(OR(COUNT(O2094:R2094)&lt;&gt;4,COUNT('Top 15'!$B$35:$E$35)&lt;&gt;4,MIN('Top 15'!$B$35:$E$35)&lt;0,SUM('Top 15'!$B$35:$E$35)&lt;=0),"",ROUND(85*(O2094/30*'Top 15'!$B$35+P2094/25*'Top 15'!$C$35+Q2094/25*'Top 15'!$D$35+R2094/5*'Top 15'!$E$35)/SUM('Top 15'!$B$35:$E$35),6))</x:f>
        <x:v>14</x:v>
      </x:c>
      <x:c r="U2094" s="1" t="str">
        <x:f>IF(A2094="","",IF(AND(M2094="Verified",N2094="Verified"),"Verified",IF(AND(M2094="Listed",N2094="Listed"),"Listed","Mixed")))</x:f>
        <x:v>Listed</x:v>
      </x:c>
      <x:c r="V2094" s="1" t="str">
        <x:f>IF(A2094="","",IF(AK2094&lt;&gt;1,"Duplicate source ID",IF(COUNTIFS('Staff Review'!$A$8:$A$507,A2094)&gt;1,"Duplicate review ID",IF(H2094&lt;&gt;"Yes","Outside scope",IF(J2094="Yes","Already served",IF(NOT(ISNUMBER(T2094)),"Missing data","Candidate"))))))</x:f>
        <x:v>Candidate</x:v>
      </x:c>
      <x:c r="W2094" s="1" t="n">
        <x:f>IF(AL2094=0,"",1+COUNTIFS($AL$2051:$AL$2550,1,$T$2051:$T$2550,"&gt;"&amp;T2094)+COUNTIFS($AL$2051:$AL$2550,1,$T$2051:$T$2550,T2094,$G$2051:$G$2550,"&gt;"&amp;G2094)+COUNTIFS($AL$2051:$AL$2550,1,$T$2051:$T$2550,T2094,$G$2051:$G$2550,G2094,$F$2051:$F$2550,"&gt;"&amp;F2094)+COUNTIFS($AL$2051:$AL$2550,1,$T$2051:$T$2550,T2094,$G$2051:$G$2550,G2094,$F$2051:$F$2550,F2094,$AM$2051:$AM$2550,"&lt;"&amp;AM2094))</x:f>
        <x:v>287</x:v>
      </x:c>
      <x:c r="X2094" s="1" t="n">
        <x:f>IF(AL2094=0,"",1+COUNTIFS($AL$2051:$AL$2550,1,$T$2051:$T$2550,"&gt;"&amp;T2094))</x:f>
        <x:v>283</x:v>
      </x:c>
      <x:c r="Y2094" s="1" t="n">
        <x:f>IF(AND(H2094="Yes",OR(LEN('School Search'!$B$5)=0,ISNUMBER(SEARCH('School Search'!$B$5,B2094&amp;" "&amp;E2094&amp;" "&amp;A2094))),OR('School Search'!$D$5="All",C2094='School Search'!$D$5),OR('School Search'!$G$5="All eligible",AND('School Search'!$G$5="Not marked served",J2094&lt;&gt;"Yes"),AND('School Search'!$G$5="Missing data",V2094="Missing data"),AND('School Search'!$G$5="Marked served",J2094="Yes"))),1,0)</x:f>
        <x:v>1</x:v>
      </x:c>
      <x:c r="Z2094" s="1" t="n">
        <x:f>IF(Y2094=0,"",COUNTIFS($Y$2051:$Y$2550,1,$AO$2051:$AO$2550,"&lt;"&amp;AO2094)+COUNTIFS($Y$2051:Y2094,1,$AO$2051:AO2094,AO2094))</x:f>
        <x:v>287</x:v>
      </x:c>
      <x:c r="AA2094" s="1" t="str">
        <x:f>IF(NOT(ISNUMBER(S2094)),"Missing demographic or access input",TEXT(G2094,"0%")&amp;" economic need; "&amp;TEXT(K2094,"0.00")&amp;" mi fresh access; "&amp;L2094&amp;" nearby resources")</x:f>
        <x:v>15% economic need; 0.36 mi fresh access; 6 nearby resources</x:v>
      </x:c>
      <x:c r="AB2094" s="1" t="n">
        <x:f>IF(OR(A2094="",COUNTIFS($A$1531:$A$2030,A2094)&lt;&gt;1),0,MATCH(A2094,$A$1531:$A$2030,0))</x:f>
        <x:v>44</x:v>
      </x:c>
      <x:c r="AC2094" s="1" t="str">
        <x:f>IF(AB2094=0,"",INDEX($E$1531:$E$2030,AB2094))</x:f>
        <x:v>Acme 2638</x:v>
      </x:c>
      <x:c r="AD2094" s="1" t="str">
        <x:f>IF(AB2094=0,"",INDEX($F$1531:$F$2030,AB2094))</x:f>
        <x:v>309 S 5th St, Philadelphia, PA, 19106</x:v>
      </x:c>
      <x:c r="AE2094" s="1" t="str">
        <x:f>IF(A2094="","",F45)</x:f>
        <x:v>725 S 5TH ST</x:v>
      </x:c>
      <x:c r="AF2094" s="1" t="n">
        <x:f>IF(ISNUMBER(I45),I45,"")</x:f>
        <x:v>39.93974936</x:v>
      </x:c>
      <x:c r="AG2094" s="1" t="n">
        <x:f>IF(ISNUMBER(J45),J45,"")</x:f>
        <x:v>-75.15113339</x:v>
      </x:c>
      <x:c r="AH2094" s="1" t="str">
        <x:f>IF(I2094=0,"Not contacted",IF(INDEX('Staff Review'!$J$8:$J$507,I2094)="","Not contacted",INDEX('Staff Review'!$J$8:$J$507,I2094)))</x:f>
        <x:v>Not contacted</x:v>
      </x:c>
      <x:c r="AI2094" s="1" t="str">
        <x:f>IF(I2094=0,"No",IF(AND(COUNT(INDEX('Staff Review'!$D$8:$D$507,I2094))=1,INDEX('Staff Review'!$D$8:$D$507,I2094)&gt;=0,COUNT(INDEX('Staff Review'!$E$8:$E$507,I2094))=1,INDEX('Staff Review'!$E$8:$E$507,I2094)&gt;0,INDEX('Staff Review'!$E$8:$E$507,I2094)&lt;='Top 15'!$E$5,'Top 15'!$E$5-INDEX('Staff Review'!$E$8:$E$507,I2094)&lt;='Top 15'!$H$5,LEN(INDEX('Staff Review'!$H$8:$H$507,I2094))&gt;0),"Yes","No"))</x:f>
        <x:v>No</x:v>
      </x:c>
      <x:c r="AJ2094" s="1" t="str">
        <x:f>IF(I2094=0,"No",IF(COUNT(INDEX('Staff Review'!$F$8:$F$507,I2094))&lt;&gt;1,"No",IF(AND(INDEX('Staff Review'!$F$8:$F$507,I2094)&gt;=0,MOD(INDEX('Staff Review'!$F$8:$F$507,I2094),1)=0,COUNT(INDEX('Staff Review'!$G$8:$G$507,I2094))=1,INDEX('Staff Review'!$G$8:$G$507,I2094)&gt;0,INDEX('Staff Review'!$G$8:$G$507,I2094)&lt;='Top 15'!$E$5,'Top 15'!$E$5-INDEX('Staff Review'!$G$8:$G$507,I2094)&lt;='Top 15'!$H$5,LEN(INDEX('Staff Review'!$H$8:$H$507,I2094))&gt;0),"Yes","No")))</x:f>
        <x:v>No</x:v>
      </x:c>
      <x:c r="AK2094" s="1" t="n">
        <x:f>IF(A2094="",0,COUNTIFS($A$2:$A$501,A2094))</x:f>
        <x:v>1</x:v>
      </x:c>
      <x:c r="AL2094" s="1" t="n">
        <x:f>IF(V2094="Candidate",1,0)</x:f>
        <x:v>1</x:v>
      </x:c>
      <x:c r="AM2094" s="1" t="n">
        <x:f>IF(A2094="",0,VALUE(A2094))</x:f>
        <x:v>2380</x:v>
      </x:c>
      <x:c r="AN2094" s="1" t="n">
        <x:f>IF(OR(A2094="",COUNTIFS($T$41:$T$540,A2094)&lt;&gt;1),0,MATCH(A2094,$T$41:$T$540,0))</x:f>
        <x:v>44</x:v>
      </x:c>
      <x:c r="AO2094" t="n">
        <x:f>IF(ISNUMBER(W2094),W2094,10000+AM2094)</x:f>
        <x:v>287</x:v>
      </x:c>
    </x:row>
    <x:row r="2095" ht="22" customHeight="1">
      <x:c r="A2095" s="1" t="str">
        <x:f>IF(A46="","",A46)</x:f>
        <x:v>2390</x:v>
      </x:c>
      <x:c r="B2095" s="1" t="str">
        <x:f>IF(A2095="","",B46)</x:f>
        <x:v>Robert Morris School</x:v>
      </x:c>
      <x:c r="C2095" s="1" t="str">
        <x:f>IF(A2095="","",C46)</x:f>
        <x:v>District</x:v>
      </x:c>
      <x:c r="D2095" s="1" t="str">
        <x:f>IF(A2095="","",E46)</x:f>
        <x:v>Elementary-Middle</x:v>
      </x:c>
      <x:c r="E2095" s="1" t="str">
        <x:f>IF(A2095="","",H46)</x:f>
        <x:v>19121</x:v>
      </x:c>
      <x:c r="F2095" s="1" t="n">
        <x:f>IF(ISNUMBER(K46),K46,"")</x:f>
        <x:v>216</x:v>
      </x:c>
      <x:c r="G2095" s="1" t="n">
        <x:f>IF(ISNUMBER(L46),L46,"")</x:f>
        <x:v>0.9023</x:v>
      </x:c>
      <x:c r="H2095" s="1" t="str">
        <x:f>IF(A2095="","",IF(AND(UPPER(G46)="PHILADELPHIA",OR(C2095="District",AND(C2095="Charter",D46="Yes"))),"Yes","No"))</x:f>
        <x:v>Yes</x:v>
      </x:c>
      <x:c r="I2095" s="1" t="n">
        <x:f>IF(OR(A2095="",COUNTIFS('Staff Review'!$A$8:$A$507,A2095)&lt;&gt;1),0,MATCH(A2095,'Staff Review'!$A$8:$A$507,0))</x:f>
        <x:v>253</x:v>
      </x:c>
      <x:c r="J2095" s="1" t="str">
        <x:f>IF(I2095=0,"No",IF(INDEX('Staff Review'!$C$8:$C$507,I2095)="Yes","Yes","No"))</x:f>
        <x:v>No</x:v>
      </x:c>
      <x:c r="K2095" s="1" t="n">
        <x:f>IF(AI2095="Yes",INDEX('Staff Review'!$D$8:$D$507,I2095),IF(AB2095=0,"",IF(COUNT(INDEX($C$1531:$C$2030,AB2095))=1,INDEX($C$1531:$C$2030,AB2095),"")))</x:f>
        <x:v>0.4557630523990855</x:v>
      </x:c>
      <x:c r="L2095" s="1" t="n">
        <x:f>IF(AJ2095="Yes",INDEX('Staff Review'!$F$8:$F$507,I2095),IF(AB2095=0,"",IF(COUNT(INDEX($G$1531:$G$2030,AB2095))=1,INDEX($G$1531:$G$2030,AB2095),"")))</x:f>
        <x:v>9</x:v>
      </x:c>
      <x:c r="M2095" s="1" t="str">
        <x:f>IF(A2095="","",IF(AI2095="Yes","Verified","Listed"))</x:f>
        <x:v>Listed</x:v>
      </x:c>
      <x:c r="N2095" s="1" t="str">
        <x:f>IF(A2095="","",IF(AJ2095="Yes","Verified","Listed"))</x:f>
        <x:v>Listed</x:v>
      </x:c>
      <x:c r="O2095" s="1" t="n">
        <x:f>IF(AND(ISNUMBER(G2095),G2095&gt;=0,G2095&lt;=1),IF(G2095&gt;=0.9,30,IF(G2095&gt;=0.8,25,IF(G2095&gt;=0.7,20,IF(G2095&gt;=0.6,15,IF(G2095&gt;=0.5,10,IF(G2095&gt;=0.4,5,0)))))),"")</x:f>
        <x:v>30</x:v>
      </x:c>
      <x:c r="P2095" s="1" t="n">
        <x:f>IF(ISNUMBER(K2095),IF(K2095&lt;0,"",IF(K2095&gt;1,25,IF(K2095&gt;=0.75,20,IF(K2095&gt;=0.5,15,IF(K2095&gt;=0.25,10,5))))),"")</x:f>
        <x:v>10</x:v>
      </x:c>
      <x:c r="Q2095" s="1" t="n">
        <x:f>IF(NOT(ISNUMBER(L2095)),"",IF(AND(L2095&gt;=0,MOD(L2095,1)=0),MAX(0,25-5*L2095),""))</x:f>
        <x:v>0</x:v>
      </x:c>
      <x:c r="R2095" s="1" t="n">
        <x:f>IF(NOT(ISNUMBER(F2095)),"",IF(AND(F2095&gt;0,MOD(F2095,1)=0),IF(F2095&gt;=700,5,IF(F2095&gt;=500,4,IF(F2095&gt;=350,3,IF(F2095&gt;=200,2,1)))),""))</x:f>
        <x:v>2</x:v>
      </x:c>
      <x:c r="S2095" s="1" t="n">
        <x:f>IF(COUNT(O2095:R2095)=4,SUM(O2095:R2095),"")</x:f>
        <x:v>42</x:v>
      </x:c>
      <x:c r="T2095" s="1" t="n">
        <x:f>IF(OR(COUNT(O2095:R2095)&lt;&gt;4,COUNT('Top 15'!$B$35:$E$35)&lt;&gt;4,MIN('Top 15'!$B$35:$E$35)&lt;0,SUM('Top 15'!$B$35:$E$35)&lt;=0),"",ROUND(85*(O2095/30*'Top 15'!$B$35+P2095/25*'Top 15'!$C$35+Q2095/25*'Top 15'!$D$35+R2095/5*'Top 15'!$E$35)/SUM('Top 15'!$B$35:$E$35),6))</x:f>
        <x:v>42</x:v>
      </x:c>
      <x:c r="U2095" s="1" t="str">
        <x:f>IF(A2095="","",IF(AND(M2095="Verified",N2095="Verified"),"Verified",IF(AND(M2095="Listed",N2095="Listed"),"Listed","Mixed")))</x:f>
        <x:v>Listed</x:v>
      </x:c>
      <x:c r="V2095" s="1" t="str">
        <x:f>IF(A2095="","",IF(AK2095&lt;&gt;1,"Duplicate source ID",IF(COUNTIFS('Staff Review'!$A$8:$A$507,A2095)&gt;1,"Duplicate review ID",IF(H2095&lt;&gt;"Yes","Outside scope",IF(J2095="Yes","Already served",IF(NOT(ISNUMBER(T2095)),"Missing data","Candidate"))))))</x:f>
        <x:v>Candidate</x:v>
      </x:c>
      <x:c r="W2095" s="1" t="n">
        <x:f>IF(AL2095=0,"",1+COUNTIFS($AL$2051:$AL$2550,1,$T$2051:$T$2550,"&gt;"&amp;T2095)+COUNTIFS($AL$2051:$AL$2550,1,$T$2051:$T$2550,T2095,$G$2051:$G$2550,"&gt;"&amp;G2095)+COUNTIFS($AL$2051:$AL$2550,1,$T$2051:$T$2550,T2095,$G$2051:$G$2550,G2095,$F$2051:$F$2550,"&gt;"&amp;F2095)+COUNTIFS($AL$2051:$AL$2550,1,$T$2051:$T$2550,T2095,$G$2051:$G$2550,G2095,$F$2051:$F$2550,F2095,$AM$2051:$AM$2550,"&lt;"&amp;AM2095))</x:f>
        <x:v>111</x:v>
      </x:c>
      <x:c r="X2095" s="1" t="n">
        <x:f>IF(AL2095=0,"",1+COUNTIFS($AL$2051:$AL$2550,1,$T$2051:$T$2550,"&gt;"&amp;T2095))</x:f>
        <x:v>101</x:v>
      </x:c>
      <x:c r="Y2095" s="1" t="n">
        <x:f>IF(AND(H2095="Yes",OR(LEN('School Search'!$B$5)=0,ISNUMBER(SEARCH('School Search'!$B$5,B2095&amp;" "&amp;E2095&amp;" "&amp;A2095))),OR('School Search'!$D$5="All",C2095='School Search'!$D$5),OR('School Search'!$G$5="All eligible",AND('School Search'!$G$5="Not marked served",J2095&lt;&gt;"Yes"),AND('School Search'!$G$5="Missing data",V2095="Missing data"),AND('School Search'!$G$5="Marked served",J2095="Yes"))),1,0)</x:f>
        <x:v>1</x:v>
      </x:c>
      <x:c r="Z2095" s="1" t="n">
        <x:f>IF(Y2095=0,"",COUNTIFS($Y$2051:$Y$2550,1,$AO$2051:$AO$2550,"&lt;"&amp;AO2095)+COUNTIFS($Y$2051:Y2095,1,$AO$2051:AO2095,AO2095))</x:f>
        <x:v>111</x:v>
      </x:c>
      <x:c r="AA2095" s="1" t="str">
        <x:f>IF(NOT(ISNUMBER(S2095)),"Missing demographic or access input",TEXT(G2095,"0%")&amp;" economic need; "&amp;TEXT(K2095,"0.00")&amp;" mi fresh access; "&amp;L2095&amp;" nearby resources")</x:f>
        <x:v>90% economic need; 0.46 mi fresh access; 9 nearby resources</x:v>
      </x:c>
      <x:c r="AB2095" s="1" t="n">
        <x:f>IF(OR(A2095="",COUNTIFS($A$1531:$A$2030,A2095)&lt;&gt;1),0,MATCH(A2095,$A$1531:$A$2030,0))</x:f>
        <x:v>45</x:v>
      </x:c>
      <x:c r="AC2095" s="1" t="str">
        <x:f>IF(AB2095=0,"",INDEX($E$1531:$E$2030,AB2095))</x:f>
        <x:v>Aldi 43</x:v>
      </x:c>
      <x:c r="AD2095" s="1" t="str">
        <x:f>IF(AB2095=0,"",INDEX($F$1531:$F$2030,AB2095))</x:f>
        <x:v>3101 W Girard Ave, Philadelphia, PA, 19130</x:v>
      </x:c>
      <x:c r="AE2095" s="1" t="str">
        <x:f>IF(A2095="","",F46)</x:f>
        <x:v>2600 W THOMPSON ST</x:v>
      </x:c>
      <x:c r="AF2095" s="1" t="n">
        <x:f>IF(ISNUMBER(I46),I46,"")</x:f>
        <x:v>39.975439</x:v>
      </x:c>
      <x:c r="AG2095" s="1" t="n">
        <x:f>IF(ISNUMBER(J46),J46,"")</x:f>
        <x:v>-75.17866</x:v>
      </x:c>
      <x:c r="AH2095" s="1" t="str">
        <x:f>IF(I2095=0,"Not contacted",IF(INDEX('Staff Review'!$J$8:$J$507,I2095)="","Not contacted",INDEX('Staff Review'!$J$8:$J$507,I2095)))</x:f>
        <x:v>Not contacted</x:v>
      </x:c>
      <x:c r="AI2095" s="1" t="str">
        <x:f>IF(I2095=0,"No",IF(AND(COUNT(INDEX('Staff Review'!$D$8:$D$507,I2095))=1,INDEX('Staff Review'!$D$8:$D$507,I2095)&gt;=0,COUNT(INDEX('Staff Review'!$E$8:$E$507,I2095))=1,INDEX('Staff Review'!$E$8:$E$507,I2095)&gt;0,INDEX('Staff Review'!$E$8:$E$507,I2095)&lt;='Top 15'!$E$5,'Top 15'!$E$5-INDEX('Staff Review'!$E$8:$E$507,I2095)&lt;='Top 15'!$H$5,LEN(INDEX('Staff Review'!$H$8:$H$507,I2095))&gt;0),"Yes","No"))</x:f>
        <x:v>No</x:v>
      </x:c>
      <x:c r="AJ2095" s="1" t="str">
        <x:f>IF(I2095=0,"No",IF(COUNT(INDEX('Staff Review'!$F$8:$F$507,I2095))&lt;&gt;1,"No",IF(AND(INDEX('Staff Review'!$F$8:$F$507,I2095)&gt;=0,MOD(INDEX('Staff Review'!$F$8:$F$507,I2095),1)=0,COUNT(INDEX('Staff Review'!$G$8:$G$507,I2095))=1,INDEX('Staff Review'!$G$8:$G$507,I2095)&gt;0,INDEX('Staff Review'!$G$8:$G$507,I2095)&lt;='Top 15'!$E$5,'Top 15'!$E$5-INDEX('Staff Review'!$G$8:$G$507,I2095)&lt;='Top 15'!$H$5,LEN(INDEX('Staff Review'!$H$8:$H$507,I2095))&gt;0),"Yes","No")))</x:f>
        <x:v>No</x:v>
      </x:c>
      <x:c r="AK2095" s="1" t="n">
        <x:f>IF(A2095="",0,COUNTIFS($A$2:$A$501,A2095))</x:f>
        <x:v>1</x:v>
      </x:c>
      <x:c r="AL2095" s="1" t="n">
        <x:f>IF(V2095="Candidate",1,0)</x:f>
        <x:v>1</x:v>
      </x:c>
      <x:c r="AM2095" s="1" t="n">
        <x:f>IF(A2095="",0,VALUE(A2095))</x:f>
        <x:v>2390</x:v>
      </x:c>
      <x:c r="AN2095" s="1" t="n">
        <x:f>IF(OR(A2095="",COUNTIFS($T$41:$T$540,A2095)&lt;&gt;1),0,MATCH(A2095,$T$41:$T$540,0))</x:f>
        <x:v>45</x:v>
      </x:c>
      <x:c r="AO2095" t="n">
        <x:f>IF(ISNUMBER(W2095),W2095,10000+AM2095)</x:f>
        <x:v>111</x:v>
      </x:c>
    </x:row>
    <x:row r="2096" ht="22" customHeight="1">
      <x:c r="A2096" s="1" t="str">
        <x:f>IF(A47="","",A47)</x:f>
        <x:v>2410</x:v>
      </x:c>
      <x:c r="B2096" s="1" t="str">
        <x:f>IF(A2096="","",B47)</x:f>
        <x:v>Girard Academic Music Program High School</x:v>
      </x:c>
      <x:c r="C2096" s="1" t="str">
        <x:f>IF(A2096="","",C47)</x:f>
        <x:v>District</x:v>
      </x:c>
      <x:c r="D2096" s="1" t="str">
        <x:f>IF(A2096="","",E47)</x:f>
        <x:v>Middle-High</x:v>
      </x:c>
      <x:c r="E2096" s="1" t="str">
        <x:f>IF(A2096="","",H47)</x:f>
        <x:v>19145</x:v>
      </x:c>
      <x:c r="F2096" s="1" t="n">
        <x:f>IF(ISNUMBER(K47),K47,"")</x:f>
        <x:v>666</x:v>
      </x:c>
      <x:c r="G2096" s="1" t="str">
        <x:f>IF(ISNUMBER(L47),L47,"")</x:f>
      </x:c>
      <x:c r="H2096" s="1" t="str">
        <x:f>IF(A2096="","",IF(AND(UPPER(G47)="PHILADELPHIA",OR(C2096="District",AND(C2096="Charter",D47="Yes"))),"Yes","No"))</x:f>
        <x:v>Yes</x:v>
      </x:c>
      <x:c r="I2096" s="1" t="n">
        <x:f>IF(OR(A2096="",COUNTIFS('Staff Review'!$A$8:$A$507,A2096)&lt;&gt;1),0,MATCH(A2096,'Staff Review'!$A$8:$A$507,0))</x:f>
        <x:v>99</x:v>
      </x:c>
      <x:c r="J2096" s="1" t="str">
        <x:f>IF(I2096=0,"No",IF(INDEX('Staff Review'!$C$8:$C$507,I2096)="Yes","Yes","No"))</x:f>
        <x:v>No</x:v>
      </x:c>
      <x:c r="K2096" s="1" t="n">
        <x:f>IF(AI2096="Yes",INDEX('Staff Review'!$D$8:$D$507,I2096),IF(AB2096=0,"",IF(COUNT(INDEX($C$1531:$C$2030,AB2096))=1,INDEX($C$1531:$C$2030,AB2096),"")))</x:f>
        <x:v>0.2806391370025693</x:v>
      </x:c>
      <x:c r="L2096" s="1" t="n">
        <x:f>IF(AJ2096="Yes",INDEX('Staff Review'!$F$8:$F$507,I2096),IF(AB2096=0,"",IF(COUNT(INDEX($G$1531:$G$2030,AB2096))=1,INDEX($G$1531:$G$2030,AB2096),"")))</x:f>
        <x:v>7</x:v>
      </x:c>
      <x:c r="M2096" s="1" t="str">
        <x:f>IF(A2096="","",IF(AI2096="Yes","Verified","Listed"))</x:f>
        <x:v>Listed</x:v>
      </x:c>
      <x:c r="N2096" s="1" t="str">
        <x:f>IF(A2096="","",IF(AJ2096="Yes","Verified","Listed"))</x:f>
        <x:v>Listed</x:v>
      </x:c>
      <x:c r="O2096" s="1" t="str">
        <x:f>IF(AND(ISNUMBER(G2096),G2096&gt;=0,G2096&lt;=1),IF(G2096&gt;=0.9,30,IF(G2096&gt;=0.8,25,IF(G2096&gt;=0.7,20,IF(G2096&gt;=0.6,15,IF(G2096&gt;=0.5,10,IF(G2096&gt;=0.4,5,0)))))),"")</x:f>
      </x:c>
      <x:c r="P2096" s="1" t="n">
        <x:f>IF(ISNUMBER(K2096),IF(K2096&lt;0,"",IF(K2096&gt;1,25,IF(K2096&gt;=0.75,20,IF(K2096&gt;=0.5,15,IF(K2096&gt;=0.25,10,5))))),"")</x:f>
        <x:v>10</x:v>
      </x:c>
      <x:c r="Q2096" s="1" t="n">
        <x:f>IF(NOT(ISNUMBER(L2096)),"",IF(AND(L2096&gt;=0,MOD(L2096,1)=0),MAX(0,25-5*L2096),""))</x:f>
        <x:v>0</x:v>
      </x:c>
      <x:c r="R2096" s="1" t="n">
        <x:f>IF(NOT(ISNUMBER(F2096)),"",IF(AND(F2096&gt;0,MOD(F2096,1)=0),IF(F2096&gt;=700,5,IF(F2096&gt;=500,4,IF(F2096&gt;=350,3,IF(F2096&gt;=200,2,1)))),""))</x:f>
        <x:v>4</x:v>
      </x:c>
      <x:c r="S2096" s="1" t="str">
        <x:f>IF(COUNT(O2096:R2096)=4,SUM(O2096:R2096),"")</x:f>
      </x:c>
      <x:c r="T2096" s="1" t="str">
        <x:f>IF(OR(COUNT(O2096:R2096)&lt;&gt;4,COUNT('Top 15'!$B$35:$E$35)&lt;&gt;4,MIN('Top 15'!$B$35:$E$35)&lt;0,SUM('Top 15'!$B$35:$E$35)&lt;=0),"",ROUND(85*(O2096/30*'Top 15'!$B$35+P2096/25*'Top 15'!$C$35+Q2096/25*'Top 15'!$D$35+R2096/5*'Top 15'!$E$35)/SUM('Top 15'!$B$35:$E$35),6))</x:f>
      </x:c>
      <x:c r="U2096" s="1" t="str">
        <x:f>IF(A2096="","",IF(AND(M2096="Verified",N2096="Verified"),"Verified",IF(AND(M2096="Listed",N2096="Listed"),"Listed","Mixed")))</x:f>
        <x:v>Listed</x:v>
      </x:c>
      <x:c r="V2096" s="1" t="str">
        <x:f>IF(A2096="","",IF(AK2096&lt;&gt;1,"Duplicate source ID",IF(COUNTIFS('Staff Review'!$A$8:$A$507,A2096)&gt;1,"Duplicate review ID",IF(H2096&lt;&gt;"Yes","Outside scope",IF(J2096="Yes","Already served",IF(NOT(ISNUMBER(T2096)),"Missing data","Candidate"))))))</x:f>
        <x:v>Missing data</x:v>
      </x:c>
      <x:c r="W2096" s="1" t="str">
        <x:f>IF(AL2096=0,"",1+COUNTIFS($AL$2051:$AL$2550,1,$T$2051:$T$2550,"&gt;"&amp;T2096)+COUNTIFS($AL$2051:$AL$2550,1,$T$2051:$T$2550,T2096,$G$2051:$G$2550,"&gt;"&amp;G2096)+COUNTIFS($AL$2051:$AL$2550,1,$T$2051:$T$2550,T2096,$G$2051:$G$2550,G2096,$F$2051:$F$2550,"&gt;"&amp;F2096)+COUNTIFS($AL$2051:$AL$2550,1,$T$2051:$T$2550,T2096,$G$2051:$G$2550,G2096,$F$2051:$F$2550,F2096,$AM$2051:$AM$2550,"&lt;"&amp;AM2096))</x:f>
      </x:c>
      <x:c r="X2096" s="1" t="str">
        <x:f>IF(AL2096=0,"",1+COUNTIFS($AL$2051:$AL$2550,1,$T$2051:$T$2550,"&gt;"&amp;T2096))</x:f>
      </x:c>
      <x:c r="Y2096" s="1" t="n">
        <x:f>IF(AND(H2096="Yes",OR(LEN('School Search'!$B$5)=0,ISNUMBER(SEARCH('School Search'!$B$5,B2096&amp;" "&amp;E2096&amp;" "&amp;A2096))),OR('School Search'!$D$5="All",C2096='School Search'!$D$5),OR('School Search'!$G$5="All eligible",AND('School Search'!$G$5="Not marked served",J2096&lt;&gt;"Yes"),AND('School Search'!$G$5="Missing data",V2096="Missing data"),AND('School Search'!$G$5="Marked served",J2096="Yes"))),1,0)</x:f>
        <x:v>1</x:v>
      </x:c>
      <x:c r="Z2096" s="1" t="n">
        <x:f>IF(Y2096=0,"",COUNTIFS($Y$2051:$Y$2550,1,$AO$2051:$AO$2550,"&lt;"&amp;AO2096)+COUNTIFS($Y$2051:Y2096,1,$AO$2051:AO2096,AO2096))</x:f>
        <x:v>294</x:v>
      </x:c>
      <x:c r="AA2096" s="1" t="str">
        <x:f>IF(NOT(ISNUMBER(S2096)),"Missing demographic or access input",TEXT(G2096,"0%")&amp;" economic need; "&amp;TEXT(K2096,"0.00")&amp;" mi fresh access; "&amp;L2096&amp;" nearby resources")</x:f>
        <x:v>Missing demographic or access input</x:v>
      </x:c>
      <x:c r="AB2096" s="1" t="n">
        <x:f>IF(OR(A2096="",COUNTIFS($A$1531:$A$2030,A2096)&lt;&gt;1),0,MATCH(A2096,$A$1531:$A$2030,0))</x:f>
        <x:v>46</x:v>
      </x:c>
      <x:c r="AC2096" s="1" t="str">
        <x:f>IF(AB2096=0,"",INDEX($E$1531:$E$2030,AB2096))</x:f>
        <x:v>Grocery Outlet Of West Oregon Ave 0730</x:v>
      </x:c>
      <x:c r="AD2096" s="1" t="str">
        <x:f>IF(AB2096=0,"",INDEX($F$1531:$F$2030,AB2096))</x:f>
        <x:v>2017 W Oregon Ave, Philadelphia, PA, 19145</x:v>
      </x:c>
      <x:c r="AE2096" s="1" t="str">
        <x:f>IF(A2096="","",F47)</x:f>
        <x:v>2136 W RITNER ST, GAMP</x:v>
      </x:c>
      <x:c r="AF2096" s="1" t="n">
        <x:f>IF(ISNUMBER(I47),I47,"")</x:f>
        <x:v>39.92210463</x:v>
      </x:c>
      <x:c r="AG2096" s="1" t="n">
        <x:f>IF(ISNUMBER(J47),J47,"")</x:f>
        <x:v>-75.18256439</x:v>
      </x:c>
      <x:c r="AH2096" s="1" t="str">
        <x:f>IF(I2096=0,"Not contacted",IF(INDEX('Staff Review'!$J$8:$J$507,I2096)="","Not contacted",INDEX('Staff Review'!$J$8:$J$507,I2096)))</x:f>
        <x:v>Not contacted</x:v>
      </x:c>
      <x:c r="AI2096" s="1" t="str">
        <x:f>IF(I2096=0,"No",IF(AND(COUNT(INDEX('Staff Review'!$D$8:$D$507,I2096))=1,INDEX('Staff Review'!$D$8:$D$507,I2096)&gt;=0,COUNT(INDEX('Staff Review'!$E$8:$E$507,I2096))=1,INDEX('Staff Review'!$E$8:$E$507,I2096)&gt;0,INDEX('Staff Review'!$E$8:$E$507,I2096)&lt;='Top 15'!$E$5,'Top 15'!$E$5-INDEX('Staff Review'!$E$8:$E$507,I2096)&lt;='Top 15'!$H$5,LEN(INDEX('Staff Review'!$H$8:$H$507,I2096))&gt;0),"Yes","No"))</x:f>
        <x:v>No</x:v>
      </x:c>
      <x:c r="AJ2096" s="1" t="str">
        <x:f>IF(I2096=0,"No",IF(COUNT(INDEX('Staff Review'!$F$8:$F$507,I2096))&lt;&gt;1,"No",IF(AND(INDEX('Staff Review'!$F$8:$F$507,I2096)&gt;=0,MOD(INDEX('Staff Review'!$F$8:$F$507,I2096),1)=0,COUNT(INDEX('Staff Review'!$G$8:$G$507,I2096))=1,INDEX('Staff Review'!$G$8:$G$507,I2096)&gt;0,INDEX('Staff Review'!$G$8:$G$507,I2096)&lt;='Top 15'!$E$5,'Top 15'!$E$5-INDEX('Staff Review'!$G$8:$G$507,I2096)&lt;='Top 15'!$H$5,LEN(INDEX('Staff Review'!$H$8:$H$507,I2096))&gt;0),"Yes","No")))</x:f>
        <x:v>No</x:v>
      </x:c>
      <x:c r="AK2096" s="1" t="n">
        <x:f>IF(A2096="",0,COUNTIFS($A$2:$A$501,A2096))</x:f>
        <x:v>1</x:v>
      </x:c>
      <x:c r="AL2096" s="1" t="n">
        <x:f>IF(V2096="Candidate",1,0)</x:f>
        <x:v>0</x:v>
      </x:c>
      <x:c r="AM2096" s="1" t="n">
        <x:f>IF(A2096="",0,VALUE(A2096))</x:f>
        <x:v>2410</x:v>
      </x:c>
      <x:c r="AN2096" s="1" t="n">
        <x:f>IF(OR(A2096="",COUNTIFS($T$41:$T$540,A2096)&lt;&gt;1),0,MATCH(A2096,$T$41:$T$540,0))</x:f>
        <x:v>46</x:v>
      </x:c>
      <x:c r="AO2096" t="n">
        <x:f>IF(ISNUMBER(W2096),W2096,10000+AM2096)</x:f>
        <x:v>12410</x:v>
      </x:c>
    </x:row>
    <x:row r="2097" ht="22" customHeight="1">
      <x:c r="A2097" s="1" t="str">
        <x:f>IF(A48="","",A48)</x:f>
        <x:v>2450</x:v>
      </x:c>
      <x:c r="B2097" s="1" t="str">
        <x:f>IF(A2097="","",B48)</x:f>
        <x:v>Edwin M. Stanton School</x:v>
      </x:c>
      <x:c r="C2097" s="1" t="str">
        <x:f>IF(A2097="","",C48)</x:f>
        <x:v>District</x:v>
      </x:c>
      <x:c r="D2097" s="1" t="str">
        <x:f>IF(A2097="","",E48)</x:f>
        <x:v>Elementary-Middle</x:v>
      </x:c>
      <x:c r="E2097" s="1" t="str">
        <x:f>IF(A2097="","",H48)</x:f>
        <x:v>19146</x:v>
      </x:c>
      <x:c r="F2097" s="1" t="n">
        <x:f>IF(ISNUMBER(K48),K48,"")</x:f>
        <x:v>316</x:v>
      </x:c>
      <x:c r="G2097" s="1" t="n">
        <x:f>IF(ISNUMBER(L48),L48,"")</x:f>
        <x:v>0.6497</x:v>
      </x:c>
      <x:c r="H2097" s="1" t="str">
        <x:f>IF(A2097="","",IF(AND(UPPER(G48)="PHILADELPHIA",OR(C2097="District",AND(C2097="Charter",D48="Yes"))),"Yes","No"))</x:f>
        <x:v>Yes</x:v>
      </x:c>
      <x:c r="I2097" s="1" t="n">
        <x:f>IF(OR(A2097="",COUNTIFS('Staff Review'!$A$8:$A$507,A2097)&lt;&gt;1),0,MATCH(A2097,'Staff Review'!$A$8:$A$507,0))</x:f>
        <x:v>59</x:v>
      </x:c>
      <x:c r="J2097" s="1" t="str">
        <x:f>IF(I2097=0,"No",IF(INDEX('Staff Review'!$C$8:$C$507,I2097)="Yes","Yes","No"))</x:f>
        <x:v>No</x:v>
      </x:c>
      <x:c r="K2097" s="1" t="n">
        <x:f>IF(AI2097="Yes",INDEX('Staff Review'!$D$8:$D$507,I2097),IF(AB2097=0,"",IF(COUNT(INDEX($C$1531:$C$2030,AB2097))=1,INDEX($C$1531:$C$2030,AB2097),"")))</x:f>
        <x:v>0.2625518894906461</x:v>
      </x:c>
      <x:c r="L2097" s="1" t="n">
        <x:f>IF(AJ2097="Yes",INDEX('Staff Review'!$F$8:$F$507,I2097),IF(AB2097=0,"",IF(COUNT(INDEX($G$1531:$G$2030,AB2097))=1,INDEX($G$1531:$G$2030,AB2097),"")))</x:f>
        <x:v>15</x:v>
      </x:c>
      <x:c r="M2097" s="1" t="str">
        <x:f>IF(A2097="","",IF(AI2097="Yes","Verified","Listed"))</x:f>
        <x:v>Listed</x:v>
      </x:c>
      <x:c r="N2097" s="1" t="str">
        <x:f>IF(A2097="","",IF(AJ2097="Yes","Verified","Listed"))</x:f>
        <x:v>Listed</x:v>
      </x:c>
      <x:c r="O2097" s="1" t="n">
        <x:f>IF(AND(ISNUMBER(G2097),G2097&gt;=0,G2097&lt;=1),IF(G2097&gt;=0.9,30,IF(G2097&gt;=0.8,25,IF(G2097&gt;=0.7,20,IF(G2097&gt;=0.6,15,IF(G2097&gt;=0.5,10,IF(G2097&gt;=0.4,5,0)))))),"")</x:f>
        <x:v>15</x:v>
      </x:c>
      <x:c r="P2097" s="1" t="n">
        <x:f>IF(ISNUMBER(K2097),IF(K2097&lt;0,"",IF(K2097&gt;1,25,IF(K2097&gt;=0.75,20,IF(K2097&gt;=0.5,15,IF(K2097&gt;=0.25,10,5))))),"")</x:f>
        <x:v>10</x:v>
      </x:c>
      <x:c r="Q2097" s="1" t="n">
        <x:f>IF(NOT(ISNUMBER(L2097)),"",IF(AND(L2097&gt;=0,MOD(L2097,1)=0),MAX(0,25-5*L2097),""))</x:f>
        <x:v>0</x:v>
      </x:c>
      <x:c r="R2097" s="1" t="n">
        <x:f>IF(NOT(ISNUMBER(F2097)),"",IF(AND(F2097&gt;0,MOD(F2097,1)=0),IF(F2097&gt;=700,5,IF(F2097&gt;=500,4,IF(F2097&gt;=350,3,IF(F2097&gt;=200,2,1)))),""))</x:f>
        <x:v>2</x:v>
      </x:c>
      <x:c r="S2097" s="1" t="n">
        <x:f>IF(COUNT(O2097:R2097)=4,SUM(O2097:R2097),"")</x:f>
        <x:v>27</x:v>
      </x:c>
      <x:c r="T2097" s="1" t="n">
        <x:f>IF(OR(COUNT(O2097:R2097)&lt;&gt;4,COUNT('Top 15'!$B$35:$E$35)&lt;&gt;4,MIN('Top 15'!$B$35:$E$35)&lt;0,SUM('Top 15'!$B$35:$E$35)&lt;=0),"",ROUND(85*(O2097/30*'Top 15'!$B$35+P2097/25*'Top 15'!$C$35+Q2097/25*'Top 15'!$D$35+R2097/5*'Top 15'!$E$35)/SUM('Top 15'!$B$35:$E$35),6))</x:f>
        <x:v>27</x:v>
      </x:c>
      <x:c r="U2097" s="1" t="str">
        <x:f>IF(A2097="","",IF(AND(M2097="Verified",N2097="Verified"),"Verified",IF(AND(M2097="Listed",N2097="Listed"),"Listed","Mixed")))</x:f>
        <x:v>Listed</x:v>
      </x:c>
      <x:c r="V2097" s="1" t="str">
        <x:f>IF(A2097="","",IF(AK2097&lt;&gt;1,"Duplicate source ID",IF(COUNTIFS('Staff Review'!$A$8:$A$507,A2097)&gt;1,"Duplicate review ID",IF(H2097&lt;&gt;"Yes","Outside scope",IF(J2097="Yes","Already served",IF(NOT(ISNUMBER(T2097)),"Missing data","Candidate"))))))</x:f>
        <x:v>Candidate</x:v>
      </x:c>
      <x:c r="W2097" s="1" t="n">
        <x:f>IF(AL2097=0,"",1+COUNTIFS($AL$2051:$AL$2550,1,$T$2051:$T$2550,"&gt;"&amp;T2097)+COUNTIFS($AL$2051:$AL$2550,1,$T$2051:$T$2550,T2097,$G$2051:$G$2550,"&gt;"&amp;G2097)+COUNTIFS($AL$2051:$AL$2550,1,$T$2051:$T$2550,T2097,$G$2051:$G$2550,G2097,$F$2051:$F$2550,"&gt;"&amp;F2097)+COUNTIFS($AL$2051:$AL$2550,1,$T$2051:$T$2550,T2097,$G$2051:$G$2550,G2097,$F$2051:$F$2550,F2097,$AM$2051:$AM$2550,"&lt;"&amp;AM2097))</x:f>
        <x:v>267</x:v>
      </x:c>
      <x:c r="X2097" s="1" t="n">
        <x:f>IF(AL2097=0,"",1+COUNTIFS($AL$2051:$AL$2550,1,$T$2051:$T$2550,"&gt;"&amp;T2097))</x:f>
        <x:v>266</x:v>
      </x:c>
      <x:c r="Y2097" s="1" t="n">
        <x:f>IF(AND(H2097="Yes",OR(LEN('School Search'!$B$5)=0,ISNUMBER(SEARCH('School Search'!$B$5,B2097&amp;" "&amp;E2097&amp;" "&amp;A2097))),OR('School Search'!$D$5="All",C2097='School Search'!$D$5),OR('School Search'!$G$5="All eligible",AND('School Search'!$G$5="Not marked served",J2097&lt;&gt;"Yes"),AND('School Search'!$G$5="Missing data",V2097="Missing data"),AND('School Search'!$G$5="Marked served",J2097="Yes"))),1,0)</x:f>
        <x:v>1</x:v>
      </x:c>
      <x:c r="Z2097" s="1" t="n">
        <x:f>IF(Y2097=0,"",COUNTIFS($Y$2051:$Y$2550,1,$AO$2051:$AO$2550,"&lt;"&amp;AO2097)+COUNTIFS($Y$2051:Y2097,1,$AO$2051:AO2097,AO2097))</x:f>
        <x:v>267</x:v>
      </x:c>
      <x:c r="AA2097" s="1" t="str">
        <x:f>IF(NOT(ISNUMBER(S2097)),"Missing demographic or access input",TEXT(G2097,"0%")&amp;" economic need; "&amp;TEXT(K2097,"0.00")&amp;" mi fresh access; "&amp;L2097&amp;" nearby resources")</x:f>
        <x:v>65% economic need; 0.26 mi fresh access; 15 nearby resources</x:v>
      </x:c>
      <x:c r="AB2097" s="1" t="n">
        <x:f>IF(OR(A2097="",COUNTIFS($A$1531:$A$2030,A2097)&lt;&gt;1),0,MATCH(A2097,$A$1531:$A$2030,0))</x:f>
        <x:v>47</x:v>
      </x:c>
      <x:c r="AC2097" s="1" t="str">
        <x:f>IF(AB2097=0,"",INDEX($E$1531:$E$2030,AB2097))</x:f>
        <x:v>Sprouts Farmers Market 850</x:v>
      </x:c>
      <x:c r="AD2097" s="1" t="str">
        <x:f>IF(AB2097=0,"",INDEX($F$1531:$F$2030,AB2097))</x:f>
        <x:v>1000 S Broad St, Philadelphia, PA, 19146</x:v>
      </x:c>
      <x:c r="AE2097" s="1" t="str">
        <x:f>IF(A2097="","",F48)</x:f>
        <x:v>901 S. 17TH ST.</x:v>
      </x:c>
      <x:c r="AF2097" s="1" t="n">
        <x:f>IF(ISNUMBER(I48),I48,"")</x:f>
        <x:v>39.940503</x:v>
      </x:c>
      <x:c r="AG2097" s="1" t="n">
        <x:f>IF(ISNUMBER(J48),J48,"")</x:f>
        <x:v>-75.171017</x:v>
      </x:c>
      <x:c r="AH2097" s="1" t="str">
        <x:f>IF(I2097=0,"Not contacted",IF(INDEX('Staff Review'!$J$8:$J$507,I2097)="","Not contacted",INDEX('Staff Review'!$J$8:$J$507,I2097)))</x:f>
        <x:v>Not contacted</x:v>
      </x:c>
      <x:c r="AI2097" s="1" t="str">
        <x:f>IF(I2097=0,"No",IF(AND(COUNT(INDEX('Staff Review'!$D$8:$D$507,I2097))=1,INDEX('Staff Review'!$D$8:$D$507,I2097)&gt;=0,COUNT(INDEX('Staff Review'!$E$8:$E$507,I2097))=1,INDEX('Staff Review'!$E$8:$E$507,I2097)&gt;0,INDEX('Staff Review'!$E$8:$E$507,I2097)&lt;='Top 15'!$E$5,'Top 15'!$E$5-INDEX('Staff Review'!$E$8:$E$507,I2097)&lt;='Top 15'!$H$5,LEN(INDEX('Staff Review'!$H$8:$H$507,I2097))&gt;0),"Yes","No"))</x:f>
        <x:v>No</x:v>
      </x:c>
      <x:c r="AJ2097" s="1" t="str">
        <x:f>IF(I2097=0,"No",IF(COUNT(INDEX('Staff Review'!$F$8:$F$507,I2097))&lt;&gt;1,"No",IF(AND(INDEX('Staff Review'!$F$8:$F$507,I2097)&gt;=0,MOD(INDEX('Staff Review'!$F$8:$F$507,I2097),1)=0,COUNT(INDEX('Staff Review'!$G$8:$G$507,I2097))=1,INDEX('Staff Review'!$G$8:$G$507,I2097)&gt;0,INDEX('Staff Review'!$G$8:$G$507,I2097)&lt;='Top 15'!$E$5,'Top 15'!$E$5-INDEX('Staff Review'!$G$8:$G$507,I2097)&lt;='Top 15'!$H$5,LEN(INDEX('Staff Review'!$H$8:$H$507,I2097))&gt;0),"Yes","No")))</x:f>
        <x:v>No</x:v>
      </x:c>
      <x:c r="AK2097" s="1" t="n">
        <x:f>IF(A2097="",0,COUNTIFS($A$2:$A$501,A2097))</x:f>
        <x:v>1</x:v>
      </x:c>
      <x:c r="AL2097" s="1" t="n">
        <x:f>IF(V2097="Candidate",1,0)</x:f>
        <x:v>1</x:v>
      </x:c>
      <x:c r="AM2097" s="1" t="n">
        <x:f>IF(A2097="",0,VALUE(A2097))</x:f>
        <x:v>2450</x:v>
      </x:c>
      <x:c r="AN2097" s="1" t="n">
        <x:f>IF(OR(A2097="",COUNTIFS($T$41:$T$540,A2097)&lt;&gt;1),0,MATCH(A2097,$T$41:$T$540,0))</x:f>
        <x:v>47</x:v>
      </x:c>
      <x:c r="AO2097" t="n">
        <x:f>IF(ISNUMBER(W2097),W2097,10000+AM2097)</x:f>
        <x:v>267</x:v>
      </x:c>
    </x:row>
    <x:row r="2098" ht="22" customHeight="1">
      <x:c r="A2098" s="1" t="str">
        <x:f>IF(A49="","",A49)</x:f>
        <x:v>2470</x:v>
      </x:c>
      <x:c r="B2098" s="1" t="str">
        <x:f>IF(A2098="","",B49)</x:f>
        <x:v>Albert M. Greenfield School</x:v>
      </x:c>
      <x:c r="C2098" s="1" t="str">
        <x:f>IF(A2098="","",C49)</x:f>
        <x:v>District</x:v>
      </x:c>
      <x:c r="D2098" s="1" t="str">
        <x:f>IF(A2098="","",E49)</x:f>
        <x:v>Elementary-Middle</x:v>
      </x:c>
      <x:c r="E2098" s="1" t="str">
        <x:f>IF(A2098="","",H49)</x:f>
        <x:v>19103</x:v>
      </x:c>
      <x:c r="F2098" s="1" t="n">
        <x:f>IF(ISNUMBER(K49),K49,"")</x:f>
        <x:v>757</x:v>
      </x:c>
      <x:c r="G2098" s="1" t="n">
        <x:f>IF(ISNUMBER(L49),L49,"")</x:f>
        <x:v>0.1576</x:v>
      </x:c>
      <x:c r="H2098" s="1" t="str">
        <x:f>IF(A2098="","",IF(AND(UPPER(G49)="PHILADELPHIA",OR(C2098="District",AND(C2098="Charter",D49="Yes"))),"Yes","No"))</x:f>
        <x:v>Yes</x:v>
      </x:c>
      <x:c r="I2098" s="1" t="n">
        <x:f>IF(OR(A2098="",COUNTIFS('Staff Review'!$A$8:$A$507,A2098)&lt;&gt;1),0,MATCH(A2098,'Staff Review'!$A$8:$A$507,0))</x:f>
        <x:v>11</x:v>
      </x:c>
      <x:c r="J2098" s="1" t="str">
        <x:f>IF(I2098=0,"No",IF(INDEX('Staff Review'!$C$8:$C$507,I2098)="Yes","Yes","No"))</x:f>
        <x:v>No</x:v>
      </x:c>
      <x:c r="K2098" s="1" t="n">
        <x:f>IF(AI2098="Yes",INDEX('Staff Review'!$D$8:$D$507,I2098),IF(AB2098=0,"",IF(COUNT(INDEX($C$1531:$C$2030,AB2098))=1,INDEX($C$1531:$C$2030,AB2098),"")))</x:f>
        <x:v>0.1338496128922521</x:v>
      </x:c>
      <x:c r="L2098" s="1" t="n">
        <x:f>IF(AJ2098="Yes",INDEX('Staff Review'!$F$8:$F$507,I2098),IF(AB2098=0,"",IF(COUNT(INDEX($G$1531:$G$2030,AB2098))=1,INDEX($G$1531:$G$2030,AB2098),"")))</x:f>
        <x:v>5</x:v>
      </x:c>
      <x:c r="M2098" s="1" t="str">
        <x:f>IF(A2098="","",IF(AI2098="Yes","Verified","Listed"))</x:f>
        <x:v>Listed</x:v>
      </x:c>
      <x:c r="N2098" s="1" t="str">
        <x:f>IF(A2098="","",IF(AJ2098="Yes","Verified","Listed"))</x:f>
        <x:v>Listed</x:v>
      </x:c>
      <x:c r="O2098" s="1" t="n">
        <x:f>IF(AND(ISNUMBER(G2098),G2098&gt;=0,G2098&lt;=1),IF(G2098&gt;=0.9,30,IF(G2098&gt;=0.8,25,IF(G2098&gt;=0.7,20,IF(G2098&gt;=0.6,15,IF(G2098&gt;=0.5,10,IF(G2098&gt;=0.4,5,0)))))),"")</x:f>
        <x:v>0</x:v>
      </x:c>
      <x:c r="P2098" s="1" t="n">
        <x:f>IF(ISNUMBER(K2098),IF(K2098&lt;0,"",IF(K2098&gt;1,25,IF(K2098&gt;=0.75,20,IF(K2098&gt;=0.5,15,IF(K2098&gt;=0.25,10,5))))),"")</x:f>
        <x:v>5</x:v>
      </x:c>
      <x:c r="Q2098" s="1" t="n">
        <x:f>IF(NOT(ISNUMBER(L2098)),"",IF(AND(L2098&gt;=0,MOD(L2098,1)=0),MAX(0,25-5*L2098),""))</x:f>
        <x:v>0</x:v>
      </x:c>
      <x:c r="R2098" s="1" t="n">
        <x:f>IF(NOT(ISNUMBER(F2098)),"",IF(AND(F2098&gt;0,MOD(F2098,1)=0),IF(F2098&gt;=700,5,IF(F2098&gt;=500,4,IF(F2098&gt;=350,3,IF(F2098&gt;=200,2,1)))),""))</x:f>
        <x:v>5</x:v>
      </x:c>
      <x:c r="S2098" s="1" t="n">
        <x:f>IF(COUNT(O2098:R2098)=4,SUM(O2098:R2098),"")</x:f>
        <x:v>10</x:v>
      </x:c>
      <x:c r="T2098" s="1" t="n">
        <x:f>IF(OR(COUNT(O2098:R2098)&lt;&gt;4,COUNT('Top 15'!$B$35:$E$35)&lt;&gt;4,MIN('Top 15'!$B$35:$E$35)&lt;0,SUM('Top 15'!$B$35:$E$35)&lt;=0),"",ROUND(85*(O2098/30*'Top 15'!$B$35+P2098/25*'Top 15'!$C$35+Q2098/25*'Top 15'!$D$35+R2098/5*'Top 15'!$E$35)/SUM('Top 15'!$B$35:$E$35),6))</x:f>
        <x:v>10</x:v>
      </x:c>
      <x:c r="U2098" s="1" t="str">
        <x:f>IF(A2098="","",IF(AND(M2098="Verified",N2098="Verified"),"Verified",IF(AND(M2098="Listed",N2098="Listed"),"Listed","Mixed")))</x:f>
        <x:v>Listed</x:v>
      </x:c>
      <x:c r="V2098" s="1" t="str">
        <x:f>IF(A2098="","",IF(AK2098&lt;&gt;1,"Duplicate source ID",IF(COUNTIFS('Staff Review'!$A$8:$A$507,A2098)&gt;1,"Duplicate review ID",IF(H2098&lt;&gt;"Yes","Outside scope",IF(J2098="Yes","Already served",IF(NOT(ISNUMBER(T2098)),"Missing data","Candidate"))))))</x:f>
        <x:v>Candidate</x:v>
      </x:c>
      <x:c r="W2098" s="1" t="n">
        <x:f>IF(AL2098=0,"",1+COUNTIFS($AL$2051:$AL$2550,1,$T$2051:$T$2550,"&gt;"&amp;T2098)+COUNTIFS($AL$2051:$AL$2550,1,$T$2051:$T$2550,T2098,$G$2051:$G$2550,"&gt;"&amp;G2098)+COUNTIFS($AL$2051:$AL$2550,1,$T$2051:$T$2550,T2098,$G$2051:$G$2550,G2098,$F$2051:$F$2550,"&gt;"&amp;F2098)+COUNTIFS($AL$2051:$AL$2550,1,$T$2051:$T$2550,T2098,$G$2051:$G$2550,G2098,$F$2051:$F$2550,F2098,$AM$2051:$AM$2550,"&lt;"&amp;AM2098))</x:f>
        <x:v>291</x:v>
      </x:c>
      <x:c r="X2098" s="1" t="n">
        <x:f>IF(AL2098=0,"",1+COUNTIFS($AL$2051:$AL$2550,1,$T$2051:$T$2550,"&gt;"&amp;T2098))</x:f>
        <x:v>290</x:v>
      </x:c>
      <x:c r="Y2098" s="1" t="n">
        <x:f>IF(AND(H2098="Yes",OR(LEN('School Search'!$B$5)=0,ISNUMBER(SEARCH('School Search'!$B$5,B2098&amp;" "&amp;E2098&amp;" "&amp;A2098))),OR('School Search'!$D$5="All",C2098='School Search'!$D$5),OR('School Search'!$G$5="All eligible",AND('School Search'!$G$5="Not marked served",J2098&lt;&gt;"Yes"),AND('School Search'!$G$5="Missing data",V2098="Missing data"),AND('School Search'!$G$5="Marked served",J2098="Yes"))),1,0)</x:f>
        <x:v>1</x:v>
      </x:c>
      <x:c r="Z2098" s="1" t="n">
        <x:f>IF(Y2098=0,"",COUNTIFS($Y$2051:$Y$2550,1,$AO$2051:$AO$2550,"&lt;"&amp;AO2098)+COUNTIFS($Y$2051:Y2098,1,$AO$2051:AO2098,AO2098))</x:f>
        <x:v>291</x:v>
      </x:c>
      <x:c r="AA2098" s="1" t="str">
        <x:f>IF(NOT(ISNUMBER(S2098)),"Missing demographic or access input",TEXT(G2098,"0%")&amp;" economic need; "&amp;TEXT(K2098,"0.00")&amp;" mi fresh access; "&amp;L2098&amp;" nearby resources")</x:f>
        <x:v>16% economic need; 0.13 mi fresh access; 5 nearby resources</x:v>
      </x:c>
      <x:c r="AB2098" s="1" t="n">
        <x:f>IF(OR(A2098="",COUNTIFS($A$1531:$A$2030,A2098)&lt;&gt;1),0,MATCH(A2098,$A$1531:$A$2030,0))</x:f>
        <x:v>48</x:v>
      </x:c>
      <x:c r="AC2098" s="1" t="str">
        <x:f>IF(AB2098=0,"",INDEX($E$1531:$E$2030,AB2098))</x:f>
        <x:v>Trader Joe's 634</x:v>
      </x:c>
      <x:c r="AD2098" s="1" t="str">
        <x:f>IF(AB2098=0,"",INDEX($F$1531:$F$2030,AB2098))</x:f>
        <x:v>2121 Market St, Philadelphia, PA, 19103</x:v>
      </x:c>
      <x:c r="AE2098" s="1" t="str">
        <x:f>IF(A2098="","",F49)</x:f>
        <x:v>2200 CHESTNUT ST</x:v>
      </x:c>
      <x:c r="AF2098" s="1" t="n">
        <x:f>IF(ISNUMBER(I49),I49,"")</x:f>
        <x:v>39.95227234</x:v>
      </x:c>
      <x:c r="AG2098" s="1" t="n">
        <x:f>IF(ISNUMBER(J49),J49,"")</x:f>
        <x:v>-75.17739206</x:v>
      </x:c>
      <x:c r="AH2098" s="1" t="str">
        <x:f>IF(I2098=0,"Not contacted",IF(INDEX('Staff Review'!$J$8:$J$507,I2098)="","Not contacted",INDEX('Staff Review'!$J$8:$J$507,I2098)))</x:f>
        <x:v>Not contacted</x:v>
      </x:c>
      <x:c r="AI2098" s="1" t="str">
        <x:f>IF(I2098=0,"No",IF(AND(COUNT(INDEX('Staff Review'!$D$8:$D$507,I2098))=1,INDEX('Staff Review'!$D$8:$D$507,I2098)&gt;=0,COUNT(INDEX('Staff Review'!$E$8:$E$507,I2098))=1,INDEX('Staff Review'!$E$8:$E$507,I2098)&gt;0,INDEX('Staff Review'!$E$8:$E$507,I2098)&lt;='Top 15'!$E$5,'Top 15'!$E$5-INDEX('Staff Review'!$E$8:$E$507,I2098)&lt;='Top 15'!$H$5,LEN(INDEX('Staff Review'!$H$8:$H$507,I2098))&gt;0),"Yes","No"))</x:f>
        <x:v>No</x:v>
      </x:c>
      <x:c r="AJ2098" s="1" t="str">
        <x:f>IF(I2098=0,"No",IF(COUNT(INDEX('Staff Review'!$F$8:$F$507,I2098))&lt;&gt;1,"No",IF(AND(INDEX('Staff Review'!$F$8:$F$507,I2098)&gt;=0,MOD(INDEX('Staff Review'!$F$8:$F$507,I2098),1)=0,COUNT(INDEX('Staff Review'!$G$8:$G$507,I2098))=1,INDEX('Staff Review'!$G$8:$G$507,I2098)&gt;0,INDEX('Staff Review'!$G$8:$G$507,I2098)&lt;='Top 15'!$E$5,'Top 15'!$E$5-INDEX('Staff Review'!$G$8:$G$507,I2098)&lt;='Top 15'!$H$5,LEN(INDEX('Staff Review'!$H$8:$H$507,I2098))&gt;0),"Yes","No")))</x:f>
        <x:v>No</x:v>
      </x:c>
      <x:c r="AK2098" s="1" t="n">
        <x:f>IF(A2098="",0,COUNTIFS($A$2:$A$501,A2098))</x:f>
        <x:v>1</x:v>
      </x:c>
      <x:c r="AL2098" s="1" t="n">
        <x:f>IF(V2098="Candidate",1,0)</x:f>
        <x:v>1</x:v>
      </x:c>
      <x:c r="AM2098" s="1" t="n">
        <x:f>IF(A2098="",0,VALUE(A2098))</x:f>
        <x:v>2470</x:v>
      </x:c>
      <x:c r="AN2098" s="1" t="n">
        <x:f>IF(OR(A2098="",COUNTIFS($T$41:$T$540,A2098)&lt;&gt;1),0,MATCH(A2098,$T$41:$T$540,0))</x:f>
        <x:v>48</x:v>
      </x:c>
      <x:c r="AO2098" t="n">
        <x:f>IF(ISNUMBER(W2098),W2098,10000+AM2098)</x:f>
        <x:v>291</x:v>
      </x:c>
    </x:row>
    <x:row r="2099" ht="22" customHeight="1">
      <x:c r="A2099" s="1" t="str">
        <x:f>IF(A50="","",A50)</x:f>
        <x:v>2480</x:v>
      </x:c>
      <x:c r="B2099" s="1" t="str">
        <x:f>IF(A2099="","",B50)</x:f>
        <x:v>Marian Anderson Neighborhood Academy</x:v>
      </x:c>
      <x:c r="C2099" s="1" t="str">
        <x:f>IF(A2099="","",C50)</x:f>
        <x:v>District</x:v>
      </x:c>
      <x:c r="D2099" s="1" t="str">
        <x:f>IF(A2099="","",E50)</x:f>
        <x:v>Elementary-Middle</x:v>
      </x:c>
      <x:c r="E2099" s="1" t="str">
        <x:f>IF(A2099="","",H50)</x:f>
        <x:v>19146</x:v>
      </x:c>
      <x:c r="F2099" s="1" t="n">
        <x:f>IF(ISNUMBER(K50),K50,"")</x:f>
        <x:v>348</x:v>
      </x:c>
      <x:c r="G2099" s="1" t="n">
        <x:f>IF(ISNUMBER(L50),L50,"")</x:f>
        <x:v>0.4109</x:v>
      </x:c>
      <x:c r="H2099" s="1" t="str">
        <x:f>IF(A2099="","",IF(AND(UPPER(G50)="PHILADELPHIA",OR(C2099="District",AND(C2099="Charter",D50="Yes"))),"Yes","No"))</x:f>
        <x:v>Yes</x:v>
      </x:c>
      <x:c r="I2099" s="1" t="n">
        <x:f>IF(OR(A2099="",COUNTIFS('Staff Review'!$A$8:$A$507,A2099)&lt;&gt;1),0,MATCH(A2099,'Staff Review'!$A$8:$A$507,0))</x:f>
        <x:v>173</x:v>
      </x:c>
      <x:c r="J2099" s="1" t="str">
        <x:f>IF(I2099=0,"No",IF(INDEX('Staff Review'!$C$8:$C$507,I2099)="Yes","Yes","No"))</x:f>
        <x:v>No</x:v>
      </x:c>
      <x:c r="K2099" s="1" t="n">
        <x:f>IF(AI2099="Yes",INDEX('Staff Review'!$D$8:$D$507,I2099),IF(AB2099=0,"",IF(COUNT(INDEX($C$1531:$C$2030,AB2099))=1,INDEX($C$1531:$C$2030,AB2099),"")))</x:f>
        <x:v>0.22881499019783172</x:v>
      </x:c>
      <x:c r="L2099" s="1" t="n">
        <x:f>IF(AJ2099="Yes",INDEX('Staff Review'!$F$8:$F$507,I2099),IF(AB2099=0,"",IF(COUNT(INDEX($G$1531:$G$2030,AB2099))=1,INDEX($G$1531:$G$2030,AB2099),"")))</x:f>
        <x:v>16</x:v>
      </x:c>
      <x:c r="M2099" s="1" t="str">
        <x:f>IF(A2099="","",IF(AI2099="Yes","Verified","Listed"))</x:f>
        <x:v>Listed</x:v>
      </x:c>
      <x:c r="N2099" s="1" t="str">
        <x:f>IF(A2099="","",IF(AJ2099="Yes","Verified","Listed"))</x:f>
        <x:v>Listed</x:v>
      </x:c>
      <x:c r="O2099" s="1" t="n">
        <x:f>IF(AND(ISNUMBER(G2099),G2099&gt;=0,G2099&lt;=1),IF(G2099&gt;=0.9,30,IF(G2099&gt;=0.8,25,IF(G2099&gt;=0.7,20,IF(G2099&gt;=0.6,15,IF(G2099&gt;=0.5,10,IF(G2099&gt;=0.4,5,0)))))),"")</x:f>
        <x:v>5</x:v>
      </x:c>
      <x:c r="P2099" s="1" t="n">
        <x:f>IF(ISNUMBER(K2099),IF(K2099&lt;0,"",IF(K2099&gt;1,25,IF(K2099&gt;=0.75,20,IF(K2099&gt;=0.5,15,IF(K2099&gt;=0.25,10,5))))),"")</x:f>
        <x:v>5</x:v>
      </x:c>
      <x:c r="Q2099" s="1" t="n">
        <x:f>IF(NOT(ISNUMBER(L2099)),"",IF(AND(L2099&gt;=0,MOD(L2099,1)=0),MAX(0,25-5*L2099),""))</x:f>
        <x:v>0</x:v>
      </x:c>
      <x:c r="R2099" s="1" t="n">
        <x:f>IF(NOT(ISNUMBER(F2099)),"",IF(AND(F2099&gt;0,MOD(F2099,1)=0),IF(F2099&gt;=700,5,IF(F2099&gt;=500,4,IF(F2099&gt;=350,3,IF(F2099&gt;=200,2,1)))),""))</x:f>
        <x:v>2</x:v>
      </x:c>
      <x:c r="S2099" s="1" t="n">
        <x:f>IF(COUNT(O2099:R2099)=4,SUM(O2099:R2099),"")</x:f>
        <x:v>12</x:v>
      </x:c>
      <x:c r="T2099" s="1" t="n">
        <x:f>IF(OR(COUNT(O2099:R2099)&lt;&gt;4,COUNT('Top 15'!$B$35:$E$35)&lt;&gt;4,MIN('Top 15'!$B$35:$E$35)&lt;0,SUM('Top 15'!$B$35:$E$35)&lt;=0),"",ROUND(85*(O2099/30*'Top 15'!$B$35+P2099/25*'Top 15'!$C$35+Q2099/25*'Top 15'!$D$35+R2099/5*'Top 15'!$E$35)/SUM('Top 15'!$B$35:$E$35),6))</x:f>
        <x:v>12</x:v>
      </x:c>
      <x:c r="U2099" s="1" t="str">
        <x:f>IF(A2099="","",IF(AND(M2099="Verified",N2099="Verified"),"Verified",IF(AND(M2099="Listed",N2099="Listed"),"Listed","Mixed")))</x:f>
        <x:v>Listed</x:v>
      </x:c>
      <x:c r="V2099" s="1" t="str">
        <x:f>IF(A2099="","",IF(AK2099&lt;&gt;1,"Duplicate source ID",IF(COUNTIFS('Staff Review'!$A$8:$A$507,A2099)&gt;1,"Duplicate review ID",IF(H2099&lt;&gt;"Yes","Outside scope",IF(J2099="Yes","Already served",IF(NOT(ISNUMBER(T2099)),"Missing data","Candidate"))))))</x:f>
        <x:v>Candidate</x:v>
      </x:c>
      <x:c r="W2099" s="1" t="n">
        <x:f>IF(AL2099=0,"",1+COUNTIFS($AL$2051:$AL$2550,1,$T$2051:$T$2550,"&gt;"&amp;T2099)+COUNTIFS($AL$2051:$AL$2550,1,$T$2051:$T$2550,T2099,$G$2051:$G$2550,"&gt;"&amp;G2099)+COUNTIFS($AL$2051:$AL$2550,1,$T$2051:$T$2550,T2099,$G$2051:$G$2550,G2099,$F$2051:$F$2550,"&gt;"&amp;F2099)+COUNTIFS($AL$2051:$AL$2550,1,$T$2051:$T$2550,T2099,$G$2051:$G$2550,G2099,$F$2051:$F$2550,F2099,$AM$2051:$AM$2550,"&lt;"&amp;AM2099))</x:f>
        <x:v>289</x:v>
      </x:c>
      <x:c r="X2099" s="1" t="n">
        <x:f>IF(AL2099=0,"",1+COUNTIFS($AL$2051:$AL$2550,1,$T$2051:$T$2550,"&gt;"&amp;T2099))</x:f>
        <x:v>288</x:v>
      </x:c>
      <x:c r="Y2099" s="1" t="n">
        <x:f>IF(AND(H2099="Yes",OR(LEN('School Search'!$B$5)=0,ISNUMBER(SEARCH('School Search'!$B$5,B2099&amp;" "&amp;E2099&amp;" "&amp;A2099))),OR('School Search'!$D$5="All",C2099='School Search'!$D$5),OR('School Search'!$G$5="All eligible",AND('School Search'!$G$5="Not marked served",J2099&lt;&gt;"Yes"),AND('School Search'!$G$5="Missing data",V2099="Missing data"),AND('School Search'!$G$5="Marked served",J2099="Yes"))),1,0)</x:f>
        <x:v>1</x:v>
      </x:c>
      <x:c r="Z2099" s="1" t="n">
        <x:f>IF(Y2099=0,"",COUNTIFS($Y$2051:$Y$2550,1,$AO$2051:$AO$2550,"&lt;"&amp;AO2099)+COUNTIFS($Y$2051:Y2099,1,$AO$2051:AO2099,AO2099))</x:f>
        <x:v>289</x:v>
      </x:c>
      <x:c r="AA2099" s="1" t="str">
        <x:f>IF(NOT(ISNUMBER(S2099)),"Missing demographic or access input",TEXT(G2099,"0%")&amp;" economic need; "&amp;TEXT(K2099,"0.00")&amp;" mi fresh access; "&amp;L2099&amp;" nearby resources")</x:f>
        <x:v>41% economic need; 0.23 mi fresh access; 16 nearby resources</x:v>
      </x:c>
      <x:c r="AB2099" s="1" t="n">
        <x:f>IF(OR(A2099="",COUNTIFS($A$1531:$A$2030,A2099)&lt;&gt;1),0,MATCH(A2099,$A$1531:$A$2030,0))</x:f>
        <x:v>49</x:v>
      </x:c>
      <x:c r="AC2099" s="1" t="str">
        <x:f>IF(AB2099=0,"",INDEX($E$1531:$E$2030,AB2099))</x:f>
        <x:v>ALDI 60161</x:v>
      </x:c>
      <x:c r="AD2099" s="1" t="str">
        <x:f>IF(AB2099=0,"",INDEX($F$1531:$F$2030,AB2099))</x:f>
        <x:v>2101 Washington Ave, Philadelphia, PA, 19146</x:v>
      </x:c>
      <x:c r="AE2099" s="1" t="str">
        <x:f>IF(A2099="","",F50)</x:f>
        <x:v>2000 CATHARINE ST</x:v>
      </x:c>
      <x:c r="AF2099" s="1" t="n">
        <x:f>IF(ISNUMBER(I50),I50,"")</x:f>
        <x:v>39.94190083</x:v>
      </x:c>
      <x:c r="AG2099" s="1" t="n">
        <x:f>IF(ISNUMBER(J50),J50,"")</x:f>
        <x:v>-75.17569882</x:v>
      </x:c>
      <x:c r="AH2099" s="1" t="str">
        <x:f>IF(I2099=0,"Not contacted",IF(INDEX('Staff Review'!$J$8:$J$507,I2099)="","Not contacted",INDEX('Staff Review'!$J$8:$J$507,I2099)))</x:f>
        <x:v>Not contacted</x:v>
      </x:c>
      <x:c r="AI2099" s="1" t="str">
        <x:f>IF(I2099=0,"No",IF(AND(COUNT(INDEX('Staff Review'!$D$8:$D$507,I2099))=1,INDEX('Staff Review'!$D$8:$D$507,I2099)&gt;=0,COUNT(INDEX('Staff Review'!$E$8:$E$507,I2099))=1,INDEX('Staff Review'!$E$8:$E$507,I2099)&gt;0,INDEX('Staff Review'!$E$8:$E$507,I2099)&lt;='Top 15'!$E$5,'Top 15'!$E$5-INDEX('Staff Review'!$E$8:$E$507,I2099)&lt;='Top 15'!$H$5,LEN(INDEX('Staff Review'!$H$8:$H$507,I2099))&gt;0),"Yes","No"))</x:f>
        <x:v>No</x:v>
      </x:c>
      <x:c r="AJ2099" s="1" t="str">
        <x:f>IF(I2099=0,"No",IF(COUNT(INDEX('Staff Review'!$F$8:$F$507,I2099))&lt;&gt;1,"No",IF(AND(INDEX('Staff Review'!$F$8:$F$507,I2099)&gt;=0,MOD(INDEX('Staff Review'!$F$8:$F$507,I2099),1)=0,COUNT(INDEX('Staff Review'!$G$8:$G$507,I2099))=1,INDEX('Staff Review'!$G$8:$G$507,I2099)&gt;0,INDEX('Staff Review'!$G$8:$G$507,I2099)&lt;='Top 15'!$E$5,'Top 15'!$E$5-INDEX('Staff Review'!$G$8:$G$507,I2099)&lt;='Top 15'!$H$5,LEN(INDEX('Staff Review'!$H$8:$H$507,I2099))&gt;0),"Yes","No")))</x:f>
        <x:v>No</x:v>
      </x:c>
      <x:c r="AK2099" s="1" t="n">
        <x:f>IF(A2099="",0,COUNTIFS($A$2:$A$501,A2099))</x:f>
        <x:v>1</x:v>
      </x:c>
      <x:c r="AL2099" s="1" t="n">
        <x:f>IF(V2099="Candidate",1,0)</x:f>
        <x:v>1</x:v>
      </x:c>
      <x:c r="AM2099" s="1" t="n">
        <x:f>IF(A2099="",0,VALUE(A2099))</x:f>
        <x:v>2480</x:v>
      </x:c>
      <x:c r="AN2099" s="1" t="n">
        <x:f>IF(OR(A2099="",COUNTIFS($T$41:$T$540,A2099)&lt;&gt;1),0,MATCH(A2099,$T$41:$T$540,0))</x:f>
        <x:v>49</x:v>
      </x:c>
      <x:c r="AO2099" t="n">
        <x:f>IF(ISNUMBER(W2099),W2099,10000+AM2099)</x:f>
        <x:v>289</x:v>
      </x:c>
    </x:row>
    <x:row r="2100" ht="22" customHeight="1">
      <x:c r="A2100" s="1" t="str">
        <x:f>IF(A51="","",A51)</x:f>
        <x:v>2490</x:v>
      </x:c>
      <x:c r="B2100" s="1" t="str">
        <x:f>IF(A2100="","",B51)</x:f>
        <x:v>Laura W. Waring School</x:v>
      </x:c>
      <x:c r="C2100" s="1" t="str">
        <x:f>IF(A2100="","",C51)</x:f>
        <x:v>District</x:v>
      </x:c>
      <x:c r="D2100" s="1" t="str">
        <x:f>IF(A2100="","",E51)</x:f>
        <x:v>Elementary-Middle</x:v>
      </x:c>
      <x:c r="E2100" s="1" t="str">
        <x:f>IF(A2100="","",H51)</x:f>
        <x:v>19130</x:v>
      </x:c>
      <x:c r="F2100" s="1" t="n">
        <x:f>IF(ISNUMBER(K51),K51,"")</x:f>
        <x:v>170</x:v>
      </x:c>
      <x:c r="G2100" s="1" t="n">
        <x:f>IF(ISNUMBER(L51),L51,"")</x:f>
        <x:v>0.7916</x:v>
      </x:c>
      <x:c r="H2100" s="1" t="str">
        <x:f>IF(A2100="","",IF(AND(UPPER(G51)="PHILADELPHIA",OR(C2100="District",AND(C2100="Charter",D51="Yes"))),"Yes","No"))</x:f>
        <x:v>Yes</x:v>
      </x:c>
      <x:c r="I2100" s="1" t="n">
        <x:f>IF(OR(A2100="",COUNTIFS('Staff Review'!$A$8:$A$507,A2100)&lt;&gt;1),0,MATCH(A2100,'Staff Review'!$A$8:$A$507,0))</x:f>
        <x:v>169</x:v>
      </x:c>
      <x:c r="J2100" s="1" t="str">
        <x:f>IF(I2100=0,"No",IF(INDEX('Staff Review'!$C$8:$C$507,I2100)="Yes","Yes","No"))</x:f>
        <x:v>No</x:v>
      </x:c>
      <x:c r="K2100" s="1" t="n">
        <x:f>IF(AI2100="Yes",INDEX('Staff Review'!$D$8:$D$507,I2100),IF(AB2100=0,"",IF(COUNT(INDEX($C$1531:$C$2030,AB2100))=1,INDEX($C$1531:$C$2030,AB2100),"")))</x:f>
        <x:v>0.31974289027423447</x:v>
      </x:c>
      <x:c r="L2100" s="1" t="n">
        <x:f>IF(AJ2100="Yes",INDEX('Staff Review'!$F$8:$F$507,I2100),IF(AB2100=0,"",IF(COUNT(INDEX($G$1531:$G$2030,AB2100))=1,INDEX($G$1531:$G$2030,AB2100),"")))</x:f>
        <x:v>9</x:v>
      </x:c>
      <x:c r="M2100" s="1" t="str">
        <x:f>IF(A2100="","",IF(AI2100="Yes","Verified","Listed"))</x:f>
        <x:v>Listed</x:v>
      </x:c>
      <x:c r="N2100" s="1" t="str">
        <x:f>IF(A2100="","",IF(AJ2100="Yes","Verified","Listed"))</x:f>
        <x:v>Listed</x:v>
      </x:c>
      <x:c r="O2100" s="1" t="n">
        <x:f>IF(AND(ISNUMBER(G2100),G2100&gt;=0,G2100&lt;=1),IF(G2100&gt;=0.9,30,IF(G2100&gt;=0.8,25,IF(G2100&gt;=0.7,20,IF(G2100&gt;=0.6,15,IF(G2100&gt;=0.5,10,IF(G2100&gt;=0.4,5,0)))))),"")</x:f>
        <x:v>20</x:v>
      </x:c>
      <x:c r="P2100" s="1" t="n">
        <x:f>IF(ISNUMBER(K2100),IF(K2100&lt;0,"",IF(K2100&gt;1,25,IF(K2100&gt;=0.75,20,IF(K2100&gt;=0.5,15,IF(K2100&gt;=0.25,10,5))))),"")</x:f>
        <x:v>10</x:v>
      </x:c>
      <x:c r="Q2100" s="1" t="n">
        <x:f>IF(NOT(ISNUMBER(L2100)),"",IF(AND(L2100&gt;=0,MOD(L2100,1)=0),MAX(0,25-5*L2100),""))</x:f>
        <x:v>0</x:v>
      </x:c>
      <x:c r="R2100" s="1" t="n">
        <x:f>IF(NOT(ISNUMBER(F2100)),"",IF(AND(F2100&gt;0,MOD(F2100,1)=0),IF(F2100&gt;=700,5,IF(F2100&gt;=500,4,IF(F2100&gt;=350,3,IF(F2100&gt;=200,2,1)))),""))</x:f>
        <x:v>1</x:v>
      </x:c>
      <x:c r="S2100" s="1" t="n">
        <x:f>IF(COUNT(O2100:R2100)=4,SUM(O2100:R2100),"")</x:f>
        <x:v>31</x:v>
      </x:c>
      <x:c r="T2100" s="1" t="n">
        <x:f>IF(OR(COUNT(O2100:R2100)&lt;&gt;4,COUNT('Top 15'!$B$35:$E$35)&lt;&gt;4,MIN('Top 15'!$B$35:$E$35)&lt;0,SUM('Top 15'!$B$35:$E$35)&lt;=0),"",ROUND(85*(O2100/30*'Top 15'!$B$35+P2100/25*'Top 15'!$C$35+Q2100/25*'Top 15'!$D$35+R2100/5*'Top 15'!$E$35)/SUM('Top 15'!$B$35:$E$35),6))</x:f>
        <x:v>31</x:v>
      </x:c>
      <x:c r="U2100" s="1" t="str">
        <x:f>IF(A2100="","",IF(AND(M2100="Verified",N2100="Verified"),"Verified",IF(AND(M2100="Listed",N2100="Listed"),"Listed","Mixed")))</x:f>
        <x:v>Listed</x:v>
      </x:c>
      <x:c r="V2100" s="1" t="str">
        <x:f>IF(A2100="","",IF(AK2100&lt;&gt;1,"Duplicate source ID",IF(COUNTIFS('Staff Review'!$A$8:$A$507,A2100)&gt;1,"Duplicate review ID",IF(H2100&lt;&gt;"Yes","Outside scope",IF(J2100="Yes","Already served",IF(NOT(ISNUMBER(T2100)),"Missing data","Candidate"))))))</x:f>
        <x:v>Candidate</x:v>
      </x:c>
      <x:c r="W2100" s="1" t="n">
        <x:f>IF(AL2100=0,"",1+COUNTIFS($AL$2051:$AL$2550,1,$T$2051:$T$2550,"&gt;"&amp;T2100)+COUNTIFS($AL$2051:$AL$2550,1,$T$2051:$T$2550,T2100,$G$2051:$G$2550,"&gt;"&amp;G2100)+COUNTIFS($AL$2051:$AL$2550,1,$T$2051:$T$2550,T2100,$G$2051:$G$2550,G2100,$F$2051:$F$2550,"&gt;"&amp;F2100)+COUNTIFS($AL$2051:$AL$2550,1,$T$2051:$T$2550,T2100,$G$2051:$G$2550,G2100,$F$2051:$F$2550,F2100,$AM$2051:$AM$2550,"&lt;"&amp;AM2100))</x:f>
        <x:v>251</x:v>
      </x:c>
      <x:c r="X2100" s="1" t="n">
        <x:f>IF(AL2100=0,"",1+COUNTIFS($AL$2051:$AL$2550,1,$T$2051:$T$2550,"&gt;"&amp;T2100))</x:f>
        <x:v>251</x:v>
      </x:c>
      <x:c r="Y2100" s="1" t="n">
        <x:f>IF(AND(H2100="Yes",OR(LEN('School Search'!$B$5)=0,ISNUMBER(SEARCH('School Search'!$B$5,B2100&amp;" "&amp;E2100&amp;" "&amp;A2100))),OR('School Search'!$D$5="All",C2100='School Search'!$D$5),OR('School Search'!$G$5="All eligible",AND('School Search'!$G$5="Not marked served",J2100&lt;&gt;"Yes"),AND('School Search'!$G$5="Missing data",V2100="Missing data"),AND('School Search'!$G$5="Marked served",J2100="Yes"))),1,0)</x:f>
        <x:v>1</x:v>
      </x:c>
      <x:c r="Z2100" s="1" t="n">
        <x:f>IF(Y2100=0,"",COUNTIFS($Y$2051:$Y$2550,1,$AO$2051:$AO$2550,"&lt;"&amp;AO2100)+COUNTIFS($Y$2051:Y2100,1,$AO$2051:AO2100,AO2100))</x:f>
        <x:v>251</x:v>
      </x:c>
      <x:c r="AA2100" s="1" t="str">
        <x:f>IF(NOT(ISNUMBER(S2100)),"Missing demographic or access input",TEXT(G2100,"0%")&amp;" economic need; "&amp;TEXT(K2100,"0.00")&amp;" mi fresh access; "&amp;L2100&amp;" nearby resources")</x:f>
        <x:v>79% economic need; 0.32 mi fresh access; 9 nearby resources</x:v>
      </x:c>
      <x:c r="AB2100" s="1" t="n">
        <x:f>IF(OR(A2100="",COUNTIFS($A$1531:$A$2030,A2100)&lt;&gt;1),0,MATCH(A2100,$A$1531:$A$2030,0))</x:f>
        <x:v>50</x:v>
      </x:c>
      <x:c r="AC2100" s="1" t="str">
        <x:f>IF(AB2100=0,"",INDEX($E$1531:$E$2030,AB2100))</x:f>
        <x:v>Giant Food Store 6573</x:v>
      </x:c>
      <x:c r="AD2100" s="1" t="str">
        <x:f>IF(AB2100=0,"",INDEX($F$1531:$F$2030,AB2100))</x:f>
        <x:v>510 N Broad St, Philadelphia, PA, 19130</x:v>
      </x:c>
      <x:c r="AE2100" s="1" t="str">
        <x:f>IF(A2100="","",F51)</x:f>
        <x:v>1801 GREEN ST</x:v>
      </x:c>
      <x:c r="AF2100" s="1" t="n">
        <x:f>IF(ISNUMBER(I51),I51,"")</x:f>
        <x:v>39.96491939</x:v>
      </x:c>
      <x:c r="AG2100" s="1" t="n">
        <x:f>IF(ISNUMBER(J51),J51,"")</x:f>
        <x:v>-75.1677006</x:v>
      </x:c>
      <x:c r="AH2100" s="1" t="str">
        <x:f>IF(I2100=0,"Not contacted",IF(INDEX('Staff Review'!$J$8:$J$507,I2100)="","Not contacted",INDEX('Staff Review'!$J$8:$J$507,I2100)))</x:f>
        <x:v>Not contacted</x:v>
      </x:c>
      <x:c r="AI2100" s="1" t="str">
        <x:f>IF(I2100=0,"No",IF(AND(COUNT(INDEX('Staff Review'!$D$8:$D$507,I2100))=1,INDEX('Staff Review'!$D$8:$D$507,I2100)&gt;=0,COUNT(INDEX('Staff Review'!$E$8:$E$507,I2100))=1,INDEX('Staff Review'!$E$8:$E$507,I2100)&gt;0,INDEX('Staff Review'!$E$8:$E$507,I2100)&lt;='Top 15'!$E$5,'Top 15'!$E$5-INDEX('Staff Review'!$E$8:$E$507,I2100)&lt;='Top 15'!$H$5,LEN(INDEX('Staff Review'!$H$8:$H$507,I2100))&gt;0),"Yes","No"))</x:f>
        <x:v>No</x:v>
      </x:c>
      <x:c r="AJ2100" s="1" t="str">
        <x:f>IF(I2100=0,"No",IF(COUNT(INDEX('Staff Review'!$F$8:$F$507,I2100))&lt;&gt;1,"No",IF(AND(INDEX('Staff Review'!$F$8:$F$507,I2100)&gt;=0,MOD(INDEX('Staff Review'!$F$8:$F$507,I2100),1)=0,COUNT(INDEX('Staff Review'!$G$8:$G$507,I2100))=1,INDEX('Staff Review'!$G$8:$G$507,I2100)&gt;0,INDEX('Staff Review'!$G$8:$G$507,I2100)&lt;='Top 15'!$E$5,'Top 15'!$E$5-INDEX('Staff Review'!$G$8:$G$507,I2100)&lt;='Top 15'!$H$5,LEN(INDEX('Staff Review'!$H$8:$H$507,I2100))&gt;0),"Yes","No")))</x:f>
        <x:v>No</x:v>
      </x:c>
      <x:c r="AK2100" s="1" t="n">
        <x:f>IF(A2100="",0,COUNTIFS($A$2:$A$501,A2100))</x:f>
        <x:v>1</x:v>
      </x:c>
      <x:c r="AL2100" s="1" t="n">
        <x:f>IF(V2100="Candidate",1,0)</x:f>
        <x:v>1</x:v>
      </x:c>
      <x:c r="AM2100" s="1" t="n">
        <x:f>IF(A2100="",0,VALUE(A2100))</x:f>
        <x:v>2490</x:v>
      </x:c>
      <x:c r="AN2100" s="1" t="n">
        <x:f>IF(OR(A2100="",COUNTIFS($T$41:$T$540,A2100)&lt;&gt;1),0,MATCH(A2100,$T$41:$T$540,0))</x:f>
        <x:v>50</x:v>
      </x:c>
      <x:c r="AO2100" t="n">
        <x:f>IF(ISNUMBER(W2100),W2100,10000+AM2100)</x:f>
        <x:v>251</x:v>
      </x:c>
    </x:row>
    <x:row r="2101" ht="22" customHeight="1">
      <x:c r="A2101" s="1" t="str">
        <x:f>IF(A52="","",A52)</x:f>
        <x:v>2510</x:v>
      </x:c>
      <x:c r="B2101" s="1" t="str">
        <x:f>IF(A2101="","",B52)</x:f>
        <x:v>Fanny Jackson Coppin School</x:v>
      </x:c>
      <x:c r="C2101" s="1" t="str">
        <x:f>IF(A2101="","",C52)</x:f>
        <x:v>District</x:v>
      </x:c>
      <x:c r="D2101" s="1" t="str">
        <x:f>IF(A2101="","",E52)</x:f>
        <x:v>Elementary-Middle</x:v>
      </x:c>
      <x:c r="E2101" s="1" t="str">
        <x:f>IF(A2101="","",H52)</x:f>
        <x:v>19147</x:v>
      </x:c>
      <x:c r="F2101" s="1" t="n">
        <x:f>IF(ISNUMBER(K52),K52,"")</x:f>
        <x:v>541</x:v>
      </x:c>
      <x:c r="G2101" s="1" t="n">
        <x:f>IF(ISNUMBER(L52),L52,"")</x:f>
        <x:v>0.4564</x:v>
      </x:c>
      <x:c r="H2101" s="1" t="str">
        <x:f>IF(A2101="","",IF(AND(UPPER(G52)="PHILADELPHIA",OR(C2101="District",AND(C2101="Charter",D52="Yes"))),"Yes","No"))</x:f>
        <x:v>Yes</x:v>
      </x:c>
      <x:c r="I2101" s="1" t="n">
        <x:f>IF(OR(A2101="",COUNTIFS('Staff Review'!$A$8:$A$507,A2101)&lt;&gt;1),0,MATCH(A2101,'Staff Review'!$A$8:$A$507,0))</x:f>
        <x:v>72</x:v>
      </x:c>
      <x:c r="J2101" s="1" t="str">
        <x:f>IF(I2101=0,"No",IF(INDEX('Staff Review'!$C$8:$C$507,I2101)="Yes","Yes","No"))</x:f>
        <x:v>No</x:v>
      </x:c>
      <x:c r="K2101" s="1" t="n">
        <x:f>IF(AI2101="Yes",INDEX('Staff Review'!$D$8:$D$507,I2101),IF(AB2101=0,"",IF(COUNT(INDEX($C$1531:$C$2030,AB2101))=1,INDEX($C$1531:$C$2030,AB2101),"")))</x:f>
        <x:v>0.1719375482245509</x:v>
      </x:c>
      <x:c r="L2101" s="1" t="n">
        <x:f>IF(AJ2101="Yes",INDEX('Staff Review'!$F$8:$F$507,I2101),IF(AB2101=0,"",IF(COUNT(INDEX($G$1531:$G$2030,AB2101))=1,INDEX($G$1531:$G$2030,AB2101),"")))</x:f>
        <x:v>11</x:v>
      </x:c>
      <x:c r="M2101" s="1" t="str">
        <x:f>IF(A2101="","",IF(AI2101="Yes","Verified","Listed"))</x:f>
        <x:v>Listed</x:v>
      </x:c>
      <x:c r="N2101" s="1" t="str">
        <x:f>IF(A2101="","",IF(AJ2101="Yes","Verified","Listed"))</x:f>
        <x:v>Listed</x:v>
      </x:c>
      <x:c r="O2101" s="1" t="n">
        <x:f>IF(AND(ISNUMBER(G2101),G2101&gt;=0,G2101&lt;=1),IF(G2101&gt;=0.9,30,IF(G2101&gt;=0.8,25,IF(G2101&gt;=0.7,20,IF(G2101&gt;=0.6,15,IF(G2101&gt;=0.5,10,IF(G2101&gt;=0.4,5,0)))))),"")</x:f>
        <x:v>5</x:v>
      </x:c>
      <x:c r="P2101" s="1" t="n">
        <x:f>IF(ISNUMBER(K2101),IF(K2101&lt;0,"",IF(K2101&gt;1,25,IF(K2101&gt;=0.75,20,IF(K2101&gt;=0.5,15,IF(K2101&gt;=0.25,10,5))))),"")</x:f>
        <x:v>5</x:v>
      </x:c>
      <x:c r="Q2101" s="1" t="n">
        <x:f>IF(NOT(ISNUMBER(L2101)),"",IF(AND(L2101&gt;=0,MOD(L2101,1)=0),MAX(0,25-5*L2101),""))</x:f>
        <x:v>0</x:v>
      </x:c>
      <x:c r="R2101" s="1" t="n">
        <x:f>IF(NOT(ISNUMBER(F2101)),"",IF(AND(F2101&gt;0,MOD(F2101,1)=0),IF(F2101&gt;=700,5,IF(F2101&gt;=500,4,IF(F2101&gt;=350,3,IF(F2101&gt;=200,2,1)))),""))</x:f>
        <x:v>4</x:v>
      </x:c>
      <x:c r="S2101" s="1" t="n">
        <x:f>IF(COUNT(O2101:R2101)=4,SUM(O2101:R2101),"")</x:f>
        <x:v>14</x:v>
      </x:c>
      <x:c r="T2101" s="1" t="n">
        <x:f>IF(OR(COUNT(O2101:R2101)&lt;&gt;4,COUNT('Top 15'!$B$35:$E$35)&lt;&gt;4,MIN('Top 15'!$B$35:$E$35)&lt;0,SUM('Top 15'!$B$35:$E$35)&lt;=0),"",ROUND(85*(O2101/30*'Top 15'!$B$35+P2101/25*'Top 15'!$C$35+Q2101/25*'Top 15'!$D$35+R2101/5*'Top 15'!$E$35)/SUM('Top 15'!$B$35:$E$35),6))</x:f>
        <x:v>14</x:v>
      </x:c>
      <x:c r="U2101" s="1" t="str">
        <x:f>IF(A2101="","",IF(AND(M2101="Verified",N2101="Verified"),"Verified",IF(AND(M2101="Listed",N2101="Listed"),"Listed","Mixed")))</x:f>
        <x:v>Listed</x:v>
      </x:c>
      <x:c r="V2101" s="1" t="str">
        <x:f>IF(A2101="","",IF(AK2101&lt;&gt;1,"Duplicate source ID",IF(COUNTIFS('Staff Review'!$A$8:$A$507,A2101)&gt;1,"Duplicate review ID",IF(H2101&lt;&gt;"Yes","Outside scope",IF(J2101="Yes","Already served",IF(NOT(ISNUMBER(T2101)),"Missing data","Candidate"))))))</x:f>
        <x:v>Candidate</x:v>
      </x:c>
      <x:c r="W2101" s="1" t="n">
        <x:f>IF(AL2101=0,"",1+COUNTIFS($AL$2051:$AL$2550,1,$T$2051:$T$2550,"&gt;"&amp;T2101)+COUNTIFS($AL$2051:$AL$2550,1,$T$2051:$T$2550,T2101,$G$2051:$G$2550,"&gt;"&amp;G2101)+COUNTIFS($AL$2051:$AL$2550,1,$T$2051:$T$2550,T2101,$G$2051:$G$2550,G2101,$F$2051:$F$2550,"&gt;"&amp;F2101)+COUNTIFS($AL$2051:$AL$2550,1,$T$2051:$T$2550,T2101,$G$2051:$G$2550,G2101,$F$2051:$F$2550,F2101,$AM$2051:$AM$2550,"&lt;"&amp;AM2101))</x:f>
        <x:v>285</x:v>
      </x:c>
      <x:c r="X2101" s="1" t="n">
        <x:f>IF(AL2101=0,"",1+COUNTIFS($AL$2051:$AL$2550,1,$T$2051:$T$2550,"&gt;"&amp;T2101))</x:f>
        <x:v>283</x:v>
      </x:c>
      <x:c r="Y2101" s="1" t="n">
        <x:f>IF(AND(H2101="Yes",OR(LEN('School Search'!$B$5)=0,ISNUMBER(SEARCH('School Search'!$B$5,B2101&amp;" "&amp;E2101&amp;" "&amp;A2101))),OR('School Search'!$D$5="All",C2101='School Search'!$D$5),OR('School Search'!$G$5="All eligible",AND('School Search'!$G$5="Not marked served",J2101&lt;&gt;"Yes"),AND('School Search'!$G$5="Missing data",V2101="Missing data"),AND('School Search'!$G$5="Marked served",J2101="Yes"))),1,0)</x:f>
        <x:v>1</x:v>
      </x:c>
      <x:c r="Z2101" s="1" t="n">
        <x:f>IF(Y2101=0,"",COUNTIFS($Y$2051:$Y$2550,1,$AO$2051:$AO$2550,"&lt;"&amp;AO2101)+COUNTIFS($Y$2051:Y2101,1,$AO$2051:AO2101,AO2101))</x:f>
        <x:v>285</x:v>
      </x:c>
      <x:c r="AA2101" s="1" t="str">
        <x:f>IF(NOT(ISNUMBER(S2101)),"Missing demographic or access input",TEXT(G2101,"0%")&amp;" economic need; "&amp;TEXT(K2101,"0.00")&amp;" mi fresh access; "&amp;L2101&amp;" nearby resources")</x:f>
        <x:v>46% economic need; 0.17 mi fresh access; 11 nearby resources</x:v>
      </x:c>
      <x:c r="AB2101" s="1" t="n">
        <x:f>IF(OR(A2101="",COUNTIFS($A$1531:$A$2030,A2101)&lt;&gt;1),0,MATCH(A2101,$A$1531:$A$2030,0))</x:f>
        <x:v>51</x:v>
      </x:c>
      <x:c r="AC2101" s="1" t="str">
        <x:f>IF(AB2101=0,"",INDEX($E$1531:$E$2030,AB2101))</x:f>
        <x:v>ACME 726</x:v>
      </x:c>
      <x:c r="AD2101" s="1" t="str">
        <x:f>IF(AB2101=0,"",INDEX($F$1531:$F$2030,AB2101))</x:f>
        <x:v>1400 E Passyunk Ave, Philadelphia, PA, 19147</x:v>
      </x:c>
      <x:c r="AE2101" s="1" t="str">
        <x:f>IF(A2101="","",F52)</x:f>
        <x:v>1213 S 12TH ST</x:v>
      </x:c>
      <x:c r="AF2101" s="1" t="n">
        <x:f>IF(ISNUMBER(I52),I52,"")</x:f>
        <x:v>39.934623</x:v>
      </x:c>
      <x:c r="AG2101" s="1" t="n">
        <x:f>IF(ISNUMBER(J52),J52,"")</x:f>
        <x:v>-75.163481</x:v>
      </x:c>
      <x:c r="AH2101" s="1" t="str">
        <x:f>IF(I2101=0,"Not contacted",IF(INDEX('Staff Review'!$J$8:$J$507,I2101)="","Not contacted",INDEX('Staff Review'!$J$8:$J$507,I2101)))</x:f>
        <x:v>Not contacted</x:v>
      </x:c>
      <x:c r="AI2101" s="1" t="str">
        <x:f>IF(I2101=0,"No",IF(AND(COUNT(INDEX('Staff Review'!$D$8:$D$507,I2101))=1,INDEX('Staff Review'!$D$8:$D$507,I2101)&gt;=0,COUNT(INDEX('Staff Review'!$E$8:$E$507,I2101))=1,INDEX('Staff Review'!$E$8:$E$507,I2101)&gt;0,INDEX('Staff Review'!$E$8:$E$507,I2101)&lt;='Top 15'!$E$5,'Top 15'!$E$5-INDEX('Staff Review'!$E$8:$E$507,I2101)&lt;='Top 15'!$H$5,LEN(INDEX('Staff Review'!$H$8:$H$507,I2101))&gt;0),"Yes","No"))</x:f>
        <x:v>No</x:v>
      </x:c>
      <x:c r="AJ2101" s="1" t="str">
        <x:f>IF(I2101=0,"No",IF(COUNT(INDEX('Staff Review'!$F$8:$F$507,I2101))&lt;&gt;1,"No",IF(AND(INDEX('Staff Review'!$F$8:$F$507,I2101)&gt;=0,MOD(INDEX('Staff Review'!$F$8:$F$507,I2101),1)=0,COUNT(INDEX('Staff Review'!$G$8:$G$507,I2101))=1,INDEX('Staff Review'!$G$8:$G$507,I2101)&gt;0,INDEX('Staff Review'!$G$8:$G$507,I2101)&lt;='Top 15'!$E$5,'Top 15'!$E$5-INDEX('Staff Review'!$G$8:$G$507,I2101)&lt;='Top 15'!$H$5,LEN(INDEX('Staff Review'!$H$8:$H$507,I2101))&gt;0),"Yes","No")))</x:f>
        <x:v>No</x:v>
      </x:c>
      <x:c r="AK2101" s="1" t="n">
        <x:f>IF(A2101="",0,COUNTIFS($A$2:$A$501,A2101))</x:f>
        <x:v>1</x:v>
      </x:c>
      <x:c r="AL2101" s="1" t="n">
        <x:f>IF(V2101="Candidate",1,0)</x:f>
        <x:v>1</x:v>
      </x:c>
      <x:c r="AM2101" s="1" t="n">
        <x:f>IF(A2101="",0,VALUE(A2101))</x:f>
        <x:v>2510</x:v>
      </x:c>
      <x:c r="AN2101" s="1" t="n">
        <x:f>IF(OR(A2101="",COUNTIFS($T$41:$T$540,A2101)&lt;&gt;1),0,MATCH(A2101,$T$41:$T$540,0))</x:f>
        <x:v>51</x:v>
      </x:c>
      <x:c r="AO2101" t="n">
        <x:f>IF(ISNUMBER(W2101),W2101,10000+AM2101)</x:f>
        <x:v>285</x:v>
      </x:c>
    </x:row>
    <x:row r="2102" ht="22" customHeight="1">
      <x:c r="A2102" s="1" t="str">
        <x:f>IF(A53="","",A53)</x:f>
        <x:v>2520</x:v>
      </x:c>
      <x:c r="B2102" s="1" t="str">
        <x:f>IF(A2102="","",B53)</x:f>
        <x:v>Abram S. Jenks School</x:v>
      </x:c>
      <x:c r="C2102" s="1" t="str">
        <x:f>IF(A2102="","",C53)</x:f>
        <x:v>District</x:v>
      </x:c>
      <x:c r="D2102" s="1" t="str">
        <x:f>IF(A2102="","",E53)</x:f>
        <x:v>Elementary</x:v>
      </x:c>
      <x:c r="E2102" s="1" t="str">
        <x:f>IF(A2102="","",H53)</x:f>
        <x:v>19148</x:v>
      </x:c>
      <x:c r="F2102" s="1" t="n">
        <x:f>IF(ISNUMBER(K53),K53,"")</x:f>
        <x:v>272</x:v>
      </x:c>
      <x:c r="G2102" s="1" t="n">
        <x:f>IF(ISNUMBER(L53),L53,"")</x:f>
        <x:v>0.619</x:v>
      </x:c>
      <x:c r="H2102" s="1" t="str">
        <x:f>IF(A2102="","",IF(AND(UPPER(G53)="PHILADELPHIA",OR(C2102="District",AND(C2102="Charter",D53="Yes"))),"Yes","No"))</x:f>
        <x:v>Yes</x:v>
      </x:c>
      <x:c r="I2102" s="1" t="n">
        <x:f>IF(OR(A2102="",COUNTIFS('Staff Review'!$A$8:$A$507,A2102)&lt;&gt;1),0,MATCH(A2102,'Staff Review'!$A$8:$A$507,0))</x:f>
        <x:v>3</x:v>
      </x:c>
      <x:c r="J2102" s="1" t="str">
        <x:f>IF(I2102=0,"No",IF(INDEX('Staff Review'!$C$8:$C$507,I2102)="Yes","Yes","No"))</x:f>
        <x:v>No</x:v>
      </x:c>
      <x:c r="K2102" s="1" t="n">
        <x:f>IF(AI2102="Yes",INDEX('Staff Review'!$D$8:$D$507,I2102),IF(AB2102=0,"",IF(COUNT(INDEX($C$1531:$C$2030,AB2102))=1,INDEX($C$1531:$C$2030,AB2102),"")))</x:f>
        <x:v>0.3979706880899074</x:v>
      </x:c>
      <x:c r="L2102" s="1" t="n">
        <x:f>IF(AJ2102="Yes",INDEX('Staff Review'!$F$8:$F$507,I2102),IF(AB2102=0,"",IF(COUNT(INDEX($G$1531:$G$2030,AB2102))=1,INDEX($G$1531:$G$2030,AB2102),"")))</x:f>
        <x:v>6</x:v>
      </x:c>
      <x:c r="M2102" s="1" t="str">
        <x:f>IF(A2102="","",IF(AI2102="Yes","Verified","Listed"))</x:f>
        <x:v>Listed</x:v>
      </x:c>
      <x:c r="N2102" s="1" t="str">
        <x:f>IF(A2102="","",IF(AJ2102="Yes","Verified","Listed"))</x:f>
        <x:v>Listed</x:v>
      </x:c>
      <x:c r="O2102" s="1" t="n">
        <x:f>IF(AND(ISNUMBER(G2102),G2102&gt;=0,G2102&lt;=1),IF(G2102&gt;=0.9,30,IF(G2102&gt;=0.8,25,IF(G2102&gt;=0.7,20,IF(G2102&gt;=0.6,15,IF(G2102&gt;=0.5,10,IF(G2102&gt;=0.4,5,0)))))),"")</x:f>
        <x:v>15</x:v>
      </x:c>
      <x:c r="P2102" s="1" t="n">
        <x:f>IF(ISNUMBER(K2102),IF(K2102&lt;0,"",IF(K2102&gt;1,25,IF(K2102&gt;=0.75,20,IF(K2102&gt;=0.5,15,IF(K2102&gt;=0.25,10,5))))),"")</x:f>
        <x:v>10</x:v>
      </x:c>
      <x:c r="Q2102" s="1" t="n">
        <x:f>IF(NOT(ISNUMBER(L2102)),"",IF(AND(L2102&gt;=0,MOD(L2102,1)=0),MAX(0,25-5*L2102),""))</x:f>
        <x:v>0</x:v>
      </x:c>
      <x:c r="R2102" s="1" t="n">
        <x:f>IF(NOT(ISNUMBER(F2102)),"",IF(AND(F2102&gt;0,MOD(F2102,1)=0),IF(F2102&gt;=700,5,IF(F2102&gt;=500,4,IF(F2102&gt;=350,3,IF(F2102&gt;=200,2,1)))),""))</x:f>
        <x:v>2</x:v>
      </x:c>
      <x:c r="S2102" s="1" t="n">
        <x:f>IF(COUNT(O2102:R2102)=4,SUM(O2102:R2102),"")</x:f>
        <x:v>27</x:v>
      </x:c>
      <x:c r="T2102" s="1" t="n">
        <x:f>IF(OR(COUNT(O2102:R2102)&lt;&gt;4,COUNT('Top 15'!$B$35:$E$35)&lt;&gt;4,MIN('Top 15'!$B$35:$E$35)&lt;0,SUM('Top 15'!$B$35:$E$35)&lt;=0),"",ROUND(85*(O2102/30*'Top 15'!$B$35+P2102/25*'Top 15'!$C$35+Q2102/25*'Top 15'!$D$35+R2102/5*'Top 15'!$E$35)/SUM('Top 15'!$B$35:$E$35),6))</x:f>
        <x:v>27</x:v>
      </x:c>
      <x:c r="U2102" s="1" t="str">
        <x:f>IF(A2102="","",IF(AND(M2102="Verified",N2102="Verified"),"Verified",IF(AND(M2102="Listed",N2102="Listed"),"Listed","Mixed")))</x:f>
        <x:v>Listed</x:v>
      </x:c>
      <x:c r="V2102" s="1" t="str">
        <x:f>IF(A2102="","",IF(AK2102&lt;&gt;1,"Duplicate source ID",IF(COUNTIFS('Staff Review'!$A$8:$A$507,A2102)&gt;1,"Duplicate review ID",IF(H2102&lt;&gt;"Yes","Outside scope",IF(J2102="Yes","Already served",IF(NOT(ISNUMBER(T2102)),"Missing data","Candidate"))))))</x:f>
        <x:v>Candidate</x:v>
      </x:c>
      <x:c r="W2102" s="1" t="n">
        <x:f>IF(AL2102=0,"",1+COUNTIFS($AL$2051:$AL$2550,1,$T$2051:$T$2550,"&gt;"&amp;T2102)+COUNTIFS($AL$2051:$AL$2550,1,$T$2051:$T$2550,T2102,$G$2051:$G$2550,"&gt;"&amp;G2102)+COUNTIFS($AL$2051:$AL$2550,1,$T$2051:$T$2550,T2102,$G$2051:$G$2550,G2102,$F$2051:$F$2550,"&gt;"&amp;F2102)+COUNTIFS($AL$2051:$AL$2550,1,$T$2051:$T$2550,T2102,$G$2051:$G$2550,G2102,$F$2051:$F$2550,F2102,$AM$2051:$AM$2550,"&lt;"&amp;AM2102))</x:f>
        <x:v>268</x:v>
      </x:c>
      <x:c r="X2102" s="1" t="n">
        <x:f>IF(AL2102=0,"",1+COUNTIFS($AL$2051:$AL$2550,1,$T$2051:$T$2550,"&gt;"&amp;T2102))</x:f>
        <x:v>266</x:v>
      </x:c>
      <x:c r="Y2102" s="1" t="n">
        <x:f>IF(AND(H2102="Yes",OR(LEN('School Search'!$B$5)=0,ISNUMBER(SEARCH('School Search'!$B$5,B2102&amp;" "&amp;E2102&amp;" "&amp;A2102))),OR('School Search'!$D$5="All",C2102='School Search'!$D$5),OR('School Search'!$G$5="All eligible",AND('School Search'!$G$5="Not marked served",J2102&lt;&gt;"Yes"),AND('School Search'!$G$5="Missing data",V2102="Missing data"),AND('School Search'!$G$5="Marked served",J2102="Yes"))),1,0)</x:f>
        <x:v>1</x:v>
      </x:c>
      <x:c r="Z2102" s="1" t="n">
        <x:f>IF(Y2102=0,"",COUNTIFS($Y$2051:$Y$2550,1,$AO$2051:$AO$2550,"&lt;"&amp;AO2102)+COUNTIFS($Y$2051:Y2102,1,$AO$2051:AO2102,AO2102))</x:f>
        <x:v>268</x:v>
      </x:c>
      <x:c r="AA2102" s="1" t="str">
        <x:f>IF(NOT(ISNUMBER(S2102)),"Missing demographic or access input",TEXT(G2102,"0%")&amp;" economic need; "&amp;TEXT(K2102,"0.00")&amp;" mi fresh access; "&amp;L2102&amp;" nearby resources")</x:f>
        <x:v>62% economic need; 0.40 mi fresh access; 6 nearby resources</x:v>
      </x:c>
      <x:c r="AB2102" s="1" t="n">
        <x:f>IF(OR(A2102="",COUNTIFS($A$1531:$A$2030,A2102)&lt;&gt;1),0,MATCH(A2102,$A$1531:$A$2030,0))</x:f>
        <x:v>52</x:v>
      </x:c>
      <x:c r="AC2102" s="1" t="str">
        <x:f>IF(AB2102=0,"",INDEX($E$1531:$E$2030,AB2102))</x:f>
        <x:v>South Philly Food Co-op</x:v>
      </x:c>
      <x:c r="AD2102" s="1" t="str">
        <x:f>IF(AB2102=0,"",INDEX($F$1531:$F$2030,AB2102))</x:f>
        <x:v>2031 S Juniper St, Philadelphia, PA, 19148</x:v>
      </x:c>
      <x:c r="AE2102" s="1" t="str">
        <x:f>IF(A2102="","",F53)</x:f>
        <x:v>2501 S 13TH ST</x:v>
      </x:c>
      <x:c r="AF2102" s="1" t="n">
        <x:f>IF(ISNUMBER(I53),I53,"")</x:f>
        <x:v>39.918773</x:v>
      </x:c>
      <x:c r="AG2102" s="1" t="n">
        <x:f>IF(ISNUMBER(J53),J53,"")</x:f>
        <x:v>-75.168367</x:v>
      </x:c>
      <x:c r="AH2102" s="1" t="str">
        <x:f>IF(I2102=0,"Not contacted",IF(INDEX('Staff Review'!$J$8:$J$507,I2102)="","Not contacted",INDEX('Staff Review'!$J$8:$J$507,I2102)))</x:f>
        <x:v>Not contacted</x:v>
      </x:c>
      <x:c r="AI2102" s="1" t="str">
        <x:f>IF(I2102=0,"No",IF(AND(COUNT(INDEX('Staff Review'!$D$8:$D$507,I2102))=1,INDEX('Staff Review'!$D$8:$D$507,I2102)&gt;=0,COUNT(INDEX('Staff Review'!$E$8:$E$507,I2102))=1,INDEX('Staff Review'!$E$8:$E$507,I2102)&gt;0,INDEX('Staff Review'!$E$8:$E$507,I2102)&lt;='Top 15'!$E$5,'Top 15'!$E$5-INDEX('Staff Review'!$E$8:$E$507,I2102)&lt;='Top 15'!$H$5,LEN(INDEX('Staff Review'!$H$8:$H$507,I2102))&gt;0),"Yes","No"))</x:f>
        <x:v>No</x:v>
      </x:c>
      <x:c r="AJ2102" s="1" t="str">
        <x:f>IF(I2102=0,"No",IF(COUNT(INDEX('Staff Review'!$F$8:$F$507,I2102))&lt;&gt;1,"No",IF(AND(INDEX('Staff Review'!$F$8:$F$507,I2102)&gt;=0,MOD(INDEX('Staff Review'!$F$8:$F$507,I2102),1)=0,COUNT(INDEX('Staff Review'!$G$8:$G$507,I2102))=1,INDEX('Staff Review'!$G$8:$G$507,I2102)&gt;0,INDEX('Staff Review'!$G$8:$G$507,I2102)&lt;='Top 15'!$E$5,'Top 15'!$E$5-INDEX('Staff Review'!$G$8:$G$507,I2102)&lt;='Top 15'!$H$5,LEN(INDEX('Staff Review'!$H$8:$H$507,I2102))&gt;0),"Yes","No")))</x:f>
        <x:v>No</x:v>
      </x:c>
      <x:c r="AK2102" s="1" t="n">
        <x:f>IF(A2102="",0,COUNTIFS($A$2:$A$501,A2102))</x:f>
        <x:v>1</x:v>
      </x:c>
      <x:c r="AL2102" s="1" t="n">
        <x:f>IF(V2102="Candidate",1,0)</x:f>
        <x:v>1</x:v>
      </x:c>
      <x:c r="AM2102" s="1" t="n">
        <x:f>IF(A2102="",0,VALUE(A2102))</x:f>
        <x:v>2520</x:v>
      </x:c>
      <x:c r="AN2102" s="1" t="n">
        <x:f>IF(OR(A2102="",COUNTIFS($T$41:$T$540,A2102)&lt;&gt;1),0,MATCH(A2102,$T$41:$T$540,0))</x:f>
        <x:v>52</x:v>
      </x:c>
      <x:c r="AO2102" t="n">
        <x:f>IF(ISNUMBER(W2102),W2102,10000+AM2102)</x:f>
        <x:v>268</x:v>
      </x:c>
    </x:row>
    <x:row r="2103" ht="22" customHeight="1">
      <x:c r="A2103" s="1" t="str">
        <x:f>IF(A54="","",A54)</x:f>
        <x:v>2530</x:v>
      </x:c>
      <x:c r="B2103" s="1" t="str">
        <x:f>IF(A2103="","",B54)</x:f>
        <x:v>Philadelphia Juvenile Justice Services Center</x:v>
      </x:c>
      <x:c r="C2103" s="1" t="str">
        <x:f>IF(A2103="","",C54)</x:f>
        <x:v>District</x:v>
      </x:c>
      <x:c r="D2103" s="1" t="str">
        <x:f>IF(A2103="","",E54)</x:f>
        <x:v>Transition/Overage School</x:v>
      </x:c>
      <x:c r="E2103" s="1" t="str">
        <x:f>IF(A2103="","",H54)</x:f>
        <x:v>19139</x:v>
      </x:c>
      <x:c r="F2103" s="1" t="n">
        <x:f>IF(ISNUMBER(K54),K54,"")</x:f>
        <x:v>124</x:v>
      </x:c>
      <x:c r="G2103" s="1" t="str">
        <x:f>IF(ISNUMBER(L54),L54,"")</x:f>
      </x:c>
      <x:c r="H2103" s="1" t="str">
        <x:f>IF(A2103="","",IF(AND(UPPER(G54)="PHILADELPHIA",OR(C2103="District",AND(C2103="Charter",D54="Yes"))),"Yes","No"))</x:f>
        <x:v>Yes</x:v>
      </x:c>
      <x:c r="I2103" s="1" t="n">
        <x:f>IF(OR(A2103="",COUNTIFS('Staff Review'!$A$8:$A$507,A2103)&lt;&gt;1),0,MATCH(A2103,'Staff Review'!$A$8:$A$507,0))</x:f>
        <x:v>236</x:v>
      </x:c>
      <x:c r="J2103" s="1" t="str">
        <x:f>IF(I2103=0,"No",IF(INDEX('Staff Review'!$C$8:$C$507,I2103)="Yes","Yes","No"))</x:f>
        <x:v>No</x:v>
      </x:c>
      <x:c r="K2103" s="1" t="n">
        <x:f>IF(AI2103="Yes",INDEX('Staff Review'!$D$8:$D$507,I2103),IF(AB2103=0,"",IF(COUNT(INDEX($C$1531:$C$2030,AB2103))=1,INDEX($C$1531:$C$2030,AB2103),"")))</x:f>
        <x:v>0.2034050069507735</x:v>
      </x:c>
      <x:c r="L2103" s="1" t="n">
        <x:f>IF(AJ2103="Yes",INDEX('Staff Review'!$F$8:$F$507,I2103),IF(AB2103=0,"",IF(COUNT(INDEX($G$1531:$G$2030,AB2103))=1,INDEX($G$1531:$G$2030,AB2103),"")))</x:f>
        <x:v>14</x:v>
      </x:c>
      <x:c r="M2103" s="1" t="str">
        <x:f>IF(A2103="","",IF(AI2103="Yes","Verified","Listed"))</x:f>
        <x:v>Listed</x:v>
      </x:c>
      <x:c r="N2103" s="1" t="str">
        <x:f>IF(A2103="","",IF(AJ2103="Yes","Verified","Listed"))</x:f>
        <x:v>Listed</x:v>
      </x:c>
      <x:c r="O2103" s="1" t="str">
        <x:f>IF(AND(ISNUMBER(G2103),G2103&gt;=0,G2103&lt;=1),IF(G2103&gt;=0.9,30,IF(G2103&gt;=0.8,25,IF(G2103&gt;=0.7,20,IF(G2103&gt;=0.6,15,IF(G2103&gt;=0.5,10,IF(G2103&gt;=0.4,5,0)))))),"")</x:f>
      </x:c>
      <x:c r="P2103" s="1" t="n">
        <x:f>IF(ISNUMBER(K2103),IF(K2103&lt;0,"",IF(K2103&gt;1,25,IF(K2103&gt;=0.75,20,IF(K2103&gt;=0.5,15,IF(K2103&gt;=0.25,10,5))))),"")</x:f>
        <x:v>5</x:v>
      </x:c>
      <x:c r="Q2103" s="1" t="n">
        <x:f>IF(NOT(ISNUMBER(L2103)),"",IF(AND(L2103&gt;=0,MOD(L2103,1)=0),MAX(0,25-5*L2103),""))</x:f>
        <x:v>0</x:v>
      </x:c>
      <x:c r="R2103" s="1" t="n">
        <x:f>IF(NOT(ISNUMBER(F2103)),"",IF(AND(F2103&gt;0,MOD(F2103,1)=0),IF(F2103&gt;=700,5,IF(F2103&gt;=500,4,IF(F2103&gt;=350,3,IF(F2103&gt;=200,2,1)))),""))</x:f>
        <x:v>1</x:v>
      </x:c>
      <x:c r="S2103" s="1" t="str">
        <x:f>IF(COUNT(O2103:R2103)=4,SUM(O2103:R2103),"")</x:f>
      </x:c>
      <x:c r="T2103" s="1" t="str">
        <x:f>IF(OR(COUNT(O2103:R2103)&lt;&gt;4,COUNT('Top 15'!$B$35:$E$35)&lt;&gt;4,MIN('Top 15'!$B$35:$E$35)&lt;0,SUM('Top 15'!$B$35:$E$35)&lt;=0),"",ROUND(85*(O2103/30*'Top 15'!$B$35+P2103/25*'Top 15'!$C$35+Q2103/25*'Top 15'!$D$35+R2103/5*'Top 15'!$E$35)/SUM('Top 15'!$B$35:$E$35),6))</x:f>
      </x:c>
      <x:c r="U2103" s="1" t="str">
        <x:f>IF(A2103="","",IF(AND(M2103="Verified",N2103="Verified"),"Verified",IF(AND(M2103="Listed",N2103="Listed"),"Listed","Mixed")))</x:f>
        <x:v>Listed</x:v>
      </x:c>
      <x:c r="V2103" s="1" t="str">
        <x:f>IF(A2103="","",IF(AK2103&lt;&gt;1,"Duplicate source ID",IF(COUNTIFS('Staff Review'!$A$8:$A$507,A2103)&gt;1,"Duplicate review ID",IF(H2103&lt;&gt;"Yes","Outside scope",IF(J2103="Yes","Already served",IF(NOT(ISNUMBER(T2103)),"Missing data","Candidate"))))))</x:f>
        <x:v>Missing data</x:v>
      </x:c>
      <x:c r="W2103" s="1" t="str">
        <x:f>IF(AL2103=0,"",1+COUNTIFS($AL$2051:$AL$2550,1,$T$2051:$T$2550,"&gt;"&amp;T2103)+COUNTIFS($AL$2051:$AL$2550,1,$T$2051:$T$2550,T2103,$G$2051:$G$2550,"&gt;"&amp;G2103)+COUNTIFS($AL$2051:$AL$2550,1,$T$2051:$T$2550,T2103,$G$2051:$G$2550,G2103,$F$2051:$F$2550,"&gt;"&amp;F2103)+COUNTIFS($AL$2051:$AL$2550,1,$T$2051:$T$2550,T2103,$G$2051:$G$2550,G2103,$F$2051:$F$2550,F2103,$AM$2051:$AM$2550,"&lt;"&amp;AM2103))</x:f>
      </x:c>
      <x:c r="X2103" s="1" t="str">
        <x:f>IF(AL2103=0,"",1+COUNTIFS($AL$2051:$AL$2550,1,$T$2051:$T$2550,"&gt;"&amp;T2103))</x:f>
      </x:c>
      <x:c r="Y2103" s="1" t="n">
        <x:f>IF(AND(H2103="Yes",OR(LEN('School Search'!$B$5)=0,ISNUMBER(SEARCH('School Search'!$B$5,B2103&amp;" "&amp;E2103&amp;" "&amp;A2103))),OR('School Search'!$D$5="All",C2103='School Search'!$D$5),OR('School Search'!$G$5="All eligible",AND('School Search'!$G$5="Not marked served",J2103&lt;&gt;"Yes"),AND('School Search'!$G$5="Missing data",V2103="Missing data"),AND('School Search'!$G$5="Marked served",J2103="Yes"))),1,0)</x:f>
        <x:v>1</x:v>
      </x:c>
      <x:c r="Z2103" s="1" t="n">
        <x:f>IF(Y2103=0,"",COUNTIFS($Y$2051:$Y$2550,1,$AO$2051:$AO$2550,"&lt;"&amp;AO2103)+COUNTIFS($Y$2051:Y2103,1,$AO$2051:AO2103,AO2103))</x:f>
        <x:v>295</x:v>
      </x:c>
      <x:c r="AA2103" s="1" t="str">
        <x:f>IF(NOT(ISNUMBER(S2103)),"Missing demographic or access input",TEXT(G2103,"0%")&amp;" economic need; "&amp;TEXT(K2103,"0.00")&amp;" mi fresh access; "&amp;L2103&amp;" nearby resources")</x:f>
        <x:v>Missing demographic or access input</x:v>
      </x:c>
      <x:c r="AB2103" s="1" t="n">
        <x:f>IF(OR(A2103="",COUNTIFS($A$1531:$A$2030,A2103)&lt;&gt;1),0,MATCH(A2103,$A$1531:$A$2030,0))</x:f>
        <x:v>53</x:v>
      </x:c>
      <x:c r="AC2103" s="1" t="str">
        <x:f>IF(AB2103=0,"",INDEX($E$1531:$E$2030,AB2103))</x:f>
        <x:v>ALDI 54</x:v>
      </x:c>
      <x:c r="AD2103" s="1" t="str">
        <x:f>IF(AB2103=0,"",INDEX($F$1531:$F$2030,AB2103))</x:f>
        <x:v>4421 Market St, Philadelphia, PA, 19104</x:v>
      </x:c>
      <x:c r="AE2103" s="1" t="str">
        <x:f>IF(A2103="","",F54)</x:f>
        <x:v>91 N 48TH ST</x:v>
      </x:c>
      <x:c r="AF2103" s="1" t="n">
        <x:f>IF(ISNUMBER(I54),I54,"")</x:f>
        <x:v>39.96136565</x:v>
      </x:c>
      <x:c r="AG2103" s="1" t="n">
        <x:f>IF(ISNUMBER(J54),J54,"")</x:f>
        <x:v>-75.21572624</x:v>
      </x:c>
      <x:c r="AH2103" s="1" t="str">
        <x:f>IF(I2103=0,"Not contacted",IF(INDEX('Staff Review'!$J$8:$J$507,I2103)="","Not contacted",INDEX('Staff Review'!$J$8:$J$507,I2103)))</x:f>
        <x:v>Not contacted</x:v>
      </x:c>
      <x:c r="AI2103" s="1" t="str">
        <x:f>IF(I2103=0,"No",IF(AND(COUNT(INDEX('Staff Review'!$D$8:$D$507,I2103))=1,INDEX('Staff Review'!$D$8:$D$507,I2103)&gt;=0,COUNT(INDEX('Staff Review'!$E$8:$E$507,I2103))=1,INDEX('Staff Review'!$E$8:$E$507,I2103)&gt;0,INDEX('Staff Review'!$E$8:$E$507,I2103)&lt;='Top 15'!$E$5,'Top 15'!$E$5-INDEX('Staff Review'!$E$8:$E$507,I2103)&lt;='Top 15'!$H$5,LEN(INDEX('Staff Review'!$H$8:$H$507,I2103))&gt;0),"Yes","No"))</x:f>
        <x:v>No</x:v>
      </x:c>
      <x:c r="AJ2103" s="1" t="str">
        <x:f>IF(I2103=0,"No",IF(COUNT(INDEX('Staff Review'!$F$8:$F$507,I2103))&lt;&gt;1,"No",IF(AND(INDEX('Staff Review'!$F$8:$F$507,I2103)&gt;=0,MOD(INDEX('Staff Review'!$F$8:$F$507,I2103),1)=0,COUNT(INDEX('Staff Review'!$G$8:$G$507,I2103))=1,INDEX('Staff Review'!$G$8:$G$507,I2103)&gt;0,INDEX('Staff Review'!$G$8:$G$507,I2103)&lt;='Top 15'!$E$5,'Top 15'!$E$5-INDEX('Staff Review'!$G$8:$G$507,I2103)&lt;='Top 15'!$H$5,LEN(INDEX('Staff Review'!$H$8:$H$507,I2103))&gt;0),"Yes","No")))</x:f>
        <x:v>No</x:v>
      </x:c>
      <x:c r="AK2103" s="1" t="n">
        <x:f>IF(A2103="",0,COUNTIFS($A$2:$A$501,A2103))</x:f>
        <x:v>1</x:v>
      </x:c>
      <x:c r="AL2103" s="1" t="n">
        <x:f>IF(V2103="Candidate",1,0)</x:f>
        <x:v>0</x:v>
      </x:c>
      <x:c r="AM2103" s="1" t="n">
        <x:f>IF(A2103="",0,VALUE(A2103))</x:f>
        <x:v>2530</x:v>
      </x:c>
      <x:c r="AN2103" s="1" t="n">
        <x:f>IF(OR(A2103="",COUNTIFS($T$41:$T$540,A2103)&lt;&gt;1),0,MATCH(A2103,$T$41:$T$540,0))</x:f>
        <x:v>53</x:v>
      </x:c>
      <x:c r="AO2103" t="n">
        <x:f>IF(ISNUMBER(W2103),W2103,10000+AM2103)</x:f>
        <x:v>12530</x:v>
      </x:c>
    </x:row>
    <x:row r="2104" ht="22" customHeight="1">
      <x:c r="A2104" s="1" t="str">
        <x:f>IF(A55="","",A55)</x:f>
        <x:v>2540</x:v>
      </x:c>
      <x:c r="B2104" s="1" t="str">
        <x:f>IF(A2104="","",B55)</x:f>
        <x:v>Francis S. Key School</x:v>
      </x:c>
      <x:c r="C2104" s="1" t="str">
        <x:f>IF(A2104="","",C55)</x:f>
        <x:v>District</x:v>
      </x:c>
      <x:c r="D2104" s="1" t="str">
        <x:f>IF(A2104="","",E55)</x:f>
        <x:v>Elementary</x:v>
      </x:c>
      <x:c r="E2104" s="1" t="str">
        <x:f>IF(A2104="","",H55)</x:f>
        <x:v>19148</x:v>
      </x:c>
      <x:c r="F2104" s="1" t="n">
        <x:f>IF(ISNUMBER(K55),K55,"")</x:f>
        <x:v>349</x:v>
      </x:c>
      <x:c r="G2104" s="1" t="n">
        <x:f>IF(ISNUMBER(L55),L55,"")</x:f>
        <x:v>0.8074</x:v>
      </x:c>
      <x:c r="H2104" s="1" t="str">
        <x:f>IF(A2104="","",IF(AND(UPPER(G55)="PHILADELPHIA",OR(C2104="District",AND(C2104="Charter",D55="Yes"))),"Yes","No"))</x:f>
        <x:v>Yes</x:v>
      </x:c>
      <x:c r="I2104" s="1" t="n">
        <x:f>IF(OR(A2104="",COUNTIFS('Staff Review'!$A$8:$A$507,A2104)&lt;&gt;1),0,MATCH(A2104,'Staff Review'!$A$8:$A$507,0))</x:f>
        <x:v>81</x:v>
      </x:c>
      <x:c r="J2104" s="1" t="str">
        <x:f>IF(I2104=0,"No",IF(INDEX('Staff Review'!$C$8:$C$507,I2104)="Yes","Yes","No"))</x:f>
        <x:v>No</x:v>
      </x:c>
      <x:c r="K2104" s="1" t="n">
        <x:f>IF(AI2104="Yes",INDEX('Staff Review'!$D$8:$D$507,I2104),IF(AB2104=0,"",IF(COUNT(INDEX($C$1531:$C$2030,AB2104))=1,INDEX($C$1531:$C$2030,AB2104),"")))</x:f>
        <x:v>0.47317293014771705</x:v>
      </x:c>
      <x:c r="L2104" s="1" t="n">
        <x:f>IF(AJ2104="Yes",INDEX('Staff Review'!$F$8:$F$507,I2104),IF(AB2104=0,"",IF(COUNT(INDEX($G$1531:$G$2030,AB2104))=1,INDEX($G$1531:$G$2030,AB2104),"")))</x:f>
        <x:v>6</x:v>
      </x:c>
      <x:c r="M2104" s="1" t="str">
        <x:f>IF(A2104="","",IF(AI2104="Yes","Verified","Listed"))</x:f>
        <x:v>Listed</x:v>
      </x:c>
      <x:c r="N2104" s="1" t="str">
        <x:f>IF(A2104="","",IF(AJ2104="Yes","Verified","Listed"))</x:f>
        <x:v>Listed</x:v>
      </x:c>
      <x:c r="O2104" s="1" t="n">
        <x:f>IF(AND(ISNUMBER(G2104),G2104&gt;=0,G2104&lt;=1),IF(G2104&gt;=0.9,30,IF(G2104&gt;=0.8,25,IF(G2104&gt;=0.7,20,IF(G2104&gt;=0.6,15,IF(G2104&gt;=0.5,10,IF(G2104&gt;=0.4,5,0)))))),"")</x:f>
        <x:v>25</x:v>
      </x:c>
      <x:c r="P2104" s="1" t="n">
        <x:f>IF(ISNUMBER(K2104),IF(K2104&lt;0,"",IF(K2104&gt;1,25,IF(K2104&gt;=0.75,20,IF(K2104&gt;=0.5,15,IF(K2104&gt;=0.25,10,5))))),"")</x:f>
        <x:v>10</x:v>
      </x:c>
      <x:c r="Q2104" s="1" t="n">
        <x:f>IF(NOT(ISNUMBER(L2104)),"",IF(AND(L2104&gt;=0,MOD(L2104,1)=0),MAX(0,25-5*L2104),""))</x:f>
        <x:v>0</x:v>
      </x:c>
      <x:c r="R2104" s="1" t="n">
        <x:f>IF(NOT(ISNUMBER(F2104)),"",IF(AND(F2104&gt;0,MOD(F2104,1)=0),IF(F2104&gt;=700,5,IF(F2104&gt;=500,4,IF(F2104&gt;=350,3,IF(F2104&gt;=200,2,1)))),""))</x:f>
        <x:v>2</x:v>
      </x:c>
      <x:c r="S2104" s="1" t="n">
        <x:f>IF(COUNT(O2104:R2104)=4,SUM(O2104:R2104),"")</x:f>
        <x:v>37</x:v>
      </x:c>
      <x:c r="T2104" s="1" t="n">
        <x:f>IF(OR(COUNT(O2104:R2104)&lt;&gt;4,COUNT('Top 15'!$B$35:$E$35)&lt;&gt;4,MIN('Top 15'!$B$35:$E$35)&lt;0,SUM('Top 15'!$B$35:$E$35)&lt;=0),"",ROUND(85*(O2104/30*'Top 15'!$B$35+P2104/25*'Top 15'!$C$35+Q2104/25*'Top 15'!$D$35+R2104/5*'Top 15'!$E$35)/SUM('Top 15'!$B$35:$E$35),6))</x:f>
        <x:v>37</x:v>
      </x:c>
      <x:c r="U2104" s="1" t="str">
        <x:f>IF(A2104="","",IF(AND(M2104="Verified",N2104="Verified"),"Verified",IF(AND(M2104="Listed",N2104="Listed"),"Listed","Mixed")))</x:f>
        <x:v>Listed</x:v>
      </x:c>
      <x:c r="V2104" s="1" t="str">
        <x:f>IF(A2104="","",IF(AK2104&lt;&gt;1,"Duplicate source ID",IF(COUNTIFS('Staff Review'!$A$8:$A$507,A2104)&gt;1,"Duplicate review ID",IF(H2104&lt;&gt;"Yes","Outside scope",IF(J2104="Yes","Already served",IF(NOT(ISNUMBER(T2104)),"Missing data","Candidate"))))))</x:f>
        <x:v>Candidate</x:v>
      </x:c>
      <x:c r="W2104" s="1" t="n">
        <x:f>IF(AL2104=0,"",1+COUNTIFS($AL$2051:$AL$2550,1,$T$2051:$T$2550,"&gt;"&amp;T2104)+COUNTIFS($AL$2051:$AL$2550,1,$T$2051:$T$2550,T2104,$G$2051:$G$2550,"&gt;"&amp;G2104)+COUNTIFS($AL$2051:$AL$2550,1,$T$2051:$T$2550,T2104,$G$2051:$G$2550,G2104,$F$2051:$F$2550,"&gt;"&amp;F2104)+COUNTIFS($AL$2051:$AL$2550,1,$T$2051:$T$2550,T2104,$G$2051:$G$2550,G2104,$F$2051:$F$2550,F2104,$AM$2051:$AM$2550,"&lt;"&amp;AM2104))</x:f>
        <x:v>202</x:v>
      </x:c>
      <x:c r="X2104" s="1" t="n">
        <x:f>IF(AL2104=0,"",1+COUNTIFS($AL$2051:$AL$2550,1,$T$2051:$T$2550,"&gt;"&amp;T2104))</x:f>
        <x:v>182</x:v>
      </x:c>
      <x:c r="Y2104" s="1" t="n">
        <x:f>IF(AND(H2104="Yes",OR(LEN('School Search'!$B$5)=0,ISNUMBER(SEARCH('School Search'!$B$5,B2104&amp;" "&amp;E2104&amp;" "&amp;A2104))),OR('School Search'!$D$5="All",C2104='School Search'!$D$5),OR('School Search'!$G$5="All eligible",AND('School Search'!$G$5="Not marked served",J2104&lt;&gt;"Yes"),AND('School Search'!$G$5="Missing data",V2104="Missing data"),AND('School Search'!$G$5="Marked served",J2104="Yes"))),1,0)</x:f>
        <x:v>1</x:v>
      </x:c>
      <x:c r="Z2104" s="1" t="n">
        <x:f>IF(Y2104=0,"",COUNTIFS($Y$2051:$Y$2550,1,$AO$2051:$AO$2550,"&lt;"&amp;AO2104)+COUNTIFS($Y$2051:Y2104,1,$AO$2051:AO2104,AO2104))</x:f>
        <x:v>202</x:v>
      </x:c>
      <x:c r="AA2104" s="1" t="str">
        <x:f>IF(NOT(ISNUMBER(S2104)),"Missing demographic or access input",TEXT(G2104,"0%")&amp;" economic need; "&amp;TEXT(K2104,"0.00")&amp;" mi fresh access; "&amp;L2104&amp;" nearby resources")</x:f>
        <x:v>81% economic need; 0.47 mi fresh access; 6 nearby resources</x:v>
      </x:c>
      <x:c r="AB2104" s="1" t="n">
        <x:f>IF(OR(A2104="",COUNTIFS($A$1531:$A$2030,A2104)&lt;&gt;1),0,MATCH(A2104,$A$1531:$A$2030,0))</x:f>
        <x:v>54</x:v>
      </x:c>
      <x:c r="AC2104" s="1" t="str">
        <x:f>IF(AB2104=0,"",INDEX($E$1531:$E$2030,AB2104))</x:f>
        <x:v>South Philly Food Co-op</x:v>
      </x:c>
      <x:c r="AD2104" s="1" t="str">
        <x:f>IF(AB2104=0,"",INDEX($F$1531:$F$2030,AB2104))</x:f>
        <x:v>2031 S Juniper St, Philadelphia, PA, 19148</x:v>
      </x:c>
      <x:c r="AE2104" s="1" t="str">
        <x:f>IF(A2104="","",F55)</x:f>
        <x:v>2230 S 8TH ST</x:v>
      </x:c>
      <x:c r="AF2104" s="1" t="n">
        <x:f>IF(ISNUMBER(I55),I55,"")</x:f>
        <x:v>39.9213857</x:v>
      </x:c>
      <x:c r="AG2104" s="1" t="n">
        <x:f>IF(ISNUMBER(J55),J55,"")</x:f>
        <x:v>-75.1601961</x:v>
      </x:c>
      <x:c r="AH2104" s="1" t="str">
        <x:f>IF(I2104=0,"Not contacted",IF(INDEX('Staff Review'!$J$8:$J$507,I2104)="","Not contacted",INDEX('Staff Review'!$J$8:$J$507,I2104)))</x:f>
        <x:v>Not contacted</x:v>
      </x:c>
      <x:c r="AI2104" s="1" t="str">
        <x:f>IF(I2104=0,"No",IF(AND(COUNT(INDEX('Staff Review'!$D$8:$D$507,I2104))=1,INDEX('Staff Review'!$D$8:$D$507,I2104)&gt;=0,COUNT(INDEX('Staff Review'!$E$8:$E$507,I2104))=1,INDEX('Staff Review'!$E$8:$E$507,I2104)&gt;0,INDEX('Staff Review'!$E$8:$E$507,I2104)&lt;='Top 15'!$E$5,'Top 15'!$E$5-INDEX('Staff Review'!$E$8:$E$507,I2104)&lt;='Top 15'!$H$5,LEN(INDEX('Staff Review'!$H$8:$H$507,I2104))&gt;0),"Yes","No"))</x:f>
        <x:v>No</x:v>
      </x:c>
      <x:c r="AJ2104" s="1" t="str">
        <x:f>IF(I2104=0,"No",IF(COUNT(INDEX('Staff Review'!$F$8:$F$507,I2104))&lt;&gt;1,"No",IF(AND(INDEX('Staff Review'!$F$8:$F$507,I2104)&gt;=0,MOD(INDEX('Staff Review'!$F$8:$F$507,I2104),1)=0,COUNT(INDEX('Staff Review'!$G$8:$G$507,I2104))=1,INDEX('Staff Review'!$G$8:$G$507,I2104)&gt;0,INDEX('Staff Review'!$G$8:$G$507,I2104)&lt;='Top 15'!$E$5,'Top 15'!$E$5-INDEX('Staff Review'!$G$8:$G$507,I2104)&lt;='Top 15'!$H$5,LEN(INDEX('Staff Review'!$H$8:$H$507,I2104))&gt;0),"Yes","No")))</x:f>
        <x:v>No</x:v>
      </x:c>
      <x:c r="AK2104" s="1" t="n">
        <x:f>IF(A2104="",0,COUNTIFS($A$2:$A$501,A2104))</x:f>
        <x:v>1</x:v>
      </x:c>
      <x:c r="AL2104" s="1" t="n">
        <x:f>IF(V2104="Candidate",1,0)</x:f>
        <x:v>1</x:v>
      </x:c>
      <x:c r="AM2104" s="1" t="n">
        <x:f>IF(A2104="",0,VALUE(A2104))</x:f>
        <x:v>2540</x:v>
      </x:c>
      <x:c r="AN2104" s="1" t="n">
        <x:f>IF(OR(A2104="",COUNTIFS($T$41:$T$540,A2104)&lt;&gt;1),0,MATCH(A2104,$T$41:$T$540,0))</x:f>
        <x:v>54</x:v>
      </x:c>
      <x:c r="AO2104" t="n">
        <x:f>IF(ISNUMBER(W2104),W2104,10000+AM2104)</x:f>
        <x:v>202</x:v>
      </x:c>
    </x:row>
    <x:row r="2105" ht="22" customHeight="1">
      <x:c r="A2105" s="1" t="str">
        <x:f>IF(A56="","",A56)</x:f>
        <x:v>2580</x:v>
      </x:c>
      <x:c r="B2105" s="1" t="str">
        <x:f>IF(A2105="","",B56)</x:f>
        <x:v>Eliza B. Kirkbride School</x:v>
      </x:c>
      <x:c r="C2105" s="1" t="str">
        <x:f>IF(A2105="","",C56)</x:f>
        <x:v>District</x:v>
      </x:c>
      <x:c r="D2105" s="1" t="str">
        <x:f>IF(A2105="","",E56)</x:f>
        <x:v>Elementary-Middle</x:v>
      </x:c>
      <x:c r="E2105" s="1" t="str">
        <x:f>IF(A2105="","",H56)</x:f>
        <x:v>19147</x:v>
      </x:c>
      <x:c r="F2105" s="1" t="n">
        <x:f>IF(ISNUMBER(K56),K56,"")</x:f>
        <x:v>481</x:v>
      </x:c>
      <x:c r="G2105" s="1" t="n">
        <x:f>IF(ISNUMBER(L56),L56,"")</x:f>
        <x:v>0.7716</x:v>
      </x:c>
      <x:c r="H2105" s="1" t="str">
        <x:f>IF(A2105="","",IF(AND(UPPER(G56)="PHILADELPHIA",OR(C2105="District",AND(C2105="Charter",D56="Yes"))),"Yes","No"))</x:f>
        <x:v>Yes</x:v>
      </x:c>
      <x:c r="I2105" s="1" t="n">
        <x:f>IF(OR(A2105="",COUNTIFS('Staff Review'!$A$8:$A$507,A2105)&lt;&gt;1),0,MATCH(A2105,'Staff Review'!$A$8:$A$507,0))</x:f>
        <x:v>62</x:v>
      </x:c>
      <x:c r="J2105" s="1" t="str">
        <x:f>IF(I2105=0,"No",IF(INDEX('Staff Review'!$C$8:$C$507,I2105)="Yes","Yes","No"))</x:f>
        <x:v>No</x:v>
      </x:c>
      <x:c r="K2105" s="1" t="n">
        <x:f>IF(AI2105="Yes",INDEX('Staff Review'!$D$8:$D$507,I2105),IF(AB2105=0,"",IF(COUNT(INDEX($C$1531:$C$2030,AB2105))=1,INDEX($C$1531:$C$2030,AB2105),"")))</x:f>
        <x:v>0.3123460594970542</x:v>
      </x:c>
      <x:c r="L2105" s="1" t="n">
        <x:f>IF(AJ2105="Yes",INDEX('Staff Review'!$F$8:$F$507,I2105),IF(AB2105=0,"",IF(COUNT(INDEX($G$1531:$G$2030,AB2105))=1,INDEX($G$1531:$G$2030,AB2105),"")))</x:f>
        <x:v>9</x:v>
      </x:c>
      <x:c r="M2105" s="1" t="str">
        <x:f>IF(A2105="","",IF(AI2105="Yes","Verified","Listed"))</x:f>
        <x:v>Listed</x:v>
      </x:c>
      <x:c r="N2105" s="1" t="str">
        <x:f>IF(A2105="","",IF(AJ2105="Yes","Verified","Listed"))</x:f>
        <x:v>Listed</x:v>
      </x:c>
      <x:c r="O2105" s="1" t="n">
        <x:f>IF(AND(ISNUMBER(G2105),G2105&gt;=0,G2105&lt;=1),IF(G2105&gt;=0.9,30,IF(G2105&gt;=0.8,25,IF(G2105&gt;=0.7,20,IF(G2105&gt;=0.6,15,IF(G2105&gt;=0.5,10,IF(G2105&gt;=0.4,5,0)))))),"")</x:f>
        <x:v>20</x:v>
      </x:c>
      <x:c r="P2105" s="1" t="n">
        <x:f>IF(ISNUMBER(K2105),IF(K2105&lt;0,"",IF(K2105&gt;1,25,IF(K2105&gt;=0.75,20,IF(K2105&gt;=0.5,15,IF(K2105&gt;=0.25,10,5))))),"")</x:f>
        <x:v>10</x:v>
      </x:c>
      <x:c r="Q2105" s="1" t="n">
        <x:f>IF(NOT(ISNUMBER(L2105)),"",IF(AND(L2105&gt;=0,MOD(L2105,1)=0),MAX(0,25-5*L2105),""))</x:f>
        <x:v>0</x:v>
      </x:c>
      <x:c r="R2105" s="1" t="n">
        <x:f>IF(NOT(ISNUMBER(F2105)),"",IF(AND(F2105&gt;0,MOD(F2105,1)=0),IF(F2105&gt;=700,5,IF(F2105&gt;=500,4,IF(F2105&gt;=350,3,IF(F2105&gt;=200,2,1)))),""))</x:f>
        <x:v>3</x:v>
      </x:c>
      <x:c r="S2105" s="1" t="n">
        <x:f>IF(COUNT(O2105:R2105)=4,SUM(O2105:R2105),"")</x:f>
        <x:v>33</x:v>
      </x:c>
      <x:c r="T2105" s="1" t="n">
        <x:f>IF(OR(COUNT(O2105:R2105)&lt;&gt;4,COUNT('Top 15'!$B$35:$E$35)&lt;&gt;4,MIN('Top 15'!$B$35:$E$35)&lt;0,SUM('Top 15'!$B$35:$E$35)&lt;=0),"",ROUND(85*(O2105/30*'Top 15'!$B$35+P2105/25*'Top 15'!$C$35+Q2105/25*'Top 15'!$D$35+R2105/5*'Top 15'!$E$35)/SUM('Top 15'!$B$35:$E$35),6))</x:f>
        <x:v>33</x:v>
      </x:c>
      <x:c r="U2105" s="1" t="str">
        <x:f>IF(A2105="","",IF(AND(M2105="Verified",N2105="Verified"),"Verified",IF(AND(M2105="Listed",N2105="Listed"),"Listed","Mixed")))</x:f>
        <x:v>Listed</x:v>
      </x:c>
      <x:c r="V2105" s="1" t="str">
        <x:f>IF(A2105="","",IF(AK2105&lt;&gt;1,"Duplicate source ID",IF(COUNTIFS('Staff Review'!$A$8:$A$507,A2105)&gt;1,"Duplicate review ID",IF(H2105&lt;&gt;"Yes","Outside scope",IF(J2105="Yes","Already served",IF(NOT(ISNUMBER(T2105)),"Missing data","Candidate"))))))</x:f>
        <x:v>Candidate</x:v>
      </x:c>
      <x:c r="W2105" s="1" t="n">
        <x:f>IF(AL2105=0,"",1+COUNTIFS($AL$2051:$AL$2550,1,$T$2051:$T$2550,"&gt;"&amp;T2105)+COUNTIFS($AL$2051:$AL$2550,1,$T$2051:$T$2550,T2105,$G$2051:$G$2550,"&gt;"&amp;G2105)+COUNTIFS($AL$2051:$AL$2550,1,$T$2051:$T$2550,T2105,$G$2051:$G$2550,G2105,$F$2051:$F$2550,"&gt;"&amp;F2105)+COUNTIFS($AL$2051:$AL$2550,1,$T$2051:$T$2550,T2105,$G$2051:$G$2550,G2105,$F$2051:$F$2550,F2105,$AM$2051:$AM$2550,"&lt;"&amp;AM2105))</x:f>
        <x:v>239</x:v>
      </x:c>
      <x:c r="X2105" s="1" t="n">
        <x:f>IF(AL2105=0,"",1+COUNTIFS($AL$2051:$AL$2550,1,$T$2051:$T$2550,"&gt;"&amp;T2105))</x:f>
        <x:v>233</x:v>
      </x:c>
      <x:c r="Y2105" s="1" t="n">
        <x:f>IF(AND(H2105="Yes",OR(LEN('School Search'!$B$5)=0,ISNUMBER(SEARCH('School Search'!$B$5,B2105&amp;" "&amp;E2105&amp;" "&amp;A2105))),OR('School Search'!$D$5="All",C2105='School Search'!$D$5),OR('School Search'!$G$5="All eligible",AND('School Search'!$G$5="Not marked served",J2105&lt;&gt;"Yes"),AND('School Search'!$G$5="Missing data",V2105="Missing data"),AND('School Search'!$G$5="Marked served",J2105="Yes"))),1,0)</x:f>
        <x:v>1</x:v>
      </x:c>
      <x:c r="Z2105" s="1" t="n">
        <x:f>IF(Y2105=0,"",COUNTIFS($Y$2051:$Y$2550,1,$AO$2051:$AO$2550,"&lt;"&amp;AO2105)+COUNTIFS($Y$2051:Y2105,1,$AO$2051:AO2105,AO2105))</x:f>
        <x:v>239</x:v>
      </x:c>
      <x:c r="AA2105" s="1" t="str">
        <x:f>IF(NOT(ISNUMBER(S2105)),"Missing demographic or access input",TEXT(G2105,"0%")&amp;" economic need; "&amp;TEXT(K2105,"0.00")&amp;" mi fresh access; "&amp;L2105&amp;" nearby resources")</x:f>
        <x:v>77% economic need; 0.31 mi fresh access; 9 nearby resources</x:v>
      </x:c>
      <x:c r="AB2105" s="1" t="n">
        <x:f>IF(OR(A2105="",COUNTIFS($A$1531:$A$2030,A2105)&lt;&gt;1),0,MATCH(A2105,$A$1531:$A$2030,0))</x:f>
        <x:v>55</x:v>
      </x:c>
      <x:c r="AC2105" s="1" t="str">
        <x:f>IF(AB2105=0,"",INDEX($E$1531:$E$2030,AB2105))</x:f>
        <x:v>First Oriental Market Inc</x:v>
      </x:c>
      <x:c r="AD2105" s="1" t="str">
        <x:f>IF(AB2105=0,"",INDEX($F$1531:$F$2030,AB2105))</x:f>
        <x:v>1111 S 6th St, Philadelphia, PA, 19147</x:v>
      </x:c>
      <x:c r="AE2105" s="1" t="str">
        <x:f>IF(A2105="","",F56)</x:f>
        <x:v>1501 S 7TH ST</x:v>
      </x:c>
      <x:c r="AF2105" s="1" t="n">
        <x:f>IF(ISNUMBER(I56),I56,"")</x:f>
        <x:v>39.93002</x:v>
      </x:c>
      <x:c r="AG2105" s="1" t="n">
        <x:f>IF(ISNUMBER(J56),J56,"")</x:f>
        <x:v>-75.156466</x:v>
      </x:c>
      <x:c r="AH2105" s="1" t="str">
        <x:f>IF(I2105=0,"Not contacted",IF(INDEX('Staff Review'!$J$8:$J$507,I2105)="","Not contacted",INDEX('Staff Review'!$J$8:$J$507,I2105)))</x:f>
        <x:v>Not contacted</x:v>
      </x:c>
      <x:c r="AI2105" s="1" t="str">
        <x:f>IF(I2105=0,"No",IF(AND(COUNT(INDEX('Staff Review'!$D$8:$D$507,I2105))=1,INDEX('Staff Review'!$D$8:$D$507,I2105)&gt;=0,COUNT(INDEX('Staff Review'!$E$8:$E$507,I2105))=1,INDEX('Staff Review'!$E$8:$E$507,I2105)&gt;0,INDEX('Staff Review'!$E$8:$E$507,I2105)&lt;='Top 15'!$E$5,'Top 15'!$E$5-INDEX('Staff Review'!$E$8:$E$507,I2105)&lt;='Top 15'!$H$5,LEN(INDEX('Staff Review'!$H$8:$H$507,I2105))&gt;0),"Yes","No"))</x:f>
        <x:v>No</x:v>
      </x:c>
      <x:c r="AJ2105" s="1" t="str">
        <x:f>IF(I2105=0,"No",IF(COUNT(INDEX('Staff Review'!$F$8:$F$507,I2105))&lt;&gt;1,"No",IF(AND(INDEX('Staff Review'!$F$8:$F$507,I2105)&gt;=0,MOD(INDEX('Staff Review'!$F$8:$F$507,I2105),1)=0,COUNT(INDEX('Staff Review'!$G$8:$G$507,I2105))=1,INDEX('Staff Review'!$G$8:$G$507,I2105)&gt;0,INDEX('Staff Review'!$G$8:$G$507,I2105)&lt;='Top 15'!$E$5,'Top 15'!$E$5-INDEX('Staff Review'!$G$8:$G$507,I2105)&lt;='Top 15'!$H$5,LEN(INDEX('Staff Review'!$H$8:$H$507,I2105))&gt;0),"Yes","No")))</x:f>
        <x:v>No</x:v>
      </x:c>
      <x:c r="AK2105" s="1" t="n">
        <x:f>IF(A2105="",0,COUNTIFS($A$2:$A$501,A2105))</x:f>
        <x:v>1</x:v>
      </x:c>
      <x:c r="AL2105" s="1" t="n">
        <x:f>IF(V2105="Candidate",1,0)</x:f>
        <x:v>1</x:v>
      </x:c>
      <x:c r="AM2105" s="1" t="n">
        <x:f>IF(A2105="",0,VALUE(A2105))</x:f>
        <x:v>2580</x:v>
      </x:c>
      <x:c r="AN2105" s="1" t="n">
        <x:f>IF(OR(A2105="",COUNTIFS($T$41:$T$540,A2105)&lt;&gt;1),0,MATCH(A2105,$T$41:$T$540,0))</x:f>
        <x:v>55</x:v>
      </x:c>
      <x:c r="AO2105" t="n">
        <x:f>IF(ISNUMBER(W2105),W2105,10000+AM2105)</x:f>
        <x:v>239</x:v>
      </x:c>
    </x:row>
    <x:row r="2106" ht="22" customHeight="1">
      <x:c r="A2106" s="1" t="str">
        <x:f>IF(A57="","",A57)</x:f>
        <x:v>2590</x:v>
      </x:c>
      <x:c r="B2106" s="1" t="str">
        <x:f>IF(A2106="","",B57)</x:f>
        <x:v>George W. Nebinger School</x:v>
      </x:c>
      <x:c r="C2106" s="1" t="str">
        <x:f>IF(A2106="","",C57)</x:f>
        <x:v>District</x:v>
      </x:c>
      <x:c r="D2106" s="1" t="str">
        <x:f>IF(A2106="","",E57)</x:f>
        <x:v>Elementary-Middle</x:v>
      </x:c>
      <x:c r="E2106" s="1" t="str">
        <x:f>IF(A2106="","",H57)</x:f>
        <x:v>19147</x:v>
      </x:c>
      <x:c r="F2106" s="1" t="n">
        <x:f>IF(ISNUMBER(K57),K57,"")</x:f>
        <x:v>399</x:v>
      </x:c>
      <x:c r="G2106" s="1" t="n">
        <x:f>IF(ISNUMBER(L57),L57,"")</x:f>
        <x:v>0.6262</x:v>
      </x:c>
      <x:c r="H2106" s="1" t="str">
        <x:f>IF(A2106="","",IF(AND(UPPER(G57)="PHILADELPHIA",OR(C2106="District",AND(C2106="Charter",D57="Yes"))),"Yes","No"))</x:f>
        <x:v>Yes</x:v>
      </x:c>
      <x:c r="I2106" s="1" t="n">
        <x:f>IF(OR(A2106="",COUNTIFS('Staff Review'!$A$8:$A$507,A2106)&lt;&gt;1),0,MATCH(A2106,'Staff Review'!$A$8:$A$507,0))</x:f>
        <x:v>95</x:v>
      </x:c>
      <x:c r="J2106" s="1" t="str">
        <x:f>IF(I2106=0,"No",IF(INDEX('Staff Review'!$C$8:$C$507,I2106)="Yes","Yes","No"))</x:f>
        <x:v>No</x:v>
      </x:c>
      <x:c r="K2106" s="1" t="n">
        <x:f>IF(AI2106="Yes",INDEX('Staff Review'!$D$8:$D$507,I2106),IF(AB2106=0,"",IF(COUNT(INDEX($C$1531:$C$2030,AB2106))=1,INDEX($C$1531:$C$2030,AB2106),"")))</x:f>
        <x:v>0.18536353970744446</x:v>
      </x:c>
      <x:c r="L2106" s="1" t="n">
        <x:f>IF(AJ2106="Yes",INDEX('Staff Review'!$F$8:$F$507,I2106),IF(AB2106=0,"",IF(COUNT(INDEX($G$1531:$G$2030,AB2106))=1,INDEX($G$1531:$G$2030,AB2106),"")))</x:f>
        <x:v>8</x:v>
      </x:c>
      <x:c r="M2106" s="1" t="str">
        <x:f>IF(A2106="","",IF(AI2106="Yes","Verified","Listed"))</x:f>
        <x:v>Listed</x:v>
      </x:c>
      <x:c r="N2106" s="1" t="str">
        <x:f>IF(A2106="","",IF(AJ2106="Yes","Verified","Listed"))</x:f>
        <x:v>Listed</x:v>
      </x:c>
      <x:c r="O2106" s="1" t="n">
        <x:f>IF(AND(ISNUMBER(G2106),G2106&gt;=0,G2106&lt;=1),IF(G2106&gt;=0.9,30,IF(G2106&gt;=0.8,25,IF(G2106&gt;=0.7,20,IF(G2106&gt;=0.6,15,IF(G2106&gt;=0.5,10,IF(G2106&gt;=0.4,5,0)))))),"")</x:f>
        <x:v>15</x:v>
      </x:c>
      <x:c r="P2106" s="1" t="n">
        <x:f>IF(ISNUMBER(K2106),IF(K2106&lt;0,"",IF(K2106&gt;1,25,IF(K2106&gt;=0.75,20,IF(K2106&gt;=0.5,15,IF(K2106&gt;=0.25,10,5))))),"")</x:f>
        <x:v>5</x:v>
      </x:c>
      <x:c r="Q2106" s="1" t="n">
        <x:f>IF(NOT(ISNUMBER(L2106)),"",IF(AND(L2106&gt;=0,MOD(L2106,1)=0),MAX(0,25-5*L2106),""))</x:f>
        <x:v>0</x:v>
      </x:c>
      <x:c r="R2106" s="1" t="n">
        <x:f>IF(NOT(ISNUMBER(F2106)),"",IF(AND(F2106&gt;0,MOD(F2106,1)=0),IF(F2106&gt;=700,5,IF(F2106&gt;=500,4,IF(F2106&gt;=350,3,IF(F2106&gt;=200,2,1)))),""))</x:f>
        <x:v>3</x:v>
      </x:c>
      <x:c r="S2106" s="1" t="n">
        <x:f>IF(COUNT(O2106:R2106)=4,SUM(O2106:R2106),"")</x:f>
        <x:v>23</x:v>
      </x:c>
      <x:c r="T2106" s="1" t="n">
        <x:f>IF(OR(COUNT(O2106:R2106)&lt;&gt;4,COUNT('Top 15'!$B$35:$E$35)&lt;&gt;4,MIN('Top 15'!$B$35:$E$35)&lt;0,SUM('Top 15'!$B$35:$E$35)&lt;=0),"",ROUND(85*(O2106/30*'Top 15'!$B$35+P2106/25*'Top 15'!$C$35+Q2106/25*'Top 15'!$D$35+R2106/5*'Top 15'!$E$35)/SUM('Top 15'!$B$35:$E$35),6))</x:f>
        <x:v>23</x:v>
      </x:c>
      <x:c r="U2106" s="1" t="str">
        <x:f>IF(A2106="","",IF(AND(M2106="Verified",N2106="Verified"),"Verified",IF(AND(M2106="Listed",N2106="Listed"),"Listed","Mixed")))</x:f>
        <x:v>Listed</x:v>
      </x:c>
      <x:c r="V2106" s="1" t="str">
        <x:f>IF(A2106="","",IF(AK2106&lt;&gt;1,"Duplicate source ID",IF(COUNTIFS('Staff Review'!$A$8:$A$507,A2106)&gt;1,"Duplicate review ID",IF(H2106&lt;&gt;"Yes","Outside scope",IF(J2106="Yes","Already served",IF(NOT(ISNUMBER(T2106)),"Missing data","Candidate"))))))</x:f>
        <x:v>Candidate</x:v>
      </x:c>
      <x:c r="W2106" s="1" t="n">
        <x:f>IF(AL2106=0,"",1+COUNTIFS($AL$2051:$AL$2550,1,$T$2051:$T$2550,"&gt;"&amp;T2106)+COUNTIFS($AL$2051:$AL$2550,1,$T$2051:$T$2550,T2106,$G$2051:$G$2550,"&gt;"&amp;G2106)+COUNTIFS($AL$2051:$AL$2550,1,$T$2051:$T$2550,T2106,$G$2051:$G$2550,G2106,$F$2051:$F$2550,"&gt;"&amp;F2106)+COUNTIFS($AL$2051:$AL$2550,1,$T$2051:$T$2550,T2106,$G$2051:$G$2550,G2106,$F$2051:$F$2550,F2106,$AM$2051:$AM$2550,"&lt;"&amp;AM2106))</x:f>
        <x:v>276</x:v>
      </x:c>
      <x:c r="X2106" s="1" t="n">
        <x:f>IF(AL2106=0,"",1+COUNTIFS($AL$2051:$AL$2550,1,$T$2051:$T$2550,"&gt;"&amp;T2106))</x:f>
        <x:v>274</x:v>
      </x:c>
      <x:c r="Y2106" s="1" t="n">
        <x:f>IF(AND(H2106="Yes",OR(LEN('School Search'!$B$5)=0,ISNUMBER(SEARCH('School Search'!$B$5,B2106&amp;" "&amp;E2106&amp;" "&amp;A2106))),OR('School Search'!$D$5="All",C2106='School Search'!$D$5),OR('School Search'!$G$5="All eligible",AND('School Search'!$G$5="Not marked served",J2106&lt;&gt;"Yes"),AND('School Search'!$G$5="Missing data",V2106="Missing data"),AND('School Search'!$G$5="Marked served",J2106="Yes"))),1,0)</x:f>
        <x:v>1</x:v>
      </x:c>
      <x:c r="Z2106" s="1" t="n">
        <x:f>IF(Y2106=0,"",COUNTIFS($Y$2051:$Y$2550,1,$AO$2051:$AO$2550,"&lt;"&amp;AO2106)+COUNTIFS($Y$2051:Y2106,1,$AO$2051:AO2106,AO2106))</x:f>
        <x:v>276</x:v>
      </x:c>
      <x:c r="AA2106" s="1" t="str">
        <x:f>IF(NOT(ISNUMBER(S2106)),"Missing demographic or access input",TEXT(G2106,"0%")&amp;" economic need; "&amp;TEXT(K2106,"0.00")&amp;" mi fresh access; "&amp;L2106&amp;" nearby resources")</x:f>
        <x:v>63% economic need; 0.19 mi fresh access; 8 nearby resources</x:v>
      </x:c>
      <x:c r="AB2106" s="1" t="n">
        <x:f>IF(OR(A2106="",COUNTIFS($A$1531:$A$2030,A2106)&lt;&gt;1),0,MATCH(A2106,$A$1531:$A$2030,0))</x:f>
        <x:v>56</x:v>
      </x:c>
      <x:c r="AC2106" s="1" t="str">
        <x:f>IF(AB2106=0,"",INDEX($E$1531:$E$2030,AB2106))</x:f>
        <x:v>First Oriental Market Inc</x:v>
      </x:c>
      <x:c r="AD2106" s="1" t="str">
        <x:f>IF(AB2106=0,"",INDEX($F$1531:$F$2030,AB2106))</x:f>
        <x:v>1111 S 6th St, Philadelphia, PA, 19147</x:v>
      </x:c>
      <x:c r="AE2106" s="1" t="str">
        <x:f>IF(A2106="","",F57)</x:f>
        <x:v>601 CARPENTER ST</x:v>
      </x:c>
      <x:c r="AF2106" s="1" t="n">
        <x:f>IF(ISNUMBER(I57),I57,"")</x:f>
        <x:v>39.936694</x:v>
      </x:c>
      <x:c r="AG2106" s="1" t="n">
        <x:f>IF(ISNUMBER(J57),J57,"")</x:f>
        <x:v>-75.15383</x:v>
      </x:c>
      <x:c r="AH2106" s="1" t="str">
        <x:f>IF(I2106=0,"Not contacted",IF(INDEX('Staff Review'!$J$8:$J$507,I2106)="","Not contacted",INDEX('Staff Review'!$J$8:$J$507,I2106)))</x:f>
        <x:v>Not contacted</x:v>
      </x:c>
      <x:c r="AI2106" s="1" t="str">
        <x:f>IF(I2106=0,"No",IF(AND(COUNT(INDEX('Staff Review'!$D$8:$D$507,I2106))=1,INDEX('Staff Review'!$D$8:$D$507,I2106)&gt;=0,COUNT(INDEX('Staff Review'!$E$8:$E$507,I2106))=1,INDEX('Staff Review'!$E$8:$E$507,I2106)&gt;0,INDEX('Staff Review'!$E$8:$E$507,I2106)&lt;='Top 15'!$E$5,'Top 15'!$E$5-INDEX('Staff Review'!$E$8:$E$507,I2106)&lt;='Top 15'!$H$5,LEN(INDEX('Staff Review'!$H$8:$H$507,I2106))&gt;0),"Yes","No"))</x:f>
        <x:v>No</x:v>
      </x:c>
      <x:c r="AJ2106" s="1" t="str">
        <x:f>IF(I2106=0,"No",IF(COUNT(INDEX('Staff Review'!$F$8:$F$507,I2106))&lt;&gt;1,"No",IF(AND(INDEX('Staff Review'!$F$8:$F$507,I2106)&gt;=0,MOD(INDEX('Staff Review'!$F$8:$F$507,I2106),1)=0,COUNT(INDEX('Staff Review'!$G$8:$G$507,I2106))=1,INDEX('Staff Review'!$G$8:$G$507,I2106)&gt;0,INDEX('Staff Review'!$G$8:$G$507,I2106)&lt;='Top 15'!$E$5,'Top 15'!$E$5-INDEX('Staff Review'!$G$8:$G$507,I2106)&lt;='Top 15'!$H$5,LEN(INDEX('Staff Review'!$H$8:$H$507,I2106))&gt;0),"Yes","No")))</x:f>
        <x:v>No</x:v>
      </x:c>
      <x:c r="AK2106" s="1" t="n">
        <x:f>IF(A2106="",0,COUNTIFS($A$2:$A$501,A2106))</x:f>
        <x:v>1</x:v>
      </x:c>
      <x:c r="AL2106" s="1" t="n">
        <x:f>IF(V2106="Candidate",1,0)</x:f>
        <x:v>1</x:v>
      </x:c>
      <x:c r="AM2106" s="1" t="n">
        <x:f>IF(A2106="",0,VALUE(A2106))</x:f>
        <x:v>2590</x:v>
      </x:c>
      <x:c r="AN2106" s="1" t="n">
        <x:f>IF(OR(A2106="",COUNTIFS($T$41:$T$540,A2106)&lt;&gt;1),0,MATCH(A2106,$T$41:$T$540,0))</x:f>
        <x:v>56</x:v>
      </x:c>
      <x:c r="AO2106" t="n">
        <x:f>IF(ISNUMBER(W2106),W2106,10000+AM2106)</x:f>
        <x:v>276</x:v>
      </x:c>
    </x:row>
    <x:row r="2107" ht="22" customHeight="1">
      <x:c r="A2107" s="1" t="str">
        <x:f>IF(A58="","",A58)</x:f>
        <x:v>2620</x:v>
      </x:c>
      <x:c r="B2107" s="1" t="str">
        <x:f>IF(A2107="","",B58)</x:f>
        <x:v>Academy at Palumbo</x:v>
      </x:c>
      <x:c r="C2107" s="1" t="str">
        <x:f>IF(A2107="","",C58)</x:f>
        <x:v>District</x:v>
      </x:c>
      <x:c r="D2107" s="1" t="str">
        <x:f>IF(A2107="","",E58)</x:f>
        <x:v>High</x:v>
      </x:c>
      <x:c r="E2107" s="1" t="str">
        <x:f>IF(A2107="","",H58)</x:f>
        <x:v>19147</x:v>
      </x:c>
      <x:c r="F2107" s="1" t="n">
        <x:f>IF(ISNUMBER(K58),K58,"")</x:f>
        <x:v>1242</x:v>
      </x:c>
      <x:c r="G2107" s="1" t="n">
        <x:f>IF(ISNUMBER(L58),L58,"")</x:f>
        <x:v>0.5998</x:v>
      </x:c>
      <x:c r="H2107" s="1" t="str">
        <x:f>IF(A2107="","",IF(AND(UPPER(G58)="PHILADELPHIA",OR(C2107="District",AND(C2107="Charter",D58="Yes"))),"Yes","No"))</x:f>
        <x:v>Yes</x:v>
      </x:c>
      <x:c r="I2107" s="1" t="n">
        <x:f>IF(OR(A2107="",COUNTIFS('Staff Review'!$A$8:$A$507,A2107)&lt;&gt;1),0,MATCH(A2107,'Staff Review'!$A$8:$A$507,0))</x:f>
        <x:v>4</x:v>
      </x:c>
      <x:c r="J2107" s="1" t="str">
        <x:f>IF(I2107=0,"No",IF(INDEX('Staff Review'!$C$8:$C$507,I2107)="Yes","Yes","No"))</x:f>
        <x:v>No</x:v>
      </x:c>
      <x:c r="K2107" s="1" t="n">
        <x:f>IF(AI2107="Yes",INDEX('Staff Review'!$D$8:$D$507,I2107),IF(AB2107=0,"",IF(COUNT(INDEX($C$1531:$C$2030,AB2107))=1,INDEX($C$1531:$C$2030,AB2107),"")))</x:f>
        <x:v>0.20588081692677693</x:v>
      </x:c>
      <x:c r="L2107" s="1" t="n">
        <x:f>IF(AJ2107="Yes",INDEX('Staff Review'!$F$8:$F$507,I2107),IF(AB2107=0,"",IF(COUNT(INDEX($G$1531:$G$2030,AB2107))=1,INDEX($G$1531:$G$2030,AB2107),"")))</x:f>
        <x:v>11</x:v>
      </x:c>
      <x:c r="M2107" s="1" t="str">
        <x:f>IF(A2107="","",IF(AI2107="Yes","Verified","Listed"))</x:f>
        <x:v>Listed</x:v>
      </x:c>
      <x:c r="N2107" s="1" t="str">
        <x:f>IF(A2107="","",IF(AJ2107="Yes","Verified","Listed"))</x:f>
        <x:v>Listed</x:v>
      </x:c>
      <x:c r="O2107" s="1" t="n">
        <x:f>IF(AND(ISNUMBER(G2107),G2107&gt;=0,G2107&lt;=1),IF(G2107&gt;=0.9,30,IF(G2107&gt;=0.8,25,IF(G2107&gt;=0.7,20,IF(G2107&gt;=0.6,15,IF(G2107&gt;=0.5,10,IF(G2107&gt;=0.4,5,0)))))),"")</x:f>
        <x:v>10</x:v>
      </x:c>
      <x:c r="P2107" s="1" t="n">
        <x:f>IF(ISNUMBER(K2107),IF(K2107&lt;0,"",IF(K2107&gt;1,25,IF(K2107&gt;=0.75,20,IF(K2107&gt;=0.5,15,IF(K2107&gt;=0.25,10,5))))),"")</x:f>
        <x:v>5</x:v>
      </x:c>
      <x:c r="Q2107" s="1" t="n">
        <x:f>IF(NOT(ISNUMBER(L2107)),"",IF(AND(L2107&gt;=0,MOD(L2107,1)=0),MAX(0,25-5*L2107),""))</x:f>
        <x:v>0</x:v>
      </x:c>
      <x:c r="R2107" s="1" t="n">
        <x:f>IF(NOT(ISNUMBER(F2107)),"",IF(AND(F2107&gt;0,MOD(F2107,1)=0),IF(F2107&gt;=700,5,IF(F2107&gt;=500,4,IF(F2107&gt;=350,3,IF(F2107&gt;=200,2,1)))),""))</x:f>
        <x:v>5</x:v>
      </x:c>
      <x:c r="S2107" s="1" t="n">
        <x:f>IF(COUNT(O2107:R2107)=4,SUM(O2107:R2107),"")</x:f>
        <x:v>20</x:v>
      </x:c>
      <x:c r="T2107" s="1" t="n">
        <x:f>IF(OR(COUNT(O2107:R2107)&lt;&gt;4,COUNT('Top 15'!$B$35:$E$35)&lt;&gt;4,MIN('Top 15'!$B$35:$E$35)&lt;0,SUM('Top 15'!$B$35:$E$35)&lt;=0),"",ROUND(85*(O2107/30*'Top 15'!$B$35+P2107/25*'Top 15'!$C$35+Q2107/25*'Top 15'!$D$35+R2107/5*'Top 15'!$E$35)/SUM('Top 15'!$B$35:$E$35),6))</x:f>
        <x:v>20</x:v>
      </x:c>
      <x:c r="U2107" s="1" t="str">
        <x:f>IF(A2107="","",IF(AND(M2107="Verified",N2107="Verified"),"Verified",IF(AND(M2107="Listed",N2107="Listed"),"Listed","Mixed")))</x:f>
        <x:v>Listed</x:v>
      </x:c>
      <x:c r="V2107" s="1" t="str">
        <x:f>IF(A2107="","",IF(AK2107&lt;&gt;1,"Duplicate source ID",IF(COUNTIFS('Staff Review'!$A$8:$A$507,A2107)&gt;1,"Duplicate review ID",IF(H2107&lt;&gt;"Yes","Outside scope",IF(J2107="Yes","Already served",IF(NOT(ISNUMBER(T2107)),"Missing data","Candidate"))))))</x:f>
        <x:v>Candidate</x:v>
      </x:c>
      <x:c r="W2107" s="1" t="n">
        <x:f>IF(AL2107=0,"",1+COUNTIFS($AL$2051:$AL$2550,1,$T$2051:$T$2550,"&gt;"&amp;T2107)+COUNTIFS($AL$2051:$AL$2550,1,$T$2051:$T$2550,T2107,$G$2051:$G$2550,"&gt;"&amp;G2107)+COUNTIFS($AL$2051:$AL$2550,1,$T$2051:$T$2550,T2107,$G$2051:$G$2550,G2107,$F$2051:$F$2550,"&gt;"&amp;F2107)+COUNTIFS($AL$2051:$AL$2550,1,$T$2051:$T$2550,T2107,$G$2051:$G$2550,G2107,$F$2051:$F$2550,F2107,$AM$2051:$AM$2550,"&lt;"&amp;AM2107))</x:f>
        <x:v>279</x:v>
      </x:c>
      <x:c r="X2107" s="1" t="n">
        <x:f>IF(AL2107=0,"",1+COUNTIFS($AL$2051:$AL$2550,1,$T$2051:$T$2550,"&gt;"&amp;T2107))</x:f>
        <x:v>279</x:v>
      </x:c>
      <x:c r="Y2107" s="1" t="n">
        <x:f>IF(AND(H2107="Yes",OR(LEN('School Search'!$B$5)=0,ISNUMBER(SEARCH('School Search'!$B$5,B2107&amp;" "&amp;E2107&amp;" "&amp;A2107))),OR('School Search'!$D$5="All",C2107='School Search'!$D$5),OR('School Search'!$G$5="All eligible",AND('School Search'!$G$5="Not marked served",J2107&lt;&gt;"Yes"),AND('School Search'!$G$5="Missing data",V2107="Missing data"),AND('School Search'!$G$5="Marked served",J2107="Yes"))),1,0)</x:f>
        <x:v>1</x:v>
      </x:c>
      <x:c r="Z2107" s="1" t="n">
        <x:f>IF(Y2107=0,"",COUNTIFS($Y$2051:$Y$2550,1,$AO$2051:$AO$2550,"&lt;"&amp;AO2107)+COUNTIFS($Y$2051:Y2107,1,$AO$2051:AO2107,AO2107))</x:f>
        <x:v>279</x:v>
      </x:c>
      <x:c r="AA2107" s="1" t="str">
        <x:f>IF(NOT(ISNUMBER(S2107)),"Missing demographic or access input",TEXT(G2107,"0%")&amp;" economic need; "&amp;TEXT(K2107,"0.00")&amp;" mi fresh access; "&amp;L2107&amp;" nearby resources")</x:f>
        <x:v>60% economic need; 0.21 mi fresh access; 11 nearby resources</x:v>
      </x:c>
      <x:c r="AB2107" s="1" t="n">
        <x:f>IF(OR(A2107="",COUNTIFS($A$1531:$A$2030,A2107)&lt;&gt;1),0,MATCH(A2107,$A$1531:$A$2030,0))</x:f>
        <x:v>57</x:v>
      </x:c>
      <x:c r="AC2107" s="1" t="str">
        <x:f>IF(AB2107=0,"",INDEX($E$1531:$E$2030,AB2107))</x:f>
        <x:v>Hung Vuong Food Market</x:v>
      </x:c>
      <x:c r="AD2107" s="1" t="str">
        <x:f>IF(AB2107=0,"",INDEX($F$1531:$F$2030,AB2107))</x:f>
        <x:v>1122 Washington Ave, Philadelphia, PA, 19147</x:v>
      </x:c>
      <x:c r="AE2107" s="1" t="str">
        <x:f>IF(A2107="","",F58)</x:f>
        <x:v>1100 CATHARINE ST</x:v>
      </x:c>
      <x:c r="AF2107" s="1" t="n">
        <x:f>IF(ISNUMBER(I58),I58,"")</x:f>
        <x:v>39.94019787</x:v>
      </x:c>
      <x:c r="AG2107" s="1" t="n">
        <x:f>IF(ISNUMBER(J58),J58,"")</x:f>
        <x:v>-75.16194915</x:v>
      </x:c>
      <x:c r="AH2107" s="1" t="str">
        <x:f>IF(I2107=0,"Not contacted",IF(INDEX('Staff Review'!$J$8:$J$507,I2107)="","Not contacted",INDEX('Staff Review'!$J$8:$J$507,I2107)))</x:f>
        <x:v>Not contacted</x:v>
      </x:c>
      <x:c r="AI2107" s="1" t="str">
        <x:f>IF(I2107=0,"No",IF(AND(COUNT(INDEX('Staff Review'!$D$8:$D$507,I2107))=1,INDEX('Staff Review'!$D$8:$D$507,I2107)&gt;=0,COUNT(INDEX('Staff Review'!$E$8:$E$507,I2107))=1,INDEX('Staff Review'!$E$8:$E$507,I2107)&gt;0,INDEX('Staff Review'!$E$8:$E$507,I2107)&lt;='Top 15'!$E$5,'Top 15'!$E$5-INDEX('Staff Review'!$E$8:$E$507,I2107)&lt;='Top 15'!$H$5,LEN(INDEX('Staff Review'!$H$8:$H$507,I2107))&gt;0),"Yes","No"))</x:f>
        <x:v>No</x:v>
      </x:c>
      <x:c r="AJ2107" s="1" t="str">
        <x:f>IF(I2107=0,"No",IF(COUNT(INDEX('Staff Review'!$F$8:$F$507,I2107))&lt;&gt;1,"No",IF(AND(INDEX('Staff Review'!$F$8:$F$507,I2107)&gt;=0,MOD(INDEX('Staff Review'!$F$8:$F$507,I2107),1)=0,COUNT(INDEX('Staff Review'!$G$8:$G$507,I2107))=1,INDEX('Staff Review'!$G$8:$G$507,I2107)&gt;0,INDEX('Staff Review'!$G$8:$G$507,I2107)&lt;='Top 15'!$E$5,'Top 15'!$E$5-INDEX('Staff Review'!$G$8:$G$507,I2107)&lt;='Top 15'!$H$5,LEN(INDEX('Staff Review'!$H$8:$H$507,I2107))&gt;0),"Yes","No")))</x:f>
        <x:v>No</x:v>
      </x:c>
      <x:c r="AK2107" s="1" t="n">
        <x:f>IF(A2107="",0,COUNTIFS($A$2:$A$501,A2107))</x:f>
        <x:v>1</x:v>
      </x:c>
      <x:c r="AL2107" s="1" t="n">
        <x:f>IF(V2107="Candidate",1,0)</x:f>
        <x:v>1</x:v>
      </x:c>
      <x:c r="AM2107" s="1" t="n">
        <x:f>IF(A2107="",0,VALUE(A2107))</x:f>
        <x:v>2620</x:v>
      </x:c>
      <x:c r="AN2107" s="1" t="n">
        <x:f>IF(OR(A2107="",COUNTIFS($T$41:$T$540,A2107)&lt;&gt;1),0,MATCH(A2107,$T$41:$T$540,0))</x:f>
        <x:v>57</x:v>
      </x:c>
      <x:c r="AO2107" t="n">
        <x:f>IF(ISNUMBER(W2107),W2107,10000+AM2107)</x:f>
        <x:v>279</x:v>
      </x:c>
    </x:row>
    <x:row r="2108" ht="22" customHeight="1">
      <x:c r="A2108" s="1" t="str">
        <x:f>IF(A59="","",A59)</x:f>
        <x:v>2630</x:v>
      </x:c>
      <x:c r="B2108" s="1" t="str">
        <x:f>IF(A2108="","",B59)</x:f>
        <x:v>George W. Sharswood School</x:v>
      </x:c>
      <x:c r="C2108" s="1" t="str">
        <x:f>IF(A2108="","",C59)</x:f>
        <x:v>District</x:v>
      </x:c>
      <x:c r="D2108" s="1" t="str">
        <x:f>IF(A2108="","",E59)</x:f>
        <x:v>Elementary-Middle</x:v>
      </x:c>
      <x:c r="E2108" s="1" t="str">
        <x:f>IF(A2108="","",H59)</x:f>
        <x:v>19148</x:v>
      </x:c>
      <x:c r="F2108" s="1" t="n">
        <x:f>IF(ISNUMBER(K59),K59,"")</x:f>
        <x:v>317</x:v>
      </x:c>
      <x:c r="G2108" s="1" t="n">
        <x:f>IF(ISNUMBER(L59),L59,"")</x:f>
        <x:v>0.7977</x:v>
      </x:c>
      <x:c r="H2108" s="1" t="str">
        <x:f>IF(A2108="","",IF(AND(UPPER(G59)="PHILADELPHIA",OR(C2108="District",AND(C2108="Charter",D59="Yes"))),"Yes","No"))</x:f>
        <x:v>Yes</x:v>
      </x:c>
      <x:c r="I2108" s="1" t="n">
        <x:f>IF(OR(A2108="",COUNTIFS('Staff Review'!$A$8:$A$507,A2108)&lt;&gt;1),0,MATCH(A2108,'Staff Review'!$A$8:$A$507,0))</x:f>
        <x:v>96</x:v>
      </x:c>
      <x:c r="J2108" s="1" t="str">
        <x:f>IF(I2108=0,"No",IF(INDEX('Staff Review'!$C$8:$C$507,I2108)="Yes","Yes","No"))</x:f>
        <x:v>No</x:v>
      </x:c>
      <x:c r="K2108" s="1" t="n">
        <x:f>IF(AI2108="Yes",INDEX('Staff Review'!$D$8:$D$507,I2108),IF(AB2108=0,"",IF(COUNT(INDEX($C$1531:$C$2030,AB2108))=1,INDEX($C$1531:$C$2030,AB2108),"")))</x:f>
        <x:v>0.24947051507250717</x:v>
      </x:c>
      <x:c r="L2108" s="1" t="n">
        <x:f>IF(AJ2108="Yes",INDEX('Staff Review'!$F$8:$F$507,I2108),IF(AB2108=0,"",IF(COUNT(INDEX($G$1531:$G$2030,AB2108))=1,INDEX($G$1531:$G$2030,AB2108),"")))</x:f>
        <x:v>4</x:v>
      </x:c>
      <x:c r="M2108" s="1" t="str">
        <x:f>IF(A2108="","",IF(AI2108="Yes","Verified","Listed"))</x:f>
        <x:v>Listed</x:v>
      </x:c>
      <x:c r="N2108" s="1" t="str">
        <x:f>IF(A2108="","",IF(AJ2108="Yes","Verified","Listed"))</x:f>
        <x:v>Listed</x:v>
      </x:c>
      <x:c r="O2108" s="1" t="n">
        <x:f>IF(AND(ISNUMBER(G2108),G2108&gt;=0,G2108&lt;=1),IF(G2108&gt;=0.9,30,IF(G2108&gt;=0.8,25,IF(G2108&gt;=0.7,20,IF(G2108&gt;=0.6,15,IF(G2108&gt;=0.5,10,IF(G2108&gt;=0.4,5,0)))))),"")</x:f>
        <x:v>20</x:v>
      </x:c>
      <x:c r="P2108" s="1" t="n">
        <x:f>IF(ISNUMBER(K2108),IF(K2108&lt;0,"",IF(K2108&gt;1,25,IF(K2108&gt;=0.75,20,IF(K2108&gt;=0.5,15,IF(K2108&gt;=0.25,10,5))))),"")</x:f>
        <x:v>5</x:v>
      </x:c>
      <x:c r="Q2108" s="1" t="n">
        <x:f>IF(NOT(ISNUMBER(L2108)),"",IF(AND(L2108&gt;=0,MOD(L2108,1)=0),MAX(0,25-5*L2108),""))</x:f>
        <x:v>5</x:v>
      </x:c>
      <x:c r="R2108" s="1" t="n">
        <x:f>IF(NOT(ISNUMBER(F2108)),"",IF(AND(F2108&gt;0,MOD(F2108,1)=0),IF(F2108&gt;=700,5,IF(F2108&gt;=500,4,IF(F2108&gt;=350,3,IF(F2108&gt;=200,2,1)))),""))</x:f>
        <x:v>2</x:v>
      </x:c>
      <x:c r="S2108" s="1" t="n">
        <x:f>IF(COUNT(O2108:R2108)=4,SUM(O2108:R2108),"")</x:f>
        <x:v>32</x:v>
      </x:c>
      <x:c r="T2108" s="1" t="n">
        <x:f>IF(OR(COUNT(O2108:R2108)&lt;&gt;4,COUNT('Top 15'!$B$35:$E$35)&lt;&gt;4,MIN('Top 15'!$B$35:$E$35)&lt;0,SUM('Top 15'!$B$35:$E$35)&lt;=0),"",ROUND(85*(O2108/30*'Top 15'!$B$35+P2108/25*'Top 15'!$C$35+Q2108/25*'Top 15'!$D$35+R2108/5*'Top 15'!$E$35)/SUM('Top 15'!$B$35:$E$35),6))</x:f>
        <x:v>32</x:v>
      </x:c>
      <x:c r="U2108" s="1" t="str">
        <x:f>IF(A2108="","",IF(AND(M2108="Verified",N2108="Verified"),"Verified",IF(AND(M2108="Listed",N2108="Listed"),"Listed","Mixed")))</x:f>
        <x:v>Listed</x:v>
      </x:c>
      <x:c r="V2108" s="1" t="str">
        <x:f>IF(A2108="","",IF(AK2108&lt;&gt;1,"Duplicate source ID",IF(COUNTIFS('Staff Review'!$A$8:$A$507,A2108)&gt;1,"Duplicate review ID",IF(H2108&lt;&gt;"Yes","Outside scope",IF(J2108="Yes","Already served",IF(NOT(ISNUMBER(T2108)),"Missing data","Candidate"))))))</x:f>
        <x:v>Candidate</x:v>
      </x:c>
      <x:c r="W2108" s="1" t="n">
        <x:f>IF(AL2108=0,"",1+COUNTIFS($AL$2051:$AL$2550,1,$T$2051:$T$2550,"&gt;"&amp;T2108)+COUNTIFS($AL$2051:$AL$2550,1,$T$2051:$T$2550,T2108,$G$2051:$G$2550,"&gt;"&amp;G2108)+COUNTIFS($AL$2051:$AL$2550,1,$T$2051:$T$2550,T2108,$G$2051:$G$2550,G2108,$F$2051:$F$2550,"&gt;"&amp;F2108)+COUNTIFS($AL$2051:$AL$2550,1,$T$2051:$T$2550,T2108,$G$2051:$G$2550,G2108,$F$2051:$F$2550,F2108,$AM$2051:$AM$2550,"&lt;"&amp;AM2108))</x:f>
        <x:v>248</x:v>
      </x:c>
      <x:c r="X2108" s="1" t="n">
        <x:f>IF(AL2108=0,"",1+COUNTIFS($AL$2051:$AL$2550,1,$T$2051:$T$2550,"&gt;"&amp;T2108))</x:f>
        <x:v>243</x:v>
      </x:c>
      <x:c r="Y2108" s="1" t="n">
        <x:f>IF(AND(H2108="Yes",OR(LEN('School Search'!$B$5)=0,ISNUMBER(SEARCH('School Search'!$B$5,B2108&amp;" "&amp;E2108&amp;" "&amp;A2108))),OR('School Search'!$D$5="All",C2108='School Search'!$D$5),OR('School Search'!$G$5="All eligible",AND('School Search'!$G$5="Not marked served",J2108&lt;&gt;"Yes"),AND('School Search'!$G$5="Missing data",V2108="Missing data"),AND('School Search'!$G$5="Marked served",J2108="Yes"))),1,0)</x:f>
        <x:v>1</x:v>
      </x:c>
      <x:c r="Z2108" s="1" t="n">
        <x:f>IF(Y2108=0,"",COUNTIFS($Y$2051:$Y$2550,1,$AO$2051:$AO$2550,"&lt;"&amp;AO2108)+COUNTIFS($Y$2051:Y2108,1,$AO$2051:AO2108,AO2108))</x:f>
        <x:v>248</x:v>
      </x:c>
      <x:c r="AA2108" s="1" t="str">
        <x:f>IF(NOT(ISNUMBER(S2108)),"Missing demographic or access input",TEXT(G2108,"0%")&amp;" economic need; "&amp;TEXT(K2108,"0.00")&amp;" mi fresh access; "&amp;L2108&amp;" nearby resources")</x:f>
        <x:v>80% economic need; 0.25 mi fresh access; 4 nearby resources</x:v>
      </x:c>
      <x:c r="AB2108" s="1" t="n">
        <x:f>IF(OR(A2108="",COUNTIFS($A$1531:$A$2030,A2108)&lt;&gt;1),0,MATCH(A2108,$A$1531:$A$2030,0))</x:f>
        <x:v>58</x:v>
      </x:c>
      <x:c r="AC2108" s="1" t="str">
        <x:f>IF(AB2108=0,"",INDEX($E$1531:$E$2030,AB2108))</x:f>
        <x:v>ACME 2771</x:v>
      </x:c>
      <x:c r="AD2108" s="1" t="str">
        <x:f>IF(AB2108=0,"",INDEX($F$1531:$F$2030,AB2108))</x:f>
        <x:v>29 Snyder Ave, Philadelphia, PA, 19148</x:v>
      </x:c>
      <x:c r="AE2108" s="1" t="str">
        <x:f>IF(A2108="","",F59)</x:f>
        <x:v>2300 S 2ND ST</x:v>
      </x:c>
      <x:c r="AF2108" s="1" t="n">
        <x:f>IF(ISNUMBER(I59),I59,"")</x:f>
        <x:v>39.91935714</x:v>
      </x:c>
      <x:c r="AG2108" s="1" t="n">
        <x:f>IF(ISNUMBER(J59),J59,"")</x:f>
        <x:v>-75.15055053</x:v>
      </x:c>
      <x:c r="AH2108" s="1" t="str">
        <x:f>IF(I2108=0,"Not contacted",IF(INDEX('Staff Review'!$J$8:$J$507,I2108)="","Not contacted",INDEX('Staff Review'!$J$8:$J$507,I2108)))</x:f>
        <x:v>Not contacted</x:v>
      </x:c>
      <x:c r="AI2108" s="1" t="str">
        <x:f>IF(I2108=0,"No",IF(AND(COUNT(INDEX('Staff Review'!$D$8:$D$507,I2108))=1,INDEX('Staff Review'!$D$8:$D$507,I2108)&gt;=0,COUNT(INDEX('Staff Review'!$E$8:$E$507,I2108))=1,INDEX('Staff Review'!$E$8:$E$507,I2108)&gt;0,INDEX('Staff Review'!$E$8:$E$507,I2108)&lt;='Top 15'!$E$5,'Top 15'!$E$5-INDEX('Staff Review'!$E$8:$E$507,I2108)&lt;='Top 15'!$H$5,LEN(INDEX('Staff Review'!$H$8:$H$507,I2108))&gt;0),"Yes","No"))</x:f>
        <x:v>No</x:v>
      </x:c>
      <x:c r="AJ2108" s="1" t="str">
        <x:f>IF(I2108=0,"No",IF(COUNT(INDEX('Staff Review'!$F$8:$F$507,I2108))&lt;&gt;1,"No",IF(AND(INDEX('Staff Review'!$F$8:$F$507,I2108)&gt;=0,MOD(INDEX('Staff Review'!$F$8:$F$507,I2108),1)=0,COUNT(INDEX('Staff Review'!$G$8:$G$507,I2108))=1,INDEX('Staff Review'!$G$8:$G$507,I2108)&gt;0,INDEX('Staff Review'!$G$8:$G$507,I2108)&lt;='Top 15'!$E$5,'Top 15'!$E$5-INDEX('Staff Review'!$G$8:$G$507,I2108)&lt;='Top 15'!$H$5,LEN(INDEX('Staff Review'!$H$8:$H$507,I2108))&gt;0),"Yes","No")))</x:f>
        <x:v>No</x:v>
      </x:c>
      <x:c r="AK2108" s="1" t="n">
        <x:f>IF(A2108="",0,COUNTIFS($A$2:$A$501,A2108))</x:f>
        <x:v>1</x:v>
      </x:c>
      <x:c r="AL2108" s="1" t="n">
        <x:f>IF(V2108="Candidate",1,0)</x:f>
        <x:v>1</x:v>
      </x:c>
      <x:c r="AM2108" s="1" t="n">
        <x:f>IF(A2108="",0,VALUE(A2108))</x:f>
        <x:v>2630</x:v>
      </x:c>
      <x:c r="AN2108" s="1" t="n">
        <x:f>IF(OR(A2108="",COUNTIFS($T$41:$T$540,A2108)&lt;&gt;1),0,MATCH(A2108,$T$41:$T$540,0))</x:f>
        <x:v>58</x:v>
      </x:c>
      <x:c r="AO2108" t="n">
        <x:f>IF(ISNUMBER(W2108),W2108,10000+AM2108)</x:f>
        <x:v>248</x:v>
      </x:c>
    </x:row>
    <x:row r="2109" ht="22" customHeight="1">
      <x:c r="A2109" s="1" t="str">
        <x:f>IF(A60="","",A60)</x:f>
        <x:v>2640</x:v>
      </x:c>
      <x:c r="B2109" s="1" t="str">
        <x:f>IF(A2109="","",B60)</x:f>
        <x:v>Southwark School</x:v>
      </x:c>
      <x:c r="C2109" s="1" t="str">
        <x:f>IF(A2109="","",C60)</x:f>
        <x:v>District</x:v>
      </x:c>
      <x:c r="D2109" s="1" t="str">
        <x:f>IF(A2109="","",E60)</x:f>
        <x:v>Elementary-Middle</x:v>
      </x:c>
      <x:c r="E2109" s="1" t="str">
        <x:f>IF(A2109="","",H60)</x:f>
        <x:v>19148</x:v>
      </x:c>
      <x:c r="F2109" s="1" t="n">
        <x:f>IF(ISNUMBER(K60),K60,"")</x:f>
        <x:v>889</x:v>
      </x:c>
      <x:c r="G2109" s="1" t="n">
        <x:f>IF(ISNUMBER(L60),L60,"")</x:f>
        <x:v>0.7478</x:v>
      </x:c>
      <x:c r="H2109" s="1" t="str">
        <x:f>IF(A2109="","",IF(AND(UPPER(G60)="PHILADELPHIA",OR(C2109="District",AND(C2109="Charter",D60="Yes"))),"Yes","No"))</x:f>
        <x:v>Yes</x:v>
      </x:c>
      <x:c r="I2109" s="1" t="n">
        <x:f>IF(OR(A2109="",COUNTIFS('Staff Review'!$A$8:$A$507,A2109)&lt;&gt;1),0,MATCH(A2109,'Staff Review'!$A$8:$A$507,0))</x:f>
        <x:v>272</x:v>
      </x:c>
      <x:c r="J2109" s="1" t="str">
        <x:f>IF(I2109=0,"No",IF(INDEX('Staff Review'!$C$8:$C$507,I2109)="Yes","Yes","No"))</x:f>
        <x:v>No</x:v>
      </x:c>
      <x:c r="K2109" s="1" t="n">
        <x:f>IF(AI2109="Yes",INDEX('Staff Review'!$D$8:$D$507,I2109),IF(AB2109=0,"",IF(COUNT(INDEX($C$1531:$C$2030,AB2109))=1,INDEX($C$1531:$C$2030,AB2109),"")))</x:f>
        <x:v>0.41951697224983825</x:v>
      </x:c>
      <x:c r="L2109" s="1" t="n">
        <x:f>IF(AJ2109="Yes",INDEX('Staff Review'!$F$8:$F$507,I2109),IF(AB2109=0,"",IF(COUNT(INDEX($G$1531:$G$2030,AB2109))=1,INDEX($G$1531:$G$2030,AB2109),"")))</x:f>
        <x:v>8</x:v>
      </x:c>
      <x:c r="M2109" s="1" t="str">
        <x:f>IF(A2109="","",IF(AI2109="Yes","Verified","Listed"))</x:f>
        <x:v>Listed</x:v>
      </x:c>
      <x:c r="N2109" s="1" t="str">
        <x:f>IF(A2109="","",IF(AJ2109="Yes","Verified","Listed"))</x:f>
        <x:v>Listed</x:v>
      </x:c>
      <x:c r="O2109" s="1" t="n">
        <x:f>IF(AND(ISNUMBER(G2109),G2109&gt;=0,G2109&lt;=1),IF(G2109&gt;=0.9,30,IF(G2109&gt;=0.8,25,IF(G2109&gt;=0.7,20,IF(G2109&gt;=0.6,15,IF(G2109&gt;=0.5,10,IF(G2109&gt;=0.4,5,0)))))),"")</x:f>
        <x:v>20</x:v>
      </x:c>
      <x:c r="P2109" s="1" t="n">
        <x:f>IF(ISNUMBER(K2109),IF(K2109&lt;0,"",IF(K2109&gt;1,25,IF(K2109&gt;=0.75,20,IF(K2109&gt;=0.5,15,IF(K2109&gt;=0.25,10,5))))),"")</x:f>
        <x:v>10</x:v>
      </x:c>
      <x:c r="Q2109" s="1" t="n">
        <x:f>IF(NOT(ISNUMBER(L2109)),"",IF(AND(L2109&gt;=0,MOD(L2109,1)=0),MAX(0,25-5*L2109),""))</x:f>
        <x:v>0</x:v>
      </x:c>
      <x:c r="R2109" s="1" t="n">
        <x:f>IF(NOT(ISNUMBER(F2109)),"",IF(AND(F2109&gt;0,MOD(F2109,1)=0),IF(F2109&gt;=700,5,IF(F2109&gt;=500,4,IF(F2109&gt;=350,3,IF(F2109&gt;=200,2,1)))),""))</x:f>
        <x:v>5</x:v>
      </x:c>
      <x:c r="S2109" s="1" t="n">
        <x:f>IF(COUNT(O2109:R2109)=4,SUM(O2109:R2109),"")</x:f>
        <x:v>35</x:v>
      </x:c>
      <x:c r="T2109" s="1" t="n">
        <x:f>IF(OR(COUNT(O2109:R2109)&lt;&gt;4,COUNT('Top 15'!$B$35:$E$35)&lt;&gt;4,MIN('Top 15'!$B$35:$E$35)&lt;0,SUM('Top 15'!$B$35:$E$35)&lt;=0),"",ROUND(85*(O2109/30*'Top 15'!$B$35+P2109/25*'Top 15'!$C$35+Q2109/25*'Top 15'!$D$35+R2109/5*'Top 15'!$E$35)/SUM('Top 15'!$B$35:$E$35),6))</x:f>
        <x:v>35</x:v>
      </x:c>
      <x:c r="U2109" s="1" t="str">
        <x:f>IF(A2109="","",IF(AND(M2109="Verified",N2109="Verified"),"Verified",IF(AND(M2109="Listed",N2109="Listed"),"Listed","Mixed")))</x:f>
        <x:v>Listed</x:v>
      </x:c>
      <x:c r="V2109" s="1" t="str">
        <x:f>IF(A2109="","",IF(AK2109&lt;&gt;1,"Duplicate source ID",IF(COUNTIFS('Staff Review'!$A$8:$A$507,A2109)&gt;1,"Duplicate review ID",IF(H2109&lt;&gt;"Yes","Outside scope",IF(J2109="Yes","Already served",IF(NOT(ISNUMBER(T2109)),"Missing data","Candidate"))))))</x:f>
        <x:v>Candidate</x:v>
      </x:c>
      <x:c r="W2109" s="1" t="n">
        <x:f>IF(AL2109=0,"",1+COUNTIFS($AL$2051:$AL$2550,1,$T$2051:$T$2550,"&gt;"&amp;T2109)+COUNTIFS($AL$2051:$AL$2550,1,$T$2051:$T$2550,T2109,$G$2051:$G$2550,"&gt;"&amp;G2109)+COUNTIFS($AL$2051:$AL$2550,1,$T$2051:$T$2550,T2109,$G$2051:$G$2550,G2109,$F$2051:$F$2550,"&gt;"&amp;F2109)+COUNTIFS($AL$2051:$AL$2550,1,$T$2051:$T$2550,T2109,$G$2051:$G$2550,G2109,$F$2051:$F$2550,F2109,$AM$2051:$AM$2550,"&lt;"&amp;AM2109))</x:f>
        <x:v>214</x:v>
      </x:c>
      <x:c r="X2109" s="1" t="n">
        <x:f>IF(AL2109=0,"",1+COUNTIFS($AL$2051:$AL$2550,1,$T$2051:$T$2550,"&gt;"&amp;T2109))</x:f>
        <x:v>210</x:v>
      </x:c>
      <x:c r="Y2109" s="1" t="n">
        <x:f>IF(AND(H2109="Yes",OR(LEN('School Search'!$B$5)=0,ISNUMBER(SEARCH('School Search'!$B$5,B2109&amp;" "&amp;E2109&amp;" "&amp;A2109))),OR('School Search'!$D$5="All",C2109='School Search'!$D$5),OR('School Search'!$G$5="All eligible",AND('School Search'!$G$5="Not marked served",J2109&lt;&gt;"Yes"),AND('School Search'!$G$5="Missing data",V2109="Missing data"),AND('School Search'!$G$5="Marked served",J2109="Yes"))),1,0)</x:f>
        <x:v>1</x:v>
      </x:c>
      <x:c r="Z2109" s="1" t="n">
        <x:f>IF(Y2109=0,"",COUNTIFS($Y$2051:$Y$2550,1,$AO$2051:$AO$2550,"&lt;"&amp;AO2109)+COUNTIFS($Y$2051:Y2109,1,$AO$2051:AO2109,AO2109))</x:f>
        <x:v>214</x:v>
      </x:c>
      <x:c r="AA2109" s="1" t="str">
        <x:f>IF(NOT(ISNUMBER(S2109)),"Missing demographic or access input",TEXT(G2109,"0%")&amp;" economic need; "&amp;TEXT(K2109,"0.00")&amp;" mi fresh access; "&amp;L2109&amp;" nearby resources")</x:f>
        <x:v>75% economic need; 0.42 mi fresh access; 8 nearby resources</x:v>
      </x:c>
      <x:c r="AB2109" s="1" t="n">
        <x:f>IF(OR(A2109="",COUNTIFS($A$1531:$A$2030,A2109)&lt;&gt;1),0,MATCH(A2109,$A$1531:$A$2030,0))</x:f>
        <x:v>59</x:v>
      </x:c>
      <x:c r="AC2109" s="1" t="str">
        <x:f>IF(AB2109=0,"",INDEX($E$1531:$E$2030,AB2109))</x:f>
        <x:v>ACME 726</x:v>
      </x:c>
      <x:c r="AD2109" s="1" t="str">
        <x:f>IF(AB2109=0,"",INDEX($F$1531:$F$2030,AB2109))</x:f>
        <x:v>1400 E Passyunk Ave, Philadelphia, PA, 19147</x:v>
      </x:c>
      <x:c r="AE2109" s="1" t="str">
        <x:f>IF(A2109="","",F60)</x:f>
        <x:v>1835 S 9TH ST</x:v>
      </x:c>
      <x:c r="AF2109" s="1" t="n">
        <x:f>IF(ISNUMBER(I60),I60,"")</x:f>
        <x:v>39.92637775</x:v>
      </x:c>
      <x:c r="AG2109" s="1" t="n">
        <x:f>IF(ISNUMBER(J60),J60,"")</x:f>
        <x:v>-75.16053168</x:v>
      </x:c>
      <x:c r="AH2109" s="1" t="str">
        <x:f>IF(I2109=0,"Not contacted",IF(INDEX('Staff Review'!$J$8:$J$507,I2109)="","Not contacted",INDEX('Staff Review'!$J$8:$J$507,I2109)))</x:f>
        <x:v>Not contacted</x:v>
      </x:c>
      <x:c r="AI2109" s="1" t="str">
        <x:f>IF(I2109=0,"No",IF(AND(COUNT(INDEX('Staff Review'!$D$8:$D$507,I2109))=1,INDEX('Staff Review'!$D$8:$D$507,I2109)&gt;=0,COUNT(INDEX('Staff Review'!$E$8:$E$507,I2109))=1,INDEX('Staff Review'!$E$8:$E$507,I2109)&gt;0,INDEX('Staff Review'!$E$8:$E$507,I2109)&lt;='Top 15'!$E$5,'Top 15'!$E$5-INDEX('Staff Review'!$E$8:$E$507,I2109)&lt;='Top 15'!$H$5,LEN(INDEX('Staff Review'!$H$8:$H$507,I2109))&gt;0),"Yes","No"))</x:f>
        <x:v>No</x:v>
      </x:c>
      <x:c r="AJ2109" s="1" t="str">
        <x:f>IF(I2109=0,"No",IF(COUNT(INDEX('Staff Review'!$F$8:$F$507,I2109))&lt;&gt;1,"No",IF(AND(INDEX('Staff Review'!$F$8:$F$507,I2109)&gt;=0,MOD(INDEX('Staff Review'!$F$8:$F$507,I2109),1)=0,COUNT(INDEX('Staff Review'!$G$8:$G$507,I2109))=1,INDEX('Staff Review'!$G$8:$G$507,I2109)&gt;0,INDEX('Staff Review'!$G$8:$G$507,I2109)&lt;='Top 15'!$E$5,'Top 15'!$E$5-INDEX('Staff Review'!$G$8:$G$507,I2109)&lt;='Top 15'!$H$5,LEN(INDEX('Staff Review'!$H$8:$H$507,I2109))&gt;0),"Yes","No")))</x:f>
        <x:v>No</x:v>
      </x:c>
      <x:c r="AK2109" s="1" t="n">
        <x:f>IF(A2109="",0,COUNTIFS($A$2:$A$501,A2109))</x:f>
        <x:v>1</x:v>
      </x:c>
      <x:c r="AL2109" s="1" t="n">
        <x:f>IF(V2109="Candidate",1,0)</x:f>
        <x:v>1</x:v>
      </x:c>
      <x:c r="AM2109" s="1" t="n">
        <x:f>IF(A2109="",0,VALUE(A2109))</x:f>
        <x:v>2640</x:v>
      </x:c>
      <x:c r="AN2109" s="1" t="n">
        <x:f>IF(OR(A2109="",COUNTIFS($T$41:$T$540,A2109)&lt;&gt;1),0,MATCH(A2109,$T$41:$T$540,0))</x:f>
        <x:v>59</x:v>
      </x:c>
      <x:c r="AO2109" t="n">
        <x:f>IF(ISNUMBER(W2109),W2109,10000+AM2109)</x:f>
        <x:v>214</x:v>
      </x:c>
    </x:row>
    <x:row r="2110" ht="22" customHeight="1">
      <x:c r="A2110" s="1" t="str">
        <x:f>IF(A61="","",A61)</x:f>
        <x:v>2650</x:v>
      </x:c>
      <x:c r="B2110" s="1" t="str">
        <x:f>IF(A2110="","",B61)</x:f>
        <x:v>Science Leadership Academy High School</x:v>
      </x:c>
      <x:c r="C2110" s="1" t="str">
        <x:f>IF(A2110="","",C61)</x:f>
        <x:v>District</x:v>
      </x:c>
      <x:c r="D2110" s="1" t="str">
        <x:f>IF(A2110="","",E61)</x:f>
        <x:v>High</x:v>
      </x:c>
      <x:c r="E2110" s="1" t="str">
        <x:f>IF(A2110="","",H61)</x:f>
        <x:v>19130</x:v>
      </x:c>
      <x:c r="F2110" s="1" t="n">
        <x:f>IF(ISNUMBER(K61),K61,"")</x:f>
        <x:v>510</x:v>
      </x:c>
      <x:c r="G2110" s="1" t="n">
        <x:f>IF(ISNUMBER(L61),L61,"")</x:f>
        <x:v>0.4627</x:v>
      </x:c>
      <x:c r="H2110" s="1" t="str">
        <x:f>IF(A2110="","",IF(AND(UPPER(G61)="PHILADELPHIA",OR(C2110="District",AND(C2110="Charter",D61="Yes"))),"Yes","No"))</x:f>
        <x:v>Yes</x:v>
      </x:c>
      <x:c r="I2110" s="1" t="n">
        <x:f>IF(OR(A2110="",COUNTIFS('Staff Review'!$A$8:$A$507,A2110)&lt;&gt;1),0,MATCH(A2110,'Staff Review'!$A$8:$A$507,0))</x:f>
        <x:v>266</x:v>
      </x:c>
      <x:c r="J2110" s="1" t="str">
        <x:f>IF(I2110=0,"No",IF(INDEX('Staff Review'!$C$8:$C$507,I2110)="Yes","Yes","No"))</x:f>
        <x:v>No</x:v>
      </x:c>
      <x:c r="K2110" s="1" t="n">
        <x:f>IF(AI2110="Yes",INDEX('Staff Review'!$D$8:$D$507,I2110),IF(AB2110=0,"",IF(COUNT(INDEX($C$1531:$C$2030,AB2110))=1,INDEX($C$1531:$C$2030,AB2110),"")))</x:f>
        <x:v>0.05275537935564013</x:v>
      </x:c>
      <x:c r="L2110" s="1" t="n">
        <x:f>IF(AJ2110="Yes",INDEX('Staff Review'!$F$8:$F$507,I2110),IF(AB2110=0,"",IF(COUNT(INDEX($G$1531:$G$2030,AB2110))=1,INDEX($G$1531:$G$2030,AB2110),"")))</x:f>
        <x:v>10</x:v>
      </x:c>
      <x:c r="M2110" s="1" t="str">
        <x:f>IF(A2110="","",IF(AI2110="Yes","Verified","Listed"))</x:f>
        <x:v>Listed</x:v>
      </x:c>
      <x:c r="N2110" s="1" t="str">
        <x:f>IF(A2110="","",IF(AJ2110="Yes","Verified","Listed"))</x:f>
        <x:v>Listed</x:v>
      </x:c>
      <x:c r="O2110" s="1" t="n">
        <x:f>IF(AND(ISNUMBER(G2110),G2110&gt;=0,G2110&lt;=1),IF(G2110&gt;=0.9,30,IF(G2110&gt;=0.8,25,IF(G2110&gt;=0.7,20,IF(G2110&gt;=0.6,15,IF(G2110&gt;=0.5,10,IF(G2110&gt;=0.4,5,0)))))),"")</x:f>
        <x:v>5</x:v>
      </x:c>
      <x:c r="P2110" s="1" t="n">
        <x:f>IF(ISNUMBER(K2110),IF(K2110&lt;0,"",IF(K2110&gt;1,25,IF(K2110&gt;=0.75,20,IF(K2110&gt;=0.5,15,IF(K2110&gt;=0.25,10,5))))),"")</x:f>
        <x:v>5</x:v>
      </x:c>
      <x:c r="Q2110" s="1" t="n">
        <x:f>IF(NOT(ISNUMBER(L2110)),"",IF(AND(L2110&gt;=0,MOD(L2110,1)=0),MAX(0,25-5*L2110),""))</x:f>
        <x:v>0</x:v>
      </x:c>
      <x:c r="R2110" s="1" t="n">
        <x:f>IF(NOT(ISNUMBER(F2110)),"",IF(AND(F2110&gt;0,MOD(F2110,1)=0),IF(F2110&gt;=700,5,IF(F2110&gt;=500,4,IF(F2110&gt;=350,3,IF(F2110&gt;=200,2,1)))),""))</x:f>
        <x:v>4</x:v>
      </x:c>
      <x:c r="S2110" s="1" t="n">
        <x:f>IF(COUNT(O2110:R2110)=4,SUM(O2110:R2110),"")</x:f>
        <x:v>14</x:v>
      </x:c>
      <x:c r="T2110" s="1" t="n">
        <x:f>IF(OR(COUNT(O2110:R2110)&lt;&gt;4,COUNT('Top 15'!$B$35:$E$35)&lt;&gt;4,MIN('Top 15'!$B$35:$E$35)&lt;0,SUM('Top 15'!$B$35:$E$35)&lt;=0),"",ROUND(85*(O2110/30*'Top 15'!$B$35+P2110/25*'Top 15'!$C$35+Q2110/25*'Top 15'!$D$35+R2110/5*'Top 15'!$E$35)/SUM('Top 15'!$B$35:$E$35),6))</x:f>
        <x:v>14</x:v>
      </x:c>
      <x:c r="U2110" s="1" t="str">
        <x:f>IF(A2110="","",IF(AND(M2110="Verified",N2110="Verified"),"Verified",IF(AND(M2110="Listed",N2110="Listed"),"Listed","Mixed")))</x:f>
        <x:v>Listed</x:v>
      </x:c>
      <x:c r="V2110" s="1" t="str">
        <x:f>IF(A2110="","",IF(AK2110&lt;&gt;1,"Duplicate source ID",IF(COUNTIFS('Staff Review'!$A$8:$A$507,A2110)&gt;1,"Duplicate review ID",IF(H2110&lt;&gt;"Yes","Outside scope",IF(J2110="Yes","Already served",IF(NOT(ISNUMBER(T2110)),"Missing data","Candidate"))))))</x:f>
        <x:v>Candidate</x:v>
      </x:c>
      <x:c r="W2110" s="1" t="n">
        <x:f>IF(AL2110=0,"",1+COUNTIFS($AL$2051:$AL$2550,1,$T$2051:$T$2550,"&gt;"&amp;T2110)+COUNTIFS($AL$2051:$AL$2550,1,$T$2051:$T$2550,T2110,$G$2051:$G$2550,"&gt;"&amp;G2110)+COUNTIFS($AL$2051:$AL$2550,1,$T$2051:$T$2550,T2110,$G$2051:$G$2550,G2110,$F$2051:$F$2550,"&gt;"&amp;F2110)+COUNTIFS($AL$2051:$AL$2550,1,$T$2051:$T$2550,T2110,$G$2051:$G$2550,G2110,$F$2051:$F$2550,F2110,$AM$2051:$AM$2550,"&lt;"&amp;AM2110))</x:f>
        <x:v>284</x:v>
      </x:c>
      <x:c r="X2110" s="1" t="n">
        <x:f>IF(AL2110=0,"",1+COUNTIFS($AL$2051:$AL$2550,1,$T$2051:$T$2550,"&gt;"&amp;T2110))</x:f>
        <x:v>283</x:v>
      </x:c>
      <x:c r="Y2110" s="1" t="n">
        <x:f>IF(AND(H2110="Yes",OR(LEN('School Search'!$B$5)=0,ISNUMBER(SEARCH('School Search'!$B$5,B2110&amp;" "&amp;E2110&amp;" "&amp;A2110))),OR('School Search'!$D$5="All",C2110='School Search'!$D$5),OR('School Search'!$G$5="All eligible",AND('School Search'!$G$5="Not marked served",J2110&lt;&gt;"Yes"),AND('School Search'!$G$5="Missing data",V2110="Missing data"),AND('School Search'!$G$5="Marked served",J2110="Yes"))),1,0)</x:f>
        <x:v>1</x:v>
      </x:c>
      <x:c r="Z2110" s="1" t="n">
        <x:f>IF(Y2110=0,"",COUNTIFS($Y$2051:$Y$2550,1,$AO$2051:$AO$2550,"&lt;"&amp;AO2110)+COUNTIFS($Y$2051:Y2110,1,$AO$2051:AO2110,AO2110))</x:f>
        <x:v>284</x:v>
      </x:c>
      <x:c r="AA2110" s="1" t="str">
        <x:f>IF(NOT(ISNUMBER(S2110)),"Missing demographic or access input",TEXT(G2110,"0%")&amp;" economic need; "&amp;TEXT(K2110,"0.00")&amp;" mi fresh access; "&amp;L2110&amp;" nearby resources")</x:f>
        <x:v>46% economic need; 0.05 mi fresh access; 10 nearby resources</x:v>
      </x:c>
      <x:c r="AB2110" s="1" t="n">
        <x:f>IF(OR(A2110="",COUNTIFS($A$1531:$A$2030,A2110)&lt;&gt;1),0,MATCH(A2110,$A$1531:$A$2030,0))</x:f>
        <x:v>60</x:v>
      </x:c>
      <x:c r="AC2110" s="1" t="str">
        <x:f>IF(AB2110=0,"",INDEX($E$1531:$E$2030,AB2110))</x:f>
        <x:v>Giant Food Store 6573</x:v>
      </x:c>
      <x:c r="AD2110" s="1" t="str">
        <x:f>IF(AB2110=0,"",INDEX($F$1531:$F$2030,AB2110))</x:f>
        <x:v>510 N Broad St, Philadelphia, PA, 19130</x:v>
      </x:c>
      <x:c r="AE2110" s="1" t="str">
        <x:f>IF(A2110="","",F61)</x:f>
        <x:v>550 N BROAD ST, SCIENCE LEADERSHIP ACADEMY, SUITE 202</x:v>
      </x:c>
      <x:c r="AF2110" s="1" t="n">
        <x:f>IF(ISNUMBER(I61),I61,"")</x:f>
        <x:v>39.963701</x:v>
      </x:c>
      <x:c r="AG2110" s="1" t="n">
        <x:f>IF(ISNUMBER(J61),J61,"")</x:f>
        <x:v>-75.162516</x:v>
      </x:c>
      <x:c r="AH2110" s="1" t="str">
        <x:f>IF(I2110=0,"Not contacted",IF(INDEX('Staff Review'!$J$8:$J$507,I2110)="","Not contacted",INDEX('Staff Review'!$J$8:$J$507,I2110)))</x:f>
        <x:v>Not contacted</x:v>
      </x:c>
      <x:c r="AI2110" s="1" t="str">
        <x:f>IF(I2110=0,"No",IF(AND(COUNT(INDEX('Staff Review'!$D$8:$D$507,I2110))=1,INDEX('Staff Review'!$D$8:$D$507,I2110)&gt;=0,COUNT(INDEX('Staff Review'!$E$8:$E$507,I2110))=1,INDEX('Staff Review'!$E$8:$E$507,I2110)&gt;0,INDEX('Staff Review'!$E$8:$E$507,I2110)&lt;='Top 15'!$E$5,'Top 15'!$E$5-INDEX('Staff Review'!$E$8:$E$507,I2110)&lt;='Top 15'!$H$5,LEN(INDEX('Staff Review'!$H$8:$H$507,I2110))&gt;0),"Yes","No"))</x:f>
        <x:v>No</x:v>
      </x:c>
      <x:c r="AJ2110" s="1" t="str">
        <x:f>IF(I2110=0,"No",IF(COUNT(INDEX('Staff Review'!$F$8:$F$507,I2110))&lt;&gt;1,"No",IF(AND(INDEX('Staff Review'!$F$8:$F$507,I2110)&gt;=0,MOD(INDEX('Staff Review'!$F$8:$F$507,I2110),1)=0,COUNT(INDEX('Staff Review'!$G$8:$G$507,I2110))=1,INDEX('Staff Review'!$G$8:$G$507,I2110)&gt;0,INDEX('Staff Review'!$G$8:$G$507,I2110)&lt;='Top 15'!$E$5,'Top 15'!$E$5-INDEX('Staff Review'!$G$8:$G$507,I2110)&lt;='Top 15'!$H$5,LEN(INDEX('Staff Review'!$H$8:$H$507,I2110))&gt;0),"Yes","No")))</x:f>
        <x:v>No</x:v>
      </x:c>
      <x:c r="AK2110" s="1" t="n">
        <x:f>IF(A2110="",0,COUNTIFS($A$2:$A$501,A2110))</x:f>
        <x:v>1</x:v>
      </x:c>
      <x:c r="AL2110" s="1" t="n">
        <x:f>IF(V2110="Candidate",1,0)</x:f>
        <x:v>1</x:v>
      </x:c>
      <x:c r="AM2110" s="1" t="n">
        <x:f>IF(A2110="",0,VALUE(A2110))</x:f>
        <x:v>2650</x:v>
      </x:c>
      <x:c r="AN2110" s="1" t="n">
        <x:f>IF(OR(A2110="",COUNTIFS($T$41:$T$540,A2110)&lt;&gt;1),0,MATCH(A2110,$T$41:$T$540,0))</x:f>
        <x:v>60</x:v>
      </x:c>
      <x:c r="AO2110" t="n">
        <x:f>IF(ISNUMBER(W2110),W2110,10000+AM2110)</x:f>
        <x:v>284</x:v>
      </x:c>
    </x:row>
    <x:row r="2111" ht="22" customHeight="1">
      <x:c r="A2111" s="1" t="str">
        <x:f>IF(A62="","",A62)</x:f>
        <x:v>2670</x:v>
      </x:c>
      <x:c r="B2111" s="1" t="str">
        <x:f>IF(A2111="","",B62)</x:f>
        <x:v>Constitution High School</x:v>
      </x:c>
      <x:c r="C2111" s="1" t="str">
        <x:f>IF(A2111="","",C62)</x:f>
        <x:v>District</x:v>
      </x:c>
      <x:c r="D2111" s="1" t="str">
        <x:f>IF(A2111="","",E62)</x:f>
        <x:v>High</x:v>
      </x:c>
      <x:c r="E2111" s="1" t="str">
        <x:f>IF(A2111="","",H62)</x:f>
        <x:v>19106</x:v>
      </x:c>
      <x:c r="F2111" s="1" t="n">
        <x:f>IF(ISNUMBER(K62),K62,"")</x:f>
        <x:v>410</x:v>
      </x:c>
      <x:c r="G2111" s="1" t="n">
        <x:f>IF(ISNUMBER(L62),L62,"")</x:f>
        <x:v>0.8112</x:v>
      </x:c>
      <x:c r="H2111" s="1" t="str">
        <x:f>IF(A2111="","",IF(AND(UPPER(G62)="PHILADELPHIA",OR(C2111="District",AND(C2111="Charter",D62="Yes"))),"Yes","No"))</x:f>
        <x:v>Yes</x:v>
      </x:c>
      <x:c r="I2111" s="1" t="n">
        <x:f>IF(OR(A2111="",COUNTIFS('Staff Review'!$A$8:$A$507,A2111)&lt;&gt;1),0,MATCH(A2111,'Staff Review'!$A$8:$A$507,0))</x:f>
        <x:v>45</x:v>
      </x:c>
      <x:c r="J2111" s="1" t="str">
        <x:f>IF(I2111=0,"No",IF(INDEX('Staff Review'!$C$8:$C$507,I2111)="Yes","Yes","No"))</x:f>
        <x:v>No</x:v>
      </x:c>
      <x:c r="K2111" s="1" t="n">
        <x:f>IF(AI2111="Yes",INDEX('Staff Review'!$D$8:$D$507,I2111),IF(AB2111=0,"",IF(COUNT(INDEX($C$1531:$C$2030,AB2111))=1,INDEX($C$1531:$C$2030,AB2111),"")))</x:f>
        <x:v>0.33164819158662245</x:v>
      </x:c>
      <x:c r="L2111" s="1" t="n">
        <x:f>IF(AJ2111="Yes",INDEX('Staff Review'!$F$8:$F$507,I2111),IF(AB2111=0,"",IF(COUNT(INDEX($G$1531:$G$2030,AB2111))=1,INDEX($G$1531:$G$2030,AB2111),"")))</x:f>
        <x:v>7</x:v>
      </x:c>
      <x:c r="M2111" s="1" t="str">
        <x:f>IF(A2111="","",IF(AI2111="Yes","Verified","Listed"))</x:f>
        <x:v>Listed</x:v>
      </x:c>
      <x:c r="N2111" s="1" t="str">
        <x:f>IF(A2111="","",IF(AJ2111="Yes","Verified","Listed"))</x:f>
        <x:v>Listed</x:v>
      </x:c>
      <x:c r="O2111" s="1" t="n">
        <x:f>IF(AND(ISNUMBER(G2111),G2111&gt;=0,G2111&lt;=1),IF(G2111&gt;=0.9,30,IF(G2111&gt;=0.8,25,IF(G2111&gt;=0.7,20,IF(G2111&gt;=0.6,15,IF(G2111&gt;=0.5,10,IF(G2111&gt;=0.4,5,0)))))),"")</x:f>
        <x:v>25</x:v>
      </x:c>
      <x:c r="P2111" s="1" t="n">
        <x:f>IF(ISNUMBER(K2111),IF(K2111&lt;0,"",IF(K2111&gt;1,25,IF(K2111&gt;=0.75,20,IF(K2111&gt;=0.5,15,IF(K2111&gt;=0.25,10,5))))),"")</x:f>
        <x:v>10</x:v>
      </x:c>
      <x:c r="Q2111" s="1" t="n">
        <x:f>IF(NOT(ISNUMBER(L2111)),"",IF(AND(L2111&gt;=0,MOD(L2111,1)=0),MAX(0,25-5*L2111),""))</x:f>
        <x:v>0</x:v>
      </x:c>
      <x:c r="R2111" s="1" t="n">
        <x:f>IF(NOT(ISNUMBER(F2111)),"",IF(AND(F2111&gt;0,MOD(F2111,1)=0),IF(F2111&gt;=700,5,IF(F2111&gt;=500,4,IF(F2111&gt;=350,3,IF(F2111&gt;=200,2,1)))),""))</x:f>
        <x:v>3</x:v>
      </x:c>
      <x:c r="S2111" s="1" t="n">
        <x:f>IF(COUNT(O2111:R2111)=4,SUM(O2111:R2111),"")</x:f>
        <x:v>38</x:v>
      </x:c>
      <x:c r="T2111" s="1" t="n">
        <x:f>IF(OR(COUNT(O2111:R2111)&lt;&gt;4,COUNT('Top 15'!$B$35:$E$35)&lt;&gt;4,MIN('Top 15'!$B$35:$E$35)&lt;0,SUM('Top 15'!$B$35:$E$35)&lt;=0),"",ROUND(85*(O2111/30*'Top 15'!$B$35+P2111/25*'Top 15'!$C$35+Q2111/25*'Top 15'!$D$35+R2111/5*'Top 15'!$E$35)/SUM('Top 15'!$B$35:$E$35),6))</x:f>
        <x:v>38</x:v>
      </x:c>
      <x:c r="U2111" s="1" t="str">
        <x:f>IF(A2111="","",IF(AND(M2111="Verified",N2111="Verified"),"Verified",IF(AND(M2111="Listed",N2111="Listed"),"Listed","Mixed")))</x:f>
        <x:v>Listed</x:v>
      </x:c>
      <x:c r="V2111" s="1" t="str">
        <x:f>IF(A2111="","",IF(AK2111&lt;&gt;1,"Duplicate source ID",IF(COUNTIFS('Staff Review'!$A$8:$A$507,A2111)&gt;1,"Duplicate review ID",IF(H2111&lt;&gt;"Yes","Outside scope",IF(J2111="Yes","Already served",IF(NOT(ISNUMBER(T2111)),"Missing data","Candidate"))))))</x:f>
        <x:v>Candidate</x:v>
      </x:c>
      <x:c r="W2111" s="1" t="n">
        <x:f>IF(AL2111=0,"",1+COUNTIFS($AL$2051:$AL$2550,1,$T$2051:$T$2550,"&gt;"&amp;T2111)+COUNTIFS($AL$2051:$AL$2550,1,$T$2051:$T$2550,T2111,$G$2051:$G$2550,"&gt;"&amp;G2111)+COUNTIFS($AL$2051:$AL$2550,1,$T$2051:$T$2550,T2111,$G$2051:$G$2550,G2111,$F$2051:$F$2550,"&gt;"&amp;F2111)+COUNTIFS($AL$2051:$AL$2550,1,$T$2051:$T$2550,T2111,$G$2051:$G$2550,G2111,$F$2051:$F$2550,F2111,$AM$2051:$AM$2550,"&lt;"&amp;AM2111))</x:f>
        <x:v>177</x:v>
      </x:c>
      <x:c r="X2111" s="1" t="n">
        <x:f>IF(AL2111=0,"",1+COUNTIFS($AL$2051:$AL$2550,1,$T$2051:$T$2550,"&gt;"&amp;T2111))</x:f>
        <x:v>166</x:v>
      </x:c>
      <x:c r="Y2111" s="1" t="n">
        <x:f>IF(AND(H2111="Yes",OR(LEN('School Search'!$B$5)=0,ISNUMBER(SEARCH('School Search'!$B$5,B2111&amp;" "&amp;E2111&amp;" "&amp;A2111))),OR('School Search'!$D$5="All",C2111='School Search'!$D$5),OR('School Search'!$G$5="All eligible",AND('School Search'!$G$5="Not marked served",J2111&lt;&gt;"Yes"),AND('School Search'!$G$5="Missing data",V2111="Missing data"),AND('School Search'!$G$5="Marked served",J2111="Yes"))),1,0)</x:f>
        <x:v>1</x:v>
      </x:c>
      <x:c r="Z2111" s="1" t="n">
        <x:f>IF(Y2111=0,"",COUNTIFS($Y$2051:$Y$2550,1,$AO$2051:$AO$2550,"&lt;"&amp;AO2111)+COUNTIFS($Y$2051:Y2111,1,$AO$2051:AO2111,AO2111))</x:f>
        <x:v>177</x:v>
      </x:c>
      <x:c r="AA2111" s="1" t="str">
        <x:f>IF(NOT(ISNUMBER(S2111)),"Missing demographic or access input",TEXT(G2111,"0%")&amp;" economic need; "&amp;TEXT(K2111,"0.00")&amp;" mi fresh access; "&amp;L2111&amp;" nearby resources")</x:f>
        <x:v>81% economic need; 0.33 mi fresh access; 7 nearby resources</x:v>
      </x:c>
      <x:c r="AB2111" s="1" t="n">
        <x:f>IF(OR(A2111="",COUNTIFS($A$1531:$A$2030,A2111)&lt;&gt;1),0,MATCH(A2111,$A$1531:$A$2030,0))</x:f>
        <x:v>61</x:v>
      </x:c>
      <x:c r="AC2111" s="1" t="str">
        <x:f>IF(AB2111=0,"",INDEX($E$1531:$E$2030,AB2111))</x:f>
        <x:v>MOM's Organic Market 17</x:v>
      </x:c>
      <x:c r="AD2111" s="1" t="str">
        <x:f>IF(AB2111=0,"",INDEX($F$1531:$F$2030,AB2111))</x:f>
        <x:v>34 S 11th St, Philadelphia, PA, 19107</x:v>
      </x:c>
      <x:c r="AE2111" s="1" t="str">
        <x:f>IF(A2111="","",F62)</x:f>
        <x:v>18 S 7TH ST</x:v>
      </x:c>
      <x:c r="AF2111" s="1" t="n">
        <x:f>IF(ISNUMBER(I62),I62,"")</x:f>
        <x:v>39.950252</x:v>
      </x:c>
      <x:c r="AG2111" s="1" t="n">
        <x:f>IF(ISNUMBER(J62),J62,"")</x:f>
        <x:v>-75.152336</x:v>
      </x:c>
      <x:c r="AH2111" s="1" t="str">
        <x:f>IF(I2111=0,"Not contacted",IF(INDEX('Staff Review'!$J$8:$J$507,I2111)="","Not contacted",INDEX('Staff Review'!$J$8:$J$507,I2111)))</x:f>
        <x:v>Not contacted</x:v>
      </x:c>
      <x:c r="AI2111" s="1" t="str">
        <x:f>IF(I2111=0,"No",IF(AND(COUNT(INDEX('Staff Review'!$D$8:$D$507,I2111))=1,INDEX('Staff Review'!$D$8:$D$507,I2111)&gt;=0,COUNT(INDEX('Staff Review'!$E$8:$E$507,I2111))=1,INDEX('Staff Review'!$E$8:$E$507,I2111)&gt;0,INDEX('Staff Review'!$E$8:$E$507,I2111)&lt;='Top 15'!$E$5,'Top 15'!$E$5-INDEX('Staff Review'!$E$8:$E$507,I2111)&lt;='Top 15'!$H$5,LEN(INDEX('Staff Review'!$H$8:$H$507,I2111))&gt;0),"Yes","No"))</x:f>
        <x:v>No</x:v>
      </x:c>
      <x:c r="AJ2111" s="1" t="str">
        <x:f>IF(I2111=0,"No",IF(COUNT(INDEX('Staff Review'!$F$8:$F$507,I2111))&lt;&gt;1,"No",IF(AND(INDEX('Staff Review'!$F$8:$F$507,I2111)&gt;=0,MOD(INDEX('Staff Review'!$F$8:$F$507,I2111),1)=0,COUNT(INDEX('Staff Review'!$G$8:$G$507,I2111))=1,INDEX('Staff Review'!$G$8:$G$507,I2111)&gt;0,INDEX('Staff Review'!$G$8:$G$507,I2111)&lt;='Top 15'!$E$5,'Top 15'!$E$5-INDEX('Staff Review'!$G$8:$G$507,I2111)&lt;='Top 15'!$H$5,LEN(INDEX('Staff Review'!$H$8:$H$507,I2111))&gt;0),"Yes","No")))</x:f>
        <x:v>No</x:v>
      </x:c>
      <x:c r="AK2111" s="1" t="n">
        <x:f>IF(A2111="",0,COUNTIFS($A$2:$A$501,A2111))</x:f>
        <x:v>1</x:v>
      </x:c>
      <x:c r="AL2111" s="1" t="n">
        <x:f>IF(V2111="Candidate",1,0)</x:f>
        <x:v>1</x:v>
      </x:c>
      <x:c r="AM2111" s="1" t="n">
        <x:f>IF(A2111="",0,VALUE(A2111))</x:f>
        <x:v>2670</x:v>
      </x:c>
      <x:c r="AN2111" s="1" t="n">
        <x:f>IF(OR(A2111="",COUNTIFS($T$41:$T$540,A2111)&lt;&gt;1),0,MATCH(A2111,$T$41:$T$540,0))</x:f>
        <x:v>61</x:v>
      </x:c>
      <x:c r="AO2111" t="n">
        <x:f>IF(ISNUMBER(W2111),W2111,10000+AM2111)</x:f>
        <x:v>177</x:v>
      </x:c>
    </x:row>
    <x:row r="2112" ht="22" customHeight="1">
      <x:c r="A2112" s="1" t="str">
        <x:f>IF(A63="","",A63)</x:f>
        <x:v>2680</x:v>
      </x:c>
      <x:c r="B2112" s="1" t="str">
        <x:f>IF(A2112="","",B63)</x:f>
        <x:v>The Science Leadership Academy at Beeber High School</x:v>
      </x:c>
      <x:c r="C2112" s="1" t="str">
        <x:f>IF(A2112="","",C63)</x:f>
        <x:v>District</x:v>
      </x:c>
      <x:c r="D2112" s="1" t="str">
        <x:f>IF(A2112="","",E63)</x:f>
        <x:v>Middle-High</x:v>
      </x:c>
      <x:c r="E2112" s="1" t="str">
        <x:f>IF(A2112="","",H63)</x:f>
        <x:v>19131</x:v>
      </x:c>
      <x:c r="F2112" s="1" t="n">
        <x:f>IF(ISNUMBER(K63),K63,"")</x:f>
        <x:v>492</x:v>
      </x:c>
      <x:c r="G2112" s="1" t="n">
        <x:f>IF(ISNUMBER(L63),L63,"")</x:f>
        <x:v>0.5152</x:v>
      </x:c>
      <x:c r="H2112" s="1" t="str">
        <x:f>IF(A2112="","",IF(AND(UPPER(G63)="PHILADELPHIA",OR(C2112="District",AND(C2112="Charter",D63="Yes"))),"Yes","No"))</x:f>
        <x:v>Yes</x:v>
      </x:c>
      <x:c r="I2112" s="1" t="n">
        <x:f>IF(OR(A2112="",COUNTIFS('Staff Review'!$A$8:$A$507,A2112)&lt;&gt;1),0,MATCH(A2112,'Staff Review'!$A$8:$A$507,0))</x:f>
        <x:v>288</x:v>
      </x:c>
      <x:c r="J2112" s="1" t="str">
        <x:f>IF(I2112=0,"No",IF(INDEX('Staff Review'!$C$8:$C$507,I2112)="Yes","Yes","No"))</x:f>
        <x:v>No</x:v>
      </x:c>
      <x:c r="K2112" s="1" t="n">
        <x:f>IF(AI2112="Yes",INDEX('Staff Review'!$D$8:$D$507,I2112),IF(AB2112=0,"",IF(COUNT(INDEX($C$1531:$C$2030,AB2112))=1,INDEX($C$1531:$C$2030,AB2112),"")))</x:f>
        <x:v>1.0254135022515662</x:v>
      </x:c>
      <x:c r="L2112" s="1" t="n">
        <x:f>IF(AJ2112="Yes",INDEX('Staff Review'!$F$8:$F$507,I2112),IF(AB2112=0,"",IF(COUNT(INDEX($G$1531:$G$2030,AB2112))=1,INDEX($G$1531:$G$2030,AB2112),"")))</x:f>
        <x:v>5</x:v>
      </x:c>
      <x:c r="M2112" s="1" t="str">
        <x:f>IF(A2112="","",IF(AI2112="Yes","Verified","Listed"))</x:f>
        <x:v>Listed</x:v>
      </x:c>
      <x:c r="N2112" s="1" t="str">
        <x:f>IF(A2112="","",IF(AJ2112="Yes","Verified","Listed"))</x:f>
        <x:v>Listed</x:v>
      </x:c>
      <x:c r="O2112" s="1" t="n">
        <x:f>IF(AND(ISNUMBER(G2112),G2112&gt;=0,G2112&lt;=1),IF(G2112&gt;=0.9,30,IF(G2112&gt;=0.8,25,IF(G2112&gt;=0.7,20,IF(G2112&gt;=0.6,15,IF(G2112&gt;=0.5,10,IF(G2112&gt;=0.4,5,0)))))),"")</x:f>
        <x:v>10</x:v>
      </x:c>
      <x:c r="P2112" s="1" t="n">
        <x:f>IF(ISNUMBER(K2112),IF(K2112&lt;0,"",IF(K2112&gt;1,25,IF(K2112&gt;=0.75,20,IF(K2112&gt;=0.5,15,IF(K2112&gt;=0.25,10,5))))),"")</x:f>
        <x:v>25</x:v>
      </x:c>
      <x:c r="Q2112" s="1" t="n">
        <x:f>IF(NOT(ISNUMBER(L2112)),"",IF(AND(L2112&gt;=0,MOD(L2112,1)=0),MAX(0,25-5*L2112),""))</x:f>
        <x:v>0</x:v>
      </x:c>
      <x:c r="R2112" s="1" t="n">
        <x:f>IF(NOT(ISNUMBER(F2112)),"",IF(AND(F2112&gt;0,MOD(F2112,1)=0),IF(F2112&gt;=700,5,IF(F2112&gt;=500,4,IF(F2112&gt;=350,3,IF(F2112&gt;=200,2,1)))),""))</x:f>
        <x:v>3</x:v>
      </x:c>
      <x:c r="S2112" s="1" t="n">
        <x:f>IF(COUNT(O2112:R2112)=4,SUM(O2112:R2112),"")</x:f>
        <x:v>38</x:v>
      </x:c>
      <x:c r="T2112" s="1" t="n">
        <x:f>IF(OR(COUNT(O2112:R2112)&lt;&gt;4,COUNT('Top 15'!$B$35:$E$35)&lt;&gt;4,MIN('Top 15'!$B$35:$E$35)&lt;0,SUM('Top 15'!$B$35:$E$35)&lt;=0),"",ROUND(85*(O2112/30*'Top 15'!$B$35+P2112/25*'Top 15'!$C$35+Q2112/25*'Top 15'!$D$35+R2112/5*'Top 15'!$E$35)/SUM('Top 15'!$B$35:$E$35),6))</x:f>
        <x:v>38</x:v>
      </x:c>
      <x:c r="U2112" s="1" t="str">
        <x:f>IF(A2112="","",IF(AND(M2112="Verified",N2112="Verified"),"Verified",IF(AND(M2112="Listed",N2112="Listed"),"Listed","Mixed")))</x:f>
        <x:v>Listed</x:v>
      </x:c>
      <x:c r="V2112" s="1" t="str">
        <x:f>IF(A2112="","",IF(AK2112&lt;&gt;1,"Duplicate source ID",IF(COUNTIFS('Staff Review'!$A$8:$A$507,A2112)&gt;1,"Duplicate review ID",IF(H2112&lt;&gt;"Yes","Outside scope",IF(J2112="Yes","Already served",IF(NOT(ISNUMBER(T2112)),"Missing data","Candidate"))))))</x:f>
        <x:v>Candidate</x:v>
      </x:c>
      <x:c r="W2112" s="1" t="n">
        <x:f>IF(AL2112=0,"",1+COUNTIFS($AL$2051:$AL$2550,1,$T$2051:$T$2550,"&gt;"&amp;T2112)+COUNTIFS($AL$2051:$AL$2550,1,$T$2051:$T$2550,T2112,$G$2051:$G$2550,"&gt;"&amp;G2112)+COUNTIFS($AL$2051:$AL$2550,1,$T$2051:$T$2550,T2112,$G$2051:$G$2550,G2112,$F$2051:$F$2550,"&gt;"&amp;F2112)+COUNTIFS($AL$2051:$AL$2550,1,$T$2051:$T$2550,T2112,$G$2051:$G$2550,G2112,$F$2051:$F$2550,F2112,$AM$2051:$AM$2550,"&lt;"&amp;AM2112))</x:f>
        <x:v>180</x:v>
      </x:c>
      <x:c r="X2112" s="1" t="n">
        <x:f>IF(AL2112=0,"",1+COUNTIFS($AL$2051:$AL$2550,1,$T$2051:$T$2550,"&gt;"&amp;T2112))</x:f>
        <x:v>166</x:v>
      </x:c>
      <x:c r="Y2112" s="1" t="n">
        <x:f>IF(AND(H2112="Yes",OR(LEN('School Search'!$B$5)=0,ISNUMBER(SEARCH('School Search'!$B$5,B2112&amp;" "&amp;E2112&amp;" "&amp;A2112))),OR('School Search'!$D$5="All",C2112='School Search'!$D$5),OR('School Search'!$G$5="All eligible",AND('School Search'!$G$5="Not marked served",J2112&lt;&gt;"Yes"),AND('School Search'!$G$5="Missing data",V2112="Missing data"),AND('School Search'!$G$5="Marked served",J2112="Yes"))),1,0)</x:f>
        <x:v>1</x:v>
      </x:c>
      <x:c r="Z2112" s="1" t="n">
        <x:f>IF(Y2112=0,"",COUNTIFS($Y$2051:$Y$2550,1,$AO$2051:$AO$2550,"&lt;"&amp;AO2112)+COUNTIFS($Y$2051:Y2112,1,$AO$2051:AO2112,AO2112))</x:f>
        <x:v>180</x:v>
      </x:c>
      <x:c r="AA2112" s="1" t="str">
        <x:f>IF(NOT(ISNUMBER(S2112)),"Missing demographic or access input",TEXT(G2112,"0%")&amp;" economic need; "&amp;TEXT(K2112,"0.00")&amp;" mi fresh access; "&amp;L2112&amp;" nearby resources")</x:f>
        <x:v>52% economic need; 1.03 mi fresh access; 5 nearby resources</x:v>
      </x:c>
      <x:c r="AB2112" s="1" t="n">
        <x:f>IF(OR(A2112="",COUNTIFS($A$1531:$A$2030,A2112)&lt;&gt;1),0,MATCH(A2112,$A$1531:$A$2030,0))</x:f>
        <x:v>62</x:v>
      </x:c>
      <x:c r="AC2112" s="1" t="str">
        <x:f>IF(AB2112=0,"",INDEX($E$1531:$E$2030,AB2112))</x:f>
        <x:v>Shoprite of Parkside 419</x:v>
      </x:c>
      <x:c r="AD2112" s="1" t="str">
        <x:f>IF(AB2112=0,"",INDEX($F$1531:$F$2030,AB2112))</x:f>
        <x:v>1575 N 52nd St, Philadelphia, PA, 19131</x:v>
      </x:c>
      <x:c r="AE2112" s="1" t="str">
        <x:f>IF(A2112="","",F63)</x:f>
        <x:v>5925 MALVERN AVE</x:v>
      </x:c>
      <x:c r="AF2112" s="1" t="n">
        <x:f>IF(ISNUMBER(I63),I63,"")</x:f>
        <x:v>39.98610221</x:v>
      </x:c>
      <x:c r="AG2112" s="1" t="n">
        <x:f>IF(ISNUMBER(J63),J63,"")</x:f>
        <x:v>-75.24192008</x:v>
      </x:c>
      <x:c r="AH2112" s="1" t="str">
        <x:f>IF(I2112=0,"Not contacted",IF(INDEX('Staff Review'!$J$8:$J$507,I2112)="","Not contacted",INDEX('Staff Review'!$J$8:$J$507,I2112)))</x:f>
        <x:v>Not contacted</x:v>
      </x:c>
      <x:c r="AI2112" s="1" t="str">
        <x:f>IF(I2112=0,"No",IF(AND(COUNT(INDEX('Staff Review'!$D$8:$D$507,I2112))=1,INDEX('Staff Review'!$D$8:$D$507,I2112)&gt;=0,COUNT(INDEX('Staff Review'!$E$8:$E$507,I2112))=1,INDEX('Staff Review'!$E$8:$E$507,I2112)&gt;0,INDEX('Staff Review'!$E$8:$E$507,I2112)&lt;='Top 15'!$E$5,'Top 15'!$E$5-INDEX('Staff Review'!$E$8:$E$507,I2112)&lt;='Top 15'!$H$5,LEN(INDEX('Staff Review'!$H$8:$H$507,I2112))&gt;0),"Yes","No"))</x:f>
        <x:v>No</x:v>
      </x:c>
      <x:c r="AJ2112" s="1" t="str">
        <x:f>IF(I2112=0,"No",IF(COUNT(INDEX('Staff Review'!$F$8:$F$507,I2112))&lt;&gt;1,"No",IF(AND(INDEX('Staff Review'!$F$8:$F$507,I2112)&gt;=0,MOD(INDEX('Staff Review'!$F$8:$F$507,I2112),1)=0,COUNT(INDEX('Staff Review'!$G$8:$G$507,I2112))=1,INDEX('Staff Review'!$G$8:$G$507,I2112)&gt;0,INDEX('Staff Review'!$G$8:$G$507,I2112)&lt;='Top 15'!$E$5,'Top 15'!$E$5-INDEX('Staff Review'!$G$8:$G$507,I2112)&lt;='Top 15'!$H$5,LEN(INDEX('Staff Review'!$H$8:$H$507,I2112))&gt;0),"Yes","No")))</x:f>
        <x:v>No</x:v>
      </x:c>
      <x:c r="AK2112" s="1" t="n">
        <x:f>IF(A2112="",0,COUNTIFS($A$2:$A$501,A2112))</x:f>
        <x:v>1</x:v>
      </x:c>
      <x:c r="AL2112" s="1" t="n">
        <x:f>IF(V2112="Candidate",1,0)</x:f>
        <x:v>1</x:v>
      </x:c>
      <x:c r="AM2112" s="1" t="n">
        <x:f>IF(A2112="",0,VALUE(A2112))</x:f>
        <x:v>2680</x:v>
      </x:c>
      <x:c r="AN2112" s="1" t="n">
        <x:f>IF(OR(A2112="",COUNTIFS($T$41:$T$540,A2112)&lt;&gt;1),0,MATCH(A2112,$T$41:$T$540,0))</x:f>
        <x:v>62</x:v>
      </x:c>
      <x:c r="AO2112" t="n">
        <x:f>IF(ISNUMBER(W2112),W2112,10000+AM2112)</x:f>
        <x:v>180</x:v>
      </x:c>
    </x:row>
    <x:row r="2113" ht="22" customHeight="1">
      <x:c r="A2113" s="1" t="str">
        <x:f>IF(A64="","",A64)</x:f>
        <x:v>2690</x:v>
      </x:c>
      <x:c r="B2113" s="1" t="str">
        <x:f>IF(A2113="","",B64)</x:f>
        <x:v>John H. Taggart School</x:v>
      </x:c>
      <x:c r="C2113" s="1" t="str">
        <x:f>IF(A2113="","",C64)</x:f>
        <x:v>District</x:v>
      </x:c>
      <x:c r="D2113" s="1" t="str">
        <x:f>IF(A2113="","",E64)</x:f>
        <x:v>Elementary-Middle</x:v>
      </x:c>
      <x:c r="E2113" s="1" t="str">
        <x:f>IF(A2113="","",H64)</x:f>
        <x:v>19148</x:v>
      </x:c>
      <x:c r="F2113" s="1" t="n">
        <x:f>IF(ISNUMBER(K64),K64,"")</x:f>
        <x:v>485</x:v>
      </x:c>
      <x:c r="G2113" s="1" t="n">
        <x:f>IF(ISNUMBER(L64),L64,"")</x:f>
        <x:v>0.806</x:v>
      </x:c>
      <x:c r="H2113" s="1" t="str">
        <x:f>IF(A2113="","",IF(AND(UPPER(G64)="PHILADELPHIA",OR(C2113="District",AND(C2113="Charter",D64="Yes"))),"Yes","No"))</x:f>
        <x:v>Yes</x:v>
      </x:c>
      <x:c r="I2113" s="1" t="n">
        <x:f>IF(OR(A2113="",COUNTIFS('Staff Review'!$A$8:$A$507,A2113)&lt;&gt;1),0,MATCH(A2113,'Staff Review'!$A$8:$A$507,0))</x:f>
        <x:v>139</x:v>
      </x:c>
      <x:c r="J2113" s="1" t="str">
        <x:f>IF(I2113=0,"No",IF(INDEX('Staff Review'!$C$8:$C$507,I2113)="Yes","Yes","No"))</x:f>
        <x:v>No</x:v>
      </x:c>
      <x:c r="K2113" s="1" t="n">
        <x:f>IF(AI2113="Yes",INDEX('Staff Review'!$D$8:$D$507,I2113),IF(AB2113=0,"",IF(COUNT(INDEX($C$1531:$C$2030,AB2113))=1,INDEX($C$1531:$C$2030,AB2113),"")))</x:f>
        <x:v>0.19773198527602262</x:v>
      </x:c>
      <x:c r="L2113" s="1" t="n">
        <x:f>IF(AJ2113="Yes",INDEX('Staff Review'!$F$8:$F$507,I2113),IF(AB2113=0,"",IF(COUNT(INDEX($G$1531:$G$2030,AB2113))=1,INDEX($G$1531:$G$2030,AB2113),"")))</x:f>
        <x:v>4</x:v>
      </x:c>
      <x:c r="M2113" s="1" t="str">
        <x:f>IF(A2113="","",IF(AI2113="Yes","Verified","Listed"))</x:f>
        <x:v>Listed</x:v>
      </x:c>
      <x:c r="N2113" s="1" t="str">
        <x:f>IF(A2113="","",IF(AJ2113="Yes","Verified","Listed"))</x:f>
        <x:v>Listed</x:v>
      </x:c>
      <x:c r="O2113" s="1" t="n">
        <x:f>IF(AND(ISNUMBER(G2113),G2113&gt;=0,G2113&lt;=1),IF(G2113&gt;=0.9,30,IF(G2113&gt;=0.8,25,IF(G2113&gt;=0.7,20,IF(G2113&gt;=0.6,15,IF(G2113&gt;=0.5,10,IF(G2113&gt;=0.4,5,0)))))),"")</x:f>
        <x:v>25</x:v>
      </x:c>
      <x:c r="P2113" s="1" t="n">
        <x:f>IF(ISNUMBER(K2113),IF(K2113&lt;0,"",IF(K2113&gt;1,25,IF(K2113&gt;=0.75,20,IF(K2113&gt;=0.5,15,IF(K2113&gt;=0.25,10,5))))),"")</x:f>
        <x:v>5</x:v>
      </x:c>
      <x:c r="Q2113" s="1" t="n">
        <x:f>IF(NOT(ISNUMBER(L2113)),"",IF(AND(L2113&gt;=0,MOD(L2113,1)=0),MAX(0,25-5*L2113),""))</x:f>
        <x:v>5</x:v>
      </x:c>
      <x:c r="R2113" s="1" t="n">
        <x:f>IF(NOT(ISNUMBER(F2113)),"",IF(AND(F2113&gt;0,MOD(F2113,1)=0),IF(F2113&gt;=700,5,IF(F2113&gt;=500,4,IF(F2113&gt;=350,3,IF(F2113&gt;=200,2,1)))),""))</x:f>
        <x:v>3</x:v>
      </x:c>
      <x:c r="S2113" s="1" t="n">
        <x:f>IF(COUNT(O2113:R2113)=4,SUM(O2113:R2113),"")</x:f>
        <x:v>38</x:v>
      </x:c>
      <x:c r="T2113" s="1" t="n">
        <x:f>IF(OR(COUNT(O2113:R2113)&lt;&gt;4,COUNT('Top 15'!$B$35:$E$35)&lt;&gt;4,MIN('Top 15'!$B$35:$E$35)&lt;0,SUM('Top 15'!$B$35:$E$35)&lt;=0),"",ROUND(85*(O2113/30*'Top 15'!$B$35+P2113/25*'Top 15'!$C$35+Q2113/25*'Top 15'!$D$35+R2113/5*'Top 15'!$E$35)/SUM('Top 15'!$B$35:$E$35),6))</x:f>
        <x:v>38</x:v>
      </x:c>
      <x:c r="U2113" s="1" t="str">
        <x:f>IF(A2113="","",IF(AND(M2113="Verified",N2113="Verified"),"Verified",IF(AND(M2113="Listed",N2113="Listed"),"Listed","Mixed")))</x:f>
        <x:v>Listed</x:v>
      </x:c>
      <x:c r="V2113" s="1" t="str">
        <x:f>IF(A2113="","",IF(AK2113&lt;&gt;1,"Duplicate source ID",IF(COUNTIFS('Staff Review'!$A$8:$A$507,A2113)&gt;1,"Duplicate review ID",IF(H2113&lt;&gt;"Yes","Outside scope",IF(J2113="Yes","Already served",IF(NOT(ISNUMBER(T2113)),"Missing data","Candidate"))))))</x:f>
        <x:v>Candidate</x:v>
      </x:c>
      <x:c r="W2113" s="1" t="n">
        <x:f>IF(AL2113=0,"",1+COUNTIFS($AL$2051:$AL$2550,1,$T$2051:$T$2550,"&gt;"&amp;T2113)+COUNTIFS($AL$2051:$AL$2550,1,$T$2051:$T$2550,T2113,$G$2051:$G$2550,"&gt;"&amp;G2113)+COUNTIFS($AL$2051:$AL$2550,1,$T$2051:$T$2550,T2113,$G$2051:$G$2550,G2113,$F$2051:$F$2550,"&gt;"&amp;F2113)+COUNTIFS($AL$2051:$AL$2550,1,$T$2051:$T$2550,T2113,$G$2051:$G$2550,G2113,$F$2051:$F$2550,F2113,$AM$2051:$AM$2550,"&lt;"&amp;AM2113))</x:f>
        <x:v>179</x:v>
      </x:c>
      <x:c r="X2113" s="1" t="n">
        <x:f>IF(AL2113=0,"",1+COUNTIFS($AL$2051:$AL$2550,1,$T$2051:$T$2550,"&gt;"&amp;T2113))</x:f>
        <x:v>166</x:v>
      </x:c>
      <x:c r="Y2113" s="1" t="n">
        <x:f>IF(AND(H2113="Yes",OR(LEN('School Search'!$B$5)=0,ISNUMBER(SEARCH('School Search'!$B$5,B2113&amp;" "&amp;E2113&amp;" "&amp;A2113))),OR('School Search'!$D$5="All",C2113='School Search'!$D$5),OR('School Search'!$G$5="All eligible",AND('School Search'!$G$5="Not marked served",J2113&lt;&gt;"Yes"),AND('School Search'!$G$5="Missing data",V2113="Missing data"),AND('School Search'!$G$5="Marked served",J2113="Yes"))),1,0)</x:f>
        <x:v>1</x:v>
      </x:c>
      <x:c r="Z2113" s="1" t="n">
        <x:f>IF(Y2113=0,"",COUNTIFS($Y$2051:$Y$2550,1,$AO$2051:$AO$2550,"&lt;"&amp;AO2113)+COUNTIFS($Y$2051:Y2113,1,$AO$2051:AO2113,AO2113))</x:f>
        <x:v>179</x:v>
      </x:c>
      <x:c r="AA2113" s="1" t="str">
        <x:f>IF(NOT(ISNUMBER(S2113)),"Missing demographic or access input",TEXT(G2113,"0%")&amp;" economic need; "&amp;TEXT(K2113,"0.00")&amp;" mi fresh access; "&amp;L2113&amp;" nearby resources")</x:f>
        <x:v>81% economic need; 0.20 mi fresh access; 4 nearby resources</x:v>
      </x:c>
      <x:c r="AB2113" s="1" t="n">
        <x:f>IF(OR(A2113="",COUNTIFS($A$1531:$A$2030,A2113)&lt;&gt;1),0,MATCH(A2113,$A$1531:$A$2030,0))</x:f>
        <x:v>63</x:v>
      </x:c>
      <x:c r="AC2113" s="1" t="str">
        <x:f>IF(AB2113=0,"",INDEX($E$1531:$E$2030,AB2113))</x:f>
        <x:v>New Oregon Market Inc</x:v>
      </x:c>
      <x:c r="AD2113" s="1" t="str">
        <x:f>IF(AB2113=0,"",INDEX($F$1531:$F$2030,AB2113))</x:f>
        <x:v>320 W Oregon Ave, Philadelphia, PA, 19148</x:v>
      </x:c>
      <x:c r="AE2113" s="1" t="str">
        <x:f>IF(A2113="","",F64)</x:f>
        <x:v>400 W PORTER ST</x:v>
      </x:c>
      <x:c r="AF2113" s="1" t="n">
        <x:f>IF(ISNUMBER(I64),I64,"")</x:f>
        <x:v>39.91721223</x:v>
      </x:c>
      <x:c r="AG2113" s="1" t="n">
        <x:f>IF(ISNUMBER(J64),J64,"")</x:f>
        <x:v>-75.15452237</x:v>
      </x:c>
      <x:c r="AH2113" s="1" t="str">
        <x:f>IF(I2113=0,"Not contacted",IF(INDEX('Staff Review'!$J$8:$J$507,I2113)="","Not contacted",INDEX('Staff Review'!$J$8:$J$507,I2113)))</x:f>
        <x:v>Not contacted</x:v>
      </x:c>
      <x:c r="AI2113" s="1" t="str">
        <x:f>IF(I2113=0,"No",IF(AND(COUNT(INDEX('Staff Review'!$D$8:$D$507,I2113))=1,INDEX('Staff Review'!$D$8:$D$507,I2113)&gt;=0,COUNT(INDEX('Staff Review'!$E$8:$E$507,I2113))=1,INDEX('Staff Review'!$E$8:$E$507,I2113)&gt;0,INDEX('Staff Review'!$E$8:$E$507,I2113)&lt;='Top 15'!$E$5,'Top 15'!$E$5-INDEX('Staff Review'!$E$8:$E$507,I2113)&lt;='Top 15'!$H$5,LEN(INDEX('Staff Review'!$H$8:$H$507,I2113))&gt;0),"Yes","No"))</x:f>
        <x:v>No</x:v>
      </x:c>
      <x:c r="AJ2113" s="1" t="str">
        <x:f>IF(I2113=0,"No",IF(COUNT(INDEX('Staff Review'!$F$8:$F$507,I2113))&lt;&gt;1,"No",IF(AND(INDEX('Staff Review'!$F$8:$F$507,I2113)&gt;=0,MOD(INDEX('Staff Review'!$F$8:$F$507,I2113),1)=0,COUNT(INDEX('Staff Review'!$G$8:$G$507,I2113))=1,INDEX('Staff Review'!$G$8:$G$507,I2113)&gt;0,INDEX('Staff Review'!$G$8:$G$507,I2113)&lt;='Top 15'!$E$5,'Top 15'!$E$5-INDEX('Staff Review'!$G$8:$G$507,I2113)&lt;='Top 15'!$H$5,LEN(INDEX('Staff Review'!$H$8:$H$507,I2113))&gt;0),"Yes","No")))</x:f>
        <x:v>No</x:v>
      </x:c>
      <x:c r="AK2113" s="1" t="n">
        <x:f>IF(A2113="",0,COUNTIFS($A$2:$A$501,A2113))</x:f>
        <x:v>1</x:v>
      </x:c>
      <x:c r="AL2113" s="1" t="n">
        <x:f>IF(V2113="Candidate",1,0)</x:f>
        <x:v>1</x:v>
      </x:c>
      <x:c r="AM2113" s="1" t="n">
        <x:f>IF(A2113="",0,VALUE(A2113))</x:f>
        <x:v>2690</x:v>
      </x:c>
      <x:c r="AN2113" s="1" t="n">
        <x:f>IF(OR(A2113="",COUNTIFS($T$41:$T$540,A2113)&lt;&gt;1),0,MATCH(A2113,$T$41:$T$540,0))</x:f>
        <x:v>63</x:v>
      </x:c>
      <x:c r="AO2113" t="n">
        <x:f>IF(ISNUMBER(W2113),W2113,10000+AM2113)</x:f>
        <x:v>179</x:v>
      </x:c>
    </x:row>
    <x:row r="2114" ht="22" customHeight="1">
      <x:c r="A2114" s="1" t="str">
        <x:f>IF(A65="","",A65)</x:f>
        <x:v>2720</x:v>
      </x:c>
      <x:c r="B2114" s="1" t="str">
        <x:f>IF(A2114="","",B65)</x:f>
        <x:v>Vare-Washington School</x:v>
      </x:c>
      <x:c r="C2114" s="1" t="str">
        <x:f>IF(A2114="","",C65)</x:f>
        <x:v>District</x:v>
      </x:c>
      <x:c r="D2114" s="1" t="str">
        <x:f>IF(A2114="","",E65)</x:f>
        <x:v>Elementary-Middle</x:v>
      </x:c>
      <x:c r="E2114" s="1" t="str">
        <x:f>IF(A2114="","",H65)</x:f>
        <x:v>19147</x:v>
      </x:c>
      <x:c r="F2114" s="1" t="n">
        <x:f>IF(ISNUMBER(K65),K65,"")</x:f>
        <x:v>370</x:v>
      </x:c>
      <x:c r="G2114" s="1" t="n">
        <x:f>IF(ISNUMBER(L65),L65,"")</x:f>
        <x:v>0.6856</x:v>
      </x:c>
      <x:c r="H2114" s="1" t="str">
        <x:f>IF(A2114="","",IF(AND(UPPER(G65)="PHILADELPHIA",OR(C2114="District",AND(C2114="Charter",D65="Yes"))),"Yes","No"))</x:f>
        <x:v>Yes</x:v>
      </x:c>
      <x:c r="I2114" s="1" t="n">
        <x:f>IF(OR(A2114="",COUNTIFS('Staff Review'!$A$8:$A$507,A2114)&lt;&gt;1),0,MATCH(A2114,'Staff Review'!$A$8:$A$507,0))</x:f>
        <x:v>303</x:v>
      </x:c>
      <x:c r="J2114" s="1" t="str">
        <x:f>IF(I2114=0,"No",IF(INDEX('Staff Review'!$C$8:$C$507,I2114)="Yes","Yes","No"))</x:f>
        <x:v>No</x:v>
      </x:c>
      <x:c r="K2114" s="1" t="n">
        <x:f>IF(AI2114="Yes",INDEX('Staff Review'!$D$8:$D$507,I2114),IF(AB2114=0,"",IF(COUNT(INDEX($C$1531:$C$2030,AB2114))=1,INDEX($C$1531:$C$2030,AB2114),"")))</x:f>
        <x:v>0.06494296836830293</x:v>
      </x:c>
      <x:c r="L2114" s="1" t="n">
        <x:f>IF(AJ2114="Yes",INDEX('Staff Review'!$F$8:$F$507,I2114),IF(AB2114=0,"",IF(COUNT(INDEX($G$1531:$G$2030,AB2114))=1,INDEX($G$1531:$G$2030,AB2114),"")))</x:f>
        <x:v>8</x:v>
      </x:c>
      <x:c r="M2114" s="1" t="str">
        <x:f>IF(A2114="","",IF(AI2114="Yes","Verified","Listed"))</x:f>
        <x:v>Listed</x:v>
      </x:c>
      <x:c r="N2114" s="1" t="str">
        <x:f>IF(A2114="","",IF(AJ2114="Yes","Verified","Listed"))</x:f>
        <x:v>Listed</x:v>
      </x:c>
      <x:c r="O2114" s="1" t="n">
        <x:f>IF(AND(ISNUMBER(G2114),G2114&gt;=0,G2114&lt;=1),IF(G2114&gt;=0.9,30,IF(G2114&gt;=0.8,25,IF(G2114&gt;=0.7,20,IF(G2114&gt;=0.6,15,IF(G2114&gt;=0.5,10,IF(G2114&gt;=0.4,5,0)))))),"")</x:f>
        <x:v>15</x:v>
      </x:c>
      <x:c r="P2114" s="1" t="n">
        <x:f>IF(ISNUMBER(K2114),IF(K2114&lt;0,"",IF(K2114&gt;1,25,IF(K2114&gt;=0.75,20,IF(K2114&gt;=0.5,15,IF(K2114&gt;=0.25,10,5))))),"")</x:f>
        <x:v>5</x:v>
      </x:c>
      <x:c r="Q2114" s="1" t="n">
        <x:f>IF(NOT(ISNUMBER(L2114)),"",IF(AND(L2114&gt;=0,MOD(L2114,1)=0),MAX(0,25-5*L2114),""))</x:f>
        <x:v>0</x:v>
      </x:c>
      <x:c r="R2114" s="1" t="n">
        <x:f>IF(NOT(ISNUMBER(F2114)),"",IF(AND(F2114&gt;0,MOD(F2114,1)=0),IF(F2114&gt;=700,5,IF(F2114&gt;=500,4,IF(F2114&gt;=350,3,IF(F2114&gt;=200,2,1)))),""))</x:f>
        <x:v>3</x:v>
      </x:c>
      <x:c r="S2114" s="1" t="n">
        <x:f>IF(COUNT(O2114:R2114)=4,SUM(O2114:R2114),"")</x:f>
        <x:v>23</x:v>
      </x:c>
      <x:c r="T2114" s="1" t="n">
        <x:f>IF(OR(COUNT(O2114:R2114)&lt;&gt;4,COUNT('Top 15'!$B$35:$E$35)&lt;&gt;4,MIN('Top 15'!$B$35:$E$35)&lt;0,SUM('Top 15'!$B$35:$E$35)&lt;=0),"",ROUND(85*(O2114/30*'Top 15'!$B$35+P2114/25*'Top 15'!$C$35+Q2114/25*'Top 15'!$D$35+R2114/5*'Top 15'!$E$35)/SUM('Top 15'!$B$35:$E$35),6))</x:f>
        <x:v>23</x:v>
      </x:c>
      <x:c r="U2114" s="1" t="str">
        <x:f>IF(A2114="","",IF(AND(M2114="Verified",N2114="Verified"),"Verified",IF(AND(M2114="Listed",N2114="Listed"),"Listed","Mixed")))</x:f>
        <x:v>Listed</x:v>
      </x:c>
      <x:c r="V2114" s="1" t="str">
        <x:f>IF(A2114="","",IF(AK2114&lt;&gt;1,"Duplicate source ID",IF(COUNTIFS('Staff Review'!$A$8:$A$507,A2114)&gt;1,"Duplicate review ID",IF(H2114&lt;&gt;"Yes","Outside scope",IF(J2114="Yes","Already served",IF(NOT(ISNUMBER(T2114)),"Missing data","Candidate"))))))</x:f>
        <x:v>Candidate</x:v>
      </x:c>
      <x:c r="W2114" s="1" t="n">
        <x:f>IF(AL2114=0,"",1+COUNTIFS($AL$2051:$AL$2550,1,$T$2051:$T$2550,"&gt;"&amp;T2114)+COUNTIFS($AL$2051:$AL$2550,1,$T$2051:$T$2550,T2114,$G$2051:$G$2550,"&gt;"&amp;G2114)+COUNTIFS($AL$2051:$AL$2550,1,$T$2051:$T$2550,T2114,$G$2051:$G$2550,G2114,$F$2051:$F$2550,"&gt;"&amp;F2114)+COUNTIFS($AL$2051:$AL$2550,1,$T$2051:$T$2550,T2114,$G$2051:$G$2550,G2114,$F$2051:$F$2550,F2114,$AM$2051:$AM$2550,"&lt;"&amp;AM2114))</x:f>
        <x:v>274</x:v>
      </x:c>
      <x:c r="X2114" s="1" t="n">
        <x:f>IF(AL2114=0,"",1+COUNTIFS($AL$2051:$AL$2550,1,$T$2051:$T$2550,"&gt;"&amp;T2114))</x:f>
        <x:v>274</x:v>
      </x:c>
      <x:c r="Y2114" s="1" t="n">
        <x:f>IF(AND(H2114="Yes",OR(LEN('School Search'!$B$5)=0,ISNUMBER(SEARCH('School Search'!$B$5,B2114&amp;" "&amp;E2114&amp;" "&amp;A2114))),OR('School Search'!$D$5="All",C2114='School Search'!$D$5),OR('School Search'!$G$5="All eligible",AND('School Search'!$G$5="Not marked served",J2114&lt;&gt;"Yes"),AND('School Search'!$G$5="Missing data",V2114="Missing data"),AND('School Search'!$G$5="Marked served",J2114="Yes"))),1,0)</x:f>
        <x:v>1</x:v>
      </x:c>
      <x:c r="Z2114" s="1" t="n">
        <x:f>IF(Y2114=0,"",COUNTIFS($Y$2051:$Y$2550,1,$AO$2051:$AO$2550,"&lt;"&amp;AO2114)+COUNTIFS($Y$2051:Y2114,1,$AO$2051:AO2114,AO2114))</x:f>
        <x:v>274</x:v>
      </x:c>
      <x:c r="AA2114" s="1" t="str">
        <x:f>IF(NOT(ISNUMBER(S2114)),"Missing demographic or access input",TEXT(G2114,"0%")&amp;" economic need; "&amp;TEXT(K2114,"0.00")&amp;" mi fresh access; "&amp;L2114&amp;" nearby resources")</x:f>
        <x:v>69% economic need; 0.06 mi fresh access; 8 nearby resources</x:v>
      </x:c>
      <x:c r="AB2114" s="1" t="n">
        <x:f>IF(OR(A2114="",COUNTIFS($A$1531:$A$2030,A2114)&lt;&gt;1),0,MATCH(A2114,$A$1531:$A$2030,0))</x:f>
        <x:v>64</x:v>
      </x:c>
      <x:c r="AC2114" s="1" t="str">
        <x:f>IF(AB2114=0,"",INDEX($E$1531:$E$2030,AB2114))</x:f>
        <x:v>First Oriental Market Inc</x:v>
      </x:c>
      <x:c r="AD2114" s="1" t="str">
        <x:f>IF(AB2114=0,"",INDEX($F$1531:$F$2030,AB2114))</x:f>
        <x:v>1111 S 6th St, Philadelphia, PA, 19147</x:v>
      </x:c>
      <x:c r="AE2114" s="1" t="str">
        <x:f>IF(A2114="","",F65)</x:f>
        <x:v>1198 S 5TH ST</x:v>
      </x:c>
      <x:c r="AF2114" s="1" t="n">
        <x:f>IF(ISNUMBER(I65),I65,"")</x:f>
        <x:v>39.93427949</x:v>
      </x:c>
      <x:c r="AG2114" s="1" t="n">
        <x:f>IF(ISNUMBER(J65),J65,"")</x:f>
        <x:v>-75.15252649</x:v>
      </x:c>
      <x:c r="AH2114" s="1" t="str">
        <x:f>IF(I2114=0,"Not contacted",IF(INDEX('Staff Review'!$J$8:$J$507,I2114)="","Not contacted",INDEX('Staff Review'!$J$8:$J$507,I2114)))</x:f>
        <x:v>Not contacted</x:v>
      </x:c>
      <x:c r="AI2114" s="1" t="str">
        <x:f>IF(I2114=0,"No",IF(AND(COUNT(INDEX('Staff Review'!$D$8:$D$507,I2114))=1,INDEX('Staff Review'!$D$8:$D$507,I2114)&gt;=0,COUNT(INDEX('Staff Review'!$E$8:$E$507,I2114))=1,INDEX('Staff Review'!$E$8:$E$507,I2114)&gt;0,INDEX('Staff Review'!$E$8:$E$507,I2114)&lt;='Top 15'!$E$5,'Top 15'!$E$5-INDEX('Staff Review'!$E$8:$E$507,I2114)&lt;='Top 15'!$H$5,LEN(INDEX('Staff Review'!$H$8:$H$507,I2114))&gt;0),"Yes","No"))</x:f>
        <x:v>No</x:v>
      </x:c>
      <x:c r="AJ2114" s="1" t="str">
        <x:f>IF(I2114=0,"No",IF(COUNT(INDEX('Staff Review'!$F$8:$F$507,I2114))&lt;&gt;1,"No",IF(AND(INDEX('Staff Review'!$F$8:$F$507,I2114)&gt;=0,MOD(INDEX('Staff Review'!$F$8:$F$507,I2114),1)=0,COUNT(INDEX('Staff Review'!$G$8:$G$507,I2114))=1,INDEX('Staff Review'!$G$8:$G$507,I2114)&gt;0,INDEX('Staff Review'!$G$8:$G$507,I2114)&lt;='Top 15'!$E$5,'Top 15'!$E$5-INDEX('Staff Review'!$G$8:$G$507,I2114)&lt;='Top 15'!$H$5,LEN(INDEX('Staff Review'!$H$8:$H$507,I2114))&gt;0),"Yes","No")))</x:f>
        <x:v>No</x:v>
      </x:c>
      <x:c r="AK2114" s="1" t="n">
        <x:f>IF(A2114="",0,COUNTIFS($A$2:$A$501,A2114))</x:f>
        <x:v>1</x:v>
      </x:c>
      <x:c r="AL2114" s="1" t="n">
        <x:f>IF(V2114="Candidate",1,0)</x:f>
        <x:v>1</x:v>
      </x:c>
      <x:c r="AM2114" s="1" t="n">
        <x:f>IF(A2114="",0,VALUE(A2114))</x:f>
        <x:v>2720</x:v>
      </x:c>
      <x:c r="AN2114" s="1" t="n">
        <x:f>IF(OR(A2114="",COUNTIFS($T$41:$T$540,A2114)&lt;&gt;1),0,MATCH(A2114,$T$41:$T$540,0))</x:f>
        <x:v>64</x:v>
      </x:c>
      <x:c r="AO2114" t="n">
        <x:f>IF(ISNUMBER(W2114),W2114,10000+AM2114)</x:f>
        <x:v>274</x:v>
      </x:c>
    </x:row>
    <x:row r="2115" ht="22" customHeight="1">
      <x:c r="A2115" s="1" t="str">
        <x:f>IF(A66="","",A66)</x:f>
        <x:v>3040</x:v>
      </x:c>
      <x:c r="B2115" s="1" t="str">
        <x:f>IF(A2115="","",B66)</x:f>
        <x:v>Excel Middle Years Academy</x:v>
      </x:c>
      <x:c r="C2115" s="1" t="str">
        <x:f>IF(A2115="","",C66)</x:f>
        <x:v>Contracted</x:v>
      </x:c>
      <x:c r="D2115" s="1" t="str">
        <x:f>IF(A2115="","",E66)</x:f>
        <x:v>Transition/Overage School</x:v>
      </x:c>
      <x:c r="E2115" s="1" t="str">
        <x:f>IF(A2115="","",H66)</x:f>
        <x:v>19104</x:v>
      </x:c>
      <x:c r="F2115" s="1" t="n">
        <x:f>IF(ISNUMBER(K66),K66,"")</x:f>
        <x:v>24</x:v>
      </x:c>
      <x:c r="G2115" s="1" t="str">
        <x:f>IF(ISNUMBER(L66),L66,"")</x:f>
      </x:c>
      <x:c r="H2115" s="1" t="str">
        <x:f>IF(A2115="","",IF(AND(UPPER(G66)="PHILADELPHIA",OR(C2115="District",AND(C2115="Charter",D66="Yes"))),"Yes","No"))</x:f>
        <x:v>No</x:v>
      </x:c>
      <x:c r="I2115" s="1" t="n">
        <x:f>IF(OR(A2115="",COUNTIFS('Staff Review'!$A$8:$A$507,A2115)&lt;&gt;1),0,MATCH(A2115,'Staff Review'!$A$8:$A$507,0))</x:f>
        <x:v>70</x:v>
      </x:c>
      <x:c r="J2115" s="1" t="str">
        <x:f>IF(I2115=0,"No",IF(INDEX('Staff Review'!$C$8:$C$507,I2115)="Yes","Yes","No"))</x:f>
        <x:v>No</x:v>
      </x:c>
      <x:c r="K2115" s="1" t="n">
        <x:f>IF(AI2115="Yes",INDEX('Staff Review'!$D$8:$D$507,I2115),IF(AB2115=0,"",IF(COUNT(INDEX($C$1531:$C$2030,AB2115))=1,INDEX($C$1531:$C$2030,AB2115),"")))</x:f>
        <x:v>0.6537094255742392</x:v>
      </x:c>
      <x:c r="L2115" s="1" t="n">
        <x:f>IF(AJ2115="Yes",INDEX('Staff Review'!$F$8:$F$507,I2115),IF(AB2115=0,"",IF(COUNT(INDEX($G$1531:$G$2030,AB2115))=1,INDEX($G$1531:$G$2030,AB2115),"")))</x:f>
        <x:v>11</x:v>
      </x:c>
      <x:c r="M2115" s="1" t="str">
        <x:f>IF(A2115="","",IF(AI2115="Yes","Verified","Listed"))</x:f>
        <x:v>Listed</x:v>
      </x:c>
      <x:c r="N2115" s="1" t="str">
        <x:f>IF(A2115="","",IF(AJ2115="Yes","Verified","Listed"))</x:f>
        <x:v>Listed</x:v>
      </x:c>
      <x:c r="O2115" s="1" t="str">
        <x:f>IF(AND(ISNUMBER(G2115),G2115&gt;=0,G2115&lt;=1),IF(G2115&gt;=0.9,30,IF(G2115&gt;=0.8,25,IF(G2115&gt;=0.7,20,IF(G2115&gt;=0.6,15,IF(G2115&gt;=0.5,10,IF(G2115&gt;=0.4,5,0)))))),"")</x:f>
      </x:c>
      <x:c r="P2115" s="1" t="n">
        <x:f>IF(ISNUMBER(K2115),IF(K2115&lt;0,"",IF(K2115&gt;1,25,IF(K2115&gt;=0.75,20,IF(K2115&gt;=0.5,15,IF(K2115&gt;=0.25,10,5))))),"")</x:f>
        <x:v>15</x:v>
      </x:c>
      <x:c r="Q2115" s="1" t="n">
        <x:f>IF(NOT(ISNUMBER(L2115)),"",IF(AND(L2115&gt;=0,MOD(L2115,1)=0),MAX(0,25-5*L2115),""))</x:f>
        <x:v>0</x:v>
      </x:c>
      <x:c r="R2115" s="1" t="n">
        <x:f>IF(NOT(ISNUMBER(F2115)),"",IF(AND(F2115&gt;0,MOD(F2115,1)=0),IF(F2115&gt;=700,5,IF(F2115&gt;=500,4,IF(F2115&gt;=350,3,IF(F2115&gt;=200,2,1)))),""))</x:f>
        <x:v>1</x:v>
      </x:c>
      <x:c r="S2115" s="1" t="str">
        <x:f>IF(COUNT(O2115:R2115)=4,SUM(O2115:R2115),"")</x:f>
      </x:c>
      <x:c r="T2115" s="1" t="str">
        <x:f>IF(OR(COUNT(O2115:R2115)&lt;&gt;4,COUNT('Top 15'!$B$35:$E$35)&lt;&gt;4,MIN('Top 15'!$B$35:$E$35)&lt;0,SUM('Top 15'!$B$35:$E$35)&lt;=0),"",ROUND(85*(O2115/30*'Top 15'!$B$35+P2115/25*'Top 15'!$C$35+Q2115/25*'Top 15'!$D$35+R2115/5*'Top 15'!$E$35)/SUM('Top 15'!$B$35:$E$35),6))</x:f>
      </x:c>
      <x:c r="U2115" s="1" t="str">
        <x:f>IF(A2115="","",IF(AND(M2115="Verified",N2115="Verified"),"Verified",IF(AND(M2115="Listed",N2115="Listed"),"Listed","Mixed")))</x:f>
        <x:v>Listed</x:v>
      </x:c>
      <x:c r="V2115" s="1" t="str">
        <x:f>IF(A2115="","",IF(AK2115&lt;&gt;1,"Duplicate source ID",IF(COUNTIFS('Staff Review'!$A$8:$A$507,A2115)&gt;1,"Duplicate review ID",IF(H2115&lt;&gt;"Yes","Outside scope",IF(J2115="Yes","Already served",IF(NOT(ISNUMBER(T2115)),"Missing data","Candidate"))))))</x:f>
        <x:v>Outside scope</x:v>
      </x:c>
      <x:c r="W2115" s="1" t="str">
        <x:f>IF(AL2115=0,"",1+COUNTIFS($AL$2051:$AL$2550,1,$T$2051:$T$2550,"&gt;"&amp;T2115)+COUNTIFS($AL$2051:$AL$2550,1,$T$2051:$T$2550,T2115,$G$2051:$G$2550,"&gt;"&amp;G2115)+COUNTIFS($AL$2051:$AL$2550,1,$T$2051:$T$2550,T2115,$G$2051:$G$2550,G2115,$F$2051:$F$2550,"&gt;"&amp;F2115)+COUNTIFS($AL$2051:$AL$2550,1,$T$2051:$T$2550,T2115,$G$2051:$G$2550,G2115,$F$2051:$F$2550,F2115,$AM$2051:$AM$2550,"&lt;"&amp;AM2115))</x:f>
      </x:c>
      <x:c r="X2115" s="1" t="str">
        <x:f>IF(AL2115=0,"",1+COUNTIFS($AL$2051:$AL$2550,1,$T$2051:$T$2550,"&gt;"&amp;T2115))</x:f>
      </x:c>
      <x:c r="Y2115" s="1" t="n">
        <x:f>IF(AND(H2115="Yes",OR(LEN('School Search'!$B$5)=0,ISNUMBER(SEARCH('School Search'!$B$5,B2115&amp;" "&amp;E2115&amp;" "&amp;A2115))),OR('School Search'!$D$5="All",C2115='School Search'!$D$5),OR('School Search'!$G$5="All eligible",AND('School Search'!$G$5="Not marked served",J2115&lt;&gt;"Yes"),AND('School Search'!$G$5="Missing data",V2115="Missing data"),AND('School Search'!$G$5="Marked served",J2115="Yes"))),1,0)</x:f>
        <x:v>0</x:v>
      </x:c>
      <x:c r="Z2115" s="1" t="str">
        <x:f>IF(Y2115=0,"",COUNTIFS($Y$2051:$Y$2550,1,$AO$2051:$AO$2550,"&lt;"&amp;AO2115)+COUNTIFS($Y$2051:Y2115,1,$AO$2051:AO2115,AO2115))</x:f>
      </x:c>
      <x:c r="AA2115" s="1" t="str">
        <x:f>IF(NOT(ISNUMBER(S2115)),"Missing demographic or access input",TEXT(G2115,"0%")&amp;" economic need; "&amp;TEXT(K2115,"0.00")&amp;" mi fresh access; "&amp;L2115&amp;" nearby resources")</x:f>
        <x:v>Missing demographic or access input</x:v>
      </x:c>
      <x:c r="AB2115" s="1" t="n">
        <x:f>IF(OR(A2115="",COUNTIFS($A$1531:$A$2030,A2115)&lt;&gt;1),0,MATCH(A2115,$A$1531:$A$2030,0))</x:f>
        <x:v>65</x:v>
      </x:c>
      <x:c r="AC2115" s="1" t="str">
        <x:f>IF(AB2115=0,"",INDEX($E$1531:$E$2030,AB2115))</x:f>
        <x:v>Cousin's Fresh Market 2 Inc</x:v>
      </x:c>
      <x:c r="AD2115" s="1" t="str">
        <x:f>IF(AB2115=0,"",INDEX($F$1531:$F$2030,AB2115))</x:f>
        <x:v>5429 W Girard Ave, Philadelphia, PA, 19131</x:v>
      </x:c>
      <x:c r="AE2115" s="1" t="str">
        <x:f>IF(A2115="","",F66)</x:f>
        <x:v>4300 WESTMINSTER AVE</x:v>
      </x:c>
      <x:c r="AF2115" s="1" t="n">
        <x:f>IF(ISNUMBER(I66),I66,"")</x:f>
        <x:v>39.969705</x:v>
      </x:c>
      <x:c r="AG2115" s="1" t="n">
        <x:f>IF(ISNUMBER(J66),J66,"")</x:f>
        <x:v>-75.210282</x:v>
      </x:c>
      <x:c r="AH2115" s="1" t="str">
        <x:f>IF(I2115=0,"Not contacted",IF(INDEX('Staff Review'!$J$8:$J$507,I2115)="","Not contacted",INDEX('Staff Review'!$J$8:$J$507,I2115)))</x:f>
        <x:v>Not contacted</x:v>
      </x:c>
      <x:c r="AI2115" s="1" t="str">
        <x:f>IF(I2115=0,"No",IF(AND(COUNT(INDEX('Staff Review'!$D$8:$D$507,I2115))=1,INDEX('Staff Review'!$D$8:$D$507,I2115)&gt;=0,COUNT(INDEX('Staff Review'!$E$8:$E$507,I2115))=1,INDEX('Staff Review'!$E$8:$E$507,I2115)&gt;0,INDEX('Staff Review'!$E$8:$E$507,I2115)&lt;='Top 15'!$E$5,'Top 15'!$E$5-INDEX('Staff Review'!$E$8:$E$507,I2115)&lt;='Top 15'!$H$5,LEN(INDEX('Staff Review'!$H$8:$H$507,I2115))&gt;0),"Yes","No"))</x:f>
        <x:v>No</x:v>
      </x:c>
      <x:c r="AJ2115" s="1" t="str">
        <x:f>IF(I2115=0,"No",IF(COUNT(INDEX('Staff Review'!$F$8:$F$507,I2115))&lt;&gt;1,"No",IF(AND(INDEX('Staff Review'!$F$8:$F$507,I2115)&gt;=0,MOD(INDEX('Staff Review'!$F$8:$F$507,I2115),1)=0,COUNT(INDEX('Staff Review'!$G$8:$G$507,I2115))=1,INDEX('Staff Review'!$G$8:$G$507,I2115)&gt;0,INDEX('Staff Review'!$G$8:$G$507,I2115)&lt;='Top 15'!$E$5,'Top 15'!$E$5-INDEX('Staff Review'!$G$8:$G$507,I2115)&lt;='Top 15'!$H$5,LEN(INDEX('Staff Review'!$H$8:$H$507,I2115))&gt;0),"Yes","No")))</x:f>
        <x:v>No</x:v>
      </x:c>
      <x:c r="AK2115" s="1" t="n">
        <x:f>IF(A2115="",0,COUNTIFS($A$2:$A$501,A2115))</x:f>
        <x:v>1</x:v>
      </x:c>
      <x:c r="AL2115" s="1" t="n">
        <x:f>IF(V2115="Candidate",1,0)</x:f>
        <x:v>0</x:v>
      </x:c>
      <x:c r="AM2115" s="1" t="n">
        <x:f>IF(A2115="",0,VALUE(A2115))</x:f>
        <x:v>3040</x:v>
      </x:c>
      <x:c r="AN2115" s="1" t="n">
        <x:f>IF(OR(A2115="",COUNTIFS($T$41:$T$540,A2115)&lt;&gt;1),0,MATCH(A2115,$T$41:$T$540,0))</x:f>
        <x:v>65</x:v>
      </x:c>
      <x:c r="AO2115" t="n">
        <x:f>IF(ISNUMBER(W2115),W2115,10000+AM2115)</x:f>
        <x:v>13040</x:v>
      </x:c>
    </x:row>
    <x:row r="2116" ht="22" customHeight="1">
      <x:c r="A2116" s="1" t="str">
        <x:f>IF(A67="","",A67)</x:f>
        <x:v>3190</x:v>
      </x:c>
      <x:c r="B2116" s="1" t="str">
        <x:f>IF(A2116="","",B67)</x:f>
        <x:v>Crossroads at Hunting Park</x:v>
      </x:c>
      <x:c r="C2116" s="1" t="str">
        <x:f>IF(A2116="","",C67)</x:f>
        <x:v>District</x:v>
      </x:c>
      <x:c r="D2116" s="1" t="str">
        <x:f>IF(A2116="","",E67)</x:f>
        <x:v>Transition/Overage School</x:v>
      </x:c>
      <x:c r="E2116" s="1" t="str">
        <x:f>IF(A2116="","",H67)</x:f>
        <x:v>19140</x:v>
      </x:c>
      <x:c r="F2116" s="1" t="n">
        <x:f>IF(ISNUMBER(K67),K67,"")</x:f>
        <x:v>25</x:v>
      </x:c>
      <x:c r="G2116" s="1" t="str">
        <x:f>IF(ISNUMBER(L67),L67,"")</x:f>
      </x:c>
      <x:c r="H2116" s="1" t="str">
        <x:f>IF(A2116="","",IF(AND(UPPER(G67)="PHILADELPHIA",OR(C2116="District",AND(C2116="Charter",D67="Yes"))),"Yes","No"))</x:f>
        <x:v>Yes</x:v>
      </x:c>
      <x:c r="I2116" s="1" t="n">
        <x:f>IF(OR(A2116="",COUNTIFS('Staff Review'!$A$8:$A$507,A2116)&lt;&gt;1),0,MATCH(A2116,'Staff Review'!$A$8:$A$507,0))</x:f>
        <x:v>48</x:v>
      </x:c>
      <x:c r="J2116" s="1" t="str">
        <x:f>IF(I2116=0,"No",IF(INDEX('Staff Review'!$C$8:$C$507,I2116)="Yes","Yes","No"))</x:f>
        <x:v>No</x:v>
      </x:c>
      <x:c r="K2116" s="1" t="n">
        <x:f>IF(AI2116="Yes",INDEX('Staff Review'!$D$8:$D$507,I2116),IF(AB2116=0,"",IF(COUNT(INDEX($C$1531:$C$2030,AB2116))=1,INDEX($C$1531:$C$2030,AB2116),"")))</x:f>
        <x:v>0.5181636732430546</x:v>
      </x:c>
      <x:c r="L2116" s="1" t="n">
        <x:f>IF(AJ2116="Yes",INDEX('Staff Review'!$F$8:$F$507,I2116),IF(AB2116=0,"",IF(COUNT(INDEX($G$1531:$G$2030,AB2116))=1,INDEX($G$1531:$G$2030,AB2116),"")))</x:f>
        <x:v>10</x:v>
      </x:c>
      <x:c r="M2116" s="1" t="str">
        <x:f>IF(A2116="","",IF(AI2116="Yes","Verified","Listed"))</x:f>
        <x:v>Listed</x:v>
      </x:c>
      <x:c r="N2116" s="1" t="str">
        <x:f>IF(A2116="","",IF(AJ2116="Yes","Verified","Listed"))</x:f>
        <x:v>Listed</x:v>
      </x:c>
      <x:c r="O2116" s="1" t="str">
        <x:f>IF(AND(ISNUMBER(G2116),G2116&gt;=0,G2116&lt;=1),IF(G2116&gt;=0.9,30,IF(G2116&gt;=0.8,25,IF(G2116&gt;=0.7,20,IF(G2116&gt;=0.6,15,IF(G2116&gt;=0.5,10,IF(G2116&gt;=0.4,5,0)))))),"")</x:f>
      </x:c>
      <x:c r="P2116" s="1" t="n">
        <x:f>IF(ISNUMBER(K2116),IF(K2116&lt;0,"",IF(K2116&gt;1,25,IF(K2116&gt;=0.75,20,IF(K2116&gt;=0.5,15,IF(K2116&gt;=0.25,10,5))))),"")</x:f>
        <x:v>15</x:v>
      </x:c>
      <x:c r="Q2116" s="1" t="n">
        <x:f>IF(NOT(ISNUMBER(L2116)),"",IF(AND(L2116&gt;=0,MOD(L2116,1)=0),MAX(0,25-5*L2116),""))</x:f>
        <x:v>0</x:v>
      </x:c>
      <x:c r="R2116" s="1" t="n">
        <x:f>IF(NOT(ISNUMBER(F2116)),"",IF(AND(F2116&gt;0,MOD(F2116,1)=0),IF(F2116&gt;=700,5,IF(F2116&gt;=500,4,IF(F2116&gt;=350,3,IF(F2116&gt;=200,2,1)))),""))</x:f>
        <x:v>1</x:v>
      </x:c>
      <x:c r="S2116" s="1" t="str">
        <x:f>IF(COUNT(O2116:R2116)=4,SUM(O2116:R2116),"")</x:f>
      </x:c>
      <x:c r="T2116" s="1" t="str">
        <x:f>IF(OR(COUNT(O2116:R2116)&lt;&gt;4,COUNT('Top 15'!$B$35:$E$35)&lt;&gt;4,MIN('Top 15'!$B$35:$E$35)&lt;0,SUM('Top 15'!$B$35:$E$35)&lt;=0),"",ROUND(85*(O2116/30*'Top 15'!$B$35+P2116/25*'Top 15'!$C$35+Q2116/25*'Top 15'!$D$35+R2116/5*'Top 15'!$E$35)/SUM('Top 15'!$B$35:$E$35),6))</x:f>
      </x:c>
      <x:c r="U2116" s="1" t="str">
        <x:f>IF(A2116="","",IF(AND(M2116="Verified",N2116="Verified"),"Verified",IF(AND(M2116="Listed",N2116="Listed"),"Listed","Mixed")))</x:f>
        <x:v>Listed</x:v>
      </x:c>
      <x:c r="V2116" s="1" t="str">
        <x:f>IF(A2116="","",IF(AK2116&lt;&gt;1,"Duplicate source ID",IF(COUNTIFS('Staff Review'!$A$8:$A$507,A2116)&gt;1,"Duplicate review ID",IF(H2116&lt;&gt;"Yes","Outside scope",IF(J2116="Yes","Already served",IF(NOT(ISNUMBER(T2116)),"Missing data","Candidate"))))))</x:f>
        <x:v>Missing data</x:v>
      </x:c>
      <x:c r="W2116" s="1" t="str">
        <x:f>IF(AL2116=0,"",1+COUNTIFS($AL$2051:$AL$2550,1,$T$2051:$T$2550,"&gt;"&amp;T2116)+COUNTIFS($AL$2051:$AL$2550,1,$T$2051:$T$2550,T2116,$G$2051:$G$2550,"&gt;"&amp;G2116)+COUNTIFS($AL$2051:$AL$2550,1,$T$2051:$T$2550,T2116,$G$2051:$G$2550,G2116,$F$2051:$F$2550,"&gt;"&amp;F2116)+COUNTIFS($AL$2051:$AL$2550,1,$T$2051:$T$2550,T2116,$G$2051:$G$2550,G2116,$F$2051:$F$2550,F2116,$AM$2051:$AM$2550,"&lt;"&amp;AM2116))</x:f>
      </x:c>
      <x:c r="X2116" s="1" t="str">
        <x:f>IF(AL2116=0,"",1+COUNTIFS($AL$2051:$AL$2550,1,$T$2051:$T$2550,"&gt;"&amp;T2116))</x:f>
      </x:c>
      <x:c r="Y2116" s="1" t="n">
        <x:f>IF(AND(H2116="Yes",OR(LEN('School Search'!$B$5)=0,ISNUMBER(SEARCH('School Search'!$B$5,B2116&amp;" "&amp;E2116&amp;" "&amp;A2116))),OR('School Search'!$D$5="All",C2116='School Search'!$D$5),OR('School Search'!$G$5="All eligible",AND('School Search'!$G$5="Not marked served",J2116&lt;&gt;"Yes"),AND('School Search'!$G$5="Missing data",V2116="Missing data"),AND('School Search'!$G$5="Marked served",J2116="Yes"))),1,0)</x:f>
        <x:v>1</x:v>
      </x:c>
      <x:c r="Z2116" s="1" t="n">
        <x:f>IF(Y2116=0,"",COUNTIFS($Y$2051:$Y$2550,1,$AO$2051:$AO$2550,"&lt;"&amp;AO2116)+COUNTIFS($Y$2051:Y2116,1,$AO$2051:AO2116,AO2116))</x:f>
        <x:v>296</x:v>
      </x:c>
      <x:c r="AA2116" s="1" t="str">
        <x:f>IF(NOT(ISNUMBER(S2116)),"Missing demographic or access input",TEXT(G2116,"0%")&amp;" economic need; "&amp;TEXT(K2116,"0.00")&amp;" mi fresh access; "&amp;L2116&amp;" nearby resources")</x:f>
        <x:v>Missing demographic or access input</x:v>
      </x:c>
      <x:c r="AB2116" s="1" t="n">
        <x:f>IF(OR(A2116="",COUNTIFS($A$1531:$A$2030,A2116)&lt;&gt;1),0,MATCH(A2116,$A$1531:$A$2030,0))</x:f>
        <x:v>66</x:v>
      </x:c>
      <x:c r="AC2116" s="1" t="str">
        <x:f>IF(AB2116=0,"",INDEX($E$1531:$E$2030,AB2116))</x:f>
        <x:v>COUSINS SUPERMARKET INC. #2</x:v>
      </x:c>
      <x:c r="AD2116" s="1" t="str">
        <x:f>IF(AB2116=0,"",INDEX($F$1531:$F$2030,AB2116))</x:f>
        <x:v>4037 N 5th St, Philadelphia, PA, 19140</x:v>
      </x:c>
      <x:c r="AE2116" s="1" t="str">
        <x:f>IF(A2116="","",F67)</x:f>
        <x:v>4224 N FRONT ST</x:v>
      </x:c>
      <x:c r="AF2116" s="1" t="n">
        <x:f>IF(ISNUMBER(I67),I67,"")</x:f>
        <x:v>40.01425525</x:v>
      </x:c>
      <x:c r="AG2116" s="1" t="n">
        <x:f>IF(ISNUMBER(J67),J67,"")</x:f>
        <x:v>-75.12599679</x:v>
      </x:c>
      <x:c r="AH2116" s="1" t="str">
        <x:f>IF(I2116=0,"Not contacted",IF(INDEX('Staff Review'!$J$8:$J$507,I2116)="","Not contacted",INDEX('Staff Review'!$J$8:$J$507,I2116)))</x:f>
        <x:v>Not contacted</x:v>
      </x:c>
      <x:c r="AI2116" s="1" t="str">
        <x:f>IF(I2116=0,"No",IF(AND(COUNT(INDEX('Staff Review'!$D$8:$D$507,I2116))=1,INDEX('Staff Review'!$D$8:$D$507,I2116)&gt;=0,COUNT(INDEX('Staff Review'!$E$8:$E$507,I2116))=1,INDEX('Staff Review'!$E$8:$E$507,I2116)&gt;0,INDEX('Staff Review'!$E$8:$E$507,I2116)&lt;='Top 15'!$E$5,'Top 15'!$E$5-INDEX('Staff Review'!$E$8:$E$507,I2116)&lt;='Top 15'!$H$5,LEN(INDEX('Staff Review'!$H$8:$H$507,I2116))&gt;0),"Yes","No"))</x:f>
        <x:v>No</x:v>
      </x:c>
      <x:c r="AJ2116" s="1" t="str">
        <x:f>IF(I2116=0,"No",IF(COUNT(INDEX('Staff Review'!$F$8:$F$507,I2116))&lt;&gt;1,"No",IF(AND(INDEX('Staff Review'!$F$8:$F$507,I2116)&gt;=0,MOD(INDEX('Staff Review'!$F$8:$F$507,I2116),1)=0,COUNT(INDEX('Staff Review'!$G$8:$G$507,I2116))=1,INDEX('Staff Review'!$G$8:$G$507,I2116)&gt;0,INDEX('Staff Review'!$G$8:$G$507,I2116)&lt;='Top 15'!$E$5,'Top 15'!$E$5-INDEX('Staff Review'!$G$8:$G$507,I2116)&lt;='Top 15'!$H$5,LEN(INDEX('Staff Review'!$H$8:$H$507,I2116))&gt;0),"Yes","No")))</x:f>
        <x:v>No</x:v>
      </x:c>
      <x:c r="AK2116" s="1" t="n">
        <x:f>IF(A2116="",0,COUNTIFS($A$2:$A$501,A2116))</x:f>
        <x:v>1</x:v>
      </x:c>
      <x:c r="AL2116" s="1" t="n">
        <x:f>IF(V2116="Candidate",1,0)</x:f>
        <x:v>0</x:v>
      </x:c>
      <x:c r="AM2116" s="1" t="n">
        <x:f>IF(A2116="",0,VALUE(A2116))</x:f>
        <x:v>3190</x:v>
      </x:c>
      <x:c r="AN2116" s="1" t="n">
        <x:f>IF(OR(A2116="",COUNTIFS($T$41:$T$540,A2116)&lt;&gt;1),0,MATCH(A2116,$T$41:$T$540,0))</x:f>
        <x:v>66</x:v>
      </x:c>
      <x:c r="AO2116" t="n">
        <x:f>IF(ISNUMBER(W2116),W2116,10000+AM2116)</x:f>
        <x:v>13190</x:v>
      </x:c>
    </x:row>
    <x:row r="2117" ht="22" customHeight="1">
      <x:c r="A2117" s="1" t="str">
        <x:f>IF(A68="","",A68)</x:f>
        <x:v>3210</x:v>
      </x:c>
      <x:c r="B2117" s="1" t="str">
        <x:f>IF(A2117="","",B68)</x:f>
        <x:v>Ben Franklin High School EOP</x:v>
      </x:c>
      <x:c r="C2117" s="1" t="str">
        <x:f>IF(A2117="","",C68)</x:f>
        <x:v>District</x:v>
      </x:c>
      <x:c r="D2117" s="1" t="str">
        <x:f>IF(A2117="","",E68)</x:f>
        <x:v>Transition/Overage School</x:v>
      </x:c>
      <x:c r="E2117" s="1" t="str">
        <x:f>IF(A2117="","",H68)</x:f>
        <x:v>19130</x:v>
      </x:c>
      <x:c r="F2117" s="1" t="n">
        <x:f>IF(ISNUMBER(K68),K68,"")</x:f>
        <x:v>211</x:v>
      </x:c>
      <x:c r="G2117" s="1" t="str">
        <x:f>IF(ISNUMBER(L68),L68,"")</x:f>
      </x:c>
      <x:c r="H2117" s="1" t="str">
        <x:f>IF(A2117="","",IF(AND(UPPER(G68)="PHILADELPHIA",OR(C2117="District",AND(C2117="Charter",D68="Yes"))),"Yes","No"))</x:f>
        <x:v>Yes</x:v>
      </x:c>
      <x:c r="I2117" s="1" t="n">
        <x:f>IF(OR(A2117="",COUNTIFS('Staff Review'!$A$8:$A$507,A2117)&lt;&gt;1),0,MATCH(A2117,'Staff Review'!$A$8:$A$507,0))</x:f>
        <x:v>29</x:v>
      </x:c>
      <x:c r="J2117" s="1" t="str">
        <x:f>IF(I2117=0,"No",IF(INDEX('Staff Review'!$C$8:$C$507,I2117)="Yes","Yes","No"))</x:f>
        <x:v>No</x:v>
      </x:c>
      <x:c r="K2117" s="1" t="n">
        <x:f>IF(AI2117="Yes",INDEX('Staff Review'!$D$8:$D$507,I2117),IF(AB2117=0,"",IF(COUNT(INDEX($C$1531:$C$2030,AB2117))=1,INDEX($C$1531:$C$2030,AB2117),"")))</x:f>
        <x:v>0.04947958575697192</x:v>
      </x:c>
      <x:c r="L2117" s="1" t="n">
        <x:f>IF(AJ2117="Yes",INDEX('Staff Review'!$F$8:$F$507,I2117),IF(AB2117=0,"",IF(COUNT(INDEX($G$1531:$G$2030,AB2117))=1,INDEX($G$1531:$G$2030,AB2117),"")))</x:f>
        <x:v>10</x:v>
      </x:c>
      <x:c r="M2117" s="1" t="str">
        <x:f>IF(A2117="","",IF(AI2117="Yes","Verified","Listed"))</x:f>
        <x:v>Listed</x:v>
      </x:c>
      <x:c r="N2117" s="1" t="str">
        <x:f>IF(A2117="","",IF(AJ2117="Yes","Verified","Listed"))</x:f>
        <x:v>Listed</x:v>
      </x:c>
      <x:c r="O2117" s="1" t="str">
        <x:f>IF(AND(ISNUMBER(G2117),G2117&gt;=0,G2117&lt;=1),IF(G2117&gt;=0.9,30,IF(G2117&gt;=0.8,25,IF(G2117&gt;=0.7,20,IF(G2117&gt;=0.6,15,IF(G2117&gt;=0.5,10,IF(G2117&gt;=0.4,5,0)))))),"")</x:f>
      </x:c>
      <x:c r="P2117" s="1" t="n">
        <x:f>IF(ISNUMBER(K2117),IF(K2117&lt;0,"",IF(K2117&gt;1,25,IF(K2117&gt;=0.75,20,IF(K2117&gt;=0.5,15,IF(K2117&gt;=0.25,10,5))))),"")</x:f>
        <x:v>5</x:v>
      </x:c>
      <x:c r="Q2117" s="1" t="n">
        <x:f>IF(NOT(ISNUMBER(L2117)),"",IF(AND(L2117&gt;=0,MOD(L2117,1)=0),MAX(0,25-5*L2117),""))</x:f>
        <x:v>0</x:v>
      </x:c>
      <x:c r="R2117" s="1" t="n">
        <x:f>IF(NOT(ISNUMBER(F2117)),"",IF(AND(F2117&gt;0,MOD(F2117,1)=0),IF(F2117&gt;=700,5,IF(F2117&gt;=500,4,IF(F2117&gt;=350,3,IF(F2117&gt;=200,2,1)))),""))</x:f>
        <x:v>2</x:v>
      </x:c>
      <x:c r="S2117" s="1" t="str">
        <x:f>IF(COUNT(O2117:R2117)=4,SUM(O2117:R2117),"")</x:f>
      </x:c>
      <x:c r="T2117" s="1" t="str">
        <x:f>IF(OR(COUNT(O2117:R2117)&lt;&gt;4,COUNT('Top 15'!$B$35:$E$35)&lt;&gt;4,MIN('Top 15'!$B$35:$E$35)&lt;0,SUM('Top 15'!$B$35:$E$35)&lt;=0),"",ROUND(85*(O2117/30*'Top 15'!$B$35+P2117/25*'Top 15'!$C$35+Q2117/25*'Top 15'!$D$35+R2117/5*'Top 15'!$E$35)/SUM('Top 15'!$B$35:$E$35),6))</x:f>
      </x:c>
      <x:c r="U2117" s="1" t="str">
        <x:f>IF(A2117="","",IF(AND(M2117="Verified",N2117="Verified"),"Verified",IF(AND(M2117="Listed",N2117="Listed"),"Listed","Mixed")))</x:f>
        <x:v>Listed</x:v>
      </x:c>
      <x:c r="V2117" s="1" t="str">
        <x:f>IF(A2117="","",IF(AK2117&lt;&gt;1,"Duplicate source ID",IF(COUNTIFS('Staff Review'!$A$8:$A$507,A2117)&gt;1,"Duplicate review ID",IF(H2117&lt;&gt;"Yes","Outside scope",IF(J2117="Yes","Already served",IF(NOT(ISNUMBER(T2117)),"Missing data","Candidate"))))))</x:f>
        <x:v>Missing data</x:v>
      </x:c>
      <x:c r="W2117" s="1" t="str">
        <x:f>IF(AL2117=0,"",1+COUNTIFS($AL$2051:$AL$2550,1,$T$2051:$T$2550,"&gt;"&amp;T2117)+COUNTIFS($AL$2051:$AL$2550,1,$T$2051:$T$2550,T2117,$G$2051:$G$2550,"&gt;"&amp;G2117)+COUNTIFS($AL$2051:$AL$2550,1,$T$2051:$T$2550,T2117,$G$2051:$G$2550,G2117,$F$2051:$F$2550,"&gt;"&amp;F2117)+COUNTIFS($AL$2051:$AL$2550,1,$T$2051:$T$2550,T2117,$G$2051:$G$2550,G2117,$F$2051:$F$2550,F2117,$AM$2051:$AM$2550,"&lt;"&amp;AM2117))</x:f>
      </x:c>
      <x:c r="X2117" s="1" t="str">
        <x:f>IF(AL2117=0,"",1+COUNTIFS($AL$2051:$AL$2550,1,$T$2051:$T$2550,"&gt;"&amp;T2117))</x:f>
      </x:c>
      <x:c r="Y2117" s="1" t="n">
        <x:f>IF(AND(H2117="Yes",OR(LEN('School Search'!$B$5)=0,ISNUMBER(SEARCH('School Search'!$B$5,B2117&amp;" "&amp;E2117&amp;" "&amp;A2117))),OR('School Search'!$D$5="All",C2117='School Search'!$D$5),OR('School Search'!$G$5="All eligible",AND('School Search'!$G$5="Not marked served",J2117&lt;&gt;"Yes"),AND('School Search'!$G$5="Missing data",V2117="Missing data"),AND('School Search'!$G$5="Marked served",J2117="Yes"))),1,0)</x:f>
        <x:v>1</x:v>
      </x:c>
      <x:c r="Z2117" s="1" t="n">
        <x:f>IF(Y2117=0,"",COUNTIFS($Y$2051:$Y$2550,1,$AO$2051:$AO$2550,"&lt;"&amp;AO2117)+COUNTIFS($Y$2051:Y2117,1,$AO$2051:AO2117,AO2117))</x:f>
        <x:v>297</x:v>
      </x:c>
      <x:c r="AA2117" s="1" t="str">
        <x:f>IF(NOT(ISNUMBER(S2117)),"Missing demographic or access input",TEXT(G2117,"0%")&amp;" economic need; "&amp;TEXT(K2117,"0.00")&amp;" mi fresh access; "&amp;L2117&amp;" nearby resources")</x:f>
        <x:v>Missing demographic or access input</x:v>
      </x:c>
      <x:c r="AB2117" s="1" t="n">
        <x:f>IF(OR(A2117="",COUNTIFS($A$1531:$A$2030,A2117)&lt;&gt;1),0,MATCH(A2117,$A$1531:$A$2030,0))</x:f>
        <x:v>67</x:v>
      </x:c>
      <x:c r="AC2117" s="1" t="str">
        <x:f>IF(AB2117=0,"",INDEX($E$1531:$E$2030,AB2117))</x:f>
        <x:v>Giant Food Store 6573</x:v>
      </x:c>
      <x:c r="AD2117" s="1" t="str">
        <x:f>IF(AB2117=0,"",INDEX($F$1531:$F$2030,AB2117))</x:f>
        <x:v>510 N Broad St, Philadelphia, PA, 19130</x:v>
      </x:c>
      <x:c r="AE2117" s="1" t="str">
        <x:f>IF(A2117="","",F68)</x:f>
        <x:v>550 N BROAD ST</x:v>
      </x:c>
      <x:c r="AF2117" s="1" t="n">
        <x:f>IF(ISNUMBER(I68),I68,"")</x:f>
        <x:v>39.96353</x:v>
      </x:c>
      <x:c r="AG2117" s="1" t="n">
        <x:f>IF(ISNUMBER(J68),J68,"")</x:f>
        <x:v>-75.16164</x:v>
      </x:c>
      <x:c r="AH2117" s="1" t="str">
        <x:f>IF(I2117=0,"Not contacted",IF(INDEX('Staff Review'!$J$8:$J$507,I2117)="","Not contacted",INDEX('Staff Review'!$J$8:$J$507,I2117)))</x:f>
        <x:v>Not contacted</x:v>
      </x:c>
      <x:c r="AI2117" s="1" t="str">
        <x:f>IF(I2117=0,"No",IF(AND(COUNT(INDEX('Staff Review'!$D$8:$D$507,I2117))=1,INDEX('Staff Review'!$D$8:$D$507,I2117)&gt;=0,COUNT(INDEX('Staff Review'!$E$8:$E$507,I2117))=1,INDEX('Staff Review'!$E$8:$E$507,I2117)&gt;0,INDEX('Staff Review'!$E$8:$E$507,I2117)&lt;='Top 15'!$E$5,'Top 15'!$E$5-INDEX('Staff Review'!$E$8:$E$507,I2117)&lt;='Top 15'!$H$5,LEN(INDEX('Staff Review'!$H$8:$H$507,I2117))&gt;0),"Yes","No"))</x:f>
        <x:v>No</x:v>
      </x:c>
      <x:c r="AJ2117" s="1" t="str">
        <x:f>IF(I2117=0,"No",IF(COUNT(INDEX('Staff Review'!$F$8:$F$507,I2117))&lt;&gt;1,"No",IF(AND(INDEX('Staff Review'!$F$8:$F$507,I2117)&gt;=0,MOD(INDEX('Staff Review'!$F$8:$F$507,I2117),1)=0,COUNT(INDEX('Staff Review'!$G$8:$G$507,I2117))=1,INDEX('Staff Review'!$G$8:$G$507,I2117)&gt;0,INDEX('Staff Review'!$G$8:$G$507,I2117)&lt;='Top 15'!$E$5,'Top 15'!$E$5-INDEX('Staff Review'!$G$8:$G$507,I2117)&lt;='Top 15'!$H$5,LEN(INDEX('Staff Review'!$H$8:$H$507,I2117))&gt;0),"Yes","No")))</x:f>
        <x:v>No</x:v>
      </x:c>
      <x:c r="AK2117" s="1" t="n">
        <x:f>IF(A2117="",0,COUNTIFS($A$2:$A$501,A2117))</x:f>
        <x:v>1</x:v>
      </x:c>
      <x:c r="AL2117" s="1" t="n">
        <x:f>IF(V2117="Candidate",1,0)</x:f>
        <x:v>0</x:v>
      </x:c>
      <x:c r="AM2117" s="1" t="n">
        <x:f>IF(A2117="",0,VALUE(A2117))</x:f>
        <x:v>3210</x:v>
      </x:c>
      <x:c r="AN2117" s="1" t="n">
        <x:f>IF(OR(A2117="",COUNTIFS($T$41:$T$540,A2117)&lt;&gt;1),0,MATCH(A2117,$T$41:$T$540,0))</x:f>
        <x:v>67</x:v>
      </x:c>
      <x:c r="AO2117" t="n">
        <x:f>IF(ISNUMBER(W2117),W2117,10000+AM2117)</x:f>
        <x:v>13210</x:v>
      </x:c>
    </x:row>
    <x:row r="2118" ht="22" customHeight="1">
      <x:c r="A2118" s="1" t="str">
        <x:f>IF(A69="","",A69)</x:f>
        <x:v>3240</x:v>
      </x:c>
      <x:c r="B2118" s="1" t="str">
        <x:f>IF(A2118="","",B69)</x:f>
        <x:v>The Fortis Program</x:v>
      </x:c>
      <x:c r="C2118" s="1" t="str">
        <x:f>IF(A2118="","",C69)</x:f>
        <x:v>Contracted</x:v>
      </x:c>
      <x:c r="D2118" s="1" t="str">
        <x:f>IF(A2118="","",E69)</x:f>
        <x:v>Transition/Overage School</x:v>
      </x:c>
      <x:c r="E2118" s="1" t="str">
        <x:f>IF(A2118="","",H69)</x:f>
        <x:v>19125</x:v>
      </x:c>
      <x:c r="F2118" s="1" t="n">
        <x:f>IF(ISNUMBER(K69),K69,"")</x:f>
        <x:v>105</x:v>
      </x:c>
      <x:c r="G2118" s="1" t="str">
        <x:f>IF(ISNUMBER(L69),L69,"")</x:f>
      </x:c>
      <x:c r="H2118" s="1" t="str">
        <x:f>IF(A2118="","",IF(AND(UPPER(G69)="PHILADELPHIA",OR(C2118="District",AND(C2118="Charter",D69="Yes"))),"Yes","No"))</x:f>
        <x:v>No</x:v>
      </x:c>
      <x:c r="I2118" s="1" t="n">
        <x:f>IF(OR(A2118="",COUNTIFS('Staff Review'!$A$8:$A$507,A2118)&lt;&gt;1),0,MATCH(A2118,'Staff Review'!$A$8:$A$507,0))</x:f>
        <x:v>284</x:v>
      </x:c>
      <x:c r="J2118" s="1" t="str">
        <x:f>IF(I2118=0,"No",IF(INDEX('Staff Review'!$C$8:$C$507,I2118)="Yes","Yes","No"))</x:f>
        <x:v>No</x:v>
      </x:c>
      <x:c r="K2118" s="1" t="n">
        <x:f>IF(AI2118="Yes",INDEX('Staff Review'!$D$8:$D$507,I2118),IF(AB2118=0,"",IF(COUNT(INDEX($C$1531:$C$2030,AB2118))=1,INDEX($C$1531:$C$2030,AB2118),"")))</x:f>
        <x:v>0.25388415306094564</x:v>
      </x:c>
      <x:c r="L2118" s="1" t="n">
        <x:f>IF(AJ2118="Yes",INDEX('Staff Review'!$F$8:$F$507,I2118),IF(AB2118=0,"",IF(COUNT(INDEX($G$1531:$G$2030,AB2118))=1,INDEX($G$1531:$G$2030,AB2118),"")))</x:f>
        <x:v>6</x:v>
      </x:c>
      <x:c r="M2118" s="1" t="str">
        <x:f>IF(A2118="","",IF(AI2118="Yes","Verified","Listed"))</x:f>
        <x:v>Listed</x:v>
      </x:c>
      <x:c r="N2118" s="1" t="str">
        <x:f>IF(A2118="","",IF(AJ2118="Yes","Verified","Listed"))</x:f>
        <x:v>Listed</x:v>
      </x:c>
      <x:c r="O2118" s="1" t="str">
        <x:f>IF(AND(ISNUMBER(G2118),G2118&gt;=0,G2118&lt;=1),IF(G2118&gt;=0.9,30,IF(G2118&gt;=0.8,25,IF(G2118&gt;=0.7,20,IF(G2118&gt;=0.6,15,IF(G2118&gt;=0.5,10,IF(G2118&gt;=0.4,5,0)))))),"")</x:f>
      </x:c>
      <x:c r="P2118" s="1" t="n">
        <x:f>IF(ISNUMBER(K2118),IF(K2118&lt;0,"",IF(K2118&gt;1,25,IF(K2118&gt;=0.75,20,IF(K2118&gt;=0.5,15,IF(K2118&gt;=0.25,10,5))))),"")</x:f>
        <x:v>10</x:v>
      </x:c>
      <x:c r="Q2118" s="1" t="n">
        <x:f>IF(NOT(ISNUMBER(L2118)),"",IF(AND(L2118&gt;=0,MOD(L2118,1)=0),MAX(0,25-5*L2118),""))</x:f>
        <x:v>0</x:v>
      </x:c>
      <x:c r="R2118" s="1" t="n">
        <x:f>IF(NOT(ISNUMBER(F2118)),"",IF(AND(F2118&gt;0,MOD(F2118,1)=0),IF(F2118&gt;=700,5,IF(F2118&gt;=500,4,IF(F2118&gt;=350,3,IF(F2118&gt;=200,2,1)))),""))</x:f>
        <x:v>1</x:v>
      </x:c>
      <x:c r="S2118" s="1" t="str">
        <x:f>IF(COUNT(O2118:R2118)=4,SUM(O2118:R2118),"")</x:f>
      </x:c>
      <x:c r="T2118" s="1" t="str">
        <x:f>IF(OR(COUNT(O2118:R2118)&lt;&gt;4,COUNT('Top 15'!$B$35:$E$35)&lt;&gt;4,MIN('Top 15'!$B$35:$E$35)&lt;0,SUM('Top 15'!$B$35:$E$35)&lt;=0),"",ROUND(85*(O2118/30*'Top 15'!$B$35+P2118/25*'Top 15'!$C$35+Q2118/25*'Top 15'!$D$35+R2118/5*'Top 15'!$E$35)/SUM('Top 15'!$B$35:$E$35),6))</x:f>
      </x:c>
      <x:c r="U2118" s="1" t="str">
        <x:f>IF(A2118="","",IF(AND(M2118="Verified",N2118="Verified"),"Verified",IF(AND(M2118="Listed",N2118="Listed"),"Listed","Mixed")))</x:f>
        <x:v>Listed</x:v>
      </x:c>
      <x:c r="V2118" s="1" t="str">
        <x:f>IF(A2118="","",IF(AK2118&lt;&gt;1,"Duplicate source ID",IF(COUNTIFS('Staff Review'!$A$8:$A$507,A2118)&gt;1,"Duplicate review ID",IF(H2118&lt;&gt;"Yes","Outside scope",IF(J2118="Yes","Already served",IF(NOT(ISNUMBER(T2118)),"Missing data","Candidate"))))))</x:f>
        <x:v>Outside scope</x:v>
      </x:c>
      <x:c r="W2118" s="1" t="str">
        <x:f>IF(AL2118=0,"",1+COUNTIFS($AL$2051:$AL$2550,1,$T$2051:$T$2550,"&gt;"&amp;T2118)+COUNTIFS($AL$2051:$AL$2550,1,$T$2051:$T$2550,T2118,$G$2051:$G$2550,"&gt;"&amp;G2118)+COUNTIFS($AL$2051:$AL$2550,1,$T$2051:$T$2550,T2118,$G$2051:$G$2550,G2118,$F$2051:$F$2550,"&gt;"&amp;F2118)+COUNTIFS($AL$2051:$AL$2550,1,$T$2051:$T$2550,T2118,$G$2051:$G$2550,G2118,$F$2051:$F$2550,F2118,$AM$2051:$AM$2550,"&lt;"&amp;AM2118))</x:f>
      </x:c>
      <x:c r="X2118" s="1" t="str">
        <x:f>IF(AL2118=0,"",1+COUNTIFS($AL$2051:$AL$2550,1,$T$2051:$T$2550,"&gt;"&amp;T2118))</x:f>
      </x:c>
      <x:c r="Y2118" s="1" t="n">
        <x:f>IF(AND(H2118="Yes",OR(LEN('School Search'!$B$5)=0,ISNUMBER(SEARCH('School Search'!$B$5,B2118&amp;" "&amp;E2118&amp;" "&amp;A2118))),OR('School Search'!$D$5="All",C2118='School Search'!$D$5),OR('School Search'!$G$5="All eligible",AND('School Search'!$G$5="Not marked served",J2118&lt;&gt;"Yes"),AND('School Search'!$G$5="Missing data",V2118="Missing data"),AND('School Search'!$G$5="Marked served",J2118="Yes"))),1,0)</x:f>
        <x:v>0</x:v>
      </x:c>
      <x:c r="Z2118" s="1" t="str">
        <x:f>IF(Y2118=0,"",COUNTIFS($Y$2051:$Y$2550,1,$AO$2051:$AO$2550,"&lt;"&amp;AO2118)+COUNTIFS($Y$2051:Y2118,1,$AO$2051:AO2118,AO2118))</x:f>
      </x:c>
      <x:c r="AA2118" s="1" t="str">
        <x:f>IF(NOT(ISNUMBER(S2118)),"Missing demographic or access input",TEXT(G2118,"0%")&amp;" economic need; "&amp;TEXT(K2118,"0.00")&amp;" mi fresh access; "&amp;L2118&amp;" nearby resources")</x:f>
        <x:v>Missing demographic or access input</x:v>
      </x:c>
      <x:c r="AB2118" s="1" t="n">
        <x:f>IF(OR(A2118="",COUNTIFS($A$1531:$A$2030,A2118)&lt;&gt;1),0,MATCH(A2118,$A$1531:$A$2030,0))</x:f>
        <x:v>68</x:v>
      </x:c>
      <x:c r="AC2118" s="1" t="str">
        <x:f>IF(AB2118=0,"",INDEX($E$1531:$E$2030,AB2118))</x:f>
        <x:v>Save A Lot 30224</x:v>
      </x:c>
      <x:c r="AD2118" s="1" t="str">
        <x:f>IF(AB2118=0,"",INDEX($F$1531:$F$2030,AB2118))</x:f>
        <x:v>2132 E Lehigh Ave, Philadelphia, PA, 19125</x:v>
      </x:c>
      <x:c r="AE2118" s="1" t="str">
        <x:f>IF(A2118="","",F69)</x:f>
        <x:v>2343 E TUCKER ST</x:v>
      </x:c>
      <x:c r="AF2118" s="1" t="n">
        <x:f>IF(ISNUMBER(I69),I69,"")</x:f>
        <x:v>39.9814901</x:v>
      </x:c>
      <x:c r="AG2118" s="1" t="n">
        <x:f>IF(ISNUMBER(J69),J69,"")</x:f>
        <x:v>-75.1188706</x:v>
      </x:c>
      <x:c r="AH2118" s="1" t="str">
        <x:f>IF(I2118=0,"Not contacted",IF(INDEX('Staff Review'!$J$8:$J$507,I2118)="","Not contacted",INDEX('Staff Review'!$J$8:$J$507,I2118)))</x:f>
        <x:v>Not contacted</x:v>
      </x:c>
      <x:c r="AI2118" s="1" t="str">
        <x:f>IF(I2118=0,"No",IF(AND(COUNT(INDEX('Staff Review'!$D$8:$D$507,I2118))=1,INDEX('Staff Review'!$D$8:$D$507,I2118)&gt;=0,COUNT(INDEX('Staff Review'!$E$8:$E$507,I2118))=1,INDEX('Staff Review'!$E$8:$E$507,I2118)&gt;0,INDEX('Staff Review'!$E$8:$E$507,I2118)&lt;='Top 15'!$E$5,'Top 15'!$E$5-INDEX('Staff Review'!$E$8:$E$507,I2118)&lt;='Top 15'!$H$5,LEN(INDEX('Staff Review'!$H$8:$H$507,I2118))&gt;0),"Yes","No"))</x:f>
        <x:v>No</x:v>
      </x:c>
      <x:c r="AJ2118" s="1" t="str">
        <x:f>IF(I2118=0,"No",IF(COUNT(INDEX('Staff Review'!$F$8:$F$507,I2118))&lt;&gt;1,"No",IF(AND(INDEX('Staff Review'!$F$8:$F$507,I2118)&gt;=0,MOD(INDEX('Staff Review'!$F$8:$F$507,I2118),1)=0,COUNT(INDEX('Staff Review'!$G$8:$G$507,I2118))=1,INDEX('Staff Review'!$G$8:$G$507,I2118)&gt;0,INDEX('Staff Review'!$G$8:$G$507,I2118)&lt;='Top 15'!$E$5,'Top 15'!$E$5-INDEX('Staff Review'!$G$8:$G$507,I2118)&lt;='Top 15'!$H$5,LEN(INDEX('Staff Review'!$H$8:$H$507,I2118))&gt;0),"Yes","No")))</x:f>
        <x:v>No</x:v>
      </x:c>
      <x:c r="AK2118" s="1" t="n">
        <x:f>IF(A2118="",0,COUNTIFS($A$2:$A$501,A2118))</x:f>
        <x:v>1</x:v>
      </x:c>
      <x:c r="AL2118" s="1" t="n">
        <x:f>IF(V2118="Candidate",1,0)</x:f>
        <x:v>0</x:v>
      </x:c>
      <x:c r="AM2118" s="1" t="n">
        <x:f>IF(A2118="",0,VALUE(A2118))</x:f>
        <x:v>3240</x:v>
      </x:c>
      <x:c r="AN2118" s="1" t="n">
        <x:f>IF(OR(A2118="",COUNTIFS($T$41:$T$540,A2118)&lt;&gt;1),0,MATCH(A2118,$T$41:$T$540,0))</x:f>
        <x:v>68</x:v>
      </x:c>
      <x:c r="AO2118" t="n">
        <x:f>IF(ISNUMBER(W2118),W2118,10000+AM2118)</x:f>
        <x:v>13240</x:v>
      </x:c>
    </x:row>
    <x:row r="2119" ht="22" customHeight="1">
      <x:c r="A2119" s="1" t="str">
        <x:f>IF(A70="","",A70)</x:f>
        <x:v>3250</x:v>
      </x:c>
      <x:c r="B2119" s="1" t="str">
        <x:f>IF(A2119="","",B70)</x:f>
        <x:v>Early College Charter School of Philadelphia</x:v>
      </x:c>
      <x:c r="C2119" s="1" t="str">
        <x:f>IF(A2119="","",C70)</x:f>
        <x:v>Charter</x:v>
      </x:c>
      <x:c r="D2119" s="1" t="str">
        <x:f>IF(A2119="","",E70)</x:f>
        <x:v>Middle</x:v>
      </x:c>
      <x:c r="E2119" s="1" t="str">
        <x:f>IF(A2119="","",H70)</x:f>
        <x:v>19102</x:v>
      </x:c>
      <x:c r="F2119" s="1" t="str">
        <x:f>IF(ISNUMBER(K70),K70,"")</x:f>
      </x:c>
      <x:c r="G2119" s="1" t="str">
        <x:f>IF(ISNUMBER(L70),L70,"")</x:f>
      </x:c>
      <x:c r="H2119" s="1" t="str">
        <x:f>IF(A2119="","",IF(AND(UPPER(G70)="PHILADELPHIA",OR(C2119="District",AND(C2119="Charter",D70="Yes"))),"Yes","No"))</x:f>
        <x:v>No</x:v>
      </x:c>
      <x:c r="I2119" s="1" t="n">
        <x:f>IF(OR(A2119="",COUNTIFS('Staff Review'!$A$8:$A$507,A2119)&lt;&gt;1),0,MATCH(A2119,'Staff Review'!$A$8:$A$507,0))</x:f>
        <x:v>54</x:v>
      </x:c>
      <x:c r="J2119" s="1" t="str">
        <x:f>IF(I2119=0,"No",IF(INDEX('Staff Review'!$C$8:$C$507,I2119)="Yes","Yes","No"))</x:f>
        <x:v>No</x:v>
      </x:c>
      <x:c r="K2119" s="1" t="n">
        <x:f>IF(AI2119="Yes",INDEX('Staff Review'!$D$8:$D$507,I2119),IF(AB2119=0,"",IF(COUNT(INDEX($C$1531:$C$2030,AB2119))=1,INDEX($C$1531:$C$2030,AB2119),"")))</x:f>
        <x:v>0.25723468064181654</x:v>
      </x:c>
      <x:c r="L2119" s="1" t="n">
        <x:f>IF(AJ2119="Yes",INDEX('Staff Review'!$F$8:$F$507,I2119),IF(AB2119=0,"",IF(COUNT(INDEX($G$1531:$G$2030,AB2119))=1,INDEX($G$1531:$G$2030,AB2119),"")))</x:f>
        <x:v>10</x:v>
      </x:c>
      <x:c r="M2119" s="1" t="str">
        <x:f>IF(A2119="","",IF(AI2119="Yes","Verified","Listed"))</x:f>
        <x:v>Listed</x:v>
      </x:c>
      <x:c r="N2119" s="1" t="str">
        <x:f>IF(A2119="","",IF(AJ2119="Yes","Verified","Listed"))</x:f>
        <x:v>Listed</x:v>
      </x:c>
      <x:c r="O2119" s="1" t="str">
        <x:f>IF(AND(ISNUMBER(G2119),G2119&gt;=0,G2119&lt;=1),IF(G2119&gt;=0.9,30,IF(G2119&gt;=0.8,25,IF(G2119&gt;=0.7,20,IF(G2119&gt;=0.6,15,IF(G2119&gt;=0.5,10,IF(G2119&gt;=0.4,5,0)))))),"")</x:f>
      </x:c>
      <x:c r="P2119" s="1" t="n">
        <x:f>IF(ISNUMBER(K2119),IF(K2119&lt;0,"",IF(K2119&gt;1,25,IF(K2119&gt;=0.75,20,IF(K2119&gt;=0.5,15,IF(K2119&gt;=0.25,10,5))))),"")</x:f>
        <x:v>10</x:v>
      </x:c>
      <x:c r="Q2119" s="1" t="n">
        <x:f>IF(NOT(ISNUMBER(L2119)),"",IF(AND(L2119&gt;=0,MOD(L2119,1)=0),MAX(0,25-5*L2119),""))</x:f>
        <x:v>0</x:v>
      </x:c>
      <x:c r="R2119" s="1" t="str">
        <x:f>IF(NOT(ISNUMBER(F2119)),"",IF(AND(F2119&gt;0,MOD(F2119,1)=0),IF(F2119&gt;=700,5,IF(F2119&gt;=500,4,IF(F2119&gt;=350,3,IF(F2119&gt;=200,2,1)))),""))</x:f>
      </x:c>
      <x:c r="S2119" s="1" t="str">
        <x:f>IF(COUNT(O2119:R2119)=4,SUM(O2119:R2119),"")</x:f>
      </x:c>
      <x:c r="T2119" s="1" t="str">
        <x:f>IF(OR(COUNT(O2119:R2119)&lt;&gt;4,COUNT('Top 15'!$B$35:$E$35)&lt;&gt;4,MIN('Top 15'!$B$35:$E$35)&lt;0,SUM('Top 15'!$B$35:$E$35)&lt;=0),"",ROUND(85*(O2119/30*'Top 15'!$B$35+P2119/25*'Top 15'!$C$35+Q2119/25*'Top 15'!$D$35+R2119/5*'Top 15'!$E$35)/SUM('Top 15'!$B$35:$E$35),6))</x:f>
      </x:c>
      <x:c r="U2119" s="1" t="str">
        <x:f>IF(A2119="","",IF(AND(M2119="Verified",N2119="Verified"),"Verified",IF(AND(M2119="Listed",N2119="Listed"),"Listed","Mixed")))</x:f>
        <x:v>Listed</x:v>
      </x:c>
      <x:c r="V2119" s="1" t="str">
        <x:f>IF(A2119="","",IF(AK2119&lt;&gt;1,"Duplicate source ID",IF(COUNTIFS('Staff Review'!$A$8:$A$507,A2119)&gt;1,"Duplicate review ID",IF(H2119&lt;&gt;"Yes","Outside scope",IF(J2119="Yes","Already served",IF(NOT(ISNUMBER(T2119)),"Missing data","Candidate"))))))</x:f>
        <x:v>Outside scope</x:v>
      </x:c>
      <x:c r="W2119" s="1" t="str">
        <x:f>IF(AL2119=0,"",1+COUNTIFS($AL$2051:$AL$2550,1,$T$2051:$T$2550,"&gt;"&amp;T2119)+COUNTIFS($AL$2051:$AL$2550,1,$T$2051:$T$2550,T2119,$G$2051:$G$2550,"&gt;"&amp;G2119)+COUNTIFS($AL$2051:$AL$2550,1,$T$2051:$T$2550,T2119,$G$2051:$G$2550,G2119,$F$2051:$F$2550,"&gt;"&amp;F2119)+COUNTIFS($AL$2051:$AL$2550,1,$T$2051:$T$2550,T2119,$G$2051:$G$2550,G2119,$F$2051:$F$2550,F2119,$AM$2051:$AM$2550,"&lt;"&amp;AM2119))</x:f>
      </x:c>
      <x:c r="X2119" s="1" t="str">
        <x:f>IF(AL2119=0,"",1+COUNTIFS($AL$2051:$AL$2550,1,$T$2051:$T$2550,"&gt;"&amp;T2119))</x:f>
      </x:c>
      <x:c r="Y2119" s="1" t="n">
        <x:f>IF(AND(H2119="Yes",OR(LEN('School Search'!$B$5)=0,ISNUMBER(SEARCH('School Search'!$B$5,B2119&amp;" "&amp;E2119&amp;" "&amp;A2119))),OR('School Search'!$D$5="All",C2119='School Search'!$D$5),OR('School Search'!$G$5="All eligible",AND('School Search'!$G$5="Not marked served",J2119&lt;&gt;"Yes"),AND('School Search'!$G$5="Missing data",V2119="Missing data"),AND('School Search'!$G$5="Marked served",J2119="Yes"))),1,0)</x:f>
        <x:v>0</x:v>
      </x:c>
      <x:c r="Z2119" s="1" t="str">
        <x:f>IF(Y2119=0,"",COUNTIFS($Y$2051:$Y$2550,1,$AO$2051:$AO$2550,"&lt;"&amp;AO2119)+COUNTIFS($Y$2051:Y2119,1,$AO$2051:AO2119,AO2119))</x:f>
      </x:c>
      <x:c r="AA2119" s="1" t="str">
        <x:f>IF(NOT(ISNUMBER(S2119)),"Missing demographic or access input",TEXT(G2119,"0%")&amp;" economic need; "&amp;TEXT(K2119,"0.00")&amp;" mi fresh access; "&amp;L2119&amp;" nearby resources")</x:f>
        <x:v>Missing demographic or access input</x:v>
      </x:c>
      <x:c r="AB2119" s="1" t="n">
        <x:f>IF(OR(A2119="",COUNTIFS($A$1531:$A$2030,A2119)&lt;&gt;1),0,MATCH(A2119,$A$1531:$A$2030,0))</x:f>
        <x:v>69</x:v>
      </x:c>
      <x:c r="AC2119" s="1" t="str">
        <x:f>IF(AB2119=0,"",INDEX($E$1531:$E$2030,AB2119))</x:f>
        <x:v>Rittenhouse Market</x:v>
      </x:c>
      <x:c r="AD2119" s="1" t="str">
        <x:f>IF(AB2119=0,"",INDEX($F$1531:$F$2030,AB2119))</x:f>
        <x:v>1733 Spruce St, Philadelphia, PA, 19103</x:v>
      </x:c>
      <x:c r="AE2119" s="1" t="str">
        <x:f>IF(A2119="","",F70)</x:f>
        <x:v>1420 PINE ST</x:v>
      </x:c>
      <x:c r="AF2119" s="1" t="n">
        <x:f>IF(ISNUMBER(I70),I70,"")</x:f>
        <x:v>39.94542</x:v>
      </x:c>
      <x:c r="AG2119" s="1" t="n">
        <x:f>IF(ISNUMBER(J70),J70,"")</x:f>
        <x:v>-75.1663</x:v>
      </x:c>
      <x:c r="AH2119" s="1" t="str">
        <x:f>IF(I2119=0,"Not contacted",IF(INDEX('Staff Review'!$J$8:$J$507,I2119)="","Not contacted",INDEX('Staff Review'!$J$8:$J$507,I2119)))</x:f>
        <x:v>Not contacted</x:v>
      </x:c>
      <x:c r="AI2119" s="1" t="str">
        <x:f>IF(I2119=0,"No",IF(AND(COUNT(INDEX('Staff Review'!$D$8:$D$507,I2119))=1,INDEX('Staff Review'!$D$8:$D$507,I2119)&gt;=0,COUNT(INDEX('Staff Review'!$E$8:$E$507,I2119))=1,INDEX('Staff Review'!$E$8:$E$507,I2119)&gt;0,INDEX('Staff Review'!$E$8:$E$507,I2119)&lt;='Top 15'!$E$5,'Top 15'!$E$5-INDEX('Staff Review'!$E$8:$E$507,I2119)&lt;='Top 15'!$H$5,LEN(INDEX('Staff Review'!$H$8:$H$507,I2119))&gt;0),"Yes","No"))</x:f>
        <x:v>No</x:v>
      </x:c>
      <x:c r="AJ2119" s="1" t="str">
        <x:f>IF(I2119=0,"No",IF(COUNT(INDEX('Staff Review'!$F$8:$F$507,I2119))&lt;&gt;1,"No",IF(AND(INDEX('Staff Review'!$F$8:$F$507,I2119)&gt;=0,MOD(INDEX('Staff Review'!$F$8:$F$507,I2119),1)=0,COUNT(INDEX('Staff Review'!$G$8:$G$507,I2119))=1,INDEX('Staff Review'!$G$8:$G$507,I2119)&gt;0,INDEX('Staff Review'!$G$8:$G$507,I2119)&lt;='Top 15'!$E$5,'Top 15'!$E$5-INDEX('Staff Review'!$G$8:$G$507,I2119)&lt;='Top 15'!$H$5,LEN(INDEX('Staff Review'!$H$8:$H$507,I2119))&gt;0),"Yes","No")))</x:f>
        <x:v>No</x:v>
      </x:c>
      <x:c r="AK2119" s="1" t="n">
        <x:f>IF(A2119="",0,COUNTIFS($A$2:$A$501,A2119))</x:f>
        <x:v>1</x:v>
      </x:c>
      <x:c r="AL2119" s="1" t="n">
        <x:f>IF(V2119="Candidate",1,0)</x:f>
        <x:v>0</x:v>
      </x:c>
      <x:c r="AM2119" s="1" t="n">
        <x:f>IF(A2119="",0,VALUE(A2119))</x:f>
        <x:v>3250</x:v>
      </x:c>
      <x:c r="AN2119" s="1" t="n">
        <x:f>IF(OR(A2119="",COUNTIFS($T$41:$T$540,A2119)&lt;&gt;1),0,MATCH(A2119,$T$41:$T$540,0))</x:f>
        <x:v>69</x:v>
      </x:c>
      <x:c r="AO2119" t="n">
        <x:f>IF(ISNUMBER(W2119),W2119,10000+AM2119)</x:f>
        <x:v>13250</x:v>
      </x:c>
    </x:row>
    <x:row r="2120" ht="22" customHeight="1">
      <x:c r="A2120" s="1" t="str">
        <x:f>IF(A71="","",A71)</x:f>
        <x:v>3290</x:v>
      </x:c>
      <x:c r="B2120" s="1" t="str">
        <x:f>IF(A2120="","",B71)</x:f>
        <x:v>Excel Academy South</x:v>
      </x:c>
      <x:c r="C2120" s="1" t="str">
        <x:f>IF(A2120="","",C71)</x:f>
        <x:v>Contracted</x:v>
      </x:c>
      <x:c r="D2120" s="1" t="str">
        <x:f>IF(A2120="","",E71)</x:f>
        <x:v>Transition/Overage School</x:v>
      </x:c>
      <x:c r="E2120" s="1" t="str">
        <x:f>IF(A2120="","",H71)</x:f>
        <x:v>19124</x:v>
      </x:c>
      <x:c r="F2120" s="1" t="n">
        <x:f>IF(ISNUMBER(K71),K71,"")</x:f>
        <x:v>183</x:v>
      </x:c>
      <x:c r="G2120" s="1" t="str">
        <x:f>IF(ISNUMBER(L71),L71,"")</x:f>
      </x:c>
      <x:c r="H2120" s="1" t="str">
        <x:f>IF(A2120="","",IF(AND(UPPER(G71)="PHILADELPHIA",OR(C2120="District",AND(C2120="Charter",D71="Yes"))),"Yes","No"))</x:f>
        <x:v>No</x:v>
      </x:c>
      <x:c r="I2120" s="1" t="n">
        <x:f>IF(OR(A2120="",COUNTIFS('Staff Review'!$A$8:$A$507,A2120)&lt;&gt;1),0,MATCH(A2120,'Staff Review'!$A$8:$A$507,0))</x:f>
        <x:v>69</x:v>
      </x:c>
      <x:c r="J2120" s="1" t="str">
        <x:f>IF(I2120=0,"No",IF(INDEX('Staff Review'!$C$8:$C$507,I2120)="Yes","Yes","No"))</x:f>
        <x:v>No</x:v>
      </x:c>
      <x:c r="K2120" s="1" t="n">
        <x:f>IF(AI2120="Yes",INDEX('Staff Review'!$D$8:$D$507,I2120),IF(AB2120=0,"",IF(COUNT(INDEX($C$1531:$C$2030,AB2120))=1,INDEX($C$1531:$C$2030,AB2120),"")))</x:f>
        <x:v>0.22832825262966802</x:v>
      </x:c>
      <x:c r="L2120" s="1" t="n">
        <x:f>IF(AJ2120="Yes",INDEX('Staff Review'!$F$8:$F$507,I2120),IF(AB2120=0,"",IF(COUNT(INDEX($G$1531:$G$2030,AB2120))=1,INDEX($G$1531:$G$2030,AB2120),"")))</x:f>
        <x:v>3</x:v>
      </x:c>
      <x:c r="M2120" s="1" t="str">
        <x:f>IF(A2120="","",IF(AI2120="Yes","Verified","Listed"))</x:f>
        <x:v>Listed</x:v>
      </x:c>
      <x:c r="N2120" s="1" t="str">
        <x:f>IF(A2120="","",IF(AJ2120="Yes","Verified","Listed"))</x:f>
        <x:v>Listed</x:v>
      </x:c>
      <x:c r="O2120" s="1" t="str">
        <x:f>IF(AND(ISNUMBER(G2120),G2120&gt;=0,G2120&lt;=1),IF(G2120&gt;=0.9,30,IF(G2120&gt;=0.8,25,IF(G2120&gt;=0.7,20,IF(G2120&gt;=0.6,15,IF(G2120&gt;=0.5,10,IF(G2120&gt;=0.4,5,0)))))),"")</x:f>
      </x:c>
      <x:c r="P2120" s="1" t="n">
        <x:f>IF(ISNUMBER(K2120),IF(K2120&lt;0,"",IF(K2120&gt;1,25,IF(K2120&gt;=0.75,20,IF(K2120&gt;=0.5,15,IF(K2120&gt;=0.25,10,5))))),"")</x:f>
        <x:v>5</x:v>
      </x:c>
      <x:c r="Q2120" s="1" t="n">
        <x:f>IF(NOT(ISNUMBER(L2120)),"",IF(AND(L2120&gt;=0,MOD(L2120,1)=0),MAX(0,25-5*L2120),""))</x:f>
        <x:v>10</x:v>
      </x:c>
      <x:c r="R2120" s="1" t="n">
        <x:f>IF(NOT(ISNUMBER(F2120)),"",IF(AND(F2120&gt;0,MOD(F2120,1)=0),IF(F2120&gt;=700,5,IF(F2120&gt;=500,4,IF(F2120&gt;=350,3,IF(F2120&gt;=200,2,1)))),""))</x:f>
        <x:v>1</x:v>
      </x:c>
      <x:c r="S2120" s="1" t="str">
        <x:f>IF(COUNT(O2120:R2120)=4,SUM(O2120:R2120),"")</x:f>
      </x:c>
      <x:c r="T2120" s="1" t="str">
        <x:f>IF(OR(COUNT(O2120:R2120)&lt;&gt;4,COUNT('Top 15'!$B$35:$E$35)&lt;&gt;4,MIN('Top 15'!$B$35:$E$35)&lt;0,SUM('Top 15'!$B$35:$E$35)&lt;=0),"",ROUND(85*(O2120/30*'Top 15'!$B$35+P2120/25*'Top 15'!$C$35+Q2120/25*'Top 15'!$D$35+R2120/5*'Top 15'!$E$35)/SUM('Top 15'!$B$35:$E$35),6))</x:f>
      </x:c>
      <x:c r="U2120" s="1" t="str">
        <x:f>IF(A2120="","",IF(AND(M2120="Verified",N2120="Verified"),"Verified",IF(AND(M2120="Listed",N2120="Listed"),"Listed","Mixed")))</x:f>
        <x:v>Listed</x:v>
      </x:c>
      <x:c r="V2120" s="1" t="str">
        <x:f>IF(A2120="","",IF(AK2120&lt;&gt;1,"Duplicate source ID",IF(COUNTIFS('Staff Review'!$A$8:$A$507,A2120)&gt;1,"Duplicate review ID",IF(H2120&lt;&gt;"Yes","Outside scope",IF(J2120="Yes","Already served",IF(NOT(ISNUMBER(T2120)),"Missing data","Candidate"))))))</x:f>
        <x:v>Outside scope</x:v>
      </x:c>
      <x:c r="W2120" s="1" t="str">
        <x:f>IF(AL2120=0,"",1+COUNTIFS($AL$2051:$AL$2550,1,$T$2051:$T$2550,"&gt;"&amp;T2120)+COUNTIFS($AL$2051:$AL$2550,1,$T$2051:$T$2550,T2120,$G$2051:$G$2550,"&gt;"&amp;G2120)+COUNTIFS($AL$2051:$AL$2550,1,$T$2051:$T$2550,T2120,$G$2051:$G$2550,G2120,$F$2051:$F$2550,"&gt;"&amp;F2120)+COUNTIFS($AL$2051:$AL$2550,1,$T$2051:$T$2550,T2120,$G$2051:$G$2550,G2120,$F$2051:$F$2550,F2120,$AM$2051:$AM$2550,"&lt;"&amp;AM2120))</x:f>
      </x:c>
      <x:c r="X2120" s="1" t="str">
        <x:f>IF(AL2120=0,"",1+COUNTIFS($AL$2051:$AL$2550,1,$T$2051:$T$2550,"&gt;"&amp;T2120))</x:f>
      </x:c>
      <x:c r="Y2120" s="1" t="n">
        <x:f>IF(AND(H2120="Yes",OR(LEN('School Search'!$B$5)=0,ISNUMBER(SEARCH('School Search'!$B$5,B2120&amp;" "&amp;E2120&amp;" "&amp;A2120))),OR('School Search'!$D$5="All",C2120='School Search'!$D$5),OR('School Search'!$G$5="All eligible",AND('School Search'!$G$5="Not marked served",J2120&lt;&gt;"Yes"),AND('School Search'!$G$5="Missing data",V2120="Missing data"),AND('School Search'!$G$5="Marked served",J2120="Yes"))),1,0)</x:f>
        <x:v>0</x:v>
      </x:c>
      <x:c r="Z2120" s="1" t="str">
        <x:f>IF(Y2120=0,"",COUNTIFS($Y$2051:$Y$2550,1,$AO$2051:$AO$2550,"&lt;"&amp;AO2120)+COUNTIFS($Y$2051:Y2120,1,$AO$2051:AO2120,AO2120))</x:f>
      </x:c>
      <x:c r="AA2120" s="1" t="str">
        <x:f>IF(NOT(ISNUMBER(S2120)),"Missing demographic or access input",TEXT(G2120,"0%")&amp;" economic need; "&amp;TEXT(K2120,"0.00")&amp;" mi fresh access; "&amp;L2120&amp;" nearby resources")</x:f>
        <x:v>Missing demographic or access input</x:v>
      </x:c>
      <x:c r="AB2120" s="1" t="n">
        <x:f>IF(OR(A2120="",COUNTIFS($A$1531:$A$2030,A2120)&lt;&gt;1),0,MATCH(A2120,$A$1531:$A$2030,0))</x:f>
        <x:v>70</x:v>
      </x:c>
      <x:c r="AC2120" s="1" t="str">
        <x:f>IF(AB2120=0,"",INDEX($E$1531:$E$2030,AB2120))</x:f>
        <x:v>Walmart 5103</x:v>
      </x:c>
      <x:c r="AD2120" s="1" t="str">
        <x:f>IF(AB2120=0,"",INDEX($F$1531:$F$2030,AB2120))</x:f>
        <x:v>4600 E Roosevelt Blvd, Philadelphia, PA, 19124</x:v>
      </x:c>
      <x:c r="AE2120" s="1" t="str">
        <x:f>IF(A2120="","",F71)</x:f>
        <x:v>4641 ROOSEVELT BLVD</x:v>
      </x:c>
      <x:c r="AF2120" s="1" t="n">
        <x:f>IF(ISNUMBER(I71),I71,"")</x:f>
        <x:v>40.02608143</x:v>
      </x:c>
      <x:c r="AG2120" s="1" t="n">
        <x:f>IF(ISNUMBER(J71),J71,"")</x:f>
        <x:v>-75.10251944</x:v>
      </x:c>
      <x:c r="AH2120" s="1" t="str">
        <x:f>IF(I2120=0,"Not contacted",IF(INDEX('Staff Review'!$J$8:$J$507,I2120)="","Not contacted",INDEX('Staff Review'!$J$8:$J$507,I2120)))</x:f>
        <x:v>Not contacted</x:v>
      </x:c>
      <x:c r="AI2120" s="1" t="str">
        <x:f>IF(I2120=0,"No",IF(AND(COUNT(INDEX('Staff Review'!$D$8:$D$507,I2120))=1,INDEX('Staff Review'!$D$8:$D$507,I2120)&gt;=0,COUNT(INDEX('Staff Review'!$E$8:$E$507,I2120))=1,INDEX('Staff Review'!$E$8:$E$507,I2120)&gt;0,INDEX('Staff Review'!$E$8:$E$507,I2120)&lt;='Top 15'!$E$5,'Top 15'!$E$5-INDEX('Staff Review'!$E$8:$E$507,I2120)&lt;='Top 15'!$H$5,LEN(INDEX('Staff Review'!$H$8:$H$507,I2120))&gt;0),"Yes","No"))</x:f>
        <x:v>No</x:v>
      </x:c>
      <x:c r="AJ2120" s="1" t="str">
        <x:f>IF(I2120=0,"No",IF(COUNT(INDEX('Staff Review'!$F$8:$F$507,I2120))&lt;&gt;1,"No",IF(AND(INDEX('Staff Review'!$F$8:$F$507,I2120)&gt;=0,MOD(INDEX('Staff Review'!$F$8:$F$507,I2120),1)=0,COUNT(INDEX('Staff Review'!$G$8:$G$507,I2120))=1,INDEX('Staff Review'!$G$8:$G$507,I2120)&gt;0,INDEX('Staff Review'!$G$8:$G$507,I2120)&lt;='Top 15'!$E$5,'Top 15'!$E$5-INDEX('Staff Review'!$G$8:$G$507,I2120)&lt;='Top 15'!$H$5,LEN(INDEX('Staff Review'!$H$8:$H$507,I2120))&gt;0),"Yes","No")))</x:f>
        <x:v>No</x:v>
      </x:c>
      <x:c r="AK2120" s="1" t="n">
        <x:f>IF(A2120="",0,COUNTIFS($A$2:$A$501,A2120))</x:f>
        <x:v>1</x:v>
      </x:c>
      <x:c r="AL2120" s="1" t="n">
        <x:f>IF(V2120="Candidate",1,0)</x:f>
        <x:v>0</x:v>
      </x:c>
      <x:c r="AM2120" s="1" t="n">
        <x:f>IF(A2120="",0,VALUE(A2120))</x:f>
        <x:v>3290</x:v>
      </x:c>
      <x:c r="AN2120" s="1" t="n">
        <x:f>IF(OR(A2120="",COUNTIFS($T$41:$T$540,A2120)&lt;&gt;1),0,MATCH(A2120,$T$41:$T$540,0))</x:f>
        <x:v>70</x:v>
      </x:c>
      <x:c r="AO2120" t="n">
        <x:f>IF(ISNUMBER(W2120),W2120,10000+AM2120)</x:f>
        <x:v>13290</x:v>
      </x:c>
    </x:row>
    <x:row r="2121" ht="22" customHeight="1">
      <x:c r="A2121" s="1" t="str">
        <x:f>IF(A72="","",A72)</x:f>
        <x:v>3291</x:v>
      </x:c>
      <x:c r="B2121" s="1" t="str">
        <x:f>IF(A2121="","",B72)</x:f>
        <x:v>Excel Academy Central</x:v>
      </x:c>
      <x:c r="C2121" s="1" t="str">
        <x:f>IF(A2121="","",C72)</x:f>
        <x:v>Contracted</x:v>
      </x:c>
      <x:c r="D2121" s="1" t="str">
        <x:f>IF(A2121="","",E72)</x:f>
        <x:v>Transition/Overage School</x:v>
      </x:c>
      <x:c r="E2121" s="1" t="str">
        <x:f>IF(A2121="","",H72)</x:f>
        <x:v>19120</x:v>
      </x:c>
      <x:c r="F2121" s="1" t="n">
        <x:f>IF(ISNUMBER(K72),K72,"")</x:f>
        <x:v>199</x:v>
      </x:c>
      <x:c r="G2121" s="1" t="str">
        <x:f>IF(ISNUMBER(L72),L72,"")</x:f>
      </x:c>
      <x:c r="H2121" s="1" t="str">
        <x:f>IF(A2121="","",IF(AND(UPPER(G72)="PHILADELPHIA",OR(C2121="District",AND(C2121="Charter",D72="Yes"))),"Yes","No"))</x:f>
        <x:v>No</x:v>
      </x:c>
      <x:c r="I2121" s="1" t="n">
        <x:f>IF(OR(A2121="",COUNTIFS('Staff Review'!$A$8:$A$507,A2121)&lt;&gt;1),0,MATCH(A2121,'Staff Review'!$A$8:$A$507,0))</x:f>
        <x:v>67</x:v>
      </x:c>
      <x:c r="J2121" s="1" t="str">
        <x:f>IF(I2121=0,"No",IF(INDEX('Staff Review'!$C$8:$C$507,I2121)="Yes","Yes","No"))</x:f>
        <x:v>No</x:v>
      </x:c>
      <x:c r="K2121" s="1" t="n">
        <x:f>IF(AI2121="Yes",INDEX('Staff Review'!$D$8:$D$507,I2121),IF(AB2121=0,"",IF(COUNT(INDEX($C$1531:$C$2030,AB2121))=1,INDEX($C$1531:$C$2030,AB2121),"")))</x:f>
        <x:v>0.17942385839555314</x:v>
      </x:c>
      <x:c r="L2121" s="1" t="n">
        <x:f>IF(AJ2121="Yes",INDEX('Staff Review'!$F$8:$F$507,I2121),IF(AB2121=0,"",IF(COUNT(INDEX($G$1531:$G$2030,AB2121))=1,INDEX($G$1531:$G$2030,AB2121),"")))</x:f>
        <x:v>6</x:v>
      </x:c>
      <x:c r="M2121" s="1" t="str">
        <x:f>IF(A2121="","",IF(AI2121="Yes","Verified","Listed"))</x:f>
        <x:v>Listed</x:v>
      </x:c>
      <x:c r="N2121" s="1" t="str">
        <x:f>IF(A2121="","",IF(AJ2121="Yes","Verified","Listed"))</x:f>
        <x:v>Listed</x:v>
      </x:c>
      <x:c r="O2121" s="1" t="str">
        <x:f>IF(AND(ISNUMBER(G2121),G2121&gt;=0,G2121&lt;=1),IF(G2121&gt;=0.9,30,IF(G2121&gt;=0.8,25,IF(G2121&gt;=0.7,20,IF(G2121&gt;=0.6,15,IF(G2121&gt;=0.5,10,IF(G2121&gt;=0.4,5,0)))))),"")</x:f>
      </x:c>
      <x:c r="P2121" s="1" t="n">
        <x:f>IF(ISNUMBER(K2121),IF(K2121&lt;0,"",IF(K2121&gt;1,25,IF(K2121&gt;=0.75,20,IF(K2121&gt;=0.5,15,IF(K2121&gt;=0.25,10,5))))),"")</x:f>
        <x:v>5</x:v>
      </x:c>
      <x:c r="Q2121" s="1" t="n">
        <x:f>IF(NOT(ISNUMBER(L2121)),"",IF(AND(L2121&gt;=0,MOD(L2121,1)=0),MAX(0,25-5*L2121),""))</x:f>
        <x:v>0</x:v>
      </x:c>
      <x:c r="R2121" s="1" t="n">
        <x:f>IF(NOT(ISNUMBER(F2121)),"",IF(AND(F2121&gt;0,MOD(F2121,1)=0),IF(F2121&gt;=700,5,IF(F2121&gt;=500,4,IF(F2121&gt;=350,3,IF(F2121&gt;=200,2,1)))),""))</x:f>
        <x:v>1</x:v>
      </x:c>
      <x:c r="S2121" s="1" t="str">
        <x:f>IF(COUNT(O2121:R2121)=4,SUM(O2121:R2121),"")</x:f>
      </x:c>
      <x:c r="T2121" s="1" t="str">
        <x:f>IF(OR(COUNT(O2121:R2121)&lt;&gt;4,COUNT('Top 15'!$B$35:$E$35)&lt;&gt;4,MIN('Top 15'!$B$35:$E$35)&lt;0,SUM('Top 15'!$B$35:$E$35)&lt;=0),"",ROUND(85*(O2121/30*'Top 15'!$B$35+P2121/25*'Top 15'!$C$35+Q2121/25*'Top 15'!$D$35+R2121/5*'Top 15'!$E$35)/SUM('Top 15'!$B$35:$E$35),6))</x:f>
      </x:c>
      <x:c r="U2121" s="1" t="str">
        <x:f>IF(A2121="","",IF(AND(M2121="Verified",N2121="Verified"),"Verified",IF(AND(M2121="Listed",N2121="Listed"),"Listed","Mixed")))</x:f>
        <x:v>Listed</x:v>
      </x:c>
      <x:c r="V2121" s="1" t="str">
        <x:f>IF(A2121="","",IF(AK2121&lt;&gt;1,"Duplicate source ID",IF(COUNTIFS('Staff Review'!$A$8:$A$507,A2121)&gt;1,"Duplicate review ID",IF(H2121&lt;&gt;"Yes","Outside scope",IF(J2121="Yes","Already served",IF(NOT(ISNUMBER(T2121)),"Missing data","Candidate"))))))</x:f>
        <x:v>Outside scope</x:v>
      </x:c>
      <x:c r="W2121" s="1" t="str">
        <x:f>IF(AL2121=0,"",1+COUNTIFS($AL$2051:$AL$2550,1,$T$2051:$T$2550,"&gt;"&amp;T2121)+COUNTIFS($AL$2051:$AL$2550,1,$T$2051:$T$2550,T2121,$G$2051:$G$2550,"&gt;"&amp;G2121)+COUNTIFS($AL$2051:$AL$2550,1,$T$2051:$T$2550,T2121,$G$2051:$G$2550,G2121,$F$2051:$F$2550,"&gt;"&amp;F2121)+COUNTIFS($AL$2051:$AL$2550,1,$T$2051:$T$2550,T2121,$G$2051:$G$2550,G2121,$F$2051:$F$2550,F2121,$AM$2051:$AM$2550,"&lt;"&amp;AM2121))</x:f>
      </x:c>
      <x:c r="X2121" s="1" t="str">
        <x:f>IF(AL2121=0,"",1+COUNTIFS($AL$2051:$AL$2550,1,$T$2051:$T$2550,"&gt;"&amp;T2121))</x:f>
      </x:c>
      <x:c r="Y2121" s="1" t="n">
        <x:f>IF(AND(H2121="Yes",OR(LEN('School Search'!$B$5)=0,ISNUMBER(SEARCH('School Search'!$B$5,B2121&amp;" "&amp;E2121&amp;" "&amp;A2121))),OR('School Search'!$D$5="All",C2121='School Search'!$D$5),OR('School Search'!$G$5="All eligible",AND('School Search'!$G$5="Not marked served",J2121&lt;&gt;"Yes"),AND('School Search'!$G$5="Missing data",V2121="Missing data"),AND('School Search'!$G$5="Marked served",J2121="Yes"))),1,0)</x:f>
        <x:v>0</x:v>
      </x:c>
      <x:c r="Z2121" s="1" t="str">
        <x:f>IF(Y2121=0,"",COUNTIFS($Y$2051:$Y$2550,1,$AO$2051:$AO$2550,"&lt;"&amp;AO2121)+COUNTIFS($Y$2051:Y2121,1,$AO$2051:AO2121,AO2121))</x:f>
      </x:c>
      <x:c r="AA2121" s="1" t="str">
        <x:f>IF(NOT(ISNUMBER(S2121)),"Missing demographic or access input",TEXT(G2121,"0%")&amp;" economic need; "&amp;TEXT(K2121,"0.00")&amp;" mi fresh access; "&amp;L2121&amp;" nearby resources")</x:f>
        <x:v>Missing demographic or access input</x:v>
      </x:c>
      <x:c r="AB2121" s="1" t="n">
        <x:f>IF(OR(A2121="",COUNTIFS($A$1531:$A$2030,A2121)&lt;&gt;1),0,MATCH(A2121,$A$1531:$A$2030,0))</x:f>
        <x:v>71</x:v>
      </x:c>
      <x:c r="AC2121" s="1" t="str">
        <x:f>IF(AB2121=0,"",INDEX($E$1531:$E$2030,AB2121))</x:f>
        <x:v>SHOPRITE 537</x:v>
      </x:c>
      <x:c r="AD2121" s="1" t="str">
        <x:f>IF(AB2121=0,"",INDEX($F$1531:$F$2030,AB2121))</x:f>
        <x:v>101 E Olney Ave, Philadelphia, PA, 19120</x:v>
      </x:c>
      <x:c r="AE2121" s="1" t="str">
        <x:f>IF(A2121="","",F72)</x:f>
        <x:v>201 E OLNEY AVE</x:v>
      </x:c>
      <x:c r="AF2121" s="1" t="n">
        <x:f>IF(ISNUMBER(I72),I72,"")</x:f>
        <x:v>40.0354143</x:v>
      </x:c>
      <x:c r="AG2121" s="1" t="n">
        <x:f>IF(ISNUMBER(J72),J72,"")</x:f>
        <x:v>-75.1179626</x:v>
      </x:c>
      <x:c r="AH2121" s="1" t="str">
        <x:f>IF(I2121=0,"Not contacted",IF(INDEX('Staff Review'!$J$8:$J$507,I2121)="","Not contacted",INDEX('Staff Review'!$J$8:$J$507,I2121)))</x:f>
        <x:v>Not contacted</x:v>
      </x:c>
      <x:c r="AI2121" s="1" t="str">
        <x:f>IF(I2121=0,"No",IF(AND(COUNT(INDEX('Staff Review'!$D$8:$D$507,I2121))=1,INDEX('Staff Review'!$D$8:$D$507,I2121)&gt;=0,COUNT(INDEX('Staff Review'!$E$8:$E$507,I2121))=1,INDEX('Staff Review'!$E$8:$E$507,I2121)&gt;0,INDEX('Staff Review'!$E$8:$E$507,I2121)&lt;='Top 15'!$E$5,'Top 15'!$E$5-INDEX('Staff Review'!$E$8:$E$507,I2121)&lt;='Top 15'!$H$5,LEN(INDEX('Staff Review'!$H$8:$H$507,I2121))&gt;0),"Yes","No"))</x:f>
        <x:v>No</x:v>
      </x:c>
      <x:c r="AJ2121" s="1" t="str">
        <x:f>IF(I2121=0,"No",IF(COUNT(INDEX('Staff Review'!$F$8:$F$507,I2121))&lt;&gt;1,"No",IF(AND(INDEX('Staff Review'!$F$8:$F$507,I2121)&gt;=0,MOD(INDEX('Staff Review'!$F$8:$F$507,I2121),1)=0,COUNT(INDEX('Staff Review'!$G$8:$G$507,I2121))=1,INDEX('Staff Review'!$G$8:$G$507,I2121)&gt;0,INDEX('Staff Review'!$G$8:$G$507,I2121)&lt;='Top 15'!$E$5,'Top 15'!$E$5-INDEX('Staff Review'!$G$8:$G$507,I2121)&lt;='Top 15'!$H$5,LEN(INDEX('Staff Review'!$H$8:$H$507,I2121))&gt;0),"Yes","No")))</x:f>
        <x:v>No</x:v>
      </x:c>
      <x:c r="AK2121" s="1" t="n">
        <x:f>IF(A2121="",0,COUNTIFS($A$2:$A$501,A2121))</x:f>
        <x:v>1</x:v>
      </x:c>
      <x:c r="AL2121" s="1" t="n">
        <x:f>IF(V2121="Candidate",1,0)</x:f>
        <x:v>0</x:v>
      </x:c>
      <x:c r="AM2121" s="1" t="n">
        <x:f>IF(A2121="",0,VALUE(A2121))</x:f>
        <x:v>3291</x:v>
      </x:c>
      <x:c r="AN2121" s="1" t="n">
        <x:f>IF(OR(A2121="",COUNTIFS($T$41:$T$540,A2121)&lt;&gt;1),0,MATCH(A2121,$T$41:$T$540,0))</x:f>
        <x:v>71</x:v>
      </x:c>
      <x:c r="AO2121" t="n">
        <x:f>IF(ISNUMBER(W2121),W2121,10000+AM2121)</x:f>
        <x:v>13291</x:v>
      </x:c>
    </x:row>
    <x:row r="2122" ht="22" customHeight="1">
      <x:c r="A2122" s="1" t="str">
        <x:f>IF(A73="","",A73)</x:f>
        <x:v>3292</x:v>
      </x:c>
      <x:c r="B2122" s="1" t="str">
        <x:f>IF(A2122="","",B73)</x:f>
        <x:v>The Academy of Continued Education School</x:v>
      </x:c>
      <x:c r="C2122" s="1" t="str">
        <x:f>IF(A2122="","",C73)</x:f>
        <x:v>District</x:v>
      </x:c>
      <x:c r="D2122" s="1" t="str">
        <x:f>IF(A2122="","",E73)</x:f>
        <x:v>Transition/Overage School</x:v>
      </x:c>
      <x:c r="E2122" s="1" t="str">
        <x:f>IF(A2122="","",H73)</x:f>
        <x:v>19130</x:v>
      </x:c>
      <x:c r="F2122" s="1" t="str">
        <x:f>IF(ISNUMBER(K73),K73,"")</x:f>
      </x:c>
      <x:c r="G2122" s="1" t="str">
        <x:f>IF(ISNUMBER(L73),L73,"")</x:f>
      </x:c>
      <x:c r="H2122" s="1" t="str">
        <x:f>IF(A2122="","",IF(AND(UPPER(G73)="PHILADELPHIA",OR(C2122="District",AND(C2122="Charter",D73="Yes"))),"Yes","No"))</x:f>
        <x:v>Yes</x:v>
      </x:c>
      <x:c r="I2122" s="1" t="n">
        <x:f>IF(OR(A2122="",COUNTIFS('Staff Review'!$A$8:$A$507,A2122)&lt;&gt;1),0,MATCH(A2122,'Staff Review'!$A$8:$A$507,0))</x:f>
        <x:v>283</x:v>
      </x:c>
      <x:c r="J2122" s="1" t="str">
        <x:f>IF(I2122=0,"No",IF(INDEX('Staff Review'!$C$8:$C$507,I2122)="Yes","Yes","No"))</x:f>
        <x:v>No</x:v>
      </x:c>
      <x:c r="K2122" s="1" t="n">
        <x:f>IF(AI2122="Yes",INDEX('Staff Review'!$D$8:$D$507,I2122),IF(AB2122=0,"",IF(COUNT(INDEX($C$1531:$C$2030,AB2122))=1,INDEX($C$1531:$C$2030,AB2122),"")))</x:f>
        <x:v>0.11489059178460097</x:v>
      </x:c>
      <x:c r="L2122" s="1" t="n">
        <x:f>IF(AJ2122="Yes",INDEX('Staff Review'!$F$8:$F$507,I2122),IF(AB2122=0,"",IF(COUNT(INDEX($G$1531:$G$2030,AB2122))=1,INDEX($G$1531:$G$2030,AB2122),"")))</x:f>
        <x:v>10</x:v>
      </x:c>
      <x:c r="M2122" s="1" t="str">
        <x:f>IF(A2122="","",IF(AI2122="Yes","Verified","Listed"))</x:f>
        <x:v>Listed</x:v>
      </x:c>
      <x:c r="N2122" s="1" t="str">
        <x:f>IF(A2122="","",IF(AJ2122="Yes","Verified","Listed"))</x:f>
        <x:v>Listed</x:v>
      </x:c>
      <x:c r="O2122" s="1" t="str">
        <x:f>IF(AND(ISNUMBER(G2122),G2122&gt;=0,G2122&lt;=1),IF(G2122&gt;=0.9,30,IF(G2122&gt;=0.8,25,IF(G2122&gt;=0.7,20,IF(G2122&gt;=0.6,15,IF(G2122&gt;=0.5,10,IF(G2122&gt;=0.4,5,0)))))),"")</x:f>
      </x:c>
      <x:c r="P2122" s="1" t="n">
        <x:f>IF(ISNUMBER(K2122),IF(K2122&lt;0,"",IF(K2122&gt;1,25,IF(K2122&gt;=0.75,20,IF(K2122&gt;=0.5,15,IF(K2122&gt;=0.25,10,5))))),"")</x:f>
        <x:v>5</x:v>
      </x:c>
      <x:c r="Q2122" s="1" t="n">
        <x:f>IF(NOT(ISNUMBER(L2122)),"",IF(AND(L2122&gt;=0,MOD(L2122,1)=0),MAX(0,25-5*L2122),""))</x:f>
        <x:v>0</x:v>
      </x:c>
      <x:c r="R2122" s="1" t="str">
        <x:f>IF(NOT(ISNUMBER(F2122)),"",IF(AND(F2122&gt;0,MOD(F2122,1)=0),IF(F2122&gt;=700,5,IF(F2122&gt;=500,4,IF(F2122&gt;=350,3,IF(F2122&gt;=200,2,1)))),""))</x:f>
      </x:c>
      <x:c r="S2122" s="1" t="str">
        <x:f>IF(COUNT(O2122:R2122)=4,SUM(O2122:R2122),"")</x:f>
      </x:c>
      <x:c r="T2122" s="1" t="str">
        <x:f>IF(OR(COUNT(O2122:R2122)&lt;&gt;4,COUNT('Top 15'!$B$35:$E$35)&lt;&gt;4,MIN('Top 15'!$B$35:$E$35)&lt;0,SUM('Top 15'!$B$35:$E$35)&lt;=0),"",ROUND(85*(O2122/30*'Top 15'!$B$35+P2122/25*'Top 15'!$C$35+Q2122/25*'Top 15'!$D$35+R2122/5*'Top 15'!$E$35)/SUM('Top 15'!$B$35:$E$35),6))</x:f>
      </x:c>
      <x:c r="U2122" s="1" t="str">
        <x:f>IF(A2122="","",IF(AND(M2122="Verified",N2122="Verified"),"Verified",IF(AND(M2122="Listed",N2122="Listed"),"Listed","Mixed")))</x:f>
        <x:v>Listed</x:v>
      </x:c>
      <x:c r="V2122" s="1" t="str">
        <x:f>IF(A2122="","",IF(AK2122&lt;&gt;1,"Duplicate source ID",IF(COUNTIFS('Staff Review'!$A$8:$A$507,A2122)&gt;1,"Duplicate review ID",IF(H2122&lt;&gt;"Yes","Outside scope",IF(J2122="Yes","Already served",IF(NOT(ISNUMBER(T2122)),"Missing data","Candidate"))))))</x:f>
        <x:v>Missing data</x:v>
      </x:c>
      <x:c r="W2122" s="1" t="str">
        <x:f>IF(AL2122=0,"",1+COUNTIFS($AL$2051:$AL$2550,1,$T$2051:$T$2550,"&gt;"&amp;T2122)+COUNTIFS($AL$2051:$AL$2550,1,$T$2051:$T$2550,T2122,$G$2051:$G$2550,"&gt;"&amp;G2122)+COUNTIFS($AL$2051:$AL$2550,1,$T$2051:$T$2550,T2122,$G$2051:$G$2550,G2122,$F$2051:$F$2550,"&gt;"&amp;F2122)+COUNTIFS($AL$2051:$AL$2550,1,$T$2051:$T$2550,T2122,$G$2051:$G$2550,G2122,$F$2051:$F$2550,F2122,$AM$2051:$AM$2550,"&lt;"&amp;AM2122))</x:f>
      </x:c>
      <x:c r="X2122" s="1" t="str">
        <x:f>IF(AL2122=0,"",1+COUNTIFS($AL$2051:$AL$2550,1,$T$2051:$T$2550,"&gt;"&amp;T2122))</x:f>
      </x:c>
      <x:c r="Y2122" s="1" t="n">
        <x:f>IF(AND(H2122="Yes",OR(LEN('School Search'!$B$5)=0,ISNUMBER(SEARCH('School Search'!$B$5,B2122&amp;" "&amp;E2122&amp;" "&amp;A2122))),OR('School Search'!$D$5="All",C2122='School Search'!$D$5),OR('School Search'!$G$5="All eligible",AND('School Search'!$G$5="Not marked served",J2122&lt;&gt;"Yes"),AND('School Search'!$G$5="Missing data",V2122="Missing data"),AND('School Search'!$G$5="Marked served",J2122="Yes"))),1,0)</x:f>
        <x:v>1</x:v>
      </x:c>
      <x:c r="Z2122" s="1" t="n">
        <x:f>IF(Y2122=0,"",COUNTIFS($Y$2051:$Y$2550,1,$AO$2051:$AO$2550,"&lt;"&amp;AO2122)+COUNTIFS($Y$2051:Y2122,1,$AO$2051:AO2122,AO2122))</x:f>
        <x:v>298</x:v>
      </x:c>
      <x:c r="AA2122" s="1" t="str">
        <x:f>IF(NOT(ISNUMBER(S2122)),"Missing demographic or access input",TEXT(G2122,"0%")&amp;" economic need; "&amp;TEXT(K2122,"0.00")&amp;" mi fresh access; "&amp;L2122&amp;" nearby resources")</x:f>
        <x:v>Missing demographic or access input</x:v>
      </x:c>
      <x:c r="AB2122" s="1" t="n">
        <x:f>IF(OR(A2122="",COUNTIFS($A$1531:$A$2030,A2122)&lt;&gt;1),0,MATCH(A2122,$A$1531:$A$2030,0))</x:f>
        <x:v>72</x:v>
      </x:c>
      <x:c r="AC2122" s="1" t="str">
        <x:f>IF(AB2122=0,"",INDEX($E$1531:$E$2030,AB2122))</x:f>
        <x:v>Giant Food Store 6573</x:v>
      </x:c>
      <x:c r="AD2122" s="1" t="str">
        <x:f>IF(AB2122=0,"",INDEX($F$1531:$F$2030,AB2122))</x:f>
        <x:v>510 N Broad St, Philadelphia, PA, 19130</x:v>
      </x:c>
      <x:c r="AE2122" s="1" t="str">
        <x:f>IF(A2122="","",F73)</x:f>
        <x:v>440 N BROAD ST</x:v>
      </x:c>
      <x:c r="AF2122" s="1" t="n">
        <x:f>IF(ISNUMBER(I73),I73,"")</x:f>
        <x:v>39.9613083</x:v>
      </x:c>
      <x:c r="AG2122" s="1" t="n">
        <x:f>IF(ISNUMBER(J73),J73,"")</x:f>
        <x:v>-75.1622511</x:v>
      </x:c>
      <x:c r="AH2122" s="1" t="str">
        <x:f>IF(I2122=0,"Not contacted",IF(INDEX('Staff Review'!$J$8:$J$507,I2122)="","Not contacted",INDEX('Staff Review'!$J$8:$J$507,I2122)))</x:f>
        <x:v>Not contacted</x:v>
      </x:c>
      <x:c r="AI2122" s="1" t="str">
        <x:f>IF(I2122=0,"No",IF(AND(COUNT(INDEX('Staff Review'!$D$8:$D$507,I2122))=1,INDEX('Staff Review'!$D$8:$D$507,I2122)&gt;=0,COUNT(INDEX('Staff Review'!$E$8:$E$507,I2122))=1,INDEX('Staff Review'!$E$8:$E$507,I2122)&gt;0,INDEX('Staff Review'!$E$8:$E$507,I2122)&lt;='Top 15'!$E$5,'Top 15'!$E$5-INDEX('Staff Review'!$E$8:$E$507,I2122)&lt;='Top 15'!$H$5,LEN(INDEX('Staff Review'!$H$8:$H$507,I2122))&gt;0),"Yes","No"))</x:f>
        <x:v>No</x:v>
      </x:c>
      <x:c r="AJ2122" s="1" t="str">
        <x:f>IF(I2122=0,"No",IF(COUNT(INDEX('Staff Review'!$F$8:$F$507,I2122))&lt;&gt;1,"No",IF(AND(INDEX('Staff Review'!$F$8:$F$507,I2122)&gt;=0,MOD(INDEX('Staff Review'!$F$8:$F$507,I2122),1)=0,COUNT(INDEX('Staff Review'!$G$8:$G$507,I2122))=1,INDEX('Staff Review'!$G$8:$G$507,I2122)&gt;0,INDEX('Staff Review'!$G$8:$G$507,I2122)&lt;='Top 15'!$E$5,'Top 15'!$E$5-INDEX('Staff Review'!$G$8:$G$507,I2122)&lt;='Top 15'!$H$5,LEN(INDEX('Staff Review'!$H$8:$H$507,I2122))&gt;0),"Yes","No")))</x:f>
        <x:v>No</x:v>
      </x:c>
      <x:c r="AK2122" s="1" t="n">
        <x:f>IF(A2122="",0,COUNTIFS($A$2:$A$501,A2122))</x:f>
        <x:v>1</x:v>
      </x:c>
      <x:c r="AL2122" s="1" t="n">
        <x:f>IF(V2122="Candidate",1,0)</x:f>
        <x:v>0</x:v>
      </x:c>
      <x:c r="AM2122" s="1" t="n">
        <x:f>IF(A2122="",0,VALUE(A2122))</x:f>
        <x:v>3292</x:v>
      </x:c>
      <x:c r="AN2122" s="1" t="n">
        <x:f>IF(OR(A2122="",COUNTIFS($T$41:$T$540,A2122)&lt;&gt;1),0,MATCH(A2122,$T$41:$T$540,0))</x:f>
        <x:v>72</x:v>
      </x:c>
      <x:c r="AO2122" t="n">
        <x:f>IF(ISNUMBER(W2122),W2122,10000+AM2122)</x:f>
        <x:v>13292</x:v>
      </x:c>
    </x:row>
    <x:row r="2123" ht="22" customHeight="1">
      <x:c r="A2123" s="1" t="str">
        <x:f>IF(A74="","",A74)</x:f>
        <x:v>3301</x:v>
      </x:c>
      <x:c r="B2123" s="1" t="str">
        <x:f>IF(A2123="","",B74)</x:f>
        <x:v>Community Academy of Philadelphia Charter School</x:v>
      </x:c>
      <x:c r="C2123" s="1" t="str">
        <x:f>IF(A2123="","",C74)</x:f>
        <x:v>Charter</x:v>
      </x:c>
      <x:c r="D2123" s="1" t="str">
        <x:f>IF(A2123="","",E74)</x:f>
        <x:v>Elementary-Middle-High</x:v>
      </x:c>
      <x:c r="E2123" s="1" t="str">
        <x:f>IF(A2123="","",H74)</x:f>
        <x:v>19124</x:v>
      </x:c>
      <x:c r="F2123" s="1" t="n">
        <x:f>IF(ISNUMBER(K74),K74,"")</x:f>
        <x:v>1251</x:v>
      </x:c>
      <x:c r="G2123" s="1" t="n">
        <x:f>IF(ISNUMBER(L74),L74,"")</x:f>
        <x:v>0.9114</x:v>
      </x:c>
      <x:c r="H2123" s="1" t="str">
        <x:f>IF(A2123="","",IF(AND(UPPER(G74)="PHILADELPHIA",OR(C2123="District",AND(C2123="Charter",D74="Yes"))),"Yes","No"))</x:f>
        <x:v>Yes</x:v>
      </x:c>
      <x:c r="I2123" s="1" t="n">
        <x:f>IF(OR(A2123="",COUNTIFS('Staff Review'!$A$8:$A$507,A2123)&lt;&gt;1),0,MATCH(A2123,'Staff Review'!$A$8:$A$507,0))</x:f>
        <x:v>44</x:v>
      </x:c>
      <x:c r="J2123" s="1" t="str">
        <x:f>IF(I2123=0,"No",IF(INDEX('Staff Review'!$C$8:$C$507,I2123)="Yes","Yes","No"))</x:f>
        <x:v>No</x:v>
      </x:c>
      <x:c r="K2123" s="1" t="n">
        <x:f>IF(AI2123="Yes",INDEX('Staff Review'!$D$8:$D$507,I2123),IF(AB2123=0,"",IF(COUNT(INDEX($C$1531:$C$2030,AB2123))=1,INDEX($C$1531:$C$2030,AB2123),"")))</x:f>
        <x:v>0.15687259846166368</x:v>
      </x:c>
      <x:c r="L2123" s="1" t="n">
        <x:f>IF(AJ2123="Yes",INDEX('Staff Review'!$F$8:$F$507,I2123),IF(AB2123=0,"",IF(COUNT(INDEX($G$1531:$G$2030,AB2123))=1,INDEX($G$1531:$G$2030,AB2123),"")))</x:f>
        <x:v>7</x:v>
      </x:c>
      <x:c r="M2123" s="1" t="str">
        <x:f>IF(A2123="","",IF(AI2123="Yes","Verified","Listed"))</x:f>
        <x:v>Listed</x:v>
      </x:c>
      <x:c r="N2123" s="1" t="str">
        <x:f>IF(A2123="","",IF(AJ2123="Yes","Verified","Listed"))</x:f>
        <x:v>Listed</x:v>
      </x:c>
      <x:c r="O2123" s="1" t="n">
        <x:f>IF(AND(ISNUMBER(G2123),G2123&gt;=0,G2123&lt;=1),IF(G2123&gt;=0.9,30,IF(G2123&gt;=0.8,25,IF(G2123&gt;=0.7,20,IF(G2123&gt;=0.6,15,IF(G2123&gt;=0.5,10,IF(G2123&gt;=0.4,5,0)))))),"")</x:f>
        <x:v>30</x:v>
      </x:c>
      <x:c r="P2123" s="1" t="n">
        <x:f>IF(ISNUMBER(K2123),IF(K2123&lt;0,"",IF(K2123&gt;1,25,IF(K2123&gt;=0.75,20,IF(K2123&gt;=0.5,15,IF(K2123&gt;=0.25,10,5))))),"")</x:f>
        <x:v>5</x:v>
      </x:c>
      <x:c r="Q2123" s="1" t="n">
        <x:f>IF(NOT(ISNUMBER(L2123)),"",IF(AND(L2123&gt;=0,MOD(L2123,1)=0),MAX(0,25-5*L2123),""))</x:f>
        <x:v>0</x:v>
      </x:c>
      <x:c r="R2123" s="1" t="n">
        <x:f>IF(NOT(ISNUMBER(F2123)),"",IF(AND(F2123&gt;0,MOD(F2123,1)=0),IF(F2123&gt;=700,5,IF(F2123&gt;=500,4,IF(F2123&gt;=350,3,IF(F2123&gt;=200,2,1)))),""))</x:f>
        <x:v>5</x:v>
      </x:c>
      <x:c r="S2123" s="1" t="n">
        <x:f>IF(COUNT(O2123:R2123)=4,SUM(O2123:R2123),"")</x:f>
        <x:v>40</x:v>
      </x:c>
      <x:c r="T2123" s="1" t="n">
        <x:f>IF(OR(COUNT(O2123:R2123)&lt;&gt;4,COUNT('Top 15'!$B$35:$E$35)&lt;&gt;4,MIN('Top 15'!$B$35:$E$35)&lt;0,SUM('Top 15'!$B$35:$E$35)&lt;=0),"",ROUND(85*(O2123/30*'Top 15'!$B$35+P2123/25*'Top 15'!$C$35+Q2123/25*'Top 15'!$D$35+R2123/5*'Top 15'!$E$35)/SUM('Top 15'!$B$35:$E$35),6))</x:f>
        <x:v>40</x:v>
      </x:c>
      <x:c r="U2123" s="1" t="str">
        <x:f>IF(A2123="","",IF(AND(M2123="Verified",N2123="Verified"),"Verified",IF(AND(M2123="Listed",N2123="Listed"),"Listed","Mixed")))</x:f>
        <x:v>Listed</x:v>
      </x:c>
      <x:c r="V2123" s="1" t="str">
        <x:f>IF(A2123="","",IF(AK2123&lt;&gt;1,"Duplicate source ID",IF(COUNTIFS('Staff Review'!$A$8:$A$507,A2123)&gt;1,"Duplicate review ID",IF(H2123&lt;&gt;"Yes","Outside scope",IF(J2123="Yes","Already served",IF(NOT(ISNUMBER(T2123)),"Missing data","Candidate"))))))</x:f>
        <x:v>Candidate</x:v>
      </x:c>
      <x:c r="W2123" s="1" t="n">
        <x:f>IF(AL2123=0,"",1+COUNTIFS($AL$2051:$AL$2550,1,$T$2051:$T$2550,"&gt;"&amp;T2123)+COUNTIFS($AL$2051:$AL$2550,1,$T$2051:$T$2550,T2123,$G$2051:$G$2550,"&gt;"&amp;G2123)+COUNTIFS($AL$2051:$AL$2550,1,$T$2051:$T$2550,T2123,$G$2051:$G$2550,G2123,$F$2051:$F$2550,"&gt;"&amp;F2123)+COUNTIFS($AL$2051:$AL$2550,1,$T$2051:$T$2550,T2123,$G$2051:$G$2550,G2123,$F$2051:$F$2550,F2123,$AM$2051:$AM$2550,"&lt;"&amp;AM2123))</x:f>
        <x:v>134</x:v>
      </x:c>
      <x:c r="X2123" s="1" t="n">
        <x:f>IF(AL2123=0,"",1+COUNTIFS($AL$2051:$AL$2550,1,$T$2051:$T$2550,"&gt;"&amp;T2123))</x:f>
        <x:v>133</x:v>
      </x:c>
      <x:c r="Y2123" s="1" t="n">
        <x:f>IF(AND(H2123="Yes",OR(LEN('School Search'!$B$5)=0,ISNUMBER(SEARCH('School Search'!$B$5,B2123&amp;" "&amp;E2123&amp;" "&amp;A2123))),OR('School Search'!$D$5="All",C2123='School Search'!$D$5),OR('School Search'!$G$5="All eligible",AND('School Search'!$G$5="Not marked served",J2123&lt;&gt;"Yes"),AND('School Search'!$G$5="Missing data",V2123="Missing data"),AND('School Search'!$G$5="Marked served",J2123="Yes"))),1,0)</x:f>
        <x:v>1</x:v>
      </x:c>
      <x:c r="Z2123" s="1" t="n">
        <x:f>IF(Y2123=0,"",COUNTIFS($Y$2051:$Y$2550,1,$AO$2051:$AO$2550,"&lt;"&amp;AO2123)+COUNTIFS($Y$2051:Y2123,1,$AO$2051:AO2123,AO2123))</x:f>
        <x:v>134</x:v>
      </x:c>
      <x:c r="AA2123" s="1" t="str">
        <x:f>IF(NOT(ISNUMBER(S2123)),"Missing demographic or access input",TEXT(G2123,"0%")&amp;" economic need; "&amp;TEXT(K2123,"0.00")&amp;" mi fresh access; "&amp;L2123&amp;" nearby resources")</x:f>
        <x:v>91% economic need; 0.16 mi fresh access; 7 nearby resources</x:v>
      </x:c>
      <x:c r="AB2123" s="1" t="n">
        <x:f>IF(OR(A2123="",COUNTIFS($A$1531:$A$2030,A2123)&lt;&gt;1),0,MATCH(A2123,$A$1531:$A$2030,0))</x:f>
        <x:v>73</x:v>
      </x:c>
      <x:c r="AC2123" s="1" t="str">
        <x:f>IF(AB2123=0,"",INDEX($E$1531:$E$2030,AB2123))</x:f>
        <x:v>Pa Fair Farm Food Corp/Fine Fare Supermarket</x:v>
      </x:c>
      <x:c r="AD2123" s="1" t="str">
        <x:f>IF(AB2123=0,"",INDEX($F$1531:$F$2030,AB2123))</x:f>
        <x:v>1240 E Erie Ave, Philadelphia, PA, 19124</x:v>
      </x:c>
      <x:c r="AE2123" s="1" t="str">
        <x:f>IF(A2123="","",F74)</x:f>
        <x:v>1100 E ERIE AVE</x:v>
      </x:c>
      <x:c r="AF2123" s="1" t="n">
        <x:f>IF(ISNUMBER(I74),I74,"")</x:f>
        <x:v>40.00538049</x:v>
      </x:c>
      <x:c r="AG2123" s="1" t="n">
        <x:f>IF(ISNUMBER(J74),J74,"")</x:f>
        <x:v>-75.10735613</x:v>
      </x:c>
      <x:c r="AH2123" s="1" t="str">
        <x:f>IF(I2123=0,"Not contacted",IF(INDEX('Staff Review'!$J$8:$J$507,I2123)="","Not contacted",INDEX('Staff Review'!$J$8:$J$507,I2123)))</x:f>
        <x:v>Not contacted</x:v>
      </x:c>
      <x:c r="AI2123" s="1" t="str">
        <x:f>IF(I2123=0,"No",IF(AND(COUNT(INDEX('Staff Review'!$D$8:$D$507,I2123))=1,INDEX('Staff Review'!$D$8:$D$507,I2123)&gt;=0,COUNT(INDEX('Staff Review'!$E$8:$E$507,I2123))=1,INDEX('Staff Review'!$E$8:$E$507,I2123)&gt;0,INDEX('Staff Review'!$E$8:$E$507,I2123)&lt;='Top 15'!$E$5,'Top 15'!$E$5-INDEX('Staff Review'!$E$8:$E$507,I2123)&lt;='Top 15'!$H$5,LEN(INDEX('Staff Review'!$H$8:$H$507,I2123))&gt;0),"Yes","No"))</x:f>
        <x:v>No</x:v>
      </x:c>
      <x:c r="AJ2123" s="1" t="str">
        <x:f>IF(I2123=0,"No",IF(COUNT(INDEX('Staff Review'!$F$8:$F$507,I2123))&lt;&gt;1,"No",IF(AND(INDEX('Staff Review'!$F$8:$F$507,I2123)&gt;=0,MOD(INDEX('Staff Review'!$F$8:$F$507,I2123),1)=0,COUNT(INDEX('Staff Review'!$G$8:$G$507,I2123))=1,INDEX('Staff Review'!$G$8:$G$507,I2123)&gt;0,INDEX('Staff Review'!$G$8:$G$507,I2123)&lt;='Top 15'!$E$5,'Top 15'!$E$5-INDEX('Staff Review'!$G$8:$G$507,I2123)&lt;='Top 15'!$H$5,LEN(INDEX('Staff Review'!$H$8:$H$507,I2123))&gt;0),"Yes","No")))</x:f>
        <x:v>No</x:v>
      </x:c>
      <x:c r="AK2123" s="1" t="n">
        <x:f>IF(A2123="",0,COUNTIFS($A$2:$A$501,A2123))</x:f>
        <x:v>1</x:v>
      </x:c>
      <x:c r="AL2123" s="1" t="n">
        <x:f>IF(V2123="Candidate",1,0)</x:f>
        <x:v>1</x:v>
      </x:c>
      <x:c r="AM2123" s="1" t="n">
        <x:f>IF(A2123="",0,VALUE(A2123))</x:f>
        <x:v>3301</x:v>
      </x:c>
      <x:c r="AN2123" s="1" t="n">
        <x:f>IF(OR(A2123="",COUNTIFS($T$41:$T$540,A2123)&lt;&gt;1),0,MATCH(A2123,$T$41:$T$540,0))</x:f>
        <x:v>73</x:v>
      </x:c>
      <x:c r="AO2123" t="n">
        <x:f>IF(ISNUMBER(W2123),W2123,10000+AM2123)</x:f>
        <x:v>134</x:v>
      </x:c>
    </x:row>
    <x:row r="2124" ht="22" customHeight="1">
      <x:c r="A2124" s="1" t="str">
        <x:f>IF(A75="","",A75)</x:f>
        <x:v>3302</x:v>
      </x:c>
      <x:c r="B2124" s="1" t="str">
        <x:f>IF(A2124="","",B75)</x:f>
        <x:v>Harambee Institute of Science and Technology Charter School</x:v>
      </x:c>
      <x:c r="C2124" s="1" t="str">
        <x:f>IF(A2124="","",C75)</x:f>
        <x:v>Charter</x:v>
      </x:c>
      <x:c r="D2124" s="1" t="str">
        <x:f>IF(A2124="","",E75)</x:f>
        <x:v>Elementary-Middle</x:v>
      </x:c>
      <x:c r="E2124" s="1" t="str">
        <x:f>IF(A2124="","",H75)</x:f>
        <x:v>19151</x:v>
      </x:c>
      <x:c r="F2124" s="1" t="n">
        <x:f>IF(ISNUMBER(K75),K75,"")</x:f>
        <x:v>555</x:v>
      </x:c>
      <x:c r="G2124" s="1" t="n">
        <x:f>IF(ISNUMBER(L75),L75,"")</x:f>
        <x:v>0.7941</x:v>
      </x:c>
      <x:c r="H2124" s="1" t="str">
        <x:f>IF(A2124="","",IF(AND(UPPER(G75)="PHILADELPHIA",OR(C2124="District",AND(C2124="Charter",D75="Yes"))),"Yes","No"))</x:f>
        <x:v>Yes</x:v>
      </x:c>
      <x:c r="I2124" s="1" t="n">
        <x:f>IF(OR(A2124="",COUNTIFS('Staff Review'!$A$8:$A$507,A2124)&lt;&gt;1),0,MATCH(A2124,'Staff Review'!$A$8:$A$507,0))</x:f>
        <x:v>108</x:v>
      </x:c>
      <x:c r="J2124" s="1" t="str">
        <x:f>IF(I2124=0,"No",IF(INDEX('Staff Review'!$C$8:$C$507,I2124)="Yes","Yes","No"))</x:f>
        <x:v>No</x:v>
      </x:c>
      <x:c r="K2124" s="1" t="n">
        <x:f>IF(AI2124="Yes",INDEX('Staff Review'!$D$8:$D$507,I2124),IF(AB2124=0,"",IF(COUNT(INDEX($C$1531:$C$2030,AB2124))=1,INDEX($C$1531:$C$2030,AB2124),"")))</x:f>
        <x:v>0.7127935683415872</x:v>
      </x:c>
      <x:c r="L2124" s="1" t="n">
        <x:f>IF(AJ2124="Yes",INDEX('Staff Review'!$F$8:$F$507,I2124),IF(AB2124=0,"",IF(COUNT(INDEX($G$1531:$G$2030,AB2124))=1,INDEX($G$1531:$G$2030,AB2124),"")))</x:f>
        <x:v>7</x:v>
      </x:c>
      <x:c r="M2124" s="1" t="str">
        <x:f>IF(A2124="","",IF(AI2124="Yes","Verified","Listed"))</x:f>
        <x:v>Listed</x:v>
      </x:c>
      <x:c r="N2124" s="1" t="str">
        <x:f>IF(A2124="","",IF(AJ2124="Yes","Verified","Listed"))</x:f>
        <x:v>Listed</x:v>
      </x:c>
      <x:c r="O2124" s="1" t="n">
        <x:f>IF(AND(ISNUMBER(G2124),G2124&gt;=0,G2124&lt;=1),IF(G2124&gt;=0.9,30,IF(G2124&gt;=0.8,25,IF(G2124&gt;=0.7,20,IF(G2124&gt;=0.6,15,IF(G2124&gt;=0.5,10,IF(G2124&gt;=0.4,5,0)))))),"")</x:f>
        <x:v>20</x:v>
      </x:c>
      <x:c r="P2124" s="1" t="n">
        <x:f>IF(ISNUMBER(K2124),IF(K2124&lt;0,"",IF(K2124&gt;1,25,IF(K2124&gt;=0.75,20,IF(K2124&gt;=0.5,15,IF(K2124&gt;=0.25,10,5))))),"")</x:f>
        <x:v>15</x:v>
      </x:c>
      <x:c r="Q2124" s="1" t="n">
        <x:f>IF(NOT(ISNUMBER(L2124)),"",IF(AND(L2124&gt;=0,MOD(L2124,1)=0),MAX(0,25-5*L2124),""))</x:f>
        <x:v>0</x:v>
      </x:c>
      <x:c r="R2124" s="1" t="n">
        <x:f>IF(NOT(ISNUMBER(F2124)),"",IF(AND(F2124&gt;0,MOD(F2124,1)=0),IF(F2124&gt;=700,5,IF(F2124&gt;=500,4,IF(F2124&gt;=350,3,IF(F2124&gt;=200,2,1)))),""))</x:f>
        <x:v>4</x:v>
      </x:c>
      <x:c r="S2124" s="1" t="n">
        <x:f>IF(COUNT(O2124:R2124)=4,SUM(O2124:R2124),"")</x:f>
        <x:v>39</x:v>
      </x:c>
      <x:c r="T2124" s="1" t="n">
        <x:f>IF(OR(COUNT(O2124:R2124)&lt;&gt;4,COUNT('Top 15'!$B$35:$E$35)&lt;&gt;4,MIN('Top 15'!$B$35:$E$35)&lt;0,SUM('Top 15'!$B$35:$E$35)&lt;=0),"",ROUND(85*(O2124/30*'Top 15'!$B$35+P2124/25*'Top 15'!$C$35+Q2124/25*'Top 15'!$D$35+R2124/5*'Top 15'!$E$35)/SUM('Top 15'!$B$35:$E$35),6))</x:f>
        <x:v>39</x:v>
      </x:c>
      <x:c r="U2124" s="1" t="str">
        <x:f>IF(A2124="","",IF(AND(M2124="Verified",N2124="Verified"),"Verified",IF(AND(M2124="Listed",N2124="Listed"),"Listed","Mixed")))</x:f>
        <x:v>Listed</x:v>
      </x:c>
      <x:c r="V2124" s="1" t="str">
        <x:f>IF(A2124="","",IF(AK2124&lt;&gt;1,"Duplicate source ID",IF(COUNTIFS('Staff Review'!$A$8:$A$507,A2124)&gt;1,"Duplicate review ID",IF(H2124&lt;&gt;"Yes","Outside scope",IF(J2124="Yes","Already served",IF(NOT(ISNUMBER(T2124)),"Missing data","Candidate"))))))</x:f>
        <x:v>Candidate</x:v>
      </x:c>
      <x:c r="W2124" s="1" t="n">
        <x:f>IF(AL2124=0,"",1+COUNTIFS($AL$2051:$AL$2550,1,$T$2051:$T$2550,"&gt;"&amp;T2124)+COUNTIFS($AL$2051:$AL$2550,1,$T$2051:$T$2550,T2124,$G$2051:$G$2550,"&gt;"&amp;G2124)+COUNTIFS($AL$2051:$AL$2550,1,$T$2051:$T$2550,T2124,$G$2051:$G$2550,G2124,$F$2051:$F$2550,"&gt;"&amp;F2124)+COUNTIFS($AL$2051:$AL$2550,1,$T$2051:$T$2550,T2124,$G$2051:$G$2550,G2124,$F$2051:$F$2550,F2124,$AM$2051:$AM$2550,"&lt;"&amp;AM2124))</x:f>
        <x:v>161</x:v>
      </x:c>
      <x:c r="X2124" s="1" t="n">
        <x:f>IF(AL2124=0,"",1+COUNTIFS($AL$2051:$AL$2550,1,$T$2051:$T$2550,"&gt;"&amp;T2124))</x:f>
        <x:v>148</x:v>
      </x:c>
      <x:c r="Y2124" s="1" t="n">
        <x:f>IF(AND(H2124="Yes",OR(LEN('School Search'!$B$5)=0,ISNUMBER(SEARCH('School Search'!$B$5,B2124&amp;" "&amp;E2124&amp;" "&amp;A2124))),OR('School Search'!$D$5="All",C2124='School Search'!$D$5),OR('School Search'!$G$5="All eligible",AND('School Search'!$G$5="Not marked served",J2124&lt;&gt;"Yes"),AND('School Search'!$G$5="Missing data",V2124="Missing data"),AND('School Search'!$G$5="Marked served",J2124="Yes"))),1,0)</x:f>
        <x:v>1</x:v>
      </x:c>
      <x:c r="Z2124" s="1" t="n">
        <x:f>IF(Y2124=0,"",COUNTIFS($Y$2051:$Y$2550,1,$AO$2051:$AO$2550,"&lt;"&amp;AO2124)+COUNTIFS($Y$2051:Y2124,1,$AO$2051:AO2124,AO2124))</x:f>
        <x:v>161</x:v>
      </x:c>
      <x:c r="AA2124" s="1" t="str">
        <x:f>IF(NOT(ISNUMBER(S2124)),"Missing demographic or access input",TEXT(G2124,"0%")&amp;" economic need; "&amp;TEXT(K2124,"0.00")&amp;" mi fresh access; "&amp;L2124&amp;" nearby resources")</x:f>
        <x:v>79% economic need; 0.71 mi fresh access; 7 nearby resources</x:v>
      </x:c>
      <x:c r="AB2124" s="1" t="n">
        <x:f>IF(OR(A2124="",COUNTIFS($A$1531:$A$2030,A2124)&lt;&gt;1),0,MATCH(A2124,$A$1531:$A$2030,0))</x:f>
        <x:v>74</x:v>
      </x:c>
      <x:c r="AC2124" s="1" t="str">
        <x:f>IF(AB2124=0,"",INDEX($E$1531:$E$2030,AB2124))</x:f>
        <x:v>Al Aqsa Supermarket</x:v>
      </x:c>
      <x:c r="AD2124" s="1" t="str">
        <x:f>IF(AB2124=0,"",INDEX($F$1531:$F$2030,AB2124))</x:f>
        <x:v>6501 Market St, Upper Darby, PA, 19082</x:v>
      </x:c>
      <x:c r="AE2124" s="1" t="str">
        <x:f>IF(A2124="","",F75)</x:f>
        <x:v>640 N 66TH ST</x:v>
      </x:c>
      <x:c r="AF2124" s="1" t="n">
        <x:f>IF(ISNUMBER(I75),I75,"")</x:f>
        <x:v>39.97309111</x:v>
      </x:c>
      <x:c r="AG2124" s="1" t="n">
        <x:f>IF(ISNUMBER(J75),J75,"")</x:f>
        <x:v>-75.25171974</x:v>
      </x:c>
      <x:c r="AH2124" s="1" t="str">
        <x:f>IF(I2124=0,"Not contacted",IF(INDEX('Staff Review'!$J$8:$J$507,I2124)="","Not contacted",INDEX('Staff Review'!$J$8:$J$507,I2124)))</x:f>
        <x:v>Not contacted</x:v>
      </x:c>
      <x:c r="AI2124" s="1" t="str">
        <x:f>IF(I2124=0,"No",IF(AND(COUNT(INDEX('Staff Review'!$D$8:$D$507,I2124))=1,INDEX('Staff Review'!$D$8:$D$507,I2124)&gt;=0,COUNT(INDEX('Staff Review'!$E$8:$E$507,I2124))=1,INDEX('Staff Review'!$E$8:$E$507,I2124)&gt;0,INDEX('Staff Review'!$E$8:$E$507,I2124)&lt;='Top 15'!$E$5,'Top 15'!$E$5-INDEX('Staff Review'!$E$8:$E$507,I2124)&lt;='Top 15'!$H$5,LEN(INDEX('Staff Review'!$H$8:$H$507,I2124))&gt;0),"Yes","No"))</x:f>
        <x:v>No</x:v>
      </x:c>
      <x:c r="AJ2124" s="1" t="str">
        <x:f>IF(I2124=0,"No",IF(COUNT(INDEX('Staff Review'!$F$8:$F$507,I2124))&lt;&gt;1,"No",IF(AND(INDEX('Staff Review'!$F$8:$F$507,I2124)&gt;=0,MOD(INDEX('Staff Review'!$F$8:$F$507,I2124),1)=0,COUNT(INDEX('Staff Review'!$G$8:$G$507,I2124))=1,INDEX('Staff Review'!$G$8:$G$507,I2124)&gt;0,INDEX('Staff Review'!$G$8:$G$507,I2124)&lt;='Top 15'!$E$5,'Top 15'!$E$5-INDEX('Staff Review'!$G$8:$G$507,I2124)&lt;='Top 15'!$H$5,LEN(INDEX('Staff Review'!$H$8:$H$507,I2124))&gt;0),"Yes","No")))</x:f>
        <x:v>No</x:v>
      </x:c>
      <x:c r="AK2124" s="1" t="n">
        <x:f>IF(A2124="",0,COUNTIFS($A$2:$A$501,A2124))</x:f>
        <x:v>1</x:v>
      </x:c>
      <x:c r="AL2124" s="1" t="n">
        <x:f>IF(V2124="Candidate",1,0)</x:f>
        <x:v>1</x:v>
      </x:c>
      <x:c r="AM2124" s="1" t="n">
        <x:f>IF(A2124="",0,VALUE(A2124))</x:f>
        <x:v>3302</x:v>
      </x:c>
      <x:c r="AN2124" s="1" t="n">
        <x:f>IF(OR(A2124="",COUNTIFS($T$41:$T$540,A2124)&lt;&gt;1),0,MATCH(A2124,$T$41:$T$540,0))</x:f>
        <x:v>74</x:v>
      </x:c>
      <x:c r="AO2124" t="n">
        <x:f>IF(ISNUMBER(W2124),W2124,10000+AM2124)</x:f>
        <x:v>161</x:v>
      </x:c>
    </x:row>
    <x:row r="2125" ht="22" customHeight="1">
      <x:c r="A2125" s="1" t="str">
        <x:f>IF(A76="","",A76)</x:f>
        <x:v>3304</x:v>
      </x:c>
      <x:c r="B2125" s="1" t="str">
        <x:f>IF(A2125="","",B76)</x:f>
        <x:v>YouthBuild Philadelphia Charter School</x:v>
      </x:c>
      <x:c r="C2125" s="1" t="str">
        <x:f>IF(A2125="","",C76)</x:f>
        <x:v>Charter</x:v>
      </x:c>
      <x:c r="D2125" s="1" t="str">
        <x:f>IF(A2125="","",E76)</x:f>
        <x:v>High</x:v>
      </x:c>
      <x:c r="E2125" s="1" t="str">
        <x:f>IF(A2125="","",H76)</x:f>
        <x:v>19132</x:v>
      </x:c>
      <x:c r="F2125" s="1" t="n">
        <x:f>IF(ISNUMBER(K76),K76,"")</x:f>
        <x:v>286</x:v>
      </x:c>
      <x:c r="G2125" s="1" t="str">
        <x:f>IF(ISNUMBER(L76),L76,"")</x:f>
      </x:c>
      <x:c r="H2125" s="1" t="str">
        <x:f>IF(A2125="","",IF(AND(UPPER(G76)="PHILADELPHIA",OR(C2125="District",AND(C2125="Charter",D76="Yes"))),"Yes","No"))</x:f>
        <x:v>No</x:v>
      </x:c>
      <x:c r="I2125" s="1" t="n">
        <x:f>IF(OR(A2125="",COUNTIFS('Staff Review'!$A$8:$A$507,A2125)&lt;&gt;1),0,MATCH(A2125,'Staff Review'!$A$8:$A$507,0))</x:f>
        <x:v>329</x:v>
      </x:c>
      <x:c r="J2125" s="1" t="str">
        <x:f>IF(I2125=0,"No",IF(INDEX('Staff Review'!$C$8:$C$507,I2125)="Yes","Yes","No"))</x:f>
        <x:v>No</x:v>
      </x:c>
      <x:c r="K2125" s="1" t="n">
        <x:f>IF(AI2125="Yes",INDEX('Staff Review'!$D$8:$D$507,I2125),IF(AB2125=0,"",IF(COUNT(INDEX($C$1531:$C$2030,AB2125))=1,INDEX($C$1531:$C$2030,AB2125),"")))</x:f>
        <x:v>0.706614574962913</x:v>
      </x:c>
      <x:c r="L2125" s="1" t="n">
        <x:f>IF(AJ2125="Yes",INDEX('Staff Review'!$F$8:$F$507,I2125),IF(AB2125=0,"",IF(COUNT(INDEX($G$1531:$G$2030,AB2125))=1,INDEX($G$1531:$G$2030,AB2125),"")))</x:f>
        <x:v>16</x:v>
      </x:c>
      <x:c r="M2125" s="1" t="str">
        <x:f>IF(A2125="","",IF(AI2125="Yes","Verified","Listed"))</x:f>
        <x:v>Listed</x:v>
      </x:c>
      <x:c r="N2125" s="1" t="str">
        <x:f>IF(A2125="","",IF(AJ2125="Yes","Verified","Listed"))</x:f>
        <x:v>Listed</x:v>
      </x:c>
      <x:c r="O2125" s="1" t="str">
        <x:f>IF(AND(ISNUMBER(G2125),G2125&gt;=0,G2125&lt;=1),IF(G2125&gt;=0.9,30,IF(G2125&gt;=0.8,25,IF(G2125&gt;=0.7,20,IF(G2125&gt;=0.6,15,IF(G2125&gt;=0.5,10,IF(G2125&gt;=0.4,5,0)))))),"")</x:f>
      </x:c>
      <x:c r="P2125" s="1" t="n">
        <x:f>IF(ISNUMBER(K2125),IF(K2125&lt;0,"",IF(K2125&gt;1,25,IF(K2125&gt;=0.75,20,IF(K2125&gt;=0.5,15,IF(K2125&gt;=0.25,10,5))))),"")</x:f>
        <x:v>15</x:v>
      </x:c>
      <x:c r="Q2125" s="1" t="n">
        <x:f>IF(NOT(ISNUMBER(L2125)),"",IF(AND(L2125&gt;=0,MOD(L2125,1)=0),MAX(0,25-5*L2125),""))</x:f>
        <x:v>0</x:v>
      </x:c>
      <x:c r="R2125" s="1" t="n">
        <x:f>IF(NOT(ISNUMBER(F2125)),"",IF(AND(F2125&gt;0,MOD(F2125,1)=0),IF(F2125&gt;=700,5,IF(F2125&gt;=500,4,IF(F2125&gt;=350,3,IF(F2125&gt;=200,2,1)))),""))</x:f>
        <x:v>2</x:v>
      </x:c>
      <x:c r="S2125" s="1" t="str">
        <x:f>IF(COUNT(O2125:R2125)=4,SUM(O2125:R2125),"")</x:f>
      </x:c>
      <x:c r="T2125" s="1" t="str">
        <x:f>IF(OR(COUNT(O2125:R2125)&lt;&gt;4,COUNT('Top 15'!$B$35:$E$35)&lt;&gt;4,MIN('Top 15'!$B$35:$E$35)&lt;0,SUM('Top 15'!$B$35:$E$35)&lt;=0),"",ROUND(85*(O2125/30*'Top 15'!$B$35+P2125/25*'Top 15'!$C$35+Q2125/25*'Top 15'!$D$35+R2125/5*'Top 15'!$E$35)/SUM('Top 15'!$B$35:$E$35),6))</x:f>
      </x:c>
      <x:c r="U2125" s="1" t="str">
        <x:f>IF(A2125="","",IF(AND(M2125="Verified",N2125="Verified"),"Verified",IF(AND(M2125="Listed",N2125="Listed"),"Listed","Mixed")))</x:f>
        <x:v>Listed</x:v>
      </x:c>
      <x:c r="V2125" s="1" t="str">
        <x:f>IF(A2125="","",IF(AK2125&lt;&gt;1,"Duplicate source ID",IF(COUNTIFS('Staff Review'!$A$8:$A$507,A2125)&gt;1,"Duplicate review ID",IF(H2125&lt;&gt;"Yes","Outside scope",IF(J2125="Yes","Already served",IF(NOT(ISNUMBER(T2125)),"Missing data","Candidate"))))))</x:f>
        <x:v>Outside scope</x:v>
      </x:c>
      <x:c r="W2125" s="1" t="str">
        <x:f>IF(AL2125=0,"",1+COUNTIFS($AL$2051:$AL$2550,1,$T$2051:$T$2550,"&gt;"&amp;T2125)+COUNTIFS($AL$2051:$AL$2550,1,$T$2051:$T$2550,T2125,$G$2051:$G$2550,"&gt;"&amp;G2125)+COUNTIFS($AL$2051:$AL$2550,1,$T$2051:$T$2550,T2125,$G$2051:$G$2550,G2125,$F$2051:$F$2550,"&gt;"&amp;F2125)+COUNTIFS($AL$2051:$AL$2550,1,$T$2051:$T$2550,T2125,$G$2051:$G$2550,G2125,$F$2051:$F$2550,F2125,$AM$2051:$AM$2550,"&lt;"&amp;AM2125))</x:f>
      </x:c>
      <x:c r="X2125" s="1" t="str">
        <x:f>IF(AL2125=0,"",1+COUNTIFS($AL$2051:$AL$2550,1,$T$2051:$T$2550,"&gt;"&amp;T2125))</x:f>
      </x:c>
      <x:c r="Y2125" s="1" t="n">
        <x:f>IF(AND(H2125="Yes",OR(LEN('School Search'!$B$5)=0,ISNUMBER(SEARCH('School Search'!$B$5,B2125&amp;" "&amp;E2125&amp;" "&amp;A2125))),OR('School Search'!$D$5="All",C2125='School Search'!$D$5),OR('School Search'!$G$5="All eligible",AND('School Search'!$G$5="Not marked served",J2125&lt;&gt;"Yes"),AND('School Search'!$G$5="Missing data",V2125="Missing data"),AND('School Search'!$G$5="Marked served",J2125="Yes"))),1,0)</x:f>
        <x:v>0</x:v>
      </x:c>
      <x:c r="Z2125" s="1" t="str">
        <x:f>IF(Y2125=0,"",COUNTIFS($Y$2051:$Y$2550,1,$AO$2051:$AO$2550,"&lt;"&amp;AO2125)+COUNTIFS($Y$2051:Y2125,1,$AO$2051:AO2125,AO2125))</x:f>
      </x:c>
      <x:c r="AA2125" s="1" t="str">
        <x:f>IF(NOT(ISNUMBER(S2125)),"Missing demographic or access input",TEXT(G2125,"0%")&amp;" economic need; "&amp;TEXT(K2125,"0.00")&amp;" mi fresh access; "&amp;L2125&amp;" nearby resources")</x:f>
        <x:v>Missing demographic or access input</x:v>
      </x:c>
      <x:c r="AB2125" s="1" t="n">
        <x:f>IF(OR(A2125="",COUNTIFS($A$1531:$A$2030,A2125)&lt;&gt;1),0,MATCH(A2125,$A$1531:$A$2030,0))</x:f>
        <x:v>75</x:v>
      </x:c>
      <x:c r="AC2125" s="1" t="str">
        <x:f>IF(AB2125=0,"",INDEX($E$1531:$E$2030,AB2125))</x:f>
        <x:v>Save A Lot 60139</x:v>
      </x:c>
      <x:c r="AD2125" s="1" t="str">
        <x:f>IF(AB2125=0,"",INDEX($F$1531:$F$2030,AB2125))</x:f>
        <x:v>701 W Lehigh Ave, Philadelphia, PA, 19133</x:v>
      </x:c>
      <x:c r="AE2125" s="1" t="str">
        <x:f>IF(A2125="","",F76)</x:f>
        <x:v>2309 N BROAD ST</x:v>
      </x:c>
      <x:c r="AF2125" s="1" t="n">
        <x:f>IF(ISNUMBER(I76),I76,"")</x:f>
        <x:v>39.9882193</x:v>
      </x:c>
      <x:c r="AG2125" s="1" t="n">
        <x:f>IF(ISNUMBER(J76),J76,"")</x:f>
        <x:v>-75.1553227</x:v>
      </x:c>
      <x:c r="AH2125" s="1" t="str">
        <x:f>IF(I2125=0,"Not contacted",IF(INDEX('Staff Review'!$J$8:$J$507,I2125)="","Not contacted",INDEX('Staff Review'!$J$8:$J$507,I2125)))</x:f>
        <x:v>Not contacted</x:v>
      </x:c>
      <x:c r="AI2125" s="1" t="str">
        <x:f>IF(I2125=0,"No",IF(AND(COUNT(INDEX('Staff Review'!$D$8:$D$507,I2125))=1,INDEX('Staff Review'!$D$8:$D$507,I2125)&gt;=0,COUNT(INDEX('Staff Review'!$E$8:$E$507,I2125))=1,INDEX('Staff Review'!$E$8:$E$507,I2125)&gt;0,INDEX('Staff Review'!$E$8:$E$507,I2125)&lt;='Top 15'!$E$5,'Top 15'!$E$5-INDEX('Staff Review'!$E$8:$E$507,I2125)&lt;='Top 15'!$H$5,LEN(INDEX('Staff Review'!$H$8:$H$507,I2125))&gt;0),"Yes","No"))</x:f>
        <x:v>No</x:v>
      </x:c>
      <x:c r="AJ2125" s="1" t="str">
        <x:f>IF(I2125=0,"No",IF(COUNT(INDEX('Staff Review'!$F$8:$F$507,I2125))&lt;&gt;1,"No",IF(AND(INDEX('Staff Review'!$F$8:$F$507,I2125)&gt;=0,MOD(INDEX('Staff Review'!$F$8:$F$507,I2125),1)=0,COUNT(INDEX('Staff Review'!$G$8:$G$507,I2125))=1,INDEX('Staff Review'!$G$8:$G$507,I2125)&gt;0,INDEX('Staff Review'!$G$8:$G$507,I2125)&lt;='Top 15'!$E$5,'Top 15'!$E$5-INDEX('Staff Review'!$G$8:$G$507,I2125)&lt;='Top 15'!$H$5,LEN(INDEX('Staff Review'!$H$8:$H$507,I2125))&gt;0),"Yes","No")))</x:f>
        <x:v>No</x:v>
      </x:c>
      <x:c r="AK2125" s="1" t="n">
        <x:f>IF(A2125="",0,COUNTIFS($A$2:$A$501,A2125))</x:f>
        <x:v>1</x:v>
      </x:c>
      <x:c r="AL2125" s="1" t="n">
        <x:f>IF(V2125="Candidate",1,0)</x:f>
        <x:v>0</x:v>
      </x:c>
      <x:c r="AM2125" s="1" t="n">
        <x:f>IF(A2125="",0,VALUE(A2125))</x:f>
        <x:v>3304</x:v>
      </x:c>
      <x:c r="AN2125" s="1" t="n">
        <x:f>IF(OR(A2125="",COUNTIFS($T$41:$T$540,A2125)&lt;&gt;1),0,MATCH(A2125,$T$41:$T$540,0))</x:f>
        <x:v>75</x:v>
      </x:c>
      <x:c r="AO2125" t="n">
        <x:f>IF(ISNUMBER(W2125),W2125,10000+AM2125)</x:f>
        <x:v>13304</x:v>
      </x:c>
    </x:row>
    <x:row r="2126" ht="22" customHeight="1">
      <x:c r="A2126" s="1" t="str">
        <x:f>IF(A77="","",A77)</x:f>
        <x:v>3306</x:v>
      </x:c>
      <x:c r="B2126" s="1" t="str">
        <x:f>IF(A2126="","",B77)</x:f>
        <x:v>Christopher Columbus Charter School</x:v>
      </x:c>
      <x:c r="C2126" s="1" t="str">
        <x:f>IF(A2126="","",C77)</x:f>
        <x:v>Charter</x:v>
      </x:c>
      <x:c r="D2126" s="1" t="str">
        <x:f>IF(A2126="","",E77)</x:f>
        <x:v>Elementary-Middle</x:v>
      </x:c>
      <x:c r="E2126" s="1" t="str">
        <x:f>IF(A2126="","",H77)</x:f>
        <x:v>19147</x:v>
      </x:c>
      <x:c r="F2126" s="1" t="n">
        <x:f>IF(ISNUMBER(K77),K77,"")</x:f>
        <x:v>817</x:v>
      </x:c>
      <x:c r="G2126" s="1" t="n">
        <x:f>IF(ISNUMBER(L77),L77,"")</x:f>
        <x:v>0.6031</x:v>
      </x:c>
      <x:c r="H2126" s="1" t="str">
        <x:f>IF(A2126="","",IF(AND(UPPER(G77)="PHILADELPHIA",OR(C2126="District",AND(C2126="Charter",D77="Yes"))),"Yes","No"))</x:f>
        <x:v>Yes</x:v>
      </x:c>
      <x:c r="I2126" s="1" t="n">
        <x:f>IF(OR(A2126="",COUNTIFS('Staff Review'!$A$8:$A$507,A2126)&lt;&gt;1),0,MATCH(A2126,'Staff Review'!$A$8:$A$507,0))</x:f>
        <x:v>42</x:v>
      </x:c>
      <x:c r="J2126" s="1" t="str">
        <x:f>IF(I2126=0,"No",IF(INDEX('Staff Review'!$C$8:$C$507,I2126)="Yes","Yes","No"))</x:f>
        <x:v>No</x:v>
      </x:c>
      <x:c r="K2126" s="1" t="n">
        <x:f>IF(AI2126="Yes",INDEX('Staff Review'!$D$8:$D$507,I2126),IF(AB2126=0,"",IF(COUNT(INDEX($C$1531:$C$2030,AB2126))=1,INDEX($C$1531:$C$2030,AB2126),"")))</x:f>
        <x:v>0.22052858366333475</x:v>
      </x:c>
      <x:c r="L2126" s="1" t="n">
        <x:f>IF(AJ2126="Yes",INDEX('Staff Review'!$F$8:$F$507,I2126),IF(AB2126=0,"",IF(COUNT(INDEX($G$1531:$G$2030,AB2126))=1,INDEX($G$1531:$G$2030,AB2126),"")))</x:f>
        <x:v>11</x:v>
      </x:c>
      <x:c r="M2126" s="1" t="str">
        <x:f>IF(A2126="","",IF(AI2126="Yes","Verified","Listed"))</x:f>
        <x:v>Listed</x:v>
      </x:c>
      <x:c r="N2126" s="1" t="str">
        <x:f>IF(A2126="","",IF(AJ2126="Yes","Verified","Listed"))</x:f>
        <x:v>Listed</x:v>
      </x:c>
      <x:c r="O2126" s="1" t="n">
        <x:f>IF(AND(ISNUMBER(G2126),G2126&gt;=0,G2126&lt;=1),IF(G2126&gt;=0.9,30,IF(G2126&gt;=0.8,25,IF(G2126&gt;=0.7,20,IF(G2126&gt;=0.6,15,IF(G2126&gt;=0.5,10,IF(G2126&gt;=0.4,5,0)))))),"")</x:f>
        <x:v>15</x:v>
      </x:c>
      <x:c r="P2126" s="1" t="n">
        <x:f>IF(ISNUMBER(K2126),IF(K2126&lt;0,"",IF(K2126&gt;1,25,IF(K2126&gt;=0.75,20,IF(K2126&gt;=0.5,15,IF(K2126&gt;=0.25,10,5))))),"")</x:f>
        <x:v>5</x:v>
      </x:c>
      <x:c r="Q2126" s="1" t="n">
        <x:f>IF(NOT(ISNUMBER(L2126)),"",IF(AND(L2126&gt;=0,MOD(L2126,1)=0),MAX(0,25-5*L2126),""))</x:f>
        <x:v>0</x:v>
      </x:c>
      <x:c r="R2126" s="1" t="n">
        <x:f>IF(NOT(ISNUMBER(F2126)),"",IF(AND(F2126&gt;0,MOD(F2126,1)=0),IF(F2126&gt;=700,5,IF(F2126&gt;=500,4,IF(F2126&gt;=350,3,IF(F2126&gt;=200,2,1)))),""))</x:f>
        <x:v>5</x:v>
      </x:c>
      <x:c r="S2126" s="1" t="n">
        <x:f>IF(COUNT(O2126:R2126)=4,SUM(O2126:R2126),"")</x:f>
        <x:v>25</x:v>
      </x:c>
      <x:c r="T2126" s="1" t="n">
        <x:f>IF(OR(COUNT(O2126:R2126)&lt;&gt;4,COUNT('Top 15'!$B$35:$E$35)&lt;&gt;4,MIN('Top 15'!$B$35:$E$35)&lt;0,SUM('Top 15'!$B$35:$E$35)&lt;=0),"",ROUND(85*(O2126/30*'Top 15'!$B$35+P2126/25*'Top 15'!$C$35+Q2126/25*'Top 15'!$D$35+R2126/5*'Top 15'!$E$35)/SUM('Top 15'!$B$35:$E$35),6))</x:f>
        <x:v>25</x:v>
      </x:c>
      <x:c r="U2126" s="1" t="str">
        <x:f>IF(A2126="","",IF(AND(M2126="Verified",N2126="Verified"),"Verified",IF(AND(M2126="Listed",N2126="Listed"),"Listed","Mixed")))</x:f>
        <x:v>Listed</x:v>
      </x:c>
      <x:c r="V2126" s="1" t="str">
        <x:f>IF(A2126="","",IF(AK2126&lt;&gt;1,"Duplicate source ID",IF(COUNTIFS('Staff Review'!$A$8:$A$507,A2126)&gt;1,"Duplicate review ID",IF(H2126&lt;&gt;"Yes","Outside scope",IF(J2126="Yes","Already served",IF(NOT(ISNUMBER(T2126)),"Missing data","Candidate"))))))</x:f>
        <x:v>Candidate</x:v>
      </x:c>
      <x:c r="W2126" s="1" t="n">
        <x:f>IF(AL2126=0,"",1+COUNTIFS($AL$2051:$AL$2550,1,$T$2051:$T$2550,"&gt;"&amp;T2126)+COUNTIFS($AL$2051:$AL$2550,1,$T$2051:$T$2550,T2126,$G$2051:$G$2550,"&gt;"&amp;G2126)+COUNTIFS($AL$2051:$AL$2550,1,$T$2051:$T$2550,T2126,$G$2051:$G$2550,G2126,$F$2051:$F$2550,"&gt;"&amp;F2126)+COUNTIFS($AL$2051:$AL$2550,1,$T$2051:$T$2550,T2126,$G$2051:$G$2550,G2126,$F$2051:$F$2550,F2126,$AM$2051:$AM$2550,"&lt;"&amp;AM2126))</x:f>
        <x:v>270</x:v>
      </x:c>
      <x:c r="X2126" s="1" t="n">
        <x:f>IF(AL2126=0,"",1+COUNTIFS($AL$2051:$AL$2550,1,$T$2051:$T$2550,"&gt;"&amp;T2126))</x:f>
        <x:v>269</x:v>
      </x:c>
      <x:c r="Y2126" s="1" t="n">
        <x:f>IF(AND(H2126="Yes",OR(LEN('School Search'!$B$5)=0,ISNUMBER(SEARCH('School Search'!$B$5,B2126&amp;" "&amp;E2126&amp;" "&amp;A2126))),OR('School Search'!$D$5="All",C2126='School Search'!$D$5),OR('School Search'!$G$5="All eligible",AND('School Search'!$G$5="Not marked served",J2126&lt;&gt;"Yes"),AND('School Search'!$G$5="Missing data",V2126="Missing data"),AND('School Search'!$G$5="Marked served",J2126="Yes"))),1,0)</x:f>
        <x:v>1</x:v>
      </x:c>
      <x:c r="Z2126" s="1" t="n">
        <x:f>IF(Y2126=0,"",COUNTIFS($Y$2051:$Y$2550,1,$AO$2051:$AO$2550,"&lt;"&amp;AO2126)+COUNTIFS($Y$2051:Y2126,1,$AO$2051:AO2126,AO2126))</x:f>
        <x:v>270</x:v>
      </x:c>
      <x:c r="AA2126" s="1" t="str">
        <x:f>IF(NOT(ISNUMBER(S2126)),"Missing demographic or access input",TEXT(G2126,"0%")&amp;" economic need; "&amp;TEXT(K2126,"0.00")&amp;" mi fresh access; "&amp;L2126&amp;" nearby resources")</x:f>
        <x:v>60% economic need; 0.22 mi fresh access; 11 nearby resources</x:v>
      </x:c>
      <x:c r="AB2126" s="1" t="n">
        <x:f>IF(OR(A2126="",COUNTIFS($A$1531:$A$2030,A2126)&lt;&gt;1),0,MATCH(A2126,$A$1531:$A$2030,0))</x:f>
        <x:v>76</x:v>
      </x:c>
      <x:c r="AC2126" s="1" t="str">
        <x:f>IF(AB2126=0,"",INDEX($E$1531:$E$2030,AB2126))</x:f>
        <x:v>Hung Vuong Food Market</x:v>
      </x:c>
      <x:c r="AD2126" s="1" t="str">
        <x:f>IF(AB2126=0,"",INDEX($F$1531:$F$2030,AB2126))</x:f>
        <x:v>1122 Washington Ave, Philadelphia, PA, 19147</x:v>
      </x:c>
      <x:c r="AE2126" s="1" t="str">
        <x:f>IF(A2126="","",F77)</x:f>
        <x:v>916 CHRISTIAN ST</x:v>
      </x:c>
      <x:c r="AF2126" s="1" t="n">
        <x:f>IF(ISNUMBER(I77),I77,"")</x:f>
        <x:v>39.93894574</x:v>
      </x:c>
      <x:c r="AG2126" s="1" t="n">
        <x:f>IF(ISNUMBER(J77),J77,"")</x:f>
        <x:v>-75.15824752</x:v>
      </x:c>
      <x:c r="AH2126" s="1" t="str">
        <x:f>IF(I2126=0,"Not contacted",IF(INDEX('Staff Review'!$J$8:$J$507,I2126)="","Not contacted",INDEX('Staff Review'!$J$8:$J$507,I2126)))</x:f>
        <x:v>Not contacted</x:v>
      </x:c>
      <x:c r="AI2126" s="1" t="str">
        <x:f>IF(I2126=0,"No",IF(AND(COUNT(INDEX('Staff Review'!$D$8:$D$507,I2126))=1,INDEX('Staff Review'!$D$8:$D$507,I2126)&gt;=0,COUNT(INDEX('Staff Review'!$E$8:$E$507,I2126))=1,INDEX('Staff Review'!$E$8:$E$507,I2126)&gt;0,INDEX('Staff Review'!$E$8:$E$507,I2126)&lt;='Top 15'!$E$5,'Top 15'!$E$5-INDEX('Staff Review'!$E$8:$E$507,I2126)&lt;='Top 15'!$H$5,LEN(INDEX('Staff Review'!$H$8:$H$507,I2126))&gt;0),"Yes","No"))</x:f>
        <x:v>No</x:v>
      </x:c>
      <x:c r="AJ2126" s="1" t="str">
        <x:f>IF(I2126=0,"No",IF(COUNT(INDEX('Staff Review'!$F$8:$F$507,I2126))&lt;&gt;1,"No",IF(AND(INDEX('Staff Review'!$F$8:$F$507,I2126)&gt;=0,MOD(INDEX('Staff Review'!$F$8:$F$507,I2126),1)=0,COUNT(INDEX('Staff Review'!$G$8:$G$507,I2126))=1,INDEX('Staff Review'!$G$8:$G$507,I2126)&gt;0,INDEX('Staff Review'!$G$8:$G$507,I2126)&lt;='Top 15'!$E$5,'Top 15'!$E$5-INDEX('Staff Review'!$G$8:$G$507,I2126)&lt;='Top 15'!$H$5,LEN(INDEX('Staff Review'!$H$8:$H$507,I2126))&gt;0),"Yes","No")))</x:f>
        <x:v>No</x:v>
      </x:c>
      <x:c r="AK2126" s="1" t="n">
        <x:f>IF(A2126="",0,COUNTIFS($A$2:$A$501,A2126))</x:f>
        <x:v>1</x:v>
      </x:c>
      <x:c r="AL2126" s="1" t="n">
        <x:f>IF(V2126="Candidate",1,0)</x:f>
        <x:v>1</x:v>
      </x:c>
      <x:c r="AM2126" s="1" t="n">
        <x:f>IF(A2126="",0,VALUE(A2126))</x:f>
        <x:v>3306</x:v>
      </x:c>
      <x:c r="AN2126" s="1" t="n">
        <x:f>IF(OR(A2126="",COUNTIFS($T$41:$T$540,A2126)&lt;&gt;1),0,MATCH(A2126,$T$41:$T$540,0))</x:f>
        <x:v>76</x:v>
      </x:c>
      <x:c r="AO2126" t="n">
        <x:f>IF(ISNUMBER(W2126),W2126,10000+AM2126)</x:f>
        <x:v>270</x:v>
      </x:c>
    </x:row>
    <x:row r="2127" ht="22" customHeight="1">
      <x:c r="A2127" s="1" t="str">
        <x:f>IF(A78="","",A78)</x:f>
        <x:v>3307</x:v>
      </x:c>
      <x:c r="B2127" s="1" t="str">
        <x:f>IF(A2127="","",B78)</x:f>
        <x:v>Eugenio Maria De Hostos Charter School</x:v>
      </x:c>
      <x:c r="C2127" s="1" t="str">
        <x:f>IF(A2127="","",C78)</x:f>
        <x:v>Charter</x:v>
      </x:c>
      <x:c r="D2127" s="1" t="str">
        <x:f>IF(A2127="","",E78)</x:f>
        <x:v>Elementary-Middle</x:v>
      </x:c>
      <x:c r="E2127" s="1" t="str">
        <x:f>IF(A2127="","",H78)</x:f>
        <x:v>19120</x:v>
      </x:c>
      <x:c r="F2127" s="1" t="n">
        <x:f>IF(ISNUMBER(K78),K78,"")</x:f>
        <x:v>697</x:v>
      </x:c>
      <x:c r="G2127" s="1" t="n">
        <x:f>IF(ISNUMBER(L78),L78,"")</x:f>
        <x:v>0.7647</x:v>
      </x:c>
      <x:c r="H2127" s="1" t="str">
        <x:f>IF(A2127="","",IF(AND(UPPER(G78)="PHILADELPHIA",OR(C2127="District",AND(C2127="Charter",D78="Yes"))),"Yes","No"))</x:f>
        <x:v>Yes</x:v>
      </x:c>
      <x:c r="I2127" s="1" t="n">
        <x:f>IF(OR(A2127="",COUNTIFS('Staff Review'!$A$8:$A$507,A2127)&lt;&gt;1),0,MATCH(A2127,'Staff Review'!$A$8:$A$507,0))</x:f>
        <x:v>66</x:v>
      </x:c>
      <x:c r="J2127" s="1" t="str">
        <x:f>IF(I2127=0,"No",IF(INDEX('Staff Review'!$C$8:$C$507,I2127)="Yes","Yes","No"))</x:f>
        <x:v>No</x:v>
      </x:c>
      <x:c r="K2127" s="1" t="n">
        <x:f>IF(AI2127="Yes",INDEX('Staff Review'!$D$8:$D$507,I2127),IF(AB2127=0,"",IF(COUNT(INDEX($C$1531:$C$2030,AB2127))=1,INDEX($C$1531:$C$2030,AB2127),"")))</x:f>
        <x:v>0.2923713862135881</x:v>
      </x:c>
      <x:c r="L2127" s="1" t="n">
        <x:f>IF(AJ2127="Yes",INDEX('Staff Review'!$F$8:$F$507,I2127),IF(AB2127=0,"",IF(COUNT(INDEX($G$1531:$G$2030,AB2127))=1,INDEX($G$1531:$G$2030,AB2127),"")))</x:f>
        <x:v>3</x:v>
      </x:c>
      <x:c r="M2127" s="1" t="str">
        <x:f>IF(A2127="","",IF(AI2127="Yes","Verified","Listed"))</x:f>
        <x:v>Listed</x:v>
      </x:c>
      <x:c r="N2127" s="1" t="str">
        <x:f>IF(A2127="","",IF(AJ2127="Yes","Verified","Listed"))</x:f>
        <x:v>Listed</x:v>
      </x:c>
      <x:c r="O2127" s="1" t="n">
        <x:f>IF(AND(ISNUMBER(G2127),G2127&gt;=0,G2127&lt;=1),IF(G2127&gt;=0.9,30,IF(G2127&gt;=0.8,25,IF(G2127&gt;=0.7,20,IF(G2127&gt;=0.6,15,IF(G2127&gt;=0.5,10,IF(G2127&gt;=0.4,5,0)))))),"")</x:f>
        <x:v>20</x:v>
      </x:c>
      <x:c r="P2127" s="1" t="n">
        <x:f>IF(ISNUMBER(K2127),IF(K2127&lt;0,"",IF(K2127&gt;1,25,IF(K2127&gt;=0.75,20,IF(K2127&gt;=0.5,15,IF(K2127&gt;=0.25,10,5))))),"")</x:f>
        <x:v>10</x:v>
      </x:c>
      <x:c r="Q2127" s="1" t="n">
        <x:f>IF(NOT(ISNUMBER(L2127)),"",IF(AND(L2127&gt;=0,MOD(L2127,1)=0),MAX(0,25-5*L2127),""))</x:f>
        <x:v>10</x:v>
      </x:c>
      <x:c r="R2127" s="1" t="n">
        <x:f>IF(NOT(ISNUMBER(F2127)),"",IF(AND(F2127&gt;0,MOD(F2127,1)=0),IF(F2127&gt;=700,5,IF(F2127&gt;=500,4,IF(F2127&gt;=350,3,IF(F2127&gt;=200,2,1)))),""))</x:f>
        <x:v>4</x:v>
      </x:c>
      <x:c r="S2127" s="1" t="n">
        <x:f>IF(COUNT(O2127:R2127)=4,SUM(O2127:R2127),"")</x:f>
        <x:v>44</x:v>
      </x:c>
      <x:c r="T2127" s="1" t="n">
        <x:f>IF(OR(COUNT(O2127:R2127)&lt;&gt;4,COUNT('Top 15'!$B$35:$E$35)&lt;&gt;4,MIN('Top 15'!$B$35:$E$35)&lt;0,SUM('Top 15'!$B$35:$E$35)&lt;=0),"",ROUND(85*(O2127/30*'Top 15'!$B$35+P2127/25*'Top 15'!$C$35+Q2127/25*'Top 15'!$D$35+R2127/5*'Top 15'!$E$35)/SUM('Top 15'!$B$35:$E$35),6))</x:f>
        <x:v>44</x:v>
      </x:c>
      <x:c r="U2127" s="1" t="str">
        <x:f>IF(A2127="","",IF(AND(M2127="Verified",N2127="Verified"),"Verified",IF(AND(M2127="Listed",N2127="Listed"),"Listed","Mixed")))</x:f>
        <x:v>Listed</x:v>
      </x:c>
      <x:c r="V2127" s="1" t="str">
        <x:f>IF(A2127="","",IF(AK2127&lt;&gt;1,"Duplicate source ID",IF(COUNTIFS('Staff Review'!$A$8:$A$507,A2127)&gt;1,"Duplicate review ID",IF(H2127&lt;&gt;"Yes","Outside scope",IF(J2127="Yes","Already served",IF(NOT(ISNUMBER(T2127)),"Missing data","Candidate"))))))</x:f>
        <x:v>Candidate</x:v>
      </x:c>
      <x:c r="W2127" s="1" t="n">
        <x:f>IF(AL2127=0,"",1+COUNTIFS($AL$2051:$AL$2550,1,$T$2051:$T$2550,"&gt;"&amp;T2127)+COUNTIFS($AL$2051:$AL$2550,1,$T$2051:$T$2550,T2127,$G$2051:$G$2550,"&gt;"&amp;G2127)+COUNTIFS($AL$2051:$AL$2550,1,$T$2051:$T$2550,T2127,$G$2051:$G$2550,G2127,$F$2051:$F$2550,"&gt;"&amp;F2127)+COUNTIFS($AL$2051:$AL$2550,1,$T$2051:$T$2550,T2127,$G$2051:$G$2550,G2127,$F$2051:$F$2550,F2127,$AM$2051:$AM$2550,"&lt;"&amp;AM2127))</x:f>
        <x:v>89</x:v>
      </x:c>
      <x:c r="X2127" s="1" t="n">
        <x:f>IF(AL2127=0,"",1+COUNTIFS($AL$2051:$AL$2550,1,$T$2051:$T$2550,"&gt;"&amp;T2127))</x:f>
        <x:v>81</x:v>
      </x:c>
      <x:c r="Y2127" s="1" t="n">
        <x:f>IF(AND(H2127="Yes",OR(LEN('School Search'!$B$5)=0,ISNUMBER(SEARCH('School Search'!$B$5,B2127&amp;" "&amp;E2127&amp;" "&amp;A2127))),OR('School Search'!$D$5="All",C2127='School Search'!$D$5),OR('School Search'!$G$5="All eligible",AND('School Search'!$G$5="Not marked served",J2127&lt;&gt;"Yes"),AND('School Search'!$G$5="Missing data",V2127="Missing data"),AND('School Search'!$G$5="Marked served",J2127="Yes"))),1,0)</x:f>
        <x:v>1</x:v>
      </x:c>
      <x:c r="Z2127" s="1" t="n">
        <x:f>IF(Y2127=0,"",COUNTIFS($Y$2051:$Y$2550,1,$AO$2051:$AO$2550,"&lt;"&amp;AO2127)+COUNTIFS($Y$2051:Y2127,1,$AO$2051:AO2127,AO2127))</x:f>
        <x:v>89</x:v>
      </x:c>
      <x:c r="AA2127" s="1" t="str">
        <x:f>IF(NOT(ISNUMBER(S2127)),"Missing demographic or access input",TEXT(G2127,"0%")&amp;" economic need; "&amp;TEXT(K2127,"0.00")&amp;" mi fresh access; "&amp;L2127&amp;" nearby resources")</x:f>
        <x:v>76% economic need; 0.29 mi fresh access; 3 nearby resources</x:v>
      </x:c>
      <x:c r="AB2127" s="1" t="n">
        <x:f>IF(OR(A2127="",COUNTIFS($A$1531:$A$2030,A2127)&lt;&gt;1),0,MATCH(A2127,$A$1531:$A$2030,0))</x:f>
        <x:v>77</x:v>
      </x:c>
      <x:c r="AC2127" s="1" t="str">
        <x:f>IF(AB2127=0,"",INDEX($E$1531:$E$2030,AB2127))</x:f>
        <x:v>H MART PHILADELPHIA LLC.</x:v>
      </x:c>
      <x:c r="AD2127" s="1" t="str">
        <x:f>IF(AB2127=0,"",INDEX($F$1531:$F$2030,AB2127))</x:f>
        <x:v>6201 N Front St, Philadelphia, PA, 19120</x:v>
      </x:c>
      <x:c r="AE2127" s="1" t="str">
        <x:f>IF(A2127="","",F78)</x:f>
        <x:v>6301 N 2ND ST</x:v>
      </x:c>
      <x:c r="AF2127" s="1" t="n">
        <x:f>IF(ISNUMBER(I78),I78,"")</x:f>
        <x:v>40.04655012</x:v>
      </x:c>
      <x:c r="AG2127" s="1" t="n">
        <x:f>IF(ISNUMBER(J78),J78,"")</x:f>
        <x:v>-75.12324994</x:v>
      </x:c>
      <x:c r="AH2127" s="1" t="str">
        <x:f>IF(I2127=0,"Not contacted",IF(INDEX('Staff Review'!$J$8:$J$507,I2127)="","Not contacted",INDEX('Staff Review'!$J$8:$J$507,I2127)))</x:f>
        <x:v>Not contacted</x:v>
      </x:c>
      <x:c r="AI2127" s="1" t="str">
        <x:f>IF(I2127=0,"No",IF(AND(COUNT(INDEX('Staff Review'!$D$8:$D$507,I2127))=1,INDEX('Staff Review'!$D$8:$D$507,I2127)&gt;=0,COUNT(INDEX('Staff Review'!$E$8:$E$507,I2127))=1,INDEX('Staff Review'!$E$8:$E$507,I2127)&gt;0,INDEX('Staff Review'!$E$8:$E$507,I2127)&lt;='Top 15'!$E$5,'Top 15'!$E$5-INDEX('Staff Review'!$E$8:$E$507,I2127)&lt;='Top 15'!$H$5,LEN(INDEX('Staff Review'!$H$8:$H$507,I2127))&gt;0),"Yes","No"))</x:f>
        <x:v>No</x:v>
      </x:c>
      <x:c r="AJ2127" s="1" t="str">
        <x:f>IF(I2127=0,"No",IF(COUNT(INDEX('Staff Review'!$F$8:$F$507,I2127))&lt;&gt;1,"No",IF(AND(INDEX('Staff Review'!$F$8:$F$507,I2127)&gt;=0,MOD(INDEX('Staff Review'!$F$8:$F$507,I2127),1)=0,COUNT(INDEX('Staff Review'!$G$8:$G$507,I2127))=1,INDEX('Staff Review'!$G$8:$G$507,I2127)&gt;0,INDEX('Staff Review'!$G$8:$G$507,I2127)&lt;='Top 15'!$E$5,'Top 15'!$E$5-INDEX('Staff Review'!$G$8:$G$507,I2127)&lt;='Top 15'!$H$5,LEN(INDEX('Staff Review'!$H$8:$H$507,I2127))&gt;0),"Yes","No")))</x:f>
        <x:v>No</x:v>
      </x:c>
      <x:c r="AK2127" s="1" t="n">
        <x:f>IF(A2127="",0,COUNTIFS($A$2:$A$501,A2127))</x:f>
        <x:v>1</x:v>
      </x:c>
      <x:c r="AL2127" s="1" t="n">
        <x:f>IF(V2127="Candidate",1,0)</x:f>
        <x:v>1</x:v>
      </x:c>
      <x:c r="AM2127" s="1" t="n">
        <x:f>IF(A2127="",0,VALUE(A2127))</x:f>
        <x:v>3307</x:v>
      </x:c>
      <x:c r="AN2127" s="1" t="n">
        <x:f>IF(OR(A2127="",COUNTIFS($T$41:$T$540,A2127)&lt;&gt;1),0,MATCH(A2127,$T$41:$T$540,0))</x:f>
        <x:v>77</x:v>
      </x:c>
      <x:c r="AO2127" t="n">
        <x:f>IF(ISNUMBER(W2127),W2127,10000+AM2127)</x:f>
        <x:v>89</x:v>
      </x:c>
    </x:row>
    <x:row r="2128" ht="22" customHeight="1">
      <x:c r="A2128" s="1" t="str">
        <x:f>IF(A79="","",A79)</x:f>
        <x:v>3308</x:v>
      </x:c>
      <x:c r="B2128" s="1" t="str">
        <x:f>IF(A2128="","",B79)</x:f>
        <x:v>Inquiry Charter School</x:v>
      </x:c>
      <x:c r="C2128" s="1" t="str">
        <x:f>IF(A2128="","",C79)</x:f>
        <x:v>Charter</x:v>
      </x:c>
      <x:c r="D2128" s="1" t="str">
        <x:f>IF(A2128="","",E79)</x:f>
        <x:v>Elementary</x:v>
      </x:c>
      <x:c r="E2128" s="1" t="str">
        <x:f>IF(A2128="","",H79)</x:f>
        <x:v>19104</x:v>
      </x:c>
      <x:c r="F2128" s="1" t="n">
        <x:f>IF(ISNUMBER(K79),K79,"")</x:f>
        <x:v>272</x:v>
      </x:c>
      <x:c r="G2128" s="1" t="n">
        <x:f>IF(ISNUMBER(L79),L79,"")</x:f>
        <x:v>0.6336</x:v>
      </x:c>
      <x:c r="H2128" s="1" t="str">
        <x:f>IF(A2128="","",IF(AND(UPPER(G79)="PHILADELPHIA",OR(C2128="District",AND(C2128="Charter",D79="Yes"))),"Yes","No"))</x:f>
        <x:v>Yes</x:v>
      </x:c>
      <x:c r="I2128" s="1" t="n">
        <x:f>IF(OR(A2128="",COUNTIFS('Staff Review'!$A$8:$A$507,A2128)&lt;&gt;1),0,MATCH(A2128,'Staff Review'!$A$8:$A$507,0))</x:f>
        <x:v>122</x:v>
      </x:c>
      <x:c r="J2128" s="1" t="str">
        <x:f>IF(I2128=0,"No",IF(INDEX('Staff Review'!$C$8:$C$507,I2128)="Yes","Yes","No"))</x:f>
        <x:v>No</x:v>
      </x:c>
      <x:c r="K2128" s="1" t="n">
        <x:f>IF(AI2128="Yes",INDEX('Staff Review'!$D$8:$D$507,I2128),IF(AB2128=0,"",IF(COUNT(INDEX($C$1531:$C$2030,AB2128))=1,INDEX($C$1531:$C$2030,AB2128),"")))</x:f>
        <x:v>0.5402525204044578</x:v>
      </x:c>
      <x:c r="L2128" s="1" t="n">
        <x:f>IF(AJ2128="Yes",INDEX('Staff Review'!$F$8:$F$507,I2128),IF(AB2128=0,"",IF(COUNT(INDEX($G$1531:$G$2030,AB2128))=1,INDEX($G$1531:$G$2030,AB2128),"")))</x:f>
        <x:v>9</x:v>
      </x:c>
      <x:c r="M2128" s="1" t="str">
        <x:f>IF(A2128="","",IF(AI2128="Yes","Verified","Listed"))</x:f>
        <x:v>Listed</x:v>
      </x:c>
      <x:c r="N2128" s="1" t="str">
        <x:f>IF(A2128="","",IF(AJ2128="Yes","Verified","Listed"))</x:f>
        <x:v>Listed</x:v>
      </x:c>
      <x:c r="O2128" s="1" t="n">
        <x:f>IF(AND(ISNUMBER(G2128),G2128&gt;=0,G2128&lt;=1),IF(G2128&gt;=0.9,30,IF(G2128&gt;=0.8,25,IF(G2128&gt;=0.7,20,IF(G2128&gt;=0.6,15,IF(G2128&gt;=0.5,10,IF(G2128&gt;=0.4,5,0)))))),"")</x:f>
        <x:v>15</x:v>
      </x:c>
      <x:c r="P2128" s="1" t="n">
        <x:f>IF(ISNUMBER(K2128),IF(K2128&lt;0,"",IF(K2128&gt;1,25,IF(K2128&gt;=0.75,20,IF(K2128&gt;=0.5,15,IF(K2128&gt;=0.25,10,5))))),"")</x:f>
        <x:v>15</x:v>
      </x:c>
      <x:c r="Q2128" s="1" t="n">
        <x:f>IF(NOT(ISNUMBER(L2128)),"",IF(AND(L2128&gt;=0,MOD(L2128,1)=0),MAX(0,25-5*L2128),""))</x:f>
        <x:v>0</x:v>
      </x:c>
      <x:c r="R2128" s="1" t="n">
        <x:f>IF(NOT(ISNUMBER(F2128)),"",IF(AND(F2128&gt;0,MOD(F2128,1)=0),IF(F2128&gt;=700,5,IF(F2128&gt;=500,4,IF(F2128&gt;=350,3,IF(F2128&gt;=200,2,1)))),""))</x:f>
        <x:v>2</x:v>
      </x:c>
      <x:c r="S2128" s="1" t="n">
        <x:f>IF(COUNT(O2128:R2128)=4,SUM(O2128:R2128),"")</x:f>
        <x:v>32</x:v>
      </x:c>
      <x:c r="T2128" s="1" t="n">
        <x:f>IF(OR(COUNT(O2128:R2128)&lt;&gt;4,COUNT('Top 15'!$B$35:$E$35)&lt;&gt;4,MIN('Top 15'!$B$35:$E$35)&lt;0,SUM('Top 15'!$B$35:$E$35)&lt;=0),"",ROUND(85*(O2128/30*'Top 15'!$B$35+P2128/25*'Top 15'!$C$35+Q2128/25*'Top 15'!$D$35+R2128/5*'Top 15'!$E$35)/SUM('Top 15'!$B$35:$E$35),6))</x:f>
        <x:v>32</x:v>
      </x:c>
      <x:c r="U2128" s="1" t="str">
        <x:f>IF(A2128="","",IF(AND(M2128="Verified",N2128="Verified"),"Verified",IF(AND(M2128="Listed",N2128="Listed"),"Listed","Mixed")))</x:f>
        <x:v>Listed</x:v>
      </x:c>
      <x:c r="V2128" s="1" t="str">
        <x:f>IF(A2128="","",IF(AK2128&lt;&gt;1,"Duplicate source ID",IF(COUNTIFS('Staff Review'!$A$8:$A$507,A2128)&gt;1,"Duplicate review ID",IF(H2128&lt;&gt;"Yes","Outside scope",IF(J2128="Yes","Already served",IF(NOT(ISNUMBER(T2128)),"Missing data","Candidate"))))))</x:f>
        <x:v>Candidate</x:v>
      </x:c>
      <x:c r="W2128" s="1" t="n">
        <x:f>IF(AL2128=0,"",1+COUNTIFS($AL$2051:$AL$2550,1,$T$2051:$T$2550,"&gt;"&amp;T2128)+COUNTIFS($AL$2051:$AL$2550,1,$T$2051:$T$2550,T2128,$G$2051:$G$2550,"&gt;"&amp;G2128)+COUNTIFS($AL$2051:$AL$2550,1,$T$2051:$T$2550,T2128,$G$2051:$G$2550,G2128,$F$2051:$F$2550,"&gt;"&amp;F2128)+COUNTIFS($AL$2051:$AL$2550,1,$T$2051:$T$2550,T2128,$G$2051:$G$2550,G2128,$F$2051:$F$2550,F2128,$AM$2051:$AM$2550,"&lt;"&amp;AM2128))</x:f>
        <x:v>250</x:v>
      </x:c>
      <x:c r="X2128" s="1" t="n">
        <x:f>IF(AL2128=0,"",1+COUNTIFS($AL$2051:$AL$2550,1,$T$2051:$T$2550,"&gt;"&amp;T2128))</x:f>
        <x:v>243</x:v>
      </x:c>
      <x:c r="Y2128" s="1" t="n">
        <x:f>IF(AND(H2128="Yes",OR(LEN('School Search'!$B$5)=0,ISNUMBER(SEARCH('School Search'!$B$5,B2128&amp;" "&amp;E2128&amp;" "&amp;A2128))),OR('School Search'!$D$5="All",C2128='School Search'!$D$5),OR('School Search'!$G$5="All eligible",AND('School Search'!$G$5="Not marked served",J2128&lt;&gt;"Yes"),AND('School Search'!$G$5="Missing data",V2128="Missing data"),AND('School Search'!$G$5="Marked served",J2128="Yes"))),1,0)</x:f>
        <x:v>1</x:v>
      </x:c>
      <x:c r="Z2128" s="1" t="n">
        <x:f>IF(Y2128=0,"",COUNTIFS($Y$2051:$Y$2550,1,$AO$2051:$AO$2550,"&lt;"&amp;AO2128)+COUNTIFS($Y$2051:Y2128,1,$AO$2051:AO2128,AO2128))</x:f>
        <x:v>250</x:v>
      </x:c>
      <x:c r="AA2128" s="1" t="str">
        <x:f>IF(NOT(ISNUMBER(S2128)),"Missing demographic or access input",TEXT(G2128,"0%")&amp;" economic need; "&amp;TEXT(K2128,"0.00")&amp;" mi fresh access; "&amp;L2128&amp;" nearby resources")</x:f>
        <x:v>63% economic need; 0.54 mi fresh access; 9 nearby resources</x:v>
      </x:c>
      <x:c r="AB2128" s="1" t="n">
        <x:f>IF(OR(A2128="",COUNTIFS($A$1531:$A$2030,A2128)&lt;&gt;1),0,MATCH(A2128,$A$1531:$A$2030,0))</x:f>
        <x:v>78</x:v>
      </x:c>
      <x:c r="AC2128" s="1" t="str">
        <x:f>IF(AB2128=0,"",INDEX($E$1531:$E$2030,AB2128))</x:f>
        <x:v>Cousin's Fresh Market 2 Inc</x:v>
      </x:c>
      <x:c r="AD2128" s="1" t="str">
        <x:f>IF(AB2128=0,"",INDEX($F$1531:$F$2030,AB2128))</x:f>
        <x:v>5429 W Girard Ave, Philadelphia, PA, 19131</x:v>
      </x:c>
      <x:c r="AE2128" s="1" t="str">
        <x:f>IF(A2128="","",F79)</x:f>
        <x:v>1301 BELMONT AVE</x:v>
      </x:c>
      <x:c r="AF2128" s="1" t="n">
        <x:f>IF(ISNUMBER(I79),I79,"")</x:f>
        <x:v>39.97475234</x:v>
      </x:c>
      <x:c r="AG2128" s="1" t="n">
        <x:f>IF(ISNUMBER(J79),J79,"")</x:f>
        <x:v>-75.21252924</x:v>
      </x:c>
      <x:c r="AH2128" s="1" t="str">
        <x:f>IF(I2128=0,"Not contacted",IF(INDEX('Staff Review'!$J$8:$J$507,I2128)="","Not contacted",INDEX('Staff Review'!$J$8:$J$507,I2128)))</x:f>
        <x:v>Not contacted</x:v>
      </x:c>
      <x:c r="AI2128" s="1" t="str">
        <x:f>IF(I2128=0,"No",IF(AND(COUNT(INDEX('Staff Review'!$D$8:$D$507,I2128))=1,INDEX('Staff Review'!$D$8:$D$507,I2128)&gt;=0,COUNT(INDEX('Staff Review'!$E$8:$E$507,I2128))=1,INDEX('Staff Review'!$E$8:$E$507,I2128)&gt;0,INDEX('Staff Review'!$E$8:$E$507,I2128)&lt;='Top 15'!$E$5,'Top 15'!$E$5-INDEX('Staff Review'!$E$8:$E$507,I2128)&lt;='Top 15'!$H$5,LEN(INDEX('Staff Review'!$H$8:$H$507,I2128))&gt;0),"Yes","No"))</x:f>
        <x:v>No</x:v>
      </x:c>
      <x:c r="AJ2128" s="1" t="str">
        <x:f>IF(I2128=0,"No",IF(COUNT(INDEX('Staff Review'!$F$8:$F$507,I2128))&lt;&gt;1,"No",IF(AND(INDEX('Staff Review'!$F$8:$F$507,I2128)&gt;=0,MOD(INDEX('Staff Review'!$F$8:$F$507,I2128),1)=0,COUNT(INDEX('Staff Review'!$G$8:$G$507,I2128))=1,INDEX('Staff Review'!$G$8:$G$507,I2128)&gt;0,INDEX('Staff Review'!$G$8:$G$507,I2128)&lt;='Top 15'!$E$5,'Top 15'!$E$5-INDEX('Staff Review'!$G$8:$G$507,I2128)&lt;='Top 15'!$H$5,LEN(INDEX('Staff Review'!$H$8:$H$507,I2128))&gt;0),"Yes","No")))</x:f>
        <x:v>No</x:v>
      </x:c>
      <x:c r="AK2128" s="1" t="n">
        <x:f>IF(A2128="",0,COUNTIFS($A$2:$A$501,A2128))</x:f>
        <x:v>1</x:v>
      </x:c>
      <x:c r="AL2128" s="1" t="n">
        <x:f>IF(V2128="Candidate",1,0)</x:f>
        <x:v>1</x:v>
      </x:c>
      <x:c r="AM2128" s="1" t="n">
        <x:f>IF(A2128="",0,VALUE(A2128))</x:f>
        <x:v>3308</x:v>
      </x:c>
      <x:c r="AN2128" s="1" t="n">
        <x:f>IF(OR(A2128="",COUNTIFS($T$41:$T$540,A2128)&lt;&gt;1),0,MATCH(A2128,$T$41:$T$540,0))</x:f>
        <x:v>78</x:v>
      </x:c>
      <x:c r="AO2128" t="n">
        <x:f>IF(ISNUMBER(W2128),W2128,10000+AM2128)</x:f>
        <x:v>250</x:v>
      </x:c>
    </x:row>
    <x:row r="2129" ht="22" customHeight="1">
      <x:c r="A2129" s="1" t="str">
        <x:f>IF(A80="","",A80)</x:f>
        <x:v>3309</x:v>
      </x:c>
      <x:c r="B2129" s="1" t="str">
        <x:f>IF(A2129="","",B80)</x:f>
        <x:v>Imhotep Institute Charter High School</x:v>
      </x:c>
      <x:c r="C2129" s="1" t="str">
        <x:f>IF(A2129="","",C80)</x:f>
        <x:v>Charter</x:v>
      </x:c>
      <x:c r="D2129" s="1" t="str">
        <x:f>IF(A2129="","",E80)</x:f>
        <x:v>High</x:v>
      </x:c>
      <x:c r="E2129" s="1" t="str">
        <x:f>IF(A2129="","",H80)</x:f>
        <x:v>19138</x:v>
      </x:c>
      <x:c r="F2129" s="1" t="n">
        <x:f>IF(ISNUMBER(K80),K80,"")</x:f>
        <x:v>604</x:v>
      </x:c>
      <x:c r="G2129" s="1" t="n">
        <x:f>IF(ISNUMBER(L80),L80,"")</x:f>
        <x:v>0.796</x:v>
      </x:c>
      <x:c r="H2129" s="1" t="str">
        <x:f>IF(A2129="","",IF(AND(UPPER(G80)="PHILADELPHIA",OR(C2129="District",AND(C2129="Charter",D80="Yes"))),"Yes","No"))</x:f>
        <x:v>Yes</x:v>
      </x:c>
      <x:c r="I2129" s="1" t="n">
        <x:f>IF(OR(A2129="",COUNTIFS('Staff Review'!$A$8:$A$507,A2129)&lt;&gt;1),0,MATCH(A2129,'Staff Review'!$A$8:$A$507,0))</x:f>
        <x:v>119</x:v>
      </x:c>
      <x:c r="J2129" s="1" t="str">
        <x:f>IF(I2129=0,"No",IF(INDEX('Staff Review'!$C$8:$C$507,I2129)="Yes","Yes","No"))</x:f>
        <x:v>No</x:v>
      </x:c>
      <x:c r="K2129" s="1" t="n">
        <x:f>IF(AI2129="Yes",INDEX('Staff Review'!$D$8:$D$507,I2129),IF(AB2129=0,"",IF(COUNT(INDEX($C$1531:$C$2030,AB2129))=1,INDEX($C$1531:$C$2030,AB2129),"")))</x:f>
        <x:v>0.5669685471256715</x:v>
      </x:c>
      <x:c r="L2129" s="1" t="n">
        <x:f>IF(AJ2129="Yes",INDEX('Staff Review'!$F$8:$F$507,I2129),IF(AB2129=0,"",IF(COUNT(INDEX($G$1531:$G$2030,AB2129))=1,INDEX($G$1531:$G$2030,AB2129),"")))</x:f>
        <x:v>13</x:v>
      </x:c>
      <x:c r="M2129" s="1" t="str">
        <x:f>IF(A2129="","",IF(AI2129="Yes","Verified","Listed"))</x:f>
        <x:v>Listed</x:v>
      </x:c>
      <x:c r="N2129" s="1" t="str">
        <x:f>IF(A2129="","",IF(AJ2129="Yes","Verified","Listed"))</x:f>
        <x:v>Listed</x:v>
      </x:c>
      <x:c r="O2129" s="1" t="n">
        <x:f>IF(AND(ISNUMBER(G2129),G2129&gt;=0,G2129&lt;=1),IF(G2129&gt;=0.9,30,IF(G2129&gt;=0.8,25,IF(G2129&gt;=0.7,20,IF(G2129&gt;=0.6,15,IF(G2129&gt;=0.5,10,IF(G2129&gt;=0.4,5,0)))))),"")</x:f>
        <x:v>20</x:v>
      </x:c>
      <x:c r="P2129" s="1" t="n">
        <x:f>IF(ISNUMBER(K2129),IF(K2129&lt;0,"",IF(K2129&gt;1,25,IF(K2129&gt;=0.75,20,IF(K2129&gt;=0.5,15,IF(K2129&gt;=0.25,10,5))))),"")</x:f>
        <x:v>15</x:v>
      </x:c>
      <x:c r="Q2129" s="1" t="n">
        <x:f>IF(NOT(ISNUMBER(L2129)),"",IF(AND(L2129&gt;=0,MOD(L2129,1)=0),MAX(0,25-5*L2129),""))</x:f>
        <x:v>0</x:v>
      </x:c>
      <x:c r="R2129" s="1" t="n">
        <x:f>IF(NOT(ISNUMBER(F2129)),"",IF(AND(F2129&gt;0,MOD(F2129,1)=0),IF(F2129&gt;=700,5,IF(F2129&gt;=500,4,IF(F2129&gt;=350,3,IF(F2129&gt;=200,2,1)))),""))</x:f>
        <x:v>4</x:v>
      </x:c>
      <x:c r="S2129" s="1" t="n">
        <x:f>IF(COUNT(O2129:R2129)=4,SUM(O2129:R2129),"")</x:f>
        <x:v>39</x:v>
      </x:c>
      <x:c r="T2129" s="1" t="n">
        <x:f>IF(OR(COUNT(O2129:R2129)&lt;&gt;4,COUNT('Top 15'!$B$35:$E$35)&lt;&gt;4,MIN('Top 15'!$B$35:$E$35)&lt;0,SUM('Top 15'!$B$35:$E$35)&lt;=0),"",ROUND(85*(O2129/30*'Top 15'!$B$35+P2129/25*'Top 15'!$C$35+Q2129/25*'Top 15'!$D$35+R2129/5*'Top 15'!$E$35)/SUM('Top 15'!$B$35:$E$35),6))</x:f>
        <x:v>39</x:v>
      </x:c>
      <x:c r="U2129" s="1" t="str">
        <x:f>IF(A2129="","",IF(AND(M2129="Verified",N2129="Verified"),"Verified",IF(AND(M2129="Listed",N2129="Listed"),"Listed","Mixed")))</x:f>
        <x:v>Listed</x:v>
      </x:c>
      <x:c r="V2129" s="1" t="str">
        <x:f>IF(A2129="","",IF(AK2129&lt;&gt;1,"Duplicate source ID",IF(COUNTIFS('Staff Review'!$A$8:$A$507,A2129)&gt;1,"Duplicate review ID",IF(H2129&lt;&gt;"Yes","Outside scope",IF(J2129="Yes","Already served",IF(NOT(ISNUMBER(T2129)),"Missing data","Candidate"))))))</x:f>
        <x:v>Candidate</x:v>
      </x:c>
      <x:c r="W2129" s="1" t="n">
        <x:f>IF(AL2129=0,"",1+COUNTIFS($AL$2051:$AL$2550,1,$T$2051:$T$2550,"&gt;"&amp;T2129)+COUNTIFS($AL$2051:$AL$2550,1,$T$2051:$T$2550,T2129,$G$2051:$G$2550,"&gt;"&amp;G2129)+COUNTIFS($AL$2051:$AL$2550,1,$T$2051:$T$2550,T2129,$G$2051:$G$2550,G2129,$F$2051:$F$2550,"&gt;"&amp;F2129)+COUNTIFS($AL$2051:$AL$2550,1,$T$2051:$T$2550,T2129,$G$2051:$G$2550,G2129,$F$2051:$F$2550,F2129,$AM$2051:$AM$2550,"&lt;"&amp;AM2129))</x:f>
        <x:v>160</x:v>
      </x:c>
      <x:c r="X2129" s="1" t="n">
        <x:f>IF(AL2129=0,"",1+COUNTIFS($AL$2051:$AL$2550,1,$T$2051:$T$2550,"&gt;"&amp;T2129))</x:f>
        <x:v>148</x:v>
      </x:c>
      <x:c r="Y2129" s="1" t="n">
        <x:f>IF(AND(H2129="Yes",OR(LEN('School Search'!$B$5)=0,ISNUMBER(SEARCH('School Search'!$B$5,B2129&amp;" "&amp;E2129&amp;" "&amp;A2129))),OR('School Search'!$D$5="All",C2129='School Search'!$D$5),OR('School Search'!$G$5="All eligible",AND('School Search'!$G$5="Not marked served",J2129&lt;&gt;"Yes"),AND('School Search'!$G$5="Missing data",V2129="Missing data"),AND('School Search'!$G$5="Marked served",J2129="Yes"))),1,0)</x:f>
        <x:v>1</x:v>
      </x:c>
      <x:c r="Z2129" s="1" t="n">
        <x:f>IF(Y2129=0,"",COUNTIFS($Y$2051:$Y$2550,1,$AO$2051:$AO$2550,"&lt;"&amp;AO2129)+COUNTIFS($Y$2051:Y2129,1,$AO$2051:AO2129,AO2129))</x:f>
        <x:v>160</x:v>
      </x:c>
      <x:c r="AA2129" s="1" t="str">
        <x:f>IF(NOT(ISNUMBER(S2129)),"Missing demographic or access input",TEXT(G2129,"0%")&amp;" economic need; "&amp;TEXT(K2129,"0.00")&amp;" mi fresh access; "&amp;L2129&amp;" nearby resources")</x:f>
        <x:v>80% economic need; 0.57 mi fresh access; 13 nearby resources</x:v>
      </x:c>
      <x:c r="AB2129" s="1" t="n">
        <x:f>IF(OR(A2129="",COUNTIFS($A$1531:$A$2030,A2129)&lt;&gt;1),0,MATCH(A2129,$A$1531:$A$2030,0))</x:f>
        <x:v>79</x:v>
      </x:c>
      <x:c r="AC2129" s="1" t="str">
        <x:f>IF(AB2129=0,"",INDEX($E$1531:$E$2030,AB2129))</x:f>
        <x:v>THE FRESH GROCER</x:v>
      </x:c>
      <x:c r="AD2129" s="1" t="str">
        <x:f>IF(AB2129=0,"",INDEX($F$1531:$F$2030,AB2129))</x:f>
        <x:v>5301 Chew Ave, Philadelphia, PA, 19138</x:v>
      </x:c>
      <x:c r="AE2129" s="1" t="str">
        <x:f>IF(A2129="","",F80)</x:f>
        <x:v>6201 N 21ST ST</x:v>
      </x:c>
      <x:c r="AF2129" s="1" t="n">
        <x:f>IF(ISNUMBER(I80),I80,"")</x:f>
        <x:v>40.049427</x:v>
      </x:c>
      <x:c r="AG2129" s="1" t="n">
        <x:f>IF(ISNUMBER(J80),J80,"")</x:f>
        <x:v>-75.154717</x:v>
      </x:c>
      <x:c r="AH2129" s="1" t="str">
        <x:f>IF(I2129=0,"Not contacted",IF(INDEX('Staff Review'!$J$8:$J$507,I2129)="","Not contacted",INDEX('Staff Review'!$J$8:$J$507,I2129)))</x:f>
        <x:v>Not contacted</x:v>
      </x:c>
      <x:c r="AI2129" s="1" t="str">
        <x:f>IF(I2129=0,"No",IF(AND(COUNT(INDEX('Staff Review'!$D$8:$D$507,I2129))=1,INDEX('Staff Review'!$D$8:$D$507,I2129)&gt;=0,COUNT(INDEX('Staff Review'!$E$8:$E$507,I2129))=1,INDEX('Staff Review'!$E$8:$E$507,I2129)&gt;0,INDEX('Staff Review'!$E$8:$E$507,I2129)&lt;='Top 15'!$E$5,'Top 15'!$E$5-INDEX('Staff Review'!$E$8:$E$507,I2129)&lt;='Top 15'!$H$5,LEN(INDEX('Staff Review'!$H$8:$H$507,I2129))&gt;0),"Yes","No"))</x:f>
        <x:v>No</x:v>
      </x:c>
      <x:c r="AJ2129" s="1" t="str">
        <x:f>IF(I2129=0,"No",IF(COUNT(INDEX('Staff Review'!$F$8:$F$507,I2129))&lt;&gt;1,"No",IF(AND(INDEX('Staff Review'!$F$8:$F$507,I2129)&gt;=0,MOD(INDEX('Staff Review'!$F$8:$F$507,I2129),1)=0,COUNT(INDEX('Staff Review'!$G$8:$G$507,I2129))=1,INDEX('Staff Review'!$G$8:$G$507,I2129)&gt;0,INDEX('Staff Review'!$G$8:$G$507,I2129)&lt;='Top 15'!$E$5,'Top 15'!$E$5-INDEX('Staff Review'!$G$8:$G$507,I2129)&lt;='Top 15'!$H$5,LEN(INDEX('Staff Review'!$H$8:$H$507,I2129))&gt;0),"Yes","No")))</x:f>
        <x:v>No</x:v>
      </x:c>
      <x:c r="AK2129" s="1" t="n">
        <x:f>IF(A2129="",0,COUNTIFS($A$2:$A$501,A2129))</x:f>
        <x:v>1</x:v>
      </x:c>
      <x:c r="AL2129" s="1" t="n">
        <x:f>IF(V2129="Candidate",1,0)</x:f>
        <x:v>1</x:v>
      </x:c>
      <x:c r="AM2129" s="1" t="n">
        <x:f>IF(A2129="",0,VALUE(A2129))</x:f>
        <x:v>3309</x:v>
      </x:c>
      <x:c r="AN2129" s="1" t="n">
        <x:f>IF(OR(A2129="",COUNTIFS($T$41:$T$540,A2129)&lt;&gt;1),0,MATCH(A2129,$T$41:$T$540,0))</x:f>
        <x:v>79</x:v>
      </x:c>
      <x:c r="AO2129" t="n">
        <x:f>IF(ISNUMBER(W2129),W2129,10000+AM2129)</x:f>
        <x:v>160</x:v>
      </x:c>
    </x:row>
    <x:row r="2130" ht="22" customHeight="1">
      <x:c r="A2130" s="1" t="str">
        <x:f>IF(A81="","",A81)</x:f>
        <x:v>3310</x:v>
      </x:c>
      <x:c r="B2130" s="1" t="str">
        <x:f>IF(A2130="","",B81)</x:f>
        <x:v>Laboratory Charter School of Communication and Languages</x:v>
      </x:c>
      <x:c r="C2130" s="1" t="str">
        <x:f>IF(A2130="","",C81)</x:f>
        <x:v>Charter</x:v>
      </x:c>
      <x:c r="D2130" s="1" t="str">
        <x:f>IF(A2130="","",E81)</x:f>
        <x:v>Elementary-Middle</x:v>
      </x:c>
      <x:c r="E2130" s="1" t="str">
        <x:f>IF(A2130="","",H81)</x:f>
        <x:v>19140</x:v>
      </x:c>
      <x:c r="F2130" s="1" t="n">
        <x:f>IF(ISNUMBER(K81),K81,"")</x:f>
        <x:v>375</x:v>
      </x:c>
      <x:c r="G2130" s="1" t="n">
        <x:f>IF(ISNUMBER(L81),L81,"")</x:f>
        <x:v>0.8611</x:v>
      </x:c>
      <x:c r="H2130" s="1" t="str">
        <x:f>IF(A2130="","",IF(AND(UPPER(G81)="PHILADELPHIA",OR(C2130="District",AND(C2130="Charter",D81="Yes"))),"Yes","No"))</x:f>
        <x:v>Yes</x:v>
      </x:c>
      <x:c r="I2130" s="1" t="n">
        <x:f>IF(OR(A2130="",COUNTIFS('Staff Review'!$A$8:$A$507,A2130)&lt;&gt;1),0,MATCH(A2130,'Staff Review'!$A$8:$A$507,0))</x:f>
        <x:v>166</x:v>
      </x:c>
      <x:c r="J2130" s="1" t="str">
        <x:f>IF(I2130=0,"No",IF(INDEX('Staff Review'!$C$8:$C$507,I2130)="Yes","Yes","No"))</x:f>
        <x:v>No</x:v>
      </x:c>
      <x:c r="K2130" s="1" t="n">
        <x:f>IF(AI2130="Yes",INDEX('Staff Review'!$D$8:$D$507,I2130),IF(AB2130=0,"",IF(COUNT(INDEX($C$1531:$C$2030,AB2130))=1,INDEX($C$1531:$C$2030,AB2130),"")))</x:f>
        <x:v>0.4926131971074626</x:v>
      </x:c>
      <x:c r="L2130" s="1" t="n">
        <x:f>IF(AJ2130="Yes",INDEX('Staff Review'!$F$8:$F$507,I2130),IF(AB2130=0,"",IF(COUNT(INDEX($G$1531:$G$2030,AB2130))=1,INDEX($G$1531:$G$2030,AB2130),"")))</x:f>
        <x:v>10</x:v>
      </x:c>
      <x:c r="M2130" s="1" t="str">
        <x:f>IF(A2130="","",IF(AI2130="Yes","Verified","Listed"))</x:f>
        <x:v>Listed</x:v>
      </x:c>
      <x:c r="N2130" s="1" t="str">
        <x:f>IF(A2130="","",IF(AJ2130="Yes","Verified","Listed"))</x:f>
        <x:v>Listed</x:v>
      </x:c>
      <x:c r="O2130" s="1" t="n">
        <x:f>IF(AND(ISNUMBER(G2130),G2130&gt;=0,G2130&lt;=1),IF(G2130&gt;=0.9,30,IF(G2130&gt;=0.8,25,IF(G2130&gt;=0.7,20,IF(G2130&gt;=0.6,15,IF(G2130&gt;=0.5,10,IF(G2130&gt;=0.4,5,0)))))),"")</x:f>
        <x:v>25</x:v>
      </x:c>
      <x:c r="P2130" s="1" t="n">
        <x:f>IF(ISNUMBER(K2130),IF(K2130&lt;0,"",IF(K2130&gt;1,25,IF(K2130&gt;=0.75,20,IF(K2130&gt;=0.5,15,IF(K2130&gt;=0.25,10,5))))),"")</x:f>
        <x:v>10</x:v>
      </x:c>
      <x:c r="Q2130" s="1" t="n">
        <x:f>IF(NOT(ISNUMBER(L2130)),"",IF(AND(L2130&gt;=0,MOD(L2130,1)=0),MAX(0,25-5*L2130),""))</x:f>
        <x:v>0</x:v>
      </x:c>
      <x:c r="R2130" s="1" t="n">
        <x:f>IF(NOT(ISNUMBER(F2130)),"",IF(AND(F2130&gt;0,MOD(F2130,1)=0),IF(F2130&gt;=700,5,IF(F2130&gt;=500,4,IF(F2130&gt;=350,3,IF(F2130&gt;=200,2,1)))),""))</x:f>
        <x:v>3</x:v>
      </x:c>
      <x:c r="S2130" s="1" t="n">
        <x:f>IF(COUNT(O2130:R2130)=4,SUM(O2130:R2130),"")</x:f>
        <x:v>38</x:v>
      </x:c>
      <x:c r="T2130" s="1" t="n">
        <x:f>IF(OR(COUNT(O2130:R2130)&lt;&gt;4,COUNT('Top 15'!$B$35:$E$35)&lt;&gt;4,MIN('Top 15'!$B$35:$E$35)&lt;0,SUM('Top 15'!$B$35:$E$35)&lt;=0),"",ROUND(85*(O2130/30*'Top 15'!$B$35+P2130/25*'Top 15'!$C$35+Q2130/25*'Top 15'!$D$35+R2130/5*'Top 15'!$E$35)/SUM('Top 15'!$B$35:$E$35),6))</x:f>
        <x:v>38</x:v>
      </x:c>
      <x:c r="U2130" s="1" t="str">
        <x:f>IF(A2130="","",IF(AND(M2130="Verified",N2130="Verified"),"Verified",IF(AND(M2130="Listed",N2130="Listed"),"Listed","Mixed")))</x:f>
        <x:v>Listed</x:v>
      </x:c>
      <x:c r="V2130" s="1" t="str">
        <x:f>IF(A2130="","",IF(AK2130&lt;&gt;1,"Duplicate source ID",IF(COUNTIFS('Staff Review'!$A$8:$A$507,A2130)&gt;1,"Duplicate review ID",IF(H2130&lt;&gt;"Yes","Outside scope",IF(J2130="Yes","Already served",IF(NOT(ISNUMBER(T2130)),"Missing data","Candidate"))))))</x:f>
        <x:v>Candidate</x:v>
      </x:c>
      <x:c r="W2130" s="1" t="n">
        <x:f>IF(AL2130=0,"",1+COUNTIFS($AL$2051:$AL$2550,1,$T$2051:$T$2550,"&gt;"&amp;T2130)+COUNTIFS($AL$2051:$AL$2550,1,$T$2051:$T$2550,T2130,$G$2051:$G$2550,"&gt;"&amp;G2130)+COUNTIFS($AL$2051:$AL$2550,1,$T$2051:$T$2550,T2130,$G$2051:$G$2550,G2130,$F$2051:$F$2550,"&gt;"&amp;F2130)+COUNTIFS($AL$2051:$AL$2550,1,$T$2051:$T$2550,T2130,$G$2051:$G$2550,G2130,$F$2051:$F$2550,F2130,$AM$2051:$AM$2550,"&lt;"&amp;AM2130))</x:f>
        <x:v>174</x:v>
      </x:c>
      <x:c r="X2130" s="1" t="n">
        <x:f>IF(AL2130=0,"",1+COUNTIFS($AL$2051:$AL$2550,1,$T$2051:$T$2550,"&gt;"&amp;T2130))</x:f>
        <x:v>166</x:v>
      </x:c>
      <x:c r="Y2130" s="1" t="n">
        <x:f>IF(AND(H2130="Yes",OR(LEN('School Search'!$B$5)=0,ISNUMBER(SEARCH('School Search'!$B$5,B2130&amp;" "&amp;E2130&amp;" "&amp;A2130))),OR('School Search'!$D$5="All",C2130='School Search'!$D$5),OR('School Search'!$G$5="All eligible",AND('School Search'!$G$5="Not marked served",J2130&lt;&gt;"Yes"),AND('School Search'!$G$5="Missing data",V2130="Missing data"),AND('School Search'!$G$5="Marked served",J2130="Yes"))),1,0)</x:f>
        <x:v>1</x:v>
      </x:c>
      <x:c r="Z2130" s="1" t="n">
        <x:f>IF(Y2130=0,"",COUNTIFS($Y$2051:$Y$2550,1,$AO$2051:$AO$2550,"&lt;"&amp;AO2130)+COUNTIFS($Y$2051:Y2130,1,$AO$2051:AO2130,AO2130))</x:f>
        <x:v>174</x:v>
      </x:c>
      <x:c r="AA2130" s="1" t="str">
        <x:f>IF(NOT(ISNUMBER(S2130)),"Missing demographic or access input",TEXT(G2130,"0%")&amp;" economic need; "&amp;TEXT(K2130,"0.00")&amp;" mi fresh access; "&amp;L2130&amp;" nearby resources")</x:f>
        <x:v>86% economic need; 0.49 mi fresh access; 10 nearby resources</x:v>
      </x:c>
      <x:c r="AB2130" s="1" t="n">
        <x:f>IF(OR(A2130="",COUNTIFS($A$1531:$A$2030,A2130)&lt;&gt;1),0,MATCH(A2130,$A$1531:$A$2030,0))</x:f>
        <x:v>80</x:v>
      </x:c>
      <x:c r="AC2130" s="1" t="str">
        <x:f>IF(AB2130=0,"",INDEX($E$1531:$E$2030,AB2130))</x:f>
        <x:v>Save A Lot 60136</x:v>
      </x:c>
      <x:c r="AD2130" s="1" t="str">
        <x:f>IF(AB2130=0,"",INDEX($F$1531:$F$2030,AB2130))</x:f>
        <x:v>400 W Allegheny Ave, Philadelphia, PA, 19133</x:v>
      </x:c>
      <x:c r="AE2130" s="1" t="str">
        <x:f>IF(A2130="","",F81)</x:f>
        <x:v>926 W SEDGLEY AVE</x:v>
      </x:c>
      <x:c r="AF2130" s="1" t="n">
        <x:f>IF(ISNUMBER(I81),I81,"")</x:f>
        <x:v>40.001404</x:v>
      </x:c>
      <x:c r="AG2130" s="1" t="n">
        <x:f>IF(ISNUMBER(J81),J81,"")</x:f>
        <x:v>-75.145662</x:v>
      </x:c>
      <x:c r="AH2130" s="1" t="str">
        <x:f>IF(I2130=0,"Not contacted",IF(INDEX('Staff Review'!$J$8:$J$507,I2130)="","Not contacted",INDEX('Staff Review'!$J$8:$J$507,I2130)))</x:f>
        <x:v>Not contacted</x:v>
      </x:c>
      <x:c r="AI2130" s="1" t="str">
        <x:f>IF(I2130=0,"No",IF(AND(COUNT(INDEX('Staff Review'!$D$8:$D$507,I2130))=1,INDEX('Staff Review'!$D$8:$D$507,I2130)&gt;=0,COUNT(INDEX('Staff Review'!$E$8:$E$507,I2130))=1,INDEX('Staff Review'!$E$8:$E$507,I2130)&gt;0,INDEX('Staff Review'!$E$8:$E$507,I2130)&lt;='Top 15'!$E$5,'Top 15'!$E$5-INDEX('Staff Review'!$E$8:$E$507,I2130)&lt;='Top 15'!$H$5,LEN(INDEX('Staff Review'!$H$8:$H$507,I2130))&gt;0),"Yes","No"))</x:f>
        <x:v>No</x:v>
      </x:c>
      <x:c r="AJ2130" s="1" t="str">
        <x:f>IF(I2130=0,"No",IF(COUNT(INDEX('Staff Review'!$F$8:$F$507,I2130))&lt;&gt;1,"No",IF(AND(INDEX('Staff Review'!$F$8:$F$507,I2130)&gt;=0,MOD(INDEX('Staff Review'!$F$8:$F$507,I2130),1)=0,COUNT(INDEX('Staff Review'!$G$8:$G$507,I2130))=1,INDEX('Staff Review'!$G$8:$G$507,I2130)&gt;0,INDEX('Staff Review'!$G$8:$G$507,I2130)&lt;='Top 15'!$E$5,'Top 15'!$E$5-INDEX('Staff Review'!$G$8:$G$507,I2130)&lt;='Top 15'!$H$5,LEN(INDEX('Staff Review'!$H$8:$H$507,I2130))&gt;0),"Yes","No")))</x:f>
        <x:v>No</x:v>
      </x:c>
      <x:c r="AK2130" s="1" t="n">
        <x:f>IF(A2130="",0,COUNTIFS($A$2:$A$501,A2130))</x:f>
        <x:v>1</x:v>
      </x:c>
      <x:c r="AL2130" s="1" t="n">
        <x:f>IF(V2130="Candidate",1,0)</x:f>
        <x:v>1</x:v>
      </x:c>
      <x:c r="AM2130" s="1" t="n">
        <x:f>IF(A2130="",0,VALUE(A2130))</x:f>
        <x:v>3310</x:v>
      </x:c>
      <x:c r="AN2130" s="1" t="n">
        <x:f>IF(OR(A2130="",COUNTIFS($T$41:$T$540,A2130)&lt;&gt;1),0,MATCH(A2130,$T$41:$T$540,0))</x:f>
        <x:v>80</x:v>
      </x:c>
      <x:c r="AO2130" t="n">
        <x:f>IF(ISNUMBER(W2130),W2130,10000+AM2130)</x:f>
        <x:v>174</x:v>
      </x:c>
    </x:row>
    <x:row r="2131" ht="22" customHeight="1">
      <x:c r="A2131" s="1" t="str">
        <x:f>IF(A82="","",A82)</x:f>
        <x:v>3312</x:v>
      </x:c>
      <x:c r="B2131" s="1" t="str">
        <x:f>IF(A2131="","",B82)</x:f>
        <x:v>Multicultural Academy Charter School</x:v>
      </x:c>
      <x:c r="C2131" s="1" t="str">
        <x:f>IF(A2131="","",C82)</x:f>
        <x:v>Charter</x:v>
      </x:c>
      <x:c r="D2131" s="1" t="str">
        <x:f>IF(A2131="","",E82)</x:f>
        <x:v>High</x:v>
      </x:c>
      <x:c r="E2131" s="1" t="str">
        <x:f>IF(A2131="","",H82)</x:f>
        <x:v>19140</x:v>
      </x:c>
      <x:c r="F2131" s="1" t="n">
        <x:f>IF(ISNUMBER(K82),K82,"")</x:f>
        <x:v>261</x:v>
      </x:c>
      <x:c r="G2131" s="1" t="n">
        <x:f>IF(ISNUMBER(L82),L82,"")</x:f>
        <x:v>0.6896</x:v>
      </x:c>
      <x:c r="H2131" s="1" t="str">
        <x:f>IF(A2131="","",IF(AND(UPPER(G82)="PHILADELPHIA",OR(C2131="District",AND(C2131="Charter",D82="Yes"))),"Yes","No"))</x:f>
        <x:v>Yes</x:v>
      </x:c>
      <x:c r="I2131" s="1" t="n">
        <x:f>IF(OR(A2131="",COUNTIFS('Staff Review'!$A$8:$A$507,A2131)&lt;&gt;1),0,MATCH(A2131,'Staff Review'!$A$8:$A$507,0))</x:f>
        <x:v>202</x:v>
      </x:c>
      <x:c r="J2131" s="1" t="str">
        <x:f>IF(I2131=0,"No",IF(INDEX('Staff Review'!$C$8:$C$507,I2131)="Yes","Yes","No"))</x:f>
        <x:v>No</x:v>
      </x:c>
      <x:c r="K2131" s="1" t="n">
        <x:f>IF(AI2131="Yes",INDEX('Staff Review'!$D$8:$D$507,I2131),IF(AB2131=0,"",IF(COUNT(INDEX($C$1531:$C$2030,AB2131))=1,INDEX($C$1531:$C$2030,AB2131),"")))</x:f>
        <x:v>0.6981995919796609</x:v>
      </x:c>
      <x:c r="L2131" s="1" t="n">
        <x:f>IF(AJ2131="Yes",INDEX('Staff Review'!$F$8:$F$507,I2131),IF(AB2131=0,"",IF(COUNT(INDEX($G$1531:$G$2030,AB2131))=1,INDEX($G$1531:$G$2030,AB2131),"")))</x:f>
        <x:v>9</x:v>
      </x:c>
      <x:c r="M2131" s="1" t="str">
        <x:f>IF(A2131="","",IF(AI2131="Yes","Verified","Listed"))</x:f>
        <x:v>Listed</x:v>
      </x:c>
      <x:c r="N2131" s="1" t="str">
        <x:f>IF(A2131="","",IF(AJ2131="Yes","Verified","Listed"))</x:f>
        <x:v>Listed</x:v>
      </x:c>
      <x:c r="O2131" s="1" t="n">
        <x:f>IF(AND(ISNUMBER(G2131),G2131&gt;=0,G2131&lt;=1),IF(G2131&gt;=0.9,30,IF(G2131&gt;=0.8,25,IF(G2131&gt;=0.7,20,IF(G2131&gt;=0.6,15,IF(G2131&gt;=0.5,10,IF(G2131&gt;=0.4,5,0)))))),"")</x:f>
        <x:v>15</x:v>
      </x:c>
      <x:c r="P2131" s="1" t="n">
        <x:f>IF(ISNUMBER(K2131),IF(K2131&lt;0,"",IF(K2131&gt;1,25,IF(K2131&gt;=0.75,20,IF(K2131&gt;=0.5,15,IF(K2131&gt;=0.25,10,5))))),"")</x:f>
        <x:v>15</x:v>
      </x:c>
      <x:c r="Q2131" s="1" t="n">
        <x:f>IF(NOT(ISNUMBER(L2131)),"",IF(AND(L2131&gt;=0,MOD(L2131,1)=0),MAX(0,25-5*L2131),""))</x:f>
        <x:v>0</x:v>
      </x:c>
      <x:c r="R2131" s="1" t="n">
        <x:f>IF(NOT(ISNUMBER(F2131)),"",IF(AND(F2131&gt;0,MOD(F2131,1)=0),IF(F2131&gt;=700,5,IF(F2131&gt;=500,4,IF(F2131&gt;=350,3,IF(F2131&gt;=200,2,1)))),""))</x:f>
        <x:v>2</x:v>
      </x:c>
      <x:c r="S2131" s="1" t="n">
        <x:f>IF(COUNT(O2131:R2131)=4,SUM(O2131:R2131),"")</x:f>
        <x:v>32</x:v>
      </x:c>
      <x:c r="T2131" s="1" t="n">
        <x:f>IF(OR(COUNT(O2131:R2131)&lt;&gt;4,COUNT('Top 15'!$B$35:$E$35)&lt;&gt;4,MIN('Top 15'!$B$35:$E$35)&lt;0,SUM('Top 15'!$B$35:$E$35)&lt;=0),"",ROUND(85*(O2131/30*'Top 15'!$B$35+P2131/25*'Top 15'!$C$35+Q2131/25*'Top 15'!$D$35+R2131/5*'Top 15'!$E$35)/SUM('Top 15'!$B$35:$E$35),6))</x:f>
        <x:v>32</x:v>
      </x:c>
      <x:c r="U2131" s="1" t="str">
        <x:f>IF(A2131="","",IF(AND(M2131="Verified",N2131="Verified"),"Verified",IF(AND(M2131="Listed",N2131="Listed"),"Listed","Mixed")))</x:f>
        <x:v>Listed</x:v>
      </x:c>
      <x:c r="V2131" s="1" t="str">
        <x:f>IF(A2131="","",IF(AK2131&lt;&gt;1,"Duplicate source ID",IF(COUNTIFS('Staff Review'!$A$8:$A$507,A2131)&gt;1,"Duplicate review ID",IF(H2131&lt;&gt;"Yes","Outside scope",IF(J2131="Yes","Already served",IF(NOT(ISNUMBER(T2131)),"Missing data","Candidate"))))))</x:f>
        <x:v>Candidate</x:v>
      </x:c>
      <x:c r="W2131" s="1" t="n">
        <x:f>IF(AL2131=0,"",1+COUNTIFS($AL$2051:$AL$2550,1,$T$2051:$T$2550,"&gt;"&amp;T2131)+COUNTIFS($AL$2051:$AL$2550,1,$T$2051:$T$2550,T2131,$G$2051:$G$2550,"&gt;"&amp;G2131)+COUNTIFS($AL$2051:$AL$2550,1,$T$2051:$T$2550,T2131,$G$2051:$G$2550,G2131,$F$2051:$F$2550,"&gt;"&amp;F2131)+COUNTIFS($AL$2051:$AL$2550,1,$T$2051:$T$2550,T2131,$G$2051:$G$2550,G2131,$F$2051:$F$2550,F2131,$AM$2051:$AM$2550,"&lt;"&amp;AM2131))</x:f>
        <x:v>249</x:v>
      </x:c>
      <x:c r="X2131" s="1" t="n">
        <x:f>IF(AL2131=0,"",1+COUNTIFS($AL$2051:$AL$2550,1,$T$2051:$T$2550,"&gt;"&amp;T2131))</x:f>
        <x:v>243</x:v>
      </x:c>
      <x:c r="Y2131" s="1" t="n">
        <x:f>IF(AND(H2131="Yes",OR(LEN('School Search'!$B$5)=0,ISNUMBER(SEARCH('School Search'!$B$5,B2131&amp;" "&amp;E2131&amp;" "&amp;A2131))),OR('School Search'!$D$5="All",C2131='School Search'!$D$5),OR('School Search'!$G$5="All eligible",AND('School Search'!$G$5="Not marked served",J2131&lt;&gt;"Yes"),AND('School Search'!$G$5="Missing data",V2131="Missing data"),AND('School Search'!$G$5="Marked served",J2131="Yes"))),1,0)</x:f>
        <x:v>1</x:v>
      </x:c>
      <x:c r="Z2131" s="1" t="n">
        <x:f>IF(Y2131=0,"",COUNTIFS($Y$2051:$Y$2550,1,$AO$2051:$AO$2550,"&lt;"&amp;AO2131)+COUNTIFS($Y$2051:Y2131,1,$AO$2051:AO2131,AO2131))</x:f>
        <x:v>249</x:v>
      </x:c>
      <x:c r="AA2131" s="1" t="str">
        <x:f>IF(NOT(ISNUMBER(S2131)),"Missing demographic or access input",TEXT(G2131,"0%")&amp;" economic need; "&amp;TEXT(K2131,"0.00")&amp;" mi fresh access; "&amp;L2131&amp;" nearby resources")</x:f>
        <x:v>69% economic need; 0.70 mi fresh access; 9 nearby resources</x:v>
      </x:c>
      <x:c r="AB2131" s="1" t="n">
        <x:f>IF(OR(A2131="",COUNTIFS($A$1531:$A$2030,A2131)&lt;&gt;1),0,MATCH(A2131,$A$1531:$A$2030,0))</x:f>
        <x:v>81</x:v>
      </x:c>
      <x:c r="AC2131" s="1" t="str">
        <x:f>IF(AB2131=0,"",INDEX($E$1531:$E$2030,AB2131))</x:f>
        <x:v>Save-A-Lot 60138</x:v>
      </x:c>
      <x:c r="AD2131" s="1" t="str">
        <x:f>IF(AB2131=0,"",INDEX($F$1531:$F$2030,AB2131))</x:f>
        <x:v>4424 N Broad St, Philadelphia, PA, 19140</x:v>
      </x:c>
      <x:c r="AE2131" s="1" t="str">
        <x:f>IF(A2131="","",F82)</x:f>
        <x:v>3821 N BROAD ST</x:v>
      </x:c>
      <x:c r="AF2131" s="1" t="n">
        <x:f>IF(ISNUMBER(I82),I82,"")</x:f>
        <x:v>40.01112725</x:v>
      </x:c>
      <x:c r="AG2131" s="1" t="n">
        <x:f>IF(ISNUMBER(J82),J82,"")</x:f>
        <x:v>-75.15073123</x:v>
      </x:c>
      <x:c r="AH2131" s="1" t="str">
        <x:f>IF(I2131=0,"Not contacted",IF(INDEX('Staff Review'!$J$8:$J$507,I2131)="","Not contacted",INDEX('Staff Review'!$J$8:$J$507,I2131)))</x:f>
        <x:v>Not contacted</x:v>
      </x:c>
      <x:c r="AI2131" s="1" t="str">
        <x:f>IF(I2131=0,"No",IF(AND(COUNT(INDEX('Staff Review'!$D$8:$D$507,I2131))=1,INDEX('Staff Review'!$D$8:$D$507,I2131)&gt;=0,COUNT(INDEX('Staff Review'!$E$8:$E$507,I2131))=1,INDEX('Staff Review'!$E$8:$E$507,I2131)&gt;0,INDEX('Staff Review'!$E$8:$E$507,I2131)&lt;='Top 15'!$E$5,'Top 15'!$E$5-INDEX('Staff Review'!$E$8:$E$507,I2131)&lt;='Top 15'!$H$5,LEN(INDEX('Staff Review'!$H$8:$H$507,I2131))&gt;0),"Yes","No"))</x:f>
        <x:v>No</x:v>
      </x:c>
      <x:c r="AJ2131" s="1" t="str">
        <x:f>IF(I2131=0,"No",IF(COUNT(INDEX('Staff Review'!$F$8:$F$507,I2131))&lt;&gt;1,"No",IF(AND(INDEX('Staff Review'!$F$8:$F$507,I2131)&gt;=0,MOD(INDEX('Staff Review'!$F$8:$F$507,I2131),1)=0,COUNT(INDEX('Staff Review'!$G$8:$G$507,I2131))=1,INDEX('Staff Review'!$G$8:$G$507,I2131)&gt;0,INDEX('Staff Review'!$G$8:$G$507,I2131)&lt;='Top 15'!$E$5,'Top 15'!$E$5-INDEX('Staff Review'!$G$8:$G$507,I2131)&lt;='Top 15'!$H$5,LEN(INDEX('Staff Review'!$H$8:$H$507,I2131))&gt;0),"Yes","No")))</x:f>
        <x:v>No</x:v>
      </x:c>
      <x:c r="AK2131" s="1" t="n">
        <x:f>IF(A2131="",0,COUNTIFS($A$2:$A$501,A2131))</x:f>
        <x:v>1</x:v>
      </x:c>
      <x:c r="AL2131" s="1" t="n">
        <x:f>IF(V2131="Candidate",1,0)</x:f>
        <x:v>1</x:v>
      </x:c>
      <x:c r="AM2131" s="1" t="n">
        <x:f>IF(A2131="",0,VALUE(A2131))</x:f>
        <x:v>3312</x:v>
      </x:c>
      <x:c r="AN2131" s="1" t="n">
        <x:f>IF(OR(A2131="",COUNTIFS($T$41:$T$540,A2131)&lt;&gt;1),0,MATCH(A2131,$T$41:$T$540,0))</x:f>
        <x:v>81</x:v>
      </x:c>
      <x:c r="AO2131" t="n">
        <x:f>IF(ISNUMBER(W2131),W2131,10000+AM2131)</x:f>
        <x:v>249</x:v>
      </x:c>
    </x:row>
    <x:row r="2132" ht="22" customHeight="1">
      <x:c r="A2132" s="1" t="str">
        <x:f>IF(A83="","",A83)</x:f>
        <x:v>3313</x:v>
      </x:c>
      <x:c r="B2132" s="1" t="str">
        <x:f>IF(A2132="","",B83)</x:f>
        <x:v>Preparatory Charter School of Mathematics, Science, Technology and Careers</x:v>
      </x:c>
      <x:c r="C2132" s="1" t="str">
        <x:f>IF(A2132="","",C83)</x:f>
        <x:v>Charter</x:v>
      </x:c>
      <x:c r="D2132" s="1" t="str">
        <x:f>IF(A2132="","",E83)</x:f>
        <x:v>High</x:v>
      </x:c>
      <x:c r="E2132" s="1" t="str">
        <x:f>IF(A2132="","",H83)</x:f>
        <x:v>19145</x:v>
      </x:c>
      <x:c r="F2132" s="1" t="n">
        <x:f>IF(ISNUMBER(K83),K83,"")</x:f>
        <x:v>590</x:v>
      </x:c>
      <x:c r="G2132" s="1" t="n">
        <x:f>IF(ISNUMBER(L83),L83,"")</x:f>
        <x:v>0.75</x:v>
      </x:c>
      <x:c r="H2132" s="1" t="str">
        <x:f>IF(A2132="","",IF(AND(UPPER(G83)="PHILADELPHIA",OR(C2132="District",AND(C2132="Charter",D83="Yes"))),"Yes","No"))</x:f>
        <x:v>Yes</x:v>
      </x:c>
      <x:c r="I2132" s="1" t="n">
        <x:f>IF(OR(A2132="",COUNTIFS('Staff Review'!$A$8:$A$507,A2132)&lt;&gt;1),0,MATCH(A2132,'Staff Review'!$A$8:$A$507,0))</x:f>
        <x:v>244</x:v>
      </x:c>
      <x:c r="J2132" s="1" t="str">
        <x:f>IF(I2132=0,"No",IF(INDEX('Staff Review'!$C$8:$C$507,I2132)="Yes","Yes","No"))</x:f>
        <x:v>No</x:v>
      </x:c>
      <x:c r="K2132" s="1" t="n">
        <x:f>IF(AI2132="Yes",INDEX('Staff Review'!$D$8:$D$507,I2132),IF(AB2132=0,"",IF(COUNT(INDEX($C$1531:$C$2030,AB2132))=1,INDEX($C$1531:$C$2030,AB2132),"")))</x:f>
        <x:v>0.6114557457021337</x:v>
      </x:c>
      <x:c r="L2132" s="1" t="n">
        <x:f>IF(AJ2132="Yes",INDEX('Staff Review'!$F$8:$F$507,I2132),IF(AB2132=0,"",IF(COUNT(INDEX($G$1531:$G$2030,AB2132))=1,INDEX($G$1531:$G$2030,AB2132),"")))</x:f>
        <x:v>10</x:v>
      </x:c>
      <x:c r="M2132" s="1" t="str">
        <x:f>IF(A2132="","",IF(AI2132="Yes","Verified","Listed"))</x:f>
        <x:v>Listed</x:v>
      </x:c>
      <x:c r="N2132" s="1" t="str">
        <x:f>IF(A2132="","",IF(AJ2132="Yes","Verified","Listed"))</x:f>
        <x:v>Listed</x:v>
      </x:c>
      <x:c r="O2132" s="1" t="n">
        <x:f>IF(AND(ISNUMBER(G2132),G2132&gt;=0,G2132&lt;=1),IF(G2132&gt;=0.9,30,IF(G2132&gt;=0.8,25,IF(G2132&gt;=0.7,20,IF(G2132&gt;=0.6,15,IF(G2132&gt;=0.5,10,IF(G2132&gt;=0.4,5,0)))))),"")</x:f>
        <x:v>20</x:v>
      </x:c>
      <x:c r="P2132" s="1" t="n">
        <x:f>IF(ISNUMBER(K2132),IF(K2132&lt;0,"",IF(K2132&gt;1,25,IF(K2132&gt;=0.75,20,IF(K2132&gt;=0.5,15,IF(K2132&gt;=0.25,10,5))))),"")</x:f>
        <x:v>15</x:v>
      </x:c>
      <x:c r="Q2132" s="1" t="n">
        <x:f>IF(NOT(ISNUMBER(L2132)),"",IF(AND(L2132&gt;=0,MOD(L2132,1)=0),MAX(0,25-5*L2132),""))</x:f>
        <x:v>0</x:v>
      </x:c>
      <x:c r="R2132" s="1" t="n">
        <x:f>IF(NOT(ISNUMBER(F2132)),"",IF(AND(F2132&gt;0,MOD(F2132,1)=0),IF(F2132&gt;=700,5,IF(F2132&gt;=500,4,IF(F2132&gt;=350,3,IF(F2132&gt;=200,2,1)))),""))</x:f>
        <x:v>4</x:v>
      </x:c>
      <x:c r="S2132" s="1" t="n">
        <x:f>IF(COUNT(O2132:R2132)=4,SUM(O2132:R2132),"")</x:f>
        <x:v>39</x:v>
      </x:c>
      <x:c r="T2132" s="1" t="n">
        <x:f>IF(OR(COUNT(O2132:R2132)&lt;&gt;4,COUNT('Top 15'!$B$35:$E$35)&lt;&gt;4,MIN('Top 15'!$B$35:$E$35)&lt;0,SUM('Top 15'!$B$35:$E$35)&lt;=0),"",ROUND(85*(O2132/30*'Top 15'!$B$35+P2132/25*'Top 15'!$C$35+Q2132/25*'Top 15'!$D$35+R2132/5*'Top 15'!$E$35)/SUM('Top 15'!$B$35:$E$35),6))</x:f>
        <x:v>39</x:v>
      </x:c>
      <x:c r="U2132" s="1" t="str">
        <x:f>IF(A2132="","",IF(AND(M2132="Verified",N2132="Verified"),"Verified",IF(AND(M2132="Listed",N2132="Listed"),"Listed","Mixed")))</x:f>
        <x:v>Listed</x:v>
      </x:c>
      <x:c r="V2132" s="1" t="str">
        <x:f>IF(A2132="","",IF(AK2132&lt;&gt;1,"Duplicate source ID",IF(COUNTIFS('Staff Review'!$A$8:$A$507,A2132)&gt;1,"Duplicate review ID",IF(H2132&lt;&gt;"Yes","Outside scope",IF(J2132="Yes","Already served",IF(NOT(ISNUMBER(T2132)),"Missing data","Candidate"))))))</x:f>
        <x:v>Candidate</x:v>
      </x:c>
      <x:c r="W2132" s="1" t="n">
        <x:f>IF(AL2132=0,"",1+COUNTIFS($AL$2051:$AL$2550,1,$T$2051:$T$2550,"&gt;"&amp;T2132)+COUNTIFS($AL$2051:$AL$2550,1,$T$2051:$T$2550,T2132,$G$2051:$G$2550,"&gt;"&amp;G2132)+COUNTIFS($AL$2051:$AL$2550,1,$T$2051:$T$2550,T2132,$G$2051:$G$2550,G2132,$F$2051:$F$2550,"&gt;"&amp;F2132)+COUNTIFS($AL$2051:$AL$2550,1,$T$2051:$T$2550,T2132,$G$2051:$G$2550,G2132,$F$2051:$F$2550,F2132,$AM$2051:$AM$2550,"&lt;"&amp;AM2132))</x:f>
        <x:v>165</x:v>
      </x:c>
      <x:c r="X2132" s="1" t="n">
        <x:f>IF(AL2132=0,"",1+COUNTIFS($AL$2051:$AL$2550,1,$T$2051:$T$2550,"&gt;"&amp;T2132))</x:f>
        <x:v>148</x:v>
      </x:c>
      <x:c r="Y2132" s="1" t="n">
        <x:f>IF(AND(H2132="Yes",OR(LEN('School Search'!$B$5)=0,ISNUMBER(SEARCH('School Search'!$B$5,B2132&amp;" "&amp;E2132&amp;" "&amp;A2132))),OR('School Search'!$D$5="All",C2132='School Search'!$D$5),OR('School Search'!$G$5="All eligible",AND('School Search'!$G$5="Not marked served",J2132&lt;&gt;"Yes"),AND('School Search'!$G$5="Missing data",V2132="Missing data"),AND('School Search'!$G$5="Marked served",J2132="Yes"))),1,0)</x:f>
        <x:v>1</x:v>
      </x:c>
      <x:c r="Z2132" s="1" t="n">
        <x:f>IF(Y2132=0,"",COUNTIFS($Y$2051:$Y$2550,1,$AO$2051:$AO$2550,"&lt;"&amp;AO2132)+COUNTIFS($Y$2051:Y2132,1,$AO$2051:AO2132,AO2132))</x:f>
        <x:v>165</x:v>
      </x:c>
      <x:c r="AA2132" s="1" t="str">
        <x:f>IF(NOT(ISNUMBER(S2132)),"Missing demographic or access input",TEXT(G2132,"0%")&amp;" economic need; "&amp;TEXT(K2132,"0.00")&amp;" mi fresh access; "&amp;L2132&amp;" nearby resources")</x:f>
        <x:v>75% economic need; 0.61 mi fresh access; 10 nearby resources</x:v>
      </x:c>
      <x:c r="AB2132" s="1" t="n">
        <x:f>IF(OR(A2132="",COUNTIFS($A$1531:$A$2030,A2132)&lt;&gt;1),0,MATCH(A2132,$A$1531:$A$2030,0))</x:f>
        <x:v>82</x:v>
      </x:c>
      <x:c r="AC2132" s="1" t="str">
        <x:f>IF(AB2132=0,"",INDEX($E$1531:$E$2030,AB2132))</x:f>
        <x:v>Shoprite of Oregon 420</x:v>
      </x:c>
      <x:c r="AD2132" s="1" t="str">
        <x:f>IF(AB2132=0,"",INDEX($F$1531:$F$2030,AB2132))</x:f>
        <x:v>24th St &amp; Oregon Ave, Philadelphia, PA, 19145</x:v>
      </x:c>
      <x:c r="AE2132" s="1" t="str">
        <x:f>IF(A2132="","",F83)</x:f>
        <x:v>1928 POINT BREEZE AVE</x:v>
      </x:c>
      <x:c r="AF2132" s="1" t="n">
        <x:f>IF(ISNUMBER(I83),I83,"")</x:f>
        <x:v>39.92845355</x:v>
      </x:c>
      <x:c r="AG2132" s="1" t="n">
        <x:f>IF(ISNUMBER(J83),J83,"")</x:f>
        <x:v>-75.18665686</x:v>
      </x:c>
      <x:c r="AH2132" s="1" t="str">
        <x:f>IF(I2132=0,"Not contacted",IF(INDEX('Staff Review'!$J$8:$J$507,I2132)="","Not contacted",INDEX('Staff Review'!$J$8:$J$507,I2132)))</x:f>
        <x:v>Not contacted</x:v>
      </x:c>
      <x:c r="AI2132" s="1" t="str">
        <x:f>IF(I2132=0,"No",IF(AND(COUNT(INDEX('Staff Review'!$D$8:$D$507,I2132))=1,INDEX('Staff Review'!$D$8:$D$507,I2132)&gt;=0,COUNT(INDEX('Staff Review'!$E$8:$E$507,I2132))=1,INDEX('Staff Review'!$E$8:$E$507,I2132)&gt;0,INDEX('Staff Review'!$E$8:$E$507,I2132)&lt;='Top 15'!$E$5,'Top 15'!$E$5-INDEX('Staff Review'!$E$8:$E$507,I2132)&lt;='Top 15'!$H$5,LEN(INDEX('Staff Review'!$H$8:$H$507,I2132))&gt;0),"Yes","No"))</x:f>
        <x:v>No</x:v>
      </x:c>
      <x:c r="AJ2132" s="1" t="str">
        <x:f>IF(I2132=0,"No",IF(COUNT(INDEX('Staff Review'!$F$8:$F$507,I2132))&lt;&gt;1,"No",IF(AND(INDEX('Staff Review'!$F$8:$F$507,I2132)&gt;=0,MOD(INDEX('Staff Review'!$F$8:$F$507,I2132),1)=0,COUNT(INDEX('Staff Review'!$G$8:$G$507,I2132))=1,INDEX('Staff Review'!$G$8:$G$507,I2132)&gt;0,INDEX('Staff Review'!$G$8:$G$507,I2132)&lt;='Top 15'!$E$5,'Top 15'!$E$5-INDEX('Staff Review'!$G$8:$G$507,I2132)&lt;='Top 15'!$H$5,LEN(INDEX('Staff Review'!$H$8:$H$507,I2132))&gt;0),"Yes","No")))</x:f>
        <x:v>No</x:v>
      </x:c>
      <x:c r="AK2132" s="1" t="n">
        <x:f>IF(A2132="",0,COUNTIFS($A$2:$A$501,A2132))</x:f>
        <x:v>1</x:v>
      </x:c>
      <x:c r="AL2132" s="1" t="n">
        <x:f>IF(V2132="Candidate",1,0)</x:f>
        <x:v>1</x:v>
      </x:c>
      <x:c r="AM2132" s="1" t="n">
        <x:f>IF(A2132="",0,VALUE(A2132))</x:f>
        <x:v>3313</x:v>
      </x:c>
      <x:c r="AN2132" s="1" t="n">
        <x:f>IF(OR(A2132="",COUNTIFS($T$41:$T$540,A2132)&lt;&gt;1),0,MATCH(A2132,$T$41:$T$540,0))</x:f>
        <x:v>82</x:v>
      </x:c>
      <x:c r="AO2132" t="n">
        <x:f>IF(ISNUMBER(W2132),W2132,10000+AM2132)</x:f>
        <x:v>165</x:v>
      </x:c>
    </x:row>
    <x:row r="2133" ht="22" customHeight="1">
      <x:c r="A2133" s="1" t="str">
        <x:f>IF(A84="","",A84)</x:f>
        <x:v>3314</x:v>
      </x:c>
      <x:c r="B2133" s="1" t="str">
        <x:f>IF(A2133="","",B84)</x:f>
        <x:v>West Oak Lane Charter School</x:v>
      </x:c>
      <x:c r="C2133" s="1" t="str">
        <x:f>IF(A2133="","",C84)</x:f>
        <x:v>Charter</x:v>
      </x:c>
      <x:c r="D2133" s="1" t="str">
        <x:f>IF(A2133="","",E84)</x:f>
        <x:v>Elementary-Middle</x:v>
      </x:c>
      <x:c r="E2133" s="1" t="str">
        <x:f>IF(A2133="","",H84)</x:f>
        <x:v>19138</x:v>
      </x:c>
      <x:c r="F2133" s="1" t="n">
        <x:f>IF(ISNUMBER(K84),K84,"")</x:f>
        <x:v>1007</x:v>
      </x:c>
      <x:c r="G2133" s="1" t="n">
        <x:f>IF(ISNUMBER(L84),L84,"")</x:f>
        <x:v>0.9637</x:v>
      </x:c>
      <x:c r="H2133" s="1" t="str">
        <x:f>IF(A2133="","",IF(AND(UPPER(G84)="PHILADELPHIA",OR(C2133="District",AND(C2133="Charter",D84="Yes"))),"Yes","No"))</x:f>
        <x:v>Yes</x:v>
      </x:c>
      <x:c r="I2133" s="1" t="n">
        <x:f>IF(OR(A2133="",COUNTIFS('Staff Review'!$A$8:$A$507,A2133)&lt;&gt;1),0,MATCH(A2133,'Staff Review'!$A$8:$A$507,0))</x:f>
        <x:v>308</x:v>
      </x:c>
      <x:c r="J2133" s="1" t="str">
        <x:f>IF(I2133=0,"No",IF(INDEX('Staff Review'!$C$8:$C$507,I2133)="Yes","Yes","No"))</x:f>
        <x:v>No</x:v>
      </x:c>
      <x:c r="K2133" s="1" t="n">
        <x:f>IF(AI2133="Yes",INDEX('Staff Review'!$D$8:$D$507,I2133),IF(AB2133=0,"",IF(COUNT(INDEX($C$1531:$C$2030,AB2133))=1,INDEX($C$1531:$C$2030,AB2133),"")))</x:f>
        <x:v>0.7878732291050998</x:v>
      </x:c>
      <x:c r="L2133" s="1" t="n">
        <x:f>IF(AJ2133="Yes",INDEX('Staff Review'!$F$8:$F$507,I2133),IF(AB2133=0,"",IF(COUNT(INDEX($G$1531:$G$2030,AB2133))=1,INDEX($G$1531:$G$2030,AB2133),"")))</x:f>
        <x:v>8</x:v>
      </x:c>
      <x:c r="M2133" s="1" t="str">
        <x:f>IF(A2133="","",IF(AI2133="Yes","Verified","Listed"))</x:f>
        <x:v>Listed</x:v>
      </x:c>
      <x:c r="N2133" s="1" t="str">
        <x:f>IF(A2133="","",IF(AJ2133="Yes","Verified","Listed"))</x:f>
        <x:v>Listed</x:v>
      </x:c>
      <x:c r="O2133" s="1" t="n">
        <x:f>IF(AND(ISNUMBER(G2133),G2133&gt;=0,G2133&lt;=1),IF(G2133&gt;=0.9,30,IF(G2133&gt;=0.8,25,IF(G2133&gt;=0.7,20,IF(G2133&gt;=0.6,15,IF(G2133&gt;=0.5,10,IF(G2133&gt;=0.4,5,0)))))),"")</x:f>
        <x:v>30</x:v>
      </x:c>
      <x:c r="P2133" s="1" t="n">
        <x:f>IF(ISNUMBER(K2133),IF(K2133&lt;0,"",IF(K2133&gt;1,25,IF(K2133&gt;=0.75,20,IF(K2133&gt;=0.5,15,IF(K2133&gt;=0.25,10,5))))),"")</x:f>
        <x:v>20</x:v>
      </x:c>
      <x:c r="Q2133" s="1" t="n">
        <x:f>IF(NOT(ISNUMBER(L2133)),"",IF(AND(L2133&gt;=0,MOD(L2133,1)=0),MAX(0,25-5*L2133),""))</x:f>
        <x:v>0</x:v>
      </x:c>
      <x:c r="R2133" s="1" t="n">
        <x:f>IF(NOT(ISNUMBER(F2133)),"",IF(AND(F2133&gt;0,MOD(F2133,1)=0),IF(F2133&gt;=700,5,IF(F2133&gt;=500,4,IF(F2133&gt;=350,3,IF(F2133&gt;=200,2,1)))),""))</x:f>
        <x:v>5</x:v>
      </x:c>
      <x:c r="S2133" s="1" t="n">
        <x:f>IF(COUNT(O2133:R2133)=4,SUM(O2133:R2133),"")</x:f>
        <x:v>55</x:v>
      </x:c>
      <x:c r="T2133" s="1" t="n">
        <x:f>IF(OR(COUNT(O2133:R2133)&lt;&gt;4,COUNT('Top 15'!$B$35:$E$35)&lt;&gt;4,MIN('Top 15'!$B$35:$E$35)&lt;0,SUM('Top 15'!$B$35:$E$35)&lt;=0),"",ROUND(85*(O2133/30*'Top 15'!$B$35+P2133/25*'Top 15'!$C$35+Q2133/25*'Top 15'!$D$35+R2133/5*'Top 15'!$E$35)/SUM('Top 15'!$B$35:$E$35),6))</x:f>
        <x:v>55</x:v>
      </x:c>
      <x:c r="U2133" s="1" t="str">
        <x:f>IF(A2133="","",IF(AND(M2133="Verified",N2133="Verified"),"Verified",IF(AND(M2133="Listed",N2133="Listed"),"Listed","Mixed")))</x:f>
        <x:v>Listed</x:v>
      </x:c>
      <x:c r="V2133" s="1" t="str">
        <x:f>IF(A2133="","",IF(AK2133&lt;&gt;1,"Duplicate source ID",IF(COUNTIFS('Staff Review'!$A$8:$A$507,A2133)&gt;1,"Duplicate review ID",IF(H2133&lt;&gt;"Yes","Outside scope",IF(J2133="Yes","Already served",IF(NOT(ISNUMBER(T2133)),"Missing data","Candidate"))))))</x:f>
        <x:v>Candidate</x:v>
      </x:c>
      <x:c r="W2133" s="1" t="n">
        <x:f>IF(AL2133=0,"",1+COUNTIFS($AL$2051:$AL$2550,1,$T$2051:$T$2550,"&gt;"&amp;T2133)+COUNTIFS($AL$2051:$AL$2550,1,$T$2051:$T$2550,T2133,$G$2051:$G$2550,"&gt;"&amp;G2133)+COUNTIFS($AL$2051:$AL$2550,1,$T$2051:$T$2550,T2133,$G$2051:$G$2550,G2133,$F$2051:$F$2550,"&gt;"&amp;F2133)+COUNTIFS($AL$2051:$AL$2550,1,$T$2051:$T$2550,T2133,$G$2051:$G$2550,G2133,$F$2051:$F$2550,F2133,$AM$2051:$AM$2550,"&lt;"&amp;AM2133))</x:f>
        <x:v>24</x:v>
      </x:c>
      <x:c r="X2133" s="1" t="n">
        <x:f>IF(AL2133=0,"",1+COUNTIFS($AL$2051:$AL$2550,1,$T$2051:$T$2550,"&gt;"&amp;T2133))</x:f>
        <x:v>24</x:v>
      </x:c>
      <x:c r="Y2133" s="1" t="n">
        <x:f>IF(AND(H2133="Yes",OR(LEN('School Search'!$B$5)=0,ISNUMBER(SEARCH('School Search'!$B$5,B2133&amp;" "&amp;E2133&amp;" "&amp;A2133))),OR('School Search'!$D$5="All",C2133='School Search'!$D$5),OR('School Search'!$G$5="All eligible",AND('School Search'!$G$5="Not marked served",J2133&lt;&gt;"Yes"),AND('School Search'!$G$5="Missing data",V2133="Missing data"),AND('School Search'!$G$5="Marked served",J2133="Yes"))),1,0)</x:f>
        <x:v>1</x:v>
      </x:c>
      <x:c r="Z2133" s="1" t="n">
        <x:f>IF(Y2133=0,"",COUNTIFS($Y$2051:$Y$2550,1,$AO$2051:$AO$2550,"&lt;"&amp;AO2133)+COUNTIFS($Y$2051:Y2133,1,$AO$2051:AO2133,AO2133))</x:f>
        <x:v>24</x:v>
      </x:c>
      <x:c r="AA2133" s="1" t="str">
        <x:f>IF(NOT(ISNUMBER(S2133)),"Missing demographic or access input",TEXT(G2133,"0%")&amp;" economic need; "&amp;TEXT(K2133,"0.00")&amp;" mi fresh access; "&amp;L2133&amp;" nearby resources")</x:f>
        <x:v>96% economic need; 0.79 mi fresh access; 8 nearby resources</x:v>
      </x:c>
      <x:c r="AB2133" s="1" t="n">
        <x:f>IF(OR(A2133="",COUNTIFS($A$1531:$A$2030,A2133)&lt;&gt;1),0,MATCH(A2133,$A$1531:$A$2030,0))</x:f>
        <x:v>83</x:v>
      </x:c>
      <x:c r="AC2133" s="1" t="str">
        <x:f>IF(AB2133=0,"",INDEX($E$1531:$E$2030,AB2133))</x:f>
        <x:v>Save A Lot 45141</x:v>
      </x:c>
      <x:c r="AD2133" s="1" t="str">
        <x:f>IF(AB2133=0,"",INDEX($F$1531:$F$2030,AB2133))</x:f>
        <x:v>6301 Chew Ave, Philadelphia, PA, 19138</x:v>
      </x:c>
      <x:c r="AE2133" s="1" t="str">
        <x:f>IF(A2133="","",F84)</x:f>
        <x:v>7115 STENTON AVE</x:v>
      </x:c>
      <x:c r="AF2133" s="1" t="n">
        <x:f>IF(ISNUMBER(I84),I84,"")</x:f>
        <x:v>40.05936358</x:v>
      </x:c>
      <x:c r="AG2133" s="1" t="n">
        <x:f>IF(ISNUMBER(J84),J84,"")</x:f>
        <x:v>-75.16363798</x:v>
      </x:c>
      <x:c r="AH2133" s="1" t="str">
        <x:f>IF(I2133=0,"Not contacted",IF(INDEX('Staff Review'!$J$8:$J$507,I2133)="","Not contacted",INDEX('Staff Review'!$J$8:$J$507,I2133)))</x:f>
        <x:v>Not contacted</x:v>
      </x:c>
      <x:c r="AI2133" s="1" t="str">
        <x:f>IF(I2133=0,"No",IF(AND(COUNT(INDEX('Staff Review'!$D$8:$D$507,I2133))=1,INDEX('Staff Review'!$D$8:$D$507,I2133)&gt;=0,COUNT(INDEX('Staff Review'!$E$8:$E$507,I2133))=1,INDEX('Staff Review'!$E$8:$E$507,I2133)&gt;0,INDEX('Staff Review'!$E$8:$E$507,I2133)&lt;='Top 15'!$E$5,'Top 15'!$E$5-INDEX('Staff Review'!$E$8:$E$507,I2133)&lt;='Top 15'!$H$5,LEN(INDEX('Staff Review'!$H$8:$H$507,I2133))&gt;0),"Yes","No"))</x:f>
        <x:v>No</x:v>
      </x:c>
      <x:c r="AJ2133" s="1" t="str">
        <x:f>IF(I2133=0,"No",IF(COUNT(INDEX('Staff Review'!$F$8:$F$507,I2133))&lt;&gt;1,"No",IF(AND(INDEX('Staff Review'!$F$8:$F$507,I2133)&gt;=0,MOD(INDEX('Staff Review'!$F$8:$F$507,I2133),1)=0,COUNT(INDEX('Staff Review'!$G$8:$G$507,I2133))=1,INDEX('Staff Review'!$G$8:$G$507,I2133)&gt;0,INDEX('Staff Review'!$G$8:$G$507,I2133)&lt;='Top 15'!$E$5,'Top 15'!$E$5-INDEX('Staff Review'!$G$8:$G$507,I2133)&lt;='Top 15'!$H$5,LEN(INDEX('Staff Review'!$H$8:$H$507,I2133))&gt;0),"Yes","No")))</x:f>
        <x:v>No</x:v>
      </x:c>
      <x:c r="AK2133" s="1" t="n">
        <x:f>IF(A2133="",0,COUNTIFS($A$2:$A$501,A2133))</x:f>
        <x:v>1</x:v>
      </x:c>
      <x:c r="AL2133" s="1" t="n">
        <x:f>IF(V2133="Candidate",1,0)</x:f>
        <x:v>1</x:v>
      </x:c>
      <x:c r="AM2133" s="1" t="n">
        <x:f>IF(A2133="",0,VALUE(A2133))</x:f>
        <x:v>3314</x:v>
      </x:c>
      <x:c r="AN2133" s="1" t="n">
        <x:f>IF(OR(A2133="",COUNTIFS($T$41:$T$540,A2133)&lt;&gt;1),0,MATCH(A2133,$T$41:$T$540,0))</x:f>
        <x:v>83</x:v>
      </x:c>
      <x:c r="AO2133" t="n">
        <x:f>IF(ISNUMBER(W2133),W2133,10000+AM2133)</x:f>
        <x:v>24</x:v>
      </x:c>
    </x:row>
    <x:row r="2134" ht="22" customHeight="1">
      <x:c r="A2134" s="1" t="str">
        <x:f>IF(A85="","",A85)</x:f>
        <x:v>3315</x:v>
      </x:c>
      <x:c r="B2134" s="1" t="str">
        <x:f>IF(A2134="","",B85)</x:f>
        <x:v>Alliance For Progress Charter School</x:v>
      </x:c>
      <x:c r="C2134" s="1" t="str">
        <x:f>IF(A2134="","",C85)</x:f>
        <x:v>Charter</x:v>
      </x:c>
      <x:c r="D2134" s="1" t="str">
        <x:f>IF(A2134="","",E85)</x:f>
        <x:v>Elementary-Middle</x:v>
      </x:c>
      <x:c r="E2134" s="1" t="str">
        <x:f>IF(A2134="","",H85)</x:f>
        <x:v>19121</x:v>
      </x:c>
      <x:c r="F2134" s="1" t="n">
        <x:f>IF(ISNUMBER(K85),K85,"")</x:f>
        <x:v>616</x:v>
      </x:c>
      <x:c r="G2134" s="1" t="n">
        <x:f>IF(ISNUMBER(L85),L85,"")</x:f>
        <x:v>0.927</x:v>
      </x:c>
      <x:c r="H2134" s="1" t="str">
        <x:f>IF(A2134="","",IF(AND(UPPER(G85)="PHILADELPHIA",OR(C2134="District",AND(C2134="Charter",D85="Yes"))),"Yes","No"))</x:f>
        <x:v>Yes</x:v>
      </x:c>
      <x:c r="I2134" s="1" t="n">
        <x:f>IF(OR(A2134="",COUNTIFS('Staff Review'!$A$8:$A$507,A2134)&lt;&gt;1),0,MATCH(A2134,'Staff Review'!$A$8:$A$507,0))</x:f>
        <x:v>15</x:v>
      </x:c>
      <x:c r="J2134" s="1" t="str">
        <x:f>IF(I2134=0,"No",IF(INDEX('Staff Review'!$C$8:$C$507,I2134)="Yes","Yes","No"))</x:f>
        <x:v>No</x:v>
      </x:c>
      <x:c r="K2134" s="1" t="n">
        <x:f>IF(AI2134="Yes",INDEX('Staff Review'!$D$8:$D$507,I2134),IF(AB2134=0,"",IF(COUNT(INDEX($C$1531:$C$2030,AB2134))=1,INDEX($C$1531:$C$2030,AB2134),"")))</x:f>
        <x:v>0.21729732764076798</x:v>
      </x:c>
      <x:c r="L2134" s="1" t="n">
        <x:f>IF(AJ2134="Yes",INDEX('Staff Review'!$F$8:$F$507,I2134),IF(AB2134=0,"",IF(COUNT(INDEX($G$1531:$G$2030,AB2134))=1,INDEX($G$1531:$G$2030,AB2134),"")))</x:f>
        <x:v>14</x:v>
      </x:c>
      <x:c r="M2134" s="1" t="str">
        <x:f>IF(A2134="","",IF(AI2134="Yes","Verified","Listed"))</x:f>
        <x:v>Listed</x:v>
      </x:c>
      <x:c r="N2134" s="1" t="str">
        <x:f>IF(A2134="","",IF(AJ2134="Yes","Verified","Listed"))</x:f>
        <x:v>Listed</x:v>
      </x:c>
      <x:c r="O2134" s="1" t="n">
        <x:f>IF(AND(ISNUMBER(G2134),G2134&gt;=0,G2134&lt;=1),IF(G2134&gt;=0.9,30,IF(G2134&gt;=0.8,25,IF(G2134&gt;=0.7,20,IF(G2134&gt;=0.6,15,IF(G2134&gt;=0.5,10,IF(G2134&gt;=0.4,5,0)))))),"")</x:f>
        <x:v>30</x:v>
      </x:c>
      <x:c r="P2134" s="1" t="n">
        <x:f>IF(ISNUMBER(K2134),IF(K2134&lt;0,"",IF(K2134&gt;1,25,IF(K2134&gt;=0.75,20,IF(K2134&gt;=0.5,15,IF(K2134&gt;=0.25,10,5))))),"")</x:f>
        <x:v>5</x:v>
      </x:c>
      <x:c r="Q2134" s="1" t="n">
        <x:f>IF(NOT(ISNUMBER(L2134)),"",IF(AND(L2134&gt;=0,MOD(L2134,1)=0),MAX(0,25-5*L2134),""))</x:f>
        <x:v>0</x:v>
      </x:c>
      <x:c r="R2134" s="1" t="n">
        <x:f>IF(NOT(ISNUMBER(F2134)),"",IF(AND(F2134&gt;0,MOD(F2134,1)=0),IF(F2134&gt;=700,5,IF(F2134&gt;=500,4,IF(F2134&gt;=350,3,IF(F2134&gt;=200,2,1)))),""))</x:f>
        <x:v>4</x:v>
      </x:c>
      <x:c r="S2134" s="1" t="n">
        <x:f>IF(COUNT(O2134:R2134)=4,SUM(O2134:R2134),"")</x:f>
        <x:v>39</x:v>
      </x:c>
      <x:c r="T2134" s="1" t="n">
        <x:f>IF(OR(COUNT(O2134:R2134)&lt;&gt;4,COUNT('Top 15'!$B$35:$E$35)&lt;&gt;4,MIN('Top 15'!$B$35:$E$35)&lt;0,SUM('Top 15'!$B$35:$E$35)&lt;=0),"",ROUND(85*(O2134/30*'Top 15'!$B$35+P2134/25*'Top 15'!$C$35+Q2134/25*'Top 15'!$D$35+R2134/5*'Top 15'!$E$35)/SUM('Top 15'!$B$35:$E$35),6))</x:f>
        <x:v>39</x:v>
      </x:c>
      <x:c r="U2134" s="1" t="str">
        <x:f>IF(A2134="","",IF(AND(M2134="Verified",N2134="Verified"),"Verified",IF(AND(M2134="Listed",N2134="Listed"),"Listed","Mixed")))</x:f>
        <x:v>Listed</x:v>
      </x:c>
      <x:c r="V2134" s="1" t="str">
        <x:f>IF(A2134="","",IF(AK2134&lt;&gt;1,"Duplicate source ID",IF(COUNTIFS('Staff Review'!$A$8:$A$507,A2134)&gt;1,"Duplicate review ID",IF(H2134&lt;&gt;"Yes","Outside scope",IF(J2134="Yes","Already served",IF(NOT(ISNUMBER(T2134)),"Missing data","Candidate"))))))</x:f>
        <x:v>Candidate</x:v>
      </x:c>
      <x:c r="W2134" s="1" t="n">
        <x:f>IF(AL2134=0,"",1+COUNTIFS($AL$2051:$AL$2550,1,$T$2051:$T$2550,"&gt;"&amp;T2134)+COUNTIFS($AL$2051:$AL$2550,1,$T$2051:$T$2550,T2134,$G$2051:$G$2550,"&gt;"&amp;G2134)+COUNTIFS($AL$2051:$AL$2550,1,$T$2051:$T$2550,T2134,$G$2051:$G$2550,G2134,$F$2051:$F$2550,"&gt;"&amp;F2134)+COUNTIFS($AL$2051:$AL$2550,1,$T$2051:$T$2550,T2134,$G$2051:$G$2550,G2134,$F$2051:$F$2550,F2134,$AM$2051:$AM$2550,"&lt;"&amp;AM2134))</x:f>
        <x:v>149</x:v>
      </x:c>
      <x:c r="X2134" s="1" t="n">
        <x:f>IF(AL2134=0,"",1+COUNTIFS($AL$2051:$AL$2550,1,$T$2051:$T$2550,"&gt;"&amp;T2134))</x:f>
        <x:v>148</x:v>
      </x:c>
      <x:c r="Y2134" s="1" t="n">
        <x:f>IF(AND(H2134="Yes",OR(LEN('School Search'!$B$5)=0,ISNUMBER(SEARCH('School Search'!$B$5,B2134&amp;" "&amp;E2134&amp;" "&amp;A2134))),OR('School Search'!$D$5="All",C2134='School Search'!$D$5),OR('School Search'!$G$5="All eligible",AND('School Search'!$G$5="Not marked served",J2134&lt;&gt;"Yes"),AND('School Search'!$G$5="Missing data",V2134="Missing data"),AND('School Search'!$G$5="Marked served",J2134="Yes"))),1,0)</x:f>
        <x:v>1</x:v>
      </x:c>
      <x:c r="Z2134" s="1" t="n">
        <x:f>IF(Y2134=0,"",COUNTIFS($Y$2051:$Y$2550,1,$AO$2051:$AO$2550,"&lt;"&amp;AO2134)+COUNTIFS($Y$2051:Y2134,1,$AO$2051:AO2134,AO2134))</x:f>
        <x:v>149</x:v>
      </x:c>
      <x:c r="AA2134" s="1" t="str">
        <x:f>IF(NOT(ISNUMBER(S2134)),"Missing demographic or access input",TEXT(G2134,"0%")&amp;" economic need; "&amp;TEXT(K2134,"0.00")&amp;" mi fresh access; "&amp;L2134&amp;" nearby resources")</x:f>
        <x:v>93% economic need; 0.22 mi fresh access; 14 nearby resources</x:v>
      </x:c>
      <x:c r="AB2134" s="1" t="n">
        <x:f>IF(OR(A2134="",COUNTIFS($A$1531:$A$2030,A2134)&lt;&gt;1),0,MATCH(A2134,$A$1531:$A$2030,0))</x:f>
        <x:v>84</x:v>
      </x:c>
      <x:c r="AC2134" s="1" t="str">
        <x:f>IF(AB2134=0,"",INDEX($E$1531:$E$2030,AB2134))</x:f>
        <x:v>Grocery Outlet</x:v>
      </x:c>
      <x:c r="AD2134" s="1" t="str">
        <x:f>IF(AB2134=0,"",INDEX($F$1531:$F$2030,AB2134))</x:f>
        <x:v>2077 Ridge Ave, Philadelphia, PA, 19121</x:v>
      </x:c>
      <x:c r="AE2134" s="1" t="str">
        <x:f>IF(A2134="","",F85)</x:f>
        <x:v>1722 CECIL B MOORE AVE</x:v>
      </x:c>
      <x:c r="AF2134" s="1" t="n">
        <x:f>IF(ISNUMBER(I85),I85,"")</x:f>
        <x:v>39.979731</x:v>
      </x:c>
      <x:c r="AG2134" s="1" t="n">
        <x:f>IF(ISNUMBER(J85),J85,"")</x:f>
        <x:v>-75.165471</x:v>
      </x:c>
      <x:c r="AH2134" s="1" t="str">
        <x:f>IF(I2134=0,"Not contacted",IF(INDEX('Staff Review'!$J$8:$J$507,I2134)="","Not contacted",INDEX('Staff Review'!$J$8:$J$507,I2134)))</x:f>
        <x:v>Not contacted</x:v>
      </x:c>
      <x:c r="AI2134" s="1" t="str">
        <x:f>IF(I2134=0,"No",IF(AND(COUNT(INDEX('Staff Review'!$D$8:$D$507,I2134))=1,INDEX('Staff Review'!$D$8:$D$507,I2134)&gt;=0,COUNT(INDEX('Staff Review'!$E$8:$E$507,I2134))=1,INDEX('Staff Review'!$E$8:$E$507,I2134)&gt;0,INDEX('Staff Review'!$E$8:$E$507,I2134)&lt;='Top 15'!$E$5,'Top 15'!$E$5-INDEX('Staff Review'!$E$8:$E$507,I2134)&lt;='Top 15'!$H$5,LEN(INDEX('Staff Review'!$H$8:$H$507,I2134))&gt;0),"Yes","No"))</x:f>
        <x:v>No</x:v>
      </x:c>
      <x:c r="AJ2134" s="1" t="str">
        <x:f>IF(I2134=0,"No",IF(COUNT(INDEX('Staff Review'!$F$8:$F$507,I2134))&lt;&gt;1,"No",IF(AND(INDEX('Staff Review'!$F$8:$F$507,I2134)&gt;=0,MOD(INDEX('Staff Review'!$F$8:$F$507,I2134),1)=0,COUNT(INDEX('Staff Review'!$G$8:$G$507,I2134))=1,INDEX('Staff Review'!$G$8:$G$507,I2134)&gt;0,INDEX('Staff Review'!$G$8:$G$507,I2134)&lt;='Top 15'!$E$5,'Top 15'!$E$5-INDEX('Staff Review'!$G$8:$G$507,I2134)&lt;='Top 15'!$H$5,LEN(INDEX('Staff Review'!$H$8:$H$507,I2134))&gt;0),"Yes","No")))</x:f>
        <x:v>No</x:v>
      </x:c>
      <x:c r="AK2134" s="1" t="n">
        <x:f>IF(A2134="",0,COUNTIFS($A$2:$A$501,A2134))</x:f>
        <x:v>1</x:v>
      </x:c>
      <x:c r="AL2134" s="1" t="n">
        <x:f>IF(V2134="Candidate",1,0)</x:f>
        <x:v>1</x:v>
      </x:c>
      <x:c r="AM2134" s="1" t="n">
        <x:f>IF(A2134="",0,VALUE(A2134))</x:f>
        <x:v>3315</x:v>
      </x:c>
      <x:c r="AN2134" s="1" t="n">
        <x:f>IF(OR(A2134="",COUNTIFS($T$41:$T$540,A2134)&lt;&gt;1),0,MATCH(A2134,$T$41:$T$540,0))</x:f>
        <x:v>84</x:v>
      </x:c>
      <x:c r="AO2134" t="n">
        <x:f>IF(ISNUMBER(W2134),W2134,10000+AM2134)</x:f>
        <x:v>149</x:v>
      </x:c>
    </x:row>
    <x:row r="2135" ht="22" customHeight="1">
      <x:c r="A2135" s="1" t="str">
        <x:f>IF(A86="","",A86)</x:f>
        <x:v>3318</x:v>
      </x:c>
      <x:c r="B2135" s="1" t="str">
        <x:f>IF(A2135="","",B86)</x:f>
        <x:v>Freire Charter School</x:v>
      </x:c>
      <x:c r="C2135" s="1" t="str">
        <x:f>IF(A2135="","",C86)</x:f>
        <x:v>Charter</x:v>
      </x:c>
      <x:c r="D2135" s="1" t="str">
        <x:f>IF(A2135="","",E86)</x:f>
        <x:v>Middle-High</x:v>
      </x:c>
      <x:c r="E2135" s="1" t="str">
        <x:f>IF(A2135="","",H86)</x:f>
        <x:v>19103</x:v>
      </x:c>
      <x:c r="F2135" s="1" t="n">
        <x:f>IF(ISNUMBER(K86),K86,"")</x:f>
        <x:v>1072</x:v>
      </x:c>
      <x:c r="G2135" s="1" t="n">
        <x:f>IF(ISNUMBER(L86),L86,"")</x:f>
        <x:v>0.7488</x:v>
      </x:c>
      <x:c r="H2135" s="1" t="str">
        <x:f>IF(A2135="","",IF(AND(UPPER(G86)="PHILADELPHIA",OR(C2135="District",AND(C2135="Charter",D86="Yes"))),"Yes","No"))</x:f>
        <x:v>Yes</x:v>
      </x:c>
      <x:c r="I2135" s="1" t="n">
        <x:f>IF(OR(A2135="",COUNTIFS('Staff Review'!$A$8:$A$507,A2135)&lt;&gt;1),0,MATCH(A2135,'Staff Review'!$A$8:$A$507,0))</x:f>
        <x:v>87</x:v>
      </x:c>
      <x:c r="J2135" s="1" t="str">
        <x:f>IF(I2135=0,"No",IF(INDEX('Staff Review'!$C$8:$C$507,I2135)="Yes","Yes","No"))</x:f>
        <x:v>No</x:v>
      </x:c>
      <x:c r="K2135" s="1" t="n">
        <x:f>IF(AI2135="Yes",INDEX('Staff Review'!$D$8:$D$507,I2135),IF(AB2135=0,"",IF(COUNT(INDEX($C$1531:$C$2030,AB2135))=1,INDEX($C$1531:$C$2030,AB2135),"")))</x:f>
        <x:v>0.13231860273611198</x:v>
      </x:c>
      <x:c r="L2135" s="1" t="n">
        <x:f>IF(AJ2135="Yes",INDEX('Staff Review'!$F$8:$F$507,I2135),IF(AB2135=0,"",IF(COUNT(INDEX($G$1531:$G$2030,AB2135))=1,INDEX($G$1531:$G$2030,AB2135),"")))</x:f>
        <x:v>5</x:v>
      </x:c>
      <x:c r="M2135" s="1" t="str">
        <x:f>IF(A2135="","",IF(AI2135="Yes","Verified","Listed"))</x:f>
        <x:v>Listed</x:v>
      </x:c>
      <x:c r="N2135" s="1" t="str">
        <x:f>IF(A2135="","",IF(AJ2135="Yes","Verified","Listed"))</x:f>
        <x:v>Listed</x:v>
      </x:c>
      <x:c r="O2135" s="1" t="n">
        <x:f>IF(AND(ISNUMBER(G2135),G2135&gt;=0,G2135&lt;=1),IF(G2135&gt;=0.9,30,IF(G2135&gt;=0.8,25,IF(G2135&gt;=0.7,20,IF(G2135&gt;=0.6,15,IF(G2135&gt;=0.5,10,IF(G2135&gt;=0.4,5,0)))))),"")</x:f>
        <x:v>20</x:v>
      </x:c>
      <x:c r="P2135" s="1" t="n">
        <x:f>IF(ISNUMBER(K2135),IF(K2135&lt;0,"",IF(K2135&gt;1,25,IF(K2135&gt;=0.75,20,IF(K2135&gt;=0.5,15,IF(K2135&gt;=0.25,10,5))))),"")</x:f>
        <x:v>5</x:v>
      </x:c>
      <x:c r="Q2135" s="1" t="n">
        <x:f>IF(NOT(ISNUMBER(L2135)),"",IF(AND(L2135&gt;=0,MOD(L2135,1)=0),MAX(0,25-5*L2135),""))</x:f>
        <x:v>0</x:v>
      </x:c>
      <x:c r="R2135" s="1" t="n">
        <x:f>IF(NOT(ISNUMBER(F2135)),"",IF(AND(F2135&gt;0,MOD(F2135,1)=0),IF(F2135&gt;=700,5,IF(F2135&gt;=500,4,IF(F2135&gt;=350,3,IF(F2135&gt;=200,2,1)))),""))</x:f>
        <x:v>5</x:v>
      </x:c>
      <x:c r="S2135" s="1" t="n">
        <x:f>IF(COUNT(O2135:R2135)=4,SUM(O2135:R2135),"")</x:f>
        <x:v>30</x:v>
      </x:c>
      <x:c r="T2135" s="1" t="n">
        <x:f>IF(OR(COUNT(O2135:R2135)&lt;&gt;4,COUNT('Top 15'!$B$35:$E$35)&lt;&gt;4,MIN('Top 15'!$B$35:$E$35)&lt;0,SUM('Top 15'!$B$35:$E$35)&lt;=0),"",ROUND(85*(O2135/30*'Top 15'!$B$35+P2135/25*'Top 15'!$C$35+Q2135/25*'Top 15'!$D$35+R2135/5*'Top 15'!$E$35)/SUM('Top 15'!$B$35:$E$35),6))</x:f>
        <x:v>30</x:v>
      </x:c>
      <x:c r="U2135" s="1" t="str">
        <x:f>IF(A2135="","",IF(AND(M2135="Verified",N2135="Verified"),"Verified",IF(AND(M2135="Listed",N2135="Listed"),"Listed","Mixed")))</x:f>
        <x:v>Listed</x:v>
      </x:c>
      <x:c r="V2135" s="1" t="str">
        <x:f>IF(A2135="","",IF(AK2135&lt;&gt;1,"Duplicate source ID",IF(COUNTIFS('Staff Review'!$A$8:$A$507,A2135)&gt;1,"Duplicate review ID",IF(H2135&lt;&gt;"Yes","Outside scope",IF(J2135="Yes","Already served",IF(NOT(ISNUMBER(T2135)),"Missing data","Candidate"))))))</x:f>
        <x:v>Candidate</x:v>
      </x:c>
      <x:c r="W2135" s="1" t="n">
        <x:f>IF(AL2135=0,"",1+COUNTIFS($AL$2051:$AL$2550,1,$T$2051:$T$2550,"&gt;"&amp;T2135)+COUNTIFS($AL$2051:$AL$2550,1,$T$2051:$T$2550,T2135,$G$2051:$G$2550,"&gt;"&amp;G2135)+COUNTIFS($AL$2051:$AL$2550,1,$T$2051:$T$2550,T2135,$G$2051:$G$2550,G2135,$F$2051:$F$2550,"&gt;"&amp;F2135)+COUNTIFS($AL$2051:$AL$2550,1,$T$2051:$T$2550,T2135,$G$2051:$G$2550,G2135,$F$2051:$F$2550,F2135,$AM$2051:$AM$2550,"&lt;"&amp;AM2135))</x:f>
        <x:v>256</x:v>
      </x:c>
      <x:c r="X2135" s="1" t="n">
        <x:f>IF(AL2135=0,"",1+COUNTIFS($AL$2051:$AL$2550,1,$T$2051:$T$2550,"&gt;"&amp;T2135))</x:f>
        <x:v>253</x:v>
      </x:c>
      <x:c r="Y2135" s="1" t="n">
        <x:f>IF(AND(H2135="Yes",OR(LEN('School Search'!$B$5)=0,ISNUMBER(SEARCH('School Search'!$B$5,B2135&amp;" "&amp;E2135&amp;" "&amp;A2135))),OR('School Search'!$D$5="All",C2135='School Search'!$D$5),OR('School Search'!$G$5="All eligible",AND('School Search'!$G$5="Not marked served",J2135&lt;&gt;"Yes"),AND('School Search'!$G$5="Missing data",V2135="Missing data"),AND('School Search'!$G$5="Marked served",J2135="Yes"))),1,0)</x:f>
        <x:v>1</x:v>
      </x:c>
      <x:c r="Z2135" s="1" t="n">
        <x:f>IF(Y2135=0,"",COUNTIFS($Y$2051:$Y$2550,1,$AO$2051:$AO$2550,"&lt;"&amp;AO2135)+COUNTIFS($Y$2051:Y2135,1,$AO$2051:AO2135,AO2135))</x:f>
        <x:v>256</x:v>
      </x:c>
      <x:c r="AA2135" s="1" t="str">
        <x:f>IF(NOT(ISNUMBER(S2135)),"Missing demographic or access input",TEXT(G2135,"0%")&amp;" economic need; "&amp;TEXT(K2135,"0.00")&amp;" mi fresh access; "&amp;L2135&amp;" nearby resources")</x:f>
        <x:v>75% economic need; 0.13 mi fresh access; 5 nearby resources</x:v>
      </x:c>
      <x:c r="AB2135" s="1" t="n">
        <x:f>IF(OR(A2135="",COUNTIFS($A$1531:$A$2030,A2135)&lt;&gt;1),0,MATCH(A2135,$A$1531:$A$2030,0))</x:f>
        <x:v>85</x:v>
      </x:c>
      <x:c r="AC2135" s="1" t="str">
        <x:f>IF(AB2135=0,"",INDEX($E$1531:$E$2030,AB2135))</x:f>
        <x:v>Target 3206</x:v>
      </x:c>
      <x:c r="AD2135" s="1" t="str">
        <x:f>IF(AB2135=0,"",INDEX($F$1531:$F$2030,AB2135))</x:f>
        <x:v>1900 Chestnut St, Philadelphia, PA, 19103</x:v>
      </x:c>
      <x:c r="AE2135" s="1" t="str">
        <x:f>IF(A2135="","",F86)</x:f>
        <x:v>2027 CHESTNUT ST</x:v>
      </x:c>
      <x:c r="AF2135" s="1" t="n">
        <x:f>IF(ISNUMBER(I86),I86,"")</x:f>
        <x:v>39.95247289</x:v>
      </x:c>
      <x:c r="AG2135" s="1" t="n">
        <x:f>IF(ISNUMBER(J86),J86,"")</x:f>
        <x:v>-75.17442259</x:v>
      </x:c>
      <x:c r="AH2135" s="1" t="str">
        <x:f>IF(I2135=0,"Not contacted",IF(INDEX('Staff Review'!$J$8:$J$507,I2135)="","Not contacted",INDEX('Staff Review'!$J$8:$J$507,I2135)))</x:f>
        <x:v>Not contacted</x:v>
      </x:c>
      <x:c r="AI2135" s="1" t="str">
        <x:f>IF(I2135=0,"No",IF(AND(COUNT(INDEX('Staff Review'!$D$8:$D$507,I2135))=1,INDEX('Staff Review'!$D$8:$D$507,I2135)&gt;=0,COUNT(INDEX('Staff Review'!$E$8:$E$507,I2135))=1,INDEX('Staff Review'!$E$8:$E$507,I2135)&gt;0,INDEX('Staff Review'!$E$8:$E$507,I2135)&lt;='Top 15'!$E$5,'Top 15'!$E$5-INDEX('Staff Review'!$E$8:$E$507,I2135)&lt;='Top 15'!$H$5,LEN(INDEX('Staff Review'!$H$8:$H$507,I2135))&gt;0),"Yes","No"))</x:f>
        <x:v>No</x:v>
      </x:c>
      <x:c r="AJ2135" s="1" t="str">
        <x:f>IF(I2135=0,"No",IF(COUNT(INDEX('Staff Review'!$F$8:$F$507,I2135))&lt;&gt;1,"No",IF(AND(INDEX('Staff Review'!$F$8:$F$507,I2135)&gt;=0,MOD(INDEX('Staff Review'!$F$8:$F$507,I2135),1)=0,COUNT(INDEX('Staff Review'!$G$8:$G$507,I2135))=1,INDEX('Staff Review'!$G$8:$G$507,I2135)&gt;0,INDEX('Staff Review'!$G$8:$G$507,I2135)&lt;='Top 15'!$E$5,'Top 15'!$E$5-INDEX('Staff Review'!$G$8:$G$507,I2135)&lt;='Top 15'!$H$5,LEN(INDEX('Staff Review'!$H$8:$H$507,I2135))&gt;0),"Yes","No")))</x:f>
        <x:v>No</x:v>
      </x:c>
      <x:c r="AK2135" s="1" t="n">
        <x:f>IF(A2135="",0,COUNTIFS($A$2:$A$501,A2135))</x:f>
        <x:v>1</x:v>
      </x:c>
      <x:c r="AL2135" s="1" t="n">
        <x:f>IF(V2135="Candidate",1,0)</x:f>
        <x:v>1</x:v>
      </x:c>
      <x:c r="AM2135" s="1" t="n">
        <x:f>IF(A2135="",0,VALUE(A2135))</x:f>
        <x:v>3318</x:v>
      </x:c>
      <x:c r="AN2135" s="1" t="n">
        <x:f>IF(OR(A2135="",COUNTIFS($T$41:$T$540,A2135)&lt;&gt;1),0,MATCH(A2135,$T$41:$T$540,0))</x:f>
        <x:v>85</x:v>
      </x:c>
      <x:c r="AO2135" t="n">
        <x:f>IF(ISNUMBER(W2135),W2135,10000+AM2135)</x:f>
        <x:v>256</x:v>
      </x:c>
    </x:row>
    <x:row r="2136" ht="22" customHeight="1">
      <x:c r="A2136" s="1" t="str">
        <x:f>IF(A87="","",A87)</x:f>
        <x:v>3322</x:v>
      </x:c>
      <x:c r="B2136" s="1" t="str">
        <x:f>IF(A2136="","",B87)</x:f>
        <x:v>Philadelphia Academy Charter School</x:v>
      </x:c>
      <x:c r="C2136" s="1" t="str">
        <x:f>IF(A2136="","",C87)</x:f>
        <x:v>Charter</x:v>
      </x:c>
      <x:c r="D2136" s="1" t="str">
        <x:f>IF(A2136="","",E87)</x:f>
        <x:v>Elementary-Middle-High</x:v>
      </x:c>
      <x:c r="E2136" s="1" t="str">
        <x:f>IF(A2136="","",H87)</x:f>
        <x:v>19116</x:v>
      </x:c>
      <x:c r="F2136" s="1" t="n">
        <x:f>IF(ISNUMBER(K87),K87,"")</x:f>
        <x:v>1195</x:v>
      </x:c>
      <x:c r="G2136" s="1" t="n">
        <x:f>IF(ISNUMBER(L87),L87,"")</x:f>
        <x:v>0.5388</x:v>
      </x:c>
      <x:c r="H2136" s="1" t="str">
        <x:f>IF(A2136="","",IF(AND(UPPER(G87)="PHILADELPHIA",OR(C2136="District",AND(C2136="Charter",D87="Yes"))),"Yes","No"))</x:f>
        <x:v>Yes</x:v>
      </x:c>
      <x:c r="I2136" s="1" t="n">
        <x:f>IF(OR(A2136="",COUNTIFS('Staff Review'!$A$8:$A$507,A2136)&lt;&gt;1),0,MATCH(A2136,'Staff Review'!$A$8:$A$507,0))</x:f>
        <x:v>231</x:v>
      </x:c>
      <x:c r="J2136" s="1" t="str">
        <x:f>IF(I2136=0,"No",IF(INDEX('Staff Review'!$C$8:$C$507,I2136)="Yes","Yes","No"))</x:f>
        <x:v>No</x:v>
      </x:c>
      <x:c r="K2136" s="1" t="n">
        <x:f>IF(AI2136="Yes",INDEX('Staff Review'!$D$8:$D$507,I2136),IF(AB2136=0,"",IF(COUNT(INDEX($C$1531:$C$2030,AB2136))=1,INDEX($C$1531:$C$2030,AB2136),"")))</x:f>
        <x:v>0.15913114827820626</x:v>
      </x:c>
      <x:c r="L2136" s="1" t="n">
        <x:f>IF(AJ2136="Yes",INDEX('Staff Review'!$F$8:$F$507,I2136),IF(AB2136=0,"",IF(COUNT(INDEX($G$1531:$G$2030,AB2136))=1,INDEX($G$1531:$G$2030,AB2136),"")))</x:f>
        <x:v>3</x:v>
      </x:c>
      <x:c r="M2136" s="1" t="str">
        <x:f>IF(A2136="","",IF(AI2136="Yes","Verified","Listed"))</x:f>
        <x:v>Listed</x:v>
      </x:c>
      <x:c r="N2136" s="1" t="str">
        <x:f>IF(A2136="","",IF(AJ2136="Yes","Verified","Listed"))</x:f>
        <x:v>Listed</x:v>
      </x:c>
      <x:c r="O2136" s="1" t="n">
        <x:f>IF(AND(ISNUMBER(G2136),G2136&gt;=0,G2136&lt;=1),IF(G2136&gt;=0.9,30,IF(G2136&gt;=0.8,25,IF(G2136&gt;=0.7,20,IF(G2136&gt;=0.6,15,IF(G2136&gt;=0.5,10,IF(G2136&gt;=0.4,5,0)))))),"")</x:f>
        <x:v>10</x:v>
      </x:c>
      <x:c r="P2136" s="1" t="n">
        <x:f>IF(ISNUMBER(K2136),IF(K2136&lt;0,"",IF(K2136&gt;1,25,IF(K2136&gt;=0.75,20,IF(K2136&gt;=0.5,15,IF(K2136&gt;=0.25,10,5))))),"")</x:f>
        <x:v>5</x:v>
      </x:c>
      <x:c r="Q2136" s="1" t="n">
        <x:f>IF(NOT(ISNUMBER(L2136)),"",IF(AND(L2136&gt;=0,MOD(L2136,1)=0),MAX(0,25-5*L2136),""))</x:f>
        <x:v>10</x:v>
      </x:c>
      <x:c r="R2136" s="1" t="n">
        <x:f>IF(NOT(ISNUMBER(F2136)),"",IF(AND(F2136&gt;0,MOD(F2136,1)=0),IF(F2136&gt;=700,5,IF(F2136&gt;=500,4,IF(F2136&gt;=350,3,IF(F2136&gt;=200,2,1)))),""))</x:f>
        <x:v>5</x:v>
      </x:c>
      <x:c r="S2136" s="1" t="n">
        <x:f>IF(COUNT(O2136:R2136)=4,SUM(O2136:R2136),"")</x:f>
        <x:v>30</x:v>
      </x:c>
      <x:c r="T2136" s="1" t="n">
        <x:f>IF(OR(COUNT(O2136:R2136)&lt;&gt;4,COUNT('Top 15'!$B$35:$E$35)&lt;&gt;4,MIN('Top 15'!$B$35:$E$35)&lt;0,SUM('Top 15'!$B$35:$E$35)&lt;=0),"",ROUND(85*(O2136/30*'Top 15'!$B$35+P2136/25*'Top 15'!$C$35+Q2136/25*'Top 15'!$D$35+R2136/5*'Top 15'!$E$35)/SUM('Top 15'!$B$35:$E$35),6))</x:f>
        <x:v>30</x:v>
      </x:c>
      <x:c r="U2136" s="1" t="str">
        <x:f>IF(A2136="","",IF(AND(M2136="Verified",N2136="Verified"),"Verified",IF(AND(M2136="Listed",N2136="Listed"),"Listed","Mixed")))</x:f>
        <x:v>Listed</x:v>
      </x:c>
      <x:c r="V2136" s="1" t="str">
        <x:f>IF(A2136="","",IF(AK2136&lt;&gt;1,"Duplicate source ID",IF(COUNTIFS('Staff Review'!$A$8:$A$507,A2136)&gt;1,"Duplicate review ID",IF(H2136&lt;&gt;"Yes","Outside scope",IF(J2136="Yes","Already served",IF(NOT(ISNUMBER(T2136)),"Missing data","Candidate"))))))</x:f>
        <x:v>Candidate</x:v>
      </x:c>
      <x:c r="W2136" s="1" t="n">
        <x:f>IF(AL2136=0,"",1+COUNTIFS($AL$2051:$AL$2550,1,$T$2051:$T$2550,"&gt;"&amp;T2136)+COUNTIFS($AL$2051:$AL$2550,1,$T$2051:$T$2550,T2136,$G$2051:$G$2550,"&gt;"&amp;G2136)+COUNTIFS($AL$2051:$AL$2550,1,$T$2051:$T$2550,T2136,$G$2051:$G$2550,G2136,$F$2051:$F$2550,"&gt;"&amp;F2136)+COUNTIFS($AL$2051:$AL$2550,1,$T$2051:$T$2550,T2136,$G$2051:$G$2550,G2136,$F$2051:$F$2550,F2136,$AM$2051:$AM$2550,"&lt;"&amp;AM2136))</x:f>
        <x:v>261</x:v>
      </x:c>
      <x:c r="X2136" s="1" t="n">
        <x:f>IF(AL2136=0,"",1+COUNTIFS($AL$2051:$AL$2550,1,$T$2051:$T$2550,"&gt;"&amp;T2136))</x:f>
        <x:v>253</x:v>
      </x:c>
      <x:c r="Y2136" s="1" t="n">
        <x:f>IF(AND(H2136="Yes",OR(LEN('School Search'!$B$5)=0,ISNUMBER(SEARCH('School Search'!$B$5,B2136&amp;" "&amp;E2136&amp;" "&amp;A2136))),OR('School Search'!$D$5="All",C2136='School Search'!$D$5),OR('School Search'!$G$5="All eligible",AND('School Search'!$G$5="Not marked served",J2136&lt;&gt;"Yes"),AND('School Search'!$G$5="Missing data",V2136="Missing data"),AND('School Search'!$G$5="Marked served",J2136="Yes"))),1,0)</x:f>
        <x:v>1</x:v>
      </x:c>
      <x:c r="Z2136" s="1" t="n">
        <x:f>IF(Y2136=0,"",COUNTIFS($Y$2051:$Y$2550,1,$AO$2051:$AO$2550,"&lt;"&amp;AO2136)+COUNTIFS($Y$2051:Y2136,1,$AO$2051:AO2136,AO2136))</x:f>
        <x:v>261</x:v>
      </x:c>
      <x:c r="AA2136" s="1" t="str">
        <x:f>IF(NOT(ISNUMBER(S2136)),"Missing demographic or access input",TEXT(G2136,"0%")&amp;" economic need; "&amp;TEXT(K2136,"0.00")&amp;" mi fresh access; "&amp;L2136&amp;" nearby resources")</x:f>
        <x:v>54% economic need; 0.16 mi fresh access; 3 nearby resources</x:v>
      </x:c>
      <x:c r="AB2136" s="1" t="n">
        <x:f>IF(OR(A2136="",COUNTIFS($A$1531:$A$2030,A2136)&lt;&gt;1),0,MATCH(A2136,$A$1531:$A$2030,0))</x:f>
        <x:v>86</x:v>
      </x:c>
      <x:c r="AC2136" s="1" t="str">
        <x:f>IF(AB2136=0,"",INDEX($E$1531:$E$2030,AB2136))</x:f>
        <x:v>ShopRite of Roosevelt Blvd 532</x:v>
      </x:c>
      <x:c r="AD2136" s="1" t="str">
        <x:f>IF(AB2136=0,"",INDEX($F$1531:$F$2030,AB2136))</x:f>
        <x:v>11000 Roosevelt Blvd, Philadelphia, PA, 19116</x:v>
      </x:c>
      <x:c r="AE2136" s="1" t="str">
        <x:f>IF(A2136="","",F87)</x:f>
        <x:v>11000 ROOSEVELT BLVD</x:v>
      </x:c>
      <x:c r="AF2136" s="1" t="n">
        <x:f>IF(ISNUMBER(I87),I87,"")</x:f>
        <x:v>40.10358436</x:v>
      </x:c>
      <x:c r="AG2136" s="1" t="n">
        <x:f>IF(ISNUMBER(J87),J87,"")</x:f>
        <x:v>-75.01109307</x:v>
      </x:c>
      <x:c r="AH2136" s="1" t="str">
        <x:f>IF(I2136=0,"Not contacted",IF(INDEX('Staff Review'!$J$8:$J$507,I2136)="","Not contacted",INDEX('Staff Review'!$J$8:$J$507,I2136)))</x:f>
        <x:v>Not contacted</x:v>
      </x:c>
      <x:c r="AI2136" s="1" t="str">
        <x:f>IF(I2136=0,"No",IF(AND(COUNT(INDEX('Staff Review'!$D$8:$D$507,I2136))=1,INDEX('Staff Review'!$D$8:$D$507,I2136)&gt;=0,COUNT(INDEX('Staff Review'!$E$8:$E$507,I2136))=1,INDEX('Staff Review'!$E$8:$E$507,I2136)&gt;0,INDEX('Staff Review'!$E$8:$E$507,I2136)&lt;='Top 15'!$E$5,'Top 15'!$E$5-INDEX('Staff Review'!$E$8:$E$507,I2136)&lt;='Top 15'!$H$5,LEN(INDEX('Staff Review'!$H$8:$H$507,I2136))&gt;0),"Yes","No"))</x:f>
        <x:v>No</x:v>
      </x:c>
      <x:c r="AJ2136" s="1" t="str">
        <x:f>IF(I2136=0,"No",IF(COUNT(INDEX('Staff Review'!$F$8:$F$507,I2136))&lt;&gt;1,"No",IF(AND(INDEX('Staff Review'!$F$8:$F$507,I2136)&gt;=0,MOD(INDEX('Staff Review'!$F$8:$F$507,I2136),1)=0,COUNT(INDEX('Staff Review'!$G$8:$G$507,I2136))=1,INDEX('Staff Review'!$G$8:$G$507,I2136)&gt;0,INDEX('Staff Review'!$G$8:$G$507,I2136)&lt;='Top 15'!$E$5,'Top 15'!$E$5-INDEX('Staff Review'!$G$8:$G$507,I2136)&lt;='Top 15'!$H$5,LEN(INDEX('Staff Review'!$H$8:$H$507,I2136))&gt;0),"Yes","No")))</x:f>
        <x:v>No</x:v>
      </x:c>
      <x:c r="AK2136" s="1" t="n">
        <x:f>IF(A2136="",0,COUNTIFS($A$2:$A$501,A2136))</x:f>
        <x:v>1</x:v>
      </x:c>
      <x:c r="AL2136" s="1" t="n">
        <x:f>IF(V2136="Candidate",1,0)</x:f>
        <x:v>1</x:v>
      </x:c>
      <x:c r="AM2136" s="1" t="n">
        <x:f>IF(A2136="",0,VALUE(A2136))</x:f>
        <x:v>3322</x:v>
      </x:c>
      <x:c r="AN2136" s="1" t="n">
        <x:f>IF(OR(A2136="",COUNTIFS($T$41:$T$540,A2136)&lt;&gt;1),0,MATCH(A2136,$T$41:$T$540,0))</x:f>
        <x:v>86</x:v>
      </x:c>
      <x:c r="AO2136" t="n">
        <x:f>IF(ISNUMBER(W2136),W2136,10000+AM2136)</x:f>
        <x:v>261</x:v>
      </x:c>
    </x:row>
    <x:row r="2137" ht="22" customHeight="1">
      <x:c r="A2137" s="1" t="str">
        <x:f>IF(A88="","",A88)</x:f>
        <x:v>3323</x:v>
      </x:c>
      <x:c r="B2137" s="1" t="str">
        <x:f>IF(A2137="","",B88)</x:f>
        <x:v>Mastery Charter School at Hardy Williams</x:v>
      </x:c>
      <x:c r="C2137" s="1" t="str">
        <x:f>IF(A2137="","",C88)</x:f>
        <x:v>Charter</x:v>
      </x:c>
      <x:c r="D2137" s="1" t="str">
        <x:f>IF(A2137="","",E88)</x:f>
        <x:v>Elementary-Middle-High</x:v>
      </x:c>
      <x:c r="E2137" s="1" t="str">
        <x:f>IF(A2137="","",H88)</x:f>
        <x:v>19143</x:v>
      </x:c>
      <x:c r="F2137" s="1" t="n">
        <x:f>IF(ISNUMBER(K88),K88,"")</x:f>
        <x:v>1211</x:v>
      </x:c>
      <x:c r="G2137" s="1" t="n">
        <x:f>IF(ISNUMBER(L88),L88,"")</x:f>
        <x:v>0.9076</x:v>
      </x:c>
      <x:c r="H2137" s="1" t="str">
        <x:f>IF(A2137="","",IF(AND(UPPER(G88)="PHILADELPHIA",OR(C2137="District",AND(C2137="Charter",D88="Yes"))),"Yes","No"))</x:f>
        <x:v>Yes</x:v>
      </x:c>
      <x:c r="I2137" s="1" t="n">
        <x:f>IF(OR(A2137="",COUNTIFS('Staff Review'!$A$8:$A$507,A2137)&lt;&gt;1),0,MATCH(A2137,'Staff Review'!$A$8:$A$507,0))</x:f>
        <x:v>186</x:v>
      </x:c>
      <x:c r="J2137" s="1" t="str">
        <x:f>IF(I2137=0,"No",IF(INDEX('Staff Review'!$C$8:$C$507,I2137)="Yes","Yes","No"))</x:f>
        <x:v>No</x:v>
      </x:c>
      <x:c r="K2137" s="1" t="n">
        <x:f>IF(AI2137="Yes",INDEX('Staff Review'!$D$8:$D$507,I2137),IF(AB2137=0,"",IF(COUNT(INDEX($C$1531:$C$2030,AB2137))=1,INDEX($C$1531:$C$2030,AB2137),"")))</x:f>
        <x:v>0.5418112168210192</x:v>
      </x:c>
      <x:c r="L2137" s="1" t="n">
        <x:f>IF(AJ2137="Yes",INDEX('Staff Review'!$F$8:$F$507,I2137),IF(AB2137=0,"",IF(COUNT(INDEX($G$1531:$G$2030,AB2137))=1,INDEX($G$1531:$G$2030,AB2137),"")))</x:f>
        <x:v>10</x:v>
      </x:c>
      <x:c r="M2137" s="1" t="str">
        <x:f>IF(A2137="","",IF(AI2137="Yes","Verified","Listed"))</x:f>
        <x:v>Listed</x:v>
      </x:c>
      <x:c r="N2137" s="1" t="str">
        <x:f>IF(A2137="","",IF(AJ2137="Yes","Verified","Listed"))</x:f>
        <x:v>Listed</x:v>
      </x:c>
      <x:c r="O2137" s="1" t="n">
        <x:f>IF(AND(ISNUMBER(G2137),G2137&gt;=0,G2137&lt;=1),IF(G2137&gt;=0.9,30,IF(G2137&gt;=0.8,25,IF(G2137&gt;=0.7,20,IF(G2137&gt;=0.6,15,IF(G2137&gt;=0.5,10,IF(G2137&gt;=0.4,5,0)))))),"")</x:f>
        <x:v>30</x:v>
      </x:c>
      <x:c r="P2137" s="1" t="n">
        <x:f>IF(ISNUMBER(K2137),IF(K2137&lt;0,"",IF(K2137&gt;1,25,IF(K2137&gt;=0.75,20,IF(K2137&gt;=0.5,15,IF(K2137&gt;=0.25,10,5))))),"")</x:f>
        <x:v>15</x:v>
      </x:c>
      <x:c r="Q2137" s="1" t="n">
        <x:f>IF(NOT(ISNUMBER(L2137)),"",IF(AND(L2137&gt;=0,MOD(L2137,1)=0),MAX(0,25-5*L2137),""))</x:f>
        <x:v>0</x:v>
      </x:c>
      <x:c r="R2137" s="1" t="n">
        <x:f>IF(NOT(ISNUMBER(F2137)),"",IF(AND(F2137&gt;0,MOD(F2137,1)=0),IF(F2137&gt;=700,5,IF(F2137&gt;=500,4,IF(F2137&gt;=350,3,IF(F2137&gt;=200,2,1)))),""))</x:f>
        <x:v>5</x:v>
      </x:c>
      <x:c r="S2137" s="1" t="n">
        <x:f>IF(COUNT(O2137:R2137)=4,SUM(O2137:R2137),"")</x:f>
        <x:v>50</x:v>
      </x:c>
      <x:c r="T2137" s="1" t="n">
        <x:f>IF(OR(COUNT(O2137:R2137)&lt;&gt;4,COUNT('Top 15'!$B$35:$E$35)&lt;&gt;4,MIN('Top 15'!$B$35:$E$35)&lt;0,SUM('Top 15'!$B$35:$E$35)&lt;=0),"",ROUND(85*(O2137/30*'Top 15'!$B$35+P2137/25*'Top 15'!$C$35+Q2137/25*'Top 15'!$D$35+R2137/5*'Top 15'!$E$35)/SUM('Top 15'!$B$35:$E$35),6))</x:f>
        <x:v>50</x:v>
      </x:c>
      <x:c r="U2137" s="1" t="str">
        <x:f>IF(A2137="","",IF(AND(M2137="Verified",N2137="Verified"),"Verified",IF(AND(M2137="Listed",N2137="Listed"),"Listed","Mixed")))</x:f>
        <x:v>Listed</x:v>
      </x:c>
      <x:c r="V2137" s="1" t="str">
        <x:f>IF(A2137="","",IF(AK2137&lt;&gt;1,"Duplicate source ID",IF(COUNTIFS('Staff Review'!$A$8:$A$507,A2137)&gt;1,"Duplicate review ID",IF(H2137&lt;&gt;"Yes","Outside scope",IF(J2137="Yes","Already served",IF(NOT(ISNUMBER(T2137)),"Missing data","Candidate"))))))</x:f>
        <x:v>Candidate</x:v>
      </x:c>
      <x:c r="W2137" s="1" t="n">
        <x:f>IF(AL2137=0,"",1+COUNTIFS($AL$2051:$AL$2550,1,$T$2051:$T$2550,"&gt;"&amp;T2137)+COUNTIFS($AL$2051:$AL$2550,1,$T$2051:$T$2550,T2137,$G$2051:$G$2550,"&gt;"&amp;G2137)+COUNTIFS($AL$2051:$AL$2550,1,$T$2051:$T$2550,T2137,$G$2051:$G$2550,G2137,$F$2051:$F$2550,"&gt;"&amp;F2137)+COUNTIFS($AL$2051:$AL$2550,1,$T$2051:$T$2550,T2137,$G$2051:$G$2550,G2137,$F$2051:$F$2550,F2137,$AM$2051:$AM$2550,"&lt;"&amp;AM2137))</x:f>
        <x:v>41</x:v>
      </x:c>
      <x:c r="X2137" s="1" t="n">
        <x:f>IF(AL2137=0,"",1+COUNTIFS($AL$2051:$AL$2550,1,$T$2051:$T$2550,"&gt;"&amp;T2137))</x:f>
        <x:v>39</x:v>
      </x:c>
      <x:c r="Y2137" s="1" t="n">
        <x:f>IF(AND(H2137="Yes",OR(LEN('School Search'!$B$5)=0,ISNUMBER(SEARCH('School Search'!$B$5,B2137&amp;" "&amp;E2137&amp;" "&amp;A2137))),OR('School Search'!$D$5="All",C2137='School Search'!$D$5),OR('School Search'!$G$5="All eligible",AND('School Search'!$G$5="Not marked served",J2137&lt;&gt;"Yes"),AND('School Search'!$G$5="Missing data",V2137="Missing data"),AND('School Search'!$G$5="Marked served",J2137="Yes"))),1,0)</x:f>
        <x:v>1</x:v>
      </x:c>
      <x:c r="Z2137" s="1" t="n">
        <x:f>IF(Y2137=0,"",COUNTIFS($Y$2051:$Y$2550,1,$AO$2051:$AO$2550,"&lt;"&amp;AO2137)+COUNTIFS($Y$2051:Y2137,1,$AO$2051:AO2137,AO2137))</x:f>
        <x:v>41</x:v>
      </x:c>
      <x:c r="AA2137" s="1" t="str">
        <x:f>IF(NOT(ISNUMBER(S2137)),"Missing demographic or access input",TEXT(G2137,"0%")&amp;" economic need; "&amp;TEXT(K2137,"0.00")&amp;" mi fresh access; "&amp;L2137&amp;" nearby resources")</x:f>
        <x:v>91% economic need; 0.54 mi fresh access; 10 nearby resources</x:v>
      </x:c>
      <x:c r="AB2137" s="1" t="n">
        <x:f>IF(OR(A2137="",COUNTIFS($A$1531:$A$2030,A2137)&lt;&gt;1),0,MATCH(A2137,$A$1531:$A$2030,0))</x:f>
        <x:v>87</x:v>
      </x:c>
      <x:c r="AC2137" s="1" t="str">
        <x:f>IF(AB2137=0,"",INDEX($E$1531:$E$2030,AB2137))</x:f>
        <x:v>Mariposa Food Coop</x:v>
      </x:c>
      <x:c r="AD2137" s="1" t="str">
        <x:f>IF(AB2137=0,"",INDEX($F$1531:$F$2030,AB2137))</x:f>
        <x:v>4824 Baltimore Ave, Philadelphia, PA, 19143</x:v>
      </x:c>
      <x:c r="AE2137" s="1" t="str">
        <x:f>IF(A2137="","",F88)</x:f>
        <x:v>5400 WARRINGTON AVE</x:v>
      </x:c>
      <x:c r="AF2137" s="1" t="n">
        <x:f>IF(ISNUMBER(I88),I88,"")</x:f>
        <x:v>39.941562</x:v>
      </x:c>
      <x:c r="AG2137" s="1" t="n">
        <x:f>IF(ISNUMBER(J88),J88,"")</x:f>
        <x:v>-75.226447</x:v>
      </x:c>
      <x:c r="AH2137" s="1" t="str">
        <x:f>IF(I2137=0,"Not contacted",IF(INDEX('Staff Review'!$J$8:$J$507,I2137)="","Not contacted",INDEX('Staff Review'!$J$8:$J$507,I2137)))</x:f>
        <x:v>Not contacted</x:v>
      </x:c>
      <x:c r="AI2137" s="1" t="str">
        <x:f>IF(I2137=0,"No",IF(AND(COUNT(INDEX('Staff Review'!$D$8:$D$507,I2137))=1,INDEX('Staff Review'!$D$8:$D$507,I2137)&gt;=0,COUNT(INDEX('Staff Review'!$E$8:$E$507,I2137))=1,INDEX('Staff Review'!$E$8:$E$507,I2137)&gt;0,INDEX('Staff Review'!$E$8:$E$507,I2137)&lt;='Top 15'!$E$5,'Top 15'!$E$5-INDEX('Staff Review'!$E$8:$E$507,I2137)&lt;='Top 15'!$H$5,LEN(INDEX('Staff Review'!$H$8:$H$507,I2137))&gt;0),"Yes","No"))</x:f>
        <x:v>No</x:v>
      </x:c>
      <x:c r="AJ2137" s="1" t="str">
        <x:f>IF(I2137=0,"No",IF(COUNT(INDEX('Staff Review'!$F$8:$F$507,I2137))&lt;&gt;1,"No",IF(AND(INDEX('Staff Review'!$F$8:$F$507,I2137)&gt;=0,MOD(INDEX('Staff Review'!$F$8:$F$507,I2137),1)=0,COUNT(INDEX('Staff Review'!$G$8:$G$507,I2137))=1,INDEX('Staff Review'!$G$8:$G$507,I2137)&gt;0,INDEX('Staff Review'!$G$8:$G$507,I2137)&lt;='Top 15'!$E$5,'Top 15'!$E$5-INDEX('Staff Review'!$G$8:$G$507,I2137)&lt;='Top 15'!$H$5,LEN(INDEX('Staff Review'!$H$8:$H$507,I2137))&gt;0),"Yes","No")))</x:f>
        <x:v>No</x:v>
      </x:c>
      <x:c r="AK2137" s="1" t="n">
        <x:f>IF(A2137="",0,COUNTIFS($A$2:$A$501,A2137))</x:f>
        <x:v>1</x:v>
      </x:c>
      <x:c r="AL2137" s="1" t="n">
        <x:f>IF(V2137="Candidate",1,0)</x:f>
        <x:v>1</x:v>
      </x:c>
      <x:c r="AM2137" s="1" t="n">
        <x:f>IF(A2137="",0,VALUE(A2137))</x:f>
        <x:v>3323</x:v>
      </x:c>
      <x:c r="AN2137" s="1" t="n">
        <x:f>IF(OR(A2137="",COUNTIFS($T$41:$T$540,A2137)&lt;&gt;1),0,MATCH(A2137,$T$41:$T$540,0))</x:f>
        <x:v>87</x:v>
      </x:c>
      <x:c r="AO2137" t="n">
        <x:f>IF(ISNUMBER(W2137),W2137,10000+AM2137)</x:f>
        <x:v>41</x:v>
      </x:c>
    </x:row>
    <x:row r="2138" ht="22" customHeight="1">
      <x:c r="A2138" s="1" t="str">
        <x:f>IF(A89="","",A89)</x:f>
        <x:v>3326</x:v>
      </x:c>
      <x:c r="B2138" s="1" t="str">
        <x:f>IF(A2138="","",B89)</x:f>
        <x:v>Universal Institute Charter School</x:v>
      </x:c>
      <x:c r="C2138" s="1" t="str">
        <x:f>IF(A2138="","",C89)</x:f>
        <x:v>Charter</x:v>
      </x:c>
      <x:c r="D2138" s="1" t="str">
        <x:f>IF(A2138="","",E89)</x:f>
        <x:v>Elementary-Middle</x:v>
      </x:c>
      <x:c r="E2138" s="1" t="str">
        <x:f>IF(A2138="","",H89)</x:f>
        <x:v>19146</x:v>
      </x:c>
      <x:c r="F2138" s="1" t="n">
        <x:f>IF(ISNUMBER(K89),K89,"")</x:f>
        <x:v>565</x:v>
      </x:c>
      <x:c r="G2138" s="1" t="n">
        <x:f>IF(ISNUMBER(L89),L89,"")</x:f>
        <x:v>0.8049</x:v>
      </x:c>
      <x:c r="H2138" s="1" t="str">
        <x:f>IF(A2138="","",IF(AND(UPPER(G89)="PHILADELPHIA",OR(C2138="District",AND(C2138="Charter",D89="Yes"))),"Yes","No"))</x:f>
        <x:v>Yes</x:v>
      </x:c>
      <x:c r="I2138" s="1" t="n">
        <x:f>IF(OR(A2138="",COUNTIFS('Staff Review'!$A$8:$A$507,A2138)&lt;&gt;1),0,MATCH(A2138,'Staff Review'!$A$8:$A$507,0))</x:f>
        <x:v>302</x:v>
      </x:c>
      <x:c r="J2138" s="1" t="str">
        <x:f>IF(I2138=0,"No",IF(INDEX('Staff Review'!$C$8:$C$507,I2138)="Yes","Yes","No"))</x:f>
        <x:v>No</x:v>
      </x:c>
      <x:c r="K2138" s="1" t="n">
        <x:f>IF(AI2138="Yes",INDEX('Staff Review'!$D$8:$D$507,I2138),IF(AB2138=0,"",IF(COUNT(INDEX($C$1531:$C$2030,AB2138))=1,INDEX($C$1531:$C$2030,AB2138),"")))</x:f>
        <x:v>0.1655147608408926</x:v>
      </x:c>
      <x:c r="L2138" s="1" t="n">
        <x:f>IF(AJ2138="Yes",INDEX('Staff Review'!$F$8:$F$507,I2138),IF(AB2138=0,"",IF(COUNT(INDEX($G$1531:$G$2030,AB2138))=1,INDEX($G$1531:$G$2030,AB2138),"")))</x:f>
        <x:v>13</x:v>
      </x:c>
      <x:c r="M2138" s="1" t="str">
        <x:f>IF(A2138="","",IF(AI2138="Yes","Verified","Listed"))</x:f>
        <x:v>Listed</x:v>
      </x:c>
      <x:c r="N2138" s="1" t="str">
        <x:f>IF(A2138="","",IF(AJ2138="Yes","Verified","Listed"))</x:f>
        <x:v>Listed</x:v>
      </x:c>
      <x:c r="O2138" s="1" t="n">
        <x:f>IF(AND(ISNUMBER(G2138),G2138&gt;=0,G2138&lt;=1),IF(G2138&gt;=0.9,30,IF(G2138&gt;=0.8,25,IF(G2138&gt;=0.7,20,IF(G2138&gt;=0.6,15,IF(G2138&gt;=0.5,10,IF(G2138&gt;=0.4,5,0)))))),"")</x:f>
        <x:v>25</x:v>
      </x:c>
      <x:c r="P2138" s="1" t="n">
        <x:f>IF(ISNUMBER(K2138),IF(K2138&lt;0,"",IF(K2138&gt;1,25,IF(K2138&gt;=0.75,20,IF(K2138&gt;=0.5,15,IF(K2138&gt;=0.25,10,5))))),"")</x:f>
        <x:v>5</x:v>
      </x:c>
      <x:c r="Q2138" s="1" t="n">
        <x:f>IF(NOT(ISNUMBER(L2138)),"",IF(AND(L2138&gt;=0,MOD(L2138,1)=0),MAX(0,25-5*L2138),""))</x:f>
        <x:v>0</x:v>
      </x:c>
      <x:c r="R2138" s="1" t="n">
        <x:f>IF(NOT(ISNUMBER(F2138)),"",IF(AND(F2138&gt;0,MOD(F2138,1)=0),IF(F2138&gt;=700,5,IF(F2138&gt;=500,4,IF(F2138&gt;=350,3,IF(F2138&gt;=200,2,1)))),""))</x:f>
        <x:v>4</x:v>
      </x:c>
      <x:c r="S2138" s="1" t="n">
        <x:f>IF(COUNT(O2138:R2138)=4,SUM(O2138:R2138),"")</x:f>
        <x:v>34</x:v>
      </x:c>
      <x:c r="T2138" s="1" t="n">
        <x:f>IF(OR(COUNT(O2138:R2138)&lt;&gt;4,COUNT('Top 15'!$B$35:$E$35)&lt;&gt;4,MIN('Top 15'!$B$35:$E$35)&lt;0,SUM('Top 15'!$B$35:$E$35)&lt;=0),"",ROUND(85*(O2138/30*'Top 15'!$B$35+P2138/25*'Top 15'!$C$35+Q2138/25*'Top 15'!$D$35+R2138/5*'Top 15'!$E$35)/SUM('Top 15'!$B$35:$E$35),6))</x:f>
        <x:v>34</x:v>
      </x:c>
      <x:c r="U2138" s="1" t="str">
        <x:f>IF(A2138="","",IF(AND(M2138="Verified",N2138="Verified"),"Verified",IF(AND(M2138="Listed",N2138="Listed"),"Listed","Mixed")))</x:f>
        <x:v>Listed</x:v>
      </x:c>
      <x:c r="V2138" s="1" t="str">
        <x:f>IF(A2138="","",IF(AK2138&lt;&gt;1,"Duplicate source ID",IF(COUNTIFS('Staff Review'!$A$8:$A$507,A2138)&gt;1,"Duplicate review ID",IF(H2138&lt;&gt;"Yes","Outside scope",IF(J2138="Yes","Already served",IF(NOT(ISNUMBER(T2138)),"Missing data","Candidate"))))))</x:f>
        <x:v>Candidate</x:v>
      </x:c>
      <x:c r="W2138" s="1" t="n">
        <x:f>IF(AL2138=0,"",1+COUNTIFS($AL$2051:$AL$2550,1,$T$2051:$T$2550,"&gt;"&amp;T2138)+COUNTIFS($AL$2051:$AL$2550,1,$T$2051:$T$2550,T2138,$G$2051:$G$2550,"&gt;"&amp;G2138)+COUNTIFS($AL$2051:$AL$2550,1,$T$2051:$T$2550,T2138,$G$2051:$G$2550,G2138,$F$2051:$F$2550,"&gt;"&amp;F2138)+COUNTIFS($AL$2051:$AL$2550,1,$T$2051:$T$2550,T2138,$G$2051:$G$2550,G2138,$F$2051:$F$2550,F2138,$AM$2051:$AM$2550,"&lt;"&amp;AM2138))</x:f>
        <x:v>228</x:v>
      </x:c>
      <x:c r="X2138" s="1" t="n">
        <x:f>IF(AL2138=0,"",1+COUNTIFS($AL$2051:$AL$2550,1,$T$2051:$T$2550,"&gt;"&amp;T2138))</x:f>
        <x:v>221</x:v>
      </x:c>
      <x:c r="Y2138" s="1" t="n">
        <x:f>IF(AND(H2138="Yes",OR(LEN('School Search'!$B$5)=0,ISNUMBER(SEARCH('School Search'!$B$5,B2138&amp;" "&amp;E2138&amp;" "&amp;A2138))),OR('School Search'!$D$5="All",C2138='School Search'!$D$5),OR('School Search'!$G$5="All eligible",AND('School Search'!$G$5="Not marked served",J2138&lt;&gt;"Yes"),AND('School Search'!$G$5="Missing data",V2138="Missing data"),AND('School Search'!$G$5="Marked served",J2138="Yes"))),1,0)</x:f>
        <x:v>1</x:v>
      </x:c>
      <x:c r="Z2138" s="1" t="n">
        <x:f>IF(Y2138=0,"",COUNTIFS($Y$2051:$Y$2550,1,$AO$2051:$AO$2550,"&lt;"&amp;AO2138)+COUNTIFS($Y$2051:Y2138,1,$AO$2051:AO2138,AO2138))</x:f>
        <x:v>228</x:v>
      </x:c>
      <x:c r="AA2138" s="1" t="str">
        <x:f>IF(NOT(ISNUMBER(S2138)),"Missing demographic or access input",TEXT(G2138,"0%")&amp;" economic need; "&amp;TEXT(K2138,"0.00")&amp;" mi fresh access; "&amp;L2138&amp;" nearby resources")</x:f>
        <x:v>80% economic need; 0.17 mi fresh access; 13 nearby resources</x:v>
      </x:c>
      <x:c r="AB2138" s="1" t="n">
        <x:f>IF(OR(A2138="",COUNTIFS($A$1531:$A$2030,A2138)&lt;&gt;1),0,MATCH(A2138,$A$1531:$A$2030,0))</x:f>
        <x:v>88</x:v>
      </x:c>
      <x:c r="AC2138" s="1" t="str">
        <x:f>IF(AB2138=0,"",INDEX($E$1531:$E$2030,AB2138))</x:f>
        <x:v>Sprouts Farmers Market 850</x:v>
      </x:c>
      <x:c r="AD2138" s="1" t="str">
        <x:f>IF(AB2138=0,"",INDEX($F$1531:$F$2030,AB2138))</x:f>
        <x:v>1000 S Broad St, Philadelphia, PA, 19146</x:v>
      </x:c>
      <x:c r="AE2138" s="1" t="str">
        <x:f>IF(A2138="","",F89)</x:f>
        <x:v>801 S 15TH ST</x:v>
      </x:c>
      <x:c r="AF2138" s="1" t="n">
        <x:f>IF(ISNUMBER(I89),I89,"")</x:f>
        <x:v>39.940931</x:v>
      </x:c>
      <x:c r="AG2138" s="1" t="n">
        <x:f>IF(ISNUMBER(J89),J89,"")</x:f>
        <x:v>-75.16794</x:v>
      </x:c>
      <x:c r="AH2138" s="1" t="str">
        <x:f>IF(I2138=0,"Not contacted",IF(INDEX('Staff Review'!$J$8:$J$507,I2138)="","Not contacted",INDEX('Staff Review'!$J$8:$J$507,I2138)))</x:f>
        <x:v>Not contacted</x:v>
      </x:c>
      <x:c r="AI2138" s="1" t="str">
        <x:f>IF(I2138=0,"No",IF(AND(COUNT(INDEX('Staff Review'!$D$8:$D$507,I2138))=1,INDEX('Staff Review'!$D$8:$D$507,I2138)&gt;=0,COUNT(INDEX('Staff Review'!$E$8:$E$507,I2138))=1,INDEX('Staff Review'!$E$8:$E$507,I2138)&gt;0,INDEX('Staff Review'!$E$8:$E$507,I2138)&lt;='Top 15'!$E$5,'Top 15'!$E$5-INDEX('Staff Review'!$E$8:$E$507,I2138)&lt;='Top 15'!$H$5,LEN(INDEX('Staff Review'!$H$8:$H$507,I2138))&gt;0),"Yes","No"))</x:f>
        <x:v>No</x:v>
      </x:c>
      <x:c r="AJ2138" s="1" t="str">
        <x:f>IF(I2138=0,"No",IF(COUNT(INDEX('Staff Review'!$F$8:$F$507,I2138))&lt;&gt;1,"No",IF(AND(INDEX('Staff Review'!$F$8:$F$507,I2138)&gt;=0,MOD(INDEX('Staff Review'!$F$8:$F$507,I2138),1)=0,COUNT(INDEX('Staff Review'!$G$8:$G$507,I2138))=1,INDEX('Staff Review'!$G$8:$G$507,I2138)&gt;0,INDEX('Staff Review'!$G$8:$G$507,I2138)&lt;='Top 15'!$E$5,'Top 15'!$E$5-INDEX('Staff Review'!$G$8:$G$507,I2138)&lt;='Top 15'!$H$5,LEN(INDEX('Staff Review'!$H$8:$H$507,I2138))&gt;0),"Yes","No")))</x:f>
        <x:v>No</x:v>
      </x:c>
      <x:c r="AK2138" s="1" t="n">
        <x:f>IF(A2138="",0,COUNTIFS($A$2:$A$501,A2138))</x:f>
        <x:v>1</x:v>
      </x:c>
      <x:c r="AL2138" s="1" t="n">
        <x:f>IF(V2138="Candidate",1,0)</x:f>
        <x:v>1</x:v>
      </x:c>
      <x:c r="AM2138" s="1" t="n">
        <x:f>IF(A2138="",0,VALUE(A2138))</x:f>
        <x:v>3326</x:v>
      </x:c>
      <x:c r="AN2138" s="1" t="n">
        <x:f>IF(OR(A2138="",COUNTIFS($T$41:$T$540,A2138)&lt;&gt;1),0,MATCH(A2138,$T$41:$T$540,0))</x:f>
        <x:v>88</x:v>
      </x:c>
      <x:c r="AO2138" t="n">
        <x:f>IF(ISNUMBER(W2138),W2138,10000+AM2138)</x:f>
        <x:v>228</x:v>
      </x:c>
    </x:row>
    <x:row r="2139" ht="22" customHeight="1">
      <x:c r="A2139" s="1" t="str">
        <x:f>IF(A90="","",A90)</x:f>
        <x:v>3328</x:v>
      </x:c>
      <x:c r="B2139" s="1" t="str">
        <x:f>IF(A2139="","",B90)</x:f>
        <x:v>Mathematics, Science, and Technology Community Charter School (MaST)</x:v>
      </x:c>
      <x:c r="C2139" s="1" t="str">
        <x:f>IF(A2139="","",C90)</x:f>
        <x:v>Charter</x:v>
      </x:c>
      <x:c r="D2139" s="1" t="str">
        <x:f>IF(A2139="","",E90)</x:f>
        <x:v>Elementary-Middle-High</x:v>
      </x:c>
      <x:c r="E2139" s="1" t="str">
        <x:f>IF(A2139="","",H90)</x:f>
        <x:v>19116</x:v>
      </x:c>
      <x:c r="F2139" s="1" t="n">
        <x:f>IF(ISNUMBER(K90),K90,"")</x:f>
        <x:v>1486</x:v>
      </x:c>
      <x:c r="G2139" s="1" t="n">
        <x:f>IF(ISNUMBER(L90),L90,"")</x:f>
        <x:v>0.4112</x:v>
      </x:c>
      <x:c r="H2139" s="1" t="str">
        <x:f>IF(A2139="","",IF(AND(UPPER(G90)="PHILADELPHIA",OR(C2139="District",AND(C2139="Charter",D90="Yes"))),"Yes","No"))</x:f>
        <x:v>Yes</x:v>
      </x:c>
      <x:c r="I2139" s="1" t="n">
        <x:f>IF(OR(A2139="",COUNTIFS('Staff Review'!$A$8:$A$507,A2139)&lt;&gt;1),0,MATCH(A2139,'Staff Review'!$A$8:$A$507,0))</x:f>
        <x:v>196</x:v>
      </x:c>
      <x:c r="J2139" s="1" t="str">
        <x:f>IF(I2139=0,"No",IF(INDEX('Staff Review'!$C$8:$C$507,I2139)="Yes","Yes","No"))</x:f>
        <x:v>No</x:v>
      </x:c>
      <x:c r="K2139" s="1" t="n">
        <x:f>IF(AI2139="Yes",INDEX('Staff Review'!$D$8:$D$507,I2139),IF(AB2139=0,"",IF(COUNT(INDEX($C$1531:$C$2030,AB2139))=1,INDEX($C$1531:$C$2030,AB2139),"")))</x:f>
        <x:v>0.5150414769723753</x:v>
      </x:c>
      <x:c r="L2139" s="1" t="n">
        <x:f>IF(AJ2139="Yes",INDEX('Staff Review'!$F$8:$F$507,I2139),IF(AB2139=0,"",IF(COUNT(INDEX($G$1531:$G$2030,AB2139))=1,INDEX($G$1531:$G$2030,AB2139),"")))</x:f>
        <x:v>1</x:v>
      </x:c>
      <x:c r="M2139" s="1" t="str">
        <x:f>IF(A2139="","",IF(AI2139="Yes","Verified","Listed"))</x:f>
        <x:v>Listed</x:v>
      </x:c>
      <x:c r="N2139" s="1" t="str">
        <x:f>IF(A2139="","",IF(AJ2139="Yes","Verified","Listed"))</x:f>
        <x:v>Listed</x:v>
      </x:c>
      <x:c r="O2139" s="1" t="n">
        <x:f>IF(AND(ISNUMBER(G2139),G2139&gt;=0,G2139&lt;=1),IF(G2139&gt;=0.9,30,IF(G2139&gt;=0.8,25,IF(G2139&gt;=0.7,20,IF(G2139&gt;=0.6,15,IF(G2139&gt;=0.5,10,IF(G2139&gt;=0.4,5,0)))))),"")</x:f>
        <x:v>5</x:v>
      </x:c>
      <x:c r="P2139" s="1" t="n">
        <x:f>IF(ISNUMBER(K2139),IF(K2139&lt;0,"",IF(K2139&gt;1,25,IF(K2139&gt;=0.75,20,IF(K2139&gt;=0.5,15,IF(K2139&gt;=0.25,10,5))))),"")</x:f>
        <x:v>15</x:v>
      </x:c>
      <x:c r="Q2139" s="1" t="n">
        <x:f>IF(NOT(ISNUMBER(L2139)),"",IF(AND(L2139&gt;=0,MOD(L2139,1)=0),MAX(0,25-5*L2139),""))</x:f>
        <x:v>20</x:v>
      </x:c>
      <x:c r="R2139" s="1" t="n">
        <x:f>IF(NOT(ISNUMBER(F2139)),"",IF(AND(F2139&gt;0,MOD(F2139,1)=0),IF(F2139&gt;=700,5,IF(F2139&gt;=500,4,IF(F2139&gt;=350,3,IF(F2139&gt;=200,2,1)))),""))</x:f>
        <x:v>5</x:v>
      </x:c>
      <x:c r="S2139" s="1" t="n">
        <x:f>IF(COUNT(O2139:R2139)=4,SUM(O2139:R2139),"")</x:f>
        <x:v>45</x:v>
      </x:c>
      <x:c r="T2139" s="1" t="n">
        <x:f>IF(OR(COUNT(O2139:R2139)&lt;&gt;4,COUNT('Top 15'!$B$35:$E$35)&lt;&gt;4,MIN('Top 15'!$B$35:$E$35)&lt;0,SUM('Top 15'!$B$35:$E$35)&lt;=0),"",ROUND(85*(O2139/30*'Top 15'!$B$35+P2139/25*'Top 15'!$C$35+Q2139/25*'Top 15'!$D$35+R2139/5*'Top 15'!$E$35)/SUM('Top 15'!$B$35:$E$35),6))</x:f>
        <x:v>45</x:v>
      </x:c>
      <x:c r="U2139" s="1" t="str">
        <x:f>IF(A2139="","",IF(AND(M2139="Verified",N2139="Verified"),"Verified",IF(AND(M2139="Listed",N2139="Listed"),"Listed","Mixed")))</x:f>
        <x:v>Listed</x:v>
      </x:c>
      <x:c r="V2139" s="1" t="str">
        <x:f>IF(A2139="","",IF(AK2139&lt;&gt;1,"Duplicate source ID",IF(COUNTIFS('Staff Review'!$A$8:$A$507,A2139)&gt;1,"Duplicate review ID",IF(H2139&lt;&gt;"Yes","Outside scope",IF(J2139="Yes","Already served",IF(NOT(ISNUMBER(T2139)),"Missing data","Candidate"))))))</x:f>
        <x:v>Candidate</x:v>
      </x:c>
      <x:c r="W2139" s="1" t="n">
        <x:f>IF(AL2139=0,"",1+COUNTIFS($AL$2051:$AL$2550,1,$T$2051:$T$2550,"&gt;"&amp;T2139)+COUNTIFS($AL$2051:$AL$2550,1,$T$2051:$T$2550,T2139,$G$2051:$G$2550,"&gt;"&amp;G2139)+COUNTIFS($AL$2051:$AL$2550,1,$T$2051:$T$2550,T2139,$G$2051:$G$2550,G2139,$F$2051:$F$2550,"&gt;"&amp;F2139)+COUNTIFS($AL$2051:$AL$2550,1,$T$2051:$T$2550,T2139,$G$2051:$G$2550,G2139,$F$2051:$F$2550,F2139,$AM$2051:$AM$2550,"&lt;"&amp;AM2139))</x:f>
        <x:v>80</x:v>
      </x:c>
      <x:c r="X2139" s="1" t="n">
        <x:f>IF(AL2139=0,"",1+COUNTIFS($AL$2051:$AL$2550,1,$T$2051:$T$2550,"&gt;"&amp;T2139))</x:f>
        <x:v>74</x:v>
      </x:c>
      <x:c r="Y2139" s="1" t="n">
        <x:f>IF(AND(H2139="Yes",OR(LEN('School Search'!$B$5)=0,ISNUMBER(SEARCH('School Search'!$B$5,B2139&amp;" "&amp;E2139&amp;" "&amp;A2139))),OR('School Search'!$D$5="All",C2139='School Search'!$D$5),OR('School Search'!$G$5="All eligible",AND('School Search'!$G$5="Not marked served",J2139&lt;&gt;"Yes"),AND('School Search'!$G$5="Missing data",V2139="Missing data"),AND('School Search'!$G$5="Marked served",J2139="Yes"))),1,0)</x:f>
        <x:v>1</x:v>
      </x:c>
      <x:c r="Z2139" s="1" t="n">
        <x:f>IF(Y2139=0,"",COUNTIFS($Y$2051:$Y$2550,1,$AO$2051:$AO$2550,"&lt;"&amp;AO2139)+COUNTIFS($Y$2051:Y2139,1,$AO$2051:AO2139,AO2139))</x:f>
        <x:v>80</x:v>
      </x:c>
      <x:c r="AA2139" s="1" t="str">
        <x:f>IF(NOT(ISNUMBER(S2139)),"Missing demographic or access input",TEXT(G2139,"0%")&amp;" economic need; "&amp;TEXT(K2139,"0.00")&amp;" mi fresh access; "&amp;L2139&amp;" nearby resources")</x:f>
        <x:v>41% economic need; 0.52 mi fresh access; 1 nearby resources</x:v>
      </x:c>
      <x:c r="AB2139" s="1" t="n">
        <x:f>IF(OR(A2139="",COUNTIFS($A$1531:$A$2030,A2139)&lt;&gt;1),0,MATCH(A2139,$A$1531:$A$2030,0))</x:f>
        <x:v>89</x:v>
      </x:c>
      <x:c r="AC2139" s="1" t="str">
        <x:f>IF(AB2139=0,"",INDEX($E$1531:$E$2030,AB2139))</x:f>
        <x:v>ALDI 60191</x:v>
      </x:c>
      <x:c r="AD2139" s="1" t="str">
        <x:f>IF(AB2139=0,"",INDEX($F$1531:$F$2030,AB2139))</x:f>
        <x:v>12002 Roosevelt Blvd, Philadelphia, PA, 19116</x:v>
      </x:c>
      <x:c r="AE2139" s="1" t="str">
        <x:f>IF(A2139="","",F90)</x:f>
        <x:v>1800 BYBERRY RD</x:v>
      </x:c>
      <x:c r="AF2139" s="1" t="n">
        <x:f>IF(ISNUMBER(I90),I90,"")</x:f>
        <x:v>40.113832</x:v>
      </x:c>
      <x:c r="AG2139" s="1" t="n">
        <x:f>IF(ISNUMBER(J90),J90,"")</x:f>
        <x:v>-75.005658</x:v>
      </x:c>
      <x:c r="AH2139" s="1" t="str">
        <x:f>IF(I2139=0,"Not contacted",IF(INDEX('Staff Review'!$J$8:$J$507,I2139)="","Not contacted",INDEX('Staff Review'!$J$8:$J$507,I2139)))</x:f>
        <x:v>Not contacted</x:v>
      </x:c>
      <x:c r="AI2139" s="1" t="str">
        <x:f>IF(I2139=0,"No",IF(AND(COUNT(INDEX('Staff Review'!$D$8:$D$507,I2139))=1,INDEX('Staff Review'!$D$8:$D$507,I2139)&gt;=0,COUNT(INDEX('Staff Review'!$E$8:$E$507,I2139))=1,INDEX('Staff Review'!$E$8:$E$507,I2139)&gt;0,INDEX('Staff Review'!$E$8:$E$507,I2139)&lt;='Top 15'!$E$5,'Top 15'!$E$5-INDEX('Staff Review'!$E$8:$E$507,I2139)&lt;='Top 15'!$H$5,LEN(INDEX('Staff Review'!$H$8:$H$507,I2139))&gt;0),"Yes","No"))</x:f>
        <x:v>No</x:v>
      </x:c>
      <x:c r="AJ2139" s="1" t="str">
        <x:f>IF(I2139=0,"No",IF(COUNT(INDEX('Staff Review'!$F$8:$F$507,I2139))&lt;&gt;1,"No",IF(AND(INDEX('Staff Review'!$F$8:$F$507,I2139)&gt;=0,MOD(INDEX('Staff Review'!$F$8:$F$507,I2139),1)=0,COUNT(INDEX('Staff Review'!$G$8:$G$507,I2139))=1,INDEX('Staff Review'!$G$8:$G$507,I2139)&gt;0,INDEX('Staff Review'!$G$8:$G$507,I2139)&lt;='Top 15'!$E$5,'Top 15'!$E$5-INDEX('Staff Review'!$G$8:$G$507,I2139)&lt;='Top 15'!$H$5,LEN(INDEX('Staff Review'!$H$8:$H$507,I2139))&gt;0),"Yes","No")))</x:f>
        <x:v>No</x:v>
      </x:c>
      <x:c r="AK2139" s="1" t="n">
        <x:f>IF(A2139="",0,COUNTIFS($A$2:$A$501,A2139))</x:f>
        <x:v>1</x:v>
      </x:c>
      <x:c r="AL2139" s="1" t="n">
        <x:f>IF(V2139="Candidate",1,0)</x:f>
        <x:v>1</x:v>
      </x:c>
      <x:c r="AM2139" s="1" t="n">
        <x:f>IF(A2139="",0,VALUE(A2139))</x:f>
        <x:v>3328</x:v>
      </x:c>
      <x:c r="AN2139" s="1" t="n">
        <x:f>IF(OR(A2139="",COUNTIFS($T$41:$T$540,A2139)&lt;&gt;1),0,MATCH(A2139,$T$41:$T$540,0))</x:f>
        <x:v>89</x:v>
      </x:c>
      <x:c r="AO2139" t="n">
        <x:f>IF(ISNUMBER(W2139),W2139,10000+AM2139)</x:f>
        <x:v>80</x:v>
      </x:c>
    </x:row>
    <x:row r="2140" ht="22" customHeight="1">
      <x:c r="A2140" s="1" t="str">
        <x:f>IF(A91="","",A91)</x:f>
        <x:v>3329</x:v>
      </x:c>
      <x:c r="B2140" s="1" t="str">
        <x:f>IF(A2140="","",B91)</x:f>
        <x:v>Young Scholars Charter School</x:v>
      </x:c>
      <x:c r="C2140" s="1" t="str">
        <x:f>IF(A2140="","",C91)</x:f>
        <x:v>Charter</x:v>
      </x:c>
      <x:c r="D2140" s="1" t="str">
        <x:f>IF(A2140="","",E91)</x:f>
        <x:v>Middle</x:v>
      </x:c>
      <x:c r="E2140" s="1" t="str">
        <x:f>IF(A2140="","",H91)</x:f>
        <x:v>19123</x:v>
      </x:c>
      <x:c r="F2140" s="1" t="n">
        <x:f>IF(ISNUMBER(K91),K91,"")</x:f>
        <x:v>285</x:v>
      </x:c>
      <x:c r="G2140" s="1" t="n">
        <x:f>IF(ISNUMBER(L91),L91,"")</x:f>
        <x:v>0.9285</x:v>
      </x:c>
      <x:c r="H2140" s="1" t="str">
        <x:f>IF(A2140="","",IF(AND(UPPER(G91)="PHILADELPHIA",OR(C2140="District",AND(C2140="Charter",D91="Yes"))),"Yes","No"))</x:f>
        <x:v>Yes</x:v>
      </x:c>
      <x:c r="I2140" s="1" t="n">
        <x:f>IF(OR(A2140="",COUNTIFS('Staff Review'!$A$8:$A$507,A2140)&lt;&gt;1),0,MATCH(A2140,'Staff Review'!$A$8:$A$507,0))</x:f>
        <x:v>328</x:v>
      </x:c>
      <x:c r="J2140" s="1" t="str">
        <x:f>IF(I2140=0,"No",IF(INDEX('Staff Review'!$C$8:$C$507,I2140)="Yes","Yes","No"))</x:f>
        <x:v>No</x:v>
      </x:c>
      <x:c r="K2140" s="1" t="n">
        <x:f>IF(AI2140="Yes",INDEX('Staff Review'!$D$8:$D$507,I2140),IF(AB2140=0,"",IF(COUNT(INDEX($C$1531:$C$2030,AB2140))=1,INDEX($C$1531:$C$2030,AB2140),"")))</x:f>
        <x:v>0.40122889962049074</x:v>
      </x:c>
      <x:c r="L2140" s="1" t="n">
        <x:f>IF(AJ2140="Yes",INDEX('Staff Review'!$F$8:$F$507,I2140),IF(AB2140=0,"",IF(COUNT(INDEX($G$1531:$G$2030,AB2140))=1,INDEX($G$1531:$G$2030,AB2140),"")))</x:f>
        <x:v>11</x:v>
      </x:c>
      <x:c r="M2140" s="1" t="str">
        <x:f>IF(A2140="","",IF(AI2140="Yes","Verified","Listed"))</x:f>
        <x:v>Listed</x:v>
      </x:c>
      <x:c r="N2140" s="1" t="str">
        <x:f>IF(A2140="","",IF(AJ2140="Yes","Verified","Listed"))</x:f>
        <x:v>Listed</x:v>
      </x:c>
      <x:c r="O2140" s="1" t="n">
        <x:f>IF(AND(ISNUMBER(G2140),G2140&gt;=0,G2140&lt;=1),IF(G2140&gt;=0.9,30,IF(G2140&gt;=0.8,25,IF(G2140&gt;=0.7,20,IF(G2140&gt;=0.6,15,IF(G2140&gt;=0.5,10,IF(G2140&gt;=0.4,5,0)))))),"")</x:f>
        <x:v>30</x:v>
      </x:c>
      <x:c r="P2140" s="1" t="n">
        <x:f>IF(ISNUMBER(K2140),IF(K2140&lt;0,"",IF(K2140&gt;1,25,IF(K2140&gt;=0.75,20,IF(K2140&gt;=0.5,15,IF(K2140&gt;=0.25,10,5))))),"")</x:f>
        <x:v>10</x:v>
      </x:c>
      <x:c r="Q2140" s="1" t="n">
        <x:f>IF(NOT(ISNUMBER(L2140)),"",IF(AND(L2140&gt;=0,MOD(L2140,1)=0),MAX(0,25-5*L2140),""))</x:f>
        <x:v>0</x:v>
      </x:c>
      <x:c r="R2140" s="1" t="n">
        <x:f>IF(NOT(ISNUMBER(F2140)),"",IF(AND(F2140&gt;0,MOD(F2140,1)=0),IF(F2140&gt;=700,5,IF(F2140&gt;=500,4,IF(F2140&gt;=350,3,IF(F2140&gt;=200,2,1)))),""))</x:f>
        <x:v>2</x:v>
      </x:c>
      <x:c r="S2140" s="1" t="n">
        <x:f>IF(COUNT(O2140:R2140)=4,SUM(O2140:R2140),"")</x:f>
        <x:v>42</x:v>
      </x:c>
      <x:c r="T2140" s="1" t="n">
        <x:f>IF(OR(COUNT(O2140:R2140)&lt;&gt;4,COUNT('Top 15'!$B$35:$E$35)&lt;&gt;4,MIN('Top 15'!$B$35:$E$35)&lt;0,SUM('Top 15'!$B$35:$E$35)&lt;=0),"",ROUND(85*(O2140/30*'Top 15'!$B$35+P2140/25*'Top 15'!$C$35+Q2140/25*'Top 15'!$D$35+R2140/5*'Top 15'!$E$35)/SUM('Top 15'!$B$35:$E$35),6))</x:f>
        <x:v>42</x:v>
      </x:c>
      <x:c r="U2140" s="1" t="str">
        <x:f>IF(A2140="","",IF(AND(M2140="Verified",N2140="Verified"),"Verified",IF(AND(M2140="Listed",N2140="Listed"),"Listed","Mixed")))</x:f>
        <x:v>Listed</x:v>
      </x:c>
      <x:c r="V2140" s="1" t="str">
        <x:f>IF(A2140="","",IF(AK2140&lt;&gt;1,"Duplicate source ID",IF(COUNTIFS('Staff Review'!$A$8:$A$507,A2140)&gt;1,"Duplicate review ID",IF(H2140&lt;&gt;"Yes","Outside scope",IF(J2140="Yes","Already served",IF(NOT(ISNUMBER(T2140)),"Missing data","Candidate"))))))</x:f>
        <x:v>Candidate</x:v>
      </x:c>
      <x:c r="W2140" s="1" t="n">
        <x:f>IF(AL2140=0,"",1+COUNTIFS($AL$2051:$AL$2550,1,$T$2051:$T$2550,"&gt;"&amp;T2140)+COUNTIFS($AL$2051:$AL$2550,1,$T$2051:$T$2550,T2140,$G$2051:$G$2550,"&gt;"&amp;G2140)+COUNTIFS($AL$2051:$AL$2550,1,$T$2051:$T$2550,T2140,$G$2051:$G$2550,G2140,$F$2051:$F$2550,"&gt;"&amp;F2140)+COUNTIFS($AL$2051:$AL$2550,1,$T$2051:$T$2550,T2140,$G$2051:$G$2550,G2140,$F$2051:$F$2550,F2140,$AM$2051:$AM$2550,"&lt;"&amp;AM2140))</x:f>
        <x:v>104</x:v>
      </x:c>
      <x:c r="X2140" s="1" t="n">
        <x:f>IF(AL2140=0,"",1+COUNTIFS($AL$2051:$AL$2550,1,$T$2051:$T$2550,"&gt;"&amp;T2140))</x:f>
        <x:v>101</x:v>
      </x:c>
      <x:c r="Y2140" s="1" t="n">
        <x:f>IF(AND(H2140="Yes",OR(LEN('School Search'!$B$5)=0,ISNUMBER(SEARCH('School Search'!$B$5,B2140&amp;" "&amp;E2140&amp;" "&amp;A2140))),OR('School Search'!$D$5="All",C2140='School Search'!$D$5),OR('School Search'!$G$5="All eligible",AND('School Search'!$G$5="Not marked served",J2140&lt;&gt;"Yes"),AND('School Search'!$G$5="Missing data",V2140="Missing data"),AND('School Search'!$G$5="Marked served",J2140="Yes"))),1,0)</x:f>
        <x:v>1</x:v>
      </x:c>
      <x:c r="Z2140" s="1" t="n">
        <x:f>IF(Y2140=0,"",COUNTIFS($Y$2051:$Y$2550,1,$AO$2051:$AO$2550,"&lt;"&amp;AO2140)+COUNTIFS($Y$2051:Y2140,1,$AO$2051:AO2140,AO2140))</x:f>
        <x:v>104</x:v>
      </x:c>
      <x:c r="AA2140" s="1" t="str">
        <x:f>IF(NOT(ISNUMBER(S2140)),"Missing demographic or access input",TEXT(G2140,"0%")&amp;" economic need; "&amp;TEXT(K2140,"0.00")&amp;" mi fresh access; "&amp;L2140&amp;" nearby resources")</x:f>
        <x:v>93% economic need; 0.40 mi fresh access; 11 nearby resources</x:v>
      </x:c>
      <x:c r="AB2140" s="1" t="n">
        <x:f>IF(OR(A2140="",COUNTIFS($A$1531:$A$2030,A2140)&lt;&gt;1),0,MATCH(A2140,$A$1531:$A$2030,0))</x:f>
        <x:v>90</x:v>
      </x:c>
      <x:c r="AC2140" s="1" t="str">
        <x:f>IF(AB2140=0,"",INDEX($E$1531:$E$2030,AB2140))</x:f>
        <x:v>Giant Heirloom Market 6552</x:v>
      </x:c>
      <x:c r="AD2140" s="1" t="str">
        <x:f>IF(AB2140=0,"",INDEX($F$1531:$F$2030,AB2140))</x:f>
        <x:v>1004 N 2nd St, Philadelphia, PA, 19123</x:v>
      </x:c>
      <x:c r="AE2140" s="1" t="str">
        <x:f>IF(A2140="","",F91)</x:f>
        <x:v>900 N MARSHALL ST</x:v>
      </x:c>
      <x:c r="AF2140" s="1" t="n">
        <x:f>IF(ISNUMBER(I91),I91,"")</x:f>
        <x:v>39.96734659</x:v>
      </x:c>
      <x:c r="AG2140" s="1" t="n">
        <x:f>IF(ISNUMBER(J91),J91,"")</x:f>
        <x:v>-75.14799661</x:v>
      </x:c>
      <x:c r="AH2140" s="1" t="str">
        <x:f>IF(I2140=0,"Not contacted",IF(INDEX('Staff Review'!$J$8:$J$507,I2140)="","Not contacted",INDEX('Staff Review'!$J$8:$J$507,I2140)))</x:f>
        <x:v>Not contacted</x:v>
      </x:c>
      <x:c r="AI2140" s="1" t="str">
        <x:f>IF(I2140=0,"No",IF(AND(COUNT(INDEX('Staff Review'!$D$8:$D$507,I2140))=1,INDEX('Staff Review'!$D$8:$D$507,I2140)&gt;=0,COUNT(INDEX('Staff Review'!$E$8:$E$507,I2140))=1,INDEX('Staff Review'!$E$8:$E$507,I2140)&gt;0,INDEX('Staff Review'!$E$8:$E$507,I2140)&lt;='Top 15'!$E$5,'Top 15'!$E$5-INDEX('Staff Review'!$E$8:$E$507,I2140)&lt;='Top 15'!$H$5,LEN(INDEX('Staff Review'!$H$8:$H$507,I2140))&gt;0),"Yes","No"))</x:f>
        <x:v>No</x:v>
      </x:c>
      <x:c r="AJ2140" s="1" t="str">
        <x:f>IF(I2140=0,"No",IF(COUNT(INDEX('Staff Review'!$F$8:$F$507,I2140))&lt;&gt;1,"No",IF(AND(INDEX('Staff Review'!$F$8:$F$507,I2140)&gt;=0,MOD(INDEX('Staff Review'!$F$8:$F$507,I2140),1)=0,COUNT(INDEX('Staff Review'!$G$8:$G$507,I2140))=1,INDEX('Staff Review'!$G$8:$G$507,I2140)&gt;0,INDEX('Staff Review'!$G$8:$G$507,I2140)&lt;='Top 15'!$E$5,'Top 15'!$E$5-INDEX('Staff Review'!$G$8:$G$507,I2140)&lt;='Top 15'!$H$5,LEN(INDEX('Staff Review'!$H$8:$H$507,I2140))&gt;0),"Yes","No")))</x:f>
        <x:v>No</x:v>
      </x:c>
      <x:c r="AK2140" s="1" t="n">
        <x:f>IF(A2140="",0,COUNTIFS($A$2:$A$501,A2140))</x:f>
        <x:v>1</x:v>
      </x:c>
      <x:c r="AL2140" s="1" t="n">
        <x:f>IF(V2140="Candidate",1,0)</x:f>
        <x:v>1</x:v>
      </x:c>
      <x:c r="AM2140" s="1" t="n">
        <x:f>IF(A2140="",0,VALUE(A2140))</x:f>
        <x:v>3329</x:v>
      </x:c>
      <x:c r="AN2140" s="1" t="n">
        <x:f>IF(OR(A2140="",COUNTIFS($T$41:$T$540,A2140)&lt;&gt;1),0,MATCH(A2140,$T$41:$T$540,0))</x:f>
        <x:v>90</x:v>
      </x:c>
      <x:c r="AO2140" t="n">
        <x:f>IF(ISNUMBER(W2140),W2140,10000+AM2140)</x:f>
        <x:v>104</x:v>
      </x:c>
    </x:row>
    <x:row r="2141" ht="22" customHeight="1">
      <x:c r="A2141" s="1" t="str">
        <x:f>IF(A92="","",A92)</x:f>
        <x:v>3331</x:v>
      </x:c>
      <x:c r="B2141" s="1" t="str">
        <x:f>IF(A2141="","",B92)</x:f>
        <x:v>Franklin Towne Charter High School</x:v>
      </x:c>
      <x:c r="C2141" s="1" t="str">
        <x:f>IF(A2141="","",C92)</x:f>
        <x:v>Charter</x:v>
      </x:c>
      <x:c r="D2141" s="1" t="str">
        <x:f>IF(A2141="","",E92)</x:f>
        <x:v>High</x:v>
      </x:c>
      <x:c r="E2141" s="1" t="str">
        <x:f>IF(A2141="","",H92)</x:f>
        <x:v>19137</x:v>
      </x:c>
      <x:c r="F2141" s="1" t="n">
        <x:f>IF(ISNUMBER(K92),K92,"")</x:f>
        <x:v>1306</x:v>
      </x:c>
      <x:c r="G2141" s="1" t="n">
        <x:f>IF(ISNUMBER(L92),L92,"")</x:f>
        <x:v>0.6071</x:v>
      </x:c>
      <x:c r="H2141" s="1" t="str">
        <x:f>IF(A2141="","",IF(AND(UPPER(G92)="PHILADELPHIA",OR(C2141="District",AND(C2141="Charter",D92="Yes"))),"Yes","No"))</x:f>
        <x:v>Yes</x:v>
      </x:c>
      <x:c r="I2141" s="1" t="n">
        <x:f>IF(OR(A2141="",COUNTIFS('Staff Review'!$A$8:$A$507,A2141)&lt;&gt;1),0,MATCH(A2141,'Staff Review'!$A$8:$A$507,0))</x:f>
        <x:v>86</x:v>
      </x:c>
      <x:c r="J2141" s="1" t="str">
        <x:f>IF(I2141=0,"No",IF(INDEX('Staff Review'!$C$8:$C$507,I2141)="Yes","Yes","No"))</x:f>
        <x:v>No</x:v>
      </x:c>
      <x:c r="K2141" s="1" t="n">
        <x:f>IF(AI2141="Yes",INDEX('Staff Review'!$D$8:$D$507,I2141),IF(AB2141=0,"",IF(COUNT(INDEX($C$1531:$C$2030,AB2141))=1,INDEX($C$1531:$C$2030,AB2141),"")))</x:f>
        <x:v>0.30525046391309263</x:v>
      </x:c>
      <x:c r="L2141" s="1" t="n">
        <x:f>IF(AJ2141="Yes",INDEX('Staff Review'!$F$8:$F$507,I2141),IF(AB2141=0,"",IF(COUNT(INDEX($G$1531:$G$2030,AB2141))=1,INDEX($G$1531:$G$2030,AB2141),"")))</x:f>
        <x:v>4</x:v>
      </x:c>
      <x:c r="M2141" s="1" t="str">
        <x:f>IF(A2141="","",IF(AI2141="Yes","Verified","Listed"))</x:f>
        <x:v>Listed</x:v>
      </x:c>
      <x:c r="N2141" s="1" t="str">
        <x:f>IF(A2141="","",IF(AJ2141="Yes","Verified","Listed"))</x:f>
        <x:v>Listed</x:v>
      </x:c>
      <x:c r="O2141" s="1" t="n">
        <x:f>IF(AND(ISNUMBER(G2141),G2141&gt;=0,G2141&lt;=1),IF(G2141&gt;=0.9,30,IF(G2141&gt;=0.8,25,IF(G2141&gt;=0.7,20,IF(G2141&gt;=0.6,15,IF(G2141&gt;=0.5,10,IF(G2141&gt;=0.4,5,0)))))),"")</x:f>
        <x:v>15</x:v>
      </x:c>
      <x:c r="P2141" s="1" t="n">
        <x:f>IF(ISNUMBER(K2141),IF(K2141&lt;0,"",IF(K2141&gt;1,25,IF(K2141&gt;=0.75,20,IF(K2141&gt;=0.5,15,IF(K2141&gt;=0.25,10,5))))),"")</x:f>
        <x:v>10</x:v>
      </x:c>
      <x:c r="Q2141" s="1" t="n">
        <x:f>IF(NOT(ISNUMBER(L2141)),"",IF(AND(L2141&gt;=0,MOD(L2141,1)=0),MAX(0,25-5*L2141),""))</x:f>
        <x:v>5</x:v>
      </x:c>
      <x:c r="R2141" s="1" t="n">
        <x:f>IF(NOT(ISNUMBER(F2141)),"",IF(AND(F2141&gt;0,MOD(F2141,1)=0),IF(F2141&gt;=700,5,IF(F2141&gt;=500,4,IF(F2141&gt;=350,3,IF(F2141&gt;=200,2,1)))),""))</x:f>
        <x:v>5</x:v>
      </x:c>
      <x:c r="S2141" s="1" t="n">
        <x:f>IF(COUNT(O2141:R2141)=4,SUM(O2141:R2141),"")</x:f>
        <x:v>35</x:v>
      </x:c>
      <x:c r="T2141" s="1" t="n">
        <x:f>IF(OR(COUNT(O2141:R2141)&lt;&gt;4,COUNT('Top 15'!$B$35:$E$35)&lt;&gt;4,MIN('Top 15'!$B$35:$E$35)&lt;0,SUM('Top 15'!$B$35:$E$35)&lt;=0),"",ROUND(85*(O2141/30*'Top 15'!$B$35+P2141/25*'Top 15'!$C$35+Q2141/25*'Top 15'!$D$35+R2141/5*'Top 15'!$E$35)/SUM('Top 15'!$B$35:$E$35),6))</x:f>
        <x:v>35</x:v>
      </x:c>
      <x:c r="U2141" s="1" t="str">
        <x:f>IF(A2141="","",IF(AND(M2141="Verified",N2141="Verified"),"Verified",IF(AND(M2141="Listed",N2141="Listed"),"Listed","Mixed")))</x:f>
        <x:v>Listed</x:v>
      </x:c>
      <x:c r="V2141" s="1" t="str">
        <x:f>IF(A2141="","",IF(AK2141&lt;&gt;1,"Duplicate source ID",IF(COUNTIFS('Staff Review'!$A$8:$A$507,A2141)&gt;1,"Duplicate review ID",IF(H2141&lt;&gt;"Yes","Outside scope",IF(J2141="Yes","Already served",IF(NOT(ISNUMBER(T2141)),"Missing data","Candidate"))))))</x:f>
        <x:v>Candidate</x:v>
      </x:c>
      <x:c r="W2141" s="1" t="n">
        <x:f>IF(AL2141=0,"",1+COUNTIFS($AL$2051:$AL$2550,1,$T$2051:$T$2550,"&gt;"&amp;T2141)+COUNTIFS($AL$2051:$AL$2550,1,$T$2051:$T$2550,T2141,$G$2051:$G$2550,"&gt;"&amp;G2141)+COUNTIFS($AL$2051:$AL$2550,1,$T$2051:$T$2550,T2141,$G$2051:$G$2550,G2141,$F$2051:$F$2550,"&gt;"&amp;F2141)+COUNTIFS($AL$2051:$AL$2550,1,$T$2051:$T$2550,T2141,$G$2051:$G$2550,G2141,$F$2051:$F$2550,F2141,$AM$2051:$AM$2550,"&lt;"&amp;AM2141))</x:f>
        <x:v>218</x:v>
      </x:c>
      <x:c r="X2141" s="1" t="n">
        <x:f>IF(AL2141=0,"",1+COUNTIFS($AL$2051:$AL$2550,1,$T$2051:$T$2550,"&gt;"&amp;T2141))</x:f>
        <x:v>210</x:v>
      </x:c>
      <x:c r="Y2141" s="1" t="n">
        <x:f>IF(AND(H2141="Yes",OR(LEN('School Search'!$B$5)=0,ISNUMBER(SEARCH('School Search'!$B$5,B2141&amp;" "&amp;E2141&amp;" "&amp;A2141))),OR('School Search'!$D$5="All",C2141='School Search'!$D$5),OR('School Search'!$G$5="All eligible",AND('School Search'!$G$5="Not marked served",J2141&lt;&gt;"Yes"),AND('School Search'!$G$5="Missing data",V2141="Missing data"),AND('School Search'!$G$5="Marked served",J2141="Yes"))),1,0)</x:f>
        <x:v>1</x:v>
      </x:c>
      <x:c r="Z2141" s="1" t="n">
        <x:f>IF(Y2141=0,"",COUNTIFS($Y$2051:$Y$2550,1,$AO$2051:$AO$2550,"&lt;"&amp;AO2141)+COUNTIFS($Y$2051:Y2141,1,$AO$2051:AO2141,AO2141))</x:f>
        <x:v>218</x:v>
      </x:c>
      <x:c r="AA2141" s="1" t="str">
        <x:f>IF(NOT(ISNUMBER(S2141)),"Missing demographic or access input",TEXT(G2141,"0%")&amp;" economic need; "&amp;TEXT(K2141,"0.00")&amp;" mi fresh access; "&amp;L2141&amp;" nearby resources")</x:f>
        <x:v>61% economic need; 0.31 mi fresh access; 4 nearby resources</x:v>
      </x:c>
      <x:c r="AB2141" s="1" t="n">
        <x:f>IF(OR(A2141="",COUNTIFS($A$1531:$A$2030,A2141)&lt;&gt;1),0,MATCH(A2141,$A$1531:$A$2030,0))</x:f>
        <x:v>91</x:v>
      </x:c>
      <x:c r="AC2141" s="1" t="str">
        <x:f>IF(AB2141=0,"",INDEX($E$1531:$E$2030,AB2141))</x:f>
        <x:v>ShopRite of Bridge and Harbison 495</x:v>
      </x:c>
      <x:c r="AD2141" s="1" t="str">
        <x:f>IF(AB2141=0,"",INDEX($F$1531:$F$2030,AB2141))</x:f>
        <x:v>5597 Tulip St, Philadelphia, PA, 19124</x:v>
      </x:c>
      <x:c r="AE2141" s="1" t="str">
        <x:f>IF(A2141="","",F92)</x:f>
        <x:v>5301 TACONY ST</x:v>
      </x:c>
      <x:c r="AF2141" s="1" t="n">
        <x:f>IF(ISNUMBER(I92),I92,"")</x:f>
        <x:v>40.007337</x:v>
      </x:c>
      <x:c r="AG2141" s="1" t="n">
        <x:f>IF(ISNUMBER(J92),J92,"")</x:f>
        <x:v>-75.066611</x:v>
      </x:c>
      <x:c r="AH2141" s="1" t="str">
        <x:f>IF(I2141=0,"Not contacted",IF(INDEX('Staff Review'!$J$8:$J$507,I2141)="","Not contacted",INDEX('Staff Review'!$J$8:$J$507,I2141)))</x:f>
        <x:v>Not contacted</x:v>
      </x:c>
      <x:c r="AI2141" s="1" t="str">
        <x:f>IF(I2141=0,"No",IF(AND(COUNT(INDEX('Staff Review'!$D$8:$D$507,I2141))=1,INDEX('Staff Review'!$D$8:$D$507,I2141)&gt;=0,COUNT(INDEX('Staff Review'!$E$8:$E$507,I2141))=1,INDEX('Staff Review'!$E$8:$E$507,I2141)&gt;0,INDEX('Staff Review'!$E$8:$E$507,I2141)&lt;='Top 15'!$E$5,'Top 15'!$E$5-INDEX('Staff Review'!$E$8:$E$507,I2141)&lt;='Top 15'!$H$5,LEN(INDEX('Staff Review'!$H$8:$H$507,I2141))&gt;0),"Yes","No"))</x:f>
        <x:v>No</x:v>
      </x:c>
      <x:c r="AJ2141" s="1" t="str">
        <x:f>IF(I2141=0,"No",IF(COUNT(INDEX('Staff Review'!$F$8:$F$507,I2141))&lt;&gt;1,"No",IF(AND(INDEX('Staff Review'!$F$8:$F$507,I2141)&gt;=0,MOD(INDEX('Staff Review'!$F$8:$F$507,I2141),1)=0,COUNT(INDEX('Staff Review'!$G$8:$G$507,I2141))=1,INDEX('Staff Review'!$G$8:$G$507,I2141)&gt;0,INDEX('Staff Review'!$G$8:$G$507,I2141)&lt;='Top 15'!$E$5,'Top 15'!$E$5-INDEX('Staff Review'!$G$8:$G$507,I2141)&lt;='Top 15'!$H$5,LEN(INDEX('Staff Review'!$H$8:$H$507,I2141))&gt;0),"Yes","No")))</x:f>
        <x:v>No</x:v>
      </x:c>
      <x:c r="AK2141" s="1" t="n">
        <x:f>IF(A2141="",0,COUNTIFS($A$2:$A$501,A2141))</x:f>
        <x:v>1</x:v>
      </x:c>
      <x:c r="AL2141" s="1" t="n">
        <x:f>IF(V2141="Candidate",1,0)</x:f>
        <x:v>1</x:v>
      </x:c>
      <x:c r="AM2141" s="1" t="n">
        <x:f>IF(A2141="",0,VALUE(A2141))</x:f>
        <x:v>3331</x:v>
      </x:c>
      <x:c r="AN2141" s="1" t="n">
        <x:f>IF(OR(A2141="",COUNTIFS($T$41:$T$540,A2141)&lt;&gt;1),0,MATCH(A2141,$T$41:$T$540,0))</x:f>
        <x:v>91</x:v>
      </x:c>
      <x:c r="AO2141" t="n">
        <x:f>IF(ISNUMBER(W2141),W2141,10000+AM2141)</x:f>
        <x:v>218</x:v>
      </x:c>
    </x:row>
    <x:row r="2142" ht="22" customHeight="1">
      <x:c r="A2142" s="1" t="str">
        <x:f>IF(A93="","",A93)</x:f>
        <x:v>3332</x:v>
      </x:c>
      <x:c r="B2142" s="1" t="str">
        <x:f>IF(A2142="","",B93)</x:f>
        <x:v>Mariana Bracetti Academy Charter School</x:v>
      </x:c>
      <x:c r="C2142" s="1" t="str">
        <x:f>IF(A2142="","",C93)</x:f>
        <x:v>Charter</x:v>
      </x:c>
      <x:c r="D2142" s="1" t="str">
        <x:f>IF(A2142="","",E93)</x:f>
        <x:v>Elementary-Middle-High</x:v>
      </x:c>
      <x:c r="E2142" s="1" t="str">
        <x:f>IF(A2142="","",H93)</x:f>
        <x:v>19124</x:v>
      </x:c>
      <x:c r="F2142" s="1" t="n">
        <x:f>IF(ISNUMBER(K93),K93,"")</x:f>
        <x:v>1520</x:v>
      </x:c>
      <x:c r="G2142" s="1" t="n">
        <x:f>IF(ISNUMBER(L93),L93,"")</x:f>
        <x:v>0.8222</x:v>
      </x:c>
      <x:c r="H2142" s="1" t="str">
        <x:f>IF(A2142="","",IF(AND(UPPER(G93)="PHILADELPHIA",OR(C2142="District",AND(C2142="Charter",D93="Yes"))),"Yes","No"))</x:f>
        <x:v>Yes</x:v>
      </x:c>
      <x:c r="I2142" s="1" t="n">
        <x:f>IF(OR(A2142="",COUNTIFS('Staff Review'!$A$8:$A$507,A2142)&lt;&gt;1),0,MATCH(A2142,'Staff Review'!$A$8:$A$507,0))</x:f>
        <x:v>174</x:v>
      </x:c>
      <x:c r="J2142" s="1" t="str">
        <x:f>IF(I2142=0,"No",IF(INDEX('Staff Review'!$C$8:$C$507,I2142)="Yes","Yes","No"))</x:f>
        <x:v>No</x:v>
      </x:c>
      <x:c r="K2142" s="1" t="n">
        <x:f>IF(AI2142="Yes",INDEX('Staff Review'!$D$8:$D$507,I2142),IF(AB2142=0,"",IF(COUNT(INDEX($C$1531:$C$2030,AB2142))=1,INDEX($C$1531:$C$2030,AB2142),"")))</x:f>
        <x:v>0.25781245256366847</x:v>
      </x:c>
      <x:c r="L2142" s="1" t="n">
        <x:f>IF(AJ2142="Yes",INDEX('Staff Review'!$F$8:$F$507,I2142),IF(AB2142=0,"",IF(COUNT(INDEX($G$1531:$G$2030,AB2142))=1,INDEX($G$1531:$G$2030,AB2142),"")))</x:f>
        <x:v>9</x:v>
      </x:c>
      <x:c r="M2142" s="1" t="str">
        <x:f>IF(A2142="","",IF(AI2142="Yes","Verified","Listed"))</x:f>
        <x:v>Listed</x:v>
      </x:c>
      <x:c r="N2142" s="1" t="str">
        <x:f>IF(A2142="","",IF(AJ2142="Yes","Verified","Listed"))</x:f>
        <x:v>Listed</x:v>
      </x:c>
      <x:c r="O2142" s="1" t="n">
        <x:f>IF(AND(ISNUMBER(G2142),G2142&gt;=0,G2142&lt;=1),IF(G2142&gt;=0.9,30,IF(G2142&gt;=0.8,25,IF(G2142&gt;=0.7,20,IF(G2142&gt;=0.6,15,IF(G2142&gt;=0.5,10,IF(G2142&gt;=0.4,5,0)))))),"")</x:f>
        <x:v>25</x:v>
      </x:c>
      <x:c r="P2142" s="1" t="n">
        <x:f>IF(ISNUMBER(K2142),IF(K2142&lt;0,"",IF(K2142&gt;1,25,IF(K2142&gt;=0.75,20,IF(K2142&gt;=0.5,15,IF(K2142&gt;=0.25,10,5))))),"")</x:f>
        <x:v>10</x:v>
      </x:c>
      <x:c r="Q2142" s="1" t="n">
        <x:f>IF(NOT(ISNUMBER(L2142)),"",IF(AND(L2142&gt;=0,MOD(L2142,1)=0),MAX(0,25-5*L2142),""))</x:f>
        <x:v>0</x:v>
      </x:c>
      <x:c r="R2142" s="1" t="n">
        <x:f>IF(NOT(ISNUMBER(F2142)),"",IF(AND(F2142&gt;0,MOD(F2142,1)=0),IF(F2142&gt;=700,5,IF(F2142&gt;=500,4,IF(F2142&gt;=350,3,IF(F2142&gt;=200,2,1)))),""))</x:f>
        <x:v>5</x:v>
      </x:c>
      <x:c r="S2142" s="1" t="n">
        <x:f>IF(COUNT(O2142:R2142)=4,SUM(O2142:R2142),"")</x:f>
        <x:v>40</x:v>
      </x:c>
      <x:c r="T2142" s="1" t="n">
        <x:f>IF(OR(COUNT(O2142:R2142)&lt;&gt;4,COUNT('Top 15'!$B$35:$E$35)&lt;&gt;4,MIN('Top 15'!$B$35:$E$35)&lt;0,SUM('Top 15'!$B$35:$E$35)&lt;=0),"",ROUND(85*(O2142/30*'Top 15'!$B$35+P2142/25*'Top 15'!$C$35+Q2142/25*'Top 15'!$D$35+R2142/5*'Top 15'!$E$35)/SUM('Top 15'!$B$35:$E$35),6))</x:f>
        <x:v>40</x:v>
      </x:c>
      <x:c r="U2142" s="1" t="str">
        <x:f>IF(A2142="","",IF(AND(M2142="Verified",N2142="Verified"),"Verified",IF(AND(M2142="Listed",N2142="Listed"),"Listed","Mixed")))</x:f>
        <x:v>Listed</x:v>
      </x:c>
      <x:c r="V2142" s="1" t="str">
        <x:f>IF(A2142="","",IF(AK2142&lt;&gt;1,"Duplicate source ID",IF(COUNTIFS('Staff Review'!$A$8:$A$507,A2142)&gt;1,"Duplicate review ID",IF(H2142&lt;&gt;"Yes","Outside scope",IF(J2142="Yes","Already served",IF(NOT(ISNUMBER(T2142)),"Missing data","Candidate"))))))</x:f>
        <x:v>Candidate</x:v>
      </x:c>
      <x:c r="W2142" s="1" t="n">
        <x:f>IF(AL2142=0,"",1+COUNTIFS($AL$2051:$AL$2550,1,$T$2051:$T$2550,"&gt;"&amp;T2142)+COUNTIFS($AL$2051:$AL$2550,1,$T$2051:$T$2550,T2142,$G$2051:$G$2550,"&gt;"&amp;G2142)+COUNTIFS($AL$2051:$AL$2550,1,$T$2051:$T$2550,T2142,$G$2051:$G$2550,G2142,$F$2051:$F$2550,"&gt;"&amp;F2142)+COUNTIFS($AL$2051:$AL$2550,1,$T$2051:$T$2550,T2142,$G$2051:$G$2550,G2142,$F$2051:$F$2550,F2142,$AM$2051:$AM$2550,"&lt;"&amp;AM2142))</x:f>
        <x:v>141</x:v>
      </x:c>
      <x:c r="X2142" s="1" t="n">
        <x:f>IF(AL2142=0,"",1+COUNTIFS($AL$2051:$AL$2550,1,$T$2051:$T$2550,"&gt;"&amp;T2142))</x:f>
        <x:v>133</x:v>
      </x:c>
      <x:c r="Y2142" s="1" t="n">
        <x:f>IF(AND(H2142="Yes",OR(LEN('School Search'!$B$5)=0,ISNUMBER(SEARCH('School Search'!$B$5,B2142&amp;" "&amp;E2142&amp;" "&amp;A2142))),OR('School Search'!$D$5="All",C2142='School Search'!$D$5),OR('School Search'!$G$5="All eligible",AND('School Search'!$G$5="Not marked served",J2142&lt;&gt;"Yes"),AND('School Search'!$G$5="Missing data",V2142="Missing data"),AND('School Search'!$G$5="Marked served",J2142="Yes"))),1,0)</x:f>
        <x:v>1</x:v>
      </x:c>
      <x:c r="Z2142" s="1" t="n">
        <x:f>IF(Y2142=0,"",COUNTIFS($Y$2051:$Y$2550,1,$AO$2051:$AO$2550,"&lt;"&amp;AO2142)+COUNTIFS($Y$2051:Y2142,1,$AO$2051:AO2142,AO2142))</x:f>
        <x:v>141</x:v>
      </x:c>
      <x:c r="AA2142" s="1" t="str">
        <x:f>IF(NOT(ISNUMBER(S2142)),"Missing demographic or access input",TEXT(G2142,"0%")&amp;" economic need; "&amp;TEXT(K2142,"0.00")&amp;" mi fresh access; "&amp;L2142&amp;" nearby resources")</x:f>
        <x:v>82% economic need; 0.26 mi fresh access; 9 nearby resources</x:v>
      </x:c>
      <x:c r="AB2142" s="1" t="n">
        <x:f>IF(OR(A2142="",COUNTIFS($A$1531:$A$2030,A2142)&lt;&gt;1),0,MATCH(A2142,$A$1531:$A$2030,0))</x:f>
        <x:v>92</x:v>
      </x:c>
      <x:c r="AC2142" s="1" t="str">
        <x:f>IF(AB2142=0,"",INDEX($E$1531:$E$2030,AB2142))</x:f>
        <x:v>ALDI 60039 60039</x:v>
      </x:c>
      <x:c r="AD2142" s="1" t="str">
        <x:f>IF(AB2142=0,"",INDEX($F$1531:$F$2030,AB2142))</x:f>
        <x:v>3975 Castor Ave, Philadelphia, PA, 19124</x:v>
      </x:c>
      <x:c r="AE2142" s="1" t="str">
        <x:f>IF(A2142="","",F93)</x:f>
        <x:v>1840 TORRESDALE AVE</x:v>
      </x:c>
      <x:c r="AF2142" s="1" t="n">
        <x:f>IF(ISNUMBER(I93),I93,"")</x:f>
        <x:v>40.005757</x:v>
      </x:c>
      <x:c r="AG2142" s="1" t="n">
        <x:f>IF(ISNUMBER(J93),J93,"")</x:f>
        <x:v>-75.094146</x:v>
      </x:c>
      <x:c r="AH2142" s="1" t="str">
        <x:f>IF(I2142=0,"Not contacted",IF(INDEX('Staff Review'!$J$8:$J$507,I2142)="","Not contacted",INDEX('Staff Review'!$J$8:$J$507,I2142)))</x:f>
        <x:v>Not contacted</x:v>
      </x:c>
      <x:c r="AI2142" s="1" t="str">
        <x:f>IF(I2142=0,"No",IF(AND(COUNT(INDEX('Staff Review'!$D$8:$D$507,I2142))=1,INDEX('Staff Review'!$D$8:$D$507,I2142)&gt;=0,COUNT(INDEX('Staff Review'!$E$8:$E$507,I2142))=1,INDEX('Staff Review'!$E$8:$E$507,I2142)&gt;0,INDEX('Staff Review'!$E$8:$E$507,I2142)&lt;='Top 15'!$E$5,'Top 15'!$E$5-INDEX('Staff Review'!$E$8:$E$507,I2142)&lt;='Top 15'!$H$5,LEN(INDEX('Staff Review'!$H$8:$H$507,I2142))&gt;0),"Yes","No"))</x:f>
        <x:v>No</x:v>
      </x:c>
      <x:c r="AJ2142" s="1" t="str">
        <x:f>IF(I2142=0,"No",IF(COUNT(INDEX('Staff Review'!$F$8:$F$507,I2142))&lt;&gt;1,"No",IF(AND(INDEX('Staff Review'!$F$8:$F$507,I2142)&gt;=0,MOD(INDEX('Staff Review'!$F$8:$F$507,I2142),1)=0,COUNT(INDEX('Staff Review'!$G$8:$G$507,I2142))=1,INDEX('Staff Review'!$G$8:$G$507,I2142)&gt;0,INDEX('Staff Review'!$G$8:$G$507,I2142)&lt;='Top 15'!$E$5,'Top 15'!$E$5-INDEX('Staff Review'!$G$8:$G$507,I2142)&lt;='Top 15'!$H$5,LEN(INDEX('Staff Review'!$H$8:$H$507,I2142))&gt;0),"Yes","No")))</x:f>
        <x:v>No</x:v>
      </x:c>
      <x:c r="AK2142" s="1" t="n">
        <x:f>IF(A2142="",0,COUNTIFS($A$2:$A$501,A2142))</x:f>
        <x:v>1</x:v>
      </x:c>
      <x:c r="AL2142" s="1" t="n">
        <x:f>IF(V2142="Candidate",1,0)</x:f>
        <x:v>1</x:v>
      </x:c>
      <x:c r="AM2142" s="1" t="n">
        <x:f>IF(A2142="",0,VALUE(A2142))</x:f>
        <x:v>3332</x:v>
      </x:c>
      <x:c r="AN2142" s="1" t="n">
        <x:f>IF(OR(A2142="",COUNTIFS($T$41:$T$540,A2142)&lt;&gt;1),0,MATCH(A2142,$T$41:$T$540,0))</x:f>
        <x:v>92</x:v>
      </x:c>
      <x:c r="AO2142" t="n">
        <x:f>IF(ISNUMBER(W2142),W2142,10000+AM2142)</x:f>
        <x:v>141</x:v>
      </x:c>
    </x:row>
    <x:row r="2143" ht="22" customHeight="1">
      <x:c r="A2143" s="1" t="str">
        <x:f>IF(A94="","",A94)</x:f>
        <x:v>3333</x:v>
      </x:c>
      <x:c r="B2143" s="1" t="str">
        <x:f>IF(A2143="","",B94)</x:f>
        <x:v>Esperanza Academy Charter School</x:v>
      </x:c>
      <x:c r="C2143" s="1" t="str">
        <x:f>IF(A2143="","",C94)</x:f>
        <x:v>Charter</x:v>
      </x:c>
      <x:c r="D2143" s="1" t="str">
        <x:f>IF(A2143="","",E94)</x:f>
        <x:v>Elementary-Middle-High</x:v>
      </x:c>
      <x:c r="E2143" s="1" t="str">
        <x:f>IF(A2143="","",H94)</x:f>
        <x:v>19140</x:v>
      </x:c>
      <x:c r="F2143" s="1" t="n">
        <x:f>IF(ISNUMBER(K94),K94,"")</x:f>
        <x:v>2246</x:v>
      </x:c>
      <x:c r="G2143" s="1" t="n">
        <x:f>IF(ISNUMBER(L94),L94,"")</x:f>
        <x:v>0.8682</x:v>
      </x:c>
      <x:c r="H2143" s="1" t="str">
        <x:f>IF(A2143="","",IF(AND(UPPER(G94)="PHILADELPHIA",OR(C2143="District",AND(C2143="Charter",D94="Yes"))),"Yes","No"))</x:f>
        <x:v>Yes</x:v>
      </x:c>
      <x:c r="I2143" s="1" t="n">
        <x:f>IF(OR(A2143="",COUNTIFS('Staff Review'!$A$8:$A$507,A2143)&lt;&gt;1),0,MATCH(A2143,'Staff Review'!$A$8:$A$507,0))</x:f>
        <x:v>64</x:v>
      </x:c>
      <x:c r="J2143" s="1" t="str">
        <x:f>IF(I2143=0,"No",IF(INDEX('Staff Review'!$C$8:$C$507,I2143)="Yes","Yes","No"))</x:f>
        <x:v>No</x:v>
      </x:c>
      <x:c r="K2143" s="1" t="n">
        <x:f>IF(AI2143="Yes",INDEX('Staff Review'!$D$8:$D$507,I2143),IF(AB2143=0,"",IF(COUNT(INDEX($C$1531:$C$2030,AB2143))=1,INDEX($C$1531:$C$2030,AB2143),"")))</x:f>
        <x:v>0.22184891602670467</x:v>
      </x:c>
      <x:c r="L2143" s="1" t="n">
        <x:f>IF(AJ2143="Yes",INDEX('Staff Review'!$F$8:$F$507,I2143),IF(AB2143=0,"",IF(COUNT(INDEX($G$1531:$G$2030,AB2143))=1,INDEX($G$1531:$G$2030,AB2143),"")))</x:f>
        <x:v>10</x:v>
      </x:c>
      <x:c r="M2143" s="1" t="str">
        <x:f>IF(A2143="","",IF(AI2143="Yes","Verified","Listed"))</x:f>
        <x:v>Listed</x:v>
      </x:c>
      <x:c r="N2143" s="1" t="str">
        <x:f>IF(A2143="","",IF(AJ2143="Yes","Verified","Listed"))</x:f>
        <x:v>Listed</x:v>
      </x:c>
      <x:c r="O2143" s="1" t="n">
        <x:f>IF(AND(ISNUMBER(G2143),G2143&gt;=0,G2143&lt;=1),IF(G2143&gt;=0.9,30,IF(G2143&gt;=0.8,25,IF(G2143&gt;=0.7,20,IF(G2143&gt;=0.6,15,IF(G2143&gt;=0.5,10,IF(G2143&gt;=0.4,5,0)))))),"")</x:f>
        <x:v>25</x:v>
      </x:c>
      <x:c r="P2143" s="1" t="n">
        <x:f>IF(ISNUMBER(K2143),IF(K2143&lt;0,"",IF(K2143&gt;1,25,IF(K2143&gt;=0.75,20,IF(K2143&gt;=0.5,15,IF(K2143&gt;=0.25,10,5))))),"")</x:f>
        <x:v>5</x:v>
      </x:c>
      <x:c r="Q2143" s="1" t="n">
        <x:f>IF(NOT(ISNUMBER(L2143)),"",IF(AND(L2143&gt;=0,MOD(L2143,1)=0),MAX(0,25-5*L2143),""))</x:f>
        <x:v>0</x:v>
      </x:c>
      <x:c r="R2143" s="1" t="n">
        <x:f>IF(NOT(ISNUMBER(F2143)),"",IF(AND(F2143&gt;0,MOD(F2143,1)=0),IF(F2143&gt;=700,5,IF(F2143&gt;=500,4,IF(F2143&gt;=350,3,IF(F2143&gt;=200,2,1)))),""))</x:f>
        <x:v>5</x:v>
      </x:c>
      <x:c r="S2143" s="1" t="n">
        <x:f>IF(COUNT(O2143:R2143)=4,SUM(O2143:R2143),"")</x:f>
        <x:v>35</x:v>
      </x:c>
      <x:c r="T2143" s="1" t="n">
        <x:f>IF(OR(COUNT(O2143:R2143)&lt;&gt;4,COUNT('Top 15'!$B$35:$E$35)&lt;&gt;4,MIN('Top 15'!$B$35:$E$35)&lt;0,SUM('Top 15'!$B$35:$E$35)&lt;=0),"",ROUND(85*(O2143/30*'Top 15'!$B$35+P2143/25*'Top 15'!$C$35+Q2143/25*'Top 15'!$D$35+R2143/5*'Top 15'!$E$35)/SUM('Top 15'!$B$35:$E$35),6))</x:f>
        <x:v>35</x:v>
      </x:c>
      <x:c r="U2143" s="1" t="str">
        <x:f>IF(A2143="","",IF(AND(M2143="Verified",N2143="Verified"),"Verified",IF(AND(M2143="Listed",N2143="Listed"),"Listed","Mixed")))</x:f>
        <x:v>Listed</x:v>
      </x:c>
      <x:c r="V2143" s="1" t="str">
        <x:f>IF(A2143="","",IF(AK2143&lt;&gt;1,"Duplicate source ID",IF(COUNTIFS('Staff Review'!$A$8:$A$507,A2143)&gt;1,"Duplicate review ID",IF(H2143&lt;&gt;"Yes","Outside scope",IF(J2143="Yes","Already served",IF(NOT(ISNUMBER(T2143)),"Missing data","Candidate"))))))</x:f>
        <x:v>Candidate</x:v>
      </x:c>
      <x:c r="W2143" s="1" t="n">
        <x:f>IF(AL2143=0,"",1+COUNTIFS($AL$2051:$AL$2550,1,$T$2051:$T$2550,"&gt;"&amp;T2143)+COUNTIFS($AL$2051:$AL$2550,1,$T$2051:$T$2550,T2143,$G$2051:$G$2550,"&gt;"&amp;G2143)+COUNTIFS($AL$2051:$AL$2550,1,$T$2051:$T$2550,T2143,$G$2051:$G$2550,G2143,$F$2051:$F$2550,"&gt;"&amp;F2143)+COUNTIFS($AL$2051:$AL$2550,1,$T$2051:$T$2550,T2143,$G$2051:$G$2550,G2143,$F$2051:$F$2550,F2143,$AM$2051:$AM$2550,"&lt;"&amp;AM2143))</x:f>
        <x:v>210</x:v>
      </x:c>
      <x:c r="X2143" s="1" t="n">
        <x:f>IF(AL2143=0,"",1+COUNTIFS($AL$2051:$AL$2550,1,$T$2051:$T$2550,"&gt;"&amp;T2143))</x:f>
        <x:v>210</x:v>
      </x:c>
      <x:c r="Y2143" s="1" t="n">
        <x:f>IF(AND(H2143="Yes",OR(LEN('School Search'!$B$5)=0,ISNUMBER(SEARCH('School Search'!$B$5,B2143&amp;" "&amp;E2143&amp;" "&amp;A2143))),OR('School Search'!$D$5="All",C2143='School Search'!$D$5),OR('School Search'!$G$5="All eligible",AND('School Search'!$G$5="Not marked served",J2143&lt;&gt;"Yes"),AND('School Search'!$G$5="Missing data",V2143="Missing data"),AND('School Search'!$G$5="Marked served",J2143="Yes"))),1,0)</x:f>
        <x:v>1</x:v>
      </x:c>
      <x:c r="Z2143" s="1" t="n">
        <x:f>IF(Y2143=0,"",COUNTIFS($Y$2051:$Y$2550,1,$AO$2051:$AO$2550,"&lt;"&amp;AO2143)+COUNTIFS($Y$2051:Y2143,1,$AO$2051:AO2143,AO2143))</x:f>
        <x:v>210</x:v>
      </x:c>
      <x:c r="AA2143" s="1" t="str">
        <x:f>IF(NOT(ISNUMBER(S2143)),"Missing demographic or access input",TEXT(G2143,"0%")&amp;" economic need; "&amp;TEXT(K2143,"0.00")&amp;" mi fresh access; "&amp;L2143&amp;" nearby resources")</x:f>
        <x:v>87% economic need; 0.22 mi fresh access; 10 nearby resources</x:v>
      </x:c>
      <x:c r="AB2143" s="1" t="n">
        <x:f>IF(OR(A2143="",COUNTIFS($A$1531:$A$2030,A2143)&lt;&gt;1),0,MATCH(A2143,$A$1531:$A$2030,0))</x:f>
        <x:v>93</x:v>
      </x:c>
      <x:c r="AC2143" s="1" t="str">
        <x:f>IF(AB2143=0,"",INDEX($E$1531:$E$2030,AB2143))</x:f>
        <x:v>COUSINS SUPERMARKET INC. #2</x:v>
      </x:c>
      <x:c r="AD2143" s="1" t="str">
        <x:f>IF(AB2143=0,"",INDEX($F$1531:$F$2030,AB2143))</x:f>
        <x:v>4037 N 5th St, Philadelphia, PA, 19140</x:v>
      </x:c>
      <x:c r="AE2143" s="1" t="str">
        <x:f>IF(A2143="","",F94)</x:f>
        <x:v>301 W HUNTING PARK AVE</x:v>
      </x:c>
      <x:c r="AF2143" s="1" t="n">
        <x:f>IF(ISNUMBER(I94),I94,"")</x:f>
        <x:v>40.01478539</x:v>
      </x:c>
      <x:c r="AG2143" s="1" t="n">
        <x:f>IF(ISNUMBER(J94),J94,"")</x:f>
        <x:v>-75.13232396</x:v>
      </x:c>
      <x:c r="AH2143" s="1" t="str">
        <x:f>IF(I2143=0,"Not contacted",IF(INDEX('Staff Review'!$J$8:$J$507,I2143)="","Not contacted",INDEX('Staff Review'!$J$8:$J$507,I2143)))</x:f>
        <x:v>Not contacted</x:v>
      </x:c>
      <x:c r="AI2143" s="1" t="str">
        <x:f>IF(I2143=0,"No",IF(AND(COUNT(INDEX('Staff Review'!$D$8:$D$507,I2143))=1,INDEX('Staff Review'!$D$8:$D$507,I2143)&gt;=0,COUNT(INDEX('Staff Review'!$E$8:$E$507,I2143))=1,INDEX('Staff Review'!$E$8:$E$507,I2143)&gt;0,INDEX('Staff Review'!$E$8:$E$507,I2143)&lt;='Top 15'!$E$5,'Top 15'!$E$5-INDEX('Staff Review'!$E$8:$E$507,I2143)&lt;='Top 15'!$H$5,LEN(INDEX('Staff Review'!$H$8:$H$507,I2143))&gt;0),"Yes","No"))</x:f>
        <x:v>No</x:v>
      </x:c>
      <x:c r="AJ2143" s="1" t="str">
        <x:f>IF(I2143=0,"No",IF(COUNT(INDEX('Staff Review'!$F$8:$F$507,I2143))&lt;&gt;1,"No",IF(AND(INDEX('Staff Review'!$F$8:$F$507,I2143)&gt;=0,MOD(INDEX('Staff Review'!$F$8:$F$507,I2143),1)=0,COUNT(INDEX('Staff Review'!$G$8:$G$507,I2143))=1,INDEX('Staff Review'!$G$8:$G$507,I2143)&gt;0,INDEX('Staff Review'!$G$8:$G$507,I2143)&lt;='Top 15'!$E$5,'Top 15'!$E$5-INDEX('Staff Review'!$G$8:$G$507,I2143)&lt;='Top 15'!$H$5,LEN(INDEX('Staff Review'!$H$8:$H$507,I2143))&gt;0),"Yes","No")))</x:f>
        <x:v>No</x:v>
      </x:c>
      <x:c r="AK2143" s="1" t="n">
        <x:f>IF(A2143="",0,COUNTIFS($A$2:$A$501,A2143))</x:f>
        <x:v>1</x:v>
      </x:c>
      <x:c r="AL2143" s="1" t="n">
        <x:f>IF(V2143="Candidate",1,0)</x:f>
        <x:v>1</x:v>
      </x:c>
      <x:c r="AM2143" s="1" t="n">
        <x:f>IF(A2143="",0,VALUE(A2143))</x:f>
        <x:v>3333</x:v>
      </x:c>
      <x:c r="AN2143" s="1" t="n">
        <x:f>IF(OR(A2143="",COUNTIFS($T$41:$T$540,A2143)&lt;&gt;1),0,MATCH(A2143,$T$41:$T$540,0))</x:f>
        <x:v>93</x:v>
      </x:c>
      <x:c r="AO2143" t="n">
        <x:f>IF(ISNUMBER(W2143),W2143,10000+AM2143)</x:f>
        <x:v>210</x:v>
      </x:c>
    </x:row>
    <x:row r="2144" ht="22" customHeight="1">
      <x:c r="A2144" s="1" t="str">
        <x:f>IF(A95="","",A95)</x:f>
        <x:v>3334</x:v>
      </x:c>
      <x:c r="B2144" s="1" t="str">
        <x:f>IF(A2144="","",B95)</x:f>
        <x:v>New Foundations Charter School</x:v>
      </x:c>
      <x:c r="C2144" s="1" t="str">
        <x:f>IF(A2144="","",C95)</x:f>
        <x:v>Charter</x:v>
      </x:c>
      <x:c r="D2144" s="1" t="str">
        <x:f>IF(A2144="","",E95)</x:f>
        <x:v>Elementary-Middle-High</x:v>
      </x:c>
      <x:c r="E2144" s="1" t="str">
        <x:f>IF(A2144="","",H95)</x:f>
        <x:v>19136</x:v>
      </x:c>
      <x:c r="F2144" s="1" t="n">
        <x:f>IF(ISNUMBER(K95),K95,"")</x:f>
        <x:v>1538</x:v>
      </x:c>
      <x:c r="G2144" s="1" t="n">
        <x:f>IF(ISNUMBER(L95),L95,"")</x:f>
        <x:v>0.7084</x:v>
      </x:c>
      <x:c r="H2144" s="1" t="str">
        <x:f>IF(A2144="","",IF(AND(UPPER(G95)="PHILADELPHIA",OR(C2144="District",AND(C2144="Charter",D95="Yes"))),"Yes","No"))</x:f>
        <x:v>Yes</x:v>
      </x:c>
      <x:c r="I2144" s="1" t="n">
        <x:f>IF(OR(A2144="",COUNTIFS('Staff Review'!$A$8:$A$507,A2144)&lt;&gt;1),0,MATCH(A2144,'Staff Review'!$A$8:$A$507,0))</x:f>
        <x:v>204</x:v>
      </x:c>
      <x:c r="J2144" s="1" t="str">
        <x:f>IF(I2144=0,"No",IF(INDEX('Staff Review'!$C$8:$C$507,I2144)="Yes","Yes","No"))</x:f>
        <x:v>No</x:v>
      </x:c>
      <x:c r="K2144" s="1" t="n">
        <x:f>IF(AI2144="Yes",INDEX('Staff Review'!$D$8:$D$507,I2144),IF(AB2144=0,"",IF(COUNT(INDEX($C$1531:$C$2030,AB2144))=1,INDEX($C$1531:$C$2030,AB2144),"")))</x:f>
        <x:v>1.387323730005554</x:v>
      </x:c>
      <x:c r="L2144" s="1" t="n">
        <x:f>IF(AJ2144="Yes",INDEX('Staff Review'!$F$8:$F$507,I2144),IF(AB2144=0,"",IF(COUNT(INDEX($G$1531:$G$2030,AB2144))=1,INDEX($G$1531:$G$2030,AB2144),"")))</x:f>
        <x:v>2</x:v>
      </x:c>
      <x:c r="M2144" s="1" t="str">
        <x:f>IF(A2144="","",IF(AI2144="Yes","Verified","Listed"))</x:f>
        <x:v>Listed</x:v>
      </x:c>
      <x:c r="N2144" s="1" t="str">
        <x:f>IF(A2144="","",IF(AJ2144="Yes","Verified","Listed"))</x:f>
        <x:v>Listed</x:v>
      </x:c>
      <x:c r="O2144" s="1" t="n">
        <x:f>IF(AND(ISNUMBER(G2144),G2144&gt;=0,G2144&lt;=1),IF(G2144&gt;=0.9,30,IF(G2144&gt;=0.8,25,IF(G2144&gt;=0.7,20,IF(G2144&gt;=0.6,15,IF(G2144&gt;=0.5,10,IF(G2144&gt;=0.4,5,0)))))),"")</x:f>
        <x:v>20</x:v>
      </x:c>
      <x:c r="P2144" s="1" t="n">
        <x:f>IF(ISNUMBER(K2144),IF(K2144&lt;0,"",IF(K2144&gt;1,25,IF(K2144&gt;=0.75,20,IF(K2144&gt;=0.5,15,IF(K2144&gt;=0.25,10,5))))),"")</x:f>
        <x:v>25</x:v>
      </x:c>
      <x:c r="Q2144" s="1" t="n">
        <x:f>IF(NOT(ISNUMBER(L2144)),"",IF(AND(L2144&gt;=0,MOD(L2144,1)=0),MAX(0,25-5*L2144),""))</x:f>
        <x:v>15</x:v>
      </x:c>
      <x:c r="R2144" s="1" t="n">
        <x:f>IF(NOT(ISNUMBER(F2144)),"",IF(AND(F2144&gt;0,MOD(F2144,1)=0),IF(F2144&gt;=700,5,IF(F2144&gt;=500,4,IF(F2144&gt;=350,3,IF(F2144&gt;=200,2,1)))),""))</x:f>
        <x:v>5</x:v>
      </x:c>
      <x:c r="S2144" s="1" t="n">
        <x:f>IF(COUNT(O2144:R2144)=4,SUM(O2144:R2144),"")</x:f>
        <x:v>65</x:v>
      </x:c>
      <x:c r="T2144" s="1" t="n">
        <x:f>IF(OR(COUNT(O2144:R2144)&lt;&gt;4,COUNT('Top 15'!$B$35:$E$35)&lt;&gt;4,MIN('Top 15'!$B$35:$E$35)&lt;0,SUM('Top 15'!$B$35:$E$35)&lt;=0),"",ROUND(85*(O2144/30*'Top 15'!$B$35+P2144/25*'Top 15'!$C$35+Q2144/25*'Top 15'!$D$35+R2144/5*'Top 15'!$E$35)/SUM('Top 15'!$B$35:$E$35),6))</x:f>
        <x:v>65</x:v>
      </x:c>
      <x:c r="U2144" s="1" t="str">
        <x:f>IF(A2144="","",IF(AND(M2144="Verified",N2144="Verified"),"Verified",IF(AND(M2144="Listed",N2144="Listed"),"Listed","Mixed")))</x:f>
        <x:v>Listed</x:v>
      </x:c>
      <x:c r="V2144" s="1" t="str">
        <x:f>IF(A2144="","",IF(AK2144&lt;&gt;1,"Duplicate source ID",IF(COUNTIFS('Staff Review'!$A$8:$A$507,A2144)&gt;1,"Duplicate review ID",IF(H2144&lt;&gt;"Yes","Outside scope",IF(J2144="Yes","Already served",IF(NOT(ISNUMBER(T2144)),"Missing data","Candidate"))))))</x:f>
        <x:v>Candidate</x:v>
      </x:c>
      <x:c r="W2144" s="1" t="n">
        <x:f>IF(AL2144=0,"",1+COUNTIFS($AL$2051:$AL$2550,1,$T$2051:$T$2550,"&gt;"&amp;T2144)+COUNTIFS($AL$2051:$AL$2550,1,$T$2051:$T$2550,T2144,$G$2051:$G$2550,"&gt;"&amp;G2144)+COUNTIFS($AL$2051:$AL$2550,1,$T$2051:$T$2550,T2144,$G$2051:$G$2550,G2144,$F$2051:$F$2550,"&gt;"&amp;F2144)+COUNTIFS($AL$2051:$AL$2550,1,$T$2051:$T$2550,T2144,$G$2051:$G$2550,G2144,$F$2051:$F$2550,F2144,$AM$2051:$AM$2550,"&lt;"&amp;AM2144))</x:f>
        <x:v>3</x:v>
      </x:c>
      <x:c r="X2144" s="1" t="n">
        <x:f>IF(AL2144=0,"",1+COUNTIFS($AL$2051:$AL$2550,1,$T$2051:$T$2550,"&gt;"&amp;T2144))</x:f>
        <x:v>3</x:v>
      </x:c>
      <x:c r="Y2144" s="1" t="n">
        <x:f>IF(AND(H2144="Yes",OR(LEN('School Search'!$B$5)=0,ISNUMBER(SEARCH('School Search'!$B$5,B2144&amp;" "&amp;E2144&amp;" "&amp;A2144))),OR('School Search'!$D$5="All",C2144='School Search'!$D$5),OR('School Search'!$G$5="All eligible",AND('School Search'!$G$5="Not marked served",J2144&lt;&gt;"Yes"),AND('School Search'!$G$5="Missing data",V2144="Missing data"),AND('School Search'!$G$5="Marked served",J2144="Yes"))),1,0)</x:f>
        <x:v>1</x:v>
      </x:c>
      <x:c r="Z2144" s="1" t="n">
        <x:f>IF(Y2144=0,"",COUNTIFS($Y$2051:$Y$2550,1,$AO$2051:$AO$2550,"&lt;"&amp;AO2144)+COUNTIFS($Y$2051:Y2144,1,$AO$2051:AO2144,AO2144))</x:f>
        <x:v>3</x:v>
      </x:c>
      <x:c r="AA2144" s="1" t="str">
        <x:f>IF(NOT(ISNUMBER(S2144)),"Missing demographic or access input",TEXT(G2144,"0%")&amp;" economic need; "&amp;TEXT(K2144,"0.00")&amp;" mi fresh access; "&amp;L2144&amp;" nearby resources")</x:f>
        <x:v>71% economic need; 1.39 mi fresh access; 2 nearby resources</x:v>
      </x:c>
      <x:c r="AB2144" s="1" t="n">
        <x:f>IF(OR(A2144="",COUNTIFS($A$1531:$A$2030,A2144)&lt;&gt;1),0,MATCH(A2144,$A$1531:$A$2030,0))</x:f>
        <x:v>94</x:v>
      </x:c>
      <x:c r="AC2144" s="1" t="str">
        <x:f>IF(AB2144=0,"",INDEX($E$1531:$E$2030,AB2144))</x:f>
        <x:v>SAVE-A-LOT 60132</x:v>
      </x:c>
      <x:c r="AD2144" s="1" t="str">
        <x:f>IF(AB2144=0,"",INDEX($F$1531:$F$2030,AB2144))</x:f>
        <x:v>6801 Frankford Ave, Philadelphia, PA, 19135</x:v>
      </x:c>
      <x:c r="AE2144" s="1" t="str">
        <x:f>IF(A2144="","",F95)</x:f>
        <x:v>8001 TORRESDALE AVE</x:v>
      </x:c>
      <x:c r="AF2144" s="1" t="n">
        <x:f>IF(ISNUMBER(I95),I95,"")</x:f>
        <x:v>40.03507</x:v>
      </x:c>
      <x:c r="AG2144" s="1" t="n">
        <x:f>IF(ISNUMBER(J95),J95,"")</x:f>
        <x:v>-75.024187</x:v>
      </x:c>
      <x:c r="AH2144" s="1" t="str">
        <x:f>IF(I2144=0,"Not contacted",IF(INDEX('Staff Review'!$J$8:$J$507,I2144)="","Not contacted",INDEX('Staff Review'!$J$8:$J$507,I2144)))</x:f>
        <x:v>Not contacted</x:v>
      </x:c>
      <x:c r="AI2144" s="1" t="str">
        <x:f>IF(I2144=0,"No",IF(AND(COUNT(INDEX('Staff Review'!$D$8:$D$507,I2144))=1,INDEX('Staff Review'!$D$8:$D$507,I2144)&gt;=0,COUNT(INDEX('Staff Review'!$E$8:$E$507,I2144))=1,INDEX('Staff Review'!$E$8:$E$507,I2144)&gt;0,INDEX('Staff Review'!$E$8:$E$507,I2144)&lt;='Top 15'!$E$5,'Top 15'!$E$5-INDEX('Staff Review'!$E$8:$E$507,I2144)&lt;='Top 15'!$H$5,LEN(INDEX('Staff Review'!$H$8:$H$507,I2144))&gt;0),"Yes","No"))</x:f>
        <x:v>No</x:v>
      </x:c>
      <x:c r="AJ2144" s="1" t="str">
        <x:f>IF(I2144=0,"No",IF(COUNT(INDEX('Staff Review'!$F$8:$F$507,I2144))&lt;&gt;1,"No",IF(AND(INDEX('Staff Review'!$F$8:$F$507,I2144)&gt;=0,MOD(INDEX('Staff Review'!$F$8:$F$507,I2144),1)=0,COUNT(INDEX('Staff Review'!$G$8:$G$507,I2144))=1,INDEX('Staff Review'!$G$8:$G$507,I2144)&gt;0,INDEX('Staff Review'!$G$8:$G$507,I2144)&lt;='Top 15'!$E$5,'Top 15'!$E$5-INDEX('Staff Review'!$G$8:$G$507,I2144)&lt;='Top 15'!$H$5,LEN(INDEX('Staff Review'!$H$8:$H$507,I2144))&gt;0),"Yes","No")))</x:f>
        <x:v>No</x:v>
      </x:c>
      <x:c r="AK2144" s="1" t="n">
        <x:f>IF(A2144="",0,COUNTIFS($A$2:$A$501,A2144))</x:f>
        <x:v>1</x:v>
      </x:c>
      <x:c r="AL2144" s="1" t="n">
        <x:f>IF(V2144="Candidate",1,0)</x:f>
        <x:v>1</x:v>
      </x:c>
      <x:c r="AM2144" s="1" t="n">
        <x:f>IF(A2144="",0,VALUE(A2144))</x:f>
        <x:v>3334</x:v>
      </x:c>
      <x:c r="AN2144" s="1" t="n">
        <x:f>IF(OR(A2144="",COUNTIFS($T$41:$T$540,A2144)&lt;&gt;1),0,MATCH(A2144,$T$41:$T$540,0))</x:f>
        <x:v>94</x:v>
      </x:c>
      <x:c r="AO2144" t="n">
        <x:f>IF(ISNUMBER(W2144),W2144,10000+AM2144)</x:f>
        <x:v>3</x:v>
      </x:c>
    </x:row>
    <x:row r="2145" ht="22" customHeight="1">
      <x:c r="A2145" s="1" t="str">
        <x:f>IF(A96="","",A96)</x:f>
        <x:v>3335</x:v>
      </x:c>
      <x:c r="B2145" s="1" t="str">
        <x:f>IF(A2145="","",B96)</x:f>
        <x:v>People for People Charter School</x:v>
      </x:c>
      <x:c r="C2145" s="1" t="str">
        <x:f>IF(A2145="","",C96)</x:f>
        <x:v>Charter</x:v>
      </x:c>
      <x:c r="D2145" s="1" t="str">
        <x:f>IF(A2145="","",E96)</x:f>
        <x:v>Elementary-Middle-High</x:v>
      </x:c>
      <x:c r="E2145" s="1" t="str">
        <x:f>IF(A2145="","",H96)</x:f>
        <x:v>19130</x:v>
      </x:c>
      <x:c r="F2145" s="1" t="n">
        <x:f>IF(ISNUMBER(K96),K96,"")</x:f>
        <x:v>556</x:v>
      </x:c>
      <x:c r="G2145" s="1" t="n">
        <x:f>IF(ISNUMBER(L96),L96,"")</x:f>
        <x:v>0.9981</x:v>
      </x:c>
      <x:c r="H2145" s="1" t="str">
        <x:f>IF(A2145="","",IF(AND(UPPER(G96)="PHILADELPHIA",OR(C2145="District",AND(C2145="Charter",D96="Yes"))),"Yes","No"))</x:f>
        <x:v>Yes</x:v>
      </x:c>
      <x:c r="I2145" s="1" t="n">
        <x:f>IF(OR(A2145="",COUNTIFS('Staff Review'!$A$8:$A$507,A2145)&lt;&gt;1),0,MATCH(A2145,'Staff Review'!$A$8:$A$507,0))</x:f>
        <x:v>230</x:v>
      </x:c>
      <x:c r="J2145" s="1" t="str">
        <x:f>IF(I2145=0,"No",IF(INDEX('Staff Review'!$C$8:$C$507,I2145)="Yes","Yes","No"))</x:f>
        <x:v>No</x:v>
      </x:c>
      <x:c r="K2145" s="1" t="n">
        <x:f>IF(AI2145="Yes",INDEX('Staff Review'!$D$8:$D$507,I2145),IF(AB2145=0,"",IF(COUNT(INDEX($C$1531:$C$2030,AB2145))=1,INDEX($C$1531:$C$2030,AB2145),"")))</x:f>
        <x:v>0.1443955007665691</x:v>
      </x:c>
      <x:c r="L2145" s="1" t="n">
        <x:f>IF(AJ2145="Yes",INDEX('Staff Review'!$F$8:$F$507,I2145),IF(AB2145=0,"",IF(COUNT(INDEX($G$1531:$G$2030,AB2145))=1,INDEX($G$1531:$G$2030,AB2145),"")))</x:f>
        <x:v>11</x:v>
      </x:c>
      <x:c r="M2145" s="1" t="str">
        <x:f>IF(A2145="","",IF(AI2145="Yes","Verified","Listed"))</x:f>
        <x:v>Listed</x:v>
      </x:c>
      <x:c r="N2145" s="1" t="str">
        <x:f>IF(A2145="","",IF(AJ2145="Yes","Verified","Listed"))</x:f>
        <x:v>Listed</x:v>
      </x:c>
      <x:c r="O2145" s="1" t="n">
        <x:f>IF(AND(ISNUMBER(G2145),G2145&gt;=0,G2145&lt;=1),IF(G2145&gt;=0.9,30,IF(G2145&gt;=0.8,25,IF(G2145&gt;=0.7,20,IF(G2145&gt;=0.6,15,IF(G2145&gt;=0.5,10,IF(G2145&gt;=0.4,5,0)))))),"")</x:f>
        <x:v>30</x:v>
      </x:c>
      <x:c r="P2145" s="1" t="n">
        <x:f>IF(ISNUMBER(K2145),IF(K2145&lt;0,"",IF(K2145&gt;1,25,IF(K2145&gt;=0.75,20,IF(K2145&gt;=0.5,15,IF(K2145&gt;=0.25,10,5))))),"")</x:f>
        <x:v>5</x:v>
      </x:c>
      <x:c r="Q2145" s="1" t="n">
        <x:f>IF(NOT(ISNUMBER(L2145)),"",IF(AND(L2145&gt;=0,MOD(L2145,1)=0),MAX(0,25-5*L2145),""))</x:f>
        <x:v>0</x:v>
      </x:c>
      <x:c r="R2145" s="1" t="n">
        <x:f>IF(NOT(ISNUMBER(F2145)),"",IF(AND(F2145&gt;0,MOD(F2145,1)=0),IF(F2145&gt;=700,5,IF(F2145&gt;=500,4,IF(F2145&gt;=350,3,IF(F2145&gt;=200,2,1)))),""))</x:f>
        <x:v>4</x:v>
      </x:c>
      <x:c r="S2145" s="1" t="n">
        <x:f>IF(COUNT(O2145:R2145)=4,SUM(O2145:R2145),"")</x:f>
        <x:v>39</x:v>
      </x:c>
      <x:c r="T2145" s="1" t="n">
        <x:f>IF(OR(COUNT(O2145:R2145)&lt;&gt;4,COUNT('Top 15'!$B$35:$E$35)&lt;&gt;4,MIN('Top 15'!$B$35:$E$35)&lt;0,SUM('Top 15'!$B$35:$E$35)&lt;=0),"",ROUND(85*(O2145/30*'Top 15'!$B$35+P2145/25*'Top 15'!$C$35+Q2145/25*'Top 15'!$D$35+R2145/5*'Top 15'!$E$35)/SUM('Top 15'!$B$35:$E$35),6))</x:f>
        <x:v>39</x:v>
      </x:c>
      <x:c r="U2145" s="1" t="str">
        <x:f>IF(A2145="","",IF(AND(M2145="Verified",N2145="Verified"),"Verified",IF(AND(M2145="Listed",N2145="Listed"),"Listed","Mixed")))</x:f>
        <x:v>Listed</x:v>
      </x:c>
      <x:c r="V2145" s="1" t="str">
        <x:f>IF(A2145="","",IF(AK2145&lt;&gt;1,"Duplicate source ID",IF(COUNTIFS('Staff Review'!$A$8:$A$507,A2145)&gt;1,"Duplicate review ID",IF(H2145&lt;&gt;"Yes","Outside scope",IF(J2145="Yes","Already served",IF(NOT(ISNUMBER(T2145)),"Missing data","Candidate"))))))</x:f>
        <x:v>Candidate</x:v>
      </x:c>
      <x:c r="W2145" s="1" t="n">
        <x:f>IF(AL2145=0,"",1+COUNTIFS($AL$2051:$AL$2550,1,$T$2051:$T$2550,"&gt;"&amp;T2145)+COUNTIFS($AL$2051:$AL$2550,1,$T$2051:$T$2550,T2145,$G$2051:$G$2550,"&gt;"&amp;G2145)+COUNTIFS($AL$2051:$AL$2550,1,$T$2051:$T$2550,T2145,$G$2051:$G$2550,G2145,$F$2051:$F$2550,"&gt;"&amp;F2145)+COUNTIFS($AL$2051:$AL$2550,1,$T$2051:$T$2550,T2145,$G$2051:$G$2550,G2145,$F$2051:$F$2550,F2145,$AM$2051:$AM$2550,"&lt;"&amp;AM2145))</x:f>
        <x:v>148</x:v>
      </x:c>
      <x:c r="X2145" s="1" t="n">
        <x:f>IF(AL2145=0,"",1+COUNTIFS($AL$2051:$AL$2550,1,$T$2051:$T$2550,"&gt;"&amp;T2145))</x:f>
        <x:v>148</x:v>
      </x:c>
      <x:c r="Y2145" s="1" t="n">
        <x:f>IF(AND(H2145="Yes",OR(LEN('School Search'!$B$5)=0,ISNUMBER(SEARCH('School Search'!$B$5,B2145&amp;" "&amp;E2145&amp;" "&amp;A2145))),OR('School Search'!$D$5="All",C2145='School Search'!$D$5),OR('School Search'!$G$5="All eligible",AND('School Search'!$G$5="Not marked served",J2145&lt;&gt;"Yes"),AND('School Search'!$G$5="Missing data",V2145="Missing data"),AND('School Search'!$G$5="Marked served",J2145="Yes"))),1,0)</x:f>
        <x:v>1</x:v>
      </x:c>
      <x:c r="Z2145" s="1" t="n">
        <x:f>IF(Y2145=0,"",COUNTIFS($Y$2051:$Y$2550,1,$AO$2051:$AO$2550,"&lt;"&amp;AO2145)+COUNTIFS($Y$2051:Y2145,1,$AO$2051:AO2145,AO2145))</x:f>
        <x:v>148</x:v>
      </x:c>
      <x:c r="AA2145" s="1" t="str">
        <x:f>IF(NOT(ISNUMBER(S2145)),"Missing demographic or access input",TEXT(G2145,"0%")&amp;" economic need; "&amp;TEXT(K2145,"0.00")&amp;" mi fresh access; "&amp;L2145&amp;" nearby resources")</x:f>
        <x:v>100% economic need; 0.14 mi fresh access; 11 nearby resources</x:v>
      </x:c>
      <x:c r="AB2145" s="1" t="n">
        <x:f>IF(OR(A2145="",COUNTIFS($A$1531:$A$2030,A2145)&lt;&gt;1),0,MATCH(A2145,$A$1531:$A$2030,0))</x:f>
        <x:v>95</x:v>
      </x:c>
      <x:c r="AC2145" s="1" t="str">
        <x:f>IF(AB2145=0,"",INDEX($E$1531:$E$2030,AB2145))</x:f>
        <x:v>Aldi 60169</x:v>
      </x:c>
      <x:c r="AD2145" s="1" t="str">
        <x:f>IF(AB2145=0,"",INDEX($F$1531:$F$2030,AB2145))</x:f>
        <x:v>1300 Fairmount Ave, Philadelphia, PA, 19123</x:v>
      </x:c>
      <x:c r="AE2145" s="1" t="str">
        <x:f>IF(A2145="","",F96)</x:f>
        <x:v>800 N BROAD ST</x:v>
      </x:c>
      <x:c r="AF2145" s="1" t="n">
        <x:f>IF(ISNUMBER(I96),I96,"")</x:f>
        <x:v>39.96810141</x:v>
      </x:c>
      <x:c r="AG2145" s="1" t="n">
        <x:f>IF(ISNUMBER(J96),J96,"")</x:f>
        <x:v>-75.16067477</x:v>
      </x:c>
      <x:c r="AH2145" s="1" t="str">
        <x:f>IF(I2145=0,"Not contacted",IF(INDEX('Staff Review'!$J$8:$J$507,I2145)="","Not contacted",INDEX('Staff Review'!$J$8:$J$507,I2145)))</x:f>
        <x:v>Not contacted</x:v>
      </x:c>
      <x:c r="AI2145" s="1" t="str">
        <x:f>IF(I2145=0,"No",IF(AND(COUNT(INDEX('Staff Review'!$D$8:$D$507,I2145))=1,INDEX('Staff Review'!$D$8:$D$507,I2145)&gt;=0,COUNT(INDEX('Staff Review'!$E$8:$E$507,I2145))=1,INDEX('Staff Review'!$E$8:$E$507,I2145)&gt;0,INDEX('Staff Review'!$E$8:$E$507,I2145)&lt;='Top 15'!$E$5,'Top 15'!$E$5-INDEX('Staff Review'!$E$8:$E$507,I2145)&lt;='Top 15'!$H$5,LEN(INDEX('Staff Review'!$H$8:$H$507,I2145))&gt;0),"Yes","No"))</x:f>
        <x:v>No</x:v>
      </x:c>
      <x:c r="AJ2145" s="1" t="str">
        <x:f>IF(I2145=0,"No",IF(COUNT(INDEX('Staff Review'!$F$8:$F$507,I2145))&lt;&gt;1,"No",IF(AND(INDEX('Staff Review'!$F$8:$F$507,I2145)&gt;=0,MOD(INDEX('Staff Review'!$F$8:$F$507,I2145),1)=0,COUNT(INDEX('Staff Review'!$G$8:$G$507,I2145))=1,INDEX('Staff Review'!$G$8:$G$507,I2145)&gt;0,INDEX('Staff Review'!$G$8:$G$507,I2145)&lt;='Top 15'!$E$5,'Top 15'!$E$5-INDEX('Staff Review'!$G$8:$G$507,I2145)&lt;='Top 15'!$H$5,LEN(INDEX('Staff Review'!$H$8:$H$507,I2145))&gt;0),"Yes","No")))</x:f>
        <x:v>No</x:v>
      </x:c>
      <x:c r="AK2145" s="1" t="n">
        <x:f>IF(A2145="",0,COUNTIFS($A$2:$A$501,A2145))</x:f>
        <x:v>1</x:v>
      </x:c>
      <x:c r="AL2145" s="1" t="n">
        <x:f>IF(V2145="Candidate",1,0)</x:f>
        <x:v>1</x:v>
      </x:c>
      <x:c r="AM2145" s="1" t="n">
        <x:f>IF(A2145="",0,VALUE(A2145))</x:f>
        <x:v>3335</x:v>
      </x:c>
      <x:c r="AN2145" s="1" t="n">
        <x:f>IF(OR(A2145="",COUNTIFS($T$41:$T$540,A2145)&lt;&gt;1),0,MATCH(A2145,$T$41:$T$540,0))</x:f>
        <x:v>95</x:v>
      </x:c>
      <x:c r="AO2145" t="n">
        <x:f>IF(ISNUMBER(W2145),W2145,10000+AM2145)</x:f>
        <x:v>148</x:v>
      </x:c>
    </x:row>
    <x:row r="2146" ht="22" customHeight="1">
      <x:c r="A2146" s="1" t="str">
        <x:f>IF(A97="","",A97)</x:f>
        <x:v>3336</x:v>
      </x:c>
      <x:c r="B2146" s="1" t="str">
        <x:f>IF(A2146="","",B97)</x:f>
        <x:v>Philadelphia Performing Arts Charter School</x:v>
      </x:c>
      <x:c r="C2146" s="1" t="str">
        <x:f>IF(A2146="","",C97)</x:f>
        <x:v>Charter</x:v>
      </x:c>
      <x:c r="D2146" s="1" t="str">
        <x:f>IF(A2146="","",E97)</x:f>
        <x:v>Elementary-Middle-High</x:v>
      </x:c>
      <x:c r="E2146" s="1" t="str">
        <x:f>IF(A2146="","",H97)</x:f>
        <x:v>19145</x:v>
      </x:c>
      <x:c r="F2146" s="1" t="n">
        <x:f>IF(ISNUMBER(K97),K97,"")</x:f>
        <x:v>2484</x:v>
      </x:c>
      <x:c r="G2146" s="1" t="n">
        <x:f>IF(ISNUMBER(L97),L97,"")</x:f>
        <x:v>0.6301</x:v>
      </x:c>
      <x:c r="H2146" s="1" t="str">
        <x:f>IF(A2146="","",IF(AND(UPPER(G97)="PHILADELPHIA",OR(C2146="District",AND(C2146="Charter",D97="Yes"))),"Yes","No"))</x:f>
        <x:v>Yes</x:v>
      </x:c>
      <x:c r="I2146" s="1" t="n">
        <x:f>IF(OR(A2146="",COUNTIFS('Staff Review'!$A$8:$A$507,A2146)&lt;&gt;1),0,MATCH(A2146,'Staff Review'!$A$8:$A$507,0))</x:f>
        <x:v>241</x:v>
      </x:c>
      <x:c r="J2146" s="1" t="str">
        <x:f>IF(I2146=0,"No",IF(INDEX('Staff Review'!$C$8:$C$507,I2146)="Yes","Yes","No"))</x:f>
        <x:v>No</x:v>
      </x:c>
      <x:c r="K2146" s="1" t="n">
        <x:f>IF(AI2146="Yes",INDEX('Staff Review'!$D$8:$D$507,I2146),IF(AB2146=0,"",IF(COUNT(INDEX($C$1531:$C$2030,AB2146))=1,INDEX($C$1531:$C$2030,AB2146),"")))</x:f>
        <x:v>0.4624721430463569</x:v>
      </x:c>
      <x:c r="L2146" s="1" t="n">
        <x:f>IF(AJ2146="Yes",INDEX('Staff Review'!$F$8:$F$507,I2146),IF(AB2146=0,"",IF(COUNT(INDEX($G$1531:$G$2030,AB2146))=1,INDEX($G$1531:$G$2030,AB2146),"")))</x:f>
        <x:v>5</x:v>
      </x:c>
      <x:c r="M2146" s="1" t="str">
        <x:f>IF(A2146="","",IF(AI2146="Yes","Verified","Listed"))</x:f>
        <x:v>Listed</x:v>
      </x:c>
      <x:c r="N2146" s="1" t="str">
        <x:f>IF(A2146="","",IF(AJ2146="Yes","Verified","Listed"))</x:f>
        <x:v>Listed</x:v>
      </x:c>
      <x:c r="O2146" s="1" t="n">
        <x:f>IF(AND(ISNUMBER(G2146),G2146&gt;=0,G2146&lt;=1),IF(G2146&gt;=0.9,30,IF(G2146&gt;=0.8,25,IF(G2146&gt;=0.7,20,IF(G2146&gt;=0.6,15,IF(G2146&gt;=0.5,10,IF(G2146&gt;=0.4,5,0)))))),"")</x:f>
        <x:v>15</x:v>
      </x:c>
      <x:c r="P2146" s="1" t="n">
        <x:f>IF(ISNUMBER(K2146),IF(K2146&lt;0,"",IF(K2146&gt;1,25,IF(K2146&gt;=0.75,20,IF(K2146&gt;=0.5,15,IF(K2146&gt;=0.25,10,5))))),"")</x:f>
        <x:v>10</x:v>
      </x:c>
      <x:c r="Q2146" s="1" t="n">
        <x:f>IF(NOT(ISNUMBER(L2146)),"",IF(AND(L2146&gt;=0,MOD(L2146,1)=0),MAX(0,25-5*L2146),""))</x:f>
        <x:v>0</x:v>
      </x:c>
      <x:c r="R2146" s="1" t="n">
        <x:f>IF(NOT(ISNUMBER(F2146)),"",IF(AND(F2146&gt;0,MOD(F2146,1)=0),IF(F2146&gt;=700,5,IF(F2146&gt;=500,4,IF(F2146&gt;=350,3,IF(F2146&gt;=200,2,1)))),""))</x:f>
        <x:v>5</x:v>
      </x:c>
      <x:c r="S2146" s="1" t="n">
        <x:f>IF(COUNT(O2146:R2146)=4,SUM(O2146:R2146),"")</x:f>
        <x:v>30</x:v>
      </x:c>
      <x:c r="T2146" s="1" t="n">
        <x:f>IF(OR(COUNT(O2146:R2146)&lt;&gt;4,COUNT('Top 15'!$B$35:$E$35)&lt;&gt;4,MIN('Top 15'!$B$35:$E$35)&lt;0,SUM('Top 15'!$B$35:$E$35)&lt;=0),"",ROUND(85*(O2146/30*'Top 15'!$B$35+P2146/25*'Top 15'!$C$35+Q2146/25*'Top 15'!$D$35+R2146/5*'Top 15'!$E$35)/SUM('Top 15'!$B$35:$E$35),6))</x:f>
        <x:v>30</x:v>
      </x:c>
      <x:c r="U2146" s="1" t="str">
        <x:f>IF(A2146="","",IF(AND(M2146="Verified",N2146="Verified"),"Verified",IF(AND(M2146="Listed",N2146="Listed"),"Listed","Mixed")))</x:f>
        <x:v>Listed</x:v>
      </x:c>
      <x:c r="V2146" s="1" t="str">
        <x:f>IF(A2146="","",IF(AK2146&lt;&gt;1,"Duplicate source ID",IF(COUNTIFS('Staff Review'!$A$8:$A$507,A2146)&gt;1,"Duplicate review ID",IF(H2146&lt;&gt;"Yes","Outside scope",IF(J2146="Yes","Already served",IF(NOT(ISNUMBER(T2146)),"Missing data","Candidate"))))))</x:f>
        <x:v>Candidate</x:v>
      </x:c>
      <x:c r="W2146" s="1" t="n">
        <x:f>IF(AL2146=0,"",1+COUNTIFS($AL$2051:$AL$2550,1,$T$2051:$T$2550,"&gt;"&amp;T2146)+COUNTIFS($AL$2051:$AL$2550,1,$T$2051:$T$2550,T2146,$G$2051:$G$2550,"&gt;"&amp;G2146)+COUNTIFS($AL$2051:$AL$2550,1,$T$2051:$T$2550,T2146,$G$2051:$G$2550,G2146,$F$2051:$F$2550,"&gt;"&amp;F2146)+COUNTIFS($AL$2051:$AL$2550,1,$T$2051:$T$2550,T2146,$G$2051:$G$2550,G2146,$F$2051:$F$2550,F2146,$AM$2051:$AM$2550,"&lt;"&amp;AM2146))</x:f>
        <x:v>259</x:v>
      </x:c>
      <x:c r="X2146" s="1" t="n">
        <x:f>IF(AL2146=0,"",1+COUNTIFS($AL$2051:$AL$2550,1,$T$2051:$T$2550,"&gt;"&amp;T2146))</x:f>
        <x:v>253</x:v>
      </x:c>
      <x:c r="Y2146" s="1" t="n">
        <x:f>IF(AND(H2146="Yes",OR(LEN('School Search'!$B$5)=0,ISNUMBER(SEARCH('School Search'!$B$5,B2146&amp;" "&amp;E2146&amp;" "&amp;A2146))),OR('School Search'!$D$5="All",C2146='School Search'!$D$5),OR('School Search'!$G$5="All eligible",AND('School Search'!$G$5="Not marked served",J2146&lt;&gt;"Yes"),AND('School Search'!$G$5="Missing data",V2146="Missing data"),AND('School Search'!$G$5="Marked served",J2146="Yes"))),1,0)</x:f>
        <x:v>1</x:v>
      </x:c>
      <x:c r="Z2146" s="1" t="n">
        <x:f>IF(Y2146=0,"",COUNTIFS($Y$2051:$Y$2550,1,$AO$2051:$AO$2550,"&lt;"&amp;AO2146)+COUNTIFS($Y$2051:Y2146,1,$AO$2051:AO2146,AO2146))</x:f>
        <x:v>259</x:v>
      </x:c>
      <x:c r="AA2146" s="1" t="str">
        <x:f>IF(NOT(ISNUMBER(S2146)),"Missing demographic or access input",TEXT(G2146,"0%")&amp;" economic need; "&amp;TEXT(K2146,"0.00")&amp;" mi fresh access; "&amp;L2146&amp;" nearby resources")</x:f>
        <x:v>63% economic need; 0.46 mi fresh access; 5 nearby resources</x:v>
      </x:c>
      <x:c r="AB2146" s="1" t="n">
        <x:f>IF(OR(A2146="",COUNTIFS($A$1531:$A$2030,A2146)&lt;&gt;1),0,MATCH(A2146,$A$1531:$A$2030,0))</x:f>
        <x:v>96</x:v>
      </x:c>
      <x:c r="AC2146" s="1" t="str">
        <x:f>IF(AB2146=0,"",INDEX($E$1531:$E$2030,AB2146))</x:f>
        <x:v>ACME 4715</x:v>
      </x:c>
      <x:c r="AD2146" s="1" t="str">
        <x:f>IF(AB2146=0,"",INDEX($F$1531:$F$2030,AB2146))</x:f>
        <x:v>1901 Johnston St, Philadelphia, PA, 19145</x:v>
      </x:c>
      <x:c r="AE2146" s="1" t="str">
        <x:f>IF(A2146="","",F97)</x:f>
        <x:v>2600 S BROAD ST</x:v>
      </x:c>
      <x:c r="AF2146" s="1" t="n">
        <x:f>IF(ISNUMBER(I97),I97,"")</x:f>
        <x:v>39.91777662</x:v>
      </x:c>
      <x:c r="AG2146" s="1" t="n">
        <x:f>IF(ISNUMBER(J97),J97,"")</x:f>
        <x:v>-75.17166577</x:v>
      </x:c>
      <x:c r="AH2146" s="1" t="str">
        <x:f>IF(I2146=0,"Not contacted",IF(INDEX('Staff Review'!$J$8:$J$507,I2146)="","Not contacted",INDEX('Staff Review'!$J$8:$J$507,I2146)))</x:f>
        <x:v>Not contacted</x:v>
      </x:c>
      <x:c r="AI2146" s="1" t="str">
        <x:f>IF(I2146=0,"No",IF(AND(COUNT(INDEX('Staff Review'!$D$8:$D$507,I2146))=1,INDEX('Staff Review'!$D$8:$D$507,I2146)&gt;=0,COUNT(INDEX('Staff Review'!$E$8:$E$507,I2146))=1,INDEX('Staff Review'!$E$8:$E$507,I2146)&gt;0,INDEX('Staff Review'!$E$8:$E$507,I2146)&lt;='Top 15'!$E$5,'Top 15'!$E$5-INDEX('Staff Review'!$E$8:$E$507,I2146)&lt;='Top 15'!$H$5,LEN(INDEX('Staff Review'!$H$8:$H$507,I2146))&gt;0),"Yes","No"))</x:f>
        <x:v>No</x:v>
      </x:c>
      <x:c r="AJ2146" s="1" t="str">
        <x:f>IF(I2146=0,"No",IF(COUNT(INDEX('Staff Review'!$F$8:$F$507,I2146))&lt;&gt;1,"No",IF(AND(INDEX('Staff Review'!$F$8:$F$507,I2146)&gt;=0,MOD(INDEX('Staff Review'!$F$8:$F$507,I2146),1)=0,COUNT(INDEX('Staff Review'!$G$8:$G$507,I2146))=1,INDEX('Staff Review'!$G$8:$G$507,I2146)&gt;0,INDEX('Staff Review'!$G$8:$G$507,I2146)&lt;='Top 15'!$E$5,'Top 15'!$E$5-INDEX('Staff Review'!$G$8:$G$507,I2146)&lt;='Top 15'!$H$5,LEN(INDEX('Staff Review'!$H$8:$H$507,I2146))&gt;0),"Yes","No")))</x:f>
        <x:v>No</x:v>
      </x:c>
      <x:c r="AK2146" s="1" t="n">
        <x:f>IF(A2146="",0,COUNTIFS($A$2:$A$501,A2146))</x:f>
        <x:v>1</x:v>
      </x:c>
      <x:c r="AL2146" s="1" t="n">
        <x:f>IF(V2146="Candidate",1,0)</x:f>
        <x:v>1</x:v>
      </x:c>
      <x:c r="AM2146" s="1" t="n">
        <x:f>IF(A2146="",0,VALUE(A2146))</x:f>
        <x:v>3336</x:v>
      </x:c>
      <x:c r="AN2146" s="1" t="n">
        <x:f>IF(OR(A2146="",COUNTIFS($T$41:$T$540,A2146)&lt;&gt;1),0,MATCH(A2146,$T$41:$T$540,0))</x:f>
        <x:v>96</x:v>
      </x:c>
      <x:c r="AO2146" t="n">
        <x:f>IF(ISNUMBER(W2146),W2146,10000+AM2146)</x:f>
        <x:v>259</x:v>
      </x:c>
    </x:row>
    <x:row r="2147" ht="22" customHeight="1">
      <x:c r="A2147" s="1" t="str">
        <x:f>IF(A98="","",A98)</x:f>
        <x:v>3337</x:v>
      </x:c>
      <x:c r="B2147" s="1" t="str">
        <x:f>IF(A2147="","",B98)</x:f>
        <x:v>Global Leadership Academy Charter School</x:v>
      </x:c>
      <x:c r="C2147" s="1" t="str">
        <x:f>IF(A2147="","",C98)</x:f>
        <x:v>Charter</x:v>
      </x:c>
      <x:c r="D2147" s="1" t="str">
        <x:f>IF(A2147="","",E98)</x:f>
        <x:v>Elementary-Middle</x:v>
      </x:c>
      <x:c r="E2147" s="1" t="str">
        <x:f>IF(A2147="","",H98)</x:f>
        <x:v>19131</x:v>
      </x:c>
      <x:c r="F2147" s="1" t="n">
        <x:f>IF(ISNUMBER(K98),K98,"")</x:f>
        <x:v>704</x:v>
      </x:c>
      <x:c r="G2147" s="1" t="n">
        <x:f>IF(ISNUMBER(L98),L98,"")</x:f>
        <x:v>0.7332</x:v>
      </x:c>
      <x:c r="H2147" s="1" t="str">
        <x:f>IF(A2147="","",IF(AND(UPPER(G98)="PHILADELPHIA",OR(C2147="District",AND(C2147="Charter",D98="Yes"))),"Yes","No"))</x:f>
        <x:v>Yes</x:v>
      </x:c>
      <x:c r="I2147" s="1" t="n">
        <x:f>IF(OR(A2147="",COUNTIFS('Staff Review'!$A$8:$A$507,A2147)&lt;&gt;1),0,MATCH(A2147,'Staff Review'!$A$8:$A$507,0))</x:f>
        <x:v>100</x:v>
      </x:c>
      <x:c r="J2147" s="1" t="str">
        <x:f>IF(I2147=0,"No",IF(INDEX('Staff Review'!$C$8:$C$507,I2147)="Yes","Yes","No"))</x:f>
        <x:v>No</x:v>
      </x:c>
      <x:c r="K2147" s="1" t="n">
        <x:f>IF(AI2147="Yes",INDEX('Staff Review'!$D$8:$D$507,I2147),IF(AB2147=0,"",IF(COUNT(INDEX($C$1531:$C$2030,AB2147))=1,INDEX($C$1531:$C$2030,AB2147),"")))</x:f>
        <x:v>0.3658513855331566</x:v>
      </x:c>
      <x:c r="L2147" s="1" t="n">
        <x:f>IF(AJ2147="Yes",INDEX('Staff Review'!$F$8:$F$507,I2147),IF(AB2147=0,"",IF(COUNT(INDEX($G$1531:$G$2030,AB2147))=1,INDEX($G$1531:$G$2030,AB2147),"")))</x:f>
        <x:v>9</x:v>
      </x:c>
      <x:c r="M2147" s="1" t="str">
        <x:f>IF(A2147="","",IF(AI2147="Yes","Verified","Listed"))</x:f>
        <x:v>Listed</x:v>
      </x:c>
      <x:c r="N2147" s="1" t="str">
        <x:f>IF(A2147="","",IF(AJ2147="Yes","Verified","Listed"))</x:f>
        <x:v>Listed</x:v>
      </x:c>
      <x:c r="O2147" s="1" t="n">
        <x:f>IF(AND(ISNUMBER(G2147),G2147&gt;=0,G2147&lt;=1),IF(G2147&gt;=0.9,30,IF(G2147&gt;=0.8,25,IF(G2147&gt;=0.7,20,IF(G2147&gt;=0.6,15,IF(G2147&gt;=0.5,10,IF(G2147&gt;=0.4,5,0)))))),"")</x:f>
        <x:v>20</x:v>
      </x:c>
      <x:c r="P2147" s="1" t="n">
        <x:f>IF(ISNUMBER(K2147),IF(K2147&lt;0,"",IF(K2147&gt;1,25,IF(K2147&gt;=0.75,20,IF(K2147&gt;=0.5,15,IF(K2147&gt;=0.25,10,5))))),"")</x:f>
        <x:v>10</x:v>
      </x:c>
      <x:c r="Q2147" s="1" t="n">
        <x:f>IF(NOT(ISNUMBER(L2147)),"",IF(AND(L2147&gt;=0,MOD(L2147,1)=0),MAX(0,25-5*L2147),""))</x:f>
        <x:v>0</x:v>
      </x:c>
      <x:c r="R2147" s="1" t="n">
        <x:f>IF(NOT(ISNUMBER(F2147)),"",IF(AND(F2147&gt;0,MOD(F2147,1)=0),IF(F2147&gt;=700,5,IF(F2147&gt;=500,4,IF(F2147&gt;=350,3,IF(F2147&gt;=200,2,1)))),""))</x:f>
        <x:v>5</x:v>
      </x:c>
      <x:c r="S2147" s="1" t="n">
        <x:f>IF(COUNT(O2147:R2147)=4,SUM(O2147:R2147),"")</x:f>
        <x:v>35</x:v>
      </x:c>
      <x:c r="T2147" s="1" t="n">
        <x:f>IF(OR(COUNT(O2147:R2147)&lt;&gt;4,COUNT('Top 15'!$B$35:$E$35)&lt;&gt;4,MIN('Top 15'!$B$35:$E$35)&lt;0,SUM('Top 15'!$B$35:$E$35)&lt;=0),"",ROUND(85*(O2147/30*'Top 15'!$B$35+P2147/25*'Top 15'!$C$35+Q2147/25*'Top 15'!$D$35+R2147/5*'Top 15'!$E$35)/SUM('Top 15'!$B$35:$E$35),6))</x:f>
        <x:v>35</x:v>
      </x:c>
      <x:c r="U2147" s="1" t="str">
        <x:f>IF(A2147="","",IF(AND(M2147="Verified",N2147="Verified"),"Verified",IF(AND(M2147="Listed",N2147="Listed"),"Listed","Mixed")))</x:f>
        <x:v>Listed</x:v>
      </x:c>
      <x:c r="V2147" s="1" t="str">
        <x:f>IF(A2147="","",IF(AK2147&lt;&gt;1,"Duplicate source ID",IF(COUNTIFS('Staff Review'!$A$8:$A$507,A2147)&gt;1,"Duplicate review ID",IF(H2147&lt;&gt;"Yes","Outside scope",IF(J2147="Yes","Already served",IF(NOT(ISNUMBER(T2147)),"Missing data","Candidate"))))))</x:f>
        <x:v>Candidate</x:v>
      </x:c>
      <x:c r="W2147" s="1" t="n">
        <x:f>IF(AL2147=0,"",1+COUNTIFS($AL$2051:$AL$2550,1,$T$2051:$T$2550,"&gt;"&amp;T2147)+COUNTIFS($AL$2051:$AL$2550,1,$T$2051:$T$2550,T2147,$G$2051:$G$2550,"&gt;"&amp;G2147)+COUNTIFS($AL$2051:$AL$2550,1,$T$2051:$T$2550,T2147,$G$2051:$G$2550,G2147,$F$2051:$F$2550,"&gt;"&amp;F2147)+COUNTIFS($AL$2051:$AL$2550,1,$T$2051:$T$2550,T2147,$G$2051:$G$2550,G2147,$F$2051:$F$2550,F2147,$AM$2051:$AM$2550,"&lt;"&amp;AM2147))</x:f>
        <x:v>215</x:v>
      </x:c>
      <x:c r="X2147" s="1" t="n">
        <x:f>IF(AL2147=0,"",1+COUNTIFS($AL$2051:$AL$2550,1,$T$2051:$T$2550,"&gt;"&amp;T2147))</x:f>
        <x:v>210</x:v>
      </x:c>
      <x:c r="Y2147" s="1" t="n">
        <x:f>IF(AND(H2147="Yes",OR(LEN('School Search'!$B$5)=0,ISNUMBER(SEARCH('School Search'!$B$5,B2147&amp;" "&amp;E2147&amp;" "&amp;A2147))),OR('School Search'!$D$5="All",C2147='School Search'!$D$5),OR('School Search'!$G$5="All eligible",AND('School Search'!$G$5="Not marked served",J2147&lt;&gt;"Yes"),AND('School Search'!$G$5="Missing data",V2147="Missing data"),AND('School Search'!$G$5="Marked served",J2147="Yes"))),1,0)</x:f>
        <x:v>1</x:v>
      </x:c>
      <x:c r="Z2147" s="1" t="n">
        <x:f>IF(Y2147=0,"",COUNTIFS($Y$2051:$Y$2550,1,$AO$2051:$AO$2550,"&lt;"&amp;AO2147)+COUNTIFS($Y$2051:Y2147,1,$AO$2051:AO2147,AO2147))</x:f>
        <x:v>215</x:v>
      </x:c>
      <x:c r="AA2147" s="1" t="str">
        <x:f>IF(NOT(ISNUMBER(S2147)),"Missing demographic or access input",TEXT(G2147,"0%")&amp;" economic need; "&amp;TEXT(K2147,"0.00")&amp;" mi fresh access; "&amp;L2147&amp;" nearby resources")</x:f>
        <x:v>73% economic need; 0.37 mi fresh access; 9 nearby resources</x:v>
      </x:c>
      <x:c r="AB2147" s="1" t="n">
        <x:f>IF(OR(A2147="",COUNTIFS($A$1531:$A$2030,A2147)&lt;&gt;1),0,MATCH(A2147,$A$1531:$A$2030,0))</x:f>
        <x:v>97</x:v>
      </x:c>
      <x:c r="AC2147" s="1" t="str">
        <x:f>IF(AB2147=0,"",INDEX($E$1531:$E$2030,AB2147))</x:f>
        <x:v>Cousin's Fresh Market 2 Inc</x:v>
      </x:c>
      <x:c r="AD2147" s="1" t="str">
        <x:f>IF(AB2147=0,"",INDEX($F$1531:$F$2030,AB2147))</x:f>
        <x:v>5429 W Girard Ave, Philadelphia, PA, 19131</x:v>
      </x:c>
      <x:c r="AE2147" s="1" t="str">
        <x:f>IF(A2147="","",F98)</x:f>
        <x:v>4601 W GIRARD AVE</x:v>
      </x:c>
      <x:c r="AF2147" s="1" t="n">
        <x:f>IF(ISNUMBER(I98),I98,"")</x:f>
        <x:v>39.97335953</x:v>
      </x:c>
      <x:c r="AG2147" s="1" t="n">
        <x:f>IF(ISNUMBER(J98),J98,"")</x:f>
        <x:v>-75.2154352</x:v>
      </x:c>
      <x:c r="AH2147" s="1" t="str">
        <x:f>IF(I2147=0,"Not contacted",IF(INDEX('Staff Review'!$J$8:$J$507,I2147)="","Not contacted",INDEX('Staff Review'!$J$8:$J$507,I2147)))</x:f>
        <x:v>Not contacted</x:v>
      </x:c>
      <x:c r="AI2147" s="1" t="str">
        <x:f>IF(I2147=0,"No",IF(AND(COUNT(INDEX('Staff Review'!$D$8:$D$507,I2147))=1,INDEX('Staff Review'!$D$8:$D$507,I2147)&gt;=0,COUNT(INDEX('Staff Review'!$E$8:$E$507,I2147))=1,INDEX('Staff Review'!$E$8:$E$507,I2147)&gt;0,INDEX('Staff Review'!$E$8:$E$507,I2147)&lt;='Top 15'!$E$5,'Top 15'!$E$5-INDEX('Staff Review'!$E$8:$E$507,I2147)&lt;='Top 15'!$H$5,LEN(INDEX('Staff Review'!$H$8:$H$507,I2147))&gt;0),"Yes","No"))</x:f>
        <x:v>No</x:v>
      </x:c>
      <x:c r="AJ2147" s="1" t="str">
        <x:f>IF(I2147=0,"No",IF(COUNT(INDEX('Staff Review'!$F$8:$F$507,I2147))&lt;&gt;1,"No",IF(AND(INDEX('Staff Review'!$F$8:$F$507,I2147)&gt;=0,MOD(INDEX('Staff Review'!$F$8:$F$507,I2147),1)=0,COUNT(INDEX('Staff Review'!$G$8:$G$507,I2147))=1,INDEX('Staff Review'!$G$8:$G$507,I2147)&gt;0,INDEX('Staff Review'!$G$8:$G$507,I2147)&lt;='Top 15'!$E$5,'Top 15'!$E$5-INDEX('Staff Review'!$G$8:$G$507,I2147)&lt;='Top 15'!$H$5,LEN(INDEX('Staff Review'!$H$8:$H$507,I2147))&gt;0),"Yes","No")))</x:f>
        <x:v>No</x:v>
      </x:c>
      <x:c r="AK2147" s="1" t="n">
        <x:f>IF(A2147="",0,COUNTIFS($A$2:$A$501,A2147))</x:f>
        <x:v>1</x:v>
      </x:c>
      <x:c r="AL2147" s="1" t="n">
        <x:f>IF(V2147="Candidate",1,0)</x:f>
        <x:v>1</x:v>
      </x:c>
      <x:c r="AM2147" s="1" t="n">
        <x:f>IF(A2147="",0,VALUE(A2147))</x:f>
        <x:v>3337</x:v>
      </x:c>
      <x:c r="AN2147" s="1" t="n">
        <x:f>IF(OR(A2147="",COUNTIFS($T$41:$T$540,A2147)&lt;&gt;1),0,MATCH(A2147,$T$41:$T$540,0))</x:f>
        <x:v>97</x:v>
      </x:c>
      <x:c r="AO2147" t="n">
        <x:f>IF(ISNUMBER(W2147),W2147,10000+AM2147)</x:f>
        <x:v>215</x:v>
      </x:c>
    </x:row>
    <x:row r="2148" ht="22" customHeight="1">
      <x:c r="A2148" s="1" t="str">
        <x:f>IF(A99="","",A99)</x:f>
        <x:v>3341</x:v>
      </x:c>
      <x:c r="B2148" s="1" t="str">
        <x:f>IF(A2148="","",B99)</x:f>
        <x:v>Independence Charter School</x:v>
      </x:c>
      <x:c r="C2148" s="1" t="str">
        <x:f>IF(A2148="","",C99)</x:f>
        <x:v>Charter</x:v>
      </x:c>
      <x:c r="D2148" s="1" t="str">
        <x:f>IF(A2148="","",E99)</x:f>
        <x:v>Elementary-Middle</x:v>
      </x:c>
      <x:c r="E2148" s="1" t="str">
        <x:f>IF(A2148="","",H99)</x:f>
        <x:v>19146</x:v>
      </x:c>
      <x:c r="F2148" s="1" t="n">
        <x:f>IF(ISNUMBER(K99),K99,"")</x:f>
        <x:v>815</x:v>
      </x:c>
      <x:c r="G2148" s="1" t="n">
        <x:f>IF(ISNUMBER(L99),L99,"")</x:f>
        <x:v>0.5465</x:v>
      </x:c>
      <x:c r="H2148" s="1" t="str">
        <x:f>IF(A2148="","",IF(AND(UPPER(G99)="PHILADELPHIA",OR(C2148="District",AND(C2148="Charter",D99="Yes"))),"Yes","No"))</x:f>
        <x:v>Yes</x:v>
      </x:c>
      <x:c r="I2148" s="1" t="n">
        <x:f>IF(OR(A2148="",COUNTIFS('Staff Review'!$A$8:$A$507,A2148)&lt;&gt;1),0,MATCH(A2148,'Staff Review'!$A$8:$A$507,0))</x:f>
        <x:v>121</x:v>
      </x:c>
      <x:c r="J2148" s="1" t="str">
        <x:f>IF(I2148=0,"No",IF(INDEX('Staff Review'!$C$8:$C$507,I2148)="Yes","Yes","No"))</x:f>
        <x:v>No</x:v>
      </x:c>
      <x:c r="K2148" s="1" t="n">
        <x:f>IF(AI2148="Yes",INDEX('Staff Review'!$D$8:$D$507,I2148),IF(AB2148=0,"",IF(COUNT(INDEX($C$1531:$C$2030,AB2148))=1,INDEX($C$1531:$C$2030,AB2148),"")))</x:f>
        <x:v>0.20679124402661642</x:v>
      </x:c>
      <x:c r="L2148" s="1" t="n">
        <x:f>IF(AJ2148="Yes",INDEX('Staff Review'!$F$8:$F$507,I2148),IF(AB2148=0,"",IF(COUNT(INDEX($G$1531:$G$2030,AB2148))=1,INDEX($G$1531:$G$2030,AB2148),"")))</x:f>
        <x:v>10</x:v>
      </x:c>
      <x:c r="M2148" s="1" t="str">
        <x:f>IF(A2148="","",IF(AI2148="Yes","Verified","Listed"))</x:f>
        <x:v>Listed</x:v>
      </x:c>
      <x:c r="N2148" s="1" t="str">
        <x:f>IF(A2148="","",IF(AJ2148="Yes","Verified","Listed"))</x:f>
        <x:v>Listed</x:v>
      </x:c>
      <x:c r="O2148" s="1" t="n">
        <x:f>IF(AND(ISNUMBER(G2148),G2148&gt;=0,G2148&lt;=1),IF(G2148&gt;=0.9,30,IF(G2148&gt;=0.8,25,IF(G2148&gt;=0.7,20,IF(G2148&gt;=0.6,15,IF(G2148&gt;=0.5,10,IF(G2148&gt;=0.4,5,0)))))),"")</x:f>
        <x:v>10</x:v>
      </x:c>
      <x:c r="P2148" s="1" t="n">
        <x:f>IF(ISNUMBER(K2148),IF(K2148&lt;0,"",IF(K2148&gt;1,25,IF(K2148&gt;=0.75,20,IF(K2148&gt;=0.5,15,IF(K2148&gt;=0.25,10,5))))),"")</x:f>
        <x:v>5</x:v>
      </x:c>
      <x:c r="Q2148" s="1" t="n">
        <x:f>IF(NOT(ISNUMBER(L2148)),"",IF(AND(L2148&gt;=0,MOD(L2148,1)=0),MAX(0,25-5*L2148),""))</x:f>
        <x:v>0</x:v>
      </x:c>
      <x:c r="R2148" s="1" t="n">
        <x:f>IF(NOT(ISNUMBER(F2148)),"",IF(AND(F2148&gt;0,MOD(F2148,1)=0),IF(F2148&gt;=700,5,IF(F2148&gt;=500,4,IF(F2148&gt;=350,3,IF(F2148&gt;=200,2,1)))),""))</x:f>
        <x:v>5</x:v>
      </x:c>
      <x:c r="S2148" s="1" t="n">
        <x:f>IF(COUNT(O2148:R2148)=4,SUM(O2148:R2148),"")</x:f>
        <x:v>20</x:v>
      </x:c>
      <x:c r="T2148" s="1" t="n">
        <x:f>IF(OR(COUNT(O2148:R2148)&lt;&gt;4,COUNT('Top 15'!$B$35:$E$35)&lt;&gt;4,MIN('Top 15'!$B$35:$E$35)&lt;0,SUM('Top 15'!$B$35:$E$35)&lt;=0),"",ROUND(85*(O2148/30*'Top 15'!$B$35+P2148/25*'Top 15'!$C$35+Q2148/25*'Top 15'!$D$35+R2148/5*'Top 15'!$E$35)/SUM('Top 15'!$B$35:$E$35),6))</x:f>
        <x:v>20</x:v>
      </x:c>
      <x:c r="U2148" s="1" t="str">
        <x:f>IF(A2148="","",IF(AND(M2148="Verified",N2148="Verified"),"Verified",IF(AND(M2148="Listed",N2148="Listed"),"Listed","Mixed")))</x:f>
        <x:v>Listed</x:v>
      </x:c>
      <x:c r="V2148" s="1" t="str">
        <x:f>IF(A2148="","",IF(AK2148&lt;&gt;1,"Duplicate source ID",IF(COUNTIFS('Staff Review'!$A$8:$A$507,A2148)&gt;1,"Duplicate review ID",IF(H2148&lt;&gt;"Yes","Outside scope",IF(J2148="Yes","Already served",IF(NOT(ISNUMBER(T2148)),"Missing data","Candidate"))))))</x:f>
        <x:v>Candidate</x:v>
      </x:c>
      <x:c r="W2148" s="1" t="n">
        <x:f>IF(AL2148=0,"",1+COUNTIFS($AL$2051:$AL$2550,1,$T$2051:$T$2550,"&gt;"&amp;T2148)+COUNTIFS($AL$2051:$AL$2550,1,$T$2051:$T$2550,T2148,$G$2051:$G$2550,"&gt;"&amp;G2148)+COUNTIFS($AL$2051:$AL$2550,1,$T$2051:$T$2550,T2148,$G$2051:$G$2550,G2148,$F$2051:$F$2550,"&gt;"&amp;F2148)+COUNTIFS($AL$2051:$AL$2550,1,$T$2051:$T$2550,T2148,$G$2051:$G$2550,G2148,$F$2051:$F$2550,F2148,$AM$2051:$AM$2550,"&lt;"&amp;AM2148))</x:f>
        <x:v>280</x:v>
      </x:c>
      <x:c r="X2148" s="1" t="n">
        <x:f>IF(AL2148=0,"",1+COUNTIFS($AL$2051:$AL$2550,1,$T$2051:$T$2550,"&gt;"&amp;T2148))</x:f>
        <x:v>279</x:v>
      </x:c>
      <x:c r="Y2148" s="1" t="n">
        <x:f>IF(AND(H2148="Yes",OR(LEN('School Search'!$B$5)=0,ISNUMBER(SEARCH('School Search'!$B$5,B2148&amp;" "&amp;E2148&amp;" "&amp;A2148))),OR('School Search'!$D$5="All",C2148='School Search'!$D$5),OR('School Search'!$G$5="All eligible",AND('School Search'!$G$5="Not marked served",J2148&lt;&gt;"Yes"),AND('School Search'!$G$5="Missing data",V2148="Missing data"),AND('School Search'!$G$5="Marked served",J2148="Yes"))),1,0)</x:f>
        <x:v>1</x:v>
      </x:c>
      <x:c r="Z2148" s="1" t="n">
        <x:f>IF(Y2148=0,"",COUNTIFS($Y$2051:$Y$2550,1,$AO$2051:$AO$2550,"&lt;"&amp;AO2148)+COUNTIFS($Y$2051:Y2148,1,$AO$2051:AO2148,AO2148))</x:f>
        <x:v>280</x:v>
      </x:c>
      <x:c r="AA2148" s="1" t="str">
        <x:f>IF(NOT(ISNUMBER(S2148)),"Missing demographic or access input",TEXT(G2148,"0%")&amp;" economic need; "&amp;TEXT(K2148,"0.00")&amp;" mi fresh access; "&amp;L2148&amp;" nearby resources")</x:f>
        <x:v>55% economic need; 0.21 mi fresh access; 10 nearby resources</x:v>
      </x:c>
      <x:c r="AB2148" s="1" t="n">
        <x:f>IF(OR(A2148="",COUNTIFS($A$1531:$A$2030,A2148)&lt;&gt;1),0,MATCH(A2148,$A$1531:$A$2030,0))</x:f>
        <x:v>98</x:v>
      </x:c>
      <x:c r="AC2148" s="1" t="str">
        <x:f>IF(AB2148=0,"",INDEX($E$1531:$E$2030,AB2148))</x:f>
        <x:v>Rittenhouse Market</x:v>
      </x:c>
      <x:c r="AD2148" s="1" t="str">
        <x:f>IF(AB2148=0,"",INDEX($F$1531:$F$2030,AB2148))</x:f>
        <x:v>1733 Spruce St, Philadelphia, PA, 19103</x:v>
      </x:c>
      <x:c r="AE2148" s="1" t="str">
        <x:f>IF(A2148="","",F99)</x:f>
        <x:v>1600 LOMBARD ST</x:v>
      </x:c>
      <x:c r="AF2148" s="1" t="n">
        <x:f>IF(ISNUMBER(I99),I99,"")</x:f>
        <x:v>39.94496682</x:v>
      </x:c>
      <x:c r="AG2148" s="1" t="n">
        <x:f>IF(ISNUMBER(J99),J99,"")</x:f>
        <x:v>-75.16855598</x:v>
      </x:c>
      <x:c r="AH2148" s="1" t="str">
        <x:f>IF(I2148=0,"Not contacted",IF(INDEX('Staff Review'!$J$8:$J$507,I2148)="","Not contacted",INDEX('Staff Review'!$J$8:$J$507,I2148)))</x:f>
        <x:v>Not contacted</x:v>
      </x:c>
      <x:c r="AI2148" s="1" t="str">
        <x:f>IF(I2148=0,"No",IF(AND(COUNT(INDEX('Staff Review'!$D$8:$D$507,I2148))=1,INDEX('Staff Review'!$D$8:$D$507,I2148)&gt;=0,COUNT(INDEX('Staff Review'!$E$8:$E$507,I2148))=1,INDEX('Staff Review'!$E$8:$E$507,I2148)&gt;0,INDEX('Staff Review'!$E$8:$E$507,I2148)&lt;='Top 15'!$E$5,'Top 15'!$E$5-INDEX('Staff Review'!$E$8:$E$507,I2148)&lt;='Top 15'!$H$5,LEN(INDEX('Staff Review'!$H$8:$H$507,I2148))&gt;0),"Yes","No"))</x:f>
        <x:v>No</x:v>
      </x:c>
      <x:c r="AJ2148" s="1" t="str">
        <x:f>IF(I2148=0,"No",IF(COUNT(INDEX('Staff Review'!$F$8:$F$507,I2148))&lt;&gt;1,"No",IF(AND(INDEX('Staff Review'!$F$8:$F$507,I2148)&gt;=0,MOD(INDEX('Staff Review'!$F$8:$F$507,I2148),1)=0,COUNT(INDEX('Staff Review'!$G$8:$G$507,I2148))=1,INDEX('Staff Review'!$G$8:$G$507,I2148)&gt;0,INDEX('Staff Review'!$G$8:$G$507,I2148)&lt;='Top 15'!$E$5,'Top 15'!$E$5-INDEX('Staff Review'!$G$8:$G$507,I2148)&lt;='Top 15'!$H$5,LEN(INDEX('Staff Review'!$H$8:$H$507,I2148))&gt;0),"Yes","No")))</x:f>
        <x:v>No</x:v>
      </x:c>
      <x:c r="AK2148" s="1" t="n">
        <x:f>IF(A2148="",0,COUNTIFS($A$2:$A$501,A2148))</x:f>
        <x:v>1</x:v>
      </x:c>
      <x:c r="AL2148" s="1" t="n">
        <x:f>IF(V2148="Candidate",1,0)</x:f>
        <x:v>1</x:v>
      </x:c>
      <x:c r="AM2148" s="1" t="n">
        <x:f>IF(A2148="",0,VALUE(A2148))</x:f>
        <x:v>3341</x:v>
      </x:c>
      <x:c r="AN2148" s="1" t="n">
        <x:f>IF(OR(A2148="",COUNTIFS($T$41:$T$540,A2148)&lt;&gt;1),0,MATCH(A2148,$T$41:$T$540,0))</x:f>
        <x:v>98</x:v>
      </x:c>
      <x:c r="AO2148" t="n">
        <x:f>IF(ISNUMBER(W2148),W2148,10000+AM2148)</x:f>
        <x:v>280</x:v>
      </x:c>
    </x:row>
    <x:row r="2149" ht="22" customHeight="1">
      <x:c r="A2149" s="1" t="str">
        <x:f>IF(A100="","",A100)</x:f>
        <x:v>3353</x:v>
      </x:c>
      <x:c r="B2149" s="1" t="str">
        <x:f>IF(A2149="","",B100)</x:f>
        <x:v>KIPP DuBois Charter School</x:v>
      </x:c>
      <x:c r="C2149" s="1" t="str">
        <x:f>IF(A2149="","",C100)</x:f>
        <x:v>Charter</x:v>
      </x:c>
      <x:c r="D2149" s="1" t="str">
        <x:f>IF(A2149="","",E100)</x:f>
        <x:v>High</x:v>
      </x:c>
      <x:c r="E2149" s="1" t="str">
        <x:f>IF(A2149="","",H100)</x:f>
        <x:v>19131</x:v>
      </x:c>
      <x:c r="F2149" s="1" t="n">
        <x:f>IF(ISNUMBER(K100),K100,"")</x:f>
        <x:v>504</x:v>
      </x:c>
      <x:c r="G2149" s="1" t="n">
        <x:f>IF(ISNUMBER(L100),L100,"")</x:f>
        <x:v>0.5964</x:v>
      </x:c>
      <x:c r="H2149" s="1" t="str">
        <x:f>IF(A2149="","",IF(AND(UPPER(G100)="PHILADELPHIA",OR(C2149="District",AND(C2149="Charter",D100="Yes"))),"Yes","No"))</x:f>
        <x:v>Yes</x:v>
      </x:c>
      <x:c r="I2149" s="1" t="n">
        <x:f>IF(OR(A2149="",COUNTIFS('Staff Review'!$A$8:$A$507,A2149)&lt;&gt;1),0,MATCH(A2149,'Staff Review'!$A$8:$A$507,0))</x:f>
        <x:v>161</x:v>
      </x:c>
      <x:c r="J2149" s="1" t="str">
        <x:f>IF(I2149=0,"No",IF(INDEX('Staff Review'!$C$8:$C$507,I2149)="Yes","Yes","No"))</x:f>
        <x:v>No</x:v>
      </x:c>
      <x:c r="K2149" s="1" t="n">
        <x:f>IF(AI2149="Yes",INDEX('Staff Review'!$D$8:$D$507,I2149),IF(AB2149=0,"",IF(COUNT(INDEX($C$1531:$C$2030,AB2149))=1,INDEX($C$1531:$C$2030,AB2149),"")))</x:f>
        <x:v>0.2538288653515859</x:v>
      </x:c>
      <x:c r="L2149" s="1" t="n">
        <x:f>IF(AJ2149="Yes",INDEX('Staff Review'!$F$8:$F$507,I2149),IF(AB2149=0,"",IF(COUNT(INDEX($G$1531:$G$2030,AB2149))=1,INDEX($G$1531:$G$2030,AB2149),"")))</x:f>
        <x:v>5</x:v>
      </x:c>
      <x:c r="M2149" s="1" t="str">
        <x:f>IF(A2149="","",IF(AI2149="Yes","Verified","Listed"))</x:f>
        <x:v>Listed</x:v>
      </x:c>
      <x:c r="N2149" s="1" t="str">
        <x:f>IF(A2149="","",IF(AJ2149="Yes","Verified","Listed"))</x:f>
        <x:v>Listed</x:v>
      </x:c>
      <x:c r="O2149" s="1" t="n">
        <x:f>IF(AND(ISNUMBER(G2149),G2149&gt;=0,G2149&lt;=1),IF(G2149&gt;=0.9,30,IF(G2149&gt;=0.8,25,IF(G2149&gt;=0.7,20,IF(G2149&gt;=0.6,15,IF(G2149&gt;=0.5,10,IF(G2149&gt;=0.4,5,0)))))),"")</x:f>
        <x:v>10</x:v>
      </x:c>
      <x:c r="P2149" s="1" t="n">
        <x:f>IF(ISNUMBER(K2149),IF(K2149&lt;0,"",IF(K2149&gt;1,25,IF(K2149&gt;=0.75,20,IF(K2149&gt;=0.5,15,IF(K2149&gt;=0.25,10,5))))),"")</x:f>
        <x:v>10</x:v>
      </x:c>
      <x:c r="Q2149" s="1" t="n">
        <x:f>IF(NOT(ISNUMBER(L2149)),"",IF(AND(L2149&gt;=0,MOD(L2149,1)=0),MAX(0,25-5*L2149),""))</x:f>
        <x:v>0</x:v>
      </x:c>
      <x:c r="R2149" s="1" t="n">
        <x:f>IF(NOT(ISNUMBER(F2149)),"",IF(AND(F2149&gt;0,MOD(F2149,1)=0),IF(F2149&gt;=700,5,IF(F2149&gt;=500,4,IF(F2149&gt;=350,3,IF(F2149&gt;=200,2,1)))),""))</x:f>
        <x:v>4</x:v>
      </x:c>
      <x:c r="S2149" s="1" t="n">
        <x:f>IF(COUNT(O2149:R2149)=4,SUM(O2149:R2149),"")</x:f>
        <x:v>24</x:v>
      </x:c>
      <x:c r="T2149" s="1" t="n">
        <x:f>IF(OR(COUNT(O2149:R2149)&lt;&gt;4,COUNT('Top 15'!$B$35:$E$35)&lt;&gt;4,MIN('Top 15'!$B$35:$E$35)&lt;0,SUM('Top 15'!$B$35:$E$35)&lt;=0),"",ROUND(85*(O2149/30*'Top 15'!$B$35+P2149/25*'Top 15'!$C$35+Q2149/25*'Top 15'!$D$35+R2149/5*'Top 15'!$E$35)/SUM('Top 15'!$B$35:$E$35),6))</x:f>
        <x:v>24</x:v>
      </x:c>
      <x:c r="U2149" s="1" t="str">
        <x:f>IF(A2149="","",IF(AND(M2149="Verified",N2149="Verified"),"Verified",IF(AND(M2149="Listed",N2149="Listed"),"Listed","Mixed")))</x:f>
        <x:v>Listed</x:v>
      </x:c>
      <x:c r="V2149" s="1" t="str">
        <x:f>IF(A2149="","",IF(AK2149&lt;&gt;1,"Duplicate source ID",IF(COUNTIFS('Staff Review'!$A$8:$A$507,A2149)&gt;1,"Duplicate review ID",IF(H2149&lt;&gt;"Yes","Outside scope",IF(J2149="Yes","Already served",IF(NOT(ISNUMBER(T2149)),"Missing data","Candidate"))))))</x:f>
        <x:v>Candidate</x:v>
      </x:c>
      <x:c r="W2149" s="1" t="n">
        <x:f>IF(AL2149=0,"",1+COUNTIFS($AL$2051:$AL$2550,1,$T$2051:$T$2550,"&gt;"&amp;T2149)+COUNTIFS($AL$2051:$AL$2550,1,$T$2051:$T$2550,T2149,$G$2051:$G$2550,"&gt;"&amp;G2149)+COUNTIFS($AL$2051:$AL$2550,1,$T$2051:$T$2550,T2149,$G$2051:$G$2550,G2149,$F$2051:$F$2550,"&gt;"&amp;F2149)+COUNTIFS($AL$2051:$AL$2550,1,$T$2051:$T$2550,T2149,$G$2051:$G$2550,G2149,$F$2051:$F$2550,F2149,$AM$2051:$AM$2550,"&lt;"&amp;AM2149))</x:f>
        <x:v>272</x:v>
      </x:c>
      <x:c r="X2149" s="1" t="n">
        <x:f>IF(AL2149=0,"",1+COUNTIFS($AL$2051:$AL$2550,1,$T$2051:$T$2550,"&gt;"&amp;T2149))</x:f>
        <x:v>272</x:v>
      </x:c>
      <x:c r="Y2149" s="1" t="n">
        <x:f>IF(AND(H2149="Yes",OR(LEN('School Search'!$B$5)=0,ISNUMBER(SEARCH('School Search'!$B$5,B2149&amp;" "&amp;E2149&amp;" "&amp;A2149))),OR('School Search'!$D$5="All",C2149='School Search'!$D$5),OR('School Search'!$G$5="All eligible",AND('School Search'!$G$5="Not marked served",J2149&lt;&gt;"Yes"),AND('School Search'!$G$5="Missing data",V2149="Missing data"),AND('School Search'!$G$5="Marked served",J2149="Yes"))),1,0)</x:f>
        <x:v>1</x:v>
      </x:c>
      <x:c r="Z2149" s="1" t="n">
        <x:f>IF(Y2149=0,"",COUNTIFS($Y$2051:$Y$2550,1,$AO$2051:$AO$2550,"&lt;"&amp;AO2149)+COUNTIFS($Y$2051:Y2149,1,$AO$2051:AO2149,AO2149))</x:f>
        <x:v>272</x:v>
      </x:c>
      <x:c r="AA2149" s="1" t="str">
        <x:f>IF(NOT(ISNUMBER(S2149)),"Missing demographic or access input",TEXT(G2149,"0%")&amp;" economic need; "&amp;TEXT(K2149,"0.00")&amp;" mi fresh access; "&amp;L2149&amp;" nearby resources")</x:f>
        <x:v>60% economic need; 0.25 mi fresh access; 5 nearby resources</x:v>
      </x:c>
      <x:c r="AB2149" s="1" t="n">
        <x:f>IF(OR(A2149="",COUNTIFS($A$1531:$A$2030,A2149)&lt;&gt;1),0,MATCH(A2149,$A$1531:$A$2030,0))</x:f>
        <x:v>99</x:v>
      </x:c>
      <x:c r="AC2149" s="1" t="str">
        <x:f>IF(AB2149=0,"",INDEX($E$1531:$E$2030,AB2149))</x:f>
        <x:v>Shoprite of Parkside 419</x:v>
      </x:c>
      <x:c r="AD2149" s="1" t="str">
        <x:f>IF(AB2149=0,"",INDEX($F$1531:$F$2030,AB2149))</x:f>
        <x:v>1575 N 52nd St, Philadelphia, PA, 19131</x:v>
      </x:c>
      <x:c r="AE2149" s="1" t="str">
        <x:f>IF(A2149="","",F100)</x:f>
        <x:v>5070 PARKSIDE AVE</x:v>
      </x:c>
      <x:c r="AF2149" s="1" t="n">
        <x:f>IF(ISNUMBER(I100),I100,"")</x:f>
        <x:v>39.98043019</x:v>
      </x:c>
      <x:c r="AG2149" s="1" t="n">
        <x:f>IF(ISNUMBER(J100),J100,"")</x:f>
        <x:v>-75.22085032</x:v>
      </x:c>
      <x:c r="AH2149" s="1" t="str">
        <x:f>IF(I2149=0,"Not contacted",IF(INDEX('Staff Review'!$J$8:$J$507,I2149)="","Not contacted",INDEX('Staff Review'!$J$8:$J$507,I2149)))</x:f>
        <x:v>Not contacted</x:v>
      </x:c>
      <x:c r="AI2149" s="1" t="str">
        <x:f>IF(I2149=0,"No",IF(AND(COUNT(INDEX('Staff Review'!$D$8:$D$507,I2149))=1,INDEX('Staff Review'!$D$8:$D$507,I2149)&gt;=0,COUNT(INDEX('Staff Review'!$E$8:$E$507,I2149))=1,INDEX('Staff Review'!$E$8:$E$507,I2149)&gt;0,INDEX('Staff Review'!$E$8:$E$507,I2149)&lt;='Top 15'!$E$5,'Top 15'!$E$5-INDEX('Staff Review'!$E$8:$E$507,I2149)&lt;='Top 15'!$H$5,LEN(INDEX('Staff Review'!$H$8:$H$507,I2149))&gt;0),"Yes","No"))</x:f>
        <x:v>No</x:v>
      </x:c>
      <x:c r="AJ2149" s="1" t="str">
        <x:f>IF(I2149=0,"No",IF(COUNT(INDEX('Staff Review'!$F$8:$F$507,I2149))&lt;&gt;1,"No",IF(AND(INDEX('Staff Review'!$F$8:$F$507,I2149)&gt;=0,MOD(INDEX('Staff Review'!$F$8:$F$507,I2149),1)=0,COUNT(INDEX('Staff Review'!$G$8:$G$507,I2149))=1,INDEX('Staff Review'!$G$8:$G$507,I2149)&gt;0,INDEX('Staff Review'!$G$8:$G$507,I2149)&lt;='Top 15'!$E$5,'Top 15'!$E$5-INDEX('Staff Review'!$G$8:$G$507,I2149)&lt;='Top 15'!$H$5,LEN(INDEX('Staff Review'!$H$8:$H$507,I2149))&gt;0),"Yes","No")))</x:f>
        <x:v>No</x:v>
      </x:c>
      <x:c r="AK2149" s="1" t="n">
        <x:f>IF(A2149="",0,COUNTIFS($A$2:$A$501,A2149))</x:f>
        <x:v>1</x:v>
      </x:c>
      <x:c r="AL2149" s="1" t="n">
        <x:f>IF(V2149="Candidate",1,0)</x:f>
        <x:v>1</x:v>
      </x:c>
      <x:c r="AM2149" s="1" t="n">
        <x:f>IF(A2149="",0,VALUE(A2149))</x:f>
        <x:v>3353</x:v>
      </x:c>
      <x:c r="AN2149" s="1" t="n">
        <x:f>IF(OR(A2149="",COUNTIFS($T$41:$T$540,A2149)&lt;&gt;1),0,MATCH(A2149,$T$41:$T$540,0))</x:f>
        <x:v>99</x:v>
      </x:c>
      <x:c r="AO2149" t="n">
        <x:f>IF(ISNUMBER(W2149),W2149,10000+AM2149)</x:f>
        <x:v>272</x:v>
      </x:c>
    </x:row>
    <x:row r="2150" ht="22" customHeight="1">
      <x:c r="A2150" s="1" t="str">
        <x:f>IF(A101="","",A101)</x:f>
        <x:v>3357</x:v>
      </x:c>
      <x:c r="B2150" s="1" t="str">
        <x:f>IF(A2150="","",B101)</x:f>
        <x:v>West Philadelphia Achievement Charter School</x:v>
      </x:c>
      <x:c r="C2150" s="1" t="str">
        <x:f>IF(A2150="","",C101)</x:f>
        <x:v>Charter</x:v>
      </x:c>
      <x:c r="D2150" s="1" t="str">
        <x:f>IF(A2150="","",E101)</x:f>
        <x:v>Elementary</x:v>
      </x:c>
      <x:c r="E2150" s="1" t="str">
        <x:f>IF(A2150="","",H101)</x:f>
        <x:v>19151</x:v>
      </x:c>
      <x:c r="F2150" s="1" t="n">
        <x:f>IF(ISNUMBER(K101),K101,"")</x:f>
        <x:v>613</x:v>
      </x:c>
      <x:c r="G2150" s="1" t="n">
        <x:f>IF(ISNUMBER(L101),L101,"")</x:f>
        <x:v>1</x:v>
      </x:c>
      <x:c r="H2150" s="1" t="str">
        <x:f>IF(A2150="","",IF(AND(UPPER(G101)="PHILADELPHIA",OR(C2150="District",AND(C2150="Charter",D101="Yes"))),"Yes","No"))</x:f>
        <x:v>Yes</x:v>
      </x:c>
      <x:c r="I2150" s="1" t="n">
        <x:f>IF(OR(A2150="",COUNTIFS('Staff Review'!$A$8:$A$507,A2150)&lt;&gt;1),0,MATCH(A2150,'Staff Review'!$A$8:$A$507,0))</x:f>
        <x:v>309</x:v>
      </x:c>
      <x:c r="J2150" s="1" t="str">
        <x:f>IF(I2150=0,"No",IF(INDEX('Staff Review'!$C$8:$C$507,I2150)="Yes","Yes","No"))</x:f>
        <x:v>No</x:v>
      </x:c>
      <x:c r="K2150" s="1" t="n">
        <x:f>IF(AI2150="Yes",INDEX('Staff Review'!$D$8:$D$507,I2150),IF(AB2150=0,"",IF(COUNT(INDEX($C$1531:$C$2030,AB2150))=1,INDEX($C$1531:$C$2030,AB2150),"")))</x:f>
        <x:v>0.5275306350400152</x:v>
      </x:c>
      <x:c r="L2150" s="1" t="n">
        <x:f>IF(AJ2150="Yes",INDEX('Staff Review'!$F$8:$F$507,I2150),IF(AB2150=0,"",IF(COUNT(INDEX($G$1531:$G$2030,AB2150))=1,INDEX($G$1531:$G$2030,AB2150),"")))</x:f>
        <x:v>7</x:v>
      </x:c>
      <x:c r="M2150" s="1" t="str">
        <x:f>IF(A2150="","",IF(AI2150="Yes","Verified","Listed"))</x:f>
        <x:v>Listed</x:v>
      </x:c>
      <x:c r="N2150" s="1" t="str">
        <x:f>IF(A2150="","",IF(AJ2150="Yes","Verified","Listed"))</x:f>
        <x:v>Listed</x:v>
      </x:c>
      <x:c r="O2150" s="1" t="n">
        <x:f>IF(AND(ISNUMBER(G2150),G2150&gt;=0,G2150&lt;=1),IF(G2150&gt;=0.9,30,IF(G2150&gt;=0.8,25,IF(G2150&gt;=0.7,20,IF(G2150&gt;=0.6,15,IF(G2150&gt;=0.5,10,IF(G2150&gt;=0.4,5,0)))))),"")</x:f>
        <x:v>30</x:v>
      </x:c>
      <x:c r="P2150" s="1" t="n">
        <x:f>IF(ISNUMBER(K2150),IF(K2150&lt;0,"",IF(K2150&gt;1,25,IF(K2150&gt;=0.75,20,IF(K2150&gt;=0.5,15,IF(K2150&gt;=0.25,10,5))))),"")</x:f>
        <x:v>15</x:v>
      </x:c>
      <x:c r="Q2150" s="1" t="n">
        <x:f>IF(NOT(ISNUMBER(L2150)),"",IF(AND(L2150&gt;=0,MOD(L2150,1)=0),MAX(0,25-5*L2150),""))</x:f>
        <x:v>0</x:v>
      </x:c>
      <x:c r="R2150" s="1" t="n">
        <x:f>IF(NOT(ISNUMBER(F2150)),"",IF(AND(F2150&gt;0,MOD(F2150,1)=0),IF(F2150&gt;=700,5,IF(F2150&gt;=500,4,IF(F2150&gt;=350,3,IF(F2150&gt;=200,2,1)))),""))</x:f>
        <x:v>4</x:v>
      </x:c>
      <x:c r="S2150" s="1" t="n">
        <x:f>IF(COUNT(O2150:R2150)=4,SUM(O2150:R2150),"")</x:f>
        <x:v>49</x:v>
      </x:c>
      <x:c r="T2150" s="1" t="n">
        <x:f>IF(OR(COUNT(O2150:R2150)&lt;&gt;4,COUNT('Top 15'!$B$35:$E$35)&lt;&gt;4,MIN('Top 15'!$B$35:$E$35)&lt;0,SUM('Top 15'!$B$35:$E$35)&lt;=0),"",ROUND(85*(O2150/30*'Top 15'!$B$35+P2150/25*'Top 15'!$C$35+Q2150/25*'Top 15'!$D$35+R2150/5*'Top 15'!$E$35)/SUM('Top 15'!$B$35:$E$35),6))</x:f>
        <x:v>49</x:v>
      </x:c>
      <x:c r="U2150" s="1" t="str">
        <x:f>IF(A2150="","",IF(AND(M2150="Verified",N2150="Verified"),"Verified",IF(AND(M2150="Listed",N2150="Listed"),"Listed","Mixed")))</x:f>
        <x:v>Listed</x:v>
      </x:c>
      <x:c r="V2150" s="1" t="str">
        <x:f>IF(A2150="","",IF(AK2150&lt;&gt;1,"Duplicate source ID",IF(COUNTIFS('Staff Review'!$A$8:$A$507,A2150)&gt;1,"Duplicate review ID",IF(H2150&lt;&gt;"Yes","Outside scope",IF(J2150="Yes","Already served",IF(NOT(ISNUMBER(T2150)),"Missing data","Candidate"))))))</x:f>
        <x:v>Candidate</x:v>
      </x:c>
      <x:c r="W2150" s="1" t="n">
        <x:f>IF(AL2150=0,"",1+COUNTIFS($AL$2051:$AL$2550,1,$T$2051:$T$2550,"&gt;"&amp;T2150)+COUNTIFS($AL$2051:$AL$2550,1,$T$2051:$T$2550,T2150,$G$2051:$G$2550,"&gt;"&amp;G2150)+COUNTIFS($AL$2051:$AL$2550,1,$T$2051:$T$2550,T2150,$G$2051:$G$2550,G2150,$F$2051:$F$2550,"&gt;"&amp;F2150)+COUNTIFS($AL$2051:$AL$2550,1,$T$2051:$T$2550,T2150,$G$2051:$G$2550,G2150,$F$2051:$F$2550,F2150,$AM$2051:$AM$2550,"&lt;"&amp;AM2150))</x:f>
        <x:v>46</x:v>
      </x:c>
      <x:c r="X2150" s="1" t="n">
        <x:f>IF(AL2150=0,"",1+COUNTIFS($AL$2051:$AL$2550,1,$T$2051:$T$2550,"&gt;"&amp;T2150))</x:f>
        <x:v>46</x:v>
      </x:c>
      <x:c r="Y2150" s="1" t="n">
        <x:f>IF(AND(H2150="Yes",OR(LEN('School Search'!$B$5)=0,ISNUMBER(SEARCH('School Search'!$B$5,B2150&amp;" "&amp;E2150&amp;" "&amp;A2150))),OR('School Search'!$D$5="All",C2150='School Search'!$D$5),OR('School Search'!$G$5="All eligible",AND('School Search'!$G$5="Not marked served",J2150&lt;&gt;"Yes"),AND('School Search'!$G$5="Missing data",V2150="Missing data"),AND('School Search'!$G$5="Marked served",J2150="Yes"))),1,0)</x:f>
        <x:v>1</x:v>
      </x:c>
      <x:c r="Z2150" s="1" t="n">
        <x:f>IF(Y2150=0,"",COUNTIFS($Y$2051:$Y$2550,1,$AO$2051:$AO$2550,"&lt;"&amp;AO2150)+COUNTIFS($Y$2051:Y2150,1,$AO$2051:AO2150,AO2150))</x:f>
        <x:v>46</x:v>
      </x:c>
      <x:c r="AA2150" s="1" t="str">
        <x:f>IF(NOT(ISNUMBER(S2150)),"Missing demographic or access input",TEXT(G2150,"0%")&amp;" economic need; "&amp;TEXT(K2150,"0.00")&amp;" mi fresh access; "&amp;L2150&amp;" nearby resources")</x:f>
        <x:v>100% economic need; 0.53 mi fresh access; 7 nearby resources</x:v>
      </x:c>
      <x:c r="AB2150" s="1" t="n">
        <x:f>IF(OR(A2150="",COUNTIFS($A$1531:$A$2030,A2150)&lt;&gt;1),0,MATCH(A2150,$A$1531:$A$2030,0))</x:f>
        <x:v>100</x:v>
      </x:c>
      <x:c r="AC2150" s="1" t="str">
        <x:f>IF(AB2150=0,"",INDEX($E$1531:$E$2030,AB2150))</x:f>
        <x:v>Al Aqsa Supermarket</x:v>
      </x:c>
      <x:c r="AD2150" s="1" t="str">
        <x:f>IF(AB2150=0,"",INDEX($F$1531:$F$2030,AB2150))</x:f>
        <x:v>6501 Market St, Upper Darby, PA, 19082</x:v>
      </x:c>
      <x:c r="AE2150" s="1" t="str">
        <x:f>IF(A2150="","",F101)</x:f>
        <x:v>6701 CALLOWHILL ST</x:v>
      </x:c>
      <x:c r="AF2150" s="1" t="n">
        <x:f>IF(ISNUMBER(I101),I101,"")</x:f>
        <x:v>39.970667</x:v>
      </x:c>
      <x:c r="AG2150" s="1" t="n">
        <x:f>IF(ISNUMBER(J101),J101,"")</x:f>
        <x:v>-75.254111</x:v>
      </x:c>
      <x:c r="AH2150" s="1" t="str">
        <x:f>IF(I2150=0,"Not contacted",IF(INDEX('Staff Review'!$J$8:$J$507,I2150)="","Not contacted",INDEX('Staff Review'!$J$8:$J$507,I2150)))</x:f>
        <x:v>Not contacted</x:v>
      </x:c>
      <x:c r="AI2150" s="1" t="str">
        <x:f>IF(I2150=0,"No",IF(AND(COUNT(INDEX('Staff Review'!$D$8:$D$507,I2150))=1,INDEX('Staff Review'!$D$8:$D$507,I2150)&gt;=0,COUNT(INDEX('Staff Review'!$E$8:$E$507,I2150))=1,INDEX('Staff Review'!$E$8:$E$507,I2150)&gt;0,INDEX('Staff Review'!$E$8:$E$507,I2150)&lt;='Top 15'!$E$5,'Top 15'!$E$5-INDEX('Staff Review'!$E$8:$E$507,I2150)&lt;='Top 15'!$H$5,LEN(INDEX('Staff Review'!$H$8:$H$507,I2150))&gt;0),"Yes","No"))</x:f>
        <x:v>No</x:v>
      </x:c>
      <x:c r="AJ2150" s="1" t="str">
        <x:f>IF(I2150=0,"No",IF(COUNT(INDEX('Staff Review'!$F$8:$F$507,I2150))&lt;&gt;1,"No",IF(AND(INDEX('Staff Review'!$F$8:$F$507,I2150)&gt;=0,MOD(INDEX('Staff Review'!$F$8:$F$507,I2150),1)=0,COUNT(INDEX('Staff Review'!$G$8:$G$507,I2150))=1,INDEX('Staff Review'!$G$8:$G$507,I2150)&gt;0,INDEX('Staff Review'!$G$8:$G$507,I2150)&lt;='Top 15'!$E$5,'Top 15'!$E$5-INDEX('Staff Review'!$G$8:$G$507,I2150)&lt;='Top 15'!$H$5,LEN(INDEX('Staff Review'!$H$8:$H$507,I2150))&gt;0),"Yes","No")))</x:f>
        <x:v>No</x:v>
      </x:c>
      <x:c r="AK2150" s="1" t="n">
        <x:f>IF(A2150="",0,COUNTIFS($A$2:$A$501,A2150))</x:f>
        <x:v>1</x:v>
      </x:c>
      <x:c r="AL2150" s="1" t="n">
        <x:f>IF(V2150="Candidate",1,0)</x:f>
        <x:v>1</x:v>
      </x:c>
      <x:c r="AM2150" s="1" t="n">
        <x:f>IF(A2150="",0,VALUE(A2150))</x:f>
        <x:v>3357</x:v>
      </x:c>
      <x:c r="AN2150" s="1" t="n">
        <x:f>IF(OR(A2150="",COUNTIFS($T$41:$T$540,A2150)&lt;&gt;1),0,MATCH(A2150,$T$41:$T$540,0))</x:f>
        <x:v>100</x:v>
      </x:c>
      <x:c r="AO2150" t="n">
        <x:f>IF(ISNUMBER(W2150),W2150,10000+AM2150)</x:f>
        <x:v>46</x:v>
      </x:c>
    </x:row>
    <x:row r="2151" ht="22" customHeight="1">
      <x:c r="A2151" s="1" t="str">
        <x:f>IF(A102="","",A102)</x:f>
        <x:v>3358</x:v>
      </x:c>
      <x:c r="B2151" s="1" t="str">
        <x:f>IF(A2151="","",B102)</x:f>
        <x:v>Philadelphia Electrical and Technology Charter High School</x:v>
      </x:c>
      <x:c r="C2151" s="1" t="str">
        <x:f>IF(A2151="","",C102)</x:f>
        <x:v>Charter</x:v>
      </x:c>
      <x:c r="D2151" s="1" t="str">
        <x:f>IF(A2151="","",E102)</x:f>
        <x:v>High</x:v>
      </x:c>
      <x:c r="E2151" s="1" t="str">
        <x:f>IF(A2151="","",H102)</x:f>
        <x:v>19103</x:v>
      </x:c>
      <x:c r="F2151" s="1" t="n">
        <x:f>IF(ISNUMBER(K102),K102,"")</x:f>
        <x:v>627</x:v>
      </x:c>
      <x:c r="G2151" s="1" t="n">
        <x:f>IF(ISNUMBER(L102),L102,"")</x:f>
        <x:v>0.8709</x:v>
      </x:c>
      <x:c r="H2151" s="1" t="str">
        <x:f>IF(A2151="","",IF(AND(UPPER(G102)="PHILADELPHIA",OR(C2151="District",AND(C2151="Charter",D102="Yes"))),"Yes","No"))</x:f>
        <x:v>Yes</x:v>
      </x:c>
      <x:c r="I2151" s="1" t="n">
        <x:f>IF(OR(A2151="",COUNTIFS('Staff Review'!$A$8:$A$507,A2151)&lt;&gt;1),0,MATCH(A2151,'Staff Review'!$A$8:$A$507,0))</x:f>
        <x:v>233</x:v>
      </x:c>
      <x:c r="J2151" s="1" t="str">
        <x:f>IF(I2151=0,"No",IF(INDEX('Staff Review'!$C$8:$C$507,I2151)="Yes","Yes","No"))</x:f>
        <x:v>No</x:v>
      </x:c>
      <x:c r="K2151" s="1" t="n">
        <x:f>IF(AI2151="Yes",INDEX('Staff Review'!$D$8:$D$507,I2151),IF(AB2151=0,"",IF(COUNT(INDEX($C$1531:$C$2030,AB2151))=1,INDEX($C$1531:$C$2030,AB2151),"")))</x:f>
        <x:v>0.34797554224224214</x:v>
      </x:c>
      <x:c r="L2151" s="1" t="n">
        <x:f>IF(AJ2151="Yes",INDEX('Staff Review'!$F$8:$F$507,I2151),IF(AB2151=0,"",IF(COUNT(INDEX($G$1531:$G$2030,AB2151))=1,INDEX($G$1531:$G$2030,AB2151),"")))</x:f>
        <x:v>7</x:v>
      </x:c>
      <x:c r="M2151" s="1" t="str">
        <x:f>IF(A2151="","",IF(AI2151="Yes","Verified","Listed"))</x:f>
        <x:v>Listed</x:v>
      </x:c>
      <x:c r="N2151" s="1" t="str">
        <x:f>IF(A2151="","",IF(AJ2151="Yes","Verified","Listed"))</x:f>
        <x:v>Listed</x:v>
      </x:c>
      <x:c r="O2151" s="1" t="n">
        <x:f>IF(AND(ISNUMBER(G2151),G2151&gt;=0,G2151&lt;=1),IF(G2151&gt;=0.9,30,IF(G2151&gt;=0.8,25,IF(G2151&gt;=0.7,20,IF(G2151&gt;=0.6,15,IF(G2151&gt;=0.5,10,IF(G2151&gt;=0.4,5,0)))))),"")</x:f>
        <x:v>25</x:v>
      </x:c>
      <x:c r="P2151" s="1" t="n">
        <x:f>IF(ISNUMBER(K2151),IF(K2151&lt;0,"",IF(K2151&gt;1,25,IF(K2151&gt;=0.75,20,IF(K2151&gt;=0.5,15,IF(K2151&gt;=0.25,10,5))))),"")</x:f>
        <x:v>10</x:v>
      </x:c>
      <x:c r="Q2151" s="1" t="n">
        <x:f>IF(NOT(ISNUMBER(L2151)),"",IF(AND(L2151&gt;=0,MOD(L2151,1)=0),MAX(0,25-5*L2151),""))</x:f>
        <x:v>0</x:v>
      </x:c>
      <x:c r="R2151" s="1" t="n">
        <x:f>IF(NOT(ISNUMBER(F2151)),"",IF(AND(F2151&gt;0,MOD(F2151,1)=0),IF(F2151&gt;=700,5,IF(F2151&gt;=500,4,IF(F2151&gt;=350,3,IF(F2151&gt;=200,2,1)))),""))</x:f>
        <x:v>4</x:v>
      </x:c>
      <x:c r="S2151" s="1" t="n">
        <x:f>IF(COUNT(O2151:R2151)=4,SUM(O2151:R2151),"")</x:f>
        <x:v>39</x:v>
      </x:c>
      <x:c r="T2151" s="1" t="n">
        <x:f>IF(OR(COUNT(O2151:R2151)&lt;&gt;4,COUNT('Top 15'!$B$35:$E$35)&lt;&gt;4,MIN('Top 15'!$B$35:$E$35)&lt;0,SUM('Top 15'!$B$35:$E$35)&lt;=0),"",ROUND(85*(O2151/30*'Top 15'!$B$35+P2151/25*'Top 15'!$C$35+Q2151/25*'Top 15'!$D$35+R2151/5*'Top 15'!$E$35)/SUM('Top 15'!$B$35:$E$35),6))</x:f>
        <x:v>39</x:v>
      </x:c>
      <x:c r="U2151" s="1" t="str">
        <x:f>IF(A2151="","",IF(AND(M2151="Verified",N2151="Verified"),"Verified",IF(AND(M2151="Listed",N2151="Listed"),"Listed","Mixed")))</x:f>
        <x:v>Listed</x:v>
      </x:c>
      <x:c r="V2151" s="1" t="str">
        <x:f>IF(A2151="","",IF(AK2151&lt;&gt;1,"Duplicate source ID",IF(COUNTIFS('Staff Review'!$A$8:$A$507,A2151)&gt;1,"Duplicate review ID",IF(H2151&lt;&gt;"Yes","Outside scope",IF(J2151="Yes","Already served",IF(NOT(ISNUMBER(T2151)),"Missing data","Candidate"))))))</x:f>
        <x:v>Candidate</x:v>
      </x:c>
      <x:c r="W2151" s="1" t="n">
        <x:f>IF(AL2151=0,"",1+COUNTIFS($AL$2051:$AL$2550,1,$T$2051:$T$2550,"&gt;"&amp;T2151)+COUNTIFS($AL$2051:$AL$2550,1,$T$2051:$T$2550,T2151,$G$2051:$G$2550,"&gt;"&amp;G2151)+COUNTIFS($AL$2051:$AL$2550,1,$T$2051:$T$2550,T2151,$G$2051:$G$2550,G2151,$F$2051:$F$2550,"&gt;"&amp;F2151)+COUNTIFS($AL$2051:$AL$2550,1,$T$2051:$T$2550,T2151,$G$2051:$G$2550,G2151,$F$2051:$F$2550,F2151,$AM$2051:$AM$2550,"&lt;"&amp;AM2151))</x:f>
        <x:v>152</x:v>
      </x:c>
      <x:c r="X2151" s="1" t="n">
        <x:f>IF(AL2151=0,"",1+COUNTIFS($AL$2051:$AL$2550,1,$T$2051:$T$2550,"&gt;"&amp;T2151))</x:f>
        <x:v>148</x:v>
      </x:c>
      <x:c r="Y2151" s="1" t="n">
        <x:f>IF(AND(H2151="Yes",OR(LEN('School Search'!$B$5)=0,ISNUMBER(SEARCH('School Search'!$B$5,B2151&amp;" "&amp;E2151&amp;" "&amp;A2151))),OR('School Search'!$D$5="All",C2151='School Search'!$D$5),OR('School Search'!$G$5="All eligible",AND('School Search'!$G$5="Not marked served",J2151&lt;&gt;"Yes"),AND('School Search'!$G$5="Missing data",V2151="Missing data"),AND('School Search'!$G$5="Marked served",J2151="Yes"))),1,0)</x:f>
        <x:v>1</x:v>
      </x:c>
      <x:c r="Z2151" s="1" t="n">
        <x:f>IF(Y2151=0,"",COUNTIFS($Y$2051:$Y$2550,1,$AO$2051:$AO$2550,"&lt;"&amp;AO2151)+COUNTIFS($Y$2051:Y2151,1,$AO$2051:AO2151,AO2151))</x:f>
        <x:v>152</x:v>
      </x:c>
      <x:c r="AA2151" s="1" t="str">
        <x:f>IF(NOT(ISNUMBER(S2151)),"Missing demographic or access input",TEXT(G2151,"0%")&amp;" economic need; "&amp;TEXT(K2151,"0.00")&amp;" mi fresh access; "&amp;L2151&amp;" nearby resources")</x:f>
        <x:v>87% economic need; 0.35 mi fresh access; 7 nearby resources</x:v>
      </x:c>
      <x:c r="AB2151" s="1" t="n">
        <x:f>IF(OR(A2151="",COUNTIFS($A$1531:$A$2030,A2151)&lt;&gt;1),0,MATCH(A2151,$A$1531:$A$2030,0))</x:f>
        <x:v>101</x:v>
      </x:c>
      <x:c r="AC2151" s="1" t="str">
        <x:f>IF(AB2151=0,"",INDEX($E$1531:$E$2030,AB2151))</x:f>
        <x:v>Trader Joe's 618</x:v>
      </x:c>
      <x:c r="AD2151" s="1" t="str">
        <x:f>IF(AB2151=0,"",INDEX($F$1531:$F$2030,AB2151))</x:f>
        <x:v>1324 Arch St, Philadelphia, PA, 19107</x:v>
      </x:c>
      <x:c r="AE2151" s="1" t="str">
        <x:f>IF(A2151="","",F102)</x:f>
        <x:v>1709 BENJAMIN FRANKLIN PKWY</x:v>
      </x:c>
      <x:c r="AF2151" s="1" t="n">
        <x:f>IF(ISNUMBER(I102),I102,"")</x:f>
        <x:v>39.9566589</x:v>
      </x:c>
      <x:c r="AG2151" s="1" t="n">
        <x:f>IF(ISNUMBER(J102),J102,"")</x:f>
        <x:v>-75.1681729</x:v>
      </x:c>
      <x:c r="AH2151" s="1" t="str">
        <x:f>IF(I2151=0,"Not contacted",IF(INDEX('Staff Review'!$J$8:$J$507,I2151)="","Not contacted",INDEX('Staff Review'!$J$8:$J$507,I2151)))</x:f>
        <x:v>Not contacted</x:v>
      </x:c>
      <x:c r="AI2151" s="1" t="str">
        <x:f>IF(I2151=0,"No",IF(AND(COUNT(INDEX('Staff Review'!$D$8:$D$507,I2151))=1,INDEX('Staff Review'!$D$8:$D$507,I2151)&gt;=0,COUNT(INDEX('Staff Review'!$E$8:$E$507,I2151))=1,INDEX('Staff Review'!$E$8:$E$507,I2151)&gt;0,INDEX('Staff Review'!$E$8:$E$507,I2151)&lt;='Top 15'!$E$5,'Top 15'!$E$5-INDEX('Staff Review'!$E$8:$E$507,I2151)&lt;='Top 15'!$H$5,LEN(INDEX('Staff Review'!$H$8:$H$507,I2151))&gt;0),"Yes","No"))</x:f>
        <x:v>No</x:v>
      </x:c>
      <x:c r="AJ2151" s="1" t="str">
        <x:f>IF(I2151=0,"No",IF(COUNT(INDEX('Staff Review'!$F$8:$F$507,I2151))&lt;&gt;1,"No",IF(AND(INDEX('Staff Review'!$F$8:$F$507,I2151)&gt;=0,MOD(INDEX('Staff Review'!$F$8:$F$507,I2151),1)=0,COUNT(INDEX('Staff Review'!$G$8:$G$507,I2151))=1,INDEX('Staff Review'!$G$8:$G$507,I2151)&gt;0,INDEX('Staff Review'!$G$8:$G$507,I2151)&lt;='Top 15'!$E$5,'Top 15'!$E$5-INDEX('Staff Review'!$G$8:$G$507,I2151)&lt;='Top 15'!$H$5,LEN(INDEX('Staff Review'!$H$8:$H$507,I2151))&gt;0),"Yes","No")))</x:f>
        <x:v>No</x:v>
      </x:c>
      <x:c r="AK2151" s="1" t="n">
        <x:f>IF(A2151="",0,COUNTIFS($A$2:$A$501,A2151))</x:f>
        <x:v>1</x:v>
      </x:c>
      <x:c r="AL2151" s="1" t="n">
        <x:f>IF(V2151="Candidate",1,0)</x:f>
        <x:v>1</x:v>
      </x:c>
      <x:c r="AM2151" s="1" t="n">
        <x:f>IF(A2151="",0,VALUE(A2151))</x:f>
        <x:v>3358</x:v>
      </x:c>
      <x:c r="AN2151" s="1" t="n">
        <x:f>IF(OR(A2151="",COUNTIFS($T$41:$T$540,A2151)&lt;&gt;1),0,MATCH(A2151,$T$41:$T$540,0))</x:f>
        <x:v>101</x:v>
      </x:c>
      <x:c r="AO2151" t="n">
        <x:f>IF(ISNUMBER(W2151),W2151,10000+AM2151)</x:f>
        <x:v>152</x:v>
      </x:c>
    </x:row>
    <x:row r="2152" ht="22" customHeight="1">
      <x:c r="A2152" s="1" t="str">
        <x:f>IF(A103="","",A103)</x:f>
        <x:v>3359</x:v>
      </x:c>
      <x:c r="B2152" s="1" t="str">
        <x:f>IF(A2152="","",B103)</x:f>
        <x:v>Richard Allen Preparatory Charter School</x:v>
      </x:c>
      <x:c r="C2152" s="1" t="str">
        <x:f>IF(A2152="","",C103)</x:f>
        <x:v>Charter</x:v>
      </x:c>
      <x:c r="D2152" s="1" t="str">
        <x:f>IF(A2152="","",E103)</x:f>
        <x:v>Middle</x:v>
      </x:c>
      <x:c r="E2152" s="1" t="str">
        <x:f>IF(A2152="","",H103)</x:f>
        <x:v>19143</x:v>
      </x:c>
      <x:c r="F2152" s="1" t="n">
        <x:f>IF(ISNUMBER(K103),K103,"")</x:f>
        <x:v>309</x:v>
      </x:c>
      <x:c r="G2152" s="1" t="n">
        <x:f>IF(ISNUMBER(L103),L103,"")</x:f>
        <x:v>1</x:v>
      </x:c>
      <x:c r="H2152" s="1" t="str">
        <x:f>IF(A2152="","",IF(AND(UPPER(G103)="PHILADELPHIA",OR(C2152="District",AND(C2152="Charter",D103="Yes"))),"Yes","No"))</x:f>
        <x:v>Yes</x:v>
      </x:c>
      <x:c r="I2152" s="1" t="n">
        <x:f>IF(OR(A2152="",COUNTIFS('Staff Review'!$A$8:$A$507,A2152)&lt;&gt;1),0,MATCH(A2152,'Staff Review'!$A$8:$A$507,0))</x:f>
        <x:v>248</x:v>
      </x:c>
      <x:c r="J2152" s="1" t="str">
        <x:f>IF(I2152=0,"No",IF(INDEX('Staff Review'!$C$8:$C$507,I2152)="Yes","Yes","No"))</x:f>
        <x:v>No</x:v>
      </x:c>
      <x:c r="K2152" s="1" t="n">
        <x:f>IF(AI2152="Yes",INDEX('Staff Review'!$D$8:$D$507,I2152),IF(AB2152=0,"",IF(COUNT(INDEX($C$1531:$C$2030,AB2152))=1,INDEX($C$1531:$C$2030,AB2152),"")))</x:f>
        <x:v>0.41092523794122804</x:v>
      </x:c>
      <x:c r="L2152" s="1" t="n">
        <x:f>IF(AJ2152="Yes",INDEX('Staff Review'!$F$8:$F$507,I2152),IF(AB2152=0,"",IF(COUNT(INDEX($G$1531:$G$2030,AB2152))=1,INDEX($G$1531:$G$2030,AB2152),"")))</x:f>
        <x:v>7</x:v>
      </x:c>
      <x:c r="M2152" s="1" t="str">
        <x:f>IF(A2152="","",IF(AI2152="Yes","Verified","Listed"))</x:f>
        <x:v>Listed</x:v>
      </x:c>
      <x:c r="N2152" s="1" t="str">
        <x:f>IF(A2152="","",IF(AJ2152="Yes","Verified","Listed"))</x:f>
        <x:v>Listed</x:v>
      </x:c>
      <x:c r="O2152" s="1" t="n">
        <x:f>IF(AND(ISNUMBER(G2152),G2152&gt;=0,G2152&lt;=1),IF(G2152&gt;=0.9,30,IF(G2152&gt;=0.8,25,IF(G2152&gt;=0.7,20,IF(G2152&gt;=0.6,15,IF(G2152&gt;=0.5,10,IF(G2152&gt;=0.4,5,0)))))),"")</x:f>
        <x:v>30</x:v>
      </x:c>
      <x:c r="P2152" s="1" t="n">
        <x:f>IF(ISNUMBER(K2152),IF(K2152&lt;0,"",IF(K2152&gt;1,25,IF(K2152&gt;=0.75,20,IF(K2152&gt;=0.5,15,IF(K2152&gt;=0.25,10,5))))),"")</x:f>
        <x:v>10</x:v>
      </x:c>
      <x:c r="Q2152" s="1" t="n">
        <x:f>IF(NOT(ISNUMBER(L2152)),"",IF(AND(L2152&gt;=0,MOD(L2152,1)=0),MAX(0,25-5*L2152),""))</x:f>
        <x:v>0</x:v>
      </x:c>
      <x:c r="R2152" s="1" t="n">
        <x:f>IF(NOT(ISNUMBER(F2152)),"",IF(AND(F2152&gt;0,MOD(F2152,1)=0),IF(F2152&gt;=700,5,IF(F2152&gt;=500,4,IF(F2152&gt;=350,3,IF(F2152&gt;=200,2,1)))),""))</x:f>
        <x:v>2</x:v>
      </x:c>
      <x:c r="S2152" s="1" t="n">
        <x:f>IF(COUNT(O2152:R2152)=4,SUM(O2152:R2152),"")</x:f>
        <x:v>42</x:v>
      </x:c>
      <x:c r="T2152" s="1" t="n">
        <x:f>IF(OR(COUNT(O2152:R2152)&lt;&gt;4,COUNT('Top 15'!$B$35:$E$35)&lt;&gt;4,MIN('Top 15'!$B$35:$E$35)&lt;0,SUM('Top 15'!$B$35:$E$35)&lt;=0),"",ROUND(85*(O2152/30*'Top 15'!$B$35+P2152/25*'Top 15'!$C$35+Q2152/25*'Top 15'!$D$35+R2152/5*'Top 15'!$E$35)/SUM('Top 15'!$B$35:$E$35),6))</x:f>
        <x:v>42</x:v>
      </x:c>
      <x:c r="U2152" s="1" t="str">
        <x:f>IF(A2152="","",IF(AND(M2152="Verified",N2152="Verified"),"Verified",IF(AND(M2152="Listed",N2152="Listed"),"Listed","Mixed")))</x:f>
        <x:v>Listed</x:v>
      </x:c>
      <x:c r="V2152" s="1" t="str">
        <x:f>IF(A2152="","",IF(AK2152&lt;&gt;1,"Duplicate source ID",IF(COUNTIFS('Staff Review'!$A$8:$A$507,A2152)&gt;1,"Duplicate review ID",IF(H2152&lt;&gt;"Yes","Outside scope",IF(J2152="Yes","Already served",IF(NOT(ISNUMBER(T2152)),"Missing data","Candidate"))))))</x:f>
        <x:v>Candidate</x:v>
      </x:c>
      <x:c r="W2152" s="1" t="n">
        <x:f>IF(AL2152=0,"",1+COUNTIFS($AL$2051:$AL$2550,1,$T$2051:$T$2550,"&gt;"&amp;T2152)+COUNTIFS($AL$2051:$AL$2550,1,$T$2051:$T$2550,T2152,$G$2051:$G$2550,"&gt;"&amp;G2152)+COUNTIFS($AL$2051:$AL$2550,1,$T$2051:$T$2550,T2152,$G$2051:$G$2550,G2152,$F$2051:$F$2550,"&gt;"&amp;F2152)+COUNTIFS($AL$2051:$AL$2550,1,$T$2051:$T$2550,T2152,$G$2051:$G$2550,G2152,$F$2051:$F$2550,F2152,$AM$2051:$AM$2550,"&lt;"&amp;AM2152))</x:f>
        <x:v>101</x:v>
      </x:c>
      <x:c r="X2152" s="1" t="n">
        <x:f>IF(AL2152=0,"",1+COUNTIFS($AL$2051:$AL$2550,1,$T$2051:$T$2550,"&gt;"&amp;T2152))</x:f>
        <x:v>101</x:v>
      </x:c>
      <x:c r="Y2152" s="1" t="n">
        <x:f>IF(AND(H2152="Yes",OR(LEN('School Search'!$B$5)=0,ISNUMBER(SEARCH('School Search'!$B$5,B2152&amp;" "&amp;E2152&amp;" "&amp;A2152))),OR('School Search'!$D$5="All",C2152='School Search'!$D$5),OR('School Search'!$G$5="All eligible",AND('School Search'!$G$5="Not marked served",J2152&lt;&gt;"Yes"),AND('School Search'!$G$5="Missing data",V2152="Missing data"),AND('School Search'!$G$5="Marked served",J2152="Yes"))),1,0)</x:f>
        <x:v>1</x:v>
      </x:c>
      <x:c r="Z2152" s="1" t="n">
        <x:f>IF(Y2152=0,"",COUNTIFS($Y$2051:$Y$2550,1,$AO$2051:$AO$2550,"&lt;"&amp;AO2152)+COUNTIFS($Y$2051:Y2152,1,$AO$2051:AO2152,AO2152))</x:f>
        <x:v>101</x:v>
      </x:c>
      <x:c r="AA2152" s="1" t="str">
        <x:f>IF(NOT(ISNUMBER(S2152)),"Missing demographic or access input",TEXT(G2152,"0%")&amp;" economic need; "&amp;TEXT(K2152,"0.00")&amp;" mi fresh access; "&amp;L2152&amp;" nearby resources")</x:f>
        <x:v>100% economic need; 0.41 mi fresh access; 7 nearby resources</x:v>
      </x:c>
      <x:c r="AB2152" s="1" t="n">
        <x:f>IF(OR(A2152="",COUNTIFS($A$1531:$A$2030,A2152)&lt;&gt;1),0,MATCH(A2152,$A$1531:$A$2030,0))</x:f>
        <x:v>102</x:v>
      </x:c>
      <x:c r="AC2152" s="1" t="str">
        <x:f>IF(AB2152=0,"",INDEX($E$1531:$E$2030,AB2152))</x:f>
        <x:v>SAVE-A-LOT 60135</x:v>
      </x:c>
      <x:c r="AD2152" s="1" t="str">
        <x:f>IF(AB2152=0,"",INDEX($F$1531:$F$2030,AB2152))</x:f>
        <x:v>5800 Woodland Ave, Philadelphia, PA, 19143</x:v>
      </x:c>
      <x:c r="AE2152" s="1" t="str">
        <x:f>IF(A2152="","",F103)</x:f>
        <x:v>2601 S 58TH ST</x:v>
      </x:c>
      <x:c r="AF2152" s="1" t="n">
        <x:f>IF(ISNUMBER(I103),I103,"")</x:f>
        <x:v>39.92809187</x:v>
      </x:c>
      <x:c r="AG2152" s="1" t="n">
        <x:f>IF(ISNUMBER(J103),J103,"")</x:f>
        <x:v>-75.21926743</x:v>
      </x:c>
      <x:c r="AH2152" s="1" t="str">
        <x:f>IF(I2152=0,"Not contacted",IF(INDEX('Staff Review'!$J$8:$J$507,I2152)="","Not contacted",INDEX('Staff Review'!$J$8:$J$507,I2152)))</x:f>
        <x:v>Not contacted</x:v>
      </x:c>
      <x:c r="AI2152" s="1" t="str">
        <x:f>IF(I2152=0,"No",IF(AND(COUNT(INDEX('Staff Review'!$D$8:$D$507,I2152))=1,INDEX('Staff Review'!$D$8:$D$507,I2152)&gt;=0,COUNT(INDEX('Staff Review'!$E$8:$E$507,I2152))=1,INDEX('Staff Review'!$E$8:$E$507,I2152)&gt;0,INDEX('Staff Review'!$E$8:$E$507,I2152)&lt;='Top 15'!$E$5,'Top 15'!$E$5-INDEX('Staff Review'!$E$8:$E$507,I2152)&lt;='Top 15'!$H$5,LEN(INDEX('Staff Review'!$H$8:$H$507,I2152))&gt;0),"Yes","No"))</x:f>
        <x:v>No</x:v>
      </x:c>
      <x:c r="AJ2152" s="1" t="str">
        <x:f>IF(I2152=0,"No",IF(COUNT(INDEX('Staff Review'!$F$8:$F$507,I2152))&lt;&gt;1,"No",IF(AND(INDEX('Staff Review'!$F$8:$F$507,I2152)&gt;=0,MOD(INDEX('Staff Review'!$F$8:$F$507,I2152),1)=0,COUNT(INDEX('Staff Review'!$G$8:$G$507,I2152))=1,INDEX('Staff Review'!$G$8:$G$507,I2152)&gt;0,INDEX('Staff Review'!$G$8:$G$507,I2152)&lt;='Top 15'!$E$5,'Top 15'!$E$5-INDEX('Staff Review'!$G$8:$G$507,I2152)&lt;='Top 15'!$H$5,LEN(INDEX('Staff Review'!$H$8:$H$507,I2152))&gt;0),"Yes","No")))</x:f>
        <x:v>No</x:v>
      </x:c>
      <x:c r="AK2152" s="1" t="n">
        <x:f>IF(A2152="",0,COUNTIFS($A$2:$A$501,A2152))</x:f>
        <x:v>1</x:v>
      </x:c>
      <x:c r="AL2152" s="1" t="n">
        <x:f>IF(V2152="Candidate",1,0)</x:f>
        <x:v>1</x:v>
      </x:c>
      <x:c r="AM2152" s="1" t="n">
        <x:f>IF(A2152="",0,VALUE(A2152))</x:f>
        <x:v>3359</x:v>
      </x:c>
      <x:c r="AN2152" s="1" t="n">
        <x:f>IF(OR(A2152="",COUNTIFS($T$41:$T$540,A2152)&lt;&gt;1),0,MATCH(A2152,$T$41:$T$540,0))</x:f>
        <x:v>102</x:v>
      </x:c>
      <x:c r="AO2152" t="n">
        <x:f>IF(ISNUMBER(W2152),W2152,10000+AM2152)</x:f>
        <x:v>101</x:v>
      </x:c>
    </x:row>
    <x:row r="2153" ht="22" customHeight="1">
      <x:c r="A2153" s="1" t="str">
        <x:f>IF(A104="","",A104)</x:f>
        <x:v>3360</x:v>
      </x:c>
      <x:c r="B2153" s="1" t="str">
        <x:f>IF(A2153="","",B104)</x:f>
        <x:v>Russell Byers Charter School</x:v>
      </x:c>
      <x:c r="C2153" s="1" t="str">
        <x:f>IF(A2153="","",C104)</x:f>
        <x:v>Charter</x:v>
      </x:c>
      <x:c r="D2153" s="1" t="str">
        <x:f>IF(A2153="","",E104)</x:f>
        <x:v>Elementary-Middle</x:v>
      </x:c>
      <x:c r="E2153" s="1" t="str">
        <x:f>IF(A2153="","",H104)</x:f>
        <x:v>19103</x:v>
      </x:c>
      <x:c r="F2153" s="1" t="n">
        <x:f>IF(ISNUMBER(K104),K104,"")</x:f>
        <x:v>681</x:v>
      </x:c>
      <x:c r="G2153" s="1" t="n">
        <x:f>IF(ISNUMBER(L104),L104,"")</x:f>
        <x:v>0.9747</x:v>
      </x:c>
      <x:c r="H2153" s="1" t="str">
        <x:f>IF(A2153="","",IF(AND(UPPER(G104)="PHILADELPHIA",OR(C2153="District",AND(C2153="Charter",D104="Yes"))),"Yes","No"))</x:f>
        <x:v>Yes</x:v>
      </x:c>
      <x:c r="I2153" s="1" t="n">
        <x:f>IF(OR(A2153="",COUNTIFS('Staff Review'!$A$8:$A$507,A2153)&lt;&gt;1),0,MATCH(A2153,'Staff Review'!$A$8:$A$507,0))</x:f>
        <x:v>257</x:v>
      </x:c>
      <x:c r="J2153" s="1" t="str">
        <x:f>IF(I2153=0,"No",IF(INDEX('Staff Review'!$C$8:$C$507,I2153)="Yes","Yes","No"))</x:f>
        <x:v>No</x:v>
      </x:c>
      <x:c r="K2153" s="1" t="n">
        <x:f>IF(AI2153="Yes",INDEX('Staff Review'!$D$8:$D$507,I2153),IF(AB2153=0,"",IF(COUNT(INDEX($C$1531:$C$2030,AB2153))=1,INDEX($C$1531:$C$2030,AB2153),"")))</x:f>
        <x:v>0.28034979991197007</x:v>
      </x:c>
      <x:c r="L2153" s="1" t="n">
        <x:f>IF(AJ2153="Yes",INDEX('Staff Review'!$F$8:$F$507,I2153),IF(AB2153=0,"",IF(COUNT(INDEX($G$1531:$G$2030,AB2153))=1,INDEX($G$1531:$G$2030,AB2153),"")))</x:f>
        <x:v>5</x:v>
      </x:c>
      <x:c r="M2153" s="1" t="str">
        <x:f>IF(A2153="","",IF(AI2153="Yes","Verified","Listed"))</x:f>
        <x:v>Listed</x:v>
      </x:c>
      <x:c r="N2153" s="1" t="str">
        <x:f>IF(A2153="","",IF(AJ2153="Yes","Verified","Listed"))</x:f>
        <x:v>Listed</x:v>
      </x:c>
      <x:c r="O2153" s="1" t="n">
        <x:f>IF(AND(ISNUMBER(G2153),G2153&gt;=0,G2153&lt;=1),IF(G2153&gt;=0.9,30,IF(G2153&gt;=0.8,25,IF(G2153&gt;=0.7,20,IF(G2153&gt;=0.6,15,IF(G2153&gt;=0.5,10,IF(G2153&gt;=0.4,5,0)))))),"")</x:f>
        <x:v>30</x:v>
      </x:c>
      <x:c r="P2153" s="1" t="n">
        <x:f>IF(ISNUMBER(K2153),IF(K2153&lt;0,"",IF(K2153&gt;1,25,IF(K2153&gt;=0.75,20,IF(K2153&gt;=0.5,15,IF(K2153&gt;=0.25,10,5))))),"")</x:f>
        <x:v>10</x:v>
      </x:c>
      <x:c r="Q2153" s="1" t="n">
        <x:f>IF(NOT(ISNUMBER(L2153)),"",IF(AND(L2153&gt;=0,MOD(L2153,1)=0),MAX(0,25-5*L2153),""))</x:f>
        <x:v>0</x:v>
      </x:c>
      <x:c r="R2153" s="1" t="n">
        <x:f>IF(NOT(ISNUMBER(F2153)),"",IF(AND(F2153&gt;0,MOD(F2153,1)=0),IF(F2153&gt;=700,5,IF(F2153&gt;=500,4,IF(F2153&gt;=350,3,IF(F2153&gt;=200,2,1)))),""))</x:f>
        <x:v>4</x:v>
      </x:c>
      <x:c r="S2153" s="1" t="n">
        <x:f>IF(COUNT(O2153:R2153)=4,SUM(O2153:R2153),"")</x:f>
        <x:v>44</x:v>
      </x:c>
      <x:c r="T2153" s="1" t="n">
        <x:f>IF(OR(COUNT(O2153:R2153)&lt;&gt;4,COUNT('Top 15'!$B$35:$E$35)&lt;&gt;4,MIN('Top 15'!$B$35:$E$35)&lt;0,SUM('Top 15'!$B$35:$E$35)&lt;=0),"",ROUND(85*(O2153/30*'Top 15'!$B$35+P2153/25*'Top 15'!$C$35+Q2153/25*'Top 15'!$D$35+R2153/5*'Top 15'!$E$35)/SUM('Top 15'!$B$35:$E$35),6))</x:f>
        <x:v>44</x:v>
      </x:c>
      <x:c r="U2153" s="1" t="str">
        <x:f>IF(A2153="","",IF(AND(M2153="Verified",N2153="Verified"),"Verified",IF(AND(M2153="Listed",N2153="Listed"),"Listed","Mixed")))</x:f>
        <x:v>Listed</x:v>
      </x:c>
      <x:c r="V2153" s="1" t="str">
        <x:f>IF(A2153="","",IF(AK2153&lt;&gt;1,"Duplicate source ID",IF(COUNTIFS('Staff Review'!$A$8:$A$507,A2153)&gt;1,"Duplicate review ID",IF(H2153&lt;&gt;"Yes","Outside scope",IF(J2153="Yes","Already served",IF(NOT(ISNUMBER(T2153)),"Missing data","Candidate"))))))</x:f>
        <x:v>Candidate</x:v>
      </x:c>
      <x:c r="W2153" s="1" t="n">
        <x:f>IF(AL2153=0,"",1+COUNTIFS($AL$2051:$AL$2550,1,$T$2051:$T$2550,"&gt;"&amp;T2153)+COUNTIFS($AL$2051:$AL$2550,1,$T$2051:$T$2550,T2153,$G$2051:$G$2550,"&gt;"&amp;G2153)+COUNTIFS($AL$2051:$AL$2550,1,$T$2051:$T$2550,T2153,$G$2051:$G$2550,G2153,$F$2051:$F$2550,"&gt;"&amp;F2153)+COUNTIFS($AL$2051:$AL$2550,1,$T$2051:$T$2550,T2153,$G$2051:$G$2550,G2153,$F$2051:$F$2550,F2153,$AM$2051:$AM$2550,"&lt;"&amp;AM2153))</x:f>
        <x:v>83</x:v>
      </x:c>
      <x:c r="X2153" s="1" t="n">
        <x:f>IF(AL2153=0,"",1+COUNTIFS($AL$2051:$AL$2550,1,$T$2051:$T$2550,"&gt;"&amp;T2153))</x:f>
        <x:v>81</x:v>
      </x:c>
      <x:c r="Y2153" s="1" t="n">
        <x:f>IF(AND(H2153="Yes",OR(LEN('School Search'!$B$5)=0,ISNUMBER(SEARCH('School Search'!$B$5,B2153&amp;" "&amp;E2153&amp;" "&amp;A2153))),OR('School Search'!$D$5="All",C2153='School Search'!$D$5),OR('School Search'!$G$5="All eligible",AND('School Search'!$G$5="Not marked served",J2153&lt;&gt;"Yes"),AND('School Search'!$G$5="Missing data",V2153="Missing data"),AND('School Search'!$G$5="Marked served",J2153="Yes"))),1,0)</x:f>
        <x:v>1</x:v>
      </x:c>
      <x:c r="Z2153" s="1" t="n">
        <x:f>IF(Y2153=0,"",COUNTIFS($Y$2051:$Y$2550,1,$AO$2051:$AO$2550,"&lt;"&amp;AO2153)+COUNTIFS($Y$2051:Y2153,1,$AO$2051:AO2153,AO2153))</x:f>
        <x:v>83</x:v>
      </x:c>
      <x:c r="AA2153" s="1" t="str">
        <x:f>IF(NOT(ISNUMBER(S2153)),"Missing demographic or access input",TEXT(G2153,"0%")&amp;" economic need; "&amp;TEXT(K2153,"0.00")&amp;" mi fresh access; "&amp;L2153&amp;" nearby resources")</x:f>
        <x:v>97% economic need; 0.28 mi fresh access; 5 nearby resources</x:v>
      </x:c>
      <x:c r="AB2153" s="1" t="n">
        <x:f>IF(OR(A2153="",COUNTIFS($A$1531:$A$2030,A2153)&lt;&gt;1),0,MATCH(A2153,$A$1531:$A$2030,0))</x:f>
        <x:v>103</x:v>
      </x:c>
      <x:c r="AC2153" s="1" t="str">
        <x:f>IF(AB2153=0,"",INDEX($E$1531:$E$2030,AB2153))</x:f>
        <x:v>Trader Joe's 634</x:v>
      </x:c>
      <x:c r="AD2153" s="1" t="str">
        <x:f>IF(AB2153=0,"",INDEX($F$1531:$F$2030,AB2153))</x:f>
        <x:v>2121 Market St, Philadelphia, PA, 19103</x:v>
      </x:c>
      <x:c r="AE2153" s="1" t="str">
        <x:f>IF(A2153="","",F104)</x:f>
        <x:v>1911 ARCH ST</x:v>
      </x:c>
      <x:c r="AF2153" s="1" t="n">
        <x:f>IF(ISNUMBER(I104),I104,"")</x:f>
        <x:v>39.95594922</x:v>
      </x:c>
      <x:c r="AG2153" s="1" t="n">
        <x:f>IF(ISNUMBER(J104),J104,"")</x:f>
        <x:v>-75.17155064</x:v>
      </x:c>
      <x:c r="AH2153" s="1" t="str">
        <x:f>IF(I2153=0,"Not contacted",IF(INDEX('Staff Review'!$J$8:$J$507,I2153)="","Not contacted",INDEX('Staff Review'!$J$8:$J$507,I2153)))</x:f>
        <x:v>Not contacted</x:v>
      </x:c>
      <x:c r="AI2153" s="1" t="str">
        <x:f>IF(I2153=0,"No",IF(AND(COUNT(INDEX('Staff Review'!$D$8:$D$507,I2153))=1,INDEX('Staff Review'!$D$8:$D$507,I2153)&gt;=0,COUNT(INDEX('Staff Review'!$E$8:$E$507,I2153))=1,INDEX('Staff Review'!$E$8:$E$507,I2153)&gt;0,INDEX('Staff Review'!$E$8:$E$507,I2153)&lt;='Top 15'!$E$5,'Top 15'!$E$5-INDEX('Staff Review'!$E$8:$E$507,I2153)&lt;='Top 15'!$H$5,LEN(INDEX('Staff Review'!$H$8:$H$507,I2153))&gt;0),"Yes","No"))</x:f>
        <x:v>No</x:v>
      </x:c>
      <x:c r="AJ2153" s="1" t="str">
        <x:f>IF(I2153=0,"No",IF(COUNT(INDEX('Staff Review'!$F$8:$F$507,I2153))&lt;&gt;1,"No",IF(AND(INDEX('Staff Review'!$F$8:$F$507,I2153)&gt;=0,MOD(INDEX('Staff Review'!$F$8:$F$507,I2153),1)=0,COUNT(INDEX('Staff Review'!$G$8:$G$507,I2153))=1,INDEX('Staff Review'!$G$8:$G$507,I2153)&gt;0,INDEX('Staff Review'!$G$8:$G$507,I2153)&lt;='Top 15'!$E$5,'Top 15'!$E$5-INDEX('Staff Review'!$G$8:$G$507,I2153)&lt;='Top 15'!$H$5,LEN(INDEX('Staff Review'!$H$8:$H$507,I2153))&gt;0),"Yes","No")))</x:f>
        <x:v>No</x:v>
      </x:c>
      <x:c r="AK2153" s="1" t="n">
        <x:f>IF(A2153="",0,COUNTIFS($A$2:$A$501,A2153))</x:f>
        <x:v>1</x:v>
      </x:c>
      <x:c r="AL2153" s="1" t="n">
        <x:f>IF(V2153="Candidate",1,0)</x:f>
        <x:v>1</x:v>
      </x:c>
      <x:c r="AM2153" s="1" t="n">
        <x:f>IF(A2153="",0,VALUE(A2153))</x:f>
        <x:v>3360</x:v>
      </x:c>
      <x:c r="AN2153" s="1" t="n">
        <x:f>IF(OR(A2153="",COUNTIFS($T$41:$T$540,A2153)&lt;&gt;1),0,MATCH(A2153,$T$41:$T$540,0))</x:f>
        <x:v>103</x:v>
      </x:c>
      <x:c r="AO2153" t="n">
        <x:f>IF(ISNUMBER(W2153),W2153,10000+AM2153)</x:f>
        <x:v>83</x:v>
      </x:c>
    </x:row>
    <x:row r="2154" ht="22" customHeight="1">
      <x:c r="A2154" s="1" t="str">
        <x:f>IF(A105="","",A105)</x:f>
        <x:v>3361</x:v>
      </x:c>
      <x:c r="B2154" s="1" t="str">
        <x:f>IF(A2154="","",B105)</x:f>
        <x:v>Mastery Charter High School</x:v>
      </x:c>
      <x:c r="C2154" s="1" t="str">
        <x:f>IF(A2154="","",C105)</x:f>
        <x:v>Charter</x:v>
      </x:c>
      <x:c r="D2154" s="1" t="str">
        <x:f>IF(A2154="","",E105)</x:f>
        <x:v>Middle-High</x:v>
      </x:c>
      <x:c r="E2154" s="1" t="str">
        <x:f>IF(A2154="","",H105)</x:f>
        <x:v>19106</x:v>
      </x:c>
      <x:c r="F2154" s="1" t="n">
        <x:f>IF(ISNUMBER(K105),K105,"")</x:f>
        <x:v>614</x:v>
      </x:c>
      <x:c r="G2154" s="1" t="n">
        <x:f>IF(ISNUMBER(L105),L105,"")</x:f>
        <x:v>0.8921</x:v>
      </x:c>
      <x:c r="H2154" s="1" t="str">
        <x:f>IF(A2154="","",IF(AND(UPPER(G105)="PHILADELPHIA",OR(C2154="District",AND(C2154="Charter",D105="Yes"))),"Yes","No"))</x:f>
        <x:v>Yes</x:v>
      </x:c>
      <x:c r="I2154" s="1" t="n">
        <x:f>IF(OR(A2154="",COUNTIFS('Staff Review'!$A$8:$A$507,A2154)&lt;&gt;1),0,MATCH(A2154,'Staff Review'!$A$8:$A$507,0))</x:f>
        <x:v>181</x:v>
      </x:c>
      <x:c r="J2154" s="1" t="str">
        <x:f>IF(I2154=0,"No",IF(INDEX('Staff Review'!$C$8:$C$507,I2154)="Yes","Yes","No"))</x:f>
        <x:v>No</x:v>
      </x:c>
      <x:c r="K2154" s="1" t="n">
        <x:f>IF(AI2154="Yes",INDEX('Staff Review'!$D$8:$D$507,I2154),IF(AB2154=0,"",IF(COUNT(INDEX($C$1531:$C$2030,AB2154))=1,INDEX($C$1531:$C$2030,AB2154),"")))</x:f>
        <x:v>0.3274891272938362</x:v>
      </x:c>
      <x:c r="L2154" s="1" t="n">
        <x:f>IF(AJ2154="Yes",INDEX('Staff Review'!$F$8:$F$507,I2154),IF(AB2154=0,"",IF(COUNT(INDEX($G$1531:$G$2030,AB2154))=1,INDEX($G$1531:$G$2030,AB2154),"")))</x:f>
        <x:v>3</x:v>
      </x:c>
      <x:c r="M2154" s="1" t="str">
        <x:f>IF(A2154="","",IF(AI2154="Yes","Verified","Listed"))</x:f>
        <x:v>Listed</x:v>
      </x:c>
      <x:c r="N2154" s="1" t="str">
        <x:f>IF(A2154="","",IF(AJ2154="Yes","Verified","Listed"))</x:f>
        <x:v>Listed</x:v>
      </x:c>
      <x:c r="O2154" s="1" t="n">
        <x:f>IF(AND(ISNUMBER(G2154),G2154&gt;=0,G2154&lt;=1),IF(G2154&gt;=0.9,30,IF(G2154&gt;=0.8,25,IF(G2154&gt;=0.7,20,IF(G2154&gt;=0.6,15,IF(G2154&gt;=0.5,10,IF(G2154&gt;=0.4,5,0)))))),"")</x:f>
        <x:v>25</x:v>
      </x:c>
      <x:c r="P2154" s="1" t="n">
        <x:f>IF(ISNUMBER(K2154),IF(K2154&lt;0,"",IF(K2154&gt;1,25,IF(K2154&gt;=0.75,20,IF(K2154&gt;=0.5,15,IF(K2154&gt;=0.25,10,5))))),"")</x:f>
        <x:v>10</x:v>
      </x:c>
      <x:c r="Q2154" s="1" t="n">
        <x:f>IF(NOT(ISNUMBER(L2154)),"",IF(AND(L2154&gt;=0,MOD(L2154,1)=0),MAX(0,25-5*L2154),""))</x:f>
        <x:v>10</x:v>
      </x:c>
      <x:c r="R2154" s="1" t="n">
        <x:f>IF(NOT(ISNUMBER(F2154)),"",IF(AND(F2154&gt;0,MOD(F2154,1)=0),IF(F2154&gt;=700,5,IF(F2154&gt;=500,4,IF(F2154&gt;=350,3,IF(F2154&gt;=200,2,1)))),""))</x:f>
        <x:v>4</x:v>
      </x:c>
      <x:c r="S2154" s="1" t="n">
        <x:f>IF(COUNT(O2154:R2154)=4,SUM(O2154:R2154),"")</x:f>
        <x:v>49</x:v>
      </x:c>
      <x:c r="T2154" s="1" t="n">
        <x:f>IF(OR(COUNT(O2154:R2154)&lt;&gt;4,COUNT('Top 15'!$B$35:$E$35)&lt;&gt;4,MIN('Top 15'!$B$35:$E$35)&lt;0,SUM('Top 15'!$B$35:$E$35)&lt;=0),"",ROUND(85*(O2154/30*'Top 15'!$B$35+P2154/25*'Top 15'!$C$35+Q2154/25*'Top 15'!$D$35+R2154/5*'Top 15'!$E$35)/SUM('Top 15'!$B$35:$E$35),6))</x:f>
        <x:v>49</x:v>
      </x:c>
      <x:c r="U2154" s="1" t="str">
        <x:f>IF(A2154="","",IF(AND(M2154="Verified",N2154="Verified"),"Verified",IF(AND(M2154="Listed",N2154="Listed"),"Listed","Mixed")))</x:f>
        <x:v>Listed</x:v>
      </x:c>
      <x:c r="V2154" s="1" t="str">
        <x:f>IF(A2154="","",IF(AK2154&lt;&gt;1,"Duplicate source ID",IF(COUNTIFS('Staff Review'!$A$8:$A$507,A2154)&gt;1,"Duplicate review ID",IF(H2154&lt;&gt;"Yes","Outside scope",IF(J2154="Yes","Already served",IF(NOT(ISNUMBER(T2154)),"Missing data","Candidate"))))))</x:f>
        <x:v>Candidate</x:v>
      </x:c>
      <x:c r="W2154" s="1" t="n">
        <x:f>IF(AL2154=0,"",1+COUNTIFS($AL$2051:$AL$2550,1,$T$2051:$T$2550,"&gt;"&amp;T2154)+COUNTIFS($AL$2051:$AL$2550,1,$T$2051:$T$2550,T2154,$G$2051:$G$2550,"&gt;"&amp;G2154)+COUNTIFS($AL$2051:$AL$2550,1,$T$2051:$T$2550,T2154,$G$2051:$G$2550,G2154,$F$2051:$F$2550,"&gt;"&amp;F2154)+COUNTIFS($AL$2051:$AL$2550,1,$T$2051:$T$2550,T2154,$G$2051:$G$2550,G2154,$F$2051:$F$2550,F2154,$AM$2051:$AM$2550,"&lt;"&amp;AM2154))</x:f>
        <x:v>49</x:v>
      </x:c>
      <x:c r="X2154" s="1" t="n">
        <x:f>IF(AL2154=0,"",1+COUNTIFS($AL$2051:$AL$2550,1,$T$2051:$T$2550,"&gt;"&amp;T2154))</x:f>
        <x:v>46</x:v>
      </x:c>
      <x:c r="Y2154" s="1" t="n">
        <x:f>IF(AND(H2154="Yes",OR(LEN('School Search'!$B$5)=0,ISNUMBER(SEARCH('School Search'!$B$5,B2154&amp;" "&amp;E2154&amp;" "&amp;A2154))),OR('School Search'!$D$5="All",C2154='School Search'!$D$5),OR('School Search'!$G$5="All eligible",AND('School Search'!$G$5="Not marked served",J2154&lt;&gt;"Yes"),AND('School Search'!$G$5="Missing data",V2154="Missing data"),AND('School Search'!$G$5="Marked served",J2154="Yes"))),1,0)</x:f>
        <x:v>1</x:v>
      </x:c>
      <x:c r="Z2154" s="1" t="n">
        <x:f>IF(Y2154=0,"",COUNTIFS($Y$2051:$Y$2550,1,$AO$2051:$AO$2550,"&lt;"&amp;AO2154)+COUNTIFS($Y$2051:Y2154,1,$AO$2051:AO2154,AO2154))</x:f>
        <x:v>49</x:v>
      </x:c>
      <x:c r="AA2154" s="1" t="str">
        <x:f>IF(NOT(ISNUMBER(S2154)),"Missing demographic or access input",TEXT(G2154,"0%")&amp;" economic need; "&amp;TEXT(K2154,"0.00")&amp;" mi fresh access; "&amp;L2154&amp;" nearby resources")</x:f>
        <x:v>89% economic need; 0.33 mi fresh access; 3 nearby resources</x:v>
      </x:c>
      <x:c r="AB2154" s="1" t="n">
        <x:f>IF(OR(A2154="",COUNTIFS($A$1531:$A$2030,A2154)&lt;&gt;1),0,MATCH(A2154,$A$1531:$A$2030,0))</x:f>
        <x:v>104</x:v>
      </x:c>
      <x:c r="AC2154" s="1" t="str">
        <x:f>IF(AB2154=0,"",INDEX($E$1531:$E$2030,AB2154))</x:f>
        <x:v>Riverwards Produce</x:v>
      </x:c>
      <x:c r="AD2154" s="1" t="str">
        <x:f>IF(AB2154=0,"",INDEX($F$1531:$F$2030,AB2154))</x:f>
        <x:v>146 N Bread St, Philadelphia, PA, 19106</x:v>
      </x:c>
      <x:c r="AE2154" s="1" t="str">
        <x:f>IF(A2154="","",F105)</x:f>
        <x:v>35 S 4TH ST</x:v>
      </x:c>
      <x:c r="AF2154" s="1" t="n">
        <x:f>IF(ISNUMBER(I105),I105,"")</x:f>
        <x:v>39.94950579</x:v>
      </x:c>
      <x:c r="AG2154" s="1" t="n">
        <x:f>IF(ISNUMBER(J105),J105,"")</x:f>
        <x:v>-75.14734776</x:v>
      </x:c>
      <x:c r="AH2154" s="1" t="str">
        <x:f>IF(I2154=0,"Not contacted",IF(INDEX('Staff Review'!$J$8:$J$507,I2154)="","Not contacted",INDEX('Staff Review'!$J$8:$J$507,I2154)))</x:f>
        <x:v>Not contacted</x:v>
      </x:c>
      <x:c r="AI2154" s="1" t="str">
        <x:f>IF(I2154=0,"No",IF(AND(COUNT(INDEX('Staff Review'!$D$8:$D$507,I2154))=1,INDEX('Staff Review'!$D$8:$D$507,I2154)&gt;=0,COUNT(INDEX('Staff Review'!$E$8:$E$507,I2154))=1,INDEX('Staff Review'!$E$8:$E$507,I2154)&gt;0,INDEX('Staff Review'!$E$8:$E$507,I2154)&lt;='Top 15'!$E$5,'Top 15'!$E$5-INDEX('Staff Review'!$E$8:$E$507,I2154)&lt;='Top 15'!$H$5,LEN(INDEX('Staff Review'!$H$8:$H$507,I2154))&gt;0),"Yes","No"))</x:f>
        <x:v>No</x:v>
      </x:c>
      <x:c r="AJ2154" s="1" t="str">
        <x:f>IF(I2154=0,"No",IF(COUNT(INDEX('Staff Review'!$F$8:$F$507,I2154))&lt;&gt;1,"No",IF(AND(INDEX('Staff Review'!$F$8:$F$507,I2154)&gt;=0,MOD(INDEX('Staff Review'!$F$8:$F$507,I2154),1)=0,COUNT(INDEX('Staff Review'!$G$8:$G$507,I2154))=1,INDEX('Staff Review'!$G$8:$G$507,I2154)&gt;0,INDEX('Staff Review'!$G$8:$G$507,I2154)&lt;='Top 15'!$E$5,'Top 15'!$E$5-INDEX('Staff Review'!$G$8:$G$507,I2154)&lt;='Top 15'!$H$5,LEN(INDEX('Staff Review'!$H$8:$H$507,I2154))&gt;0),"Yes","No")))</x:f>
        <x:v>No</x:v>
      </x:c>
      <x:c r="AK2154" s="1" t="n">
        <x:f>IF(A2154="",0,COUNTIFS($A$2:$A$501,A2154))</x:f>
        <x:v>1</x:v>
      </x:c>
      <x:c r="AL2154" s="1" t="n">
        <x:f>IF(V2154="Candidate",1,0)</x:f>
        <x:v>1</x:v>
      </x:c>
      <x:c r="AM2154" s="1" t="n">
        <x:f>IF(A2154="",0,VALUE(A2154))</x:f>
        <x:v>3361</x:v>
      </x:c>
      <x:c r="AN2154" s="1" t="n">
        <x:f>IF(OR(A2154="",COUNTIFS($T$41:$T$540,A2154)&lt;&gt;1),0,MATCH(A2154,$T$41:$T$540,0))</x:f>
        <x:v>104</x:v>
      </x:c>
      <x:c r="AO2154" t="n">
        <x:f>IF(ISNUMBER(W2154),W2154,10000+AM2154)</x:f>
        <x:v>49</x:v>
      </x:c>
    </x:row>
    <x:row r="2155" ht="22" customHeight="1">
      <x:c r="A2155" s="1" t="str">
        <x:f>IF(A106="","",A106)</x:f>
        <x:v>3362</x:v>
      </x:c>
      <x:c r="B2155" s="1" t="str">
        <x:f>IF(A2155="","",B106)</x:f>
        <x:v>Wissahickon Charter School</x:v>
      </x:c>
      <x:c r="C2155" s="1" t="str">
        <x:f>IF(A2155="","",C106)</x:f>
        <x:v>Charter</x:v>
      </x:c>
      <x:c r="D2155" s="1" t="str">
        <x:f>IF(A2155="","",E106)</x:f>
        <x:v>Elementary-Middle</x:v>
      </x:c>
      <x:c r="E2155" s="1" t="str">
        <x:f>IF(A2155="","",H106)</x:f>
        <x:v>19144</x:v>
      </x:c>
      <x:c r="F2155" s="1" t="n">
        <x:f>IF(ISNUMBER(K106),K106,"")</x:f>
        <x:v>998</x:v>
      </x:c>
      <x:c r="G2155" s="1" t="n">
        <x:f>IF(ISNUMBER(L106),L106,"")</x:f>
        <x:v>0.7295</x:v>
      </x:c>
      <x:c r="H2155" s="1" t="str">
        <x:f>IF(A2155="","",IF(AND(UPPER(G106)="PHILADELPHIA",OR(C2155="District",AND(C2155="Charter",D106="Yes"))),"Yes","No"))</x:f>
        <x:v>Yes</x:v>
      </x:c>
      <x:c r="I2155" s="1" t="n">
        <x:f>IF(OR(A2155="",COUNTIFS('Staff Review'!$A$8:$A$507,A2155)&lt;&gt;1),0,MATCH(A2155,'Staff Review'!$A$8:$A$507,0))</x:f>
        <x:v>326</x:v>
      </x:c>
      <x:c r="J2155" s="1" t="str">
        <x:f>IF(I2155=0,"No",IF(INDEX('Staff Review'!$C$8:$C$507,I2155)="Yes","Yes","No"))</x:f>
        <x:v>No</x:v>
      </x:c>
      <x:c r="K2155" s="1" t="n">
        <x:f>IF(AI2155="Yes",INDEX('Staff Review'!$D$8:$D$507,I2155),IF(AB2155=0,"",IF(COUNT(INDEX($C$1531:$C$2030,AB2155))=1,INDEX($C$1531:$C$2030,AB2155),"")))</x:f>
        <x:v>0.30447532178112</x:v>
      </x:c>
      <x:c r="L2155" s="1" t="n">
        <x:f>IF(AJ2155="Yes",INDEX('Staff Review'!$F$8:$F$507,I2155),IF(AB2155=0,"",IF(COUNT(INDEX($G$1531:$G$2030,AB2155))=1,INDEX($G$1531:$G$2030,AB2155),"")))</x:f>
        <x:v>4</x:v>
      </x:c>
      <x:c r="M2155" s="1" t="str">
        <x:f>IF(A2155="","",IF(AI2155="Yes","Verified","Listed"))</x:f>
        <x:v>Listed</x:v>
      </x:c>
      <x:c r="N2155" s="1" t="str">
        <x:f>IF(A2155="","",IF(AJ2155="Yes","Verified","Listed"))</x:f>
        <x:v>Listed</x:v>
      </x:c>
      <x:c r="O2155" s="1" t="n">
        <x:f>IF(AND(ISNUMBER(G2155),G2155&gt;=0,G2155&lt;=1),IF(G2155&gt;=0.9,30,IF(G2155&gt;=0.8,25,IF(G2155&gt;=0.7,20,IF(G2155&gt;=0.6,15,IF(G2155&gt;=0.5,10,IF(G2155&gt;=0.4,5,0)))))),"")</x:f>
        <x:v>20</x:v>
      </x:c>
      <x:c r="P2155" s="1" t="n">
        <x:f>IF(ISNUMBER(K2155),IF(K2155&lt;0,"",IF(K2155&gt;1,25,IF(K2155&gt;=0.75,20,IF(K2155&gt;=0.5,15,IF(K2155&gt;=0.25,10,5))))),"")</x:f>
        <x:v>10</x:v>
      </x:c>
      <x:c r="Q2155" s="1" t="n">
        <x:f>IF(NOT(ISNUMBER(L2155)),"",IF(AND(L2155&gt;=0,MOD(L2155,1)=0),MAX(0,25-5*L2155),""))</x:f>
        <x:v>5</x:v>
      </x:c>
      <x:c r="R2155" s="1" t="n">
        <x:f>IF(NOT(ISNUMBER(F2155)),"",IF(AND(F2155&gt;0,MOD(F2155,1)=0),IF(F2155&gt;=700,5,IF(F2155&gt;=500,4,IF(F2155&gt;=350,3,IF(F2155&gt;=200,2,1)))),""))</x:f>
        <x:v>5</x:v>
      </x:c>
      <x:c r="S2155" s="1" t="n">
        <x:f>IF(COUNT(O2155:R2155)=4,SUM(O2155:R2155),"")</x:f>
        <x:v>40</x:v>
      </x:c>
      <x:c r="T2155" s="1" t="n">
        <x:f>IF(OR(COUNT(O2155:R2155)&lt;&gt;4,COUNT('Top 15'!$B$35:$E$35)&lt;&gt;4,MIN('Top 15'!$B$35:$E$35)&lt;0,SUM('Top 15'!$B$35:$E$35)&lt;=0),"",ROUND(85*(O2155/30*'Top 15'!$B$35+P2155/25*'Top 15'!$C$35+Q2155/25*'Top 15'!$D$35+R2155/5*'Top 15'!$E$35)/SUM('Top 15'!$B$35:$E$35),6))</x:f>
        <x:v>40</x:v>
      </x:c>
      <x:c r="U2155" s="1" t="str">
        <x:f>IF(A2155="","",IF(AND(M2155="Verified",N2155="Verified"),"Verified",IF(AND(M2155="Listed",N2155="Listed"),"Listed","Mixed")))</x:f>
        <x:v>Listed</x:v>
      </x:c>
      <x:c r="V2155" s="1" t="str">
        <x:f>IF(A2155="","",IF(AK2155&lt;&gt;1,"Duplicate source ID",IF(COUNTIFS('Staff Review'!$A$8:$A$507,A2155)&gt;1,"Duplicate review ID",IF(H2155&lt;&gt;"Yes","Outside scope",IF(J2155="Yes","Already served",IF(NOT(ISNUMBER(T2155)),"Missing data","Candidate"))))))</x:f>
        <x:v>Candidate</x:v>
      </x:c>
      <x:c r="W2155" s="1" t="n">
        <x:f>IF(AL2155=0,"",1+COUNTIFS($AL$2051:$AL$2550,1,$T$2051:$T$2550,"&gt;"&amp;T2155)+COUNTIFS($AL$2051:$AL$2550,1,$T$2051:$T$2550,T2155,$G$2051:$G$2550,"&gt;"&amp;G2155)+COUNTIFS($AL$2051:$AL$2550,1,$T$2051:$T$2550,T2155,$G$2051:$G$2550,G2155,$F$2051:$F$2550,"&gt;"&amp;F2155)+COUNTIFS($AL$2051:$AL$2550,1,$T$2051:$T$2550,T2155,$G$2051:$G$2550,G2155,$F$2051:$F$2550,F2155,$AM$2051:$AM$2550,"&lt;"&amp;AM2155))</x:f>
        <x:v>147</x:v>
      </x:c>
      <x:c r="X2155" s="1" t="n">
        <x:f>IF(AL2155=0,"",1+COUNTIFS($AL$2051:$AL$2550,1,$T$2051:$T$2550,"&gt;"&amp;T2155))</x:f>
        <x:v>133</x:v>
      </x:c>
      <x:c r="Y2155" s="1" t="n">
        <x:f>IF(AND(H2155="Yes",OR(LEN('School Search'!$B$5)=0,ISNUMBER(SEARCH('School Search'!$B$5,B2155&amp;" "&amp;E2155&amp;" "&amp;A2155))),OR('School Search'!$D$5="All",C2155='School Search'!$D$5),OR('School Search'!$G$5="All eligible",AND('School Search'!$G$5="Not marked served",J2155&lt;&gt;"Yes"),AND('School Search'!$G$5="Missing data",V2155="Missing data"),AND('School Search'!$G$5="Marked served",J2155="Yes"))),1,0)</x:f>
        <x:v>1</x:v>
      </x:c>
      <x:c r="Z2155" s="1" t="n">
        <x:f>IF(Y2155=0,"",COUNTIFS($Y$2051:$Y$2550,1,$AO$2051:$AO$2550,"&lt;"&amp;AO2155)+COUNTIFS($Y$2051:Y2155,1,$AO$2051:AO2155,AO2155))</x:f>
        <x:v>147</x:v>
      </x:c>
      <x:c r="AA2155" s="1" t="str">
        <x:f>IF(NOT(ISNUMBER(S2155)),"Missing demographic or access input",TEXT(G2155,"0%")&amp;" economic need; "&amp;TEXT(K2155,"0.00")&amp;" mi fresh access; "&amp;L2155&amp;" nearby resources")</x:f>
        <x:v>73% economic need; 0.30 mi fresh access; 4 nearby resources</x:v>
      </x:c>
      <x:c r="AB2155" s="1" t="n">
        <x:f>IF(OR(A2155="",COUNTIFS($A$1531:$A$2030,A2155)&lt;&gt;1),0,MATCH(A2155,$A$1531:$A$2030,0))</x:f>
        <x:v>105</x:v>
      </x:c>
      <x:c r="AC2155" s="1" t="str">
        <x:f>IF(AB2155=0,"",INDEX($E$1531:$E$2030,AB2155))</x:f>
        <x:v>Shoprite of Fox Street 430</x:v>
      </x:c>
      <x:c r="AD2155" s="1" t="str">
        <x:f>IF(AB2155=0,"",INDEX($F$1531:$F$2030,AB2155))</x:f>
        <x:v>2800 Fox Street, Philadelphia, PA, 19129</x:v>
      </x:c>
      <x:c r="AE2155" s="1" t="str">
        <x:f>IF(A2155="","",F106)</x:f>
        <x:v>4700 WISSAHICKON AVE</x:v>
      </x:c>
      <x:c r="AF2155" s="1" t="n">
        <x:f>IF(ISNUMBER(I106),I106,"")</x:f>
        <x:v>40.01537246</x:v>
      </x:c>
      <x:c r="AG2155" s="1" t="n">
        <x:f>IF(ISNUMBER(J106),J106,"")</x:f>
        <x:v>-75.17405347</x:v>
      </x:c>
      <x:c r="AH2155" s="1" t="str">
        <x:f>IF(I2155=0,"Not contacted",IF(INDEX('Staff Review'!$J$8:$J$507,I2155)="","Not contacted",INDEX('Staff Review'!$J$8:$J$507,I2155)))</x:f>
        <x:v>Not contacted</x:v>
      </x:c>
      <x:c r="AI2155" s="1" t="str">
        <x:f>IF(I2155=0,"No",IF(AND(COUNT(INDEX('Staff Review'!$D$8:$D$507,I2155))=1,INDEX('Staff Review'!$D$8:$D$507,I2155)&gt;=0,COUNT(INDEX('Staff Review'!$E$8:$E$507,I2155))=1,INDEX('Staff Review'!$E$8:$E$507,I2155)&gt;0,INDEX('Staff Review'!$E$8:$E$507,I2155)&lt;='Top 15'!$E$5,'Top 15'!$E$5-INDEX('Staff Review'!$E$8:$E$507,I2155)&lt;='Top 15'!$H$5,LEN(INDEX('Staff Review'!$H$8:$H$507,I2155))&gt;0),"Yes","No"))</x:f>
        <x:v>No</x:v>
      </x:c>
      <x:c r="AJ2155" s="1" t="str">
        <x:f>IF(I2155=0,"No",IF(COUNT(INDEX('Staff Review'!$F$8:$F$507,I2155))&lt;&gt;1,"No",IF(AND(INDEX('Staff Review'!$F$8:$F$507,I2155)&gt;=0,MOD(INDEX('Staff Review'!$F$8:$F$507,I2155),1)=0,COUNT(INDEX('Staff Review'!$G$8:$G$507,I2155))=1,INDEX('Staff Review'!$G$8:$G$507,I2155)&gt;0,INDEX('Staff Review'!$G$8:$G$507,I2155)&lt;='Top 15'!$E$5,'Top 15'!$E$5-INDEX('Staff Review'!$G$8:$G$507,I2155)&lt;='Top 15'!$H$5,LEN(INDEX('Staff Review'!$H$8:$H$507,I2155))&gt;0),"Yes","No")))</x:f>
        <x:v>No</x:v>
      </x:c>
      <x:c r="AK2155" s="1" t="n">
        <x:f>IF(A2155="",0,COUNTIFS($A$2:$A$501,A2155))</x:f>
        <x:v>1</x:v>
      </x:c>
      <x:c r="AL2155" s="1" t="n">
        <x:f>IF(V2155="Candidate",1,0)</x:f>
        <x:v>1</x:v>
      </x:c>
      <x:c r="AM2155" s="1" t="n">
        <x:f>IF(A2155="",0,VALUE(A2155))</x:f>
        <x:v>3362</x:v>
      </x:c>
      <x:c r="AN2155" s="1" t="n">
        <x:f>IF(OR(A2155="",COUNTIFS($T$41:$T$540,A2155)&lt;&gt;1),0,MATCH(A2155,$T$41:$T$540,0))</x:f>
        <x:v>105</x:v>
      </x:c>
      <x:c r="AO2155" t="n">
        <x:f>IF(ISNUMBER(W2155),W2155,10000+AM2155)</x:f>
        <x:v>147</x:v>
      </x:c>
    </x:row>
    <x:row r="2156" ht="22" customHeight="1">
      <x:c r="A2156" s="1" t="str">
        <x:f>IF(A107="","",A107)</x:f>
        <x:v>3364</x:v>
      </x:c>
      <x:c r="B2156" s="1" t="str">
        <x:f>IF(A2156="","",B107)</x:f>
        <x:v>First Philadelphia Preparatory Charter School</x:v>
      </x:c>
      <x:c r="C2156" s="1" t="str">
        <x:f>IF(A2156="","",C107)</x:f>
        <x:v>Charter</x:v>
      </x:c>
      <x:c r="D2156" s="1" t="str">
        <x:f>IF(A2156="","",E107)</x:f>
        <x:v>Elementary-Middle-High</x:v>
      </x:c>
      <x:c r="E2156" s="1" t="str">
        <x:f>IF(A2156="","",H107)</x:f>
        <x:v>19124</x:v>
      </x:c>
      <x:c r="F2156" s="1" t="n">
        <x:f>IF(ISNUMBER(K107),K107,"")</x:f>
        <x:v>1880</x:v>
      </x:c>
      <x:c r="G2156" s="1" t="n">
        <x:f>IF(ISNUMBER(L107),L107,"")</x:f>
        <x:v>0.7978</x:v>
      </x:c>
      <x:c r="H2156" s="1" t="str">
        <x:f>IF(A2156="","",IF(AND(UPPER(G107)="PHILADELPHIA",OR(C2156="District",AND(C2156="Charter",D107="Yes"))),"Yes","No"))</x:f>
        <x:v>Yes</x:v>
      </x:c>
      <x:c r="I2156" s="1" t="n">
        <x:f>IF(OR(A2156="",COUNTIFS('Staff Review'!$A$8:$A$507,A2156)&lt;&gt;1),0,MATCH(A2156,'Staff Review'!$A$8:$A$507,0))</x:f>
        <x:v>75</x:v>
      </x:c>
      <x:c r="J2156" s="1" t="str">
        <x:f>IF(I2156=0,"No",IF(INDEX('Staff Review'!$C$8:$C$507,I2156)="Yes","Yes","No"))</x:f>
        <x:v>No</x:v>
      </x:c>
      <x:c r="K2156" s="1" t="n">
        <x:f>IF(AI2156="Yes",INDEX('Staff Review'!$D$8:$D$507,I2156),IF(AB2156=0,"",IF(COUNT(INDEX($C$1531:$C$2030,AB2156))=1,INDEX($C$1531:$C$2030,AB2156),"")))</x:f>
        <x:v>0.7517817420166505</x:v>
      </x:c>
      <x:c r="L2156" s="1" t="n">
        <x:f>IF(AJ2156="Yes",INDEX('Staff Review'!$F$8:$F$507,I2156),IF(AB2156=0,"",IF(COUNT(INDEX($G$1531:$G$2030,AB2156))=1,INDEX($G$1531:$G$2030,AB2156),"")))</x:f>
        <x:v>7</x:v>
      </x:c>
      <x:c r="M2156" s="1" t="str">
        <x:f>IF(A2156="","",IF(AI2156="Yes","Verified","Listed"))</x:f>
        <x:v>Listed</x:v>
      </x:c>
      <x:c r="N2156" s="1" t="str">
        <x:f>IF(A2156="","",IF(AJ2156="Yes","Verified","Listed"))</x:f>
        <x:v>Listed</x:v>
      </x:c>
      <x:c r="O2156" s="1" t="n">
        <x:f>IF(AND(ISNUMBER(G2156),G2156&gt;=0,G2156&lt;=1),IF(G2156&gt;=0.9,30,IF(G2156&gt;=0.8,25,IF(G2156&gt;=0.7,20,IF(G2156&gt;=0.6,15,IF(G2156&gt;=0.5,10,IF(G2156&gt;=0.4,5,0)))))),"")</x:f>
        <x:v>20</x:v>
      </x:c>
      <x:c r="P2156" s="1" t="n">
        <x:f>IF(ISNUMBER(K2156),IF(K2156&lt;0,"",IF(K2156&gt;1,25,IF(K2156&gt;=0.75,20,IF(K2156&gt;=0.5,15,IF(K2156&gt;=0.25,10,5))))),"")</x:f>
        <x:v>20</x:v>
      </x:c>
      <x:c r="Q2156" s="1" t="n">
        <x:f>IF(NOT(ISNUMBER(L2156)),"",IF(AND(L2156&gt;=0,MOD(L2156,1)=0),MAX(0,25-5*L2156),""))</x:f>
        <x:v>0</x:v>
      </x:c>
      <x:c r="R2156" s="1" t="n">
        <x:f>IF(NOT(ISNUMBER(F2156)),"",IF(AND(F2156&gt;0,MOD(F2156,1)=0),IF(F2156&gt;=700,5,IF(F2156&gt;=500,4,IF(F2156&gt;=350,3,IF(F2156&gt;=200,2,1)))),""))</x:f>
        <x:v>5</x:v>
      </x:c>
      <x:c r="S2156" s="1" t="n">
        <x:f>IF(COUNT(O2156:R2156)=4,SUM(O2156:R2156),"")</x:f>
        <x:v>45</x:v>
      </x:c>
      <x:c r="T2156" s="1" t="n">
        <x:f>IF(OR(COUNT(O2156:R2156)&lt;&gt;4,COUNT('Top 15'!$B$35:$E$35)&lt;&gt;4,MIN('Top 15'!$B$35:$E$35)&lt;0,SUM('Top 15'!$B$35:$E$35)&lt;=0),"",ROUND(85*(O2156/30*'Top 15'!$B$35+P2156/25*'Top 15'!$C$35+Q2156/25*'Top 15'!$D$35+R2156/5*'Top 15'!$E$35)/SUM('Top 15'!$B$35:$E$35),6))</x:f>
        <x:v>45</x:v>
      </x:c>
      <x:c r="U2156" s="1" t="str">
        <x:f>IF(A2156="","",IF(AND(M2156="Verified",N2156="Verified"),"Verified",IF(AND(M2156="Listed",N2156="Listed"),"Listed","Mixed")))</x:f>
        <x:v>Listed</x:v>
      </x:c>
      <x:c r="V2156" s="1" t="str">
        <x:f>IF(A2156="","",IF(AK2156&lt;&gt;1,"Duplicate source ID",IF(COUNTIFS('Staff Review'!$A$8:$A$507,A2156)&gt;1,"Duplicate review ID",IF(H2156&lt;&gt;"Yes","Outside scope",IF(J2156="Yes","Already served",IF(NOT(ISNUMBER(T2156)),"Missing data","Candidate"))))))</x:f>
        <x:v>Candidate</x:v>
      </x:c>
      <x:c r="W2156" s="1" t="n">
        <x:f>IF(AL2156=0,"",1+COUNTIFS($AL$2051:$AL$2550,1,$T$2051:$T$2550,"&gt;"&amp;T2156)+COUNTIFS($AL$2051:$AL$2550,1,$T$2051:$T$2550,T2156,$G$2051:$G$2550,"&gt;"&amp;G2156)+COUNTIFS($AL$2051:$AL$2550,1,$T$2051:$T$2550,T2156,$G$2051:$G$2550,G2156,$F$2051:$F$2550,"&gt;"&amp;F2156)+COUNTIFS($AL$2051:$AL$2550,1,$T$2051:$T$2550,T2156,$G$2051:$G$2550,G2156,$F$2051:$F$2550,F2156,$AM$2051:$AM$2550,"&lt;"&amp;AM2156))</x:f>
        <x:v>76</x:v>
      </x:c>
      <x:c r="X2156" s="1" t="n">
        <x:f>IF(AL2156=0,"",1+COUNTIFS($AL$2051:$AL$2550,1,$T$2051:$T$2550,"&gt;"&amp;T2156))</x:f>
        <x:v>74</x:v>
      </x:c>
      <x:c r="Y2156" s="1" t="n">
        <x:f>IF(AND(H2156="Yes",OR(LEN('School Search'!$B$5)=0,ISNUMBER(SEARCH('School Search'!$B$5,B2156&amp;" "&amp;E2156&amp;" "&amp;A2156))),OR('School Search'!$D$5="All",C2156='School Search'!$D$5),OR('School Search'!$G$5="All eligible",AND('School Search'!$G$5="Not marked served",J2156&lt;&gt;"Yes"),AND('School Search'!$G$5="Missing data",V2156="Missing data"),AND('School Search'!$G$5="Marked served",J2156="Yes"))),1,0)</x:f>
        <x:v>1</x:v>
      </x:c>
      <x:c r="Z2156" s="1" t="n">
        <x:f>IF(Y2156=0,"",COUNTIFS($Y$2051:$Y$2550,1,$AO$2051:$AO$2550,"&lt;"&amp;AO2156)+COUNTIFS($Y$2051:Y2156,1,$AO$2051:AO2156,AO2156))</x:f>
        <x:v>76</x:v>
      </x:c>
      <x:c r="AA2156" s="1" t="str">
        <x:f>IF(NOT(ISNUMBER(S2156)),"Missing demographic or access input",TEXT(G2156,"0%")&amp;" economic need; "&amp;TEXT(K2156,"0.00")&amp;" mi fresh access; "&amp;L2156&amp;" nearby resources")</x:f>
        <x:v>80% economic need; 0.75 mi fresh access; 7 nearby resources</x:v>
      </x:c>
      <x:c r="AB2156" s="1" t="n">
        <x:f>IF(OR(A2156="",COUNTIFS($A$1531:$A$2030,A2156)&lt;&gt;1),0,MATCH(A2156,$A$1531:$A$2030,0))</x:f>
        <x:v>106</x:v>
      </x:c>
      <x:c r="AC2156" s="1" t="str">
        <x:f>IF(AB2156=0,"",INDEX($E$1531:$E$2030,AB2156))</x:f>
        <x:v>Walmart 5891</x:v>
      </x:c>
      <x:c r="AD2156" s="1" t="str">
        <x:f>IF(AB2156=0,"",INDEX($F$1531:$F$2030,AB2156))</x:f>
        <x:v>2200 Wheatsheaf Ln, Philadelphia, PA, 19137</x:v>
      </x:c>
      <x:c r="AE2156" s="1" t="str">
        <x:f>IF(A2156="","",F107)</x:f>
        <x:v>4300 TACONY ST</x:v>
      </x:c>
      <x:c r="AF2156" s="1" t="n">
        <x:f>IF(ISNUMBER(I107),I107,"")</x:f>
        <x:v>40.00719991</x:v>
      </x:c>
      <x:c r="AG2156" s="1" t="n">
        <x:f>IF(ISNUMBER(J107),J107,"")</x:f>
        <x:v>-75.08240619</x:v>
      </x:c>
      <x:c r="AH2156" s="1" t="str">
        <x:f>IF(I2156=0,"Not contacted",IF(INDEX('Staff Review'!$J$8:$J$507,I2156)="","Not contacted",INDEX('Staff Review'!$J$8:$J$507,I2156)))</x:f>
        <x:v>Not contacted</x:v>
      </x:c>
      <x:c r="AI2156" s="1" t="str">
        <x:f>IF(I2156=0,"No",IF(AND(COUNT(INDEX('Staff Review'!$D$8:$D$507,I2156))=1,INDEX('Staff Review'!$D$8:$D$507,I2156)&gt;=0,COUNT(INDEX('Staff Review'!$E$8:$E$507,I2156))=1,INDEX('Staff Review'!$E$8:$E$507,I2156)&gt;0,INDEX('Staff Review'!$E$8:$E$507,I2156)&lt;='Top 15'!$E$5,'Top 15'!$E$5-INDEX('Staff Review'!$E$8:$E$507,I2156)&lt;='Top 15'!$H$5,LEN(INDEX('Staff Review'!$H$8:$H$507,I2156))&gt;0),"Yes","No"))</x:f>
        <x:v>No</x:v>
      </x:c>
      <x:c r="AJ2156" s="1" t="str">
        <x:f>IF(I2156=0,"No",IF(COUNT(INDEX('Staff Review'!$F$8:$F$507,I2156))&lt;&gt;1,"No",IF(AND(INDEX('Staff Review'!$F$8:$F$507,I2156)&gt;=0,MOD(INDEX('Staff Review'!$F$8:$F$507,I2156),1)=0,COUNT(INDEX('Staff Review'!$G$8:$G$507,I2156))=1,INDEX('Staff Review'!$G$8:$G$507,I2156)&gt;0,INDEX('Staff Review'!$G$8:$G$507,I2156)&lt;='Top 15'!$E$5,'Top 15'!$E$5-INDEX('Staff Review'!$G$8:$G$507,I2156)&lt;='Top 15'!$H$5,LEN(INDEX('Staff Review'!$H$8:$H$507,I2156))&gt;0),"Yes","No")))</x:f>
        <x:v>No</x:v>
      </x:c>
      <x:c r="AK2156" s="1" t="n">
        <x:f>IF(A2156="",0,COUNTIFS($A$2:$A$501,A2156))</x:f>
        <x:v>1</x:v>
      </x:c>
      <x:c r="AL2156" s="1" t="n">
        <x:f>IF(V2156="Candidate",1,0)</x:f>
        <x:v>1</x:v>
      </x:c>
      <x:c r="AM2156" s="1" t="n">
        <x:f>IF(A2156="",0,VALUE(A2156))</x:f>
        <x:v>3364</x:v>
      </x:c>
      <x:c r="AN2156" s="1" t="n">
        <x:f>IF(OR(A2156="",COUNTIFS($T$41:$T$540,A2156)&lt;&gt;1),0,MATCH(A2156,$T$41:$T$540,0))</x:f>
        <x:v>106</x:v>
      </x:c>
      <x:c r="AO2156" t="n">
        <x:f>IF(ISNUMBER(W2156),W2156,10000+AM2156)</x:f>
        <x:v>76</x:v>
      </x:c>
    </x:row>
    <x:row r="2157" ht="22" customHeight="1">
      <x:c r="A2157" s="1" t="str">
        <x:f>IF(A108="","",A108)</x:f>
        <x:v>3365</x:v>
      </x:c>
      <x:c r="B2157" s="1" t="str">
        <x:f>IF(A2157="","",B108)</x:f>
        <x:v>Green Woods Charter School</x:v>
      </x:c>
      <x:c r="C2157" s="1" t="str">
        <x:f>IF(A2157="","",C108)</x:f>
        <x:v>Charter</x:v>
      </x:c>
      <x:c r="D2157" s="1" t="str">
        <x:f>IF(A2157="","",E108)</x:f>
        <x:v>Elementary-Middle</x:v>
      </x:c>
      <x:c r="E2157" s="1" t="str">
        <x:f>IF(A2157="","",H108)</x:f>
        <x:v>19128</x:v>
      </x:c>
      <x:c r="F2157" s="1" t="n">
        <x:f>IF(ISNUMBER(K108),K108,"")</x:f>
        <x:v>716</x:v>
      </x:c>
      <x:c r="G2157" s="1" t="n">
        <x:f>IF(ISNUMBER(L108),L108,"")</x:f>
        <x:v>0.3229</x:v>
      </x:c>
      <x:c r="H2157" s="1" t="str">
        <x:f>IF(A2157="","",IF(AND(UPPER(G108)="PHILADELPHIA",OR(C2157="District",AND(C2157="Charter",D108="Yes"))),"Yes","No"))</x:f>
        <x:v>Yes</x:v>
      </x:c>
      <x:c r="I2157" s="1" t="n">
        <x:f>IF(OR(A2157="",COUNTIFS('Staff Review'!$A$8:$A$507,A2157)&lt;&gt;1),0,MATCH(A2157,'Staff Review'!$A$8:$A$507,0))</x:f>
        <x:v>103</x:v>
      </x:c>
      <x:c r="J2157" s="1" t="str">
        <x:f>IF(I2157=0,"No",IF(INDEX('Staff Review'!$C$8:$C$507,I2157)="Yes","Yes","No"))</x:f>
        <x:v>No</x:v>
      </x:c>
      <x:c r="K2157" s="1" t="n">
        <x:f>IF(AI2157="Yes",INDEX('Staff Review'!$D$8:$D$507,I2157),IF(AB2157=0,"",IF(COUNT(INDEX($C$1531:$C$2030,AB2157))=1,INDEX($C$1531:$C$2030,AB2157),"")))</x:f>
        <x:v>0.13618843029652308</x:v>
      </x:c>
      <x:c r="L2157" s="1" t="n">
        <x:f>IF(AJ2157="Yes",INDEX('Staff Review'!$F$8:$F$507,I2157),IF(AB2157=0,"",IF(COUNT(INDEX($G$1531:$G$2030,AB2157))=1,INDEX($G$1531:$G$2030,AB2157),"")))</x:f>
        <x:v>0</x:v>
      </x:c>
      <x:c r="M2157" s="1" t="str">
        <x:f>IF(A2157="","",IF(AI2157="Yes","Verified","Listed"))</x:f>
        <x:v>Listed</x:v>
      </x:c>
      <x:c r="N2157" s="1" t="str">
        <x:f>IF(A2157="","",IF(AJ2157="Yes","Verified","Listed"))</x:f>
        <x:v>Listed</x:v>
      </x:c>
      <x:c r="O2157" s="1" t="n">
        <x:f>IF(AND(ISNUMBER(G2157),G2157&gt;=0,G2157&lt;=1),IF(G2157&gt;=0.9,30,IF(G2157&gt;=0.8,25,IF(G2157&gt;=0.7,20,IF(G2157&gt;=0.6,15,IF(G2157&gt;=0.5,10,IF(G2157&gt;=0.4,5,0)))))),"")</x:f>
        <x:v>0</x:v>
      </x:c>
      <x:c r="P2157" s="1" t="n">
        <x:f>IF(ISNUMBER(K2157),IF(K2157&lt;0,"",IF(K2157&gt;1,25,IF(K2157&gt;=0.75,20,IF(K2157&gt;=0.5,15,IF(K2157&gt;=0.25,10,5))))),"")</x:f>
        <x:v>5</x:v>
      </x:c>
      <x:c r="Q2157" s="1" t="n">
        <x:f>IF(NOT(ISNUMBER(L2157)),"",IF(AND(L2157&gt;=0,MOD(L2157,1)=0),MAX(0,25-5*L2157),""))</x:f>
        <x:v>25</x:v>
      </x:c>
      <x:c r="R2157" s="1" t="n">
        <x:f>IF(NOT(ISNUMBER(F2157)),"",IF(AND(F2157&gt;0,MOD(F2157,1)=0),IF(F2157&gt;=700,5,IF(F2157&gt;=500,4,IF(F2157&gt;=350,3,IF(F2157&gt;=200,2,1)))),""))</x:f>
        <x:v>5</x:v>
      </x:c>
      <x:c r="S2157" s="1" t="n">
        <x:f>IF(COUNT(O2157:R2157)=4,SUM(O2157:R2157),"")</x:f>
        <x:v>35</x:v>
      </x:c>
      <x:c r="T2157" s="1" t="n">
        <x:f>IF(OR(COUNT(O2157:R2157)&lt;&gt;4,COUNT('Top 15'!$B$35:$E$35)&lt;&gt;4,MIN('Top 15'!$B$35:$E$35)&lt;0,SUM('Top 15'!$B$35:$E$35)&lt;=0),"",ROUND(85*(O2157/30*'Top 15'!$B$35+P2157/25*'Top 15'!$C$35+Q2157/25*'Top 15'!$D$35+R2157/5*'Top 15'!$E$35)/SUM('Top 15'!$B$35:$E$35),6))</x:f>
        <x:v>35</x:v>
      </x:c>
      <x:c r="U2157" s="1" t="str">
        <x:f>IF(A2157="","",IF(AND(M2157="Verified",N2157="Verified"),"Verified",IF(AND(M2157="Listed",N2157="Listed"),"Listed","Mixed")))</x:f>
        <x:v>Listed</x:v>
      </x:c>
      <x:c r="V2157" s="1" t="str">
        <x:f>IF(A2157="","",IF(AK2157&lt;&gt;1,"Duplicate source ID",IF(COUNTIFS('Staff Review'!$A$8:$A$507,A2157)&gt;1,"Duplicate review ID",IF(H2157&lt;&gt;"Yes","Outside scope",IF(J2157="Yes","Already served",IF(NOT(ISNUMBER(T2157)),"Missing data","Candidate"))))))</x:f>
        <x:v>Candidate</x:v>
      </x:c>
      <x:c r="W2157" s="1" t="n">
        <x:f>IF(AL2157=0,"",1+COUNTIFS($AL$2051:$AL$2550,1,$T$2051:$T$2550,"&gt;"&amp;T2157)+COUNTIFS($AL$2051:$AL$2550,1,$T$2051:$T$2550,T2157,$G$2051:$G$2550,"&gt;"&amp;G2157)+COUNTIFS($AL$2051:$AL$2550,1,$T$2051:$T$2550,T2157,$G$2051:$G$2550,G2157,$F$2051:$F$2550,"&gt;"&amp;F2157)+COUNTIFS($AL$2051:$AL$2550,1,$T$2051:$T$2550,T2157,$G$2051:$G$2550,G2157,$F$2051:$F$2550,F2157,$AM$2051:$AM$2550,"&lt;"&amp;AM2157))</x:f>
        <x:v>220</x:v>
      </x:c>
      <x:c r="X2157" s="1" t="n">
        <x:f>IF(AL2157=0,"",1+COUNTIFS($AL$2051:$AL$2550,1,$T$2051:$T$2550,"&gt;"&amp;T2157))</x:f>
        <x:v>210</x:v>
      </x:c>
      <x:c r="Y2157" s="1" t="n">
        <x:f>IF(AND(H2157="Yes",OR(LEN('School Search'!$B$5)=0,ISNUMBER(SEARCH('School Search'!$B$5,B2157&amp;" "&amp;E2157&amp;" "&amp;A2157))),OR('School Search'!$D$5="All",C2157='School Search'!$D$5),OR('School Search'!$G$5="All eligible",AND('School Search'!$G$5="Not marked served",J2157&lt;&gt;"Yes"),AND('School Search'!$G$5="Missing data",V2157="Missing data"),AND('School Search'!$G$5="Marked served",J2157="Yes"))),1,0)</x:f>
        <x:v>1</x:v>
      </x:c>
      <x:c r="Z2157" s="1" t="n">
        <x:f>IF(Y2157=0,"",COUNTIFS($Y$2051:$Y$2550,1,$AO$2051:$AO$2550,"&lt;"&amp;AO2157)+COUNTIFS($Y$2051:Y2157,1,$AO$2051:AO2157,AO2157))</x:f>
        <x:v>220</x:v>
      </x:c>
      <x:c r="AA2157" s="1" t="str">
        <x:f>IF(NOT(ISNUMBER(S2157)),"Missing demographic or access input",TEXT(G2157,"0%")&amp;" economic need; "&amp;TEXT(K2157,"0.00")&amp;" mi fresh access; "&amp;L2157&amp;" nearby resources")</x:f>
        <x:v>32% economic need; 0.14 mi fresh access; 0 nearby resources</x:v>
      </x:c>
      <x:c r="AB2157" s="1" t="n">
        <x:f>IF(OR(A2157="",COUNTIFS($A$1531:$A$2030,A2157)&lt;&gt;1),0,MATCH(A2157,$A$1531:$A$2030,0))</x:f>
        <x:v>107</x:v>
      </x:c>
      <x:c r="AC2157" s="1" t="str">
        <x:f>IF(AB2157=0,"",INDEX($E$1531:$E$2030,AB2157))</x:f>
        <x:v>Target 3247</x:v>
      </x:c>
      <x:c r="AD2157" s="1" t="str">
        <x:f>IF(AB2157=0,"",INDEX($F$1531:$F$2030,AB2157))</x:f>
        <x:v>7162 Ridge Ave, Philadelphia, PA, 19128</x:v>
      </x:c>
      <x:c r="AE2157" s="1" t="str">
        <x:f>IF(A2157="","",F108)</x:f>
        <x:v>468 DOMINO LN</x:v>
      </x:c>
      <x:c r="AF2157" s="1" t="n">
        <x:f>IF(ISNUMBER(I108),I108,"")</x:f>
        <x:v>40.04416378</x:v>
      </x:c>
      <x:c r="AG2157" s="1" t="n">
        <x:f>IF(ISNUMBER(J108),J108,"")</x:f>
        <x:v>-75.23385852</x:v>
      </x:c>
      <x:c r="AH2157" s="1" t="str">
        <x:f>IF(I2157=0,"Not contacted",IF(INDEX('Staff Review'!$J$8:$J$507,I2157)="","Not contacted",INDEX('Staff Review'!$J$8:$J$507,I2157)))</x:f>
        <x:v>Not contacted</x:v>
      </x:c>
      <x:c r="AI2157" s="1" t="str">
        <x:f>IF(I2157=0,"No",IF(AND(COUNT(INDEX('Staff Review'!$D$8:$D$507,I2157))=1,INDEX('Staff Review'!$D$8:$D$507,I2157)&gt;=0,COUNT(INDEX('Staff Review'!$E$8:$E$507,I2157))=1,INDEX('Staff Review'!$E$8:$E$507,I2157)&gt;0,INDEX('Staff Review'!$E$8:$E$507,I2157)&lt;='Top 15'!$E$5,'Top 15'!$E$5-INDEX('Staff Review'!$E$8:$E$507,I2157)&lt;='Top 15'!$H$5,LEN(INDEX('Staff Review'!$H$8:$H$507,I2157))&gt;0),"Yes","No"))</x:f>
        <x:v>No</x:v>
      </x:c>
      <x:c r="AJ2157" s="1" t="str">
        <x:f>IF(I2157=0,"No",IF(COUNT(INDEX('Staff Review'!$F$8:$F$507,I2157))&lt;&gt;1,"No",IF(AND(INDEX('Staff Review'!$F$8:$F$507,I2157)&gt;=0,MOD(INDEX('Staff Review'!$F$8:$F$507,I2157),1)=0,COUNT(INDEX('Staff Review'!$G$8:$G$507,I2157))=1,INDEX('Staff Review'!$G$8:$G$507,I2157)&gt;0,INDEX('Staff Review'!$G$8:$G$507,I2157)&lt;='Top 15'!$E$5,'Top 15'!$E$5-INDEX('Staff Review'!$G$8:$G$507,I2157)&lt;='Top 15'!$H$5,LEN(INDEX('Staff Review'!$H$8:$H$507,I2157))&gt;0),"Yes","No")))</x:f>
        <x:v>No</x:v>
      </x:c>
      <x:c r="AK2157" s="1" t="n">
        <x:f>IF(A2157="",0,COUNTIFS($A$2:$A$501,A2157))</x:f>
        <x:v>1</x:v>
      </x:c>
      <x:c r="AL2157" s="1" t="n">
        <x:f>IF(V2157="Candidate",1,0)</x:f>
        <x:v>1</x:v>
      </x:c>
      <x:c r="AM2157" s="1" t="n">
        <x:f>IF(A2157="",0,VALUE(A2157))</x:f>
        <x:v>3365</x:v>
      </x:c>
      <x:c r="AN2157" s="1" t="n">
        <x:f>IF(OR(A2157="",COUNTIFS($T$41:$T$540,A2157)&lt;&gt;1),0,MATCH(A2157,$T$41:$T$540,0))</x:f>
        <x:v>107</x:v>
      </x:c>
      <x:c r="AO2157" t="n">
        <x:f>IF(ISNUMBER(W2157),W2157,10000+AM2157)</x:f>
        <x:v>220</x:v>
      </x:c>
    </x:row>
    <x:row r="2158" ht="22" customHeight="1">
      <x:c r="A2158" s="1" t="str">
        <x:f>IF(A109="","",A109)</x:f>
        <x:v>3366</x:v>
      </x:c>
      <x:c r="B2158" s="1" t="str">
        <x:f>IF(A2158="","",B109)</x:f>
        <x:v>Maritime Academy Charter School</x:v>
      </x:c>
      <x:c r="C2158" s="1" t="str">
        <x:f>IF(A2158="","",C109)</x:f>
        <x:v>Charter</x:v>
      </x:c>
      <x:c r="D2158" s="1" t="str">
        <x:f>IF(A2158="","",E109)</x:f>
        <x:v>Elementary-Middle-High</x:v>
      </x:c>
      <x:c r="E2158" s="1" t="str">
        <x:f>IF(A2158="","",H109)</x:f>
        <x:v>19137</x:v>
      </x:c>
      <x:c r="F2158" s="1" t="n">
        <x:f>IF(ISNUMBER(K109),K109,"")</x:f>
        <x:v>833</x:v>
      </x:c>
      <x:c r="G2158" s="1" t="n">
        <x:f>IF(ISNUMBER(L109),L109,"")</x:f>
        <x:v>0.8828</x:v>
      </x:c>
      <x:c r="H2158" s="1" t="str">
        <x:f>IF(A2158="","",IF(AND(UPPER(G109)="PHILADELPHIA",OR(C2158="District",AND(C2158="Charter",D109="Yes"))),"Yes","No"))</x:f>
        <x:v>Yes</x:v>
      </x:c>
      <x:c r="I2158" s="1" t="n">
        <x:f>IF(OR(A2158="",COUNTIFS('Staff Review'!$A$8:$A$507,A2158)&lt;&gt;1),0,MATCH(A2158,'Staff Review'!$A$8:$A$507,0))</x:f>
        <x:v>175</x:v>
      </x:c>
      <x:c r="J2158" s="1" t="str">
        <x:f>IF(I2158=0,"No",IF(INDEX('Staff Review'!$C$8:$C$507,I2158)="Yes","Yes","No"))</x:f>
        <x:v>No</x:v>
      </x:c>
      <x:c r="K2158" s="1" t="n">
        <x:f>IF(AI2158="Yes",INDEX('Staff Review'!$D$8:$D$507,I2158),IF(AB2158=0,"",IF(COUNT(INDEX($C$1531:$C$2030,AB2158))=1,INDEX($C$1531:$C$2030,AB2158),"")))</x:f>
        <x:v>0.27346367730613097</x:v>
      </x:c>
      <x:c r="L2158" s="1" t="n">
        <x:f>IF(AJ2158="Yes",INDEX('Staff Review'!$F$8:$F$507,I2158),IF(AB2158=0,"",IF(COUNT(INDEX($G$1531:$G$2030,AB2158))=1,INDEX($G$1531:$G$2030,AB2158),"")))</x:f>
        <x:v>6</x:v>
      </x:c>
      <x:c r="M2158" s="1" t="str">
        <x:f>IF(A2158="","",IF(AI2158="Yes","Verified","Listed"))</x:f>
        <x:v>Listed</x:v>
      </x:c>
      <x:c r="N2158" s="1" t="str">
        <x:f>IF(A2158="","",IF(AJ2158="Yes","Verified","Listed"))</x:f>
        <x:v>Listed</x:v>
      </x:c>
      <x:c r="O2158" s="1" t="n">
        <x:f>IF(AND(ISNUMBER(G2158),G2158&gt;=0,G2158&lt;=1),IF(G2158&gt;=0.9,30,IF(G2158&gt;=0.8,25,IF(G2158&gt;=0.7,20,IF(G2158&gt;=0.6,15,IF(G2158&gt;=0.5,10,IF(G2158&gt;=0.4,5,0)))))),"")</x:f>
        <x:v>25</x:v>
      </x:c>
      <x:c r="P2158" s="1" t="n">
        <x:f>IF(ISNUMBER(K2158),IF(K2158&lt;0,"",IF(K2158&gt;1,25,IF(K2158&gt;=0.75,20,IF(K2158&gt;=0.5,15,IF(K2158&gt;=0.25,10,5))))),"")</x:f>
        <x:v>10</x:v>
      </x:c>
      <x:c r="Q2158" s="1" t="n">
        <x:f>IF(NOT(ISNUMBER(L2158)),"",IF(AND(L2158&gt;=0,MOD(L2158,1)=0),MAX(0,25-5*L2158),""))</x:f>
        <x:v>0</x:v>
      </x:c>
      <x:c r="R2158" s="1" t="n">
        <x:f>IF(NOT(ISNUMBER(F2158)),"",IF(AND(F2158&gt;0,MOD(F2158,1)=0),IF(F2158&gt;=700,5,IF(F2158&gt;=500,4,IF(F2158&gt;=350,3,IF(F2158&gt;=200,2,1)))),""))</x:f>
        <x:v>5</x:v>
      </x:c>
      <x:c r="S2158" s="1" t="n">
        <x:f>IF(COUNT(O2158:R2158)=4,SUM(O2158:R2158),"")</x:f>
        <x:v>40</x:v>
      </x:c>
      <x:c r="T2158" s="1" t="n">
        <x:f>IF(OR(COUNT(O2158:R2158)&lt;&gt;4,COUNT('Top 15'!$B$35:$E$35)&lt;&gt;4,MIN('Top 15'!$B$35:$E$35)&lt;0,SUM('Top 15'!$B$35:$E$35)&lt;=0),"",ROUND(85*(O2158/30*'Top 15'!$B$35+P2158/25*'Top 15'!$C$35+Q2158/25*'Top 15'!$D$35+R2158/5*'Top 15'!$E$35)/SUM('Top 15'!$B$35:$E$35),6))</x:f>
        <x:v>40</x:v>
      </x:c>
      <x:c r="U2158" s="1" t="str">
        <x:f>IF(A2158="","",IF(AND(M2158="Verified",N2158="Verified"),"Verified",IF(AND(M2158="Listed",N2158="Listed"),"Listed","Mixed")))</x:f>
        <x:v>Listed</x:v>
      </x:c>
      <x:c r="V2158" s="1" t="str">
        <x:f>IF(A2158="","",IF(AK2158&lt;&gt;1,"Duplicate source ID",IF(COUNTIFS('Staff Review'!$A$8:$A$507,A2158)&gt;1,"Duplicate review ID",IF(H2158&lt;&gt;"Yes","Outside scope",IF(J2158="Yes","Already served",IF(NOT(ISNUMBER(T2158)),"Missing data","Candidate"))))))</x:f>
        <x:v>Candidate</x:v>
      </x:c>
      <x:c r="W2158" s="1" t="n">
        <x:f>IF(AL2158=0,"",1+COUNTIFS($AL$2051:$AL$2550,1,$T$2051:$T$2550,"&gt;"&amp;T2158)+COUNTIFS($AL$2051:$AL$2550,1,$T$2051:$T$2550,T2158,$G$2051:$G$2550,"&gt;"&amp;G2158)+COUNTIFS($AL$2051:$AL$2550,1,$T$2051:$T$2550,T2158,$G$2051:$G$2550,G2158,$F$2051:$F$2550,"&gt;"&amp;F2158)+COUNTIFS($AL$2051:$AL$2550,1,$T$2051:$T$2550,T2158,$G$2051:$G$2550,G2158,$F$2051:$F$2550,F2158,$AM$2051:$AM$2550,"&lt;"&amp;AM2158))</x:f>
        <x:v>135</x:v>
      </x:c>
      <x:c r="X2158" s="1" t="n">
        <x:f>IF(AL2158=0,"",1+COUNTIFS($AL$2051:$AL$2550,1,$T$2051:$T$2550,"&gt;"&amp;T2158))</x:f>
        <x:v>133</x:v>
      </x:c>
      <x:c r="Y2158" s="1" t="n">
        <x:f>IF(AND(H2158="Yes",OR(LEN('School Search'!$B$5)=0,ISNUMBER(SEARCH('School Search'!$B$5,B2158&amp;" "&amp;E2158&amp;" "&amp;A2158))),OR('School Search'!$D$5="All",C2158='School Search'!$D$5),OR('School Search'!$G$5="All eligible",AND('School Search'!$G$5="Not marked served",J2158&lt;&gt;"Yes"),AND('School Search'!$G$5="Missing data",V2158="Missing data"),AND('School Search'!$G$5="Marked served",J2158="Yes"))),1,0)</x:f>
        <x:v>1</x:v>
      </x:c>
      <x:c r="Z2158" s="1" t="n">
        <x:f>IF(Y2158=0,"",COUNTIFS($Y$2051:$Y$2550,1,$AO$2051:$AO$2550,"&lt;"&amp;AO2158)+COUNTIFS($Y$2051:Y2158,1,$AO$2051:AO2158,AO2158))</x:f>
        <x:v>135</x:v>
      </x:c>
      <x:c r="AA2158" s="1" t="str">
        <x:f>IF(NOT(ISNUMBER(S2158)),"Missing demographic or access input",TEXT(G2158,"0%")&amp;" economic need; "&amp;TEXT(K2158,"0.00")&amp;" mi fresh access; "&amp;L2158&amp;" nearby resources")</x:f>
        <x:v>88% economic need; 0.27 mi fresh access; 6 nearby resources</x:v>
      </x:c>
      <x:c r="AB2158" s="1" t="n">
        <x:f>IF(OR(A2158="",COUNTIFS($A$1531:$A$2030,A2158)&lt;&gt;1),0,MATCH(A2158,$A$1531:$A$2030,0))</x:f>
        <x:v>108</x:v>
      </x:c>
      <x:c r="AC2158" s="1" t="str">
        <x:f>IF(AB2158=0,"",INDEX($E$1531:$E$2030,AB2158))</x:f>
        <x:v>ShopRite of Bridge and Harbison 495</x:v>
      </x:c>
      <x:c r="AD2158" s="1" t="str">
        <x:f>IF(AB2158=0,"",INDEX($F$1531:$F$2030,AB2158))</x:f>
        <x:v>5597 Tulip St, Philadelphia, PA, 19124</x:v>
      </x:c>
      <x:c r="AE2158" s="1" t="str">
        <x:f>IF(A2158="","",F109)</x:f>
        <x:v>2275 BRIDGE ST</x:v>
      </x:c>
      <x:c r="AF2158" s="1" t="n">
        <x:f>IF(ISNUMBER(I109),I109,"")</x:f>
        <x:v>40.007862</x:v>
      </x:c>
      <x:c r="AG2158" s="1" t="n">
        <x:f>IF(ISNUMBER(J109),J109,"")</x:f>
        <x:v>-75.068318</x:v>
      </x:c>
      <x:c r="AH2158" s="1" t="str">
        <x:f>IF(I2158=0,"Not contacted",IF(INDEX('Staff Review'!$J$8:$J$507,I2158)="","Not contacted",INDEX('Staff Review'!$J$8:$J$507,I2158)))</x:f>
        <x:v>Not contacted</x:v>
      </x:c>
      <x:c r="AI2158" s="1" t="str">
        <x:f>IF(I2158=0,"No",IF(AND(COUNT(INDEX('Staff Review'!$D$8:$D$507,I2158))=1,INDEX('Staff Review'!$D$8:$D$507,I2158)&gt;=0,COUNT(INDEX('Staff Review'!$E$8:$E$507,I2158))=1,INDEX('Staff Review'!$E$8:$E$507,I2158)&gt;0,INDEX('Staff Review'!$E$8:$E$507,I2158)&lt;='Top 15'!$E$5,'Top 15'!$E$5-INDEX('Staff Review'!$E$8:$E$507,I2158)&lt;='Top 15'!$H$5,LEN(INDEX('Staff Review'!$H$8:$H$507,I2158))&gt;0),"Yes","No"))</x:f>
        <x:v>No</x:v>
      </x:c>
      <x:c r="AJ2158" s="1" t="str">
        <x:f>IF(I2158=0,"No",IF(COUNT(INDEX('Staff Review'!$F$8:$F$507,I2158))&lt;&gt;1,"No",IF(AND(INDEX('Staff Review'!$F$8:$F$507,I2158)&gt;=0,MOD(INDEX('Staff Review'!$F$8:$F$507,I2158),1)=0,COUNT(INDEX('Staff Review'!$G$8:$G$507,I2158))=1,INDEX('Staff Review'!$G$8:$G$507,I2158)&gt;0,INDEX('Staff Review'!$G$8:$G$507,I2158)&lt;='Top 15'!$E$5,'Top 15'!$E$5-INDEX('Staff Review'!$G$8:$G$507,I2158)&lt;='Top 15'!$H$5,LEN(INDEX('Staff Review'!$H$8:$H$507,I2158))&gt;0),"Yes","No")))</x:f>
        <x:v>No</x:v>
      </x:c>
      <x:c r="AK2158" s="1" t="n">
        <x:f>IF(A2158="",0,COUNTIFS($A$2:$A$501,A2158))</x:f>
        <x:v>1</x:v>
      </x:c>
      <x:c r="AL2158" s="1" t="n">
        <x:f>IF(V2158="Candidate",1,0)</x:f>
        <x:v>1</x:v>
      </x:c>
      <x:c r="AM2158" s="1" t="n">
        <x:f>IF(A2158="",0,VALUE(A2158))</x:f>
        <x:v>3366</x:v>
      </x:c>
      <x:c r="AN2158" s="1" t="n">
        <x:f>IF(OR(A2158="",COUNTIFS($T$41:$T$540,A2158)&lt;&gt;1),0,MATCH(A2158,$T$41:$T$540,0))</x:f>
        <x:v>108</x:v>
      </x:c>
      <x:c r="AO2158" t="n">
        <x:f>IF(ISNUMBER(W2158),W2158,10000+AM2158)</x:f>
        <x:v>135</x:v>
      </x:c>
    </x:row>
    <x:row r="2159" ht="22" customHeight="1">
      <x:c r="A2159" s="1" t="str">
        <x:f>IF(A110="","",A110)</x:f>
        <x:v>3368</x:v>
      </x:c>
      <x:c r="B2159" s="1" t="str">
        <x:f>IF(A2159="","",B110)</x:f>
        <x:v>Belmont Elementary Charter School</x:v>
      </x:c>
      <x:c r="C2159" s="1" t="str">
        <x:f>IF(A2159="","",C110)</x:f>
        <x:v>Charter</x:v>
      </x:c>
      <x:c r="D2159" s="1" t="str">
        <x:f>IF(A2159="","",E110)</x:f>
        <x:v>Elementary-Middle-High</x:v>
      </x:c>
      <x:c r="E2159" s="1" t="str">
        <x:f>IF(A2159="","",H110)</x:f>
        <x:v>19104</x:v>
      </x:c>
      <x:c r="F2159" s="1" t="n">
        <x:f>IF(ISNUMBER(K110),K110,"")</x:f>
        <x:v>928</x:v>
      </x:c>
      <x:c r="G2159" s="1" t="n">
        <x:f>IF(ISNUMBER(L110),L110,"")</x:f>
        <x:v>0.7881</x:v>
      </x:c>
      <x:c r="H2159" s="1" t="str">
        <x:f>IF(A2159="","",IF(AND(UPPER(G110)="PHILADELPHIA",OR(C2159="District",AND(C2159="Charter",D110="Yes"))),"Yes","No"))</x:f>
        <x:v>Yes</x:v>
      </x:c>
      <x:c r="I2159" s="1" t="n">
        <x:f>IF(OR(A2159="",COUNTIFS('Staff Review'!$A$8:$A$507,A2159)&lt;&gt;1),0,MATCH(A2159,'Staff Review'!$A$8:$A$507,0))</x:f>
        <x:v>28</x:v>
      </x:c>
      <x:c r="J2159" s="1" t="str">
        <x:f>IF(I2159=0,"No",IF(INDEX('Staff Review'!$C$8:$C$507,I2159)="Yes","Yes","No"))</x:f>
        <x:v>No</x:v>
      </x:c>
      <x:c r="K2159" s="1" t="n">
        <x:f>IF(AI2159="Yes",INDEX('Staff Review'!$D$8:$D$507,I2159),IF(AB2159=0,"",IF(COUNT(INDEX($C$1531:$C$2030,AB2159))=1,INDEX($C$1531:$C$2030,AB2159),"")))</x:f>
        <x:v>0.6838871792685546</x:v>
      </x:c>
      <x:c r="L2159" s="1" t="n">
        <x:f>IF(AJ2159="Yes",INDEX('Staff Review'!$F$8:$F$507,I2159),IF(AB2159=0,"",IF(COUNT(INDEX($G$1531:$G$2030,AB2159))=1,INDEX($G$1531:$G$2030,AB2159),"")))</x:f>
        <x:v>12</x:v>
      </x:c>
      <x:c r="M2159" s="1" t="str">
        <x:f>IF(A2159="","",IF(AI2159="Yes","Verified","Listed"))</x:f>
        <x:v>Listed</x:v>
      </x:c>
      <x:c r="N2159" s="1" t="str">
        <x:f>IF(A2159="","",IF(AJ2159="Yes","Verified","Listed"))</x:f>
        <x:v>Listed</x:v>
      </x:c>
      <x:c r="O2159" s="1" t="n">
        <x:f>IF(AND(ISNUMBER(G2159),G2159&gt;=0,G2159&lt;=1),IF(G2159&gt;=0.9,30,IF(G2159&gt;=0.8,25,IF(G2159&gt;=0.7,20,IF(G2159&gt;=0.6,15,IF(G2159&gt;=0.5,10,IF(G2159&gt;=0.4,5,0)))))),"")</x:f>
        <x:v>20</x:v>
      </x:c>
      <x:c r="P2159" s="1" t="n">
        <x:f>IF(ISNUMBER(K2159),IF(K2159&lt;0,"",IF(K2159&gt;1,25,IF(K2159&gt;=0.75,20,IF(K2159&gt;=0.5,15,IF(K2159&gt;=0.25,10,5))))),"")</x:f>
        <x:v>15</x:v>
      </x:c>
      <x:c r="Q2159" s="1" t="n">
        <x:f>IF(NOT(ISNUMBER(L2159)),"",IF(AND(L2159&gt;=0,MOD(L2159,1)=0),MAX(0,25-5*L2159),""))</x:f>
        <x:v>0</x:v>
      </x:c>
      <x:c r="R2159" s="1" t="n">
        <x:f>IF(NOT(ISNUMBER(F2159)),"",IF(AND(F2159&gt;0,MOD(F2159,1)=0),IF(F2159&gt;=700,5,IF(F2159&gt;=500,4,IF(F2159&gt;=350,3,IF(F2159&gt;=200,2,1)))),""))</x:f>
        <x:v>5</x:v>
      </x:c>
      <x:c r="S2159" s="1" t="n">
        <x:f>IF(COUNT(O2159:R2159)=4,SUM(O2159:R2159),"")</x:f>
        <x:v>40</x:v>
      </x:c>
      <x:c r="T2159" s="1" t="n">
        <x:f>IF(OR(COUNT(O2159:R2159)&lt;&gt;4,COUNT('Top 15'!$B$35:$E$35)&lt;&gt;4,MIN('Top 15'!$B$35:$E$35)&lt;0,SUM('Top 15'!$B$35:$E$35)&lt;=0),"",ROUND(85*(O2159/30*'Top 15'!$B$35+P2159/25*'Top 15'!$C$35+Q2159/25*'Top 15'!$D$35+R2159/5*'Top 15'!$E$35)/SUM('Top 15'!$B$35:$E$35),6))</x:f>
        <x:v>40</x:v>
      </x:c>
      <x:c r="U2159" s="1" t="str">
        <x:f>IF(A2159="","",IF(AND(M2159="Verified",N2159="Verified"),"Verified",IF(AND(M2159="Listed",N2159="Listed"),"Listed","Mixed")))</x:f>
        <x:v>Listed</x:v>
      </x:c>
      <x:c r="V2159" s="1" t="str">
        <x:f>IF(A2159="","",IF(AK2159&lt;&gt;1,"Duplicate source ID",IF(COUNTIFS('Staff Review'!$A$8:$A$507,A2159)&gt;1,"Duplicate review ID",IF(H2159&lt;&gt;"Yes","Outside scope",IF(J2159="Yes","Already served",IF(NOT(ISNUMBER(T2159)),"Missing data","Candidate"))))))</x:f>
        <x:v>Candidate</x:v>
      </x:c>
      <x:c r="W2159" s="1" t="n">
        <x:f>IF(AL2159=0,"",1+COUNTIFS($AL$2051:$AL$2550,1,$T$2051:$T$2550,"&gt;"&amp;T2159)+COUNTIFS($AL$2051:$AL$2550,1,$T$2051:$T$2550,T2159,$G$2051:$G$2550,"&gt;"&amp;G2159)+COUNTIFS($AL$2051:$AL$2550,1,$T$2051:$T$2550,T2159,$G$2051:$G$2550,G2159,$F$2051:$F$2550,"&gt;"&amp;F2159)+COUNTIFS($AL$2051:$AL$2550,1,$T$2051:$T$2550,T2159,$G$2051:$G$2550,G2159,$F$2051:$F$2550,F2159,$AM$2051:$AM$2550,"&lt;"&amp;AM2159))</x:f>
        <x:v>143</x:v>
      </x:c>
      <x:c r="X2159" s="1" t="n">
        <x:f>IF(AL2159=0,"",1+COUNTIFS($AL$2051:$AL$2550,1,$T$2051:$T$2550,"&gt;"&amp;T2159))</x:f>
        <x:v>133</x:v>
      </x:c>
      <x:c r="Y2159" s="1" t="n">
        <x:f>IF(AND(H2159="Yes",OR(LEN('School Search'!$B$5)=0,ISNUMBER(SEARCH('School Search'!$B$5,B2159&amp;" "&amp;E2159&amp;" "&amp;A2159))),OR('School Search'!$D$5="All",C2159='School Search'!$D$5),OR('School Search'!$G$5="All eligible",AND('School Search'!$G$5="Not marked served",J2159&lt;&gt;"Yes"),AND('School Search'!$G$5="Missing data",V2159="Missing data"),AND('School Search'!$G$5="Marked served",J2159="Yes"))),1,0)</x:f>
        <x:v>1</x:v>
      </x:c>
      <x:c r="Z2159" s="1" t="n">
        <x:f>IF(Y2159=0,"",COUNTIFS($Y$2051:$Y$2550,1,$AO$2051:$AO$2550,"&lt;"&amp;AO2159)+COUNTIFS($Y$2051:Y2159,1,$AO$2051:AO2159,AO2159))</x:f>
        <x:v>143</x:v>
      </x:c>
      <x:c r="AA2159" s="1" t="str">
        <x:f>IF(NOT(ISNUMBER(S2159)),"Missing demographic or access input",TEXT(G2159,"0%")&amp;" economic need; "&amp;TEXT(K2159,"0.00")&amp;" mi fresh access; "&amp;L2159&amp;" nearby resources")</x:f>
        <x:v>79% economic need; 0.68 mi fresh access; 12 nearby resources</x:v>
      </x:c>
      <x:c r="AB2159" s="1" t="n">
        <x:f>IF(OR(A2159="",COUNTIFS($A$1531:$A$2030,A2159)&lt;&gt;1),0,MATCH(A2159,$A$1531:$A$2030,0))</x:f>
        <x:v>109</x:v>
      </x:c>
      <x:c r="AC2159" s="1" t="str">
        <x:f>IF(AB2159=0,"",INDEX($E$1531:$E$2030,AB2159))</x:f>
        <x:v>ALDI 54</x:v>
      </x:c>
      <x:c r="AD2159" s="1" t="str">
        <x:f>IF(AB2159=0,"",INDEX($F$1531:$F$2030,AB2159))</x:f>
        <x:v>4421 Market St, Philadelphia, PA, 19104</x:v>
      </x:c>
      <x:c r="AE2159" s="1" t="str">
        <x:f>IF(A2159="","",F110)</x:f>
        <x:v>4030 BROWN ST</x:v>
      </x:c>
      <x:c r="AF2159" s="1" t="n">
        <x:f>IF(ISNUMBER(I110),I110,"")</x:f>
        <x:v>39.96696484</x:v>
      </x:c>
      <x:c r="AG2159" s="1" t="n">
        <x:f>IF(ISNUMBER(J110),J110,"")</x:f>
        <x:v>-75.20487093</x:v>
      </x:c>
      <x:c r="AH2159" s="1" t="str">
        <x:f>IF(I2159=0,"Not contacted",IF(INDEX('Staff Review'!$J$8:$J$507,I2159)="","Not contacted",INDEX('Staff Review'!$J$8:$J$507,I2159)))</x:f>
        <x:v>Not contacted</x:v>
      </x:c>
      <x:c r="AI2159" s="1" t="str">
        <x:f>IF(I2159=0,"No",IF(AND(COUNT(INDEX('Staff Review'!$D$8:$D$507,I2159))=1,INDEX('Staff Review'!$D$8:$D$507,I2159)&gt;=0,COUNT(INDEX('Staff Review'!$E$8:$E$507,I2159))=1,INDEX('Staff Review'!$E$8:$E$507,I2159)&gt;0,INDEX('Staff Review'!$E$8:$E$507,I2159)&lt;='Top 15'!$E$5,'Top 15'!$E$5-INDEX('Staff Review'!$E$8:$E$507,I2159)&lt;='Top 15'!$H$5,LEN(INDEX('Staff Review'!$H$8:$H$507,I2159))&gt;0),"Yes","No"))</x:f>
        <x:v>No</x:v>
      </x:c>
      <x:c r="AJ2159" s="1" t="str">
        <x:f>IF(I2159=0,"No",IF(COUNT(INDEX('Staff Review'!$F$8:$F$507,I2159))&lt;&gt;1,"No",IF(AND(INDEX('Staff Review'!$F$8:$F$507,I2159)&gt;=0,MOD(INDEX('Staff Review'!$F$8:$F$507,I2159),1)=0,COUNT(INDEX('Staff Review'!$G$8:$G$507,I2159))=1,INDEX('Staff Review'!$G$8:$G$507,I2159)&gt;0,INDEX('Staff Review'!$G$8:$G$507,I2159)&lt;='Top 15'!$E$5,'Top 15'!$E$5-INDEX('Staff Review'!$G$8:$G$507,I2159)&lt;='Top 15'!$H$5,LEN(INDEX('Staff Review'!$H$8:$H$507,I2159))&gt;0),"Yes","No")))</x:f>
        <x:v>No</x:v>
      </x:c>
      <x:c r="AK2159" s="1" t="n">
        <x:f>IF(A2159="",0,COUNTIFS($A$2:$A$501,A2159))</x:f>
        <x:v>1</x:v>
      </x:c>
      <x:c r="AL2159" s="1" t="n">
        <x:f>IF(V2159="Candidate",1,0)</x:f>
        <x:v>1</x:v>
      </x:c>
      <x:c r="AM2159" s="1" t="n">
        <x:f>IF(A2159="",0,VALUE(A2159))</x:f>
        <x:v>3368</x:v>
      </x:c>
      <x:c r="AN2159" s="1" t="n">
        <x:f>IF(OR(A2159="",COUNTIFS($T$41:$T$540,A2159)&lt;&gt;1),0,MATCH(A2159,$T$41:$T$540,0))</x:f>
        <x:v>109</x:v>
      </x:c>
      <x:c r="AO2159" t="n">
        <x:f>IF(ISNUMBER(W2159),W2159,10000+AM2159)</x:f>
        <x:v>143</x:v>
      </x:c>
    </x:row>
    <x:row r="2160" ht="22" customHeight="1">
      <x:c r="A2160" s="1" t="str">
        <x:f>IF(A111="","",A111)</x:f>
        <x:v>3370</x:v>
      </x:c>
      <x:c r="B2160" s="1" t="str">
        <x:f>IF(A2160="","",B111)</x:f>
        <x:v>KIPP Philadelphia Charter School</x:v>
      </x:c>
      <x:c r="C2160" s="1" t="str">
        <x:f>IF(A2160="","",C111)</x:f>
        <x:v>Charter</x:v>
      </x:c>
      <x:c r="D2160" s="1" t="str">
        <x:f>IF(A2160="","",E111)</x:f>
        <x:v>Elementary-Middle</x:v>
      </x:c>
      <x:c r="E2160" s="1" t="str">
        <x:f>IF(A2160="","",H111)</x:f>
        <x:v>19132</x:v>
      </x:c>
      <x:c r="F2160" s="1" t="n">
        <x:f>IF(ISNUMBER(K111),K111,"")</x:f>
        <x:v>845</x:v>
      </x:c>
      <x:c r="G2160" s="1" t="n">
        <x:f>IF(ISNUMBER(L111),L111,"")</x:f>
        <x:v>0.6643</x:v>
      </x:c>
      <x:c r="H2160" s="1" t="str">
        <x:f>IF(A2160="","",IF(AND(UPPER(G111)="PHILADELPHIA",OR(C2160="District",AND(C2160="Charter",D111="Yes"))),"Yes","No"))</x:f>
        <x:v>Yes</x:v>
      </x:c>
      <x:c r="I2160" s="1" t="n">
        <x:f>IF(OR(A2160="",COUNTIFS('Staff Review'!$A$8:$A$507,A2160)&lt;&gt;1),0,MATCH(A2160,'Staff Review'!$A$8:$A$507,0))</x:f>
        <x:v>164</x:v>
      </x:c>
      <x:c r="J2160" s="1" t="str">
        <x:f>IF(I2160=0,"No",IF(INDEX('Staff Review'!$C$8:$C$507,I2160)="Yes","Yes","No"))</x:f>
        <x:v>No</x:v>
      </x:c>
      <x:c r="K2160" s="1" t="n">
        <x:f>IF(AI2160="Yes",INDEX('Staff Review'!$D$8:$D$507,I2160),IF(AB2160=0,"",IF(COUNT(INDEX($C$1531:$C$2030,AB2160))=1,INDEX($C$1531:$C$2030,AB2160),"")))</x:f>
        <x:v>0.4278518155031602</x:v>
      </x:c>
      <x:c r="L2160" s="1" t="n">
        <x:f>IF(AJ2160="Yes",INDEX('Staff Review'!$F$8:$F$507,I2160),IF(AB2160=0,"",IF(COUNT(INDEX($G$1531:$G$2030,AB2160))=1,INDEX($G$1531:$G$2030,AB2160),"")))</x:f>
        <x:v>8</x:v>
      </x:c>
      <x:c r="M2160" s="1" t="str">
        <x:f>IF(A2160="","",IF(AI2160="Yes","Verified","Listed"))</x:f>
        <x:v>Listed</x:v>
      </x:c>
      <x:c r="N2160" s="1" t="str">
        <x:f>IF(A2160="","",IF(AJ2160="Yes","Verified","Listed"))</x:f>
        <x:v>Listed</x:v>
      </x:c>
      <x:c r="O2160" s="1" t="n">
        <x:f>IF(AND(ISNUMBER(G2160),G2160&gt;=0,G2160&lt;=1),IF(G2160&gt;=0.9,30,IF(G2160&gt;=0.8,25,IF(G2160&gt;=0.7,20,IF(G2160&gt;=0.6,15,IF(G2160&gt;=0.5,10,IF(G2160&gt;=0.4,5,0)))))),"")</x:f>
        <x:v>15</x:v>
      </x:c>
      <x:c r="P2160" s="1" t="n">
        <x:f>IF(ISNUMBER(K2160),IF(K2160&lt;0,"",IF(K2160&gt;1,25,IF(K2160&gt;=0.75,20,IF(K2160&gt;=0.5,15,IF(K2160&gt;=0.25,10,5))))),"")</x:f>
        <x:v>10</x:v>
      </x:c>
      <x:c r="Q2160" s="1" t="n">
        <x:f>IF(NOT(ISNUMBER(L2160)),"",IF(AND(L2160&gt;=0,MOD(L2160,1)=0),MAX(0,25-5*L2160),""))</x:f>
        <x:v>0</x:v>
      </x:c>
      <x:c r="R2160" s="1" t="n">
        <x:f>IF(NOT(ISNUMBER(F2160)),"",IF(AND(F2160&gt;0,MOD(F2160,1)=0),IF(F2160&gt;=700,5,IF(F2160&gt;=500,4,IF(F2160&gt;=350,3,IF(F2160&gt;=200,2,1)))),""))</x:f>
        <x:v>5</x:v>
      </x:c>
      <x:c r="S2160" s="1" t="n">
        <x:f>IF(COUNT(O2160:R2160)=4,SUM(O2160:R2160),"")</x:f>
        <x:v>30</x:v>
      </x:c>
      <x:c r="T2160" s="1" t="n">
        <x:f>IF(OR(COUNT(O2160:R2160)&lt;&gt;4,COUNT('Top 15'!$B$35:$E$35)&lt;&gt;4,MIN('Top 15'!$B$35:$E$35)&lt;0,SUM('Top 15'!$B$35:$E$35)&lt;=0),"",ROUND(85*(O2160/30*'Top 15'!$B$35+P2160/25*'Top 15'!$C$35+Q2160/25*'Top 15'!$D$35+R2160/5*'Top 15'!$E$35)/SUM('Top 15'!$B$35:$E$35),6))</x:f>
        <x:v>30</x:v>
      </x:c>
      <x:c r="U2160" s="1" t="str">
        <x:f>IF(A2160="","",IF(AND(M2160="Verified",N2160="Verified"),"Verified",IF(AND(M2160="Listed",N2160="Listed"),"Listed","Mixed")))</x:f>
        <x:v>Listed</x:v>
      </x:c>
      <x:c r="V2160" s="1" t="str">
        <x:f>IF(A2160="","",IF(AK2160&lt;&gt;1,"Duplicate source ID",IF(COUNTIFS('Staff Review'!$A$8:$A$507,A2160)&gt;1,"Duplicate review ID",IF(H2160&lt;&gt;"Yes","Outside scope",IF(J2160="Yes","Already served",IF(NOT(ISNUMBER(T2160)),"Missing data","Candidate"))))))</x:f>
        <x:v>Candidate</x:v>
      </x:c>
      <x:c r="W2160" s="1" t="n">
        <x:f>IF(AL2160=0,"",1+COUNTIFS($AL$2051:$AL$2550,1,$T$2051:$T$2550,"&gt;"&amp;T2160)+COUNTIFS($AL$2051:$AL$2550,1,$T$2051:$T$2550,T2160,$G$2051:$G$2550,"&gt;"&amp;G2160)+COUNTIFS($AL$2051:$AL$2550,1,$T$2051:$T$2550,T2160,$G$2051:$G$2550,G2160,$F$2051:$F$2550,"&gt;"&amp;F2160)+COUNTIFS($AL$2051:$AL$2550,1,$T$2051:$T$2550,T2160,$G$2051:$G$2550,G2160,$F$2051:$F$2550,F2160,$AM$2051:$AM$2550,"&lt;"&amp;AM2160))</x:f>
        <x:v>257</x:v>
      </x:c>
      <x:c r="X2160" s="1" t="n">
        <x:f>IF(AL2160=0,"",1+COUNTIFS($AL$2051:$AL$2550,1,$T$2051:$T$2550,"&gt;"&amp;T2160))</x:f>
        <x:v>253</x:v>
      </x:c>
      <x:c r="Y2160" s="1" t="n">
        <x:f>IF(AND(H2160="Yes",OR(LEN('School Search'!$B$5)=0,ISNUMBER(SEARCH('School Search'!$B$5,B2160&amp;" "&amp;E2160&amp;" "&amp;A2160))),OR('School Search'!$D$5="All",C2160='School Search'!$D$5),OR('School Search'!$G$5="All eligible",AND('School Search'!$G$5="Not marked served",J2160&lt;&gt;"Yes"),AND('School Search'!$G$5="Missing data",V2160="Missing data"),AND('School Search'!$G$5="Marked served",J2160="Yes"))),1,0)</x:f>
        <x:v>1</x:v>
      </x:c>
      <x:c r="Z2160" s="1" t="n">
        <x:f>IF(Y2160=0,"",COUNTIFS($Y$2051:$Y$2550,1,$AO$2051:$AO$2550,"&lt;"&amp;AO2160)+COUNTIFS($Y$2051:Y2160,1,$AO$2051:AO2160,AO2160))</x:f>
        <x:v>257</x:v>
      </x:c>
      <x:c r="AA2160" s="1" t="str">
        <x:f>IF(NOT(ISNUMBER(S2160)),"Missing demographic or access input",TEXT(G2160,"0%")&amp;" economic need; "&amp;TEXT(K2160,"0.00")&amp;" mi fresh access; "&amp;L2160&amp;" nearby resources")</x:f>
        <x:v>66% economic need; 0.43 mi fresh access; 8 nearby resources</x:v>
      </x:c>
      <x:c r="AB2160" s="1" t="n">
        <x:f>IF(OR(A2160="",COUNTIFS($A$1531:$A$2030,A2160)&lt;&gt;1),0,MATCH(A2160,$A$1531:$A$2030,0))</x:f>
        <x:v>110</x:v>
      </x:c>
      <x:c r="AC2160" s="1" t="str">
        <x:f>IF(AB2160=0,"",INDEX($E$1531:$E$2030,AB2160))</x:f>
        <x:v>Shop Mark Supermarket</x:v>
      </x:c>
      <x:c r="AD2160" s="1" t="str">
        <x:f>IF(AB2160=0,"",INDEX($F$1531:$F$2030,AB2160))</x:f>
        <x:v>2522 W Lehigh Ave, Philadelphia, PA, 19132</x:v>
      </x:c>
      <x:c r="AE2160" s="1" t="str">
        <x:f>IF(A2160="","",F111)</x:f>
        <x:v>2600 W CLEARFIELD ST</x:v>
      </x:c>
      <x:c r="AF2160" s="1" t="n">
        <x:f>IF(ISNUMBER(I111),I111,"")</x:f>
        <x:v>40.0023048</x:v>
      </x:c>
      <x:c r="AG2160" s="1" t="n">
        <x:f>IF(ISNUMBER(J111),J111,"")</x:f>
        <x:v>-75.1736095</x:v>
      </x:c>
      <x:c r="AH2160" s="1" t="str">
        <x:f>IF(I2160=0,"Not contacted",IF(INDEX('Staff Review'!$J$8:$J$507,I2160)="","Not contacted",INDEX('Staff Review'!$J$8:$J$507,I2160)))</x:f>
        <x:v>Not contacted</x:v>
      </x:c>
      <x:c r="AI2160" s="1" t="str">
        <x:f>IF(I2160=0,"No",IF(AND(COUNT(INDEX('Staff Review'!$D$8:$D$507,I2160))=1,INDEX('Staff Review'!$D$8:$D$507,I2160)&gt;=0,COUNT(INDEX('Staff Review'!$E$8:$E$507,I2160))=1,INDEX('Staff Review'!$E$8:$E$507,I2160)&gt;0,INDEX('Staff Review'!$E$8:$E$507,I2160)&lt;='Top 15'!$E$5,'Top 15'!$E$5-INDEX('Staff Review'!$E$8:$E$507,I2160)&lt;='Top 15'!$H$5,LEN(INDEX('Staff Review'!$H$8:$H$507,I2160))&gt;0),"Yes","No"))</x:f>
        <x:v>No</x:v>
      </x:c>
      <x:c r="AJ2160" s="1" t="str">
        <x:f>IF(I2160=0,"No",IF(COUNT(INDEX('Staff Review'!$F$8:$F$507,I2160))&lt;&gt;1,"No",IF(AND(INDEX('Staff Review'!$F$8:$F$507,I2160)&gt;=0,MOD(INDEX('Staff Review'!$F$8:$F$507,I2160),1)=0,COUNT(INDEX('Staff Review'!$G$8:$G$507,I2160))=1,INDEX('Staff Review'!$G$8:$G$507,I2160)&gt;0,INDEX('Staff Review'!$G$8:$G$507,I2160)&lt;='Top 15'!$E$5,'Top 15'!$E$5-INDEX('Staff Review'!$G$8:$G$507,I2160)&lt;='Top 15'!$H$5,LEN(INDEX('Staff Review'!$H$8:$H$507,I2160))&gt;0),"Yes","No")))</x:f>
        <x:v>No</x:v>
      </x:c>
      <x:c r="AK2160" s="1" t="n">
        <x:f>IF(A2160="",0,COUNTIFS($A$2:$A$501,A2160))</x:f>
        <x:v>1</x:v>
      </x:c>
      <x:c r="AL2160" s="1" t="n">
        <x:f>IF(V2160="Candidate",1,0)</x:f>
        <x:v>1</x:v>
      </x:c>
      <x:c r="AM2160" s="1" t="n">
        <x:f>IF(A2160="",0,VALUE(A2160))</x:f>
        <x:v>3370</x:v>
      </x:c>
      <x:c r="AN2160" s="1" t="n">
        <x:f>IF(OR(A2160="",COUNTIFS($T$41:$T$540,A2160)&lt;&gt;1),0,MATCH(A2160,$T$41:$T$540,0))</x:f>
        <x:v>110</x:v>
      </x:c>
      <x:c r="AO2160" t="n">
        <x:f>IF(ISNUMBER(W2160),W2160,10000+AM2160)</x:f>
        <x:v>257</x:v>
      </x:c>
    </x:row>
    <x:row r="2161" ht="22" customHeight="1">
      <x:c r="A2161" s="1" t="str">
        <x:f>IF(A112="","",A112)</x:f>
        <x:v>3372</x:v>
      </x:c>
      <x:c r="B2161" s="1" t="str">
        <x:f>IF(A2161="","",B112)</x:f>
        <x:v>The Jacquelyn Y. Kelley Discovery Charter School</x:v>
      </x:c>
      <x:c r="C2161" s="1" t="str">
        <x:f>IF(A2161="","",C112)</x:f>
        <x:v>Charter</x:v>
      </x:c>
      <x:c r="D2161" s="1" t="str">
        <x:f>IF(A2161="","",E112)</x:f>
        <x:v>Elementary-Middle</x:v>
      </x:c>
      <x:c r="E2161" s="1" t="str">
        <x:f>IF(A2161="","",H112)</x:f>
        <x:v>19131</x:v>
      </x:c>
      <x:c r="F2161" s="1" t="n">
        <x:f>IF(ISNUMBER(K112),K112,"")</x:f>
        <x:v>641</x:v>
      </x:c>
      <x:c r="G2161" s="1" t="n">
        <x:f>IF(ISNUMBER(L112),L112,"")</x:f>
        <x:v>0.7786</x:v>
      </x:c>
      <x:c r="H2161" s="1" t="str">
        <x:f>IF(A2161="","",IF(AND(UPPER(G112)="PHILADELPHIA",OR(C2161="District",AND(C2161="Charter",D112="Yes"))),"Yes","No"))</x:f>
        <x:v>Yes</x:v>
      </x:c>
      <x:c r="I2161" s="1" t="n">
        <x:f>IF(OR(A2161="",COUNTIFS('Staff Review'!$A$8:$A$507,A2161)&lt;&gt;1),0,MATCH(A2161,'Staff Review'!$A$8:$A$507,0))</x:f>
        <x:v>285</x:v>
      </x:c>
      <x:c r="J2161" s="1" t="str">
        <x:f>IF(I2161=0,"No",IF(INDEX('Staff Review'!$C$8:$C$507,I2161)="Yes","Yes","No"))</x:f>
        <x:v>No</x:v>
      </x:c>
      <x:c r="K2161" s="1" t="n">
        <x:f>IF(AI2161="Yes",INDEX('Staff Review'!$D$8:$D$507,I2161),IF(AB2161=0,"",IF(COUNT(INDEX($C$1531:$C$2030,AB2161))=1,INDEX($C$1531:$C$2030,AB2161),"")))</x:f>
        <x:v>0.5957118551503593</x:v>
      </x:c>
      <x:c r="L2161" s="1" t="n">
        <x:f>IF(AJ2161="Yes",INDEX('Staff Review'!$F$8:$F$507,I2161),IF(AB2161=0,"",IF(COUNT(INDEX($G$1531:$G$2030,AB2161))=1,INDEX($G$1531:$G$2030,AB2161),"")))</x:f>
        <x:v>6</x:v>
      </x:c>
      <x:c r="M2161" s="1" t="str">
        <x:f>IF(A2161="","",IF(AI2161="Yes","Verified","Listed"))</x:f>
        <x:v>Listed</x:v>
      </x:c>
      <x:c r="N2161" s="1" t="str">
        <x:f>IF(A2161="","",IF(AJ2161="Yes","Verified","Listed"))</x:f>
        <x:v>Listed</x:v>
      </x:c>
      <x:c r="O2161" s="1" t="n">
        <x:f>IF(AND(ISNUMBER(G2161),G2161&gt;=0,G2161&lt;=1),IF(G2161&gt;=0.9,30,IF(G2161&gt;=0.8,25,IF(G2161&gt;=0.7,20,IF(G2161&gt;=0.6,15,IF(G2161&gt;=0.5,10,IF(G2161&gt;=0.4,5,0)))))),"")</x:f>
        <x:v>20</x:v>
      </x:c>
      <x:c r="P2161" s="1" t="n">
        <x:f>IF(ISNUMBER(K2161),IF(K2161&lt;0,"",IF(K2161&gt;1,25,IF(K2161&gt;=0.75,20,IF(K2161&gt;=0.5,15,IF(K2161&gt;=0.25,10,5))))),"")</x:f>
        <x:v>15</x:v>
      </x:c>
      <x:c r="Q2161" s="1" t="n">
        <x:f>IF(NOT(ISNUMBER(L2161)),"",IF(AND(L2161&gt;=0,MOD(L2161,1)=0),MAX(0,25-5*L2161),""))</x:f>
        <x:v>0</x:v>
      </x:c>
      <x:c r="R2161" s="1" t="n">
        <x:f>IF(NOT(ISNUMBER(F2161)),"",IF(AND(F2161&gt;0,MOD(F2161,1)=0),IF(F2161&gt;=700,5,IF(F2161&gt;=500,4,IF(F2161&gt;=350,3,IF(F2161&gt;=200,2,1)))),""))</x:f>
        <x:v>4</x:v>
      </x:c>
      <x:c r="S2161" s="1" t="n">
        <x:f>IF(COUNT(O2161:R2161)=4,SUM(O2161:R2161),"")</x:f>
        <x:v>39</x:v>
      </x:c>
      <x:c r="T2161" s="1" t="n">
        <x:f>IF(OR(COUNT(O2161:R2161)&lt;&gt;4,COUNT('Top 15'!$B$35:$E$35)&lt;&gt;4,MIN('Top 15'!$B$35:$E$35)&lt;0,SUM('Top 15'!$B$35:$E$35)&lt;=0),"",ROUND(85*(O2161/30*'Top 15'!$B$35+P2161/25*'Top 15'!$C$35+Q2161/25*'Top 15'!$D$35+R2161/5*'Top 15'!$E$35)/SUM('Top 15'!$B$35:$E$35),6))</x:f>
        <x:v>39</x:v>
      </x:c>
      <x:c r="U2161" s="1" t="str">
        <x:f>IF(A2161="","",IF(AND(M2161="Verified",N2161="Verified"),"Verified",IF(AND(M2161="Listed",N2161="Listed"),"Listed","Mixed")))</x:f>
        <x:v>Listed</x:v>
      </x:c>
      <x:c r="V2161" s="1" t="str">
        <x:f>IF(A2161="","",IF(AK2161&lt;&gt;1,"Duplicate source ID",IF(COUNTIFS('Staff Review'!$A$8:$A$507,A2161)&gt;1,"Duplicate review ID",IF(H2161&lt;&gt;"Yes","Outside scope",IF(J2161="Yes","Already served",IF(NOT(ISNUMBER(T2161)),"Missing data","Candidate"))))))</x:f>
        <x:v>Candidate</x:v>
      </x:c>
      <x:c r="W2161" s="1" t="n">
        <x:f>IF(AL2161=0,"",1+COUNTIFS($AL$2051:$AL$2550,1,$T$2051:$T$2550,"&gt;"&amp;T2161)+COUNTIFS($AL$2051:$AL$2550,1,$T$2051:$T$2550,T2161,$G$2051:$G$2550,"&gt;"&amp;G2161)+COUNTIFS($AL$2051:$AL$2550,1,$T$2051:$T$2550,T2161,$G$2051:$G$2550,G2161,$F$2051:$F$2550,"&gt;"&amp;F2161)+COUNTIFS($AL$2051:$AL$2550,1,$T$2051:$T$2550,T2161,$G$2051:$G$2550,G2161,$F$2051:$F$2550,F2161,$AM$2051:$AM$2550,"&lt;"&amp;AM2161))</x:f>
        <x:v>163</x:v>
      </x:c>
      <x:c r="X2161" s="1" t="n">
        <x:f>IF(AL2161=0,"",1+COUNTIFS($AL$2051:$AL$2550,1,$T$2051:$T$2550,"&gt;"&amp;T2161))</x:f>
        <x:v>148</x:v>
      </x:c>
      <x:c r="Y2161" s="1" t="n">
        <x:f>IF(AND(H2161="Yes",OR(LEN('School Search'!$B$5)=0,ISNUMBER(SEARCH('School Search'!$B$5,B2161&amp;" "&amp;E2161&amp;" "&amp;A2161))),OR('School Search'!$D$5="All",C2161='School Search'!$D$5),OR('School Search'!$G$5="All eligible",AND('School Search'!$G$5="Not marked served",J2161&lt;&gt;"Yes"),AND('School Search'!$G$5="Missing data",V2161="Missing data"),AND('School Search'!$G$5="Marked served",J2161="Yes"))),1,0)</x:f>
        <x:v>1</x:v>
      </x:c>
      <x:c r="Z2161" s="1" t="n">
        <x:f>IF(Y2161=0,"",COUNTIFS($Y$2051:$Y$2550,1,$AO$2051:$AO$2550,"&lt;"&amp;AO2161)+COUNTIFS($Y$2051:Y2161,1,$AO$2051:AO2161,AO2161))</x:f>
        <x:v>163</x:v>
      </x:c>
      <x:c r="AA2161" s="1" t="str">
        <x:f>IF(NOT(ISNUMBER(S2161)),"Missing demographic or access input",TEXT(G2161,"0%")&amp;" economic need; "&amp;TEXT(K2161,"0.00")&amp;" mi fresh access; "&amp;L2161&amp;" nearby resources")</x:f>
        <x:v>78% economic need; 0.60 mi fresh access; 6 nearby resources</x:v>
      </x:c>
      <x:c r="AB2161" s="1" t="n">
        <x:f>IF(OR(A2161="",COUNTIFS($A$1531:$A$2030,A2161)&lt;&gt;1),0,MATCH(A2161,$A$1531:$A$2030,0))</x:f>
        <x:v>111</x:v>
      </x:c>
      <x:c r="AC2161" s="1" t="str">
        <x:f>IF(AB2161=0,"",INDEX($E$1531:$E$2030,AB2161))</x:f>
        <x:v>Cousin's Fresh Market 2 Inc</x:v>
      </x:c>
      <x:c r="AD2161" s="1" t="str">
        <x:f>IF(AB2161=0,"",INDEX($F$1531:$F$2030,AB2161))</x:f>
        <x:v>5429 W Girard Ave, Philadelphia, PA, 19131</x:v>
      </x:c>
      <x:c r="AE2161" s="1" t="str">
        <x:f>IF(A2161="","",F112)</x:f>
        <x:v>4700 PARKSIDE AVE</x:v>
      </x:c>
      <x:c r="AF2161" s="1" t="n">
        <x:f>IF(ISNUMBER(I112),I112,"")</x:f>
        <x:v>39.97770823</x:v>
      </x:c>
      <x:c r="AG2161" s="1" t="n">
        <x:f>IF(ISNUMBER(J112),J112,"")</x:f>
        <x:v>-75.21350485</x:v>
      </x:c>
      <x:c r="AH2161" s="1" t="str">
        <x:f>IF(I2161=0,"Not contacted",IF(INDEX('Staff Review'!$J$8:$J$507,I2161)="","Not contacted",INDEX('Staff Review'!$J$8:$J$507,I2161)))</x:f>
        <x:v>Not contacted</x:v>
      </x:c>
      <x:c r="AI2161" s="1" t="str">
        <x:f>IF(I2161=0,"No",IF(AND(COUNT(INDEX('Staff Review'!$D$8:$D$507,I2161))=1,INDEX('Staff Review'!$D$8:$D$507,I2161)&gt;=0,COUNT(INDEX('Staff Review'!$E$8:$E$507,I2161))=1,INDEX('Staff Review'!$E$8:$E$507,I2161)&gt;0,INDEX('Staff Review'!$E$8:$E$507,I2161)&lt;='Top 15'!$E$5,'Top 15'!$E$5-INDEX('Staff Review'!$E$8:$E$507,I2161)&lt;='Top 15'!$H$5,LEN(INDEX('Staff Review'!$H$8:$H$507,I2161))&gt;0),"Yes","No"))</x:f>
        <x:v>No</x:v>
      </x:c>
      <x:c r="AJ2161" s="1" t="str">
        <x:f>IF(I2161=0,"No",IF(COUNT(INDEX('Staff Review'!$F$8:$F$507,I2161))&lt;&gt;1,"No",IF(AND(INDEX('Staff Review'!$F$8:$F$507,I2161)&gt;=0,MOD(INDEX('Staff Review'!$F$8:$F$507,I2161),1)=0,COUNT(INDEX('Staff Review'!$G$8:$G$507,I2161))=1,INDEX('Staff Review'!$G$8:$G$507,I2161)&gt;0,INDEX('Staff Review'!$G$8:$G$507,I2161)&lt;='Top 15'!$E$5,'Top 15'!$E$5-INDEX('Staff Review'!$G$8:$G$507,I2161)&lt;='Top 15'!$H$5,LEN(INDEX('Staff Review'!$H$8:$H$507,I2161))&gt;0),"Yes","No")))</x:f>
        <x:v>No</x:v>
      </x:c>
      <x:c r="AK2161" s="1" t="n">
        <x:f>IF(A2161="",0,COUNTIFS($A$2:$A$501,A2161))</x:f>
        <x:v>1</x:v>
      </x:c>
      <x:c r="AL2161" s="1" t="n">
        <x:f>IF(V2161="Candidate",1,0)</x:f>
        <x:v>1</x:v>
      </x:c>
      <x:c r="AM2161" s="1" t="n">
        <x:f>IF(A2161="",0,VALUE(A2161))</x:f>
        <x:v>3372</x:v>
      </x:c>
      <x:c r="AN2161" s="1" t="n">
        <x:f>IF(OR(A2161="",COUNTIFS($T$41:$T$540,A2161)&lt;&gt;1),0,MATCH(A2161,$T$41:$T$540,0))</x:f>
        <x:v>111</x:v>
      </x:c>
      <x:c r="AO2161" t="n">
        <x:f>IF(ISNUMBER(W2161),W2161,10000+AM2161)</x:f>
        <x:v>163</x:v>
      </x:c>
    </x:row>
    <x:row r="2162" ht="22" customHeight="1">
      <x:c r="A2162" s="1" t="str">
        <x:f>IF(A113="","",A113)</x:f>
        <x:v>3378</x:v>
      </x:c>
      <x:c r="B2162" s="1" t="str">
        <x:f>IF(A2162="","",B113)</x:f>
        <x:v>Philadelphia Montessori Charter School</x:v>
      </x:c>
      <x:c r="C2162" s="1" t="str">
        <x:f>IF(A2162="","",C113)</x:f>
        <x:v>Charter</x:v>
      </x:c>
      <x:c r="D2162" s="1" t="str">
        <x:f>IF(A2162="","",E113)</x:f>
        <x:v>Elementary</x:v>
      </x:c>
      <x:c r="E2162" s="1" t="str">
        <x:f>IF(A2162="","",H113)</x:f>
        <x:v>19142</x:v>
      </x:c>
      <x:c r="F2162" s="1" t="n">
        <x:f>IF(ISNUMBER(K113),K113,"")</x:f>
        <x:v>249</x:v>
      </x:c>
      <x:c r="G2162" s="1" t="n">
        <x:f>IF(ISNUMBER(L113),L113,"")</x:f>
        <x:v>0.6706</x:v>
      </x:c>
      <x:c r="H2162" s="1" t="str">
        <x:f>IF(A2162="","",IF(AND(UPPER(G113)="PHILADELPHIA",OR(C2162="District",AND(C2162="Charter",D113="Yes"))),"Yes","No"))</x:f>
        <x:v>Yes</x:v>
      </x:c>
      <x:c r="I2162" s="1" t="n">
        <x:f>IF(OR(A2162="",COUNTIFS('Staff Review'!$A$8:$A$507,A2162)&lt;&gt;1),0,MATCH(A2162,'Staff Review'!$A$8:$A$507,0))</x:f>
        <x:v>240</x:v>
      </x:c>
      <x:c r="J2162" s="1" t="str">
        <x:f>IF(I2162=0,"No",IF(INDEX('Staff Review'!$C$8:$C$507,I2162)="Yes","Yes","No"))</x:f>
        <x:v>No</x:v>
      </x:c>
      <x:c r="K2162" s="1" t="n">
        <x:f>IF(AI2162="Yes",INDEX('Staff Review'!$D$8:$D$507,I2162),IF(AB2162=0,"",IF(COUNT(INDEX($C$1531:$C$2030,AB2162))=1,INDEX($C$1531:$C$2030,AB2162),"")))</x:f>
        <x:v>0.9119131589302997</x:v>
      </x:c>
      <x:c r="L2162" s="1" t="n">
        <x:f>IF(AJ2162="Yes",INDEX('Staff Review'!$F$8:$F$507,I2162),IF(AB2162=0,"",IF(COUNT(INDEX($G$1531:$G$2030,AB2162))=1,INDEX($G$1531:$G$2030,AB2162),"")))</x:f>
        <x:v>1</x:v>
      </x:c>
      <x:c r="M2162" s="1" t="str">
        <x:f>IF(A2162="","",IF(AI2162="Yes","Verified","Listed"))</x:f>
        <x:v>Listed</x:v>
      </x:c>
      <x:c r="N2162" s="1" t="str">
        <x:f>IF(A2162="","",IF(AJ2162="Yes","Verified","Listed"))</x:f>
        <x:v>Listed</x:v>
      </x:c>
      <x:c r="O2162" s="1" t="n">
        <x:f>IF(AND(ISNUMBER(G2162),G2162&gt;=0,G2162&lt;=1),IF(G2162&gt;=0.9,30,IF(G2162&gt;=0.8,25,IF(G2162&gt;=0.7,20,IF(G2162&gt;=0.6,15,IF(G2162&gt;=0.5,10,IF(G2162&gt;=0.4,5,0)))))),"")</x:f>
        <x:v>15</x:v>
      </x:c>
      <x:c r="P2162" s="1" t="n">
        <x:f>IF(ISNUMBER(K2162),IF(K2162&lt;0,"",IF(K2162&gt;1,25,IF(K2162&gt;=0.75,20,IF(K2162&gt;=0.5,15,IF(K2162&gt;=0.25,10,5))))),"")</x:f>
        <x:v>20</x:v>
      </x:c>
      <x:c r="Q2162" s="1" t="n">
        <x:f>IF(NOT(ISNUMBER(L2162)),"",IF(AND(L2162&gt;=0,MOD(L2162,1)=0),MAX(0,25-5*L2162),""))</x:f>
        <x:v>20</x:v>
      </x:c>
      <x:c r="R2162" s="1" t="n">
        <x:f>IF(NOT(ISNUMBER(F2162)),"",IF(AND(F2162&gt;0,MOD(F2162,1)=0),IF(F2162&gt;=700,5,IF(F2162&gt;=500,4,IF(F2162&gt;=350,3,IF(F2162&gt;=200,2,1)))),""))</x:f>
        <x:v>2</x:v>
      </x:c>
      <x:c r="S2162" s="1" t="n">
        <x:f>IF(COUNT(O2162:R2162)=4,SUM(O2162:R2162),"")</x:f>
        <x:v>57</x:v>
      </x:c>
      <x:c r="T2162" s="1" t="n">
        <x:f>IF(OR(COUNT(O2162:R2162)&lt;&gt;4,COUNT('Top 15'!$B$35:$E$35)&lt;&gt;4,MIN('Top 15'!$B$35:$E$35)&lt;0,SUM('Top 15'!$B$35:$E$35)&lt;=0),"",ROUND(85*(O2162/30*'Top 15'!$B$35+P2162/25*'Top 15'!$C$35+Q2162/25*'Top 15'!$D$35+R2162/5*'Top 15'!$E$35)/SUM('Top 15'!$B$35:$E$35),6))</x:f>
        <x:v>57</x:v>
      </x:c>
      <x:c r="U2162" s="1" t="str">
        <x:f>IF(A2162="","",IF(AND(M2162="Verified",N2162="Verified"),"Verified",IF(AND(M2162="Listed",N2162="Listed"),"Listed","Mixed")))</x:f>
        <x:v>Listed</x:v>
      </x:c>
      <x:c r="V2162" s="1" t="str">
        <x:f>IF(A2162="","",IF(AK2162&lt;&gt;1,"Duplicate source ID",IF(COUNTIFS('Staff Review'!$A$8:$A$507,A2162)&gt;1,"Duplicate review ID",IF(H2162&lt;&gt;"Yes","Outside scope",IF(J2162="Yes","Already served",IF(NOT(ISNUMBER(T2162)),"Missing data","Candidate"))))))</x:f>
        <x:v>Candidate</x:v>
      </x:c>
      <x:c r="W2162" s="1" t="n">
        <x:f>IF(AL2162=0,"",1+COUNTIFS($AL$2051:$AL$2550,1,$T$2051:$T$2550,"&gt;"&amp;T2162)+COUNTIFS($AL$2051:$AL$2550,1,$T$2051:$T$2550,T2162,$G$2051:$G$2550,"&gt;"&amp;G2162)+COUNTIFS($AL$2051:$AL$2550,1,$T$2051:$T$2550,T2162,$G$2051:$G$2550,G2162,$F$2051:$F$2550,"&gt;"&amp;F2162)+COUNTIFS($AL$2051:$AL$2550,1,$T$2051:$T$2550,T2162,$G$2051:$G$2550,G2162,$F$2051:$F$2550,F2162,$AM$2051:$AM$2550,"&lt;"&amp;AM2162))</x:f>
        <x:v>23</x:v>
      </x:c>
      <x:c r="X2162" s="1" t="n">
        <x:f>IF(AL2162=0,"",1+COUNTIFS($AL$2051:$AL$2550,1,$T$2051:$T$2550,"&gt;"&amp;T2162))</x:f>
        <x:v>20</x:v>
      </x:c>
      <x:c r="Y2162" s="1" t="n">
        <x:f>IF(AND(H2162="Yes",OR(LEN('School Search'!$B$5)=0,ISNUMBER(SEARCH('School Search'!$B$5,B2162&amp;" "&amp;E2162&amp;" "&amp;A2162))),OR('School Search'!$D$5="All",C2162='School Search'!$D$5),OR('School Search'!$G$5="All eligible",AND('School Search'!$G$5="Not marked served",J2162&lt;&gt;"Yes"),AND('School Search'!$G$5="Missing data",V2162="Missing data"),AND('School Search'!$G$5="Marked served",J2162="Yes"))),1,0)</x:f>
        <x:v>1</x:v>
      </x:c>
      <x:c r="Z2162" s="1" t="n">
        <x:f>IF(Y2162=0,"",COUNTIFS($Y$2051:$Y$2550,1,$AO$2051:$AO$2550,"&lt;"&amp;AO2162)+COUNTIFS($Y$2051:Y2162,1,$AO$2051:AO2162,AO2162))</x:f>
        <x:v>23</x:v>
      </x:c>
      <x:c r="AA2162" s="1" t="str">
        <x:f>IF(NOT(ISNUMBER(S2162)),"Missing demographic or access input",TEXT(G2162,"0%")&amp;" economic need; "&amp;TEXT(K2162,"0.00")&amp;" mi fresh access; "&amp;L2162&amp;" nearby resources")</x:f>
        <x:v>67% economic need; 0.91 mi fresh access; 1 nearby resources</x:v>
      </x:c>
      <x:c r="AB2162" s="1" t="n">
        <x:f>IF(OR(A2162="",COUNTIFS($A$1531:$A$2030,A2162)&lt;&gt;1),0,MATCH(A2162,$A$1531:$A$2030,0))</x:f>
        <x:v>112</x:v>
      </x:c>
      <x:c r="AC2162" s="1" t="str">
        <x:f>IF(AB2162=0,"",INDEX($E$1531:$E$2030,AB2162))</x:f>
        <x:v>Cousin's Fresh Market Inc</x:v>
      </x:c>
      <x:c r="AD2162" s="1" t="str">
        <x:f>IF(AB2162=0,"",INDEX($F$1531:$F$2030,AB2162))</x:f>
        <x:v>6411 Woodland Ave, Philadelphia, PA, 19142</x:v>
      </x:c>
      <x:c r="AE2162" s="1" t="str">
        <x:f>IF(A2162="","",F113)</x:f>
        <x:v>2227 ISLAND RD</x:v>
      </x:c>
      <x:c r="AF2162" s="1" t="n">
        <x:f>IF(ISNUMBER(I113),I113,"")</x:f>
        <x:v>39.91656437</x:v>
      </x:c>
      <x:c r="AG2162" s="1" t="n">
        <x:f>IF(ISNUMBER(J113),J113,"")</x:f>
        <x:v>-75.24515327</x:v>
      </x:c>
      <x:c r="AH2162" s="1" t="str">
        <x:f>IF(I2162=0,"Not contacted",IF(INDEX('Staff Review'!$J$8:$J$507,I2162)="","Not contacted",INDEX('Staff Review'!$J$8:$J$507,I2162)))</x:f>
        <x:v>Not contacted</x:v>
      </x:c>
      <x:c r="AI2162" s="1" t="str">
        <x:f>IF(I2162=0,"No",IF(AND(COUNT(INDEX('Staff Review'!$D$8:$D$507,I2162))=1,INDEX('Staff Review'!$D$8:$D$507,I2162)&gt;=0,COUNT(INDEX('Staff Review'!$E$8:$E$507,I2162))=1,INDEX('Staff Review'!$E$8:$E$507,I2162)&gt;0,INDEX('Staff Review'!$E$8:$E$507,I2162)&lt;='Top 15'!$E$5,'Top 15'!$E$5-INDEX('Staff Review'!$E$8:$E$507,I2162)&lt;='Top 15'!$H$5,LEN(INDEX('Staff Review'!$H$8:$H$507,I2162))&gt;0),"Yes","No"))</x:f>
        <x:v>No</x:v>
      </x:c>
      <x:c r="AJ2162" s="1" t="str">
        <x:f>IF(I2162=0,"No",IF(COUNT(INDEX('Staff Review'!$F$8:$F$507,I2162))&lt;&gt;1,"No",IF(AND(INDEX('Staff Review'!$F$8:$F$507,I2162)&gt;=0,MOD(INDEX('Staff Review'!$F$8:$F$507,I2162),1)=0,COUNT(INDEX('Staff Review'!$G$8:$G$507,I2162))=1,INDEX('Staff Review'!$G$8:$G$507,I2162)&gt;0,INDEX('Staff Review'!$G$8:$G$507,I2162)&lt;='Top 15'!$E$5,'Top 15'!$E$5-INDEX('Staff Review'!$G$8:$G$507,I2162)&lt;='Top 15'!$H$5,LEN(INDEX('Staff Review'!$H$8:$H$507,I2162))&gt;0),"Yes","No")))</x:f>
        <x:v>No</x:v>
      </x:c>
      <x:c r="AK2162" s="1" t="n">
        <x:f>IF(A2162="",0,COUNTIFS($A$2:$A$501,A2162))</x:f>
        <x:v>1</x:v>
      </x:c>
      <x:c r="AL2162" s="1" t="n">
        <x:f>IF(V2162="Candidate",1,0)</x:f>
        <x:v>1</x:v>
      </x:c>
      <x:c r="AM2162" s="1" t="n">
        <x:f>IF(A2162="",0,VALUE(A2162))</x:f>
        <x:v>3378</x:v>
      </x:c>
      <x:c r="AN2162" s="1" t="n">
        <x:f>IF(OR(A2162="",COUNTIFS($T$41:$T$540,A2162)&lt;&gt;1),0,MATCH(A2162,$T$41:$T$540,0))</x:f>
        <x:v>112</x:v>
      </x:c>
      <x:c r="AO2162" t="n">
        <x:f>IF(ISNUMBER(W2162),W2162,10000+AM2162)</x:f>
        <x:v>23</x:v>
      </x:c>
    </x:row>
    <x:row r="2163" ht="22" customHeight="1">
      <x:c r="A2163" s="1" t="str">
        <x:f>IF(A114="","",A114)</x:f>
        <x:v>3379</x:v>
      </x:c>
      <x:c r="B2163" s="1" t="str">
        <x:f>IF(A2163="","",B114)</x:f>
        <x:v>Ad Prima Charter School</x:v>
      </x:c>
      <x:c r="C2163" s="1" t="str">
        <x:f>IF(A2163="","",C114)</x:f>
        <x:v>Charter</x:v>
      </x:c>
      <x:c r="D2163" s="1" t="str">
        <x:f>IF(A2163="","",E114)</x:f>
        <x:v>Elementary-Middle</x:v>
      </x:c>
      <x:c r="E2163" s="1" t="str">
        <x:f>IF(A2163="","",H114)</x:f>
        <x:v>19151</x:v>
      </x:c>
      <x:c r="F2163" s="1" t="n">
        <x:f>IF(ISNUMBER(K114),K114,"")</x:f>
        <x:v>617</x:v>
      </x:c>
      <x:c r="G2163" s="1" t="n">
        <x:f>IF(ISNUMBER(L114),L114,"")</x:f>
        <x:v>0.9274</x:v>
      </x:c>
      <x:c r="H2163" s="1" t="str">
        <x:f>IF(A2163="","",IF(AND(UPPER(G114)="PHILADELPHIA",OR(C2163="District",AND(C2163="Charter",D114="Yes"))),"Yes","No"))</x:f>
        <x:v>Yes</x:v>
      </x:c>
      <x:c r="I2163" s="1" t="n">
        <x:f>IF(OR(A2163="",COUNTIFS('Staff Review'!$A$8:$A$507,A2163)&lt;&gt;1),0,MATCH(A2163,'Staff Review'!$A$8:$A$507,0))</x:f>
        <x:v>8</x:v>
      </x:c>
      <x:c r="J2163" s="1" t="str">
        <x:f>IF(I2163=0,"No",IF(INDEX('Staff Review'!$C$8:$C$507,I2163)="Yes","Yes","No"))</x:f>
        <x:v>No</x:v>
      </x:c>
      <x:c r="K2163" s="1" t="n">
        <x:f>IF(AI2163="Yes",INDEX('Staff Review'!$D$8:$D$507,I2163),IF(AB2163=0,"",IF(COUNT(INDEX($C$1531:$C$2030,AB2163))=1,INDEX($C$1531:$C$2030,AB2163),"")))</x:f>
        <x:v>1.2644636123923818</x:v>
      </x:c>
      <x:c r="L2163" s="1" t="n">
        <x:f>IF(AJ2163="Yes",INDEX('Staff Review'!$F$8:$F$507,I2163),IF(AB2163=0,"",IF(COUNT(INDEX($G$1531:$G$2030,AB2163))=1,INDEX($G$1531:$G$2030,AB2163),"")))</x:f>
        <x:v>4</x:v>
      </x:c>
      <x:c r="M2163" s="1" t="str">
        <x:f>IF(A2163="","",IF(AI2163="Yes","Verified","Listed"))</x:f>
        <x:v>Listed</x:v>
      </x:c>
      <x:c r="N2163" s="1" t="str">
        <x:f>IF(A2163="","",IF(AJ2163="Yes","Verified","Listed"))</x:f>
        <x:v>Listed</x:v>
      </x:c>
      <x:c r="O2163" s="1" t="n">
        <x:f>IF(AND(ISNUMBER(G2163),G2163&gt;=0,G2163&lt;=1),IF(G2163&gt;=0.9,30,IF(G2163&gt;=0.8,25,IF(G2163&gt;=0.7,20,IF(G2163&gt;=0.6,15,IF(G2163&gt;=0.5,10,IF(G2163&gt;=0.4,5,0)))))),"")</x:f>
        <x:v>30</x:v>
      </x:c>
      <x:c r="P2163" s="1" t="n">
        <x:f>IF(ISNUMBER(K2163),IF(K2163&lt;0,"",IF(K2163&gt;1,25,IF(K2163&gt;=0.75,20,IF(K2163&gt;=0.5,15,IF(K2163&gt;=0.25,10,5))))),"")</x:f>
        <x:v>25</x:v>
      </x:c>
      <x:c r="Q2163" s="1" t="n">
        <x:f>IF(NOT(ISNUMBER(L2163)),"",IF(AND(L2163&gt;=0,MOD(L2163,1)=0),MAX(0,25-5*L2163),""))</x:f>
        <x:v>5</x:v>
      </x:c>
      <x:c r="R2163" s="1" t="n">
        <x:f>IF(NOT(ISNUMBER(F2163)),"",IF(AND(F2163&gt;0,MOD(F2163,1)=0),IF(F2163&gt;=700,5,IF(F2163&gt;=500,4,IF(F2163&gt;=350,3,IF(F2163&gt;=200,2,1)))),""))</x:f>
        <x:v>4</x:v>
      </x:c>
      <x:c r="S2163" s="1" t="n">
        <x:f>IF(COUNT(O2163:R2163)=4,SUM(O2163:R2163),"")</x:f>
        <x:v>64</x:v>
      </x:c>
      <x:c r="T2163" s="1" t="n">
        <x:f>IF(OR(COUNT(O2163:R2163)&lt;&gt;4,COUNT('Top 15'!$B$35:$E$35)&lt;&gt;4,MIN('Top 15'!$B$35:$E$35)&lt;0,SUM('Top 15'!$B$35:$E$35)&lt;=0),"",ROUND(85*(O2163/30*'Top 15'!$B$35+P2163/25*'Top 15'!$C$35+Q2163/25*'Top 15'!$D$35+R2163/5*'Top 15'!$E$35)/SUM('Top 15'!$B$35:$E$35),6))</x:f>
        <x:v>64</x:v>
      </x:c>
      <x:c r="U2163" s="1" t="str">
        <x:f>IF(A2163="","",IF(AND(M2163="Verified",N2163="Verified"),"Verified",IF(AND(M2163="Listed",N2163="Listed"),"Listed","Mixed")))</x:f>
        <x:v>Listed</x:v>
      </x:c>
      <x:c r="V2163" s="1" t="str">
        <x:f>IF(A2163="","",IF(AK2163&lt;&gt;1,"Duplicate source ID",IF(COUNTIFS('Staff Review'!$A$8:$A$507,A2163)&gt;1,"Duplicate review ID",IF(H2163&lt;&gt;"Yes","Outside scope",IF(J2163="Yes","Already served",IF(NOT(ISNUMBER(T2163)),"Missing data","Candidate"))))))</x:f>
        <x:v>Candidate</x:v>
      </x:c>
      <x:c r="W2163" s="1" t="n">
        <x:f>IF(AL2163=0,"",1+COUNTIFS($AL$2051:$AL$2550,1,$T$2051:$T$2550,"&gt;"&amp;T2163)+COUNTIFS($AL$2051:$AL$2550,1,$T$2051:$T$2550,T2163,$G$2051:$G$2550,"&gt;"&amp;G2163)+COUNTIFS($AL$2051:$AL$2550,1,$T$2051:$T$2550,T2163,$G$2051:$G$2550,G2163,$F$2051:$F$2550,"&gt;"&amp;F2163)+COUNTIFS($AL$2051:$AL$2550,1,$T$2051:$T$2550,T2163,$G$2051:$G$2550,G2163,$F$2051:$F$2550,F2163,$AM$2051:$AM$2550,"&lt;"&amp;AM2163))</x:f>
        <x:v>5</x:v>
      </x:c>
      <x:c r="X2163" s="1" t="n">
        <x:f>IF(AL2163=0,"",1+COUNTIFS($AL$2051:$AL$2550,1,$T$2051:$T$2550,"&gt;"&amp;T2163))</x:f>
        <x:v>4</x:v>
      </x:c>
      <x:c r="Y2163" s="1" t="n">
        <x:f>IF(AND(H2163="Yes",OR(LEN('School Search'!$B$5)=0,ISNUMBER(SEARCH('School Search'!$B$5,B2163&amp;" "&amp;E2163&amp;" "&amp;A2163))),OR('School Search'!$D$5="All",C2163='School Search'!$D$5),OR('School Search'!$G$5="All eligible",AND('School Search'!$G$5="Not marked served",J2163&lt;&gt;"Yes"),AND('School Search'!$G$5="Missing data",V2163="Missing data"),AND('School Search'!$G$5="Marked served",J2163="Yes"))),1,0)</x:f>
        <x:v>1</x:v>
      </x:c>
      <x:c r="Z2163" s="1" t="n">
        <x:f>IF(Y2163=0,"",COUNTIFS($Y$2051:$Y$2550,1,$AO$2051:$AO$2550,"&lt;"&amp;AO2163)+COUNTIFS($Y$2051:Y2163,1,$AO$2051:AO2163,AO2163))</x:f>
        <x:v>5</x:v>
      </x:c>
      <x:c r="AA2163" s="1" t="str">
        <x:f>IF(NOT(ISNUMBER(S2163)),"Missing demographic or access input",TEXT(G2163,"0%")&amp;" economic need; "&amp;TEXT(K2163,"0.00")&amp;" mi fresh access; "&amp;L2163&amp;" nearby resources")</x:f>
        <x:v>93% economic need; 1.26 mi fresh access; 4 nearby resources</x:v>
      </x:c>
      <x:c r="AB2163" s="1" t="n">
        <x:f>IF(OR(A2163="",COUNTIFS($A$1531:$A$2030,A2163)&lt;&gt;1),0,MATCH(A2163,$A$1531:$A$2030,0))</x:f>
        <x:v>113</x:v>
      </x:c>
      <x:c r="AC2163" s="1" t="str">
        <x:f>IF(AB2163=0,"",INDEX($E$1531:$E$2030,AB2163))</x:f>
        <x:v>Shoprite of Parkside 419</x:v>
      </x:c>
      <x:c r="AD2163" s="1" t="str">
        <x:f>IF(AB2163=0,"",INDEX($F$1531:$F$2030,AB2163))</x:f>
        <x:v>1575 N 52nd St, Philadelphia, PA, 19131</x:v>
      </x:c>
      <x:c r="AE2163" s="1" t="str">
        <x:f>IF(A2163="","",F114)</x:f>
        <x:v>1922 N 63RD ST</x:v>
      </x:c>
      <x:c r="AF2163" s="1" t="n">
        <x:f>IF(ISNUMBER(I114),I114,"")</x:f>
        <x:v>39.984296</x:v>
      </x:c>
      <x:c r="AG2163" s="1" t="n">
        <x:f>IF(ISNUMBER(J114),J114,"")</x:f>
        <x:v>-75.24786</x:v>
      </x:c>
      <x:c r="AH2163" s="1" t="str">
        <x:f>IF(I2163=0,"Not contacted",IF(INDEX('Staff Review'!$J$8:$J$507,I2163)="","Not contacted",INDEX('Staff Review'!$J$8:$J$507,I2163)))</x:f>
        <x:v>Not contacted</x:v>
      </x:c>
      <x:c r="AI2163" s="1" t="str">
        <x:f>IF(I2163=0,"No",IF(AND(COUNT(INDEX('Staff Review'!$D$8:$D$507,I2163))=1,INDEX('Staff Review'!$D$8:$D$507,I2163)&gt;=0,COUNT(INDEX('Staff Review'!$E$8:$E$507,I2163))=1,INDEX('Staff Review'!$E$8:$E$507,I2163)&gt;0,INDEX('Staff Review'!$E$8:$E$507,I2163)&lt;='Top 15'!$E$5,'Top 15'!$E$5-INDEX('Staff Review'!$E$8:$E$507,I2163)&lt;='Top 15'!$H$5,LEN(INDEX('Staff Review'!$H$8:$H$507,I2163))&gt;0),"Yes","No"))</x:f>
        <x:v>No</x:v>
      </x:c>
      <x:c r="AJ2163" s="1" t="str">
        <x:f>IF(I2163=0,"No",IF(COUNT(INDEX('Staff Review'!$F$8:$F$507,I2163))&lt;&gt;1,"No",IF(AND(INDEX('Staff Review'!$F$8:$F$507,I2163)&gt;=0,MOD(INDEX('Staff Review'!$F$8:$F$507,I2163),1)=0,COUNT(INDEX('Staff Review'!$G$8:$G$507,I2163))=1,INDEX('Staff Review'!$G$8:$G$507,I2163)&gt;0,INDEX('Staff Review'!$G$8:$G$507,I2163)&lt;='Top 15'!$E$5,'Top 15'!$E$5-INDEX('Staff Review'!$G$8:$G$507,I2163)&lt;='Top 15'!$H$5,LEN(INDEX('Staff Review'!$H$8:$H$507,I2163))&gt;0),"Yes","No")))</x:f>
        <x:v>No</x:v>
      </x:c>
      <x:c r="AK2163" s="1" t="n">
        <x:f>IF(A2163="",0,COUNTIFS($A$2:$A$501,A2163))</x:f>
        <x:v>1</x:v>
      </x:c>
      <x:c r="AL2163" s="1" t="n">
        <x:f>IF(V2163="Candidate",1,0)</x:f>
        <x:v>1</x:v>
      </x:c>
      <x:c r="AM2163" s="1" t="n">
        <x:f>IF(A2163="",0,VALUE(A2163))</x:f>
        <x:v>3379</x:v>
      </x:c>
      <x:c r="AN2163" s="1" t="n">
        <x:f>IF(OR(A2163="",COUNTIFS($T$41:$T$540,A2163)&lt;&gt;1),0,MATCH(A2163,$T$41:$T$540,0))</x:f>
        <x:v>113</x:v>
      </x:c>
      <x:c r="AO2163" t="n">
        <x:f>IF(ISNUMBER(W2163),W2163,10000+AM2163)</x:f>
        <x:v>5</x:v>
      </x:c>
    </x:row>
    <x:row r="2164" ht="22" customHeight="1">
      <x:c r="A2164" s="1" t="str">
        <x:f>IF(A115="","",A115)</x:f>
        <x:v>3383</x:v>
      </x:c>
      <x:c r="B2164" s="1" t="str">
        <x:f>IF(A2164="","",B115)</x:f>
        <x:v>Mastery Charter School at Shoemaker</x:v>
      </x:c>
      <x:c r="C2164" s="1" t="str">
        <x:f>IF(A2164="","",C115)</x:f>
        <x:v>Charter</x:v>
      </x:c>
      <x:c r="D2164" s="1" t="str">
        <x:f>IF(A2164="","",E115)</x:f>
        <x:v>Middle-High</x:v>
      </x:c>
      <x:c r="E2164" s="1" t="str">
        <x:f>IF(A2164="","",H115)</x:f>
        <x:v>19131</x:v>
      </x:c>
      <x:c r="F2164" s="1" t="n">
        <x:f>IF(ISNUMBER(K115),K115,"")</x:f>
        <x:v>733</x:v>
      </x:c>
      <x:c r="G2164" s="1" t="n">
        <x:f>IF(ISNUMBER(L115),L115,"")</x:f>
        <x:v>0.7243</x:v>
      </x:c>
      <x:c r="H2164" s="1" t="str">
        <x:f>IF(A2164="","",IF(AND(UPPER(G115)="PHILADELPHIA",OR(C2164="District",AND(C2164="Charter",D115="Yes"))),"Yes","No"))</x:f>
        <x:v>Yes</x:v>
      </x:c>
      <x:c r="I2164" s="1" t="n">
        <x:f>IF(OR(A2164="",COUNTIFS('Staff Review'!$A$8:$A$507,A2164)&lt;&gt;1),0,MATCH(A2164,'Staff Review'!$A$8:$A$507,0))</x:f>
        <x:v>191</x:v>
      </x:c>
      <x:c r="J2164" s="1" t="str">
        <x:f>IF(I2164=0,"No",IF(INDEX('Staff Review'!$C$8:$C$507,I2164)="Yes","Yes","No"))</x:f>
        <x:v>No</x:v>
      </x:c>
      <x:c r="K2164" s="1" t="n">
        <x:f>IF(AI2164="Yes",INDEX('Staff Review'!$D$8:$D$507,I2164),IF(AB2164=0,"",IF(COUNT(INDEX($C$1531:$C$2030,AB2164))=1,INDEX($C$1531:$C$2030,AB2164),"")))</x:f>
        <x:v>0.2689432737347327</x:v>
      </x:c>
      <x:c r="L2164" s="1" t="n">
        <x:f>IF(AJ2164="Yes",INDEX('Staff Review'!$F$8:$F$507,I2164),IF(AB2164=0,"",IF(COUNT(INDEX($G$1531:$G$2030,AB2164))=1,INDEX($G$1531:$G$2030,AB2164),"")))</x:f>
        <x:v>10</x:v>
      </x:c>
      <x:c r="M2164" s="1" t="str">
        <x:f>IF(A2164="","",IF(AI2164="Yes","Verified","Listed"))</x:f>
        <x:v>Listed</x:v>
      </x:c>
      <x:c r="N2164" s="1" t="str">
        <x:f>IF(A2164="","",IF(AJ2164="Yes","Verified","Listed"))</x:f>
        <x:v>Listed</x:v>
      </x:c>
      <x:c r="O2164" s="1" t="n">
        <x:f>IF(AND(ISNUMBER(G2164),G2164&gt;=0,G2164&lt;=1),IF(G2164&gt;=0.9,30,IF(G2164&gt;=0.8,25,IF(G2164&gt;=0.7,20,IF(G2164&gt;=0.6,15,IF(G2164&gt;=0.5,10,IF(G2164&gt;=0.4,5,0)))))),"")</x:f>
        <x:v>20</x:v>
      </x:c>
      <x:c r="P2164" s="1" t="n">
        <x:f>IF(ISNUMBER(K2164),IF(K2164&lt;0,"",IF(K2164&gt;1,25,IF(K2164&gt;=0.75,20,IF(K2164&gt;=0.5,15,IF(K2164&gt;=0.25,10,5))))),"")</x:f>
        <x:v>10</x:v>
      </x:c>
      <x:c r="Q2164" s="1" t="n">
        <x:f>IF(NOT(ISNUMBER(L2164)),"",IF(AND(L2164&gt;=0,MOD(L2164,1)=0),MAX(0,25-5*L2164),""))</x:f>
        <x:v>0</x:v>
      </x:c>
      <x:c r="R2164" s="1" t="n">
        <x:f>IF(NOT(ISNUMBER(F2164)),"",IF(AND(F2164&gt;0,MOD(F2164,1)=0),IF(F2164&gt;=700,5,IF(F2164&gt;=500,4,IF(F2164&gt;=350,3,IF(F2164&gt;=200,2,1)))),""))</x:f>
        <x:v>5</x:v>
      </x:c>
      <x:c r="S2164" s="1" t="n">
        <x:f>IF(COUNT(O2164:R2164)=4,SUM(O2164:R2164),"")</x:f>
        <x:v>35</x:v>
      </x:c>
      <x:c r="T2164" s="1" t="n">
        <x:f>IF(OR(COUNT(O2164:R2164)&lt;&gt;4,COUNT('Top 15'!$B$35:$E$35)&lt;&gt;4,MIN('Top 15'!$B$35:$E$35)&lt;0,SUM('Top 15'!$B$35:$E$35)&lt;=0),"",ROUND(85*(O2164/30*'Top 15'!$B$35+P2164/25*'Top 15'!$C$35+Q2164/25*'Top 15'!$D$35+R2164/5*'Top 15'!$E$35)/SUM('Top 15'!$B$35:$E$35),6))</x:f>
        <x:v>35</x:v>
      </x:c>
      <x:c r="U2164" s="1" t="str">
        <x:f>IF(A2164="","",IF(AND(M2164="Verified",N2164="Verified"),"Verified",IF(AND(M2164="Listed",N2164="Listed"),"Listed","Mixed")))</x:f>
        <x:v>Listed</x:v>
      </x:c>
      <x:c r="V2164" s="1" t="str">
        <x:f>IF(A2164="","",IF(AK2164&lt;&gt;1,"Duplicate source ID",IF(COUNTIFS('Staff Review'!$A$8:$A$507,A2164)&gt;1,"Duplicate review ID",IF(H2164&lt;&gt;"Yes","Outside scope",IF(J2164="Yes","Already served",IF(NOT(ISNUMBER(T2164)),"Missing data","Candidate"))))))</x:f>
        <x:v>Candidate</x:v>
      </x:c>
      <x:c r="W2164" s="1" t="n">
        <x:f>IF(AL2164=0,"",1+COUNTIFS($AL$2051:$AL$2550,1,$T$2051:$T$2550,"&gt;"&amp;T2164)+COUNTIFS($AL$2051:$AL$2550,1,$T$2051:$T$2550,T2164,$G$2051:$G$2550,"&gt;"&amp;G2164)+COUNTIFS($AL$2051:$AL$2550,1,$T$2051:$T$2550,T2164,$G$2051:$G$2550,G2164,$F$2051:$F$2550,"&gt;"&amp;F2164)+COUNTIFS($AL$2051:$AL$2550,1,$T$2051:$T$2550,T2164,$G$2051:$G$2550,G2164,$F$2051:$F$2550,F2164,$AM$2051:$AM$2550,"&lt;"&amp;AM2164))</x:f>
        <x:v>216</x:v>
      </x:c>
      <x:c r="X2164" s="1" t="n">
        <x:f>IF(AL2164=0,"",1+COUNTIFS($AL$2051:$AL$2550,1,$T$2051:$T$2550,"&gt;"&amp;T2164))</x:f>
        <x:v>210</x:v>
      </x:c>
      <x:c r="Y2164" s="1" t="n">
        <x:f>IF(AND(H2164="Yes",OR(LEN('School Search'!$B$5)=0,ISNUMBER(SEARCH('School Search'!$B$5,B2164&amp;" "&amp;E2164&amp;" "&amp;A2164))),OR('School Search'!$D$5="All",C2164='School Search'!$D$5),OR('School Search'!$G$5="All eligible",AND('School Search'!$G$5="Not marked served",J2164&lt;&gt;"Yes"),AND('School Search'!$G$5="Missing data",V2164="Missing data"),AND('School Search'!$G$5="Marked served",J2164="Yes"))),1,0)</x:f>
        <x:v>1</x:v>
      </x:c>
      <x:c r="Z2164" s="1" t="n">
        <x:f>IF(Y2164=0,"",COUNTIFS($Y$2051:$Y$2550,1,$AO$2051:$AO$2550,"&lt;"&amp;AO2164)+COUNTIFS($Y$2051:Y2164,1,$AO$2051:AO2164,AO2164))</x:f>
        <x:v>216</x:v>
      </x:c>
      <x:c r="AA2164" s="1" t="str">
        <x:f>IF(NOT(ISNUMBER(S2164)),"Missing demographic or access input",TEXT(G2164,"0%")&amp;" economic need; "&amp;TEXT(K2164,"0.00")&amp;" mi fresh access; "&amp;L2164&amp;" nearby resources")</x:f>
        <x:v>72% economic need; 0.27 mi fresh access; 10 nearby resources</x:v>
      </x:c>
      <x:c r="AB2164" s="1" t="n">
        <x:f>IF(OR(A2164="",COUNTIFS($A$1531:$A$2030,A2164)&lt;&gt;1),0,MATCH(A2164,$A$1531:$A$2030,0))</x:f>
        <x:v>114</x:v>
      </x:c>
      <x:c r="AC2164" s="1" t="str">
        <x:f>IF(AB2164=0,"",INDEX($E$1531:$E$2030,AB2164))</x:f>
        <x:v>Shoprite of Parkside 419</x:v>
      </x:c>
      <x:c r="AD2164" s="1" t="str">
        <x:f>IF(AB2164=0,"",INDEX($F$1531:$F$2030,AB2164))</x:f>
        <x:v>1575 N 52nd St, Philadelphia, PA, 19131</x:v>
      </x:c>
      <x:c r="AE2164" s="1" t="str">
        <x:f>IF(A2164="","",F115)</x:f>
        <x:v>5301 MEDIA ST</x:v>
      </x:c>
      <x:c r="AF2164" s="1" t="n">
        <x:f>IF(ISNUMBER(I115),I115,"")</x:f>
        <x:v>39.975799</x:v>
      </x:c>
      <x:c r="AG2164" s="1" t="n">
        <x:f>IF(ISNUMBER(J115),J115,"")</x:f>
        <x:v>-75.228437</x:v>
      </x:c>
      <x:c r="AH2164" s="1" t="str">
        <x:f>IF(I2164=0,"Not contacted",IF(INDEX('Staff Review'!$J$8:$J$507,I2164)="","Not contacted",INDEX('Staff Review'!$J$8:$J$507,I2164)))</x:f>
        <x:v>Not contacted</x:v>
      </x:c>
      <x:c r="AI2164" s="1" t="str">
        <x:f>IF(I2164=0,"No",IF(AND(COUNT(INDEX('Staff Review'!$D$8:$D$507,I2164))=1,INDEX('Staff Review'!$D$8:$D$507,I2164)&gt;=0,COUNT(INDEX('Staff Review'!$E$8:$E$507,I2164))=1,INDEX('Staff Review'!$E$8:$E$507,I2164)&gt;0,INDEX('Staff Review'!$E$8:$E$507,I2164)&lt;='Top 15'!$E$5,'Top 15'!$E$5-INDEX('Staff Review'!$E$8:$E$507,I2164)&lt;='Top 15'!$H$5,LEN(INDEX('Staff Review'!$H$8:$H$507,I2164))&gt;0),"Yes","No"))</x:f>
        <x:v>No</x:v>
      </x:c>
      <x:c r="AJ2164" s="1" t="str">
        <x:f>IF(I2164=0,"No",IF(COUNT(INDEX('Staff Review'!$F$8:$F$507,I2164))&lt;&gt;1,"No",IF(AND(INDEX('Staff Review'!$F$8:$F$507,I2164)&gt;=0,MOD(INDEX('Staff Review'!$F$8:$F$507,I2164),1)=0,COUNT(INDEX('Staff Review'!$G$8:$G$507,I2164))=1,INDEX('Staff Review'!$G$8:$G$507,I2164)&gt;0,INDEX('Staff Review'!$G$8:$G$507,I2164)&lt;='Top 15'!$E$5,'Top 15'!$E$5-INDEX('Staff Review'!$G$8:$G$507,I2164)&lt;='Top 15'!$H$5,LEN(INDEX('Staff Review'!$H$8:$H$507,I2164))&gt;0),"Yes","No")))</x:f>
        <x:v>No</x:v>
      </x:c>
      <x:c r="AK2164" s="1" t="n">
        <x:f>IF(A2164="",0,COUNTIFS($A$2:$A$501,A2164))</x:f>
        <x:v>1</x:v>
      </x:c>
      <x:c r="AL2164" s="1" t="n">
        <x:f>IF(V2164="Candidate",1,0)</x:f>
        <x:v>1</x:v>
      </x:c>
      <x:c r="AM2164" s="1" t="n">
        <x:f>IF(A2164="",0,VALUE(A2164))</x:f>
        <x:v>3383</x:v>
      </x:c>
      <x:c r="AN2164" s="1" t="n">
        <x:f>IF(OR(A2164="",COUNTIFS($T$41:$T$540,A2164)&lt;&gt;1),0,MATCH(A2164,$T$41:$T$540,0))</x:f>
        <x:v>114</x:v>
      </x:c>
      <x:c r="AO2164" t="n">
        <x:f>IF(ISNUMBER(W2164),W2164,10000+AM2164)</x:f>
        <x:v>216</x:v>
      </x:c>
    </x:row>
    <x:row r="2165" ht="22" customHeight="1">
      <x:c r="A2165" s="1" t="str">
        <x:f>IF(A116="","",A116)</x:f>
        <x:v>3384</x:v>
      </x:c>
      <x:c r="B2165" s="1" t="str">
        <x:f>IF(A2165="","",B116)</x:f>
        <x:v>Folk Arts-Cultural Treasures Charter School</x:v>
      </x:c>
      <x:c r="C2165" s="1" t="str">
        <x:f>IF(A2165="","",C116)</x:f>
        <x:v>Charter</x:v>
      </x:c>
      <x:c r="D2165" s="1" t="str">
        <x:f>IF(A2165="","",E116)</x:f>
        <x:v>Elementary-Middle</x:v>
      </x:c>
      <x:c r="E2165" s="1" t="str">
        <x:f>IF(A2165="","",H116)</x:f>
        <x:v>19123</x:v>
      </x:c>
      <x:c r="F2165" s="1" t="n">
        <x:f>IF(ISNUMBER(K116),K116,"")</x:f>
        <x:v>497</x:v>
      </x:c>
      <x:c r="G2165" s="1" t="n">
        <x:f>IF(ISNUMBER(L116),L116,"")</x:f>
        <x:v>0.4314</x:v>
      </x:c>
      <x:c r="H2165" s="1" t="str">
        <x:f>IF(A2165="","",IF(AND(UPPER(G116)="PHILADELPHIA",OR(C2165="District",AND(C2165="Charter",D116="Yes"))),"Yes","No"))</x:f>
        <x:v>Yes</x:v>
      </x:c>
      <x:c r="I2165" s="1" t="n">
        <x:f>IF(OR(A2165="",COUNTIFS('Staff Review'!$A$8:$A$507,A2165)&lt;&gt;1),0,MATCH(A2165,'Staff Review'!$A$8:$A$507,0))</x:f>
        <x:v>77</x:v>
      </x:c>
      <x:c r="J2165" s="1" t="str">
        <x:f>IF(I2165=0,"No",IF(INDEX('Staff Review'!$C$8:$C$507,I2165)="Yes","Yes","No"))</x:f>
        <x:v>No</x:v>
      </x:c>
      <x:c r="K2165" s="1" t="n">
        <x:f>IF(AI2165="Yes",INDEX('Staff Review'!$D$8:$D$507,I2165),IF(AB2165=0,"",IF(COUNT(INDEX($C$1531:$C$2030,AB2165))=1,INDEX($C$1531:$C$2030,AB2165),"")))</x:f>
        <x:v>0.278375649317113</x:v>
      </x:c>
      <x:c r="L2165" s="1" t="n">
        <x:f>IF(AJ2165="Yes",INDEX('Staff Review'!$F$8:$F$507,I2165),IF(AB2165=0,"",IF(COUNT(INDEX($G$1531:$G$2030,AB2165))=1,INDEX($G$1531:$G$2030,AB2165),"")))</x:f>
        <x:v>11</x:v>
      </x:c>
      <x:c r="M2165" s="1" t="str">
        <x:f>IF(A2165="","",IF(AI2165="Yes","Verified","Listed"))</x:f>
        <x:v>Listed</x:v>
      </x:c>
      <x:c r="N2165" s="1" t="str">
        <x:f>IF(A2165="","",IF(AJ2165="Yes","Verified","Listed"))</x:f>
        <x:v>Listed</x:v>
      </x:c>
      <x:c r="O2165" s="1" t="n">
        <x:f>IF(AND(ISNUMBER(G2165),G2165&gt;=0,G2165&lt;=1),IF(G2165&gt;=0.9,30,IF(G2165&gt;=0.8,25,IF(G2165&gt;=0.7,20,IF(G2165&gt;=0.6,15,IF(G2165&gt;=0.5,10,IF(G2165&gt;=0.4,5,0)))))),"")</x:f>
        <x:v>5</x:v>
      </x:c>
      <x:c r="P2165" s="1" t="n">
        <x:f>IF(ISNUMBER(K2165),IF(K2165&lt;0,"",IF(K2165&gt;1,25,IF(K2165&gt;=0.75,20,IF(K2165&gt;=0.5,15,IF(K2165&gt;=0.25,10,5))))),"")</x:f>
        <x:v>10</x:v>
      </x:c>
      <x:c r="Q2165" s="1" t="n">
        <x:f>IF(NOT(ISNUMBER(L2165)),"",IF(AND(L2165&gt;=0,MOD(L2165,1)=0),MAX(0,25-5*L2165),""))</x:f>
        <x:v>0</x:v>
      </x:c>
      <x:c r="R2165" s="1" t="n">
        <x:f>IF(NOT(ISNUMBER(F2165)),"",IF(AND(F2165&gt;0,MOD(F2165,1)=0),IF(F2165&gt;=700,5,IF(F2165&gt;=500,4,IF(F2165&gt;=350,3,IF(F2165&gt;=200,2,1)))),""))</x:f>
        <x:v>3</x:v>
      </x:c>
      <x:c r="S2165" s="1" t="n">
        <x:f>IF(COUNT(O2165:R2165)=4,SUM(O2165:R2165),"")</x:f>
        <x:v>18</x:v>
      </x:c>
      <x:c r="T2165" s="1" t="n">
        <x:f>IF(OR(COUNT(O2165:R2165)&lt;&gt;4,COUNT('Top 15'!$B$35:$E$35)&lt;&gt;4,MIN('Top 15'!$B$35:$E$35)&lt;0,SUM('Top 15'!$B$35:$E$35)&lt;=0),"",ROUND(85*(O2165/30*'Top 15'!$B$35+P2165/25*'Top 15'!$C$35+Q2165/25*'Top 15'!$D$35+R2165/5*'Top 15'!$E$35)/SUM('Top 15'!$B$35:$E$35),6))</x:f>
        <x:v>18</x:v>
      </x:c>
      <x:c r="U2165" s="1" t="str">
        <x:f>IF(A2165="","",IF(AND(M2165="Verified",N2165="Verified"),"Verified",IF(AND(M2165="Listed",N2165="Listed"),"Listed","Mixed")))</x:f>
        <x:v>Listed</x:v>
      </x:c>
      <x:c r="V2165" s="1" t="str">
        <x:f>IF(A2165="","",IF(AK2165&lt;&gt;1,"Duplicate source ID",IF(COUNTIFS('Staff Review'!$A$8:$A$507,A2165)&gt;1,"Duplicate review ID",IF(H2165&lt;&gt;"Yes","Outside scope",IF(J2165="Yes","Already served",IF(NOT(ISNUMBER(T2165)),"Missing data","Candidate"))))))</x:f>
        <x:v>Candidate</x:v>
      </x:c>
      <x:c r="W2165" s="1" t="n">
        <x:f>IF(AL2165=0,"",1+COUNTIFS($AL$2051:$AL$2550,1,$T$2051:$T$2550,"&gt;"&amp;T2165)+COUNTIFS($AL$2051:$AL$2550,1,$T$2051:$T$2550,T2165,$G$2051:$G$2550,"&gt;"&amp;G2165)+COUNTIFS($AL$2051:$AL$2550,1,$T$2051:$T$2550,T2165,$G$2051:$G$2550,G2165,$F$2051:$F$2550,"&gt;"&amp;F2165)+COUNTIFS($AL$2051:$AL$2550,1,$T$2051:$T$2550,T2165,$G$2051:$G$2550,G2165,$F$2051:$F$2550,F2165,$AM$2051:$AM$2550,"&lt;"&amp;AM2165))</x:f>
        <x:v>282</x:v>
      </x:c>
      <x:c r="X2165" s="1" t="n">
        <x:f>IF(AL2165=0,"",1+COUNTIFS($AL$2051:$AL$2550,1,$T$2051:$T$2550,"&gt;"&amp;T2165))</x:f>
        <x:v>281</x:v>
      </x:c>
      <x:c r="Y2165" s="1" t="n">
        <x:f>IF(AND(H2165="Yes",OR(LEN('School Search'!$B$5)=0,ISNUMBER(SEARCH('School Search'!$B$5,B2165&amp;" "&amp;E2165&amp;" "&amp;A2165))),OR('School Search'!$D$5="All",C2165='School Search'!$D$5),OR('School Search'!$G$5="All eligible",AND('School Search'!$G$5="Not marked served",J2165&lt;&gt;"Yes"),AND('School Search'!$G$5="Missing data",V2165="Missing data"),AND('School Search'!$G$5="Marked served",J2165="Yes"))),1,0)</x:f>
        <x:v>1</x:v>
      </x:c>
      <x:c r="Z2165" s="1" t="n">
        <x:f>IF(Y2165=0,"",COUNTIFS($Y$2051:$Y$2550,1,$AO$2051:$AO$2550,"&lt;"&amp;AO2165)+COUNTIFS($Y$2051:Y2165,1,$AO$2051:AO2165,AO2165))</x:f>
        <x:v>282</x:v>
      </x:c>
      <x:c r="AA2165" s="1" t="str">
        <x:f>IF(NOT(ISNUMBER(S2165)),"Missing demographic or access input",TEXT(G2165,"0%")&amp;" economic need; "&amp;TEXT(K2165,"0.00")&amp;" mi fresh access; "&amp;L2165&amp;" nearby resources")</x:f>
        <x:v>43% economic need; 0.28 mi fresh access; 11 nearby resources</x:v>
      </x:c>
      <x:c r="AB2165" s="1" t="n">
        <x:f>IF(OR(A2165="",COUNTIFS($A$1531:$A$2030,A2165)&lt;&gt;1),0,MATCH(A2165,$A$1531:$A$2030,0))</x:f>
        <x:v>115</x:v>
      </x:c>
      <x:c r="AC2165" s="1" t="str">
        <x:f>IF(AB2165=0,"",INDEX($E$1531:$E$2030,AB2165))</x:f>
        <x:v>Asianfresh</x:v>
      </x:c>
      <x:c r="AD2165" s="1" t="str">
        <x:f>IF(AB2165=0,"",INDEX($F$1531:$F$2030,AB2165))</x:f>
        <x:v>142 N 10th St, Philadelphia, PA, 19107</x:v>
      </x:c>
      <x:c r="AE2165" s="1" t="str">
        <x:f>IF(A2165="","",F116)</x:f>
        <x:v>1023 CALLOWHILL ST</x:v>
      </x:c>
      <x:c r="AF2165" s="1" t="n">
        <x:f>IF(ISNUMBER(I116),I116,"")</x:f>
        <x:v>39.95885103</x:v>
      </x:c>
      <x:c r="AG2165" s="1" t="n">
        <x:f>IF(ISNUMBER(J116),J116,"")</x:f>
        <x:v>-75.15551365</x:v>
      </x:c>
      <x:c r="AH2165" s="1" t="str">
        <x:f>IF(I2165=0,"Not contacted",IF(INDEX('Staff Review'!$J$8:$J$507,I2165)="","Not contacted",INDEX('Staff Review'!$J$8:$J$507,I2165)))</x:f>
        <x:v>Not contacted</x:v>
      </x:c>
      <x:c r="AI2165" s="1" t="str">
        <x:f>IF(I2165=0,"No",IF(AND(COUNT(INDEX('Staff Review'!$D$8:$D$507,I2165))=1,INDEX('Staff Review'!$D$8:$D$507,I2165)&gt;=0,COUNT(INDEX('Staff Review'!$E$8:$E$507,I2165))=1,INDEX('Staff Review'!$E$8:$E$507,I2165)&gt;0,INDEX('Staff Review'!$E$8:$E$507,I2165)&lt;='Top 15'!$E$5,'Top 15'!$E$5-INDEX('Staff Review'!$E$8:$E$507,I2165)&lt;='Top 15'!$H$5,LEN(INDEX('Staff Review'!$H$8:$H$507,I2165))&gt;0),"Yes","No"))</x:f>
        <x:v>No</x:v>
      </x:c>
      <x:c r="AJ2165" s="1" t="str">
        <x:f>IF(I2165=0,"No",IF(COUNT(INDEX('Staff Review'!$F$8:$F$507,I2165))&lt;&gt;1,"No",IF(AND(INDEX('Staff Review'!$F$8:$F$507,I2165)&gt;=0,MOD(INDEX('Staff Review'!$F$8:$F$507,I2165),1)=0,COUNT(INDEX('Staff Review'!$G$8:$G$507,I2165))=1,INDEX('Staff Review'!$G$8:$G$507,I2165)&gt;0,INDEX('Staff Review'!$G$8:$G$507,I2165)&lt;='Top 15'!$E$5,'Top 15'!$E$5-INDEX('Staff Review'!$G$8:$G$507,I2165)&lt;='Top 15'!$H$5,LEN(INDEX('Staff Review'!$H$8:$H$507,I2165))&gt;0),"Yes","No")))</x:f>
        <x:v>No</x:v>
      </x:c>
      <x:c r="AK2165" s="1" t="n">
        <x:f>IF(A2165="",0,COUNTIFS($A$2:$A$501,A2165))</x:f>
        <x:v>1</x:v>
      </x:c>
      <x:c r="AL2165" s="1" t="n">
        <x:f>IF(V2165="Candidate",1,0)</x:f>
        <x:v>1</x:v>
      </x:c>
      <x:c r="AM2165" s="1" t="n">
        <x:f>IF(A2165="",0,VALUE(A2165))</x:f>
        <x:v>3384</x:v>
      </x:c>
      <x:c r="AN2165" s="1" t="n">
        <x:f>IF(OR(A2165="",COUNTIFS($T$41:$T$540,A2165)&lt;&gt;1),0,MATCH(A2165,$T$41:$T$540,0))</x:f>
        <x:v>115</x:v>
      </x:c>
      <x:c r="AO2165" t="n">
        <x:f>IF(ISNUMBER(W2165),W2165,10000+AM2165)</x:f>
        <x:v>282</x:v>
      </x:c>
    </x:row>
    <x:row r="2166" ht="22" customHeight="1">
      <x:c r="A2166" s="1" t="str">
        <x:f>IF(A117="","",A117)</x:f>
        <x:v>3385</x:v>
      </x:c>
      <x:c r="B2166" s="1" t="str">
        <x:f>IF(A2166="","",B117)</x:f>
        <x:v>Mastery Charter School at Thomas Campus</x:v>
      </x:c>
      <x:c r="C2166" s="1" t="str">
        <x:f>IF(A2166="","",C117)</x:f>
        <x:v>Charter</x:v>
      </x:c>
      <x:c r="D2166" s="1" t="str">
        <x:f>IF(A2166="","",E117)</x:f>
        <x:v>Elementary-Middle-High</x:v>
      </x:c>
      <x:c r="E2166" s="1" t="str">
        <x:f>IF(A2166="","",H117)</x:f>
        <x:v>19148</x:v>
      </x:c>
      <x:c r="F2166" s="1" t="n">
        <x:f>IF(ISNUMBER(K117),K117,"")</x:f>
        <x:v>1269</x:v>
      </x:c>
      <x:c r="G2166" s="1" t="n">
        <x:f>IF(ISNUMBER(L117),L117,"")</x:f>
        <x:v>0.9098</x:v>
      </x:c>
      <x:c r="H2166" s="1" t="str">
        <x:f>IF(A2166="","",IF(AND(UPPER(G117)="PHILADELPHIA",OR(C2166="District",AND(C2166="Charter",D117="Yes"))),"Yes","No"))</x:f>
        <x:v>Yes</x:v>
      </x:c>
      <x:c r="I2166" s="1" t="n">
        <x:f>IF(OR(A2166="",COUNTIFS('Staff Review'!$A$8:$A$507,A2166)&lt;&gt;1),0,MATCH(A2166,'Staff Review'!$A$8:$A$507,0))</x:f>
        <x:v>193</x:v>
      </x:c>
      <x:c r="J2166" s="1" t="str">
        <x:f>IF(I2166=0,"No",IF(INDEX('Staff Review'!$C$8:$C$507,I2166)="Yes","Yes","No"))</x:f>
        <x:v>No</x:v>
      </x:c>
      <x:c r="K2166" s="1" t="n">
        <x:f>IF(AI2166="Yes",INDEX('Staff Review'!$D$8:$D$507,I2166),IF(AB2166=0,"",IF(COUNT(INDEX($C$1531:$C$2030,AB2166))=1,INDEX($C$1531:$C$2030,AB2166),"")))</x:f>
        <x:v>0.4334812176688275</x:v>
      </x:c>
      <x:c r="L2166" s="1" t="n">
        <x:f>IF(AJ2166="Yes",INDEX('Staff Review'!$F$8:$F$507,I2166),IF(AB2166=0,"",IF(COUNT(INDEX($G$1531:$G$2030,AB2166))=1,INDEX($G$1531:$G$2030,AB2166),"")))</x:f>
        <x:v>4</x:v>
      </x:c>
      <x:c r="M2166" s="1" t="str">
        <x:f>IF(A2166="","",IF(AI2166="Yes","Verified","Listed"))</x:f>
        <x:v>Listed</x:v>
      </x:c>
      <x:c r="N2166" s="1" t="str">
        <x:f>IF(A2166="","",IF(AJ2166="Yes","Verified","Listed"))</x:f>
        <x:v>Listed</x:v>
      </x:c>
      <x:c r="O2166" s="1" t="n">
        <x:f>IF(AND(ISNUMBER(G2166),G2166&gt;=0,G2166&lt;=1),IF(G2166&gt;=0.9,30,IF(G2166&gt;=0.8,25,IF(G2166&gt;=0.7,20,IF(G2166&gt;=0.6,15,IF(G2166&gt;=0.5,10,IF(G2166&gt;=0.4,5,0)))))),"")</x:f>
        <x:v>30</x:v>
      </x:c>
      <x:c r="P2166" s="1" t="n">
        <x:f>IF(ISNUMBER(K2166),IF(K2166&lt;0,"",IF(K2166&gt;1,25,IF(K2166&gt;=0.75,20,IF(K2166&gt;=0.5,15,IF(K2166&gt;=0.25,10,5))))),"")</x:f>
        <x:v>10</x:v>
      </x:c>
      <x:c r="Q2166" s="1" t="n">
        <x:f>IF(NOT(ISNUMBER(L2166)),"",IF(AND(L2166&gt;=0,MOD(L2166,1)=0),MAX(0,25-5*L2166),""))</x:f>
        <x:v>5</x:v>
      </x:c>
      <x:c r="R2166" s="1" t="n">
        <x:f>IF(NOT(ISNUMBER(F2166)),"",IF(AND(F2166&gt;0,MOD(F2166,1)=0),IF(F2166&gt;=700,5,IF(F2166&gt;=500,4,IF(F2166&gt;=350,3,IF(F2166&gt;=200,2,1)))),""))</x:f>
        <x:v>5</x:v>
      </x:c>
      <x:c r="S2166" s="1" t="n">
        <x:f>IF(COUNT(O2166:R2166)=4,SUM(O2166:R2166),"")</x:f>
        <x:v>50</x:v>
      </x:c>
      <x:c r="T2166" s="1" t="n">
        <x:f>IF(OR(COUNT(O2166:R2166)&lt;&gt;4,COUNT('Top 15'!$B$35:$E$35)&lt;&gt;4,MIN('Top 15'!$B$35:$E$35)&lt;0,SUM('Top 15'!$B$35:$E$35)&lt;=0),"",ROUND(85*(O2166/30*'Top 15'!$B$35+P2166/25*'Top 15'!$C$35+Q2166/25*'Top 15'!$D$35+R2166/5*'Top 15'!$E$35)/SUM('Top 15'!$B$35:$E$35),6))</x:f>
        <x:v>50</x:v>
      </x:c>
      <x:c r="U2166" s="1" t="str">
        <x:f>IF(A2166="","",IF(AND(M2166="Verified",N2166="Verified"),"Verified",IF(AND(M2166="Listed",N2166="Listed"),"Listed","Mixed")))</x:f>
        <x:v>Listed</x:v>
      </x:c>
      <x:c r="V2166" s="1" t="str">
        <x:f>IF(A2166="","",IF(AK2166&lt;&gt;1,"Duplicate source ID",IF(COUNTIFS('Staff Review'!$A$8:$A$507,A2166)&gt;1,"Duplicate review ID",IF(H2166&lt;&gt;"Yes","Outside scope",IF(J2166="Yes","Already served",IF(NOT(ISNUMBER(T2166)),"Missing data","Candidate"))))))</x:f>
        <x:v>Candidate</x:v>
      </x:c>
      <x:c r="W2166" s="1" t="n">
        <x:f>IF(AL2166=0,"",1+COUNTIFS($AL$2051:$AL$2550,1,$T$2051:$T$2550,"&gt;"&amp;T2166)+COUNTIFS($AL$2051:$AL$2550,1,$T$2051:$T$2550,T2166,$G$2051:$G$2550,"&gt;"&amp;G2166)+COUNTIFS($AL$2051:$AL$2550,1,$T$2051:$T$2550,T2166,$G$2051:$G$2550,G2166,$F$2051:$F$2550,"&gt;"&amp;F2166)+COUNTIFS($AL$2051:$AL$2550,1,$T$2051:$T$2550,T2166,$G$2051:$G$2550,G2166,$F$2051:$F$2550,F2166,$AM$2051:$AM$2550,"&lt;"&amp;AM2166))</x:f>
        <x:v>40</x:v>
      </x:c>
      <x:c r="X2166" s="1" t="n">
        <x:f>IF(AL2166=0,"",1+COUNTIFS($AL$2051:$AL$2550,1,$T$2051:$T$2550,"&gt;"&amp;T2166))</x:f>
        <x:v>39</x:v>
      </x:c>
      <x:c r="Y2166" s="1" t="n">
        <x:f>IF(AND(H2166="Yes",OR(LEN('School Search'!$B$5)=0,ISNUMBER(SEARCH('School Search'!$B$5,B2166&amp;" "&amp;E2166&amp;" "&amp;A2166))),OR('School Search'!$D$5="All",C2166='School Search'!$D$5),OR('School Search'!$G$5="All eligible",AND('School Search'!$G$5="Not marked served",J2166&lt;&gt;"Yes"),AND('School Search'!$G$5="Missing data",V2166="Missing data"),AND('School Search'!$G$5="Marked served",J2166="Yes"))),1,0)</x:f>
        <x:v>1</x:v>
      </x:c>
      <x:c r="Z2166" s="1" t="n">
        <x:f>IF(Y2166=0,"",COUNTIFS($Y$2051:$Y$2550,1,$AO$2051:$AO$2550,"&lt;"&amp;AO2166)+COUNTIFS($Y$2051:Y2166,1,$AO$2051:AO2166,AO2166))</x:f>
        <x:v>40</x:v>
      </x:c>
      <x:c r="AA2166" s="1" t="str">
        <x:f>IF(NOT(ISNUMBER(S2166)),"Missing demographic or access input",TEXT(G2166,"0%")&amp;" economic need; "&amp;TEXT(K2166,"0.00")&amp;" mi fresh access; "&amp;L2166&amp;" nearby resources")</x:f>
        <x:v>91% economic need; 0.43 mi fresh access; 4 nearby resources</x:v>
      </x:c>
      <x:c r="AB2166" s="1" t="n">
        <x:f>IF(OR(A2166="",COUNTIFS($A$1531:$A$2030,A2166)&lt;&gt;1),0,MATCH(A2166,$A$1531:$A$2030,0))</x:f>
        <x:v>116</x:v>
      </x:c>
      <x:c r="AC2166" s="1" t="str">
        <x:f>IF(AB2166=0,"",INDEX($E$1531:$E$2030,AB2166))</x:f>
        <x:v>ShopRite of Whitman Plaza 411</x:v>
      </x:c>
      <x:c r="AD2166" s="1" t="str">
        <x:f>IF(AB2166=0,"",INDEX($F$1531:$F$2030,AB2166))</x:f>
        <x:v>330 W Oregon Ave, Philadelphia, PA, 19148</x:v>
      </x:c>
      <x:c r="AE2166" s="1" t="str">
        <x:f>IF(A2166="","",F117)</x:f>
        <x:v>927 JOHNSTON ST</x:v>
      </x:c>
      <x:c r="AF2166" s="1" t="n">
        <x:f>IF(ISNUMBER(I117),I117,"")</x:f>
        <x:v>39.91454096</x:v>
      </x:c>
      <x:c r="AG2166" s="1" t="n">
        <x:f>IF(ISNUMBER(J117),J117,"")</x:f>
        <x:v>-75.16358831</x:v>
      </x:c>
      <x:c r="AH2166" s="1" t="str">
        <x:f>IF(I2166=0,"Not contacted",IF(INDEX('Staff Review'!$J$8:$J$507,I2166)="","Not contacted",INDEX('Staff Review'!$J$8:$J$507,I2166)))</x:f>
        <x:v>Not contacted</x:v>
      </x:c>
      <x:c r="AI2166" s="1" t="str">
        <x:f>IF(I2166=0,"No",IF(AND(COUNT(INDEX('Staff Review'!$D$8:$D$507,I2166))=1,INDEX('Staff Review'!$D$8:$D$507,I2166)&gt;=0,COUNT(INDEX('Staff Review'!$E$8:$E$507,I2166))=1,INDEX('Staff Review'!$E$8:$E$507,I2166)&gt;0,INDEX('Staff Review'!$E$8:$E$507,I2166)&lt;='Top 15'!$E$5,'Top 15'!$E$5-INDEX('Staff Review'!$E$8:$E$507,I2166)&lt;='Top 15'!$H$5,LEN(INDEX('Staff Review'!$H$8:$H$507,I2166))&gt;0),"Yes","No"))</x:f>
        <x:v>No</x:v>
      </x:c>
      <x:c r="AJ2166" s="1" t="str">
        <x:f>IF(I2166=0,"No",IF(COUNT(INDEX('Staff Review'!$F$8:$F$507,I2166))&lt;&gt;1,"No",IF(AND(INDEX('Staff Review'!$F$8:$F$507,I2166)&gt;=0,MOD(INDEX('Staff Review'!$F$8:$F$507,I2166),1)=0,COUNT(INDEX('Staff Review'!$G$8:$G$507,I2166))=1,INDEX('Staff Review'!$G$8:$G$507,I2166)&gt;0,INDEX('Staff Review'!$G$8:$G$507,I2166)&lt;='Top 15'!$E$5,'Top 15'!$E$5-INDEX('Staff Review'!$G$8:$G$507,I2166)&lt;='Top 15'!$H$5,LEN(INDEX('Staff Review'!$H$8:$H$507,I2166))&gt;0),"Yes","No")))</x:f>
        <x:v>No</x:v>
      </x:c>
      <x:c r="AK2166" s="1" t="n">
        <x:f>IF(A2166="",0,COUNTIFS($A$2:$A$501,A2166))</x:f>
        <x:v>1</x:v>
      </x:c>
      <x:c r="AL2166" s="1" t="n">
        <x:f>IF(V2166="Candidate",1,0)</x:f>
        <x:v>1</x:v>
      </x:c>
      <x:c r="AM2166" s="1" t="n">
        <x:f>IF(A2166="",0,VALUE(A2166))</x:f>
        <x:v>3385</x:v>
      </x:c>
      <x:c r="AN2166" s="1" t="n">
        <x:f>IF(OR(A2166="",COUNTIFS($T$41:$T$540,A2166)&lt;&gt;1),0,MATCH(A2166,$T$41:$T$540,0))</x:f>
        <x:v>116</x:v>
      </x:c>
      <x:c r="AO2166" t="n">
        <x:f>IF(ISNUMBER(W2166),W2166,10000+AM2166)</x:f>
        <x:v>40</x:v>
      </x:c>
    </x:row>
    <x:row r="2167" ht="22" customHeight="1">
      <x:c r="A2167" s="1" t="str">
        <x:f>IF(A118="","",A118)</x:f>
        <x:v>3386</x:v>
      </x:c>
      <x:c r="B2167" s="1" t="str">
        <x:f>IF(A2167="","",B118)</x:f>
        <x:v>Northwood Academy Charter School</x:v>
      </x:c>
      <x:c r="C2167" s="1" t="str">
        <x:f>IF(A2167="","",C118)</x:f>
        <x:v>Charter</x:v>
      </x:c>
      <x:c r="D2167" s="1" t="str">
        <x:f>IF(A2167="","",E118)</x:f>
        <x:v>Elementary-Middle</x:v>
      </x:c>
      <x:c r="E2167" s="1" t="str">
        <x:f>IF(A2167="","",H118)</x:f>
        <x:v>19124</x:v>
      </x:c>
      <x:c r="F2167" s="1" t="n">
        <x:f>IF(ISNUMBER(K118),K118,"")</x:f>
        <x:v>801</x:v>
      </x:c>
      <x:c r="G2167" s="1" t="n">
        <x:f>IF(ISNUMBER(L118),L118,"")</x:f>
        <x:v>0.7506</x:v>
      </x:c>
      <x:c r="H2167" s="1" t="str">
        <x:f>IF(A2167="","",IF(AND(UPPER(G118)="PHILADELPHIA",OR(C2167="District",AND(C2167="Charter",D118="Yes"))),"Yes","No"))</x:f>
        <x:v>Yes</x:v>
      </x:c>
      <x:c r="I2167" s="1" t="n">
        <x:f>IF(OR(A2167="",COUNTIFS('Staff Review'!$A$8:$A$507,A2167)&lt;&gt;1),0,MATCH(A2167,'Staff Review'!$A$8:$A$507,0))</x:f>
        <x:v>208</x:v>
      </x:c>
      <x:c r="J2167" s="1" t="str">
        <x:f>IF(I2167=0,"No",IF(INDEX('Staff Review'!$C$8:$C$507,I2167)="Yes","Yes","No"))</x:f>
        <x:v>No</x:v>
      </x:c>
      <x:c r="K2167" s="1" t="n">
        <x:f>IF(AI2167="Yes",INDEX('Staff Review'!$D$8:$D$507,I2167),IF(AB2167=0,"",IF(COUNT(INDEX($C$1531:$C$2030,AB2167))=1,INDEX($C$1531:$C$2030,AB2167),"")))</x:f>
        <x:v>0.05113627391127856</x:v>
      </x:c>
      <x:c r="L2167" s="1" t="n">
        <x:f>IF(AJ2167="Yes",INDEX('Staff Review'!$F$8:$F$507,I2167),IF(AB2167=0,"",IF(COUNT(INDEX($G$1531:$G$2030,AB2167))=1,INDEX($G$1531:$G$2030,AB2167),"")))</x:f>
        <x:v>6</x:v>
      </x:c>
      <x:c r="M2167" s="1" t="str">
        <x:f>IF(A2167="","",IF(AI2167="Yes","Verified","Listed"))</x:f>
        <x:v>Listed</x:v>
      </x:c>
      <x:c r="N2167" s="1" t="str">
        <x:f>IF(A2167="","",IF(AJ2167="Yes","Verified","Listed"))</x:f>
        <x:v>Listed</x:v>
      </x:c>
      <x:c r="O2167" s="1" t="n">
        <x:f>IF(AND(ISNUMBER(G2167),G2167&gt;=0,G2167&lt;=1),IF(G2167&gt;=0.9,30,IF(G2167&gt;=0.8,25,IF(G2167&gt;=0.7,20,IF(G2167&gt;=0.6,15,IF(G2167&gt;=0.5,10,IF(G2167&gt;=0.4,5,0)))))),"")</x:f>
        <x:v>20</x:v>
      </x:c>
      <x:c r="P2167" s="1" t="n">
        <x:f>IF(ISNUMBER(K2167),IF(K2167&lt;0,"",IF(K2167&gt;1,25,IF(K2167&gt;=0.75,20,IF(K2167&gt;=0.5,15,IF(K2167&gt;=0.25,10,5))))),"")</x:f>
        <x:v>5</x:v>
      </x:c>
      <x:c r="Q2167" s="1" t="n">
        <x:f>IF(NOT(ISNUMBER(L2167)),"",IF(AND(L2167&gt;=0,MOD(L2167,1)=0),MAX(0,25-5*L2167),""))</x:f>
        <x:v>0</x:v>
      </x:c>
      <x:c r="R2167" s="1" t="n">
        <x:f>IF(NOT(ISNUMBER(F2167)),"",IF(AND(F2167&gt;0,MOD(F2167,1)=0),IF(F2167&gt;=700,5,IF(F2167&gt;=500,4,IF(F2167&gt;=350,3,IF(F2167&gt;=200,2,1)))),""))</x:f>
        <x:v>5</x:v>
      </x:c>
      <x:c r="S2167" s="1" t="n">
        <x:f>IF(COUNT(O2167:R2167)=4,SUM(O2167:R2167),"")</x:f>
        <x:v>30</x:v>
      </x:c>
      <x:c r="T2167" s="1" t="n">
        <x:f>IF(OR(COUNT(O2167:R2167)&lt;&gt;4,COUNT('Top 15'!$B$35:$E$35)&lt;&gt;4,MIN('Top 15'!$B$35:$E$35)&lt;0,SUM('Top 15'!$B$35:$E$35)&lt;=0),"",ROUND(85*(O2167/30*'Top 15'!$B$35+P2167/25*'Top 15'!$C$35+Q2167/25*'Top 15'!$D$35+R2167/5*'Top 15'!$E$35)/SUM('Top 15'!$B$35:$E$35),6))</x:f>
        <x:v>30</x:v>
      </x:c>
      <x:c r="U2167" s="1" t="str">
        <x:f>IF(A2167="","",IF(AND(M2167="Verified",N2167="Verified"),"Verified",IF(AND(M2167="Listed",N2167="Listed"),"Listed","Mixed")))</x:f>
        <x:v>Listed</x:v>
      </x:c>
      <x:c r="V2167" s="1" t="str">
        <x:f>IF(A2167="","",IF(AK2167&lt;&gt;1,"Duplicate source ID",IF(COUNTIFS('Staff Review'!$A$8:$A$507,A2167)&gt;1,"Duplicate review ID",IF(H2167&lt;&gt;"Yes","Outside scope",IF(J2167="Yes","Already served",IF(NOT(ISNUMBER(T2167)),"Missing data","Candidate"))))))</x:f>
        <x:v>Candidate</x:v>
      </x:c>
      <x:c r="W2167" s="1" t="n">
        <x:f>IF(AL2167=0,"",1+COUNTIFS($AL$2051:$AL$2550,1,$T$2051:$T$2550,"&gt;"&amp;T2167)+COUNTIFS($AL$2051:$AL$2550,1,$T$2051:$T$2550,T2167,$G$2051:$G$2550,"&gt;"&amp;G2167)+COUNTIFS($AL$2051:$AL$2550,1,$T$2051:$T$2550,T2167,$G$2051:$G$2550,G2167,$F$2051:$F$2550,"&gt;"&amp;F2167)+COUNTIFS($AL$2051:$AL$2550,1,$T$2051:$T$2550,T2167,$G$2051:$G$2550,G2167,$F$2051:$F$2550,F2167,$AM$2051:$AM$2550,"&lt;"&amp;AM2167))</x:f>
        <x:v>255</x:v>
      </x:c>
      <x:c r="X2167" s="1" t="n">
        <x:f>IF(AL2167=0,"",1+COUNTIFS($AL$2051:$AL$2550,1,$T$2051:$T$2550,"&gt;"&amp;T2167))</x:f>
        <x:v>253</x:v>
      </x:c>
      <x:c r="Y2167" s="1" t="n">
        <x:f>IF(AND(H2167="Yes",OR(LEN('School Search'!$B$5)=0,ISNUMBER(SEARCH('School Search'!$B$5,B2167&amp;" "&amp;E2167&amp;" "&amp;A2167))),OR('School Search'!$D$5="All",C2167='School Search'!$D$5),OR('School Search'!$G$5="All eligible",AND('School Search'!$G$5="Not marked served",J2167&lt;&gt;"Yes"),AND('School Search'!$G$5="Missing data",V2167="Missing data"),AND('School Search'!$G$5="Marked served",J2167="Yes"))),1,0)</x:f>
        <x:v>1</x:v>
      </x:c>
      <x:c r="Z2167" s="1" t="n">
        <x:f>IF(Y2167=0,"",COUNTIFS($Y$2051:$Y$2550,1,$AO$2051:$AO$2550,"&lt;"&amp;AO2167)+COUNTIFS($Y$2051:Y2167,1,$AO$2051:AO2167,AO2167))</x:f>
        <x:v>255</x:v>
      </x:c>
      <x:c r="AA2167" s="1" t="str">
        <x:f>IF(NOT(ISNUMBER(S2167)),"Missing demographic or access input",TEXT(G2167,"0%")&amp;" economic need; "&amp;TEXT(K2167,"0.00")&amp;" mi fresh access; "&amp;L2167&amp;" nearby resources")</x:f>
        <x:v>75% economic need; 0.05 mi fresh access; 6 nearby resources</x:v>
      </x:c>
      <x:c r="AB2167" s="1" t="n">
        <x:f>IF(OR(A2167="",COUNTIFS($A$1531:$A$2030,A2167)&lt;&gt;1),0,MATCH(A2167,$A$1531:$A$2030,0))</x:f>
        <x:v>117</x:v>
      </x:c>
      <x:c r="AC2167" s="1" t="str">
        <x:f>IF(AB2167=0,"",INDEX($E$1531:$E$2030,AB2167))</x:f>
        <x:v>Castor Avenue Market LLC</x:v>
      </x:c>
      <x:c r="AD2167" s="1" t="str">
        <x:f>IF(AB2167=0,"",INDEX($F$1531:$F$2030,AB2167))</x:f>
        <x:v>900 E Orthodox St, Philadelphia, PA, 19124</x:v>
      </x:c>
      <x:c r="AE2167" s="1" t="str">
        <x:f>IF(A2167="","",F118)</x:f>
        <x:v>4621 CASTOR AVE</x:v>
      </x:c>
      <x:c r="AF2167" s="1" t="n">
        <x:f>IF(ISNUMBER(I118),I118,"")</x:f>
        <x:v>40.02015006</x:v>
      </x:c>
      <x:c r="AG2167" s="1" t="n">
        <x:f>IF(ISNUMBER(J118),J118,"")</x:f>
        <x:v>-75.09523811</x:v>
      </x:c>
      <x:c r="AH2167" s="1" t="str">
        <x:f>IF(I2167=0,"Not contacted",IF(INDEX('Staff Review'!$J$8:$J$507,I2167)="","Not contacted",INDEX('Staff Review'!$J$8:$J$507,I2167)))</x:f>
        <x:v>Not contacted</x:v>
      </x:c>
      <x:c r="AI2167" s="1" t="str">
        <x:f>IF(I2167=0,"No",IF(AND(COUNT(INDEX('Staff Review'!$D$8:$D$507,I2167))=1,INDEX('Staff Review'!$D$8:$D$507,I2167)&gt;=0,COUNT(INDEX('Staff Review'!$E$8:$E$507,I2167))=1,INDEX('Staff Review'!$E$8:$E$507,I2167)&gt;0,INDEX('Staff Review'!$E$8:$E$507,I2167)&lt;='Top 15'!$E$5,'Top 15'!$E$5-INDEX('Staff Review'!$E$8:$E$507,I2167)&lt;='Top 15'!$H$5,LEN(INDEX('Staff Review'!$H$8:$H$507,I2167))&gt;0),"Yes","No"))</x:f>
        <x:v>No</x:v>
      </x:c>
      <x:c r="AJ2167" s="1" t="str">
        <x:f>IF(I2167=0,"No",IF(COUNT(INDEX('Staff Review'!$F$8:$F$507,I2167))&lt;&gt;1,"No",IF(AND(INDEX('Staff Review'!$F$8:$F$507,I2167)&gt;=0,MOD(INDEX('Staff Review'!$F$8:$F$507,I2167),1)=0,COUNT(INDEX('Staff Review'!$G$8:$G$507,I2167))=1,INDEX('Staff Review'!$G$8:$G$507,I2167)&gt;0,INDEX('Staff Review'!$G$8:$G$507,I2167)&lt;='Top 15'!$E$5,'Top 15'!$E$5-INDEX('Staff Review'!$G$8:$G$507,I2167)&lt;='Top 15'!$H$5,LEN(INDEX('Staff Review'!$H$8:$H$507,I2167))&gt;0),"Yes","No")))</x:f>
        <x:v>No</x:v>
      </x:c>
      <x:c r="AK2167" s="1" t="n">
        <x:f>IF(A2167="",0,COUNTIFS($A$2:$A$501,A2167))</x:f>
        <x:v>1</x:v>
      </x:c>
      <x:c r="AL2167" s="1" t="n">
        <x:f>IF(V2167="Candidate",1,0)</x:f>
        <x:v>1</x:v>
      </x:c>
      <x:c r="AM2167" s="1" t="n">
        <x:f>IF(A2167="",0,VALUE(A2167))</x:f>
        <x:v>3386</x:v>
      </x:c>
      <x:c r="AN2167" s="1" t="n">
        <x:f>IF(OR(A2167="",COUNTIFS($T$41:$T$540,A2167)&lt;&gt;1),0,MATCH(A2167,$T$41:$T$540,0))</x:f>
        <x:v>117</x:v>
      </x:c>
      <x:c r="AO2167" t="n">
        <x:f>IF(ISNUMBER(W2167),W2167,10000+AM2167)</x:f>
        <x:v>255</x:v>
      </x:c>
    </x:row>
    <x:row r="2168" ht="22" customHeight="1">
      <x:c r="A2168" s="1" t="str">
        <x:f>IF(A119="","",A119)</x:f>
        <x:v>3388</x:v>
      </x:c>
      <x:c r="B2168" s="1" t="str">
        <x:f>IF(A2168="","",B119)</x:f>
        <x:v>Boys' Latin of Philadelphia Charter School</x:v>
      </x:c>
      <x:c r="C2168" s="1" t="str">
        <x:f>IF(A2168="","",C119)</x:f>
        <x:v>Charter</x:v>
      </x:c>
      <x:c r="D2168" s="1" t="str">
        <x:f>IF(A2168="","",E119)</x:f>
        <x:v>Middle-High</x:v>
      </x:c>
      <x:c r="E2168" s="1" t="str">
        <x:f>IF(A2168="","",H119)</x:f>
        <x:v>19143</x:v>
      </x:c>
      <x:c r="F2168" s="1" t="n">
        <x:f>IF(ISNUMBER(K119),K119,"")</x:f>
        <x:v>768</x:v>
      </x:c>
      <x:c r="G2168" s="1" t="n">
        <x:f>IF(ISNUMBER(L119),L119,"")</x:f>
        <x:v>0.6551</x:v>
      </x:c>
      <x:c r="H2168" s="1" t="str">
        <x:f>IF(A2168="","",IF(AND(UPPER(G119)="PHILADELPHIA",OR(C2168="District",AND(C2168="Charter",D119="Yes"))),"Yes","No"))</x:f>
        <x:v>Yes</x:v>
      </x:c>
      <x:c r="I2168" s="1" t="n">
        <x:f>IF(OR(A2168="",COUNTIFS('Staff Review'!$A$8:$A$507,A2168)&lt;&gt;1),0,MATCH(A2168,'Staff Review'!$A$8:$A$507,0))</x:f>
        <x:v>33</x:v>
      </x:c>
      <x:c r="J2168" s="1" t="str">
        <x:f>IF(I2168=0,"No",IF(INDEX('Staff Review'!$C$8:$C$507,I2168)="Yes","Yes","No"))</x:f>
        <x:v>No</x:v>
      </x:c>
      <x:c r="K2168" s="1" t="n">
        <x:f>IF(AI2168="Yes",INDEX('Staff Review'!$D$8:$D$507,I2168),IF(AB2168=0,"",IF(COUNT(INDEX($C$1531:$C$2030,AB2168))=1,INDEX($C$1531:$C$2030,AB2168),"")))</x:f>
        <x:v>0.4388392431974225</x:v>
      </x:c>
      <x:c r="L2168" s="1" t="n">
        <x:f>IF(AJ2168="Yes",INDEX('Staff Review'!$F$8:$F$507,I2168),IF(AB2168=0,"",IF(COUNT(INDEX($G$1531:$G$2030,AB2168))=1,INDEX($G$1531:$G$2030,AB2168),"")))</x:f>
        <x:v>11</x:v>
      </x:c>
      <x:c r="M2168" s="1" t="str">
        <x:f>IF(A2168="","",IF(AI2168="Yes","Verified","Listed"))</x:f>
        <x:v>Listed</x:v>
      </x:c>
      <x:c r="N2168" s="1" t="str">
        <x:f>IF(A2168="","",IF(AJ2168="Yes","Verified","Listed"))</x:f>
        <x:v>Listed</x:v>
      </x:c>
      <x:c r="O2168" s="1" t="n">
        <x:f>IF(AND(ISNUMBER(G2168),G2168&gt;=0,G2168&lt;=1),IF(G2168&gt;=0.9,30,IF(G2168&gt;=0.8,25,IF(G2168&gt;=0.7,20,IF(G2168&gt;=0.6,15,IF(G2168&gt;=0.5,10,IF(G2168&gt;=0.4,5,0)))))),"")</x:f>
        <x:v>15</x:v>
      </x:c>
      <x:c r="P2168" s="1" t="n">
        <x:f>IF(ISNUMBER(K2168),IF(K2168&lt;0,"",IF(K2168&gt;1,25,IF(K2168&gt;=0.75,20,IF(K2168&gt;=0.5,15,IF(K2168&gt;=0.25,10,5))))),"")</x:f>
        <x:v>10</x:v>
      </x:c>
      <x:c r="Q2168" s="1" t="n">
        <x:f>IF(NOT(ISNUMBER(L2168)),"",IF(AND(L2168&gt;=0,MOD(L2168,1)=0),MAX(0,25-5*L2168),""))</x:f>
        <x:v>0</x:v>
      </x:c>
      <x:c r="R2168" s="1" t="n">
        <x:f>IF(NOT(ISNUMBER(F2168)),"",IF(AND(F2168&gt;0,MOD(F2168,1)=0),IF(F2168&gt;=700,5,IF(F2168&gt;=500,4,IF(F2168&gt;=350,3,IF(F2168&gt;=200,2,1)))),""))</x:f>
        <x:v>5</x:v>
      </x:c>
      <x:c r="S2168" s="1" t="n">
        <x:f>IF(COUNT(O2168:R2168)=4,SUM(O2168:R2168),"")</x:f>
        <x:v>30</x:v>
      </x:c>
      <x:c r="T2168" s="1" t="n">
        <x:f>IF(OR(COUNT(O2168:R2168)&lt;&gt;4,COUNT('Top 15'!$B$35:$E$35)&lt;&gt;4,MIN('Top 15'!$B$35:$E$35)&lt;0,SUM('Top 15'!$B$35:$E$35)&lt;=0),"",ROUND(85*(O2168/30*'Top 15'!$B$35+P2168/25*'Top 15'!$C$35+Q2168/25*'Top 15'!$D$35+R2168/5*'Top 15'!$E$35)/SUM('Top 15'!$B$35:$E$35),6))</x:f>
        <x:v>30</x:v>
      </x:c>
      <x:c r="U2168" s="1" t="str">
        <x:f>IF(A2168="","",IF(AND(M2168="Verified",N2168="Verified"),"Verified",IF(AND(M2168="Listed",N2168="Listed"),"Listed","Mixed")))</x:f>
        <x:v>Listed</x:v>
      </x:c>
      <x:c r="V2168" s="1" t="str">
        <x:f>IF(A2168="","",IF(AK2168&lt;&gt;1,"Duplicate source ID",IF(COUNTIFS('Staff Review'!$A$8:$A$507,A2168)&gt;1,"Duplicate review ID",IF(H2168&lt;&gt;"Yes","Outside scope",IF(J2168="Yes","Already served",IF(NOT(ISNUMBER(T2168)),"Missing data","Candidate"))))))</x:f>
        <x:v>Candidate</x:v>
      </x:c>
      <x:c r="W2168" s="1" t="n">
        <x:f>IF(AL2168=0,"",1+COUNTIFS($AL$2051:$AL$2550,1,$T$2051:$T$2550,"&gt;"&amp;T2168)+COUNTIFS($AL$2051:$AL$2550,1,$T$2051:$T$2550,T2168,$G$2051:$G$2550,"&gt;"&amp;G2168)+COUNTIFS($AL$2051:$AL$2550,1,$T$2051:$T$2550,T2168,$G$2051:$G$2550,G2168,$F$2051:$F$2550,"&gt;"&amp;F2168)+COUNTIFS($AL$2051:$AL$2550,1,$T$2051:$T$2550,T2168,$G$2051:$G$2550,G2168,$F$2051:$F$2550,F2168,$AM$2051:$AM$2550,"&lt;"&amp;AM2168))</x:f>
        <x:v>258</x:v>
      </x:c>
      <x:c r="X2168" s="1" t="n">
        <x:f>IF(AL2168=0,"",1+COUNTIFS($AL$2051:$AL$2550,1,$T$2051:$T$2550,"&gt;"&amp;T2168))</x:f>
        <x:v>253</x:v>
      </x:c>
      <x:c r="Y2168" s="1" t="n">
        <x:f>IF(AND(H2168="Yes",OR(LEN('School Search'!$B$5)=0,ISNUMBER(SEARCH('School Search'!$B$5,B2168&amp;" "&amp;E2168&amp;" "&amp;A2168))),OR('School Search'!$D$5="All",C2168='School Search'!$D$5),OR('School Search'!$G$5="All eligible",AND('School Search'!$G$5="Not marked served",J2168&lt;&gt;"Yes"),AND('School Search'!$G$5="Missing data",V2168="Missing data"),AND('School Search'!$G$5="Marked served",J2168="Yes"))),1,0)</x:f>
        <x:v>1</x:v>
      </x:c>
      <x:c r="Z2168" s="1" t="n">
        <x:f>IF(Y2168=0,"",COUNTIFS($Y$2051:$Y$2550,1,$AO$2051:$AO$2550,"&lt;"&amp;AO2168)+COUNTIFS($Y$2051:Y2168,1,$AO$2051:AO2168,AO2168))</x:f>
        <x:v>258</x:v>
      </x:c>
      <x:c r="AA2168" s="1" t="str">
        <x:f>IF(NOT(ISNUMBER(S2168)),"Missing demographic or access input",TEXT(G2168,"0%")&amp;" economic need; "&amp;TEXT(K2168,"0.00")&amp;" mi fresh access; "&amp;L2168&amp;" nearby resources")</x:f>
        <x:v>66% economic need; 0.44 mi fresh access; 11 nearby resources</x:v>
      </x:c>
      <x:c r="AB2168" s="1" t="n">
        <x:f>IF(OR(A2168="",COUNTIFS($A$1531:$A$2030,A2168)&lt;&gt;1),0,MATCH(A2168,$A$1531:$A$2030,0))</x:f>
        <x:v>118</x:v>
      </x:c>
      <x:c r="AC2168" s="1" t="str">
        <x:f>IF(AB2168=0,"",INDEX($E$1531:$E$2030,AB2168))</x:f>
        <x:v>Cousin's Fresh Market 3 Llc</x:v>
      </x:c>
      <x:c r="AD2168" s="1" t="str">
        <x:f>IF(AB2168=0,"",INDEX($F$1531:$F$2030,AB2168))</x:f>
        <x:v>5704 Baltimore Ave, Philadelphia, PA, 19143</x:v>
      </x:c>
      <x:c r="AE2168" s="1" t="str">
        <x:f>IF(A2168="","",F119)</x:f>
        <x:v>5501 CEDAR AVE</x:v>
      </x:c>
      <x:c r="AF2168" s="1" t="n">
        <x:f>IF(ISNUMBER(I119),I119,"")</x:f>
        <x:v>39.95172558</x:v>
      </x:c>
      <x:c r="AG2168" s="1" t="n">
        <x:f>IF(ISNUMBER(J119),J119,"")</x:f>
        <x:v>-75.23374851</x:v>
      </x:c>
      <x:c r="AH2168" s="1" t="str">
        <x:f>IF(I2168=0,"Not contacted",IF(INDEX('Staff Review'!$J$8:$J$507,I2168)="","Not contacted",INDEX('Staff Review'!$J$8:$J$507,I2168)))</x:f>
        <x:v>Not contacted</x:v>
      </x:c>
      <x:c r="AI2168" s="1" t="str">
        <x:f>IF(I2168=0,"No",IF(AND(COUNT(INDEX('Staff Review'!$D$8:$D$507,I2168))=1,INDEX('Staff Review'!$D$8:$D$507,I2168)&gt;=0,COUNT(INDEX('Staff Review'!$E$8:$E$507,I2168))=1,INDEX('Staff Review'!$E$8:$E$507,I2168)&gt;0,INDEX('Staff Review'!$E$8:$E$507,I2168)&lt;='Top 15'!$E$5,'Top 15'!$E$5-INDEX('Staff Review'!$E$8:$E$507,I2168)&lt;='Top 15'!$H$5,LEN(INDEX('Staff Review'!$H$8:$H$507,I2168))&gt;0),"Yes","No"))</x:f>
        <x:v>No</x:v>
      </x:c>
      <x:c r="AJ2168" s="1" t="str">
        <x:f>IF(I2168=0,"No",IF(COUNT(INDEX('Staff Review'!$F$8:$F$507,I2168))&lt;&gt;1,"No",IF(AND(INDEX('Staff Review'!$F$8:$F$507,I2168)&gt;=0,MOD(INDEX('Staff Review'!$F$8:$F$507,I2168),1)=0,COUNT(INDEX('Staff Review'!$G$8:$G$507,I2168))=1,INDEX('Staff Review'!$G$8:$G$507,I2168)&gt;0,INDEX('Staff Review'!$G$8:$G$507,I2168)&lt;='Top 15'!$E$5,'Top 15'!$E$5-INDEX('Staff Review'!$G$8:$G$507,I2168)&lt;='Top 15'!$H$5,LEN(INDEX('Staff Review'!$H$8:$H$507,I2168))&gt;0),"Yes","No")))</x:f>
        <x:v>No</x:v>
      </x:c>
      <x:c r="AK2168" s="1" t="n">
        <x:f>IF(A2168="",0,COUNTIFS($A$2:$A$501,A2168))</x:f>
        <x:v>1</x:v>
      </x:c>
      <x:c r="AL2168" s="1" t="n">
        <x:f>IF(V2168="Candidate",1,0)</x:f>
        <x:v>1</x:v>
      </x:c>
      <x:c r="AM2168" s="1" t="n">
        <x:f>IF(A2168="",0,VALUE(A2168))</x:f>
        <x:v>3388</x:v>
      </x:c>
      <x:c r="AN2168" s="1" t="n">
        <x:f>IF(OR(A2168="",COUNTIFS($T$41:$T$540,A2168)&lt;&gt;1),0,MATCH(A2168,$T$41:$T$540,0))</x:f>
        <x:v>118</x:v>
      </x:c>
      <x:c r="AO2168" t="n">
        <x:f>IF(ISNUMBER(W2168),W2168,10000+AM2168)</x:f>
        <x:v>258</x:v>
      </x:c>
    </x:row>
    <x:row r="2169" ht="22" customHeight="1">
      <x:c r="A2169" s="1" t="str">
        <x:f>IF(A120="","",A120)</x:f>
        <x:v>3389</x:v>
      </x:c>
      <x:c r="B2169" s="1" t="str">
        <x:f>IF(A2169="","",B120)</x:f>
        <x:v>Keystone Academy Charter School</x:v>
      </x:c>
      <x:c r="C2169" s="1" t="str">
        <x:f>IF(A2169="","",C120)</x:f>
        <x:v>Charter</x:v>
      </x:c>
      <x:c r="D2169" s="1" t="str">
        <x:f>IF(A2169="","",E120)</x:f>
        <x:v>Elementary-Middle</x:v>
      </x:c>
      <x:c r="E2169" s="1" t="str">
        <x:f>IF(A2169="","",H120)</x:f>
        <x:v>19135</x:v>
      </x:c>
      <x:c r="F2169" s="1" t="n">
        <x:f>IF(ISNUMBER(K120),K120,"")</x:f>
        <x:v>649</x:v>
      </x:c>
      <x:c r="G2169" s="1" t="n">
        <x:f>IF(ISNUMBER(L120),L120,"")</x:f>
        <x:v>0.723</x:v>
      </x:c>
      <x:c r="H2169" s="1" t="str">
        <x:f>IF(A2169="","",IF(AND(UPPER(G120)="PHILADELPHIA",OR(C2169="District",AND(C2169="Charter",D120="Yes"))),"Yes","No"))</x:f>
        <x:v>Yes</x:v>
      </x:c>
      <x:c r="I2169" s="1" t="n">
        <x:f>IF(OR(A2169="",COUNTIFS('Staff Review'!$A$8:$A$507,A2169)&lt;&gt;1),0,MATCH(A2169,'Staff Review'!$A$8:$A$507,0))</x:f>
        <x:v>160</x:v>
      </x:c>
      <x:c r="J2169" s="1" t="str">
        <x:f>IF(I2169=0,"No",IF(INDEX('Staff Review'!$C$8:$C$507,I2169)="Yes","Yes","No"))</x:f>
        <x:v>No</x:v>
      </x:c>
      <x:c r="K2169" s="1" t="n">
        <x:f>IF(AI2169="Yes",INDEX('Staff Review'!$D$8:$D$507,I2169),IF(AB2169=0,"",IF(COUNT(INDEX($C$1531:$C$2030,AB2169))=1,INDEX($C$1531:$C$2030,AB2169),"")))</x:f>
        <x:v>0.46155674922950946</x:v>
      </x:c>
      <x:c r="L2169" s="1" t="n">
        <x:f>IF(AJ2169="Yes",INDEX('Staff Review'!$F$8:$F$507,I2169),IF(AB2169=0,"",IF(COUNT(INDEX($G$1531:$G$2030,AB2169))=1,INDEX($G$1531:$G$2030,AB2169),"")))</x:f>
        <x:v>6</x:v>
      </x:c>
      <x:c r="M2169" s="1" t="str">
        <x:f>IF(A2169="","",IF(AI2169="Yes","Verified","Listed"))</x:f>
        <x:v>Listed</x:v>
      </x:c>
      <x:c r="N2169" s="1" t="str">
        <x:f>IF(A2169="","",IF(AJ2169="Yes","Verified","Listed"))</x:f>
        <x:v>Listed</x:v>
      </x:c>
      <x:c r="O2169" s="1" t="n">
        <x:f>IF(AND(ISNUMBER(G2169),G2169&gt;=0,G2169&lt;=1),IF(G2169&gt;=0.9,30,IF(G2169&gt;=0.8,25,IF(G2169&gt;=0.7,20,IF(G2169&gt;=0.6,15,IF(G2169&gt;=0.5,10,IF(G2169&gt;=0.4,5,0)))))),"")</x:f>
        <x:v>20</x:v>
      </x:c>
      <x:c r="P2169" s="1" t="n">
        <x:f>IF(ISNUMBER(K2169),IF(K2169&lt;0,"",IF(K2169&gt;1,25,IF(K2169&gt;=0.75,20,IF(K2169&gt;=0.5,15,IF(K2169&gt;=0.25,10,5))))),"")</x:f>
        <x:v>10</x:v>
      </x:c>
      <x:c r="Q2169" s="1" t="n">
        <x:f>IF(NOT(ISNUMBER(L2169)),"",IF(AND(L2169&gt;=0,MOD(L2169,1)=0),MAX(0,25-5*L2169),""))</x:f>
        <x:v>0</x:v>
      </x:c>
      <x:c r="R2169" s="1" t="n">
        <x:f>IF(NOT(ISNUMBER(F2169)),"",IF(AND(F2169&gt;0,MOD(F2169,1)=0),IF(F2169&gt;=700,5,IF(F2169&gt;=500,4,IF(F2169&gt;=350,3,IF(F2169&gt;=200,2,1)))),""))</x:f>
        <x:v>4</x:v>
      </x:c>
      <x:c r="S2169" s="1" t="n">
        <x:f>IF(COUNT(O2169:R2169)=4,SUM(O2169:R2169),"")</x:f>
        <x:v>34</x:v>
      </x:c>
      <x:c r="T2169" s="1" t="n">
        <x:f>IF(OR(COUNT(O2169:R2169)&lt;&gt;4,COUNT('Top 15'!$B$35:$E$35)&lt;&gt;4,MIN('Top 15'!$B$35:$E$35)&lt;0,SUM('Top 15'!$B$35:$E$35)&lt;=0),"",ROUND(85*(O2169/30*'Top 15'!$B$35+P2169/25*'Top 15'!$C$35+Q2169/25*'Top 15'!$D$35+R2169/5*'Top 15'!$E$35)/SUM('Top 15'!$B$35:$E$35),6))</x:f>
        <x:v>34</x:v>
      </x:c>
      <x:c r="U2169" s="1" t="str">
        <x:f>IF(A2169="","",IF(AND(M2169="Verified",N2169="Verified"),"Verified",IF(AND(M2169="Listed",N2169="Listed"),"Listed","Mixed")))</x:f>
        <x:v>Listed</x:v>
      </x:c>
      <x:c r="V2169" s="1" t="str">
        <x:f>IF(A2169="","",IF(AK2169&lt;&gt;1,"Duplicate source ID",IF(COUNTIFS('Staff Review'!$A$8:$A$507,A2169)&gt;1,"Duplicate review ID",IF(H2169&lt;&gt;"Yes","Outside scope",IF(J2169="Yes","Already served",IF(NOT(ISNUMBER(T2169)),"Missing data","Candidate"))))))</x:f>
        <x:v>Candidate</x:v>
      </x:c>
      <x:c r="W2169" s="1" t="n">
        <x:f>IF(AL2169=0,"",1+COUNTIFS($AL$2051:$AL$2550,1,$T$2051:$T$2550,"&gt;"&amp;T2169)+COUNTIFS($AL$2051:$AL$2550,1,$T$2051:$T$2550,T2169,$G$2051:$G$2550,"&gt;"&amp;G2169)+COUNTIFS($AL$2051:$AL$2550,1,$T$2051:$T$2550,T2169,$G$2051:$G$2550,G2169,$F$2051:$F$2550,"&gt;"&amp;F2169)+COUNTIFS($AL$2051:$AL$2550,1,$T$2051:$T$2550,T2169,$G$2051:$G$2550,G2169,$F$2051:$F$2550,F2169,$AM$2051:$AM$2550,"&lt;"&amp;AM2169))</x:f>
        <x:v>230</x:v>
      </x:c>
      <x:c r="X2169" s="1" t="n">
        <x:f>IF(AL2169=0,"",1+COUNTIFS($AL$2051:$AL$2550,1,$T$2051:$T$2550,"&gt;"&amp;T2169))</x:f>
        <x:v>221</x:v>
      </x:c>
      <x:c r="Y2169" s="1" t="n">
        <x:f>IF(AND(H2169="Yes",OR(LEN('School Search'!$B$5)=0,ISNUMBER(SEARCH('School Search'!$B$5,B2169&amp;" "&amp;E2169&amp;" "&amp;A2169))),OR('School Search'!$D$5="All",C2169='School Search'!$D$5),OR('School Search'!$G$5="All eligible",AND('School Search'!$G$5="Not marked served",J2169&lt;&gt;"Yes"),AND('School Search'!$G$5="Missing data",V2169="Missing data"),AND('School Search'!$G$5="Marked served",J2169="Yes"))),1,0)</x:f>
        <x:v>1</x:v>
      </x:c>
      <x:c r="Z2169" s="1" t="n">
        <x:f>IF(Y2169=0,"",COUNTIFS($Y$2051:$Y$2550,1,$AO$2051:$AO$2550,"&lt;"&amp;AO2169)+COUNTIFS($Y$2051:Y2169,1,$AO$2051:AO2169,AO2169))</x:f>
        <x:v>230</x:v>
      </x:c>
      <x:c r="AA2169" s="1" t="str">
        <x:f>IF(NOT(ISNUMBER(S2169)),"Missing demographic or access input",TEXT(G2169,"0%")&amp;" economic need; "&amp;TEXT(K2169,"0.00")&amp;" mi fresh access; "&amp;L2169&amp;" nearby resources")</x:f>
        <x:v>72% economic need; 0.46 mi fresh access; 6 nearby resources</x:v>
      </x:c>
      <x:c r="AB2169" s="1" t="n">
        <x:f>IF(OR(A2169="",COUNTIFS($A$1531:$A$2030,A2169)&lt;&gt;1),0,MATCH(A2169,$A$1531:$A$2030,0))</x:f>
        <x:v>119</x:v>
      </x:c>
      <x:c r="AC2169" s="1" t="str">
        <x:f>IF(AB2169=0,"",INDEX($E$1531:$E$2030,AB2169))</x:f>
        <x:v>SAVE-A-LOT 60132</x:v>
      </x:c>
      <x:c r="AD2169" s="1" t="str">
        <x:f>IF(AB2169=0,"",INDEX($F$1531:$F$2030,AB2169))</x:f>
        <x:v>6801 Frankford Ave, Philadelphia, PA, 19135</x:v>
      </x:c>
      <x:c r="AE2169" s="1" t="str">
        <x:f>IF(A2169="","",F120)</x:f>
        <x:v>4521 LONGSHORE AVE</x:v>
      </x:c>
      <x:c r="AF2169" s="1" t="n">
        <x:f>IF(ISNUMBER(I120),I120,"")</x:f>
        <x:v>40.0276042</x:v>
      </x:c>
      <x:c r="AG2169" s="1" t="n">
        <x:f>IF(ISNUMBER(J120),J120,"")</x:f>
        <x:v>-75.0435822</x:v>
      </x:c>
      <x:c r="AH2169" s="1" t="str">
        <x:f>IF(I2169=0,"Not contacted",IF(INDEX('Staff Review'!$J$8:$J$507,I2169)="","Not contacted",INDEX('Staff Review'!$J$8:$J$507,I2169)))</x:f>
        <x:v>Not contacted</x:v>
      </x:c>
      <x:c r="AI2169" s="1" t="str">
        <x:f>IF(I2169=0,"No",IF(AND(COUNT(INDEX('Staff Review'!$D$8:$D$507,I2169))=1,INDEX('Staff Review'!$D$8:$D$507,I2169)&gt;=0,COUNT(INDEX('Staff Review'!$E$8:$E$507,I2169))=1,INDEX('Staff Review'!$E$8:$E$507,I2169)&gt;0,INDEX('Staff Review'!$E$8:$E$507,I2169)&lt;='Top 15'!$E$5,'Top 15'!$E$5-INDEX('Staff Review'!$E$8:$E$507,I2169)&lt;='Top 15'!$H$5,LEN(INDEX('Staff Review'!$H$8:$H$507,I2169))&gt;0),"Yes","No"))</x:f>
        <x:v>No</x:v>
      </x:c>
      <x:c r="AJ2169" s="1" t="str">
        <x:f>IF(I2169=0,"No",IF(COUNT(INDEX('Staff Review'!$F$8:$F$507,I2169))&lt;&gt;1,"No",IF(AND(INDEX('Staff Review'!$F$8:$F$507,I2169)&gt;=0,MOD(INDEX('Staff Review'!$F$8:$F$507,I2169),1)=0,COUNT(INDEX('Staff Review'!$G$8:$G$507,I2169))=1,INDEX('Staff Review'!$G$8:$G$507,I2169)&gt;0,INDEX('Staff Review'!$G$8:$G$507,I2169)&lt;='Top 15'!$E$5,'Top 15'!$E$5-INDEX('Staff Review'!$G$8:$G$507,I2169)&lt;='Top 15'!$H$5,LEN(INDEX('Staff Review'!$H$8:$H$507,I2169))&gt;0),"Yes","No")))</x:f>
        <x:v>No</x:v>
      </x:c>
      <x:c r="AK2169" s="1" t="n">
        <x:f>IF(A2169="",0,COUNTIFS($A$2:$A$501,A2169))</x:f>
        <x:v>1</x:v>
      </x:c>
      <x:c r="AL2169" s="1" t="n">
        <x:f>IF(V2169="Candidate",1,0)</x:f>
        <x:v>1</x:v>
      </x:c>
      <x:c r="AM2169" s="1" t="n">
        <x:f>IF(A2169="",0,VALUE(A2169))</x:f>
        <x:v>3389</x:v>
      </x:c>
      <x:c r="AN2169" s="1" t="n">
        <x:f>IF(OR(A2169="",COUNTIFS($T$41:$T$540,A2169)&lt;&gt;1),0,MATCH(A2169,$T$41:$T$540,0))</x:f>
        <x:v>119</x:v>
      </x:c>
      <x:c r="AO2169" t="n">
        <x:f>IF(ISNUMBER(W2169),W2169,10000+AM2169)</x:f>
        <x:v>230</x:v>
      </x:c>
    </x:row>
    <x:row r="2170" ht="22" customHeight="1">
      <x:c r="A2170" s="1" t="str">
        <x:f>IF(A121="","",A121)</x:f>
        <x:v>3392</x:v>
      </x:c>
      <x:c r="B2170" s="1" t="str">
        <x:f>IF(A2170="","",B121)</x:f>
        <x:v>Southwest Leadership Academy Charter School</x:v>
      </x:c>
      <x:c r="C2170" s="1" t="str">
        <x:f>IF(A2170="","",C121)</x:f>
        <x:v>Charter</x:v>
      </x:c>
      <x:c r="D2170" s="1" t="str">
        <x:f>IF(A2170="","",E121)</x:f>
        <x:v>Elementary-Middle</x:v>
      </x:c>
      <x:c r="E2170" s="1" t="str">
        <x:f>IF(A2170="","",H121)</x:f>
        <x:v>19142</x:v>
      </x:c>
      <x:c r="F2170" s="1" t="n">
        <x:f>IF(ISNUMBER(K121),K121,"")</x:f>
        <x:v>690</x:v>
      </x:c>
      <x:c r="G2170" s="1" t="n">
        <x:f>IF(ISNUMBER(L121),L121,"")</x:f>
        <x:v>1</x:v>
      </x:c>
      <x:c r="H2170" s="1" t="str">
        <x:f>IF(A2170="","",IF(AND(UPPER(G121)="PHILADELPHIA",OR(C2170="District",AND(C2170="Charter",D121="Yes"))),"Yes","No"))</x:f>
        <x:v>Yes</x:v>
      </x:c>
      <x:c r="I2170" s="1" t="n">
        <x:f>IF(OR(A2170="",COUNTIFS('Staff Review'!$A$8:$A$507,A2170)&lt;&gt;1),0,MATCH(A2170,'Staff Review'!$A$8:$A$507,0))</x:f>
        <x:v>273</x:v>
      </x:c>
      <x:c r="J2170" s="1" t="str">
        <x:f>IF(I2170=0,"No",IF(INDEX('Staff Review'!$C$8:$C$507,I2170)="Yes","Yes","No"))</x:f>
        <x:v>No</x:v>
      </x:c>
      <x:c r="K2170" s="1" t="n">
        <x:f>IF(AI2170="Yes",INDEX('Staff Review'!$D$8:$D$507,I2170),IF(AB2170=0,"",IF(COUNT(INDEX($C$1531:$C$2030,AB2170))=1,INDEX($C$1531:$C$2030,AB2170),"")))</x:f>
        <x:v>0.7433139904360148</x:v>
      </x:c>
      <x:c r="L2170" s="1" t="n">
        <x:f>IF(AJ2170="Yes",INDEX('Staff Review'!$F$8:$F$507,I2170),IF(AB2170=0,"",IF(COUNT(INDEX($G$1531:$G$2030,AB2170))=1,INDEX($G$1531:$G$2030,AB2170),"")))</x:f>
        <x:v>2</x:v>
      </x:c>
      <x:c r="M2170" s="1" t="str">
        <x:f>IF(A2170="","",IF(AI2170="Yes","Verified","Listed"))</x:f>
        <x:v>Listed</x:v>
      </x:c>
      <x:c r="N2170" s="1" t="str">
        <x:f>IF(A2170="","",IF(AJ2170="Yes","Verified","Listed"))</x:f>
        <x:v>Listed</x:v>
      </x:c>
      <x:c r="O2170" s="1" t="n">
        <x:f>IF(AND(ISNUMBER(G2170),G2170&gt;=0,G2170&lt;=1),IF(G2170&gt;=0.9,30,IF(G2170&gt;=0.8,25,IF(G2170&gt;=0.7,20,IF(G2170&gt;=0.6,15,IF(G2170&gt;=0.5,10,IF(G2170&gt;=0.4,5,0)))))),"")</x:f>
        <x:v>30</x:v>
      </x:c>
      <x:c r="P2170" s="1" t="n">
        <x:f>IF(ISNUMBER(K2170),IF(K2170&lt;0,"",IF(K2170&gt;1,25,IF(K2170&gt;=0.75,20,IF(K2170&gt;=0.5,15,IF(K2170&gt;=0.25,10,5))))),"")</x:f>
        <x:v>15</x:v>
      </x:c>
      <x:c r="Q2170" s="1" t="n">
        <x:f>IF(NOT(ISNUMBER(L2170)),"",IF(AND(L2170&gt;=0,MOD(L2170,1)=0),MAX(0,25-5*L2170),""))</x:f>
        <x:v>15</x:v>
      </x:c>
      <x:c r="R2170" s="1" t="n">
        <x:f>IF(NOT(ISNUMBER(F2170)),"",IF(AND(F2170&gt;0,MOD(F2170,1)=0),IF(F2170&gt;=700,5,IF(F2170&gt;=500,4,IF(F2170&gt;=350,3,IF(F2170&gt;=200,2,1)))),""))</x:f>
        <x:v>4</x:v>
      </x:c>
      <x:c r="S2170" s="1" t="n">
        <x:f>IF(COUNT(O2170:R2170)=4,SUM(O2170:R2170),"")</x:f>
        <x:v>64</x:v>
      </x:c>
      <x:c r="T2170" s="1" t="n">
        <x:f>IF(OR(COUNT(O2170:R2170)&lt;&gt;4,COUNT('Top 15'!$B$35:$E$35)&lt;&gt;4,MIN('Top 15'!$B$35:$E$35)&lt;0,SUM('Top 15'!$B$35:$E$35)&lt;=0),"",ROUND(85*(O2170/30*'Top 15'!$B$35+P2170/25*'Top 15'!$C$35+Q2170/25*'Top 15'!$D$35+R2170/5*'Top 15'!$E$35)/SUM('Top 15'!$B$35:$E$35),6))</x:f>
        <x:v>64</x:v>
      </x:c>
      <x:c r="U2170" s="1" t="str">
        <x:f>IF(A2170="","",IF(AND(M2170="Verified",N2170="Verified"),"Verified",IF(AND(M2170="Listed",N2170="Listed"),"Listed","Mixed")))</x:f>
        <x:v>Listed</x:v>
      </x:c>
      <x:c r="V2170" s="1" t="str">
        <x:f>IF(A2170="","",IF(AK2170&lt;&gt;1,"Duplicate source ID",IF(COUNTIFS('Staff Review'!$A$8:$A$507,A2170)&gt;1,"Duplicate review ID",IF(H2170&lt;&gt;"Yes","Outside scope",IF(J2170="Yes","Already served",IF(NOT(ISNUMBER(T2170)),"Missing data","Candidate"))))))</x:f>
        <x:v>Candidate</x:v>
      </x:c>
      <x:c r="W2170" s="1" t="n">
        <x:f>IF(AL2170=0,"",1+COUNTIFS($AL$2051:$AL$2550,1,$T$2051:$T$2550,"&gt;"&amp;T2170)+COUNTIFS($AL$2051:$AL$2550,1,$T$2051:$T$2550,T2170,$G$2051:$G$2550,"&gt;"&amp;G2170)+COUNTIFS($AL$2051:$AL$2550,1,$T$2051:$T$2550,T2170,$G$2051:$G$2550,G2170,$F$2051:$F$2550,"&gt;"&amp;F2170)+COUNTIFS($AL$2051:$AL$2550,1,$T$2051:$T$2550,T2170,$G$2051:$G$2550,G2170,$F$2051:$F$2550,F2170,$AM$2051:$AM$2550,"&lt;"&amp;AM2170))</x:f>
        <x:v>4</x:v>
      </x:c>
      <x:c r="X2170" s="1" t="n">
        <x:f>IF(AL2170=0,"",1+COUNTIFS($AL$2051:$AL$2550,1,$T$2051:$T$2550,"&gt;"&amp;T2170))</x:f>
        <x:v>4</x:v>
      </x:c>
      <x:c r="Y2170" s="1" t="n">
        <x:f>IF(AND(H2170="Yes",OR(LEN('School Search'!$B$5)=0,ISNUMBER(SEARCH('School Search'!$B$5,B2170&amp;" "&amp;E2170&amp;" "&amp;A2170))),OR('School Search'!$D$5="All",C2170='School Search'!$D$5),OR('School Search'!$G$5="All eligible",AND('School Search'!$G$5="Not marked served",J2170&lt;&gt;"Yes"),AND('School Search'!$G$5="Missing data",V2170="Missing data"),AND('School Search'!$G$5="Marked served",J2170="Yes"))),1,0)</x:f>
        <x:v>1</x:v>
      </x:c>
      <x:c r="Z2170" s="1" t="n">
        <x:f>IF(Y2170=0,"",COUNTIFS($Y$2051:$Y$2550,1,$AO$2051:$AO$2550,"&lt;"&amp;AO2170)+COUNTIFS($Y$2051:Y2170,1,$AO$2051:AO2170,AO2170))</x:f>
        <x:v>4</x:v>
      </x:c>
      <x:c r="AA2170" s="1" t="str">
        <x:f>IF(NOT(ISNUMBER(S2170)),"Missing demographic or access input",TEXT(G2170,"0%")&amp;" economic need; "&amp;TEXT(K2170,"0.00")&amp;" mi fresh access; "&amp;L2170&amp;" nearby resources")</x:f>
        <x:v>100% economic need; 0.74 mi fresh access; 2 nearby resources</x:v>
      </x:c>
      <x:c r="AB2170" s="1" t="n">
        <x:f>IF(OR(A2170="",COUNTIFS($A$1531:$A$2030,A2170)&lt;&gt;1),0,MATCH(A2170,$A$1531:$A$2030,0))</x:f>
        <x:v>120</x:v>
      </x:c>
      <x:c r="AC2170" s="1" t="str">
        <x:f>IF(AB2170=0,"",INDEX($E$1531:$E$2030,AB2170))</x:f>
        <x:v>Cousin's Fresh Market Inc</x:v>
      </x:c>
      <x:c r="AD2170" s="1" t="str">
        <x:f>IF(AB2170=0,"",INDEX($F$1531:$F$2030,AB2170))</x:f>
        <x:v>6411 Woodland Ave, Philadelphia, PA, 19142</x:v>
      </x:c>
      <x:c r="AE2170" s="1" t="str">
        <x:f>IF(A2170="","",F121)</x:f>
        <x:v>7101 PASCHALL AVE</x:v>
      </x:c>
      <x:c r="AF2170" s="1" t="n">
        <x:f>IF(ISNUMBER(I121),I121,"")</x:f>
        <x:v>39.918099</x:v>
      </x:c>
      <x:c r="AG2170" s="1" t="n">
        <x:f>IF(ISNUMBER(J121),J121,"")</x:f>
        <x:v>-75.2426</x:v>
      </x:c>
      <x:c r="AH2170" s="1" t="str">
        <x:f>IF(I2170=0,"Not contacted",IF(INDEX('Staff Review'!$J$8:$J$507,I2170)="","Not contacted",INDEX('Staff Review'!$J$8:$J$507,I2170)))</x:f>
        <x:v>Not contacted</x:v>
      </x:c>
      <x:c r="AI2170" s="1" t="str">
        <x:f>IF(I2170=0,"No",IF(AND(COUNT(INDEX('Staff Review'!$D$8:$D$507,I2170))=1,INDEX('Staff Review'!$D$8:$D$507,I2170)&gt;=0,COUNT(INDEX('Staff Review'!$E$8:$E$507,I2170))=1,INDEX('Staff Review'!$E$8:$E$507,I2170)&gt;0,INDEX('Staff Review'!$E$8:$E$507,I2170)&lt;='Top 15'!$E$5,'Top 15'!$E$5-INDEX('Staff Review'!$E$8:$E$507,I2170)&lt;='Top 15'!$H$5,LEN(INDEX('Staff Review'!$H$8:$H$507,I2170))&gt;0),"Yes","No"))</x:f>
        <x:v>No</x:v>
      </x:c>
      <x:c r="AJ2170" s="1" t="str">
        <x:f>IF(I2170=0,"No",IF(COUNT(INDEX('Staff Review'!$F$8:$F$507,I2170))&lt;&gt;1,"No",IF(AND(INDEX('Staff Review'!$F$8:$F$507,I2170)&gt;=0,MOD(INDEX('Staff Review'!$F$8:$F$507,I2170),1)=0,COUNT(INDEX('Staff Review'!$G$8:$G$507,I2170))=1,INDEX('Staff Review'!$G$8:$G$507,I2170)&gt;0,INDEX('Staff Review'!$G$8:$G$507,I2170)&lt;='Top 15'!$E$5,'Top 15'!$E$5-INDEX('Staff Review'!$G$8:$G$507,I2170)&lt;='Top 15'!$H$5,LEN(INDEX('Staff Review'!$H$8:$H$507,I2170))&gt;0),"Yes","No")))</x:f>
        <x:v>No</x:v>
      </x:c>
      <x:c r="AK2170" s="1" t="n">
        <x:f>IF(A2170="",0,COUNTIFS($A$2:$A$501,A2170))</x:f>
        <x:v>1</x:v>
      </x:c>
      <x:c r="AL2170" s="1" t="n">
        <x:f>IF(V2170="Candidate",1,0)</x:f>
        <x:v>1</x:v>
      </x:c>
      <x:c r="AM2170" s="1" t="n">
        <x:f>IF(A2170="",0,VALUE(A2170))</x:f>
        <x:v>3392</x:v>
      </x:c>
      <x:c r="AN2170" s="1" t="n">
        <x:f>IF(OR(A2170="",COUNTIFS($T$41:$T$540,A2170)&lt;&gt;1),0,MATCH(A2170,$T$41:$T$540,0))</x:f>
        <x:v>120</x:v>
      </x:c>
      <x:c r="AO2170" t="n">
        <x:f>IF(ISNUMBER(W2170),W2170,10000+AM2170)</x:f>
        <x:v>4</x:v>
      </x:c>
    </x:row>
    <x:row r="2171" ht="22" customHeight="1">
      <x:c r="A2171" s="1" t="str">
        <x:f>IF(A122="","",A122)</x:f>
        <x:v>3393</x:v>
      </x:c>
      <x:c r="B2171" s="1" t="str">
        <x:f>IF(A2171="","",B122)</x:f>
        <x:v>Mastery Charter School at Pickett</x:v>
      </x:c>
      <x:c r="C2171" s="1" t="str">
        <x:f>IF(A2171="","",C122)</x:f>
        <x:v>Charter</x:v>
      </x:c>
      <x:c r="D2171" s="1" t="str">
        <x:f>IF(A2171="","",E122)</x:f>
        <x:v>Middle-High</x:v>
      </x:c>
      <x:c r="E2171" s="1" t="str">
        <x:f>IF(A2171="","",H122)</x:f>
        <x:v>19144</x:v>
      </x:c>
      <x:c r="F2171" s="1" t="n">
        <x:f>IF(ISNUMBER(K122),K122,"")</x:f>
        <x:v>903</x:v>
      </x:c>
      <x:c r="G2171" s="1" t="n">
        <x:f>IF(ISNUMBER(L122),L122,"")</x:f>
        <x:v>0.8035</x:v>
      </x:c>
      <x:c r="H2171" s="1" t="str">
        <x:f>IF(A2171="","",IF(AND(UPPER(G122)="PHILADELPHIA",OR(C2171="District",AND(C2171="Charter",D122="Yes"))),"Yes","No"))</x:f>
        <x:v>Yes</x:v>
      </x:c>
      <x:c r="I2171" s="1" t="n">
        <x:f>IF(OR(A2171="",COUNTIFS('Staff Review'!$A$8:$A$507,A2171)&lt;&gt;1),0,MATCH(A2171,'Staff Review'!$A$8:$A$507,0))</x:f>
        <x:v>190</x:v>
      </x:c>
      <x:c r="J2171" s="1" t="str">
        <x:f>IF(I2171=0,"No",IF(INDEX('Staff Review'!$C$8:$C$507,I2171)="Yes","Yes","No"))</x:f>
        <x:v>No</x:v>
      </x:c>
      <x:c r="K2171" s="1" t="n">
        <x:f>IF(AI2171="Yes",INDEX('Staff Review'!$D$8:$D$507,I2171),IF(AB2171=0,"",IF(COUNT(INDEX($C$1531:$C$2030,AB2171))=1,INDEX($C$1531:$C$2030,AB2171),"")))</x:f>
        <x:v>0.07664691852288112</x:v>
      </x:c>
      <x:c r="L2171" s="1" t="n">
        <x:f>IF(AJ2171="Yes",INDEX('Staff Review'!$F$8:$F$507,I2171),IF(AB2171=0,"",IF(COUNT(INDEX($G$1531:$G$2030,AB2171))=1,INDEX($G$1531:$G$2030,AB2171),"")))</x:f>
        <x:v>15</x:v>
      </x:c>
      <x:c r="M2171" s="1" t="str">
        <x:f>IF(A2171="","",IF(AI2171="Yes","Verified","Listed"))</x:f>
        <x:v>Listed</x:v>
      </x:c>
      <x:c r="N2171" s="1" t="str">
        <x:f>IF(A2171="","",IF(AJ2171="Yes","Verified","Listed"))</x:f>
        <x:v>Listed</x:v>
      </x:c>
      <x:c r="O2171" s="1" t="n">
        <x:f>IF(AND(ISNUMBER(G2171),G2171&gt;=0,G2171&lt;=1),IF(G2171&gt;=0.9,30,IF(G2171&gt;=0.8,25,IF(G2171&gt;=0.7,20,IF(G2171&gt;=0.6,15,IF(G2171&gt;=0.5,10,IF(G2171&gt;=0.4,5,0)))))),"")</x:f>
        <x:v>25</x:v>
      </x:c>
      <x:c r="P2171" s="1" t="n">
        <x:f>IF(ISNUMBER(K2171),IF(K2171&lt;0,"",IF(K2171&gt;1,25,IF(K2171&gt;=0.75,20,IF(K2171&gt;=0.5,15,IF(K2171&gt;=0.25,10,5))))),"")</x:f>
        <x:v>5</x:v>
      </x:c>
      <x:c r="Q2171" s="1" t="n">
        <x:f>IF(NOT(ISNUMBER(L2171)),"",IF(AND(L2171&gt;=0,MOD(L2171,1)=0),MAX(0,25-5*L2171),""))</x:f>
        <x:v>0</x:v>
      </x:c>
      <x:c r="R2171" s="1" t="n">
        <x:f>IF(NOT(ISNUMBER(F2171)),"",IF(AND(F2171&gt;0,MOD(F2171,1)=0),IF(F2171&gt;=700,5,IF(F2171&gt;=500,4,IF(F2171&gt;=350,3,IF(F2171&gt;=200,2,1)))),""))</x:f>
        <x:v>5</x:v>
      </x:c>
      <x:c r="S2171" s="1" t="n">
        <x:f>IF(COUNT(O2171:R2171)=4,SUM(O2171:R2171),"")</x:f>
        <x:v>35</x:v>
      </x:c>
      <x:c r="T2171" s="1" t="n">
        <x:f>IF(OR(COUNT(O2171:R2171)&lt;&gt;4,COUNT('Top 15'!$B$35:$E$35)&lt;&gt;4,MIN('Top 15'!$B$35:$E$35)&lt;0,SUM('Top 15'!$B$35:$E$35)&lt;=0),"",ROUND(85*(O2171/30*'Top 15'!$B$35+P2171/25*'Top 15'!$C$35+Q2171/25*'Top 15'!$D$35+R2171/5*'Top 15'!$E$35)/SUM('Top 15'!$B$35:$E$35),6))</x:f>
        <x:v>35</x:v>
      </x:c>
      <x:c r="U2171" s="1" t="str">
        <x:f>IF(A2171="","",IF(AND(M2171="Verified",N2171="Verified"),"Verified",IF(AND(M2171="Listed",N2171="Listed"),"Listed","Mixed")))</x:f>
        <x:v>Listed</x:v>
      </x:c>
      <x:c r="V2171" s="1" t="str">
        <x:f>IF(A2171="","",IF(AK2171&lt;&gt;1,"Duplicate source ID",IF(COUNTIFS('Staff Review'!$A$8:$A$507,A2171)&gt;1,"Duplicate review ID",IF(H2171&lt;&gt;"Yes","Outside scope",IF(J2171="Yes","Already served",IF(NOT(ISNUMBER(T2171)),"Missing data","Candidate"))))))</x:f>
        <x:v>Candidate</x:v>
      </x:c>
      <x:c r="W2171" s="1" t="n">
        <x:f>IF(AL2171=0,"",1+COUNTIFS($AL$2051:$AL$2550,1,$T$2051:$T$2550,"&gt;"&amp;T2171)+COUNTIFS($AL$2051:$AL$2550,1,$T$2051:$T$2550,T2171,$G$2051:$G$2550,"&gt;"&amp;G2171)+COUNTIFS($AL$2051:$AL$2550,1,$T$2051:$T$2550,T2171,$G$2051:$G$2550,G2171,$F$2051:$F$2550,"&gt;"&amp;F2171)+COUNTIFS($AL$2051:$AL$2550,1,$T$2051:$T$2550,T2171,$G$2051:$G$2550,G2171,$F$2051:$F$2550,F2171,$AM$2051:$AM$2550,"&lt;"&amp;AM2171))</x:f>
        <x:v>211</x:v>
      </x:c>
      <x:c r="X2171" s="1" t="n">
        <x:f>IF(AL2171=0,"",1+COUNTIFS($AL$2051:$AL$2550,1,$T$2051:$T$2550,"&gt;"&amp;T2171))</x:f>
        <x:v>210</x:v>
      </x:c>
      <x:c r="Y2171" s="1" t="n">
        <x:f>IF(AND(H2171="Yes",OR(LEN('School Search'!$B$5)=0,ISNUMBER(SEARCH('School Search'!$B$5,B2171&amp;" "&amp;E2171&amp;" "&amp;A2171))),OR('School Search'!$D$5="All",C2171='School Search'!$D$5),OR('School Search'!$G$5="All eligible",AND('School Search'!$G$5="Not marked served",J2171&lt;&gt;"Yes"),AND('School Search'!$G$5="Missing data",V2171="Missing data"),AND('School Search'!$G$5="Marked served",J2171="Yes"))),1,0)</x:f>
        <x:v>1</x:v>
      </x:c>
      <x:c r="Z2171" s="1" t="n">
        <x:f>IF(Y2171=0,"",COUNTIFS($Y$2051:$Y$2550,1,$AO$2051:$AO$2550,"&lt;"&amp;AO2171)+COUNTIFS($Y$2051:Y2171,1,$AO$2051:AO2171,AO2171))</x:f>
        <x:v>211</x:v>
      </x:c>
      <x:c r="AA2171" s="1" t="str">
        <x:f>IF(NOT(ISNUMBER(S2171)),"Missing demographic or access input",TEXT(G2171,"0%")&amp;" economic need; "&amp;TEXT(K2171,"0.00")&amp;" mi fresh access; "&amp;L2171&amp;" nearby resources")</x:f>
        <x:v>80% economic need; 0.08 mi fresh access; 15 nearby resources</x:v>
      </x:c>
      <x:c r="AB2171" s="1" t="n">
        <x:f>IF(OR(A2171="",COUNTIFS($A$1531:$A$2030,A2171)&lt;&gt;1),0,MATCH(A2171,$A$1531:$A$2030,0))</x:f>
        <x:v>121</x:v>
      </x:c>
      <x:c r="AC2171" s="1" t="str">
        <x:f>IF(AB2171=0,"",INDEX($E$1531:$E$2030,AB2171))</x:f>
        <x:v>Save A Lot 24858</x:v>
      </x:c>
      <x:c r="AD2171" s="1" t="str">
        <x:f>IF(AB2171=0,"",INDEX($F$1531:$F$2030,AB2171))</x:f>
        <x:v>5834 Pulaski Ave, Philadelphia, PA, 19144</x:v>
      </x:c>
      <x:c r="AE2171" s="1" t="str">
        <x:f>IF(A2171="","",F122)</x:f>
        <x:v>5700 WAYNE AVE</x:v>
      </x:c>
      <x:c r="AF2171" s="1" t="n">
        <x:f>IF(ISNUMBER(I122),I122,"")</x:f>
        <x:v>40.03187441</x:v>
      </x:c>
      <x:c r="AG2171" s="1" t="n">
        <x:f>IF(ISNUMBER(J122),J122,"")</x:f>
        <x:v>-75.18087124</x:v>
      </x:c>
      <x:c r="AH2171" s="1" t="str">
        <x:f>IF(I2171=0,"Not contacted",IF(INDEX('Staff Review'!$J$8:$J$507,I2171)="","Not contacted",INDEX('Staff Review'!$J$8:$J$507,I2171)))</x:f>
        <x:v>Not contacted</x:v>
      </x:c>
      <x:c r="AI2171" s="1" t="str">
        <x:f>IF(I2171=0,"No",IF(AND(COUNT(INDEX('Staff Review'!$D$8:$D$507,I2171))=1,INDEX('Staff Review'!$D$8:$D$507,I2171)&gt;=0,COUNT(INDEX('Staff Review'!$E$8:$E$507,I2171))=1,INDEX('Staff Review'!$E$8:$E$507,I2171)&gt;0,INDEX('Staff Review'!$E$8:$E$507,I2171)&lt;='Top 15'!$E$5,'Top 15'!$E$5-INDEX('Staff Review'!$E$8:$E$507,I2171)&lt;='Top 15'!$H$5,LEN(INDEX('Staff Review'!$H$8:$H$507,I2171))&gt;0),"Yes","No"))</x:f>
        <x:v>No</x:v>
      </x:c>
      <x:c r="AJ2171" s="1" t="str">
        <x:f>IF(I2171=0,"No",IF(COUNT(INDEX('Staff Review'!$F$8:$F$507,I2171))&lt;&gt;1,"No",IF(AND(INDEX('Staff Review'!$F$8:$F$507,I2171)&gt;=0,MOD(INDEX('Staff Review'!$F$8:$F$507,I2171),1)=0,COUNT(INDEX('Staff Review'!$G$8:$G$507,I2171))=1,INDEX('Staff Review'!$G$8:$G$507,I2171)&gt;0,INDEX('Staff Review'!$G$8:$G$507,I2171)&lt;='Top 15'!$E$5,'Top 15'!$E$5-INDEX('Staff Review'!$G$8:$G$507,I2171)&lt;='Top 15'!$H$5,LEN(INDEX('Staff Review'!$H$8:$H$507,I2171))&gt;0),"Yes","No")))</x:f>
        <x:v>No</x:v>
      </x:c>
      <x:c r="AK2171" s="1" t="n">
        <x:f>IF(A2171="",0,COUNTIFS($A$2:$A$501,A2171))</x:f>
        <x:v>1</x:v>
      </x:c>
      <x:c r="AL2171" s="1" t="n">
        <x:f>IF(V2171="Candidate",1,0)</x:f>
        <x:v>1</x:v>
      </x:c>
      <x:c r="AM2171" s="1" t="n">
        <x:f>IF(A2171="",0,VALUE(A2171))</x:f>
        <x:v>3393</x:v>
      </x:c>
      <x:c r="AN2171" s="1" t="n">
        <x:f>IF(OR(A2171="",COUNTIFS($T$41:$T$540,A2171)&lt;&gt;1),0,MATCH(A2171,$T$41:$T$540,0))</x:f>
        <x:v>121</x:v>
      </x:c>
      <x:c r="AO2171" t="n">
        <x:f>IF(ISNUMBER(W2171),W2171,10000+AM2171)</x:f>
        <x:v>211</x:v>
      </x:c>
    </x:row>
    <x:row r="2172" ht="22" customHeight="1">
      <x:c r="A2172" s="1" t="str">
        <x:f>IF(A123="","",A123)</x:f>
        <x:v>3394</x:v>
      </x:c>
      <x:c r="B2172" s="1" t="str">
        <x:f>IF(A2172="","",B123)</x:f>
        <x:v>Pan American Academy Charter School</x:v>
      </x:c>
      <x:c r="C2172" s="1" t="str">
        <x:f>IF(A2172="","",C123)</x:f>
        <x:v>Charter</x:v>
      </x:c>
      <x:c r="D2172" s="1" t="str">
        <x:f>IF(A2172="","",E123)</x:f>
        <x:v>Elementary-Middle</x:v>
      </x:c>
      <x:c r="E2172" s="1" t="str">
        <x:f>IF(A2172="","",H123)</x:f>
        <x:v>19133</x:v>
      </x:c>
      <x:c r="F2172" s="1" t="n">
        <x:f>IF(ISNUMBER(K123),K123,"")</x:f>
        <x:v>767</x:v>
      </x:c>
      <x:c r="G2172" s="1" t="n">
        <x:f>IF(ISNUMBER(L123),L123,"")</x:f>
        <x:v>0.8617</x:v>
      </x:c>
      <x:c r="H2172" s="1" t="str">
        <x:f>IF(A2172="","",IF(AND(UPPER(G123)="PHILADELPHIA",OR(C2172="District",AND(C2172="Charter",D123="Yes"))),"Yes","No"))</x:f>
        <x:v>Yes</x:v>
      </x:c>
      <x:c r="I2172" s="1" t="n">
        <x:f>IF(OR(A2172="",COUNTIFS('Staff Review'!$A$8:$A$507,A2172)&lt;&gt;1),0,MATCH(A2172,'Staff Review'!$A$8:$A$507,0))</x:f>
        <x:v>221</x:v>
      </x:c>
      <x:c r="J2172" s="1" t="str">
        <x:f>IF(I2172=0,"No",IF(INDEX('Staff Review'!$C$8:$C$507,I2172)="Yes","Yes","No"))</x:f>
        <x:v>No</x:v>
      </x:c>
      <x:c r="K2172" s="1" t="n">
        <x:f>IF(AI2172="Yes",INDEX('Staff Review'!$D$8:$D$507,I2172),IF(AB2172=0,"",IF(COUNT(INDEX($C$1531:$C$2030,AB2172))=1,INDEX($C$1531:$C$2030,AB2172),"")))</x:f>
        <x:v>0.30659980523741776</x:v>
      </x:c>
      <x:c r="L2172" s="1" t="n">
        <x:f>IF(AJ2172="Yes",INDEX('Staff Review'!$F$8:$F$507,I2172),IF(AB2172=0,"",IF(COUNT(INDEX($G$1531:$G$2030,AB2172))=1,INDEX($G$1531:$G$2030,AB2172),"")))</x:f>
        <x:v>12</x:v>
      </x:c>
      <x:c r="M2172" s="1" t="str">
        <x:f>IF(A2172="","",IF(AI2172="Yes","Verified","Listed"))</x:f>
        <x:v>Listed</x:v>
      </x:c>
      <x:c r="N2172" s="1" t="str">
        <x:f>IF(A2172="","",IF(AJ2172="Yes","Verified","Listed"))</x:f>
        <x:v>Listed</x:v>
      </x:c>
      <x:c r="O2172" s="1" t="n">
        <x:f>IF(AND(ISNUMBER(G2172),G2172&gt;=0,G2172&lt;=1),IF(G2172&gt;=0.9,30,IF(G2172&gt;=0.8,25,IF(G2172&gt;=0.7,20,IF(G2172&gt;=0.6,15,IF(G2172&gt;=0.5,10,IF(G2172&gt;=0.4,5,0)))))),"")</x:f>
        <x:v>25</x:v>
      </x:c>
      <x:c r="P2172" s="1" t="n">
        <x:f>IF(ISNUMBER(K2172),IF(K2172&lt;0,"",IF(K2172&gt;1,25,IF(K2172&gt;=0.75,20,IF(K2172&gt;=0.5,15,IF(K2172&gt;=0.25,10,5))))),"")</x:f>
        <x:v>10</x:v>
      </x:c>
      <x:c r="Q2172" s="1" t="n">
        <x:f>IF(NOT(ISNUMBER(L2172)),"",IF(AND(L2172&gt;=0,MOD(L2172,1)=0),MAX(0,25-5*L2172),""))</x:f>
        <x:v>0</x:v>
      </x:c>
      <x:c r="R2172" s="1" t="n">
        <x:f>IF(NOT(ISNUMBER(F2172)),"",IF(AND(F2172&gt;0,MOD(F2172,1)=0),IF(F2172&gt;=700,5,IF(F2172&gt;=500,4,IF(F2172&gt;=350,3,IF(F2172&gt;=200,2,1)))),""))</x:f>
        <x:v>5</x:v>
      </x:c>
      <x:c r="S2172" s="1" t="n">
        <x:f>IF(COUNT(O2172:R2172)=4,SUM(O2172:R2172),"")</x:f>
        <x:v>40</x:v>
      </x:c>
      <x:c r="T2172" s="1" t="n">
        <x:f>IF(OR(COUNT(O2172:R2172)&lt;&gt;4,COUNT('Top 15'!$B$35:$E$35)&lt;&gt;4,MIN('Top 15'!$B$35:$E$35)&lt;0,SUM('Top 15'!$B$35:$E$35)&lt;=0),"",ROUND(85*(O2172/30*'Top 15'!$B$35+P2172/25*'Top 15'!$C$35+Q2172/25*'Top 15'!$D$35+R2172/5*'Top 15'!$E$35)/SUM('Top 15'!$B$35:$E$35),6))</x:f>
        <x:v>40</x:v>
      </x:c>
      <x:c r="U2172" s="1" t="str">
        <x:f>IF(A2172="","",IF(AND(M2172="Verified",N2172="Verified"),"Verified",IF(AND(M2172="Listed",N2172="Listed"),"Listed","Mixed")))</x:f>
        <x:v>Listed</x:v>
      </x:c>
      <x:c r="V2172" s="1" t="str">
        <x:f>IF(A2172="","",IF(AK2172&lt;&gt;1,"Duplicate source ID",IF(COUNTIFS('Staff Review'!$A$8:$A$507,A2172)&gt;1,"Duplicate review ID",IF(H2172&lt;&gt;"Yes","Outside scope",IF(J2172="Yes","Already served",IF(NOT(ISNUMBER(T2172)),"Missing data","Candidate"))))))</x:f>
        <x:v>Candidate</x:v>
      </x:c>
      <x:c r="W2172" s="1" t="n">
        <x:f>IF(AL2172=0,"",1+COUNTIFS($AL$2051:$AL$2550,1,$T$2051:$T$2550,"&gt;"&amp;T2172)+COUNTIFS($AL$2051:$AL$2550,1,$T$2051:$T$2550,T2172,$G$2051:$G$2550,"&gt;"&amp;G2172)+COUNTIFS($AL$2051:$AL$2550,1,$T$2051:$T$2550,T2172,$G$2051:$G$2550,G2172,$F$2051:$F$2550,"&gt;"&amp;F2172)+COUNTIFS($AL$2051:$AL$2550,1,$T$2051:$T$2550,T2172,$G$2051:$G$2550,G2172,$F$2051:$F$2550,F2172,$AM$2051:$AM$2550,"&lt;"&amp;AM2172))</x:f>
        <x:v>138</x:v>
      </x:c>
      <x:c r="X2172" s="1" t="n">
        <x:f>IF(AL2172=0,"",1+COUNTIFS($AL$2051:$AL$2550,1,$T$2051:$T$2550,"&gt;"&amp;T2172))</x:f>
        <x:v>133</x:v>
      </x:c>
      <x:c r="Y2172" s="1" t="n">
        <x:f>IF(AND(H2172="Yes",OR(LEN('School Search'!$B$5)=0,ISNUMBER(SEARCH('School Search'!$B$5,B2172&amp;" "&amp;E2172&amp;" "&amp;A2172))),OR('School Search'!$D$5="All",C2172='School Search'!$D$5),OR('School Search'!$G$5="All eligible",AND('School Search'!$G$5="Not marked served",J2172&lt;&gt;"Yes"),AND('School Search'!$G$5="Missing data",V2172="Missing data"),AND('School Search'!$G$5="Marked served",J2172="Yes"))),1,0)</x:f>
        <x:v>1</x:v>
      </x:c>
      <x:c r="Z2172" s="1" t="n">
        <x:f>IF(Y2172=0,"",COUNTIFS($Y$2051:$Y$2550,1,$AO$2051:$AO$2550,"&lt;"&amp;AO2172)+COUNTIFS($Y$2051:Y2172,1,$AO$2051:AO2172,AO2172))</x:f>
        <x:v>138</x:v>
      </x:c>
      <x:c r="AA2172" s="1" t="str">
        <x:f>IF(NOT(ISNUMBER(S2172)),"Missing demographic or access input",TEXT(G2172,"0%")&amp;" economic need; "&amp;TEXT(K2172,"0.00")&amp;" mi fresh access; "&amp;L2172&amp;" nearby resources")</x:f>
        <x:v>86% economic need; 0.31 mi fresh access; 12 nearby resources</x:v>
      </x:c>
      <x:c r="AB2172" s="1" t="n">
        <x:f>IF(OR(A2172="",COUNTIFS($A$1531:$A$2030,A2172)&lt;&gt;1),0,MATCH(A2172,$A$1531:$A$2030,0))</x:f>
        <x:v>122</x:v>
      </x:c>
      <x:c r="AC2172" s="1" t="str">
        <x:f>IF(AB2172=0,"",INDEX($E$1531:$E$2030,AB2172))</x:f>
        <x:v>JC 131 West Corp/Fine Fare</x:v>
      </x:c>
      <x:c r="AD2172" s="1" t="str">
        <x:f>IF(AB2172=0,"",INDEX($F$1531:$F$2030,AB2172))</x:f>
        <x:v>131 W Lehigh Ave, Philadelphia, PA, 19133</x:v>
      </x:c>
      <x:c r="AE2172" s="1" t="str">
        <x:f>IF(A2172="","",F123)</x:f>
        <x:v>2830 N AMERICAN ST</x:v>
      </x:c>
      <x:c r="AF2172" s="1" t="n">
        <x:f>IF(ISNUMBER(I123),I123,"")</x:f>
        <x:v>39.99428061</x:v>
      </x:c>
      <x:c r="AG2172" s="1" t="n">
        <x:f>IF(ISNUMBER(J123),J123,"")</x:f>
        <x:v>-75.13614883</x:v>
      </x:c>
      <x:c r="AH2172" s="1" t="str">
        <x:f>IF(I2172=0,"Not contacted",IF(INDEX('Staff Review'!$J$8:$J$507,I2172)="","Not contacted",INDEX('Staff Review'!$J$8:$J$507,I2172)))</x:f>
        <x:v>Not contacted</x:v>
      </x:c>
      <x:c r="AI2172" s="1" t="str">
        <x:f>IF(I2172=0,"No",IF(AND(COUNT(INDEX('Staff Review'!$D$8:$D$507,I2172))=1,INDEX('Staff Review'!$D$8:$D$507,I2172)&gt;=0,COUNT(INDEX('Staff Review'!$E$8:$E$507,I2172))=1,INDEX('Staff Review'!$E$8:$E$507,I2172)&gt;0,INDEX('Staff Review'!$E$8:$E$507,I2172)&lt;='Top 15'!$E$5,'Top 15'!$E$5-INDEX('Staff Review'!$E$8:$E$507,I2172)&lt;='Top 15'!$H$5,LEN(INDEX('Staff Review'!$H$8:$H$507,I2172))&gt;0),"Yes","No"))</x:f>
        <x:v>No</x:v>
      </x:c>
      <x:c r="AJ2172" s="1" t="str">
        <x:f>IF(I2172=0,"No",IF(COUNT(INDEX('Staff Review'!$F$8:$F$507,I2172))&lt;&gt;1,"No",IF(AND(INDEX('Staff Review'!$F$8:$F$507,I2172)&gt;=0,MOD(INDEX('Staff Review'!$F$8:$F$507,I2172),1)=0,COUNT(INDEX('Staff Review'!$G$8:$G$507,I2172))=1,INDEX('Staff Review'!$G$8:$G$507,I2172)&gt;0,INDEX('Staff Review'!$G$8:$G$507,I2172)&lt;='Top 15'!$E$5,'Top 15'!$E$5-INDEX('Staff Review'!$G$8:$G$507,I2172)&lt;='Top 15'!$H$5,LEN(INDEX('Staff Review'!$H$8:$H$507,I2172))&gt;0),"Yes","No")))</x:f>
        <x:v>No</x:v>
      </x:c>
      <x:c r="AK2172" s="1" t="n">
        <x:f>IF(A2172="",0,COUNTIFS($A$2:$A$501,A2172))</x:f>
        <x:v>1</x:v>
      </x:c>
      <x:c r="AL2172" s="1" t="n">
        <x:f>IF(V2172="Candidate",1,0)</x:f>
        <x:v>1</x:v>
      </x:c>
      <x:c r="AM2172" s="1" t="n">
        <x:f>IF(A2172="",0,VALUE(A2172))</x:f>
        <x:v>3394</x:v>
      </x:c>
      <x:c r="AN2172" s="1" t="n">
        <x:f>IF(OR(A2172="",COUNTIFS($T$41:$T$540,A2172)&lt;&gt;1),0,MATCH(A2172,$T$41:$T$540,0))</x:f>
        <x:v>122</x:v>
      </x:c>
      <x:c r="AO2172" t="n">
        <x:f>IF(ISNUMBER(W2172),W2172,10000+AM2172)</x:f>
        <x:v>138</x:v>
      </x:c>
    </x:row>
    <x:row r="2173" ht="22" customHeight="1">
      <x:c r="A2173" s="1" t="str">
        <x:f>IF(A124="","",A124)</x:f>
        <x:v>3395</x:v>
      </x:c>
      <x:c r="B2173" s="1" t="str">
        <x:f>IF(A2173="","",B124)</x:f>
        <x:v>Antonia Pantoja Charter School</x:v>
      </x:c>
      <x:c r="C2173" s="1" t="str">
        <x:f>IF(A2173="","",C124)</x:f>
        <x:v>Charter</x:v>
      </x:c>
      <x:c r="D2173" s="1" t="str">
        <x:f>IF(A2173="","",E124)</x:f>
        <x:v>Elementary-Middle</x:v>
      </x:c>
      <x:c r="E2173" s="1" t="str">
        <x:f>IF(A2173="","",H124)</x:f>
        <x:v>19140</x:v>
      </x:c>
      <x:c r="F2173" s="1" t="n">
        <x:f>IF(ISNUMBER(K124),K124,"")</x:f>
        <x:v>746</x:v>
      </x:c>
      <x:c r="G2173" s="1" t="n">
        <x:f>IF(ISNUMBER(L124),L124,"")</x:f>
        <x:v>0.8</x:v>
      </x:c>
      <x:c r="H2173" s="1" t="str">
        <x:f>IF(A2173="","",IF(AND(UPPER(G124)="PHILADELPHIA",OR(C2173="District",AND(C2173="Charter",D124="Yes"))),"Yes","No"))</x:f>
        <x:v>Yes</x:v>
      </x:c>
      <x:c r="I2173" s="1" t="n">
        <x:f>IF(OR(A2173="",COUNTIFS('Staff Review'!$A$8:$A$507,A2173)&lt;&gt;1),0,MATCH(A2173,'Staff Review'!$A$8:$A$507,0))</x:f>
        <x:v>23</x:v>
      </x:c>
      <x:c r="J2173" s="1" t="str">
        <x:f>IF(I2173=0,"No",IF(INDEX('Staff Review'!$C$8:$C$507,I2173)="Yes","Yes","No"))</x:f>
        <x:v>No</x:v>
      </x:c>
      <x:c r="K2173" s="1" t="n">
        <x:f>IF(AI2173="Yes",INDEX('Staff Review'!$D$8:$D$507,I2173),IF(AB2173=0,"",IF(COUNT(INDEX($C$1531:$C$2030,AB2173))=1,INDEX($C$1531:$C$2030,AB2173),"")))</x:f>
        <x:v>0.22446280484791564</x:v>
      </x:c>
      <x:c r="L2173" s="1" t="n">
        <x:f>IF(AJ2173="Yes",INDEX('Staff Review'!$F$8:$F$507,I2173),IF(AB2173=0,"",IF(COUNT(INDEX($G$1531:$G$2030,AB2173))=1,INDEX($G$1531:$G$2030,AB2173),"")))</x:f>
        <x:v>10</x:v>
      </x:c>
      <x:c r="M2173" s="1" t="str">
        <x:f>IF(A2173="","",IF(AI2173="Yes","Verified","Listed"))</x:f>
        <x:v>Listed</x:v>
      </x:c>
      <x:c r="N2173" s="1" t="str">
        <x:f>IF(A2173="","",IF(AJ2173="Yes","Verified","Listed"))</x:f>
        <x:v>Listed</x:v>
      </x:c>
      <x:c r="O2173" s="1" t="n">
        <x:f>IF(AND(ISNUMBER(G2173),G2173&gt;=0,G2173&lt;=1),IF(G2173&gt;=0.9,30,IF(G2173&gt;=0.8,25,IF(G2173&gt;=0.7,20,IF(G2173&gt;=0.6,15,IF(G2173&gt;=0.5,10,IF(G2173&gt;=0.4,5,0)))))),"")</x:f>
        <x:v>25</x:v>
      </x:c>
      <x:c r="P2173" s="1" t="n">
        <x:f>IF(ISNUMBER(K2173),IF(K2173&lt;0,"",IF(K2173&gt;1,25,IF(K2173&gt;=0.75,20,IF(K2173&gt;=0.5,15,IF(K2173&gt;=0.25,10,5))))),"")</x:f>
        <x:v>5</x:v>
      </x:c>
      <x:c r="Q2173" s="1" t="n">
        <x:f>IF(NOT(ISNUMBER(L2173)),"",IF(AND(L2173&gt;=0,MOD(L2173,1)=0),MAX(0,25-5*L2173),""))</x:f>
        <x:v>0</x:v>
      </x:c>
      <x:c r="R2173" s="1" t="n">
        <x:f>IF(NOT(ISNUMBER(F2173)),"",IF(AND(F2173&gt;0,MOD(F2173,1)=0),IF(F2173&gt;=700,5,IF(F2173&gt;=500,4,IF(F2173&gt;=350,3,IF(F2173&gt;=200,2,1)))),""))</x:f>
        <x:v>5</x:v>
      </x:c>
      <x:c r="S2173" s="1" t="n">
        <x:f>IF(COUNT(O2173:R2173)=4,SUM(O2173:R2173),"")</x:f>
        <x:v>35</x:v>
      </x:c>
      <x:c r="T2173" s="1" t="n">
        <x:f>IF(OR(COUNT(O2173:R2173)&lt;&gt;4,COUNT('Top 15'!$B$35:$E$35)&lt;&gt;4,MIN('Top 15'!$B$35:$E$35)&lt;0,SUM('Top 15'!$B$35:$E$35)&lt;=0),"",ROUND(85*(O2173/30*'Top 15'!$B$35+P2173/25*'Top 15'!$C$35+Q2173/25*'Top 15'!$D$35+R2173/5*'Top 15'!$E$35)/SUM('Top 15'!$B$35:$E$35),6))</x:f>
        <x:v>35</x:v>
      </x:c>
      <x:c r="U2173" s="1" t="str">
        <x:f>IF(A2173="","",IF(AND(M2173="Verified",N2173="Verified"),"Verified",IF(AND(M2173="Listed",N2173="Listed"),"Listed","Mixed")))</x:f>
        <x:v>Listed</x:v>
      </x:c>
      <x:c r="V2173" s="1" t="str">
        <x:f>IF(A2173="","",IF(AK2173&lt;&gt;1,"Duplicate source ID",IF(COUNTIFS('Staff Review'!$A$8:$A$507,A2173)&gt;1,"Duplicate review ID",IF(H2173&lt;&gt;"Yes","Outside scope",IF(J2173="Yes","Already served",IF(NOT(ISNUMBER(T2173)),"Missing data","Candidate"))))))</x:f>
        <x:v>Candidate</x:v>
      </x:c>
      <x:c r="W2173" s="1" t="n">
        <x:f>IF(AL2173=0,"",1+COUNTIFS($AL$2051:$AL$2550,1,$T$2051:$T$2550,"&gt;"&amp;T2173)+COUNTIFS($AL$2051:$AL$2550,1,$T$2051:$T$2550,T2173,$G$2051:$G$2550,"&gt;"&amp;G2173)+COUNTIFS($AL$2051:$AL$2550,1,$T$2051:$T$2550,T2173,$G$2051:$G$2550,G2173,$F$2051:$F$2550,"&gt;"&amp;F2173)+COUNTIFS($AL$2051:$AL$2550,1,$T$2051:$T$2550,T2173,$G$2051:$G$2550,G2173,$F$2051:$F$2550,F2173,$AM$2051:$AM$2550,"&lt;"&amp;AM2173))</x:f>
        <x:v>212</x:v>
      </x:c>
      <x:c r="X2173" s="1" t="n">
        <x:f>IF(AL2173=0,"",1+COUNTIFS($AL$2051:$AL$2550,1,$T$2051:$T$2550,"&gt;"&amp;T2173))</x:f>
        <x:v>210</x:v>
      </x:c>
      <x:c r="Y2173" s="1" t="n">
        <x:f>IF(AND(H2173="Yes",OR(LEN('School Search'!$B$5)=0,ISNUMBER(SEARCH('School Search'!$B$5,B2173&amp;" "&amp;E2173&amp;" "&amp;A2173))),OR('School Search'!$D$5="All",C2173='School Search'!$D$5),OR('School Search'!$G$5="All eligible",AND('School Search'!$G$5="Not marked served",J2173&lt;&gt;"Yes"),AND('School Search'!$G$5="Missing data",V2173="Missing data"),AND('School Search'!$G$5="Marked served",J2173="Yes"))),1,0)</x:f>
        <x:v>1</x:v>
      </x:c>
      <x:c r="Z2173" s="1" t="n">
        <x:f>IF(Y2173=0,"",COUNTIFS($Y$2051:$Y$2550,1,$AO$2051:$AO$2550,"&lt;"&amp;AO2173)+COUNTIFS($Y$2051:Y2173,1,$AO$2051:AO2173,AO2173))</x:f>
        <x:v>212</x:v>
      </x:c>
      <x:c r="AA2173" s="1" t="str">
        <x:f>IF(NOT(ISNUMBER(S2173)),"Missing demographic or access input",TEXT(G2173,"0%")&amp;" economic need; "&amp;TEXT(K2173,"0.00")&amp;" mi fresh access; "&amp;L2173&amp;" nearby resources")</x:f>
        <x:v>80% economic need; 0.22 mi fresh access; 10 nearby resources</x:v>
      </x:c>
      <x:c r="AB2173" s="1" t="n">
        <x:f>IF(OR(A2173="",COUNTIFS($A$1531:$A$2030,A2173)&lt;&gt;1),0,MATCH(A2173,$A$1531:$A$2030,0))</x:f>
        <x:v>123</x:v>
      </x:c>
      <x:c r="AC2173" s="1" t="str">
        <x:f>IF(AB2173=0,"",INDEX($E$1531:$E$2030,AB2173))</x:f>
        <x:v>COUSINS SUPERMARKET INC. #2</x:v>
      </x:c>
      <x:c r="AD2173" s="1" t="str">
        <x:f>IF(AB2173=0,"",INDEX($F$1531:$F$2030,AB2173))</x:f>
        <x:v>4037 N 5th St, Philadelphia, PA, 19140</x:v>
      </x:c>
      <x:c r="AE2173" s="1" t="str">
        <x:f>IF(A2173="","",F124)</x:f>
        <x:v>4101 N AMERICAN ST</x:v>
      </x:c>
      <x:c r="AF2173" s="1" t="n">
        <x:f>IF(ISNUMBER(I124),I124,"")</x:f>
        <x:v>40.01300525</x:v>
      </x:c>
      <x:c r="AG2173" s="1" t="n">
        <x:f>IF(ISNUMBER(J124),J124,"")</x:f>
        <x:v>-75.13136564</x:v>
      </x:c>
      <x:c r="AH2173" s="1" t="str">
        <x:f>IF(I2173=0,"Not contacted",IF(INDEX('Staff Review'!$J$8:$J$507,I2173)="","Not contacted",INDEX('Staff Review'!$J$8:$J$507,I2173)))</x:f>
        <x:v>Not contacted</x:v>
      </x:c>
      <x:c r="AI2173" s="1" t="str">
        <x:f>IF(I2173=0,"No",IF(AND(COUNT(INDEX('Staff Review'!$D$8:$D$507,I2173))=1,INDEX('Staff Review'!$D$8:$D$507,I2173)&gt;=0,COUNT(INDEX('Staff Review'!$E$8:$E$507,I2173))=1,INDEX('Staff Review'!$E$8:$E$507,I2173)&gt;0,INDEX('Staff Review'!$E$8:$E$507,I2173)&lt;='Top 15'!$E$5,'Top 15'!$E$5-INDEX('Staff Review'!$E$8:$E$507,I2173)&lt;='Top 15'!$H$5,LEN(INDEX('Staff Review'!$H$8:$H$507,I2173))&gt;0),"Yes","No"))</x:f>
        <x:v>No</x:v>
      </x:c>
      <x:c r="AJ2173" s="1" t="str">
        <x:f>IF(I2173=0,"No",IF(COUNT(INDEX('Staff Review'!$F$8:$F$507,I2173))&lt;&gt;1,"No",IF(AND(INDEX('Staff Review'!$F$8:$F$507,I2173)&gt;=0,MOD(INDEX('Staff Review'!$F$8:$F$507,I2173),1)=0,COUNT(INDEX('Staff Review'!$G$8:$G$507,I2173))=1,INDEX('Staff Review'!$G$8:$G$507,I2173)&gt;0,INDEX('Staff Review'!$G$8:$G$507,I2173)&lt;='Top 15'!$E$5,'Top 15'!$E$5-INDEX('Staff Review'!$G$8:$G$507,I2173)&lt;='Top 15'!$H$5,LEN(INDEX('Staff Review'!$H$8:$H$507,I2173))&gt;0),"Yes","No")))</x:f>
        <x:v>No</x:v>
      </x:c>
      <x:c r="AK2173" s="1" t="n">
        <x:f>IF(A2173="",0,COUNTIFS($A$2:$A$501,A2173))</x:f>
        <x:v>1</x:v>
      </x:c>
      <x:c r="AL2173" s="1" t="n">
        <x:f>IF(V2173="Candidate",1,0)</x:f>
        <x:v>1</x:v>
      </x:c>
      <x:c r="AM2173" s="1" t="n">
        <x:f>IF(A2173="",0,VALUE(A2173))</x:f>
        <x:v>3395</x:v>
      </x:c>
      <x:c r="AN2173" s="1" t="n">
        <x:f>IF(OR(A2173="",COUNTIFS($T$41:$T$540,A2173)&lt;&gt;1),0,MATCH(A2173,$T$41:$T$540,0))</x:f>
        <x:v>123</x:v>
      </x:c>
      <x:c r="AO2173" t="n">
        <x:f>IF(ISNUMBER(W2173),W2173,10000+AM2173)</x:f>
        <x:v>212</x:v>
      </x:c>
    </x:row>
    <x:row r="2174" ht="22" customHeight="1">
      <x:c r="A2174" s="1" t="str">
        <x:f>IF(A125="","",A125)</x:f>
        <x:v>3399</x:v>
      </x:c>
      <x:c r="B2174" s="1" t="str">
        <x:f>IF(A2174="","",B125)</x:f>
        <x:v>Sankofa Freedom Academy Charter School</x:v>
      </x:c>
      <x:c r="C2174" s="1" t="str">
        <x:f>IF(A2174="","",C125)</x:f>
        <x:v>Charter</x:v>
      </x:c>
      <x:c r="D2174" s="1" t="str">
        <x:f>IF(A2174="","",E125)</x:f>
        <x:v>Elementary-Middle-High</x:v>
      </x:c>
      <x:c r="E2174" s="1" t="str">
        <x:f>IF(A2174="","",H125)</x:f>
        <x:v>19125</x:v>
      </x:c>
      <x:c r="F2174" s="1" t="n">
        <x:f>IF(ISNUMBER(K125),K125,"")</x:f>
        <x:v>647</x:v>
      </x:c>
      <x:c r="G2174" s="1" t="n">
        <x:f>IF(ISNUMBER(L125),L125,"")</x:f>
        <x:v>0.8207</x:v>
      </x:c>
      <x:c r="H2174" s="1" t="str">
        <x:f>IF(A2174="","",IF(AND(UPPER(G125)="PHILADELPHIA",OR(C2174="District",AND(C2174="Charter",D125="Yes"))),"Yes","No"))</x:f>
        <x:v>Yes</x:v>
      </x:c>
      <x:c r="I2174" s="1" t="n">
        <x:f>IF(OR(A2174="",COUNTIFS('Staff Review'!$A$8:$A$507,A2174)&lt;&gt;1),0,MATCH(A2174,'Staff Review'!$A$8:$A$507,0))</x:f>
        <x:v>265</x:v>
      </x:c>
      <x:c r="J2174" s="1" t="str">
        <x:f>IF(I2174=0,"No",IF(INDEX('Staff Review'!$C$8:$C$507,I2174)="Yes","Yes","No"))</x:f>
        <x:v>No</x:v>
      </x:c>
      <x:c r="K2174" s="1" t="n">
        <x:f>IF(AI2174="Yes",INDEX('Staff Review'!$D$8:$D$507,I2174),IF(AB2174=0,"",IF(COUNT(INDEX($C$1531:$C$2030,AB2174))=1,INDEX($C$1531:$C$2030,AB2174),"")))</x:f>
        <x:v>0.3324457649222782</x:v>
      </x:c>
      <x:c r="L2174" s="1" t="n">
        <x:f>IF(AJ2174="Yes",INDEX('Staff Review'!$F$8:$F$507,I2174),IF(AB2174=0,"",IF(COUNT(INDEX($G$1531:$G$2030,AB2174))=1,INDEX($G$1531:$G$2030,AB2174),"")))</x:f>
        <x:v>10</x:v>
      </x:c>
      <x:c r="M2174" s="1" t="str">
        <x:f>IF(A2174="","",IF(AI2174="Yes","Verified","Listed"))</x:f>
        <x:v>Listed</x:v>
      </x:c>
      <x:c r="N2174" s="1" t="str">
        <x:f>IF(A2174="","",IF(AJ2174="Yes","Verified","Listed"))</x:f>
        <x:v>Listed</x:v>
      </x:c>
      <x:c r="O2174" s="1" t="n">
        <x:f>IF(AND(ISNUMBER(G2174),G2174&gt;=0,G2174&lt;=1),IF(G2174&gt;=0.9,30,IF(G2174&gt;=0.8,25,IF(G2174&gt;=0.7,20,IF(G2174&gt;=0.6,15,IF(G2174&gt;=0.5,10,IF(G2174&gt;=0.4,5,0)))))),"")</x:f>
        <x:v>25</x:v>
      </x:c>
      <x:c r="P2174" s="1" t="n">
        <x:f>IF(ISNUMBER(K2174),IF(K2174&lt;0,"",IF(K2174&gt;1,25,IF(K2174&gt;=0.75,20,IF(K2174&gt;=0.5,15,IF(K2174&gt;=0.25,10,5))))),"")</x:f>
        <x:v>10</x:v>
      </x:c>
      <x:c r="Q2174" s="1" t="n">
        <x:f>IF(NOT(ISNUMBER(L2174)),"",IF(AND(L2174&gt;=0,MOD(L2174,1)=0),MAX(0,25-5*L2174),""))</x:f>
        <x:v>0</x:v>
      </x:c>
      <x:c r="R2174" s="1" t="n">
        <x:f>IF(NOT(ISNUMBER(F2174)),"",IF(AND(F2174&gt;0,MOD(F2174,1)=0),IF(F2174&gt;=700,5,IF(F2174&gt;=500,4,IF(F2174&gt;=350,3,IF(F2174&gt;=200,2,1)))),""))</x:f>
        <x:v>4</x:v>
      </x:c>
      <x:c r="S2174" s="1" t="n">
        <x:f>IF(COUNT(O2174:R2174)=4,SUM(O2174:R2174),"")</x:f>
        <x:v>39</x:v>
      </x:c>
      <x:c r="T2174" s="1" t="n">
        <x:f>IF(OR(COUNT(O2174:R2174)&lt;&gt;4,COUNT('Top 15'!$B$35:$E$35)&lt;&gt;4,MIN('Top 15'!$B$35:$E$35)&lt;0,SUM('Top 15'!$B$35:$E$35)&lt;=0),"",ROUND(85*(O2174/30*'Top 15'!$B$35+P2174/25*'Top 15'!$C$35+Q2174/25*'Top 15'!$D$35+R2174/5*'Top 15'!$E$35)/SUM('Top 15'!$B$35:$E$35),6))</x:f>
        <x:v>39</x:v>
      </x:c>
      <x:c r="U2174" s="1" t="str">
        <x:f>IF(A2174="","",IF(AND(M2174="Verified",N2174="Verified"),"Verified",IF(AND(M2174="Listed",N2174="Listed"),"Listed","Mixed")))</x:f>
        <x:v>Listed</x:v>
      </x:c>
      <x:c r="V2174" s="1" t="str">
        <x:f>IF(A2174="","",IF(AK2174&lt;&gt;1,"Duplicate source ID",IF(COUNTIFS('Staff Review'!$A$8:$A$507,A2174)&gt;1,"Duplicate review ID",IF(H2174&lt;&gt;"Yes","Outside scope",IF(J2174="Yes","Already served",IF(NOT(ISNUMBER(T2174)),"Missing data","Candidate"))))))</x:f>
        <x:v>Candidate</x:v>
      </x:c>
      <x:c r="W2174" s="1" t="n">
        <x:f>IF(AL2174=0,"",1+COUNTIFS($AL$2051:$AL$2550,1,$T$2051:$T$2550,"&gt;"&amp;T2174)+COUNTIFS($AL$2051:$AL$2550,1,$T$2051:$T$2550,T2174,$G$2051:$G$2550,"&gt;"&amp;G2174)+COUNTIFS($AL$2051:$AL$2550,1,$T$2051:$T$2550,T2174,$G$2051:$G$2550,G2174,$F$2051:$F$2550,"&gt;"&amp;F2174)+COUNTIFS($AL$2051:$AL$2550,1,$T$2051:$T$2550,T2174,$G$2051:$G$2550,G2174,$F$2051:$F$2550,F2174,$AM$2051:$AM$2550,"&lt;"&amp;AM2174))</x:f>
        <x:v>157</x:v>
      </x:c>
      <x:c r="X2174" s="1" t="n">
        <x:f>IF(AL2174=0,"",1+COUNTIFS($AL$2051:$AL$2550,1,$T$2051:$T$2550,"&gt;"&amp;T2174))</x:f>
        <x:v>148</x:v>
      </x:c>
      <x:c r="Y2174" s="1" t="n">
        <x:f>IF(AND(H2174="Yes",OR(LEN('School Search'!$B$5)=0,ISNUMBER(SEARCH('School Search'!$B$5,B2174&amp;" "&amp;E2174&amp;" "&amp;A2174))),OR('School Search'!$D$5="All",C2174='School Search'!$D$5),OR('School Search'!$G$5="All eligible",AND('School Search'!$G$5="Not marked served",J2174&lt;&gt;"Yes"),AND('School Search'!$G$5="Missing data",V2174="Missing data"),AND('School Search'!$G$5="Marked served",J2174="Yes"))),1,0)</x:f>
        <x:v>1</x:v>
      </x:c>
      <x:c r="Z2174" s="1" t="n">
        <x:f>IF(Y2174=0,"",COUNTIFS($Y$2051:$Y$2550,1,$AO$2051:$AO$2550,"&lt;"&amp;AO2174)+COUNTIFS($Y$2051:Y2174,1,$AO$2051:AO2174,AO2174))</x:f>
        <x:v>157</x:v>
      </x:c>
      <x:c r="AA2174" s="1" t="str">
        <x:f>IF(NOT(ISNUMBER(S2174)),"Missing demographic or access input",TEXT(G2174,"0%")&amp;" economic need; "&amp;TEXT(K2174,"0.00")&amp;" mi fresh access; "&amp;L2174&amp;" nearby resources")</x:f>
        <x:v>82% economic need; 0.33 mi fresh access; 10 nearby resources</x:v>
      </x:c>
      <x:c r="AB2174" s="1" t="n">
        <x:f>IF(OR(A2174="",COUNTIFS($A$1531:$A$2030,A2174)&lt;&gt;1),0,MATCH(A2174,$A$1531:$A$2030,0))</x:f>
        <x:v>124</x:v>
      </x:c>
      <x:c r="AC2174" s="1" t="str">
        <x:f>IF(AB2174=0,"",INDEX($E$1531:$E$2030,AB2174))</x:f>
        <x:v>JC 131 West Corp/Fine Fare</x:v>
      </x:c>
      <x:c r="AD2174" s="1" t="str">
        <x:f>IF(AB2174=0,"",INDEX($F$1531:$F$2030,AB2174))</x:f>
        <x:v>131 W Lehigh Ave, Philadelphia, PA, 19133</x:v>
      </x:c>
      <x:c r="AE2174" s="1" t="str">
        <x:f>IF(A2174="","",F125)</x:f>
        <x:v>2501 KENSINGTON AVE</x:v>
      </x:c>
      <x:c r="AF2174" s="1" t="n">
        <x:f>IF(ISNUMBER(I125),I125,"")</x:f>
        <x:v>39.987082</x:v>
      </x:c>
      <x:c r="AG2174" s="1" t="n">
        <x:f>IF(ISNUMBER(J125),J125,"")</x:f>
        <x:v>-75.128641</x:v>
      </x:c>
      <x:c r="AH2174" s="1" t="str">
        <x:f>IF(I2174=0,"Not contacted",IF(INDEX('Staff Review'!$J$8:$J$507,I2174)="","Not contacted",INDEX('Staff Review'!$J$8:$J$507,I2174)))</x:f>
        <x:v>Not contacted</x:v>
      </x:c>
      <x:c r="AI2174" s="1" t="str">
        <x:f>IF(I2174=0,"No",IF(AND(COUNT(INDEX('Staff Review'!$D$8:$D$507,I2174))=1,INDEX('Staff Review'!$D$8:$D$507,I2174)&gt;=0,COUNT(INDEX('Staff Review'!$E$8:$E$507,I2174))=1,INDEX('Staff Review'!$E$8:$E$507,I2174)&gt;0,INDEX('Staff Review'!$E$8:$E$507,I2174)&lt;='Top 15'!$E$5,'Top 15'!$E$5-INDEX('Staff Review'!$E$8:$E$507,I2174)&lt;='Top 15'!$H$5,LEN(INDEX('Staff Review'!$H$8:$H$507,I2174))&gt;0),"Yes","No"))</x:f>
        <x:v>No</x:v>
      </x:c>
      <x:c r="AJ2174" s="1" t="str">
        <x:f>IF(I2174=0,"No",IF(COUNT(INDEX('Staff Review'!$F$8:$F$507,I2174))&lt;&gt;1,"No",IF(AND(INDEX('Staff Review'!$F$8:$F$507,I2174)&gt;=0,MOD(INDEX('Staff Review'!$F$8:$F$507,I2174),1)=0,COUNT(INDEX('Staff Review'!$G$8:$G$507,I2174))=1,INDEX('Staff Review'!$G$8:$G$507,I2174)&gt;0,INDEX('Staff Review'!$G$8:$G$507,I2174)&lt;='Top 15'!$E$5,'Top 15'!$E$5-INDEX('Staff Review'!$G$8:$G$507,I2174)&lt;='Top 15'!$H$5,LEN(INDEX('Staff Review'!$H$8:$H$507,I2174))&gt;0),"Yes","No")))</x:f>
        <x:v>No</x:v>
      </x:c>
      <x:c r="AK2174" s="1" t="n">
        <x:f>IF(A2174="",0,COUNTIFS($A$2:$A$501,A2174))</x:f>
        <x:v>1</x:v>
      </x:c>
      <x:c r="AL2174" s="1" t="n">
        <x:f>IF(V2174="Candidate",1,0)</x:f>
        <x:v>1</x:v>
      </x:c>
      <x:c r="AM2174" s="1" t="n">
        <x:f>IF(A2174="",0,VALUE(A2174))</x:f>
        <x:v>3399</x:v>
      </x:c>
      <x:c r="AN2174" s="1" t="n">
        <x:f>IF(OR(A2174="",COUNTIFS($T$41:$T$540,A2174)&lt;&gt;1),0,MATCH(A2174,$T$41:$T$540,0))</x:f>
        <x:v>124</x:v>
      </x:c>
      <x:c r="AO2174" t="n">
        <x:f>IF(ISNUMBER(W2174),W2174,10000+AM2174)</x:f>
        <x:v>157</x:v>
      </x:c>
    </x:row>
    <x:row r="2175" ht="22" customHeight="1">
      <x:c r="A2175" s="1" t="str">
        <x:f>IF(A126="","",A126)</x:f>
        <x:v>3403</x:v>
      </x:c>
      <x:c r="B2175" s="1" t="str">
        <x:f>IF(A2175="","",B126)</x:f>
        <x:v>Franklin Towne Charter Elementary School</x:v>
      </x:c>
      <x:c r="C2175" s="1" t="str">
        <x:f>IF(A2175="","",C126)</x:f>
        <x:v>Charter</x:v>
      </x:c>
      <x:c r="D2175" s="1" t="str">
        <x:f>IF(A2175="","",E126)</x:f>
        <x:v>Elementary-Middle</x:v>
      </x:c>
      <x:c r="E2175" s="1" t="str">
        <x:f>IF(A2175="","",H126)</x:f>
        <x:v>19137</x:v>
      </x:c>
      <x:c r="F2175" s="1" t="n">
        <x:f>IF(ISNUMBER(K126),K126,"")</x:f>
        <x:v>958</x:v>
      </x:c>
      <x:c r="G2175" s="1" t="n">
        <x:f>IF(ISNUMBER(L126),L126,"")</x:f>
        <x:v>0.6767</x:v>
      </x:c>
      <x:c r="H2175" s="1" t="str">
        <x:f>IF(A2175="","",IF(AND(UPPER(G126)="PHILADELPHIA",OR(C2175="District",AND(C2175="Charter",D126="Yes"))),"Yes","No"))</x:f>
        <x:v>Yes</x:v>
      </x:c>
      <x:c r="I2175" s="1" t="n">
        <x:f>IF(OR(A2175="",COUNTIFS('Staff Review'!$A$8:$A$507,A2175)&lt;&gt;1),0,MATCH(A2175,'Staff Review'!$A$8:$A$507,0))</x:f>
        <x:v>85</x:v>
      </x:c>
      <x:c r="J2175" s="1" t="str">
        <x:f>IF(I2175=0,"No",IF(INDEX('Staff Review'!$C$8:$C$507,I2175)="Yes","Yes","No"))</x:f>
        <x:v>No</x:v>
      </x:c>
      <x:c r="K2175" s="1" t="n">
        <x:f>IF(AI2175="Yes",INDEX('Staff Review'!$D$8:$D$507,I2175),IF(AB2175=0,"",IF(COUNT(INDEX($C$1531:$C$2030,AB2175))=1,INDEX($C$1531:$C$2030,AB2175),"")))</x:f>
        <x:v>0.8080187816176461</x:v>
      </x:c>
      <x:c r="L2175" s="1" t="n">
        <x:f>IF(AJ2175="Yes",INDEX('Staff Review'!$F$8:$F$507,I2175),IF(AB2175=0,"",IF(COUNT(INDEX($G$1531:$G$2030,AB2175))=1,INDEX($G$1531:$G$2030,AB2175),"")))</x:f>
        <x:v>1</x:v>
      </x:c>
      <x:c r="M2175" s="1" t="str">
        <x:f>IF(A2175="","",IF(AI2175="Yes","Verified","Listed"))</x:f>
        <x:v>Listed</x:v>
      </x:c>
      <x:c r="N2175" s="1" t="str">
        <x:f>IF(A2175="","",IF(AJ2175="Yes","Verified","Listed"))</x:f>
        <x:v>Listed</x:v>
      </x:c>
      <x:c r="O2175" s="1" t="n">
        <x:f>IF(AND(ISNUMBER(G2175),G2175&gt;=0,G2175&lt;=1),IF(G2175&gt;=0.9,30,IF(G2175&gt;=0.8,25,IF(G2175&gt;=0.7,20,IF(G2175&gt;=0.6,15,IF(G2175&gt;=0.5,10,IF(G2175&gt;=0.4,5,0)))))),"")</x:f>
        <x:v>15</x:v>
      </x:c>
      <x:c r="P2175" s="1" t="n">
        <x:f>IF(ISNUMBER(K2175),IF(K2175&lt;0,"",IF(K2175&gt;1,25,IF(K2175&gt;=0.75,20,IF(K2175&gt;=0.5,15,IF(K2175&gt;=0.25,10,5))))),"")</x:f>
        <x:v>20</x:v>
      </x:c>
      <x:c r="Q2175" s="1" t="n">
        <x:f>IF(NOT(ISNUMBER(L2175)),"",IF(AND(L2175&gt;=0,MOD(L2175,1)=0),MAX(0,25-5*L2175),""))</x:f>
        <x:v>20</x:v>
      </x:c>
      <x:c r="R2175" s="1" t="n">
        <x:f>IF(NOT(ISNUMBER(F2175)),"",IF(AND(F2175&gt;0,MOD(F2175,1)=0),IF(F2175&gt;=700,5,IF(F2175&gt;=500,4,IF(F2175&gt;=350,3,IF(F2175&gt;=200,2,1)))),""))</x:f>
        <x:v>5</x:v>
      </x:c>
      <x:c r="S2175" s="1" t="n">
        <x:f>IF(COUNT(O2175:R2175)=4,SUM(O2175:R2175),"")</x:f>
        <x:v>60</x:v>
      </x:c>
      <x:c r="T2175" s="1" t="n">
        <x:f>IF(OR(COUNT(O2175:R2175)&lt;&gt;4,COUNT('Top 15'!$B$35:$E$35)&lt;&gt;4,MIN('Top 15'!$B$35:$E$35)&lt;0,SUM('Top 15'!$B$35:$E$35)&lt;=0),"",ROUND(85*(O2175/30*'Top 15'!$B$35+P2175/25*'Top 15'!$C$35+Q2175/25*'Top 15'!$D$35+R2175/5*'Top 15'!$E$35)/SUM('Top 15'!$B$35:$E$35),6))</x:f>
        <x:v>60</x:v>
      </x:c>
      <x:c r="U2175" s="1" t="str">
        <x:f>IF(A2175="","",IF(AND(M2175="Verified",N2175="Verified"),"Verified",IF(AND(M2175="Listed",N2175="Listed"),"Listed","Mixed")))</x:f>
        <x:v>Listed</x:v>
      </x:c>
      <x:c r="V2175" s="1" t="str">
        <x:f>IF(A2175="","",IF(AK2175&lt;&gt;1,"Duplicate source ID",IF(COUNTIFS('Staff Review'!$A$8:$A$507,A2175)&gt;1,"Duplicate review ID",IF(H2175&lt;&gt;"Yes","Outside scope",IF(J2175="Yes","Already served",IF(NOT(ISNUMBER(T2175)),"Missing data","Candidate"))))))</x:f>
        <x:v>Candidate</x:v>
      </x:c>
      <x:c r="W2175" s="1" t="n">
        <x:f>IF(AL2175=0,"",1+COUNTIFS($AL$2051:$AL$2550,1,$T$2051:$T$2550,"&gt;"&amp;T2175)+COUNTIFS($AL$2051:$AL$2550,1,$T$2051:$T$2550,T2175,$G$2051:$G$2550,"&gt;"&amp;G2175)+COUNTIFS($AL$2051:$AL$2550,1,$T$2051:$T$2550,T2175,$G$2051:$G$2550,G2175,$F$2051:$F$2550,"&gt;"&amp;F2175)+COUNTIFS($AL$2051:$AL$2550,1,$T$2051:$T$2550,T2175,$G$2051:$G$2550,G2175,$F$2051:$F$2550,F2175,$AM$2051:$AM$2550,"&lt;"&amp;AM2175))</x:f>
        <x:v>13</x:v>
      </x:c>
      <x:c r="X2175" s="1" t="n">
        <x:f>IF(AL2175=0,"",1+COUNTIFS($AL$2051:$AL$2550,1,$T$2051:$T$2550,"&gt;"&amp;T2175))</x:f>
        <x:v>10</x:v>
      </x:c>
      <x:c r="Y2175" s="1" t="n">
        <x:f>IF(AND(H2175="Yes",OR(LEN('School Search'!$B$5)=0,ISNUMBER(SEARCH('School Search'!$B$5,B2175&amp;" "&amp;E2175&amp;" "&amp;A2175))),OR('School Search'!$D$5="All",C2175='School Search'!$D$5),OR('School Search'!$G$5="All eligible",AND('School Search'!$G$5="Not marked served",J2175&lt;&gt;"Yes"),AND('School Search'!$G$5="Missing data",V2175="Missing data"),AND('School Search'!$G$5="Marked served",J2175="Yes"))),1,0)</x:f>
        <x:v>1</x:v>
      </x:c>
      <x:c r="Z2175" s="1" t="n">
        <x:f>IF(Y2175=0,"",COUNTIFS($Y$2051:$Y$2550,1,$AO$2051:$AO$2550,"&lt;"&amp;AO2175)+COUNTIFS($Y$2051:Y2175,1,$AO$2051:AO2175,AO2175))</x:f>
        <x:v>13</x:v>
      </x:c>
      <x:c r="AA2175" s="1" t="str">
        <x:f>IF(NOT(ISNUMBER(S2175)),"Missing demographic or access input",TEXT(G2175,"0%")&amp;" economic need; "&amp;TEXT(K2175,"0.00")&amp;" mi fresh access; "&amp;L2175&amp;" nearby resources")</x:f>
        <x:v>68% economic need; 0.81 mi fresh access; 1 nearby resources</x:v>
      </x:c>
      <x:c r="AB2175" s="1" t="n">
        <x:f>IF(OR(A2175="",COUNTIFS($A$1531:$A$2030,A2175)&lt;&gt;1),0,MATCH(A2175,$A$1531:$A$2030,0))</x:f>
        <x:v>125</x:v>
      </x:c>
      <x:c r="AC2175" s="1" t="str">
        <x:f>IF(AB2175=0,"",INDEX($E$1531:$E$2030,AB2175))</x:f>
        <x:v>Pjp Marketplace</x:v>
      </x:c>
      <x:c r="AD2175" s="1" t="str">
        <x:f>IF(AB2175=0,"",INDEX($F$1531:$F$2030,AB2175))</x:f>
        <x:v>3899 Aramingo Ave, Philadelphia, PA, 19137</x:v>
      </x:c>
      <x:c r="AE2175" s="1" t="str">
        <x:f>IF(A2175="","",F126)</x:f>
        <x:v>4259 RICHMOND ST</x:v>
      </x:c>
      <x:c r="AF2175" s="1" t="n">
        <x:f>IF(ISNUMBER(I126),I126,"")</x:f>
        <x:v>39.99551599</x:v>
      </x:c>
      <x:c r="AG2175" s="1" t="n">
        <x:f>IF(ISNUMBER(J126),J126,"")</x:f>
        <x:v>-75.07472434</x:v>
      </x:c>
      <x:c r="AH2175" s="1" t="str">
        <x:f>IF(I2175=0,"Not contacted",IF(INDEX('Staff Review'!$J$8:$J$507,I2175)="","Not contacted",INDEX('Staff Review'!$J$8:$J$507,I2175)))</x:f>
        <x:v>Not contacted</x:v>
      </x:c>
      <x:c r="AI2175" s="1" t="str">
        <x:f>IF(I2175=0,"No",IF(AND(COUNT(INDEX('Staff Review'!$D$8:$D$507,I2175))=1,INDEX('Staff Review'!$D$8:$D$507,I2175)&gt;=0,COUNT(INDEX('Staff Review'!$E$8:$E$507,I2175))=1,INDEX('Staff Review'!$E$8:$E$507,I2175)&gt;0,INDEX('Staff Review'!$E$8:$E$507,I2175)&lt;='Top 15'!$E$5,'Top 15'!$E$5-INDEX('Staff Review'!$E$8:$E$507,I2175)&lt;='Top 15'!$H$5,LEN(INDEX('Staff Review'!$H$8:$H$507,I2175))&gt;0),"Yes","No"))</x:f>
        <x:v>No</x:v>
      </x:c>
      <x:c r="AJ2175" s="1" t="str">
        <x:f>IF(I2175=0,"No",IF(COUNT(INDEX('Staff Review'!$F$8:$F$507,I2175))&lt;&gt;1,"No",IF(AND(INDEX('Staff Review'!$F$8:$F$507,I2175)&gt;=0,MOD(INDEX('Staff Review'!$F$8:$F$507,I2175),1)=0,COUNT(INDEX('Staff Review'!$G$8:$G$507,I2175))=1,INDEX('Staff Review'!$G$8:$G$507,I2175)&gt;0,INDEX('Staff Review'!$G$8:$G$507,I2175)&lt;='Top 15'!$E$5,'Top 15'!$E$5-INDEX('Staff Review'!$G$8:$G$507,I2175)&lt;='Top 15'!$H$5,LEN(INDEX('Staff Review'!$H$8:$H$507,I2175))&gt;0),"Yes","No")))</x:f>
        <x:v>No</x:v>
      </x:c>
      <x:c r="AK2175" s="1" t="n">
        <x:f>IF(A2175="",0,COUNTIFS($A$2:$A$501,A2175))</x:f>
        <x:v>1</x:v>
      </x:c>
      <x:c r="AL2175" s="1" t="n">
        <x:f>IF(V2175="Candidate",1,0)</x:f>
        <x:v>1</x:v>
      </x:c>
      <x:c r="AM2175" s="1" t="n">
        <x:f>IF(A2175="",0,VALUE(A2175))</x:f>
        <x:v>3403</x:v>
      </x:c>
      <x:c r="AN2175" s="1" t="n">
        <x:f>IF(OR(A2175="",COUNTIFS($T$41:$T$540,A2175)&lt;&gt;1),0,MATCH(A2175,$T$41:$T$540,0))</x:f>
        <x:v>125</x:v>
      </x:c>
      <x:c r="AO2175" t="n">
        <x:f>IF(ISNUMBER(W2175),W2175,10000+AM2175)</x:f>
        <x:v>13</x:v>
      </x:c>
    </x:row>
    <x:row r="2176" ht="22" customHeight="1">
      <x:c r="A2176" s="1" t="str">
        <x:f>IF(A127="","",A127)</x:f>
        <x:v>3404</x:v>
      </x:c>
      <x:c r="B2176" s="1" t="str">
        <x:f>IF(A2176="","",B127)</x:f>
        <x:v>Tacony Academy Charter School</x:v>
      </x:c>
      <x:c r="C2176" s="1" t="str">
        <x:f>IF(A2176="","",C127)</x:f>
        <x:v>Charter</x:v>
      </x:c>
      <x:c r="D2176" s="1" t="str">
        <x:f>IF(A2176="","",E127)</x:f>
        <x:v>Elementary-Middle-High</x:v>
      </x:c>
      <x:c r="E2176" s="1" t="str">
        <x:f>IF(A2176="","",H127)</x:f>
        <x:v>19111</x:v>
      </x:c>
      <x:c r="F2176" s="1" t="n">
        <x:f>IF(ISNUMBER(K127),K127,"")</x:f>
        <x:v>1090</x:v>
      </x:c>
      <x:c r="G2176" s="1" t="n">
        <x:f>IF(ISNUMBER(L127),L127,"")</x:f>
        <x:v>0.7204</x:v>
      </x:c>
      <x:c r="H2176" s="1" t="str">
        <x:f>IF(A2176="","",IF(AND(UPPER(G127)="PHILADELPHIA",OR(C2176="District",AND(C2176="Charter",D127="Yes"))),"Yes","No"))</x:f>
        <x:v>Yes</x:v>
      </x:c>
      <x:c r="I2176" s="1" t="n">
        <x:f>IF(OR(A2176="",COUNTIFS('Staff Review'!$A$8:$A$507,A2176)&lt;&gt;1),0,MATCH(A2176,'Staff Review'!$A$8:$A$507,0))</x:f>
        <x:v>280</x:v>
      </x:c>
      <x:c r="J2176" s="1" t="str">
        <x:f>IF(I2176=0,"No",IF(INDEX('Staff Review'!$C$8:$C$507,I2176)="Yes","Yes","No"))</x:f>
        <x:v>No</x:v>
      </x:c>
      <x:c r="K2176" s="1" t="n">
        <x:f>IF(AI2176="Yes",INDEX('Staff Review'!$D$8:$D$507,I2176),IF(AB2176=0,"",IF(COUNT(INDEX($C$1531:$C$2030,AB2176))=1,INDEX($C$1531:$C$2030,AB2176),"")))</x:f>
        <x:v>0.7784790588441283</x:v>
      </x:c>
      <x:c r="L2176" s="1" t="n">
        <x:f>IF(AJ2176="Yes",INDEX('Staff Review'!$F$8:$F$507,I2176),IF(AB2176=0,"",IF(COUNT(INDEX($G$1531:$G$2030,AB2176))=1,INDEX($G$1531:$G$2030,AB2176),"")))</x:f>
        <x:v>0</x:v>
      </x:c>
      <x:c r="M2176" s="1" t="str">
        <x:f>IF(A2176="","",IF(AI2176="Yes","Verified","Listed"))</x:f>
        <x:v>Listed</x:v>
      </x:c>
      <x:c r="N2176" s="1" t="str">
        <x:f>IF(A2176="","",IF(AJ2176="Yes","Verified","Listed"))</x:f>
        <x:v>Listed</x:v>
      </x:c>
      <x:c r="O2176" s="1" t="n">
        <x:f>IF(AND(ISNUMBER(G2176),G2176&gt;=0,G2176&lt;=1),IF(G2176&gt;=0.9,30,IF(G2176&gt;=0.8,25,IF(G2176&gt;=0.7,20,IF(G2176&gt;=0.6,15,IF(G2176&gt;=0.5,10,IF(G2176&gt;=0.4,5,0)))))),"")</x:f>
        <x:v>20</x:v>
      </x:c>
      <x:c r="P2176" s="1" t="n">
        <x:f>IF(ISNUMBER(K2176),IF(K2176&lt;0,"",IF(K2176&gt;1,25,IF(K2176&gt;=0.75,20,IF(K2176&gt;=0.5,15,IF(K2176&gt;=0.25,10,5))))),"")</x:f>
        <x:v>20</x:v>
      </x:c>
      <x:c r="Q2176" s="1" t="n">
        <x:f>IF(NOT(ISNUMBER(L2176)),"",IF(AND(L2176&gt;=0,MOD(L2176,1)=0),MAX(0,25-5*L2176),""))</x:f>
        <x:v>25</x:v>
      </x:c>
      <x:c r="R2176" s="1" t="n">
        <x:f>IF(NOT(ISNUMBER(F2176)),"",IF(AND(F2176&gt;0,MOD(F2176,1)=0),IF(F2176&gt;=700,5,IF(F2176&gt;=500,4,IF(F2176&gt;=350,3,IF(F2176&gt;=200,2,1)))),""))</x:f>
        <x:v>5</x:v>
      </x:c>
      <x:c r="S2176" s="1" t="n">
        <x:f>IF(COUNT(O2176:R2176)=4,SUM(O2176:R2176),"")</x:f>
        <x:v>70</x:v>
      </x:c>
      <x:c r="T2176" s="1" t="n">
        <x:f>IF(OR(COUNT(O2176:R2176)&lt;&gt;4,COUNT('Top 15'!$B$35:$E$35)&lt;&gt;4,MIN('Top 15'!$B$35:$E$35)&lt;0,SUM('Top 15'!$B$35:$E$35)&lt;=0),"",ROUND(85*(O2176/30*'Top 15'!$B$35+P2176/25*'Top 15'!$C$35+Q2176/25*'Top 15'!$D$35+R2176/5*'Top 15'!$E$35)/SUM('Top 15'!$B$35:$E$35),6))</x:f>
        <x:v>70</x:v>
      </x:c>
      <x:c r="U2176" s="1" t="str">
        <x:f>IF(A2176="","",IF(AND(M2176="Verified",N2176="Verified"),"Verified",IF(AND(M2176="Listed",N2176="Listed"),"Listed","Mixed")))</x:f>
        <x:v>Listed</x:v>
      </x:c>
      <x:c r="V2176" s="1" t="str">
        <x:f>IF(A2176="","",IF(AK2176&lt;&gt;1,"Duplicate source ID",IF(COUNTIFS('Staff Review'!$A$8:$A$507,A2176)&gt;1,"Duplicate review ID",IF(H2176&lt;&gt;"Yes","Outside scope",IF(J2176="Yes","Already served",IF(NOT(ISNUMBER(T2176)),"Missing data","Candidate"))))))</x:f>
        <x:v>Candidate</x:v>
      </x:c>
      <x:c r="W2176" s="1" t="n">
        <x:f>IF(AL2176=0,"",1+COUNTIFS($AL$2051:$AL$2550,1,$T$2051:$T$2550,"&gt;"&amp;T2176)+COUNTIFS($AL$2051:$AL$2550,1,$T$2051:$T$2550,T2176,$G$2051:$G$2550,"&gt;"&amp;G2176)+COUNTIFS($AL$2051:$AL$2550,1,$T$2051:$T$2550,T2176,$G$2051:$G$2550,G2176,$F$2051:$F$2550,"&gt;"&amp;F2176)+COUNTIFS($AL$2051:$AL$2550,1,$T$2051:$T$2550,T2176,$G$2051:$G$2550,G2176,$F$2051:$F$2550,F2176,$AM$2051:$AM$2550,"&lt;"&amp;AM2176))</x:f>
        <x:v>1</x:v>
      </x:c>
      <x:c r="X2176" s="1" t="n">
        <x:f>IF(AL2176=0,"",1+COUNTIFS($AL$2051:$AL$2550,1,$T$2051:$T$2550,"&gt;"&amp;T2176))</x:f>
        <x:v>1</x:v>
      </x:c>
      <x:c r="Y2176" s="1" t="n">
        <x:f>IF(AND(H2176="Yes",OR(LEN('School Search'!$B$5)=0,ISNUMBER(SEARCH('School Search'!$B$5,B2176&amp;" "&amp;E2176&amp;" "&amp;A2176))),OR('School Search'!$D$5="All",C2176='School Search'!$D$5),OR('School Search'!$G$5="All eligible",AND('School Search'!$G$5="Not marked served",J2176&lt;&gt;"Yes"),AND('School Search'!$G$5="Missing data",V2176="Missing data"),AND('School Search'!$G$5="Marked served",J2176="Yes"))),1,0)</x:f>
        <x:v>1</x:v>
      </x:c>
      <x:c r="Z2176" s="1" t="n">
        <x:f>IF(Y2176=0,"",COUNTIFS($Y$2051:$Y$2550,1,$AO$2051:$AO$2550,"&lt;"&amp;AO2176)+COUNTIFS($Y$2051:Y2176,1,$AO$2051:AO2176,AO2176))</x:f>
        <x:v>1</x:v>
      </x:c>
      <x:c r="AA2176" s="1" t="str">
        <x:f>IF(NOT(ISNUMBER(S2176)),"Missing demographic or access input",TEXT(G2176,"0%")&amp;" economic need; "&amp;TEXT(K2176,"0.00")&amp;" mi fresh access; "&amp;L2176&amp;" nearby resources")</x:f>
        <x:v>72% economic need; 0.78 mi fresh access; 0 nearby resources</x:v>
      </x:c>
      <x:c r="AB2176" s="1" t="n">
        <x:f>IF(OR(A2176="",COUNTIFS($A$1531:$A$2030,A2176)&lt;&gt;1),0,MATCH(A2176,$A$1531:$A$2030,0))</x:f>
        <x:v>126</x:v>
      </x:c>
      <x:c r="AC2176" s="1" t="str">
        <x:f>IF(AB2176=0,"",INDEX($E$1531:$E$2030,AB2176))</x:f>
        <x:v>Bell's Market</x:v>
      </x:c>
      <x:c r="AD2176" s="1" t="str">
        <x:f>IF(AB2176=0,"",INDEX($F$1531:$F$2030,AB2176))</x:f>
        <x:v>8330 Bustleton Ave, Philadelphia, PA, 19152</x:v>
      </x:c>
      <x:c r="AE2176" s="1" t="str">
        <x:f>IF(A2176="","",F127)</x:f>
        <x:v>1330 RHAWN ST</x:v>
      </x:c>
      <x:c r="AF2176" s="1" t="n">
        <x:f>IF(ISNUMBER(I127),I127,"")</x:f>
        <x:v>40.06684222</x:v>
      </x:c>
      <x:c r="AG2176" s="1" t="n">
        <x:f>IF(ISNUMBER(J127),J127,"")</x:f>
        <x:v>-75.06598353</x:v>
      </x:c>
      <x:c r="AH2176" s="1" t="str">
        <x:f>IF(I2176=0,"Not contacted",IF(INDEX('Staff Review'!$J$8:$J$507,I2176)="","Not contacted",INDEX('Staff Review'!$J$8:$J$507,I2176)))</x:f>
        <x:v>Not contacted</x:v>
      </x:c>
      <x:c r="AI2176" s="1" t="str">
        <x:f>IF(I2176=0,"No",IF(AND(COUNT(INDEX('Staff Review'!$D$8:$D$507,I2176))=1,INDEX('Staff Review'!$D$8:$D$507,I2176)&gt;=0,COUNT(INDEX('Staff Review'!$E$8:$E$507,I2176))=1,INDEX('Staff Review'!$E$8:$E$507,I2176)&gt;0,INDEX('Staff Review'!$E$8:$E$507,I2176)&lt;='Top 15'!$E$5,'Top 15'!$E$5-INDEX('Staff Review'!$E$8:$E$507,I2176)&lt;='Top 15'!$H$5,LEN(INDEX('Staff Review'!$H$8:$H$507,I2176))&gt;0),"Yes","No"))</x:f>
        <x:v>No</x:v>
      </x:c>
      <x:c r="AJ2176" s="1" t="str">
        <x:f>IF(I2176=0,"No",IF(COUNT(INDEX('Staff Review'!$F$8:$F$507,I2176))&lt;&gt;1,"No",IF(AND(INDEX('Staff Review'!$F$8:$F$507,I2176)&gt;=0,MOD(INDEX('Staff Review'!$F$8:$F$507,I2176),1)=0,COUNT(INDEX('Staff Review'!$G$8:$G$507,I2176))=1,INDEX('Staff Review'!$G$8:$G$507,I2176)&gt;0,INDEX('Staff Review'!$G$8:$G$507,I2176)&lt;='Top 15'!$E$5,'Top 15'!$E$5-INDEX('Staff Review'!$G$8:$G$507,I2176)&lt;='Top 15'!$H$5,LEN(INDEX('Staff Review'!$H$8:$H$507,I2176))&gt;0),"Yes","No")))</x:f>
        <x:v>No</x:v>
      </x:c>
      <x:c r="AK2176" s="1" t="n">
        <x:f>IF(A2176="",0,COUNTIFS($A$2:$A$501,A2176))</x:f>
        <x:v>1</x:v>
      </x:c>
      <x:c r="AL2176" s="1" t="n">
        <x:f>IF(V2176="Candidate",1,0)</x:f>
        <x:v>1</x:v>
      </x:c>
      <x:c r="AM2176" s="1" t="n">
        <x:f>IF(A2176="",0,VALUE(A2176))</x:f>
        <x:v>3404</x:v>
      </x:c>
      <x:c r="AN2176" s="1" t="n">
        <x:f>IF(OR(A2176="",COUNTIFS($T$41:$T$540,A2176)&lt;&gt;1),0,MATCH(A2176,$T$41:$T$540,0))</x:f>
        <x:v>126</x:v>
      </x:c>
      <x:c r="AO2176" t="n">
        <x:f>IF(ISNUMBER(W2176),W2176,10000+AM2176)</x:f>
        <x:v>1</x:v>
      </x:c>
    </x:row>
    <x:row r="2177" ht="22" customHeight="1">
      <x:c r="A2177" s="1" t="str">
        <x:f>IF(A128="","",A128)</x:f>
        <x:v>3407</x:v>
      </x:c>
      <x:c r="B2177" s="1" t="str">
        <x:f>IF(A2177="","",B128)</x:f>
        <x:v>Mastery Charter School at Harrity</x:v>
      </x:c>
      <x:c r="C2177" s="1" t="str">
        <x:f>IF(A2177="","",C128)</x:f>
        <x:v>Charter</x:v>
      </x:c>
      <x:c r="D2177" s="1" t="str">
        <x:f>IF(A2177="","",E128)</x:f>
        <x:v>Elementary-Middle</x:v>
      </x:c>
      <x:c r="E2177" s="1" t="str">
        <x:f>IF(A2177="","",H128)</x:f>
        <x:v>19143</x:v>
      </x:c>
      <x:c r="F2177" s="1" t="n">
        <x:f>IF(ISNUMBER(K128),K128,"")</x:f>
        <x:v>753</x:v>
      </x:c>
      <x:c r="G2177" s="1" t="n">
        <x:f>IF(ISNUMBER(L128),L128,"")</x:f>
        <x:v>0.9907</x:v>
      </x:c>
      <x:c r="H2177" s="1" t="str">
        <x:f>IF(A2177="","",IF(AND(UPPER(G128)="PHILADELPHIA",OR(C2177="District",AND(C2177="Charter",D128="Yes"))),"Yes","No"))</x:f>
        <x:v>Yes</x:v>
      </x:c>
      <x:c r="I2177" s="1" t="n">
        <x:f>IF(OR(A2177="",COUNTIFS('Staff Review'!$A$8:$A$507,A2177)&lt;&gt;1),0,MATCH(A2177,'Staff Review'!$A$8:$A$507,0))</x:f>
        <x:v>187</x:v>
      </x:c>
      <x:c r="J2177" s="1" t="str">
        <x:f>IF(I2177=0,"No",IF(INDEX('Staff Review'!$C$8:$C$507,I2177)="Yes","Yes","No"))</x:f>
        <x:v>No</x:v>
      </x:c>
      <x:c r="K2177" s="1" t="n">
        <x:f>IF(AI2177="Yes",INDEX('Staff Review'!$D$8:$D$507,I2177),IF(AB2177=0,"",IF(COUNT(INDEX($C$1531:$C$2030,AB2177))=1,INDEX($C$1531:$C$2030,AB2177),"")))</x:f>
        <x:v>0.20122199767020996</x:v>
      </x:c>
      <x:c r="L2177" s="1" t="n">
        <x:f>IF(AJ2177="Yes",INDEX('Staff Review'!$F$8:$F$507,I2177),IF(AB2177=0,"",IF(COUNT(INDEX($G$1531:$G$2030,AB2177))=1,INDEX($G$1531:$G$2030,AB2177),"")))</x:f>
        <x:v>9</x:v>
      </x:c>
      <x:c r="M2177" s="1" t="str">
        <x:f>IF(A2177="","",IF(AI2177="Yes","Verified","Listed"))</x:f>
        <x:v>Listed</x:v>
      </x:c>
      <x:c r="N2177" s="1" t="str">
        <x:f>IF(A2177="","",IF(AJ2177="Yes","Verified","Listed"))</x:f>
        <x:v>Listed</x:v>
      </x:c>
      <x:c r="O2177" s="1" t="n">
        <x:f>IF(AND(ISNUMBER(G2177),G2177&gt;=0,G2177&lt;=1),IF(G2177&gt;=0.9,30,IF(G2177&gt;=0.8,25,IF(G2177&gt;=0.7,20,IF(G2177&gt;=0.6,15,IF(G2177&gt;=0.5,10,IF(G2177&gt;=0.4,5,0)))))),"")</x:f>
        <x:v>30</x:v>
      </x:c>
      <x:c r="P2177" s="1" t="n">
        <x:f>IF(ISNUMBER(K2177),IF(K2177&lt;0,"",IF(K2177&gt;1,25,IF(K2177&gt;=0.75,20,IF(K2177&gt;=0.5,15,IF(K2177&gt;=0.25,10,5))))),"")</x:f>
        <x:v>5</x:v>
      </x:c>
      <x:c r="Q2177" s="1" t="n">
        <x:f>IF(NOT(ISNUMBER(L2177)),"",IF(AND(L2177&gt;=0,MOD(L2177,1)=0),MAX(0,25-5*L2177),""))</x:f>
        <x:v>0</x:v>
      </x:c>
      <x:c r="R2177" s="1" t="n">
        <x:f>IF(NOT(ISNUMBER(F2177)),"",IF(AND(F2177&gt;0,MOD(F2177,1)=0),IF(F2177&gt;=700,5,IF(F2177&gt;=500,4,IF(F2177&gt;=350,3,IF(F2177&gt;=200,2,1)))),""))</x:f>
        <x:v>5</x:v>
      </x:c>
      <x:c r="S2177" s="1" t="n">
        <x:f>IF(COUNT(O2177:R2177)=4,SUM(O2177:R2177),"")</x:f>
        <x:v>40</x:v>
      </x:c>
      <x:c r="T2177" s="1" t="n">
        <x:f>IF(OR(COUNT(O2177:R2177)&lt;&gt;4,COUNT('Top 15'!$B$35:$E$35)&lt;&gt;4,MIN('Top 15'!$B$35:$E$35)&lt;0,SUM('Top 15'!$B$35:$E$35)&lt;=0),"",ROUND(85*(O2177/30*'Top 15'!$B$35+P2177/25*'Top 15'!$C$35+Q2177/25*'Top 15'!$D$35+R2177/5*'Top 15'!$E$35)/SUM('Top 15'!$B$35:$E$35),6))</x:f>
        <x:v>40</x:v>
      </x:c>
      <x:c r="U2177" s="1" t="str">
        <x:f>IF(A2177="","",IF(AND(M2177="Verified",N2177="Verified"),"Verified",IF(AND(M2177="Listed",N2177="Listed"),"Listed","Mixed")))</x:f>
        <x:v>Listed</x:v>
      </x:c>
      <x:c r="V2177" s="1" t="str">
        <x:f>IF(A2177="","",IF(AK2177&lt;&gt;1,"Duplicate source ID",IF(COUNTIFS('Staff Review'!$A$8:$A$507,A2177)&gt;1,"Duplicate review ID",IF(H2177&lt;&gt;"Yes","Outside scope",IF(J2177="Yes","Already served",IF(NOT(ISNUMBER(T2177)),"Missing data","Candidate"))))))</x:f>
        <x:v>Candidate</x:v>
      </x:c>
      <x:c r="W2177" s="1" t="n">
        <x:f>IF(AL2177=0,"",1+COUNTIFS($AL$2051:$AL$2550,1,$T$2051:$T$2550,"&gt;"&amp;T2177)+COUNTIFS($AL$2051:$AL$2550,1,$T$2051:$T$2550,T2177,$G$2051:$G$2550,"&gt;"&amp;G2177)+COUNTIFS($AL$2051:$AL$2550,1,$T$2051:$T$2550,T2177,$G$2051:$G$2550,G2177,$F$2051:$F$2550,"&gt;"&amp;F2177)+COUNTIFS($AL$2051:$AL$2550,1,$T$2051:$T$2550,T2177,$G$2051:$G$2550,G2177,$F$2051:$F$2550,F2177,$AM$2051:$AM$2550,"&lt;"&amp;AM2177))</x:f>
        <x:v>133</x:v>
      </x:c>
      <x:c r="X2177" s="1" t="n">
        <x:f>IF(AL2177=0,"",1+COUNTIFS($AL$2051:$AL$2550,1,$T$2051:$T$2550,"&gt;"&amp;T2177))</x:f>
        <x:v>133</x:v>
      </x:c>
      <x:c r="Y2177" s="1" t="n">
        <x:f>IF(AND(H2177="Yes",OR(LEN('School Search'!$B$5)=0,ISNUMBER(SEARCH('School Search'!$B$5,B2177&amp;" "&amp;E2177&amp;" "&amp;A2177))),OR('School Search'!$D$5="All",C2177='School Search'!$D$5),OR('School Search'!$G$5="All eligible",AND('School Search'!$G$5="Not marked served",J2177&lt;&gt;"Yes"),AND('School Search'!$G$5="Missing data",V2177="Missing data"),AND('School Search'!$G$5="Marked served",J2177="Yes"))),1,0)</x:f>
        <x:v>1</x:v>
      </x:c>
      <x:c r="Z2177" s="1" t="n">
        <x:f>IF(Y2177=0,"",COUNTIFS($Y$2051:$Y$2550,1,$AO$2051:$AO$2550,"&lt;"&amp;AO2177)+COUNTIFS($Y$2051:Y2177,1,$AO$2051:AO2177,AO2177))</x:f>
        <x:v>133</x:v>
      </x:c>
      <x:c r="AA2177" s="1" t="str">
        <x:f>IF(NOT(ISNUMBER(S2177)),"Missing demographic or access input",TEXT(G2177,"0%")&amp;" economic need; "&amp;TEXT(K2177,"0.00")&amp;" mi fresh access; "&amp;L2177&amp;" nearby resources")</x:f>
        <x:v>99% economic need; 0.20 mi fresh access; 9 nearby resources</x:v>
      </x:c>
      <x:c r="AB2177" s="1" t="n">
        <x:f>IF(OR(A2177="",COUNTIFS($A$1531:$A$2030,A2177)&lt;&gt;1),0,MATCH(A2177,$A$1531:$A$2030,0))</x:f>
        <x:v>127</x:v>
      </x:c>
      <x:c r="AC2177" s="1" t="str">
        <x:f>IF(AB2177=0,"",INDEX($E$1531:$E$2030,AB2177))</x:f>
        <x:v>Cousin's Fresh Market 3 Llc</x:v>
      </x:c>
      <x:c r="AD2177" s="1" t="str">
        <x:f>IF(AB2177=0,"",INDEX($F$1531:$F$2030,AB2177))</x:f>
        <x:v>5704 Baltimore Ave, Philadelphia, PA, 19143</x:v>
      </x:c>
      <x:c r="AE2177" s="1" t="str">
        <x:f>IF(A2177="","",F128)</x:f>
        <x:v>5601 CHRISTIAN ST</x:v>
      </x:c>
      <x:c r="AF2177" s="1" t="n">
        <x:f>IF(ISNUMBER(I128),I128,"")</x:f>
        <x:v>39.94852458</x:v>
      </x:c>
      <x:c r="AG2177" s="1" t="n">
        <x:f>IF(ISNUMBER(J128),J128,"")</x:f>
        <x:v>-75.23548525</x:v>
      </x:c>
      <x:c r="AH2177" s="1" t="str">
        <x:f>IF(I2177=0,"Not contacted",IF(INDEX('Staff Review'!$J$8:$J$507,I2177)="","Not contacted",INDEX('Staff Review'!$J$8:$J$507,I2177)))</x:f>
        <x:v>Not contacted</x:v>
      </x:c>
      <x:c r="AI2177" s="1" t="str">
        <x:f>IF(I2177=0,"No",IF(AND(COUNT(INDEX('Staff Review'!$D$8:$D$507,I2177))=1,INDEX('Staff Review'!$D$8:$D$507,I2177)&gt;=0,COUNT(INDEX('Staff Review'!$E$8:$E$507,I2177))=1,INDEX('Staff Review'!$E$8:$E$507,I2177)&gt;0,INDEX('Staff Review'!$E$8:$E$507,I2177)&lt;='Top 15'!$E$5,'Top 15'!$E$5-INDEX('Staff Review'!$E$8:$E$507,I2177)&lt;='Top 15'!$H$5,LEN(INDEX('Staff Review'!$H$8:$H$507,I2177))&gt;0),"Yes","No"))</x:f>
        <x:v>No</x:v>
      </x:c>
      <x:c r="AJ2177" s="1" t="str">
        <x:f>IF(I2177=0,"No",IF(COUNT(INDEX('Staff Review'!$F$8:$F$507,I2177))&lt;&gt;1,"No",IF(AND(INDEX('Staff Review'!$F$8:$F$507,I2177)&gt;=0,MOD(INDEX('Staff Review'!$F$8:$F$507,I2177),1)=0,COUNT(INDEX('Staff Review'!$G$8:$G$507,I2177))=1,INDEX('Staff Review'!$G$8:$G$507,I2177)&gt;0,INDEX('Staff Review'!$G$8:$G$507,I2177)&lt;='Top 15'!$E$5,'Top 15'!$E$5-INDEX('Staff Review'!$G$8:$G$507,I2177)&lt;='Top 15'!$H$5,LEN(INDEX('Staff Review'!$H$8:$H$507,I2177))&gt;0),"Yes","No")))</x:f>
        <x:v>No</x:v>
      </x:c>
      <x:c r="AK2177" s="1" t="n">
        <x:f>IF(A2177="",0,COUNTIFS($A$2:$A$501,A2177))</x:f>
        <x:v>1</x:v>
      </x:c>
      <x:c r="AL2177" s="1" t="n">
        <x:f>IF(V2177="Candidate",1,0)</x:f>
        <x:v>1</x:v>
      </x:c>
      <x:c r="AM2177" s="1" t="n">
        <x:f>IF(A2177="",0,VALUE(A2177))</x:f>
        <x:v>3407</x:v>
      </x:c>
      <x:c r="AN2177" s="1" t="n">
        <x:f>IF(OR(A2177="",COUNTIFS($T$41:$T$540,A2177)&lt;&gt;1),0,MATCH(A2177,$T$41:$T$540,0))</x:f>
        <x:v>127</x:v>
      </x:c>
      <x:c r="AO2177" t="n">
        <x:f>IF(ISNUMBER(W2177),W2177,10000+AM2177)</x:f>
        <x:v>133</x:v>
      </x:c>
    </x:row>
    <x:row r="2178" ht="22" customHeight="1">
      <x:c r="A2178" s="1" t="str">
        <x:f>IF(A129="","",A129)</x:f>
        <x:v>3408</x:v>
      </x:c>
      <x:c r="B2178" s="1" t="str">
        <x:f>IF(A2178="","",B129)</x:f>
        <x:v>Mastery Charter School at Mann</x:v>
      </x:c>
      <x:c r="C2178" s="1" t="str">
        <x:f>IF(A2178="","",C129)</x:f>
        <x:v>Charter</x:v>
      </x:c>
      <x:c r="D2178" s="1" t="str">
        <x:f>IF(A2178="","",E129)</x:f>
        <x:v>Elementary</x:v>
      </x:c>
      <x:c r="E2178" s="1" t="str">
        <x:f>IF(A2178="","",H129)</x:f>
        <x:v>19131</x:v>
      </x:c>
      <x:c r="F2178" s="1" t="n">
        <x:f>IF(ISNUMBER(K129),K129,"")</x:f>
        <x:v>549</x:v>
      </x:c>
      <x:c r="G2178" s="1" t="n">
        <x:f>IF(ISNUMBER(L129),L129,"")</x:f>
        <x:v>0.8836</x:v>
      </x:c>
      <x:c r="H2178" s="1" t="str">
        <x:f>IF(A2178="","",IF(AND(UPPER(G129)="PHILADELPHIA",OR(C2178="District",AND(C2178="Charter",D129="Yes"))),"Yes","No"))</x:f>
        <x:v>Yes</x:v>
      </x:c>
      <x:c r="I2178" s="1" t="n">
        <x:f>IF(OR(A2178="",COUNTIFS('Staff Review'!$A$8:$A$507,A2178)&lt;&gt;1),0,MATCH(A2178,'Staff Review'!$A$8:$A$507,0))</x:f>
        <x:v>188</x:v>
      </x:c>
      <x:c r="J2178" s="1" t="str">
        <x:f>IF(I2178=0,"No",IF(INDEX('Staff Review'!$C$8:$C$507,I2178)="Yes","Yes","No"))</x:f>
        <x:v>No</x:v>
      </x:c>
      <x:c r="K2178" s="1" t="n">
        <x:f>IF(AI2178="Yes",INDEX('Staff Review'!$D$8:$D$507,I2178),IF(AB2178=0,"",IF(COUNT(INDEX($C$1531:$C$2030,AB2178))=1,INDEX($C$1531:$C$2030,AB2178),"")))</x:f>
        <x:v>0.5945903602967978</x:v>
      </x:c>
      <x:c r="L2178" s="1" t="n">
        <x:f>IF(AJ2178="Yes",INDEX('Staff Review'!$F$8:$F$507,I2178),IF(AB2178=0,"",IF(COUNT(INDEX($G$1531:$G$2030,AB2178))=1,INDEX($G$1531:$G$2030,AB2178),"")))</x:f>
        <x:v>5</x:v>
      </x:c>
      <x:c r="M2178" s="1" t="str">
        <x:f>IF(A2178="","",IF(AI2178="Yes","Verified","Listed"))</x:f>
        <x:v>Listed</x:v>
      </x:c>
      <x:c r="N2178" s="1" t="str">
        <x:f>IF(A2178="","",IF(AJ2178="Yes","Verified","Listed"))</x:f>
        <x:v>Listed</x:v>
      </x:c>
      <x:c r="O2178" s="1" t="n">
        <x:f>IF(AND(ISNUMBER(G2178),G2178&gt;=0,G2178&lt;=1),IF(G2178&gt;=0.9,30,IF(G2178&gt;=0.8,25,IF(G2178&gt;=0.7,20,IF(G2178&gt;=0.6,15,IF(G2178&gt;=0.5,10,IF(G2178&gt;=0.4,5,0)))))),"")</x:f>
        <x:v>25</x:v>
      </x:c>
      <x:c r="P2178" s="1" t="n">
        <x:f>IF(ISNUMBER(K2178),IF(K2178&lt;0,"",IF(K2178&gt;1,25,IF(K2178&gt;=0.75,20,IF(K2178&gt;=0.5,15,IF(K2178&gt;=0.25,10,5))))),"")</x:f>
        <x:v>15</x:v>
      </x:c>
      <x:c r="Q2178" s="1" t="n">
        <x:f>IF(NOT(ISNUMBER(L2178)),"",IF(AND(L2178&gt;=0,MOD(L2178,1)=0),MAX(0,25-5*L2178),""))</x:f>
        <x:v>0</x:v>
      </x:c>
      <x:c r="R2178" s="1" t="n">
        <x:f>IF(NOT(ISNUMBER(F2178)),"",IF(AND(F2178&gt;0,MOD(F2178,1)=0),IF(F2178&gt;=700,5,IF(F2178&gt;=500,4,IF(F2178&gt;=350,3,IF(F2178&gt;=200,2,1)))),""))</x:f>
        <x:v>4</x:v>
      </x:c>
      <x:c r="S2178" s="1" t="n">
        <x:f>IF(COUNT(O2178:R2178)=4,SUM(O2178:R2178),"")</x:f>
        <x:v>44</x:v>
      </x:c>
      <x:c r="T2178" s="1" t="n">
        <x:f>IF(OR(COUNT(O2178:R2178)&lt;&gt;4,COUNT('Top 15'!$B$35:$E$35)&lt;&gt;4,MIN('Top 15'!$B$35:$E$35)&lt;0,SUM('Top 15'!$B$35:$E$35)&lt;=0),"",ROUND(85*(O2178/30*'Top 15'!$B$35+P2178/25*'Top 15'!$C$35+Q2178/25*'Top 15'!$D$35+R2178/5*'Top 15'!$E$35)/SUM('Top 15'!$B$35:$E$35),6))</x:f>
        <x:v>44</x:v>
      </x:c>
      <x:c r="U2178" s="1" t="str">
        <x:f>IF(A2178="","",IF(AND(M2178="Verified",N2178="Verified"),"Verified",IF(AND(M2178="Listed",N2178="Listed"),"Listed","Mixed")))</x:f>
        <x:v>Listed</x:v>
      </x:c>
      <x:c r="V2178" s="1" t="str">
        <x:f>IF(A2178="","",IF(AK2178&lt;&gt;1,"Duplicate source ID",IF(COUNTIFS('Staff Review'!$A$8:$A$507,A2178)&gt;1,"Duplicate review ID",IF(H2178&lt;&gt;"Yes","Outside scope",IF(J2178="Yes","Already served",IF(NOT(ISNUMBER(T2178)),"Missing data","Candidate"))))))</x:f>
        <x:v>Candidate</x:v>
      </x:c>
      <x:c r="W2178" s="1" t="n">
        <x:f>IF(AL2178=0,"",1+COUNTIFS($AL$2051:$AL$2550,1,$T$2051:$T$2550,"&gt;"&amp;T2178)+COUNTIFS($AL$2051:$AL$2550,1,$T$2051:$T$2550,T2178,$G$2051:$G$2550,"&gt;"&amp;G2178)+COUNTIFS($AL$2051:$AL$2550,1,$T$2051:$T$2550,T2178,$G$2051:$G$2550,G2178,$F$2051:$F$2550,"&gt;"&amp;F2178)+COUNTIFS($AL$2051:$AL$2550,1,$T$2051:$T$2550,T2178,$G$2051:$G$2550,G2178,$F$2051:$F$2550,F2178,$AM$2051:$AM$2550,"&lt;"&amp;AM2178))</x:f>
        <x:v>85</x:v>
      </x:c>
      <x:c r="X2178" s="1" t="n">
        <x:f>IF(AL2178=0,"",1+COUNTIFS($AL$2051:$AL$2550,1,$T$2051:$T$2550,"&gt;"&amp;T2178))</x:f>
        <x:v>81</x:v>
      </x:c>
      <x:c r="Y2178" s="1" t="n">
        <x:f>IF(AND(H2178="Yes",OR(LEN('School Search'!$B$5)=0,ISNUMBER(SEARCH('School Search'!$B$5,B2178&amp;" "&amp;E2178&amp;" "&amp;A2178))),OR('School Search'!$D$5="All",C2178='School Search'!$D$5),OR('School Search'!$G$5="All eligible",AND('School Search'!$G$5="Not marked served",J2178&lt;&gt;"Yes"),AND('School Search'!$G$5="Missing data",V2178="Missing data"),AND('School Search'!$G$5="Marked served",J2178="Yes"))),1,0)</x:f>
        <x:v>1</x:v>
      </x:c>
      <x:c r="Z2178" s="1" t="n">
        <x:f>IF(Y2178=0,"",COUNTIFS($Y$2051:$Y$2550,1,$AO$2051:$AO$2550,"&lt;"&amp;AO2178)+COUNTIFS($Y$2051:Y2178,1,$AO$2051:AO2178,AO2178))</x:f>
        <x:v>85</x:v>
      </x:c>
      <x:c r="AA2178" s="1" t="str">
        <x:f>IF(NOT(ISNUMBER(S2178)),"Missing demographic or access input",TEXT(G2178,"0%")&amp;" economic need; "&amp;TEXT(K2178,"0.00")&amp;" mi fresh access; "&amp;L2178&amp;" nearby resources")</x:f>
        <x:v>88% economic need; 0.59 mi fresh access; 5 nearby resources</x:v>
      </x:c>
      <x:c r="AB2178" s="1" t="n">
        <x:f>IF(OR(A2178="",COUNTIFS($A$1531:$A$2030,A2178)&lt;&gt;1),0,MATCH(A2178,$A$1531:$A$2030,0))</x:f>
        <x:v>128</x:v>
      </x:c>
      <x:c r="AC2178" s="1" t="str">
        <x:f>IF(AB2178=0,"",INDEX($E$1531:$E$2030,AB2178))</x:f>
        <x:v>Shoprite of Parkside 419</x:v>
      </x:c>
      <x:c r="AD2178" s="1" t="str">
        <x:f>IF(AB2178=0,"",INDEX($F$1531:$F$2030,AB2178))</x:f>
        <x:v>1575 N 52nd St, Philadelphia, PA, 19131</x:v>
      </x:c>
      <x:c r="AE2178" s="1" t="str">
        <x:f>IF(A2178="","",F129)</x:f>
        <x:v>5376 W BERKS ST</x:v>
      </x:c>
      <x:c r="AF2178" s="1" t="n">
        <x:f>IF(ISNUMBER(I129),I129,"")</x:f>
        <x:v>39.98590147</x:v>
      </x:c>
      <x:c r="AG2178" s="1" t="n">
        <x:f>IF(ISNUMBER(J129),J129,"")</x:f>
        <x:v>-75.2313266</x:v>
      </x:c>
      <x:c r="AH2178" s="1" t="str">
        <x:f>IF(I2178=0,"Not contacted",IF(INDEX('Staff Review'!$J$8:$J$507,I2178)="","Not contacted",INDEX('Staff Review'!$J$8:$J$507,I2178)))</x:f>
        <x:v>Not contacted</x:v>
      </x:c>
      <x:c r="AI2178" s="1" t="str">
        <x:f>IF(I2178=0,"No",IF(AND(COUNT(INDEX('Staff Review'!$D$8:$D$507,I2178))=1,INDEX('Staff Review'!$D$8:$D$507,I2178)&gt;=0,COUNT(INDEX('Staff Review'!$E$8:$E$507,I2178))=1,INDEX('Staff Review'!$E$8:$E$507,I2178)&gt;0,INDEX('Staff Review'!$E$8:$E$507,I2178)&lt;='Top 15'!$E$5,'Top 15'!$E$5-INDEX('Staff Review'!$E$8:$E$507,I2178)&lt;='Top 15'!$H$5,LEN(INDEX('Staff Review'!$H$8:$H$507,I2178))&gt;0),"Yes","No"))</x:f>
        <x:v>No</x:v>
      </x:c>
      <x:c r="AJ2178" s="1" t="str">
        <x:f>IF(I2178=0,"No",IF(COUNT(INDEX('Staff Review'!$F$8:$F$507,I2178))&lt;&gt;1,"No",IF(AND(INDEX('Staff Review'!$F$8:$F$507,I2178)&gt;=0,MOD(INDEX('Staff Review'!$F$8:$F$507,I2178),1)=0,COUNT(INDEX('Staff Review'!$G$8:$G$507,I2178))=1,INDEX('Staff Review'!$G$8:$G$507,I2178)&gt;0,INDEX('Staff Review'!$G$8:$G$507,I2178)&lt;='Top 15'!$E$5,'Top 15'!$E$5-INDEX('Staff Review'!$G$8:$G$507,I2178)&lt;='Top 15'!$H$5,LEN(INDEX('Staff Review'!$H$8:$H$507,I2178))&gt;0),"Yes","No")))</x:f>
        <x:v>No</x:v>
      </x:c>
      <x:c r="AK2178" s="1" t="n">
        <x:f>IF(A2178="",0,COUNTIFS($A$2:$A$501,A2178))</x:f>
        <x:v>1</x:v>
      </x:c>
      <x:c r="AL2178" s="1" t="n">
        <x:f>IF(V2178="Candidate",1,0)</x:f>
        <x:v>1</x:v>
      </x:c>
      <x:c r="AM2178" s="1" t="n">
        <x:f>IF(A2178="",0,VALUE(A2178))</x:f>
        <x:v>3408</x:v>
      </x:c>
      <x:c r="AN2178" s="1" t="n">
        <x:f>IF(OR(A2178="",COUNTIFS($T$41:$T$540,A2178)&lt;&gt;1),0,MATCH(A2178,$T$41:$T$540,0))</x:f>
        <x:v>128</x:v>
      </x:c>
      <x:c r="AO2178" t="n">
        <x:f>IF(ISNUMBER(W2178),W2178,10000+AM2178)</x:f>
        <x:v>85</x:v>
      </x:c>
    </x:row>
    <x:row r="2179" ht="22" customHeight="1">
      <x:c r="A2179" s="1" t="str">
        <x:f>IF(A130="","",A130)</x:f>
        <x:v>3409</x:v>
      </x:c>
      <x:c r="B2179" s="1" t="str">
        <x:f>IF(A2179="","",B130)</x:f>
        <x:v>Mastery Charter School at Smedley</x:v>
      </x:c>
      <x:c r="C2179" s="1" t="str">
        <x:f>IF(A2179="","",C130)</x:f>
        <x:v>Charter</x:v>
      </x:c>
      <x:c r="D2179" s="1" t="str">
        <x:f>IF(A2179="","",E130)</x:f>
        <x:v>Elementary</x:v>
      </x:c>
      <x:c r="E2179" s="1" t="str">
        <x:f>IF(A2179="","",H130)</x:f>
        <x:v>19124</x:v>
      </x:c>
      <x:c r="F2179" s="1" t="n">
        <x:f>IF(ISNUMBER(K130),K130,"")</x:f>
        <x:v>737</x:v>
      </x:c>
      <x:c r="G2179" s="1" t="n">
        <x:f>IF(ISNUMBER(L130),L130,"")</x:f>
        <x:v>0.8631</x:v>
      </x:c>
      <x:c r="H2179" s="1" t="str">
        <x:f>IF(A2179="","",IF(AND(UPPER(G130)="PHILADELPHIA",OR(C2179="District",AND(C2179="Charter",D130="Yes"))),"Yes","No"))</x:f>
        <x:v>Yes</x:v>
      </x:c>
      <x:c r="I2179" s="1" t="n">
        <x:f>IF(OR(A2179="",COUNTIFS('Staff Review'!$A$8:$A$507,A2179)&lt;&gt;1),0,MATCH(A2179,'Staff Review'!$A$8:$A$507,0))</x:f>
        <x:v>192</x:v>
      </x:c>
      <x:c r="J2179" s="1" t="str">
        <x:f>IF(I2179=0,"No",IF(INDEX('Staff Review'!$C$8:$C$507,I2179)="Yes","Yes","No"))</x:f>
        <x:v>No</x:v>
      </x:c>
      <x:c r="K2179" s="1" t="n">
        <x:f>IF(AI2179="Yes",INDEX('Staff Review'!$D$8:$D$507,I2179),IF(AB2179=0,"",IF(COUNT(INDEX($C$1531:$C$2030,AB2179))=1,INDEX($C$1531:$C$2030,AB2179),"")))</x:f>
        <x:v>0.25579541821587615</x:v>
      </x:c>
      <x:c r="L2179" s="1" t="n">
        <x:f>IF(AJ2179="Yes",INDEX('Staff Review'!$F$8:$F$507,I2179),IF(AB2179=0,"",IF(COUNT(INDEX($G$1531:$G$2030,AB2179))=1,INDEX($G$1531:$G$2030,AB2179),"")))</x:f>
        <x:v>10</x:v>
      </x:c>
      <x:c r="M2179" s="1" t="str">
        <x:f>IF(A2179="","",IF(AI2179="Yes","Verified","Listed"))</x:f>
        <x:v>Listed</x:v>
      </x:c>
      <x:c r="N2179" s="1" t="str">
        <x:f>IF(A2179="","",IF(AJ2179="Yes","Verified","Listed"))</x:f>
        <x:v>Listed</x:v>
      </x:c>
      <x:c r="O2179" s="1" t="n">
        <x:f>IF(AND(ISNUMBER(G2179),G2179&gt;=0,G2179&lt;=1),IF(G2179&gt;=0.9,30,IF(G2179&gt;=0.8,25,IF(G2179&gt;=0.7,20,IF(G2179&gt;=0.6,15,IF(G2179&gt;=0.5,10,IF(G2179&gt;=0.4,5,0)))))),"")</x:f>
        <x:v>25</x:v>
      </x:c>
      <x:c r="P2179" s="1" t="n">
        <x:f>IF(ISNUMBER(K2179),IF(K2179&lt;0,"",IF(K2179&gt;1,25,IF(K2179&gt;=0.75,20,IF(K2179&gt;=0.5,15,IF(K2179&gt;=0.25,10,5))))),"")</x:f>
        <x:v>10</x:v>
      </x:c>
      <x:c r="Q2179" s="1" t="n">
        <x:f>IF(NOT(ISNUMBER(L2179)),"",IF(AND(L2179&gt;=0,MOD(L2179,1)=0),MAX(0,25-5*L2179),""))</x:f>
        <x:v>0</x:v>
      </x:c>
      <x:c r="R2179" s="1" t="n">
        <x:f>IF(NOT(ISNUMBER(F2179)),"",IF(AND(F2179&gt;0,MOD(F2179,1)=0),IF(F2179&gt;=700,5,IF(F2179&gt;=500,4,IF(F2179&gt;=350,3,IF(F2179&gt;=200,2,1)))),""))</x:f>
        <x:v>5</x:v>
      </x:c>
      <x:c r="S2179" s="1" t="n">
        <x:f>IF(COUNT(O2179:R2179)=4,SUM(O2179:R2179),"")</x:f>
        <x:v>40</x:v>
      </x:c>
      <x:c r="T2179" s="1" t="n">
        <x:f>IF(OR(COUNT(O2179:R2179)&lt;&gt;4,COUNT('Top 15'!$B$35:$E$35)&lt;&gt;4,MIN('Top 15'!$B$35:$E$35)&lt;0,SUM('Top 15'!$B$35:$E$35)&lt;=0),"",ROUND(85*(O2179/30*'Top 15'!$B$35+P2179/25*'Top 15'!$C$35+Q2179/25*'Top 15'!$D$35+R2179/5*'Top 15'!$E$35)/SUM('Top 15'!$B$35:$E$35),6))</x:f>
        <x:v>40</x:v>
      </x:c>
      <x:c r="U2179" s="1" t="str">
        <x:f>IF(A2179="","",IF(AND(M2179="Verified",N2179="Verified"),"Verified",IF(AND(M2179="Listed",N2179="Listed"),"Listed","Mixed")))</x:f>
        <x:v>Listed</x:v>
      </x:c>
      <x:c r="V2179" s="1" t="str">
        <x:f>IF(A2179="","",IF(AK2179&lt;&gt;1,"Duplicate source ID",IF(COUNTIFS('Staff Review'!$A$8:$A$507,A2179)&gt;1,"Duplicate review ID",IF(H2179&lt;&gt;"Yes","Outside scope",IF(J2179="Yes","Already served",IF(NOT(ISNUMBER(T2179)),"Missing data","Candidate"))))))</x:f>
        <x:v>Candidate</x:v>
      </x:c>
      <x:c r="W2179" s="1" t="n">
        <x:f>IF(AL2179=0,"",1+COUNTIFS($AL$2051:$AL$2550,1,$T$2051:$T$2550,"&gt;"&amp;T2179)+COUNTIFS($AL$2051:$AL$2550,1,$T$2051:$T$2550,T2179,$G$2051:$G$2550,"&gt;"&amp;G2179)+COUNTIFS($AL$2051:$AL$2550,1,$T$2051:$T$2550,T2179,$G$2051:$G$2550,G2179,$F$2051:$F$2550,"&gt;"&amp;F2179)+COUNTIFS($AL$2051:$AL$2550,1,$T$2051:$T$2550,T2179,$G$2051:$G$2550,G2179,$F$2051:$F$2550,F2179,$AM$2051:$AM$2550,"&lt;"&amp;AM2179))</x:f>
        <x:v>137</x:v>
      </x:c>
      <x:c r="X2179" s="1" t="n">
        <x:f>IF(AL2179=0,"",1+COUNTIFS($AL$2051:$AL$2550,1,$T$2051:$T$2550,"&gt;"&amp;T2179))</x:f>
        <x:v>133</x:v>
      </x:c>
      <x:c r="Y2179" s="1" t="n">
        <x:f>IF(AND(H2179="Yes",OR(LEN('School Search'!$B$5)=0,ISNUMBER(SEARCH('School Search'!$B$5,B2179&amp;" "&amp;E2179&amp;" "&amp;A2179))),OR('School Search'!$D$5="All",C2179='School Search'!$D$5),OR('School Search'!$G$5="All eligible",AND('School Search'!$G$5="Not marked served",J2179&lt;&gt;"Yes"),AND('School Search'!$G$5="Missing data",V2179="Missing data"),AND('School Search'!$G$5="Marked served",J2179="Yes"))),1,0)</x:f>
        <x:v>1</x:v>
      </x:c>
      <x:c r="Z2179" s="1" t="n">
        <x:f>IF(Y2179=0,"",COUNTIFS($Y$2051:$Y$2550,1,$AO$2051:$AO$2550,"&lt;"&amp;AO2179)+COUNTIFS($Y$2051:Y2179,1,$AO$2051:AO2179,AO2179))</x:f>
        <x:v>137</x:v>
      </x:c>
      <x:c r="AA2179" s="1" t="str">
        <x:f>IF(NOT(ISNUMBER(S2179)),"Missing demographic or access input",TEXT(G2179,"0%")&amp;" economic need; "&amp;TEXT(K2179,"0.00")&amp;" mi fresh access; "&amp;L2179&amp;" nearby resources")</x:f>
        <x:v>86% economic need; 0.26 mi fresh access; 10 nearby resources</x:v>
      </x:c>
      <x:c r="AB2179" s="1" t="n">
        <x:f>IF(OR(A2179="",COUNTIFS($A$1531:$A$2030,A2179)&lt;&gt;1),0,MATCH(A2179,$A$1531:$A$2030,0))</x:f>
        <x:v>129</x:v>
      </x:c>
      <x:c r="AC2179" s="1" t="str">
        <x:f>IF(AB2179=0,"",INDEX($E$1531:$E$2030,AB2179))</x:f>
        <x:v>Cousins Grocery Market Inc.</x:v>
      </x:c>
      <x:c r="AD2179" s="1" t="str">
        <x:f>IF(AB2179=0,"",INDEX($F$1531:$F$2030,AB2179))</x:f>
        <x:v>1607 Bridge St, Philadelphia, PA, 19124</x:v>
      </x:c>
      <x:c r="AE2179" s="1" t="str">
        <x:f>IF(A2179="","",F130)</x:f>
        <x:v>1790 BRIDGE ST</x:v>
      </x:c>
      <x:c r="AF2179" s="1" t="n">
        <x:f>IF(ISNUMBER(I130),I130,"")</x:f>
        <x:v>40.019786</x:v>
      </x:c>
      <x:c r="AG2179" s="1" t="n">
        <x:f>IF(ISNUMBER(J130),J130,"")</x:f>
        <x:v>-75.073892</x:v>
      </x:c>
      <x:c r="AH2179" s="1" t="str">
        <x:f>IF(I2179=0,"Not contacted",IF(INDEX('Staff Review'!$J$8:$J$507,I2179)="","Not contacted",INDEX('Staff Review'!$J$8:$J$507,I2179)))</x:f>
        <x:v>Not contacted</x:v>
      </x:c>
      <x:c r="AI2179" s="1" t="str">
        <x:f>IF(I2179=0,"No",IF(AND(COUNT(INDEX('Staff Review'!$D$8:$D$507,I2179))=1,INDEX('Staff Review'!$D$8:$D$507,I2179)&gt;=0,COUNT(INDEX('Staff Review'!$E$8:$E$507,I2179))=1,INDEX('Staff Review'!$E$8:$E$507,I2179)&gt;0,INDEX('Staff Review'!$E$8:$E$507,I2179)&lt;='Top 15'!$E$5,'Top 15'!$E$5-INDEX('Staff Review'!$E$8:$E$507,I2179)&lt;='Top 15'!$H$5,LEN(INDEX('Staff Review'!$H$8:$H$507,I2179))&gt;0),"Yes","No"))</x:f>
        <x:v>No</x:v>
      </x:c>
      <x:c r="AJ2179" s="1" t="str">
        <x:f>IF(I2179=0,"No",IF(COUNT(INDEX('Staff Review'!$F$8:$F$507,I2179))&lt;&gt;1,"No",IF(AND(INDEX('Staff Review'!$F$8:$F$507,I2179)&gt;=0,MOD(INDEX('Staff Review'!$F$8:$F$507,I2179),1)=0,COUNT(INDEX('Staff Review'!$G$8:$G$507,I2179))=1,INDEX('Staff Review'!$G$8:$G$507,I2179)&gt;0,INDEX('Staff Review'!$G$8:$G$507,I2179)&lt;='Top 15'!$E$5,'Top 15'!$E$5-INDEX('Staff Review'!$G$8:$G$507,I2179)&lt;='Top 15'!$H$5,LEN(INDEX('Staff Review'!$H$8:$H$507,I2179))&gt;0),"Yes","No")))</x:f>
        <x:v>No</x:v>
      </x:c>
      <x:c r="AK2179" s="1" t="n">
        <x:f>IF(A2179="",0,COUNTIFS($A$2:$A$501,A2179))</x:f>
        <x:v>1</x:v>
      </x:c>
      <x:c r="AL2179" s="1" t="n">
        <x:f>IF(V2179="Candidate",1,0)</x:f>
        <x:v>1</x:v>
      </x:c>
      <x:c r="AM2179" s="1" t="n">
        <x:f>IF(A2179="",0,VALUE(A2179))</x:f>
        <x:v>3409</x:v>
      </x:c>
      <x:c r="AN2179" s="1" t="n">
        <x:f>IF(OR(A2179="",COUNTIFS($T$41:$T$540,A2179)&lt;&gt;1),0,MATCH(A2179,$T$41:$T$540,0))</x:f>
        <x:v>129</x:v>
      </x:c>
      <x:c r="AO2179" t="n">
        <x:f>IF(ISNUMBER(W2179),W2179,10000+AM2179)</x:f>
        <x:v>137</x:v>
      </x:c>
    </x:row>
    <x:row r="2180" ht="22" customHeight="1">
      <x:c r="A2180" s="1" t="str">
        <x:f>IF(A131="","",A131)</x:f>
        <x:v>3412</x:v>
      </x:c>
      <x:c r="B2180" s="1" t="str">
        <x:f>IF(A2180="","",B131)</x:f>
        <x:v>Mastery Charter School at Douglass</x:v>
      </x:c>
      <x:c r="C2180" s="1" t="str">
        <x:f>IF(A2180="","",C131)</x:f>
        <x:v>Charter</x:v>
      </x:c>
      <x:c r="D2180" s="1" t="str">
        <x:f>IF(A2180="","",E131)</x:f>
        <x:v>Elementary-Middle</x:v>
      </x:c>
      <x:c r="E2180" s="1" t="str">
        <x:f>IF(A2180="","",H131)</x:f>
        <x:v>19121</x:v>
      </x:c>
      <x:c r="F2180" s="1" t="n">
        <x:f>IF(ISNUMBER(K131),K131,"")</x:f>
        <x:v>559</x:v>
      </x:c>
      <x:c r="G2180" s="1" t="n">
        <x:f>IF(ISNUMBER(L131),L131,"")</x:f>
        <x:v>0.9928</x:v>
      </x:c>
      <x:c r="H2180" s="1" t="str">
        <x:f>IF(A2180="","",IF(AND(UPPER(G131)="PHILADELPHIA",OR(C2180="District",AND(C2180="Charter",D131="Yes"))),"Yes","No"))</x:f>
        <x:v>Yes</x:v>
      </x:c>
      <x:c r="I2180" s="1" t="n">
        <x:f>IF(OR(A2180="",COUNTIFS('Staff Review'!$A$8:$A$507,A2180)&lt;&gt;1),0,MATCH(A2180,'Staff Review'!$A$8:$A$507,0))</x:f>
        <x:v>184</x:v>
      </x:c>
      <x:c r="J2180" s="1" t="str">
        <x:f>IF(I2180=0,"No",IF(INDEX('Staff Review'!$C$8:$C$507,I2180)="Yes","Yes","No"))</x:f>
        <x:v>No</x:v>
      </x:c>
      <x:c r="K2180" s="1" t="n">
        <x:f>IF(AI2180="Yes",INDEX('Staff Review'!$D$8:$D$507,I2180),IF(AB2180=0,"",IF(COUNT(INDEX($C$1531:$C$2030,AB2180))=1,INDEX($C$1531:$C$2030,AB2180),"")))</x:f>
        <x:v>0.4619067252778815</x:v>
      </x:c>
      <x:c r="L2180" s="1" t="n">
        <x:f>IF(AJ2180="Yes",INDEX('Staff Review'!$F$8:$F$507,I2180),IF(AB2180=0,"",IF(COUNT(INDEX($G$1531:$G$2030,AB2180))=1,INDEX($G$1531:$G$2030,AB2180),"")))</x:f>
        <x:v>19</x:v>
      </x:c>
      <x:c r="M2180" s="1" t="str">
        <x:f>IF(A2180="","",IF(AI2180="Yes","Verified","Listed"))</x:f>
        <x:v>Listed</x:v>
      </x:c>
      <x:c r="N2180" s="1" t="str">
        <x:f>IF(A2180="","",IF(AJ2180="Yes","Verified","Listed"))</x:f>
        <x:v>Listed</x:v>
      </x:c>
      <x:c r="O2180" s="1" t="n">
        <x:f>IF(AND(ISNUMBER(G2180),G2180&gt;=0,G2180&lt;=1),IF(G2180&gt;=0.9,30,IF(G2180&gt;=0.8,25,IF(G2180&gt;=0.7,20,IF(G2180&gt;=0.6,15,IF(G2180&gt;=0.5,10,IF(G2180&gt;=0.4,5,0)))))),"")</x:f>
        <x:v>30</x:v>
      </x:c>
      <x:c r="P2180" s="1" t="n">
        <x:f>IF(ISNUMBER(K2180),IF(K2180&lt;0,"",IF(K2180&gt;1,25,IF(K2180&gt;=0.75,20,IF(K2180&gt;=0.5,15,IF(K2180&gt;=0.25,10,5))))),"")</x:f>
        <x:v>10</x:v>
      </x:c>
      <x:c r="Q2180" s="1" t="n">
        <x:f>IF(NOT(ISNUMBER(L2180)),"",IF(AND(L2180&gt;=0,MOD(L2180,1)=0),MAX(0,25-5*L2180),""))</x:f>
        <x:v>0</x:v>
      </x:c>
      <x:c r="R2180" s="1" t="n">
        <x:f>IF(NOT(ISNUMBER(F2180)),"",IF(AND(F2180&gt;0,MOD(F2180,1)=0),IF(F2180&gt;=700,5,IF(F2180&gt;=500,4,IF(F2180&gt;=350,3,IF(F2180&gt;=200,2,1)))),""))</x:f>
        <x:v>4</x:v>
      </x:c>
      <x:c r="S2180" s="1" t="n">
        <x:f>IF(COUNT(O2180:R2180)=4,SUM(O2180:R2180),"")</x:f>
        <x:v>44</x:v>
      </x:c>
      <x:c r="T2180" s="1" t="n">
        <x:f>IF(OR(COUNT(O2180:R2180)&lt;&gt;4,COUNT('Top 15'!$B$35:$E$35)&lt;&gt;4,MIN('Top 15'!$B$35:$E$35)&lt;0,SUM('Top 15'!$B$35:$E$35)&lt;=0),"",ROUND(85*(O2180/30*'Top 15'!$B$35+P2180/25*'Top 15'!$C$35+Q2180/25*'Top 15'!$D$35+R2180/5*'Top 15'!$E$35)/SUM('Top 15'!$B$35:$E$35),6))</x:f>
        <x:v>44</x:v>
      </x:c>
      <x:c r="U2180" s="1" t="str">
        <x:f>IF(A2180="","",IF(AND(M2180="Verified",N2180="Verified"),"Verified",IF(AND(M2180="Listed",N2180="Listed"),"Listed","Mixed")))</x:f>
        <x:v>Listed</x:v>
      </x:c>
      <x:c r="V2180" s="1" t="str">
        <x:f>IF(A2180="","",IF(AK2180&lt;&gt;1,"Duplicate source ID",IF(COUNTIFS('Staff Review'!$A$8:$A$507,A2180)&gt;1,"Duplicate review ID",IF(H2180&lt;&gt;"Yes","Outside scope",IF(J2180="Yes","Already served",IF(NOT(ISNUMBER(T2180)),"Missing data","Candidate"))))))</x:f>
        <x:v>Candidate</x:v>
      </x:c>
      <x:c r="W2180" s="1" t="n">
        <x:f>IF(AL2180=0,"",1+COUNTIFS($AL$2051:$AL$2550,1,$T$2051:$T$2550,"&gt;"&amp;T2180)+COUNTIFS($AL$2051:$AL$2550,1,$T$2051:$T$2550,T2180,$G$2051:$G$2550,"&gt;"&amp;G2180)+COUNTIFS($AL$2051:$AL$2550,1,$T$2051:$T$2550,T2180,$G$2051:$G$2550,G2180,$F$2051:$F$2550,"&gt;"&amp;F2180)+COUNTIFS($AL$2051:$AL$2550,1,$T$2051:$T$2550,T2180,$G$2051:$G$2550,G2180,$F$2051:$F$2550,F2180,$AM$2051:$AM$2550,"&lt;"&amp;AM2180))</x:f>
        <x:v>81</x:v>
      </x:c>
      <x:c r="X2180" s="1" t="n">
        <x:f>IF(AL2180=0,"",1+COUNTIFS($AL$2051:$AL$2550,1,$T$2051:$T$2550,"&gt;"&amp;T2180))</x:f>
        <x:v>81</x:v>
      </x:c>
      <x:c r="Y2180" s="1" t="n">
        <x:f>IF(AND(H2180="Yes",OR(LEN('School Search'!$B$5)=0,ISNUMBER(SEARCH('School Search'!$B$5,B2180&amp;" "&amp;E2180&amp;" "&amp;A2180))),OR('School Search'!$D$5="All",C2180='School Search'!$D$5),OR('School Search'!$G$5="All eligible",AND('School Search'!$G$5="Not marked served",J2180&lt;&gt;"Yes"),AND('School Search'!$G$5="Missing data",V2180="Missing data"),AND('School Search'!$G$5="Marked served",J2180="Yes"))),1,0)</x:f>
        <x:v>1</x:v>
      </x:c>
      <x:c r="Z2180" s="1" t="n">
        <x:f>IF(Y2180=0,"",COUNTIFS($Y$2051:$Y$2550,1,$AO$2051:$AO$2550,"&lt;"&amp;AO2180)+COUNTIFS($Y$2051:Y2180,1,$AO$2051:AO2180,AO2180))</x:f>
        <x:v>81</x:v>
      </x:c>
      <x:c r="AA2180" s="1" t="str">
        <x:f>IF(NOT(ISNUMBER(S2180)),"Missing demographic or access input",TEXT(G2180,"0%")&amp;" economic need; "&amp;TEXT(K2180,"0.00")&amp;" mi fresh access; "&amp;L2180&amp;" nearby resources")</x:f>
        <x:v>99% economic need; 0.46 mi fresh access; 19 nearby resources</x:v>
      </x:c>
      <x:c r="AB2180" s="1" t="n">
        <x:f>IF(OR(A2180="",COUNTIFS($A$1531:$A$2030,A2180)&lt;&gt;1),0,MATCH(A2180,$A$1531:$A$2030,0))</x:f>
        <x:v>130</x:v>
      </x:c>
      <x:c r="AC2180" s="1" t="str">
        <x:f>IF(AB2180=0,"",INDEX($E$1531:$E$2030,AB2180))</x:f>
        <x:v>Sharswood Grocery Outlet 731</x:v>
      </x:c>
      <x:c r="AD2180" s="1" t="str">
        <x:f>IF(AB2180=0,"",INDEX($F$1531:$F$2030,AB2180))</x:f>
        <x:v>2077 Ridge Ave, Philadelphia, PA, 19121</x:v>
      </x:c>
      <x:c r="AE2180" s="1" t="str">
        <x:f>IF(A2180="","",F131)</x:f>
        <x:v>2118 W NORRIS ST</x:v>
      </x:c>
      <x:c r="AF2180" s="1" t="n">
        <x:f>IF(ISNUMBER(I131),I131,"")</x:f>
        <x:v>39.98461532</x:v>
      </x:c>
      <x:c r="AG2180" s="1" t="n">
        <x:f>IF(ISNUMBER(J131),J131,"")</x:f>
        <x:v>-75.16846267</x:v>
      </x:c>
      <x:c r="AH2180" s="1" t="str">
        <x:f>IF(I2180=0,"Not contacted",IF(INDEX('Staff Review'!$J$8:$J$507,I2180)="","Not contacted",INDEX('Staff Review'!$J$8:$J$507,I2180)))</x:f>
        <x:v>Not contacted</x:v>
      </x:c>
      <x:c r="AI2180" s="1" t="str">
        <x:f>IF(I2180=0,"No",IF(AND(COUNT(INDEX('Staff Review'!$D$8:$D$507,I2180))=1,INDEX('Staff Review'!$D$8:$D$507,I2180)&gt;=0,COUNT(INDEX('Staff Review'!$E$8:$E$507,I2180))=1,INDEX('Staff Review'!$E$8:$E$507,I2180)&gt;0,INDEX('Staff Review'!$E$8:$E$507,I2180)&lt;='Top 15'!$E$5,'Top 15'!$E$5-INDEX('Staff Review'!$E$8:$E$507,I2180)&lt;='Top 15'!$H$5,LEN(INDEX('Staff Review'!$H$8:$H$507,I2180))&gt;0),"Yes","No"))</x:f>
        <x:v>No</x:v>
      </x:c>
      <x:c r="AJ2180" s="1" t="str">
        <x:f>IF(I2180=0,"No",IF(COUNT(INDEX('Staff Review'!$F$8:$F$507,I2180))&lt;&gt;1,"No",IF(AND(INDEX('Staff Review'!$F$8:$F$507,I2180)&gt;=0,MOD(INDEX('Staff Review'!$F$8:$F$507,I2180),1)=0,COUNT(INDEX('Staff Review'!$G$8:$G$507,I2180))=1,INDEX('Staff Review'!$G$8:$G$507,I2180)&gt;0,INDEX('Staff Review'!$G$8:$G$507,I2180)&lt;='Top 15'!$E$5,'Top 15'!$E$5-INDEX('Staff Review'!$G$8:$G$507,I2180)&lt;='Top 15'!$H$5,LEN(INDEX('Staff Review'!$H$8:$H$507,I2180))&gt;0),"Yes","No")))</x:f>
        <x:v>No</x:v>
      </x:c>
      <x:c r="AK2180" s="1" t="n">
        <x:f>IF(A2180="",0,COUNTIFS($A$2:$A$501,A2180))</x:f>
        <x:v>1</x:v>
      </x:c>
      <x:c r="AL2180" s="1" t="n">
        <x:f>IF(V2180="Candidate",1,0)</x:f>
        <x:v>1</x:v>
      </x:c>
      <x:c r="AM2180" s="1" t="n">
        <x:f>IF(A2180="",0,VALUE(A2180))</x:f>
        <x:v>3412</x:v>
      </x:c>
      <x:c r="AN2180" s="1" t="n">
        <x:f>IF(OR(A2180="",COUNTIFS($T$41:$T$540,A2180)&lt;&gt;1),0,MATCH(A2180,$T$41:$T$540,0))</x:f>
        <x:v>130</x:v>
      </x:c>
      <x:c r="AO2180" t="n">
        <x:f>IF(ISNUMBER(W2180),W2180,10000+AM2180)</x:f>
        <x:v>81</x:v>
      </x:c>
    </x:row>
    <x:row r="2181" ht="22" customHeight="1">
      <x:c r="A2181" s="1" t="str">
        <x:f>IF(A132="","",A132)</x:f>
        <x:v>3415</x:v>
      </x:c>
      <x:c r="B2181" s="1" t="str">
        <x:f>IF(A2181="","",B132)</x:f>
        <x:v>Mastery Charter School at Clymer</x:v>
      </x:c>
      <x:c r="C2181" s="1" t="str">
        <x:f>IF(A2181="","",C132)</x:f>
        <x:v>Charter</x:v>
      </x:c>
      <x:c r="D2181" s="1" t="str">
        <x:f>IF(A2181="","",E132)</x:f>
        <x:v>Elementary</x:v>
      </x:c>
      <x:c r="E2181" s="1" t="str">
        <x:f>IF(A2181="","",H132)</x:f>
        <x:v>19133</x:v>
      </x:c>
      <x:c r="F2181" s="1" t="n">
        <x:f>IF(ISNUMBER(K132),K132,"")</x:f>
        <x:v>417</x:v>
      </x:c>
      <x:c r="G2181" s="1" t="n">
        <x:f>IF(ISNUMBER(L132),L132,"")</x:f>
        <x:v>0.9808</x:v>
      </x:c>
      <x:c r="H2181" s="1" t="str">
        <x:f>IF(A2181="","",IF(AND(UPPER(G132)="PHILADELPHIA",OR(C2181="District",AND(C2181="Charter",D132="Yes"))),"Yes","No"))</x:f>
        <x:v>Yes</x:v>
      </x:c>
      <x:c r="I2181" s="1" t="n">
        <x:f>IF(OR(A2181="",COUNTIFS('Staff Review'!$A$8:$A$507,A2181)&lt;&gt;1),0,MATCH(A2181,'Staff Review'!$A$8:$A$507,0))</x:f>
        <x:v>183</x:v>
      </x:c>
      <x:c r="J2181" s="1" t="str">
        <x:f>IF(I2181=0,"No",IF(INDEX('Staff Review'!$C$8:$C$507,I2181)="Yes","Yes","No"))</x:f>
        <x:v>No</x:v>
      </x:c>
      <x:c r="K2181" s="1" t="n">
        <x:f>IF(AI2181="Yes",INDEX('Staff Review'!$D$8:$D$507,I2181),IF(AB2181=0,"",IF(COUNT(INDEX($C$1531:$C$2030,AB2181))=1,INDEX($C$1531:$C$2030,AB2181),"")))</x:f>
        <x:v>0.36645928419428137</x:v>
      </x:c>
      <x:c r="L2181" s="1" t="n">
        <x:f>IF(AJ2181="Yes",INDEX('Staff Review'!$F$8:$F$507,I2181),IF(AB2181=0,"",IF(COUNT(INDEX($G$1531:$G$2030,AB2181))=1,INDEX($G$1531:$G$2030,AB2181),"")))</x:f>
        <x:v>14</x:v>
      </x:c>
      <x:c r="M2181" s="1" t="str">
        <x:f>IF(A2181="","",IF(AI2181="Yes","Verified","Listed"))</x:f>
        <x:v>Listed</x:v>
      </x:c>
      <x:c r="N2181" s="1" t="str">
        <x:f>IF(A2181="","",IF(AJ2181="Yes","Verified","Listed"))</x:f>
        <x:v>Listed</x:v>
      </x:c>
      <x:c r="O2181" s="1" t="n">
        <x:f>IF(AND(ISNUMBER(G2181),G2181&gt;=0,G2181&lt;=1),IF(G2181&gt;=0.9,30,IF(G2181&gt;=0.8,25,IF(G2181&gt;=0.7,20,IF(G2181&gt;=0.6,15,IF(G2181&gt;=0.5,10,IF(G2181&gt;=0.4,5,0)))))),"")</x:f>
        <x:v>30</x:v>
      </x:c>
      <x:c r="P2181" s="1" t="n">
        <x:f>IF(ISNUMBER(K2181),IF(K2181&lt;0,"",IF(K2181&gt;1,25,IF(K2181&gt;=0.75,20,IF(K2181&gt;=0.5,15,IF(K2181&gt;=0.25,10,5))))),"")</x:f>
        <x:v>10</x:v>
      </x:c>
      <x:c r="Q2181" s="1" t="n">
        <x:f>IF(NOT(ISNUMBER(L2181)),"",IF(AND(L2181&gt;=0,MOD(L2181,1)=0),MAX(0,25-5*L2181),""))</x:f>
        <x:v>0</x:v>
      </x:c>
      <x:c r="R2181" s="1" t="n">
        <x:f>IF(NOT(ISNUMBER(F2181)),"",IF(AND(F2181&gt;0,MOD(F2181,1)=0),IF(F2181&gt;=700,5,IF(F2181&gt;=500,4,IF(F2181&gt;=350,3,IF(F2181&gt;=200,2,1)))),""))</x:f>
        <x:v>3</x:v>
      </x:c>
      <x:c r="S2181" s="1" t="n">
        <x:f>IF(COUNT(O2181:R2181)=4,SUM(O2181:R2181),"")</x:f>
        <x:v>43</x:v>
      </x:c>
      <x:c r="T2181" s="1" t="n">
        <x:f>IF(OR(COUNT(O2181:R2181)&lt;&gt;4,COUNT('Top 15'!$B$35:$E$35)&lt;&gt;4,MIN('Top 15'!$B$35:$E$35)&lt;0,SUM('Top 15'!$B$35:$E$35)&lt;=0),"",ROUND(85*(O2181/30*'Top 15'!$B$35+P2181/25*'Top 15'!$C$35+Q2181/25*'Top 15'!$D$35+R2181/5*'Top 15'!$E$35)/SUM('Top 15'!$B$35:$E$35),6))</x:f>
        <x:v>43</x:v>
      </x:c>
      <x:c r="U2181" s="1" t="str">
        <x:f>IF(A2181="","",IF(AND(M2181="Verified",N2181="Verified"),"Verified",IF(AND(M2181="Listed",N2181="Listed"),"Listed","Mixed")))</x:f>
        <x:v>Listed</x:v>
      </x:c>
      <x:c r="V2181" s="1" t="str">
        <x:f>IF(A2181="","",IF(AK2181&lt;&gt;1,"Duplicate source ID",IF(COUNTIFS('Staff Review'!$A$8:$A$507,A2181)&gt;1,"Duplicate review ID",IF(H2181&lt;&gt;"Yes","Outside scope",IF(J2181="Yes","Already served",IF(NOT(ISNUMBER(T2181)),"Missing data","Candidate"))))))</x:f>
        <x:v>Candidate</x:v>
      </x:c>
      <x:c r="W2181" s="1" t="n">
        <x:f>IF(AL2181=0,"",1+COUNTIFS($AL$2051:$AL$2550,1,$T$2051:$T$2550,"&gt;"&amp;T2181)+COUNTIFS($AL$2051:$AL$2550,1,$T$2051:$T$2550,T2181,$G$2051:$G$2550,"&gt;"&amp;G2181)+COUNTIFS($AL$2051:$AL$2550,1,$T$2051:$T$2550,T2181,$G$2051:$G$2550,G2181,$F$2051:$F$2550,"&gt;"&amp;F2181)+COUNTIFS($AL$2051:$AL$2550,1,$T$2051:$T$2550,T2181,$G$2051:$G$2550,G2181,$F$2051:$F$2550,F2181,$AM$2051:$AM$2550,"&lt;"&amp;AM2181))</x:f>
        <x:v>90</x:v>
      </x:c>
      <x:c r="X2181" s="1" t="n">
        <x:f>IF(AL2181=0,"",1+COUNTIFS($AL$2051:$AL$2550,1,$T$2051:$T$2550,"&gt;"&amp;T2181))</x:f>
        <x:v>90</x:v>
      </x:c>
      <x:c r="Y2181" s="1" t="n">
        <x:f>IF(AND(H2181="Yes",OR(LEN('School Search'!$B$5)=0,ISNUMBER(SEARCH('School Search'!$B$5,B2181&amp;" "&amp;E2181&amp;" "&amp;A2181))),OR('School Search'!$D$5="All",C2181='School Search'!$D$5),OR('School Search'!$G$5="All eligible",AND('School Search'!$G$5="Not marked served",J2181&lt;&gt;"Yes"),AND('School Search'!$G$5="Missing data",V2181="Missing data"),AND('School Search'!$G$5="Marked served",J2181="Yes"))),1,0)</x:f>
        <x:v>1</x:v>
      </x:c>
      <x:c r="Z2181" s="1" t="n">
        <x:f>IF(Y2181=0,"",COUNTIFS($Y$2051:$Y$2550,1,$AO$2051:$AO$2550,"&lt;"&amp;AO2181)+COUNTIFS($Y$2051:Y2181,1,$AO$2051:AO2181,AO2181))</x:f>
        <x:v>90</x:v>
      </x:c>
      <x:c r="AA2181" s="1" t="str">
        <x:f>IF(NOT(ISNUMBER(S2181)),"Missing demographic or access input",TEXT(G2181,"0%")&amp;" economic need; "&amp;TEXT(K2181,"0.00")&amp;" mi fresh access; "&amp;L2181&amp;" nearby resources")</x:f>
        <x:v>98% economic need; 0.37 mi fresh access; 14 nearby resources</x:v>
      </x:c>
      <x:c r="AB2181" s="1" t="n">
        <x:f>IF(OR(A2181="",COUNTIFS($A$1531:$A$2030,A2181)&lt;&gt;1),0,MATCH(A2181,$A$1531:$A$2030,0))</x:f>
        <x:v>131</x:v>
      </x:c>
      <x:c r="AC2181" s="1" t="str">
        <x:f>IF(AB2181=0,"",INDEX($E$1531:$E$2030,AB2181))</x:f>
        <x:v>Save A Lot 60139</x:v>
      </x:c>
      <x:c r="AD2181" s="1" t="str">
        <x:f>IF(AB2181=0,"",INDEX($F$1531:$F$2030,AB2181))</x:f>
        <x:v>701 W Lehigh Ave, Philadelphia, PA, 19133</x:v>
      </x:c>
      <x:c r="AE2181" s="1" t="str">
        <x:f>IF(A2181="","",F132)</x:f>
        <x:v>1201 W RUSH ST</x:v>
      </x:c>
      <x:c r="AF2181" s="1" t="n">
        <x:f>IF(ISNUMBER(I132),I132,"")</x:f>
        <x:v>39.99565934</x:v>
      </x:c>
      <x:c r="AG2181" s="1" t="n">
        <x:f>IF(ISNUMBER(J132),J132,"")</x:f>
        <x:v>-75.15034419</x:v>
      </x:c>
      <x:c r="AH2181" s="1" t="str">
        <x:f>IF(I2181=0,"Not contacted",IF(INDEX('Staff Review'!$J$8:$J$507,I2181)="","Not contacted",INDEX('Staff Review'!$J$8:$J$507,I2181)))</x:f>
        <x:v>Not contacted</x:v>
      </x:c>
      <x:c r="AI2181" s="1" t="str">
        <x:f>IF(I2181=0,"No",IF(AND(COUNT(INDEX('Staff Review'!$D$8:$D$507,I2181))=1,INDEX('Staff Review'!$D$8:$D$507,I2181)&gt;=0,COUNT(INDEX('Staff Review'!$E$8:$E$507,I2181))=1,INDEX('Staff Review'!$E$8:$E$507,I2181)&gt;0,INDEX('Staff Review'!$E$8:$E$507,I2181)&lt;='Top 15'!$E$5,'Top 15'!$E$5-INDEX('Staff Review'!$E$8:$E$507,I2181)&lt;='Top 15'!$H$5,LEN(INDEX('Staff Review'!$H$8:$H$507,I2181))&gt;0),"Yes","No"))</x:f>
        <x:v>No</x:v>
      </x:c>
      <x:c r="AJ2181" s="1" t="str">
        <x:f>IF(I2181=0,"No",IF(COUNT(INDEX('Staff Review'!$F$8:$F$507,I2181))&lt;&gt;1,"No",IF(AND(INDEX('Staff Review'!$F$8:$F$507,I2181)&gt;=0,MOD(INDEX('Staff Review'!$F$8:$F$507,I2181),1)=0,COUNT(INDEX('Staff Review'!$G$8:$G$507,I2181))=1,INDEX('Staff Review'!$G$8:$G$507,I2181)&gt;0,INDEX('Staff Review'!$G$8:$G$507,I2181)&lt;='Top 15'!$E$5,'Top 15'!$E$5-INDEX('Staff Review'!$G$8:$G$507,I2181)&lt;='Top 15'!$H$5,LEN(INDEX('Staff Review'!$H$8:$H$507,I2181))&gt;0),"Yes","No")))</x:f>
        <x:v>No</x:v>
      </x:c>
      <x:c r="AK2181" s="1" t="n">
        <x:f>IF(A2181="",0,COUNTIFS($A$2:$A$501,A2181))</x:f>
        <x:v>1</x:v>
      </x:c>
      <x:c r="AL2181" s="1" t="n">
        <x:f>IF(V2181="Candidate",1,0)</x:f>
        <x:v>1</x:v>
      </x:c>
      <x:c r="AM2181" s="1" t="n">
        <x:f>IF(A2181="",0,VALUE(A2181))</x:f>
        <x:v>3415</x:v>
      </x:c>
      <x:c r="AN2181" s="1" t="n">
        <x:f>IF(OR(A2181="",COUNTIFS($T$41:$T$540,A2181)&lt;&gt;1),0,MATCH(A2181,$T$41:$T$540,0))</x:f>
        <x:v>131</x:v>
      </x:c>
      <x:c r="AO2181" t="n">
        <x:f>IF(ISNUMBER(W2181),W2181,10000+AM2181)</x:f>
        <x:v>90</x:v>
      </x:c>
    </x:row>
    <x:row r="2182" ht="22" customHeight="1">
      <x:c r="A2182" s="1" t="str">
        <x:f>IF(A133="","",A133)</x:f>
        <x:v>3416</x:v>
      </x:c>
      <x:c r="B2182" s="1" t="str">
        <x:f>IF(A2182="","",B133)</x:f>
        <x:v>Mastery Charter School at Gratz</x:v>
      </x:c>
      <x:c r="C2182" s="1" t="str">
        <x:f>IF(A2182="","",C133)</x:f>
        <x:v>Charter</x:v>
      </x:c>
      <x:c r="D2182" s="1" t="str">
        <x:f>IF(A2182="","",E133)</x:f>
        <x:v>Middle-High</x:v>
      </x:c>
      <x:c r="E2182" s="1" t="str">
        <x:f>IF(A2182="","",H133)</x:f>
        <x:v>19140</x:v>
      </x:c>
      <x:c r="F2182" s="1" t="n">
        <x:f>IF(ISNUMBER(K133),K133,"")</x:f>
        <x:v>1097</x:v>
      </x:c>
      <x:c r="G2182" s="1" t="n">
        <x:f>IF(ISNUMBER(L133),L133,"")</x:f>
        <x:v>0.8847</x:v>
      </x:c>
      <x:c r="H2182" s="1" t="str">
        <x:f>IF(A2182="","",IF(AND(UPPER(G133)="PHILADELPHIA",OR(C2182="District",AND(C2182="Charter",D133="Yes"))),"Yes","No"))</x:f>
        <x:v>Yes</x:v>
      </x:c>
      <x:c r="I2182" s="1" t="n">
        <x:f>IF(OR(A2182="",COUNTIFS('Staff Review'!$A$8:$A$507,A2182)&lt;&gt;1),0,MATCH(A2182,'Staff Review'!$A$8:$A$507,0))</x:f>
        <x:v>185</x:v>
      </x:c>
      <x:c r="J2182" s="1" t="str">
        <x:f>IF(I2182=0,"No",IF(INDEX('Staff Review'!$C$8:$C$507,I2182)="Yes","Yes","No"))</x:f>
        <x:v>No</x:v>
      </x:c>
      <x:c r="K2182" s="1" t="n">
        <x:f>IF(AI2182="Yes",INDEX('Staff Review'!$D$8:$D$507,I2182),IF(AB2182=0,"",IF(COUNT(INDEX($C$1531:$C$2030,AB2182))=1,INDEX($C$1531:$C$2030,AB2182),"")))</x:f>
        <x:v>0.6186829559647802</x:v>
      </x:c>
      <x:c r="L2182" s="1" t="n">
        <x:f>IF(AJ2182="Yes",INDEX('Staff Review'!$F$8:$F$507,I2182),IF(AB2182=0,"",IF(COUNT(INDEX($G$1531:$G$2030,AB2182))=1,INDEX($G$1531:$G$2030,AB2182),"")))</x:f>
        <x:v>8</x:v>
      </x:c>
      <x:c r="M2182" s="1" t="str">
        <x:f>IF(A2182="","",IF(AI2182="Yes","Verified","Listed"))</x:f>
        <x:v>Listed</x:v>
      </x:c>
      <x:c r="N2182" s="1" t="str">
        <x:f>IF(A2182="","",IF(AJ2182="Yes","Verified","Listed"))</x:f>
        <x:v>Listed</x:v>
      </x:c>
      <x:c r="O2182" s="1" t="n">
        <x:f>IF(AND(ISNUMBER(G2182),G2182&gt;=0,G2182&lt;=1),IF(G2182&gt;=0.9,30,IF(G2182&gt;=0.8,25,IF(G2182&gt;=0.7,20,IF(G2182&gt;=0.6,15,IF(G2182&gt;=0.5,10,IF(G2182&gt;=0.4,5,0)))))),"")</x:f>
        <x:v>25</x:v>
      </x:c>
      <x:c r="P2182" s="1" t="n">
        <x:f>IF(ISNUMBER(K2182),IF(K2182&lt;0,"",IF(K2182&gt;1,25,IF(K2182&gt;=0.75,20,IF(K2182&gt;=0.5,15,IF(K2182&gt;=0.25,10,5))))),"")</x:f>
        <x:v>15</x:v>
      </x:c>
      <x:c r="Q2182" s="1" t="n">
        <x:f>IF(NOT(ISNUMBER(L2182)),"",IF(AND(L2182&gt;=0,MOD(L2182,1)=0),MAX(0,25-5*L2182),""))</x:f>
        <x:v>0</x:v>
      </x:c>
      <x:c r="R2182" s="1" t="n">
        <x:f>IF(NOT(ISNUMBER(F2182)),"",IF(AND(F2182&gt;0,MOD(F2182,1)=0),IF(F2182&gt;=700,5,IF(F2182&gt;=500,4,IF(F2182&gt;=350,3,IF(F2182&gt;=200,2,1)))),""))</x:f>
        <x:v>5</x:v>
      </x:c>
      <x:c r="S2182" s="1" t="n">
        <x:f>IF(COUNT(O2182:R2182)=4,SUM(O2182:R2182),"")</x:f>
        <x:v>45</x:v>
      </x:c>
      <x:c r="T2182" s="1" t="n">
        <x:f>IF(OR(COUNT(O2182:R2182)&lt;&gt;4,COUNT('Top 15'!$B$35:$E$35)&lt;&gt;4,MIN('Top 15'!$B$35:$E$35)&lt;0,SUM('Top 15'!$B$35:$E$35)&lt;=0),"",ROUND(85*(O2182/30*'Top 15'!$B$35+P2182/25*'Top 15'!$C$35+Q2182/25*'Top 15'!$D$35+R2182/5*'Top 15'!$E$35)/SUM('Top 15'!$B$35:$E$35),6))</x:f>
        <x:v>45</x:v>
      </x:c>
      <x:c r="U2182" s="1" t="str">
        <x:f>IF(A2182="","",IF(AND(M2182="Verified",N2182="Verified"),"Verified",IF(AND(M2182="Listed",N2182="Listed"),"Listed","Mixed")))</x:f>
        <x:v>Listed</x:v>
      </x:c>
      <x:c r="V2182" s="1" t="str">
        <x:f>IF(A2182="","",IF(AK2182&lt;&gt;1,"Duplicate source ID",IF(COUNTIFS('Staff Review'!$A$8:$A$507,A2182)&gt;1,"Duplicate review ID",IF(H2182&lt;&gt;"Yes","Outside scope",IF(J2182="Yes","Already served",IF(NOT(ISNUMBER(T2182)),"Missing data","Candidate"))))))</x:f>
        <x:v>Candidate</x:v>
      </x:c>
      <x:c r="W2182" s="1" t="n">
        <x:f>IF(AL2182=0,"",1+COUNTIFS($AL$2051:$AL$2550,1,$T$2051:$T$2550,"&gt;"&amp;T2182)+COUNTIFS($AL$2051:$AL$2550,1,$T$2051:$T$2550,T2182,$G$2051:$G$2550,"&gt;"&amp;G2182)+COUNTIFS($AL$2051:$AL$2550,1,$T$2051:$T$2550,T2182,$G$2051:$G$2550,G2182,$F$2051:$F$2550,"&gt;"&amp;F2182)+COUNTIFS($AL$2051:$AL$2550,1,$T$2051:$T$2550,T2182,$G$2051:$G$2550,G2182,$F$2051:$F$2550,F2182,$AM$2051:$AM$2550,"&lt;"&amp;AM2182))</x:f>
        <x:v>74</x:v>
      </x:c>
      <x:c r="X2182" s="1" t="n">
        <x:f>IF(AL2182=0,"",1+COUNTIFS($AL$2051:$AL$2550,1,$T$2051:$T$2550,"&gt;"&amp;T2182))</x:f>
        <x:v>74</x:v>
      </x:c>
      <x:c r="Y2182" s="1" t="n">
        <x:f>IF(AND(H2182="Yes",OR(LEN('School Search'!$B$5)=0,ISNUMBER(SEARCH('School Search'!$B$5,B2182&amp;" "&amp;E2182&amp;" "&amp;A2182))),OR('School Search'!$D$5="All",C2182='School Search'!$D$5),OR('School Search'!$G$5="All eligible",AND('School Search'!$G$5="Not marked served",J2182&lt;&gt;"Yes"),AND('School Search'!$G$5="Missing data",V2182="Missing data"),AND('School Search'!$G$5="Marked served",J2182="Yes"))),1,0)</x:f>
        <x:v>1</x:v>
      </x:c>
      <x:c r="Z2182" s="1" t="n">
        <x:f>IF(Y2182=0,"",COUNTIFS($Y$2051:$Y$2550,1,$AO$2051:$AO$2550,"&lt;"&amp;AO2182)+COUNTIFS($Y$2051:Y2182,1,$AO$2051:AO2182,AO2182))</x:f>
        <x:v>74</x:v>
      </x:c>
      <x:c r="AA2182" s="1" t="str">
        <x:f>IF(NOT(ISNUMBER(S2182)),"Missing demographic or access input",TEXT(G2182,"0%")&amp;" economic need; "&amp;TEXT(K2182,"0.00")&amp;" mi fresh access; "&amp;L2182&amp;" nearby resources")</x:f>
        <x:v>88% economic need; 0.62 mi fresh access; 8 nearby resources</x:v>
      </x:c>
      <x:c r="AB2182" s="1" t="n">
        <x:f>IF(OR(A2182="",COUNTIFS($A$1531:$A$2030,A2182)&lt;&gt;1),0,MATCH(A2182,$A$1531:$A$2030,0))</x:f>
        <x:v>132</x:v>
      </x:c>
      <x:c r="AC2182" s="1" t="str">
        <x:f>IF(AB2182=0,"",INDEX($E$1531:$E$2030,AB2182))</x:f>
        <x:v>Save-A-Lot 60138</x:v>
      </x:c>
      <x:c r="AD2182" s="1" t="str">
        <x:f>IF(AB2182=0,"",INDEX($F$1531:$F$2030,AB2182))</x:f>
        <x:v>4424 N Broad St, Philadelphia, PA, 19140</x:v>
      </x:c>
      <x:c r="AE2182" s="1" t="str">
        <x:f>IF(A2182="","",F133)</x:f>
        <x:v>1798 W HUNTING PARK AVE</x:v>
      </x:c>
      <x:c r="AF2182" s="1" t="n">
        <x:f>IF(ISNUMBER(I133),I133,"")</x:f>
        <x:v>40.01453965</x:v>
      </x:c>
      <x:c r="AG2182" s="1" t="n">
        <x:f>IF(ISNUMBER(J133),J133,"")</x:f>
        <x:v>-75.15660685</x:v>
      </x:c>
      <x:c r="AH2182" s="1" t="str">
        <x:f>IF(I2182=0,"Not contacted",IF(INDEX('Staff Review'!$J$8:$J$507,I2182)="","Not contacted",INDEX('Staff Review'!$J$8:$J$507,I2182)))</x:f>
        <x:v>Not contacted</x:v>
      </x:c>
      <x:c r="AI2182" s="1" t="str">
        <x:f>IF(I2182=0,"No",IF(AND(COUNT(INDEX('Staff Review'!$D$8:$D$507,I2182))=1,INDEX('Staff Review'!$D$8:$D$507,I2182)&gt;=0,COUNT(INDEX('Staff Review'!$E$8:$E$507,I2182))=1,INDEX('Staff Review'!$E$8:$E$507,I2182)&gt;0,INDEX('Staff Review'!$E$8:$E$507,I2182)&lt;='Top 15'!$E$5,'Top 15'!$E$5-INDEX('Staff Review'!$E$8:$E$507,I2182)&lt;='Top 15'!$H$5,LEN(INDEX('Staff Review'!$H$8:$H$507,I2182))&gt;0),"Yes","No"))</x:f>
        <x:v>No</x:v>
      </x:c>
      <x:c r="AJ2182" s="1" t="str">
        <x:f>IF(I2182=0,"No",IF(COUNT(INDEX('Staff Review'!$F$8:$F$507,I2182))&lt;&gt;1,"No",IF(AND(INDEX('Staff Review'!$F$8:$F$507,I2182)&gt;=0,MOD(INDEX('Staff Review'!$F$8:$F$507,I2182),1)=0,COUNT(INDEX('Staff Review'!$G$8:$G$507,I2182))=1,INDEX('Staff Review'!$G$8:$G$507,I2182)&gt;0,INDEX('Staff Review'!$G$8:$G$507,I2182)&lt;='Top 15'!$E$5,'Top 15'!$E$5-INDEX('Staff Review'!$G$8:$G$507,I2182)&lt;='Top 15'!$H$5,LEN(INDEX('Staff Review'!$H$8:$H$507,I2182))&gt;0),"Yes","No")))</x:f>
        <x:v>No</x:v>
      </x:c>
      <x:c r="AK2182" s="1" t="n">
        <x:f>IF(A2182="",0,COUNTIFS($A$2:$A$501,A2182))</x:f>
        <x:v>1</x:v>
      </x:c>
      <x:c r="AL2182" s="1" t="n">
        <x:f>IF(V2182="Candidate",1,0)</x:f>
        <x:v>1</x:v>
      </x:c>
      <x:c r="AM2182" s="1" t="n">
        <x:f>IF(A2182="",0,VALUE(A2182))</x:f>
        <x:v>3416</x:v>
      </x:c>
      <x:c r="AN2182" s="1" t="n">
        <x:f>IF(OR(A2182="",COUNTIFS($T$41:$T$540,A2182)&lt;&gt;1),0,MATCH(A2182,$T$41:$T$540,0))</x:f>
        <x:v>132</x:v>
      </x:c>
      <x:c r="AO2182" t="n">
        <x:f>IF(ISNUMBER(W2182),W2182,10000+AM2182)</x:f>
        <x:v>74</x:v>
      </x:c>
    </x:row>
    <x:row r="2183" ht="22" customHeight="1">
      <x:c r="A2183" s="1" t="str">
        <x:f>IF(A134="","",A134)</x:f>
        <x:v>3417</x:v>
      </x:c>
      <x:c r="B2183" s="1" t="str">
        <x:f>IF(A2183="","",B134)</x:f>
        <x:v>Universal Charter School at Audenried</x:v>
      </x:c>
      <x:c r="C2183" s="1" t="str">
        <x:f>IF(A2183="","",C134)</x:f>
        <x:v>Charter</x:v>
      </x:c>
      <x:c r="D2183" s="1" t="str">
        <x:f>IF(A2183="","",E134)</x:f>
        <x:v>High</x:v>
      </x:c>
      <x:c r="E2183" s="1" t="str">
        <x:f>IF(A2183="","",H134)</x:f>
        <x:v>19145</x:v>
      </x:c>
      <x:c r="F2183" s="1" t="n">
        <x:f>IF(ISNUMBER(K134),K134,"")</x:f>
        <x:v>606</x:v>
      </x:c>
      <x:c r="G2183" s="1" t="n">
        <x:f>IF(ISNUMBER(L134),L134,"")</x:f>
        <x:v>0.9783</x:v>
      </x:c>
      <x:c r="H2183" s="1" t="str">
        <x:f>IF(A2183="","",IF(AND(UPPER(G134)="PHILADELPHIA",OR(C2183="District",AND(C2183="Charter",D134="Yes"))),"Yes","No"))</x:f>
        <x:v>Yes</x:v>
      </x:c>
      <x:c r="I2183" s="1" t="n">
        <x:f>IF(OR(A2183="",COUNTIFS('Staff Review'!$A$8:$A$507,A2183)&lt;&gt;1),0,MATCH(A2183,'Staff Review'!$A$8:$A$507,0))</x:f>
        <x:v>300</x:v>
      </x:c>
      <x:c r="J2183" s="1" t="str">
        <x:f>IF(I2183=0,"No",IF(INDEX('Staff Review'!$C$8:$C$507,I2183)="Yes","Yes","No"))</x:f>
        <x:v>No</x:v>
      </x:c>
      <x:c r="K2183" s="1" t="n">
        <x:f>IF(AI2183="Yes",INDEX('Staff Review'!$D$8:$D$507,I2183),IF(AB2183=0,"",IF(COUNT(INDEX($C$1531:$C$2030,AB2183))=1,INDEX($C$1531:$C$2030,AB2183),"")))</x:f>
        <x:v>0.45171754911048706</x:v>
      </x:c>
      <x:c r="L2183" s="1" t="n">
        <x:f>IF(AJ2183="Yes",INDEX('Staff Review'!$F$8:$F$507,I2183),IF(AB2183=0,"",IF(COUNT(INDEX($G$1531:$G$2030,AB2183))=1,INDEX($G$1531:$G$2030,AB2183),"")))</x:f>
        <x:v>6</x:v>
      </x:c>
      <x:c r="M2183" s="1" t="str">
        <x:f>IF(A2183="","",IF(AI2183="Yes","Verified","Listed"))</x:f>
        <x:v>Listed</x:v>
      </x:c>
      <x:c r="N2183" s="1" t="str">
        <x:f>IF(A2183="","",IF(AJ2183="Yes","Verified","Listed"))</x:f>
        <x:v>Listed</x:v>
      </x:c>
      <x:c r="O2183" s="1" t="n">
        <x:f>IF(AND(ISNUMBER(G2183),G2183&gt;=0,G2183&lt;=1),IF(G2183&gt;=0.9,30,IF(G2183&gt;=0.8,25,IF(G2183&gt;=0.7,20,IF(G2183&gt;=0.6,15,IF(G2183&gt;=0.5,10,IF(G2183&gt;=0.4,5,0)))))),"")</x:f>
        <x:v>30</x:v>
      </x:c>
      <x:c r="P2183" s="1" t="n">
        <x:f>IF(ISNUMBER(K2183),IF(K2183&lt;0,"",IF(K2183&gt;1,25,IF(K2183&gt;=0.75,20,IF(K2183&gt;=0.5,15,IF(K2183&gt;=0.25,10,5))))),"")</x:f>
        <x:v>10</x:v>
      </x:c>
      <x:c r="Q2183" s="1" t="n">
        <x:f>IF(NOT(ISNUMBER(L2183)),"",IF(AND(L2183&gt;=0,MOD(L2183,1)=0),MAX(0,25-5*L2183),""))</x:f>
        <x:v>0</x:v>
      </x:c>
      <x:c r="R2183" s="1" t="n">
        <x:f>IF(NOT(ISNUMBER(F2183)),"",IF(AND(F2183&gt;0,MOD(F2183,1)=0),IF(F2183&gt;=700,5,IF(F2183&gt;=500,4,IF(F2183&gt;=350,3,IF(F2183&gt;=200,2,1)))),""))</x:f>
        <x:v>4</x:v>
      </x:c>
      <x:c r="S2183" s="1" t="n">
        <x:f>IF(COUNT(O2183:R2183)=4,SUM(O2183:R2183),"")</x:f>
        <x:v>44</x:v>
      </x:c>
      <x:c r="T2183" s="1" t="n">
        <x:f>IF(OR(COUNT(O2183:R2183)&lt;&gt;4,COUNT('Top 15'!$B$35:$E$35)&lt;&gt;4,MIN('Top 15'!$B$35:$E$35)&lt;0,SUM('Top 15'!$B$35:$E$35)&lt;=0),"",ROUND(85*(O2183/30*'Top 15'!$B$35+P2183/25*'Top 15'!$C$35+Q2183/25*'Top 15'!$D$35+R2183/5*'Top 15'!$E$35)/SUM('Top 15'!$B$35:$E$35),6))</x:f>
        <x:v>44</x:v>
      </x:c>
      <x:c r="U2183" s="1" t="str">
        <x:f>IF(A2183="","",IF(AND(M2183="Verified",N2183="Verified"),"Verified",IF(AND(M2183="Listed",N2183="Listed"),"Listed","Mixed")))</x:f>
        <x:v>Listed</x:v>
      </x:c>
      <x:c r="V2183" s="1" t="str">
        <x:f>IF(A2183="","",IF(AK2183&lt;&gt;1,"Duplicate source ID",IF(COUNTIFS('Staff Review'!$A$8:$A$507,A2183)&gt;1,"Duplicate review ID",IF(H2183&lt;&gt;"Yes","Outside scope",IF(J2183="Yes","Already served",IF(NOT(ISNUMBER(T2183)),"Missing data","Candidate"))))))</x:f>
        <x:v>Candidate</x:v>
      </x:c>
      <x:c r="W2183" s="1" t="n">
        <x:f>IF(AL2183=0,"",1+COUNTIFS($AL$2051:$AL$2550,1,$T$2051:$T$2550,"&gt;"&amp;T2183)+COUNTIFS($AL$2051:$AL$2550,1,$T$2051:$T$2550,T2183,$G$2051:$G$2550,"&gt;"&amp;G2183)+COUNTIFS($AL$2051:$AL$2550,1,$T$2051:$T$2550,T2183,$G$2051:$G$2550,G2183,$F$2051:$F$2550,"&gt;"&amp;F2183)+COUNTIFS($AL$2051:$AL$2550,1,$T$2051:$T$2550,T2183,$G$2051:$G$2550,G2183,$F$2051:$F$2550,F2183,$AM$2051:$AM$2550,"&lt;"&amp;AM2183))</x:f>
        <x:v>82</x:v>
      </x:c>
      <x:c r="X2183" s="1" t="n">
        <x:f>IF(AL2183=0,"",1+COUNTIFS($AL$2051:$AL$2550,1,$T$2051:$T$2550,"&gt;"&amp;T2183))</x:f>
        <x:v>81</x:v>
      </x:c>
      <x:c r="Y2183" s="1" t="n">
        <x:f>IF(AND(H2183="Yes",OR(LEN('School Search'!$B$5)=0,ISNUMBER(SEARCH('School Search'!$B$5,B2183&amp;" "&amp;E2183&amp;" "&amp;A2183))),OR('School Search'!$D$5="All",C2183='School Search'!$D$5),OR('School Search'!$G$5="All eligible",AND('School Search'!$G$5="Not marked served",J2183&lt;&gt;"Yes"),AND('School Search'!$G$5="Missing data",V2183="Missing data"),AND('School Search'!$G$5="Marked served",J2183="Yes"))),1,0)</x:f>
        <x:v>1</x:v>
      </x:c>
      <x:c r="Z2183" s="1" t="n">
        <x:f>IF(Y2183=0,"",COUNTIFS($Y$2051:$Y$2550,1,$AO$2051:$AO$2550,"&lt;"&amp;AO2183)+COUNTIFS($Y$2051:Y2183,1,$AO$2051:AO2183,AO2183))</x:f>
        <x:v>82</x:v>
      </x:c>
      <x:c r="AA2183" s="1" t="str">
        <x:f>IF(NOT(ISNUMBER(S2183)),"Missing demographic or access input",TEXT(G2183,"0%")&amp;" economic need; "&amp;TEXT(K2183,"0.00")&amp;" mi fresh access; "&amp;L2183&amp;" nearby resources")</x:f>
        <x:v>98% economic need; 0.45 mi fresh access; 6 nearby resources</x:v>
      </x:c>
      <x:c r="AB2183" s="1" t="n">
        <x:f>IF(OR(A2183="",COUNTIFS($A$1531:$A$2030,A2183)&lt;&gt;1),0,MATCH(A2183,$A$1531:$A$2030,0))</x:f>
        <x:v>133</x:v>
      </x:c>
      <x:c r="AC2183" s="1" t="str">
        <x:f>IF(AB2183=0,"",INDEX($E$1531:$E$2030,AB2183))</x:f>
        <x:v>The Fresh Grocer Of Grays Ferry</x:v>
      </x:c>
      <x:c r="AD2183" s="1" t="str">
        <x:f>IF(AB2183=0,"",INDEX($F$1531:$F$2030,AB2183))</x:f>
        <x:v>3021 Grays Ferry Ave, Philadelphia, PA, 19146</x:v>
      </x:c>
      <x:c r="AE2183" s="1" t="str">
        <x:f>IF(A2183="","",F134)</x:f>
        <x:v>3301 TASKER ST</x:v>
      </x:c>
      <x:c r="AF2183" s="1" t="n">
        <x:f>IF(ISNUMBER(I134),I134,"")</x:f>
        <x:v>39.933737</x:v>
      </x:c>
      <x:c r="AG2183" s="1" t="n">
        <x:f>IF(ISNUMBER(J134),J134,"")</x:f>
        <x:v>-75.19859</x:v>
      </x:c>
      <x:c r="AH2183" s="1" t="str">
        <x:f>IF(I2183=0,"Not contacted",IF(INDEX('Staff Review'!$J$8:$J$507,I2183)="","Not contacted",INDEX('Staff Review'!$J$8:$J$507,I2183)))</x:f>
        <x:v>Not contacted</x:v>
      </x:c>
      <x:c r="AI2183" s="1" t="str">
        <x:f>IF(I2183=0,"No",IF(AND(COUNT(INDEX('Staff Review'!$D$8:$D$507,I2183))=1,INDEX('Staff Review'!$D$8:$D$507,I2183)&gt;=0,COUNT(INDEX('Staff Review'!$E$8:$E$507,I2183))=1,INDEX('Staff Review'!$E$8:$E$507,I2183)&gt;0,INDEX('Staff Review'!$E$8:$E$507,I2183)&lt;='Top 15'!$E$5,'Top 15'!$E$5-INDEX('Staff Review'!$E$8:$E$507,I2183)&lt;='Top 15'!$H$5,LEN(INDEX('Staff Review'!$H$8:$H$507,I2183))&gt;0),"Yes","No"))</x:f>
        <x:v>No</x:v>
      </x:c>
      <x:c r="AJ2183" s="1" t="str">
        <x:f>IF(I2183=0,"No",IF(COUNT(INDEX('Staff Review'!$F$8:$F$507,I2183))&lt;&gt;1,"No",IF(AND(INDEX('Staff Review'!$F$8:$F$507,I2183)&gt;=0,MOD(INDEX('Staff Review'!$F$8:$F$507,I2183),1)=0,COUNT(INDEX('Staff Review'!$G$8:$G$507,I2183))=1,INDEX('Staff Review'!$G$8:$G$507,I2183)&gt;0,INDEX('Staff Review'!$G$8:$G$507,I2183)&lt;='Top 15'!$E$5,'Top 15'!$E$5-INDEX('Staff Review'!$G$8:$G$507,I2183)&lt;='Top 15'!$H$5,LEN(INDEX('Staff Review'!$H$8:$H$507,I2183))&gt;0),"Yes","No")))</x:f>
        <x:v>No</x:v>
      </x:c>
      <x:c r="AK2183" s="1" t="n">
        <x:f>IF(A2183="",0,COUNTIFS($A$2:$A$501,A2183))</x:f>
        <x:v>1</x:v>
      </x:c>
      <x:c r="AL2183" s="1" t="n">
        <x:f>IF(V2183="Candidate",1,0)</x:f>
        <x:v>1</x:v>
      </x:c>
      <x:c r="AM2183" s="1" t="n">
        <x:f>IF(A2183="",0,VALUE(A2183))</x:f>
        <x:v>3417</x:v>
      </x:c>
      <x:c r="AN2183" s="1" t="n">
        <x:f>IF(OR(A2183="",COUNTIFS($T$41:$T$540,A2183)&lt;&gt;1),0,MATCH(A2183,$T$41:$T$540,0))</x:f>
        <x:v>133</x:v>
      </x:c>
      <x:c r="AO2183" t="n">
        <x:f>IF(ISNUMBER(W2183),W2183,10000+AM2183)</x:f>
        <x:v>82</x:v>
      </x:c>
    </x:row>
    <x:row r="2184" ht="22" customHeight="1">
      <x:c r="A2184" s="1" t="str">
        <x:f>IF(A135="","",A135)</x:f>
        <x:v>3419</x:v>
      </x:c>
      <x:c r="B2184" s="1" t="str">
        <x:f>IF(A2184="","",B135)</x:f>
        <x:v>General David B. Birney Charter School</x:v>
      </x:c>
      <x:c r="C2184" s="1" t="str">
        <x:f>IF(A2184="","",C135)</x:f>
        <x:v>Charter</x:v>
      </x:c>
      <x:c r="D2184" s="1" t="str">
        <x:f>IF(A2184="","",E135)</x:f>
        <x:v>Elementary-Middle</x:v>
      </x:c>
      <x:c r="E2184" s="1" t="str">
        <x:f>IF(A2184="","",H135)</x:f>
        <x:v>19141</x:v>
      </x:c>
      <x:c r="F2184" s="1" t="n">
        <x:f>IF(ISNUMBER(K135),K135,"")</x:f>
        <x:v>721</x:v>
      </x:c>
      <x:c r="G2184" s="1" t="n">
        <x:f>IF(ISNUMBER(L135),L135,"")</x:f>
        <x:v>0.9188</x:v>
      </x:c>
      <x:c r="H2184" s="1" t="str">
        <x:f>IF(A2184="","",IF(AND(UPPER(G135)="PHILADELPHIA",OR(C2184="District",AND(C2184="Charter",D135="Yes"))),"Yes","No"))</x:f>
        <x:v>Yes</x:v>
      </x:c>
      <x:c r="I2184" s="1" t="n">
        <x:f>IF(OR(A2184="",COUNTIFS('Staff Review'!$A$8:$A$507,A2184)&lt;&gt;1),0,MATCH(A2184,'Staff Review'!$A$8:$A$507,0))</x:f>
        <x:v>89</x:v>
      </x:c>
      <x:c r="J2184" s="1" t="str">
        <x:f>IF(I2184=0,"No",IF(INDEX('Staff Review'!$C$8:$C$507,I2184)="Yes","Yes","No"))</x:f>
        <x:v>No</x:v>
      </x:c>
      <x:c r="K2184" s="1" t="n">
        <x:f>IF(AI2184="Yes",INDEX('Staff Review'!$D$8:$D$507,I2184),IF(AB2184=0,"",IF(COUNT(INDEX($C$1531:$C$2030,AB2184))=1,INDEX($C$1531:$C$2030,AB2184),"")))</x:f>
        <x:v>0.6974453007678229</x:v>
      </x:c>
      <x:c r="L2184" s="1" t="n">
        <x:f>IF(AJ2184="Yes",INDEX('Staff Review'!$F$8:$F$507,I2184),IF(AB2184=0,"",IF(COUNT(INDEX($G$1531:$G$2030,AB2184))=1,INDEX($G$1531:$G$2030,AB2184),"")))</x:f>
        <x:v>11</x:v>
      </x:c>
      <x:c r="M2184" s="1" t="str">
        <x:f>IF(A2184="","",IF(AI2184="Yes","Verified","Listed"))</x:f>
        <x:v>Listed</x:v>
      </x:c>
      <x:c r="N2184" s="1" t="str">
        <x:f>IF(A2184="","",IF(AJ2184="Yes","Verified","Listed"))</x:f>
        <x:v>Listed</x:v>
      </x:c>
      <x:c r="O2184" s="1" t="n">
        <x:f>IF(AND(ISNUMBER(G2184),G2184&gt;=0,G2184&lt;=1),IF(G2184&gt;=0.9,30,IF(G2184&gt;=0.8,25,IF(G2184&gt;=0.7,20,IF(G2184&gt;=0.6,15,IF(G2184&gt;=0.5,10,IF(G2184&gt;=0.4,5,0)))))),"")</x:f>
        <x:v>30</x:v>
      </x:c>
      <x:c r="P2184" s="1" t="n">
        <x:f>IF(ISNUMBER(K2184),IF(K2184&lt;0,"",IF(K2184&gt;1,25,IF(K2184&gt;=0.75,20,IF(K2184&gt;=0.5,15,IF(K2184&gt;=0.25,10,5))))),"")</x:f>
        <x:v>15</x:v>
      </x:c>
      <x:c r="Q2184" s="1" t="n">
        <x:f>IF(NOT(ISNUMBER(L2184)),"",IF(AND(L2184&gt;=0,MOD(L2184,1)=0),MAX(0,25-5*L2184),""))</x:f>
        <x:v>0</x:v>
      </x:c>
      <x:c r="R2184" s="1" t="n">
        <x:f>IF(NOT(ISNUMBER(F2184)),"",IF(AND(F2184&gt;0,MOD(F2184,1)=0),IF(F2184&gt;=700,5,IF(F2184&gt;=500,4,IF(F2184&gt;=350,3,IF(F2184&gt;=200,2,1)))),""))</x:f>
        <x:v>5</x:v>
      </x:c>
      <x:c r="S2184" s="1" t="n">
        <x:f>IF(COUNT(O2184:R2184)=4,SUM(O2184:R2184),"")</x:f>
        <x:v>50</x:v>
      </x:c>
      <x:c r="T2184" s="1" t="n">
        <x:f>IF(OR(COUNT(O2184:R2184)&lt;&gt;4,COUNT('Top 15'!$B$35:$E$35)&lt;&gt;4,MIN('Top 15'!$B$35:$E$35)&lt;0,SUM('Top 15'!$B$35:$E$35)&lt;=0),"",ROUND(85*(O2184/30*'Top 15'!$B$35+P2184/25*'Top 15'!$C$35+Q2184/25*'Top 15'!$D$35+R2184/5*'Top 15'!$E$35)/SUM('Top 15'!$B$35:$E$35),6))</x:f>
        <x:v>50</x:v>
      </x:c>
      <x:c r="U2184" s="1" t="str">
        <x:f>IF(A2184="","",IF(AND(M2184="Verified",N2184="Verified"),"Verified",IF(AND(M2184="Listed",N2184="Listed"),"Listed","Mixed")))</x:f>
        <x:v>Listed</x:v>
      </x:c>
      <x:c r="V2184" s="1" t="str">
        <x:f>IF(A2184="","",IF(AK2184&lt;&gt;1,"Duplicate source ID",IF(COUNTIFS('Staff Review'!$A$8:$A$507,A2184)&gt;1,"Duplicate review ID",IF(H2184&lt;&gt;"Yes","Outside scope",IF(J2184="Yes","Already served",IF(NOT(ISNUMBER(T2184)),"Missing data","Candidate"))))))</x:f>
        <x:v>Candidate</x:v>
      </x:c>
      <x:c r="W2184" s="1" t="n">
        <x:f>IF(AL2184=0,"",1+COUNTIFS($AL$2051:$AL$2550,1,$T$2051:$T$2550,"&gt;"&amp;T2184)+COUNTIFS($AL$2051:$AL$2550,1,$T$2051:$T$2550,T2184,$G$2051:$G$2550,"&gt;"&amp;G2184)+COUNTIFS($AL$2051:$AL$2550,1,$T$2051:$T$2550,T2184,$G$2051:$G$2550,G2184,$F$2051:$F$2550,"&gt;"&amp;F2184)+COUNTIFS($AL$2051:$AL$2550,1,$T$2051:$T$2550,T2184,$G$2051:$G$2550,G2184,$F$2051:$F$2550,F2184,$AM$2051:$AM$2550,"&lt;"&amp;AM2184))</x:f>
        <x:v>39</x:v>
      </x:c>
      <x:c r="X2184" s="1" t="n">
        <x:f>IF(AL2184=0,"",1+COUNTIFS($AL$2051:$AL$2550,1,$T$2051:$T$2550,"&gt;"&amp;T2184))</x:f>
        <x:v>39</x:v>
      </x:c>
      <x:c r="Y2184" s="1" t="n">
        <x:f>IF(AND(H2184="Yes",OR(LEN('School Search'!$B$5)=0,ISNUMBER(SEARCH('School Search'!$B$5,B2184&amp;" "&amp;E2184&amp;" "&amp;A2184))),OR('School Search'!$D$5="All",C2184='School Search'!$D$5),OR('School Search'!$G$5="All eligible",AND('School Search'!$G$5="Not marked served",J2184&lt;&gt;"Yes"),AND('School Search'!$G$5="Missing data",V2184="Missing data"),AND('School Search'!$G$5="Marked served",J2184="Yes"))),1,0)</x:f>
        <x:v>1</x:v>
      </x:c>
      <x:c r="Z2184" s="1" t="n">
        <x:f>IF(Y2184=0,"",COUNTIFS($Y$2051:$Y$2550,1,$AO$2051:$AO$2550,"&lt;"&amp;AO2184)+COUNTIFS($Y$2051:Y2184,1,$AO$2051:AO2184,AO2184))</x:f>
        <x:v>39</x:v>
      </x:c>
      <x:c r="AA2184" s="1" t="str">
        <x:f>IF(NOT(ISNUMBER(S2184)),"Missing demographic or access input",TEXT(G2184,"0%")&amp;" economic need; "&amp;TEXT(K2184,"0.00")&amp;" mi fresh access; "&amp;L2184&amp;" nearby resources")</x:f>
        <x:v>92% economic need; 0.70 mi fresh access; 11 nearby resources</x:v>
      </x:c>
      <x:c r="AB2184" s="1" t="n">
        <x:f>IF(OR(A2184="",COUNTIFS($A$1531:$A$2030,A2184)&lt;&gt;1),0,MATCH(A2184,$A$1531:$A$2030,0))</x:f>
        <x:v>134</x:v>
      </x:c>
      <x:c r="AC2184" s="1" t="str">
        <x:f>IF(AB2184=0,"",INDEX($E$1531:$E$2030,AB2184))</x:f>
        <x:v>GFM Food Corporation</x:v>
      </x:c>
      <x:c r="AD2184" s="1" t="str">
        <x:f>IF(AB2184=0,"",INDEX($F$1531:$F$2030,AB2184))</x:f>
        <x:v>180 W Duncannon Ave, Philadelphia, PA, 19120</x:v>
      </x:c>
      <x:c r="AE2184" s="1" t="str">
        <x:f>IF(A2184="","",F135)</x:f>
        <x:v>900 LINDLEY AVE</x:v>
      </x:c>
      <x:c r="AF2184" s="1" t="n">
        <x:f>IF(ISNUMBER(I135),I135,"")</x:f>
        <x:v>40.02954904</x:v>
      </x:c>
      <x:c r="AG2184" s="1" t="n">
        <x:f>IF(ISNUMBER(J135),J135,"")</x:f>
        <x:v>-75.13883269</x:v>
      </x:c>
      <x:c r="AH2184" s="1" t="str">
        <x:f>IF(I2184=0,"Not contacted",IF(INDEX('Staff Review'!$J$8:$J$507,I2184)="","Not contacted",INDEX('Staff Review'!$J$8:$J$507,I2184)))</x:f>
        <x:v>Not contacted</x:v>
      </x:c>
      <x:c r="AI2184" s="1" t="str">
        <x:f>IF(I2184=0,"No",IF(AND(COUNT(INDEX('Staff Review'!$D$8:$D$507,I2184))=1,INDEX('Staff Review'!$D$8:$D$507,I2184)&gt;=0,COUNT(INDEX('Staff Review'!$E$8:$E$507,I2184))=1,INDEX('Staff Review'!$E$8:$E$507,I2184)&gt;0,INDEX('Staff Review'!$E$8:$E$507,I2184)&lt;='Top 15'!$E$5,'Top 15'!$E$5-INDEX('Staff Review'!$E$8:$E$507,I2184)&lt;='Top 15'!$H$5,LEN(INDEX('Staff Review'!$H$8:$H$507,I2184))&gt;0),"Yes","No"))</x:f>
        <x:v>No</x:v>
      </x:c>
      <x:c r="AJ2184" s="1" t="str">
        <x:f>IF(I2184=0,"No",IF(COUNT(INDEX('Staff Review'!$F$8:$F$507,I2184))&lt;&gt;1,"No",IF(AND(INDEX('Staff Review'!$F$8:$F$507,I2184)&gt;=0,MOD(INDEX('Staff Review'!$F$8:$F$507,I2184),1)=0,COUNT(INDEX('Staff Review'!$G$8:$G$507,I2184))=1,INDEX('Staff Review'!$G$8:$G$507,I2184)&gt;0,INDEX('Staff Review'!$G$8:$G$507,I2184)&lt;='Top 15'!$E$5,'Top 15'!$E$5-INDEX('Staff Review'!$G$8:$G$507,I2184)&lt;='Top 15'!$H$5,LEN(INDEX('Staff Review'!$H$8:$H$507,I2184))&gt;0),"Yes","No")))</x:f>
        <x:v>No</x:v>
      </x:c>
      <x:c r="AK2184" s="1" t="n">
        <x:f>IF(A2184="",0,COUNTIFS($A$2:$A$501,A2184))</x:f>
        <x:v>1</x:v>
      </x:c>
      <x:c r="AL2184" s="1" t="n">
        <x:f>IF(V2184="Candidate",1,0)</x:f>
        <x:v>1</x:v>
      </x:c>
      <x:c r="AM2184" s="1" t="n">
        <x:f>IF(A2184="",0,VALUE(A2184))</x:f>
        <x:v>3419</x:v>
      </x:c>
      <x:c r="AN2184" s="1" t="n">
        <x:f>IF(OR(A2184="",COUNTIFS($T$41:$T$540,A2184)&lt;&gt;1),0,MATCH(A2184,$T$41:$T$540,0))</x:f>
        <x:v>134</x:v>
      </x:c>
      <x:c r="AO2184" t="n">
        <x:f>IF(ISNUMBER(W2184),W2184,10000+AM2184)</x:f>
        <x:v>39</x:v>
      </x:c>
    </x:row>
    <x:row r="2185" ht="22" customHeight="1">
      <x:c r="A2185" s="1" t="str">
        <x:f>IF(A136="","",A136)</x:f>
        <x:v>3420</x:v>
      </x:c>
      <x:c r="B2185" s="1" t="str">
        <x:f>IF(A2185="","",B136)</x:f>
        <x:v>Mastery Charter School at Cleveland</x:v>
      </x:c>
      <x:c r="C2185" s="1" t="str">
        <x:f>IF(A2185="","",C136)</x:f>
        <x:v>Charter</x:v>
      </x:c>
      <x:c r="D2185" s="1" t="str">
        <x:f>IF(A2185="","",E136)</x:f>
        <x:v>Elementary-Middle</x:v>
      </x:c>
      <x:c r="E2185" s="1" t="str">
        <x:f>IF(A2185="","",H136)</x:f>
        <x:v>19140</x:v>
      </x:c>
      <x:c r="F2185" s="1" t="n">
        <x:f>IF(ISNUMBER(K136),K136,"")</x:f>
        <x:v>699</x:v>
      </x:c>
      <x:c r="G2185" s="1" t="n">
        <x:f>IF(ISNUMBER(L136),L136,"")</x:f>
        <x:v>0.9414</x:v>
      </x:c>
      <x:c r="H2185" s="1" t="str">
        <x:f>IF(A2185="","",IF(AND(UPPER(G136)="PHILADELPHIA",OR(C2185="District",AND(C2185="Charter",D136="Yes"))),"Yes","No"))</x:f>
        <x:v>No</x:v>
      </x:c>
      <x:c r="I2185" s="1" t="n">
        <x:f>IF(OR(A2185="",COUNTIFS('Staff Review'!$A$8:$A$507,A2185)&lt;&gt;1),0,MATCH(A2185,'Staff Review'!$A$8:$A$507,0))</x:f>
        <x:v>182</x:v>
      </x:c>
      <x:c r="J2185" s="1" t="str">
        <x:f>IF(I2185=0,"No",IF(INDEX('Staff Review'!$C$8:$C$507,I2185)="Yes","Yes","No"))</x:f>
        <x:v>No</x:v>
      </x:c>
      <x:c r="K2185" s="1" t="n">
        <x:f>IF(AI2185="Yes",INDEX('Staff Review'!$D$8:$D$507,I2185),IF(AB2185=0,"",IF(COUNT(INDEX($C$1531:$C$2030,AB2185))=1,INDEX($C$1531:$C$2030,AB2185),"")))</x:f>
        <x:v>0.85093629160972</x:v>
      </x:c>
      <x:c r="L2185" s="1" t="n">
        <x:f>IF(AJ2185="Yes",INDEX('Staff Review'!$F$8:$F$507,I2185),IF(AB2185=0,"",IF(COUNT(INDEX($G$1531:$G$2030,AB2185))=1,INDEX($G$1531:$G$2030,AB2185),"")))</x:f>
        <x:v>5</x:v>
      </x:c>
      <x:c r="M2185" s="1" t="str">
        <x:f>IF(A2185="","",IF(AI2185="Yes","Verified","Listed"))</x:f>
        <x:v>Listed</x:v>
      </x:c>
      <x:c r="N2185" s="1" t="str">
        <x:f>IF(A2185="","",IF(AJ2185="Yes","Verified","Listed"))</x:f>
        <x:v>Listed</x:v>
      </x:c>
      <x:c r="O2185" s="1" t="n">
        <x:f>IF(AND(ISNUMBER(G2185),G2185&gt;=0,G2185&lt;=1),IF(G2185&gt;=0.9,30,IF(G2185&gt;=0.8,25,IF(G2185&gt;=0.7,20,IF(G2185&gt;=0.6,15,IF(G2185&gt;=0.5,10,IF(G2185&gt;=0.4,5,0)))))),"")</x:f>
        <x:v>30</x:v>
      </x:c>
      <x:c r="P2185" s="1" t="n">
        <x:f>IF(ISNUMBER(K2185),IF(K2185&lt;0,"",IF(K2185&gt;1,25,IF(K2185&gt;=0.75,20,IF(K2185&gt;=0.5,15,IF(K2185&gt;=0.25,10,5))))),"")</x:f>
        <x:v>20</x:v>
      </x:c>
      <x:c r="Q2185" s="1" t="n">
        <x:f>IF(NOT(ISNUMBER(L2185)),"",IF(AND(L2185&gt;=0,MOD(L2185,1)=0),MAX(0,25-5*L2185),""))</x:f>
        <x:v>0</x:v>
      </x:c>
      <x:c r="R2185" s="1" t="n">
        <x:f>IF(NOT(ISNUMBER(F2185)),"",IF(AND(F2185&gt;0,MOD(F2185,1)=0),IF(F2185&gt;=700,5,IF(F2185&gt;=500,4,IF(F2185&gt;=350,3,IF(F2185&gt;=200,2,1)))),""))</x:f>
        <x:v>4</x:v>
      </x:c>
      <x:c r="S2185" s="1" t="n">
        <x:f>IF(COUNT(O2185:R2185)=4,SUM(O2185:R2185),"")</x:f>
        <x:v>54</x:v>
      </x:c>
      <x:c r="T2185" s="1" t="n">
        <x:f>IF(OR(COUNT(O2185:R2185)&lt;&gt;4,COUNT('Top 15'!$B$35:$E$35)&lt;&gt;4,MIN('Top 15'!$B$35:$E$35)&lt;0,SUM('Top 15'!$B$35:$E$35)&lt;=0),"",ROUND(85*(O2185/30*'Top 15'!$B$35+P2185/25*'Top 15'!$C$35+Q2185/25*'Top 15'!$D$35+R2185/5*'Top 15'!$E$35)/SUM('Top 15'!$B$35:$E$35),6))</x:f>
        <x:v>54</x:v>
      </x:c>
      <x:c r="U2185" s="1" t="str">
        <x:f>IF(A2185="","",IF(AND(M2185="Verified",N2185="Verified"),"Verified",IF(AND(M2185="Listed",N2185="Listed"),"Listed","Mixed")))</x:f>
        <x:v>Listed</x:v>
      </x:c>
      <x:c r="V2185" s="1" t="str">
        <x:f>IF(A2185="","",IF(AK2185&lt;&gt;1,"Duplicate source ID",IF(COUNTIFS('Staff Review'!$A$8:$A$507,A2185)&gt;1,"Duplicate review ID",IF(H2185&lt;&gt;"Yes","Outside scope",IF(J2185="Yes","Already served",IF(NOT(ISNUMBER(T2185)),"Missing data","Candidate"))))))</x:f>
        <x:v>Outside scope</x:v>
      </x:c>
      <x:c r="W2185" s="1" t="str">
        <x:f>IF(AL2185=0,"",1+COUNTIFS($AL$2051:$AL$2550,1,$T$2051:$T$2550,"&gt;"&amp;T2185)+COUNTIFS($AL$2051:$AL$2550,1,$T$2051:$T$2550,T2185,$G$2051:$G$2550,"&gt;"&amp;G2185)+COUNTIFS($AL$2051:$AL$2550,1,$T$2051:$T$2550,T2185,$G$2051:$G$2550,G2185,$F$2051:$F$2550,"&gt;"&amp;F2185)+COUNTIFS($AL$2051:$AL$2550,1,$T$2051:$T$2550,T2185,$G$2051:$G$2550,G2185,$F$2051:$F$2550,F2185,$AM$2051:$AM$2550,"&lt;"&amp;AM2185))</x:f>
      </x:c>
      <x:c r="X2185" s="1" t="str">
        <x:f>IF(AL2185=0,"",1+COUNTIFS($AL$2051:$AL$2550,1,$T$2051:$T$2550,"&gt;"&amp;T2185))</x:f>
      </x:c>
      <x:c r="Y2185" s="1" t="n">
        <x:f>IF(AND(H2185="Yes",OR(LEN('School Search'!$B$5)=0,ISNUMBER(SEARCH('School Search'!$B$5,B2185&amp;" "&amp;E2185&amp;" "&amp;A2185))),OR('School Search'!$D$5="All",C2185='School Search'!$D$5),OR('School Search'!$G$5="All eligible",AND('School Search'!$G$5="Not marked served",J2185&lt;&gt;"Yes"),AND('School Search'!$G$5="Missing data",V2185="Missing data"),AND('School Search'!$G$5="Marked served",J2185="Yes"))),1,0)</x:f>
        <x:v>0</x:v>
      </x:c>
      <x:c r="Z2185" s="1" t="str">
        <x:f>IF(Y2185=0,"",COUNTIFS($Y$2051:$Y$2550,1,$AO$2051:$AO$2550,"&lt;"&amp;AO2185)+COUNTIFS($Y$2051:Y2185,1,$AO$2051:AO2185,AO2185))</x:f>
      </x:c>
      <x:c r="AA2185" s="1" t="str">
        <x:f>IF(NOT(ISNUMBER(S2185)),"Missing demographic or access input",TEXT(G2185,"0%")&amp;" economic need; "&amp;TEXT(K2185,"0.00")&amp;" mi fresh access; "&amp;L2185&amp;" nearby resources")</x:f>
        <x:v>94% economic need; 0.85 mi fresh access; 5 nearby resources</x:v>
      </x:c>
      <x:c r="AB2185" s="1" t="n">
        <x:f>IF(OR(A2185="",COUNTIFS($A$1531:$A$2030,A2185)&lt;&gt;1),0,MATCH(A2185,$A$1531:$A$2030,0))</x:f>
        <x:v>135</x:v>
      </x:c>
      <x:c r="AC2185" s="1" t="str">
        <x:f>IF(AB2185=0,"",INDEX($E$1531:$E$2030,AB2185))</x:f>
        <x:v>Shoprite of Fox Street 430</x:v>
      </x:c>
      <x:c r="AD2185" s="1" t="str">
        <x:f>IF(AB2185=0,"",INDEX($F$1531:$F$2030,AB2185))</x:f>
        <x:v>2800 Fox Street, Philadelphia, PA, 19129</x:v>
      </x:c>
      <x:c r="AE2185" s="1" t="str">
        <x:f>IF(A2185="","",F136)</x:f>
        <x:v>3701 N 19TH ST</x:v>
      </x:c>
      <x:c r="AF2185" s="1" t="n">
        <x:f>IF(ISNUMBER(I136),I136,"")</x:f>
        <x:v>40.01027824</x:v>
      </x:c>
      <x:c r="AG2185" s="1" t="n">
        <x:f>IF(ISNUMBER(J136),J136,"")</x:f>
        <x:v>-75.15908455</x:v>
      </x:c>
      <x:c r="AH2185" s="1" t="str">
        <x:f>IF(I2185=0,"Not contacted",IF(INDEX('Staff Review'!$J$8:$J$507,I2185)="","Not contacted",INDEX('Staff Review'!$J$8:$J$507,I2185)))</x:f>
        <x:v>Not contacted</x:v>
      </x:c>
      <x:c r="AI2185" s="1" t="str">
        <x:f>IF(I2185=0,"No",IF(AND(COUNT(INDEX('Staff Review'!$D$8:$D$507,I2185))=1,INDEX('Staff Review'!$D$8:$D$507,I2185)&gt;=0,COUNT(INDEX('Staff Review'!$E$8:$E$507,I2185))=1,INDEX('Staff Review'!$E$8:$E$507,I2185)&gt;0,INDEX('Staff Review'!$E$8:$E$507,I2185)&lt;='Top 15'!$E$5,'Top 15'!$E$5-INDEX('Staff Review'!$E$8:$E$507,I2185)&lt;='Top 15'!$H$5,LEN(INDEX('Staff Review'!$H$8:$H$507,I2185))&gt;0),"Yes","No"))</x:f>
        <x:v>No</x:v>
      </x:c>
      <x:c r="AJ2185" s="1" t="str">
        <x:f>IF(I2185=0,"No",IF(COUNT(INDEX('Staff Review'!$F$8:$F$507,I2185))&lt;&gt;1,"No",IF(AND(INDEX('Staff Review'!$F$8:$F$507,I2185)&gt;=0,MOD(INDEX('Staff Review'!$F$8:$F$507,I2185),1)=0,COUNT(INDEX('Staff Review'!$G$8:$G$507,I2185))=1,INDEX('Staff Review'!$G$8:$G$507,I2185)&gt;0,INDEX('Staff Review'!$G$8:$G$507,I2185)&lt;='Top 15'!$E$5,'Top 15'!$E$5-INDEX('Staff Review'!$G$8:$G$507,I2185)&lt;='Top 15'!$H$5,LEN(INDEX('Staff Review'!$H$8:$H$507,I2185))&gt;0),"Yes","No")))</x:f>
        <x:v>No</x:v>
      </x:c>
      <x:c r="AK2185" s="1" t="n">
        <x:f>IF(A2185="",0,COUNTIFS($A$2:$A$501,A2185))</x:f>
        <x:v>1</x:v>
      </x:c>
      <x:c r="AL2185" s="1" t="n">
        <x:f>IF(V2185="Candidate",1,0)</x:f>
        <x:v>0</x:v>
      </x:c>
      <x:c r="AM2185" s="1" t="n">
        <x:f>IF(A2185="",0,VALUE(A2185))</x:f>
        <x:v>3420</x:v>
      </x:c>
      <x:c r="AN2185" s="1" t="n">
        <x:f>IF(OR(A2185="",COUNTIFS($T$41:$T$540,A2185)&lt;&gt;1),0,MATCH(A2185,$T$41:$T$540,0))</x:f>
        <x:v>135</x:v>
      </x:c>
      <x:c r="AO2185" t="n">
        <x:f>IF(ISNUMBER(W2185),W2185,10000+AM2185)</x:f>
        <x:v>13420</x:v>
      </x:c>
    </x:row>
    <x:row r="2186" ht="22" customHeight="1">
      <x:c r="A2186" s="1" t="str">
        <x:f>IF(A137="","",A137)</x:f>
        <x:v>3421</x:v>
      </x:c>
      <x:c r="B2186" s="1" t="str">
        <x:f>IF(A2186="","",B137)</x:f>
        <x:v>Universal Charter School at Creighton</x:v>
      </x:c>
      <x:c r="C2186" s="1" t="str">
        <x:f>IF(A2186="","",C137)</x:f>
        <x:v>Charter</x:v>
      </x:c>
      <x:c r="D2186" s="1" t="str">
        <x:f>IF(A2186="","",E137)</x:f>
        <x:v>Elementary-Middle</x:v>
      </x:c>
      <x:c r="E2186" s="1" t="str">
        <x:f>IF(A2186="","",H137)</x:f>
        <x:v>19120</x:v>
      </x:c>
      <x:c r="F2186" s="1" t="n">
        <x:f>IF(ISNUMBER(K137),K137,"")</x:f>
        <x:v>652</x:v>
      </x:c>
      <x:c r="G2186" s="1" t="n">
        <x:f>IF(ISNUMBER(L137),L137,"")</x:f>
        <x:v>0.8157</x:v>
      </x:c>
      <x:c r="H2186" s="1" t="str">
        <x:f>IF(A2186="","",IF(AND(UPPER(G137)="PHILADELPHIA",OR(C2186="District",AND(C2186="Charter",D137="Yes"))),"Yes","No"))</x:f>
        <x:v>Yes</x:v>
      </x:c>
      <x:c r="I2186" s="1" t="n">
        <x:f>IF(OR(A2186="",COUNTIFS('Staff Review'!$A$8:$A$507,A2186)&lt;&gt;1),0,MATCH(A2186,'Staff Review'!$A$8:$A$507,0))</x:f>
        <x:v>301</x:v>
      </x:c>
      <x:c r="J2186" s="1" t="str">
        <x:f>IF(I2186=0,"No",IF(INDEX('Staff Review'!$C$8:$C$507,I2186)="Yes","Yes","No"))</x:f>
        <x:v>No</x:v>
      </x:c>
      <x:c r="K2186" s="1" t="n">
        <x:f>IF(AI2186="Yes",INDEX('Staff Review'!$D$8:$D$507,I2186),IF(AB2186=0,"",IF(COUNT(INDEX($C$1531:$C$2030,AB2186))=1,INDEX($C$1531:$C$2030,AB2186),"")))</x:f>
        <x:v>0.14388906543772775</x:v>
      </x:c>
      <x:c r="L2186" s="1" t="n">
        <x:f>IF(AJ2186="Yes",INDEX('Staff Review'!$F$8:$F$507,I2186),IF(AB2186=0,"",IF(COUNT(INDEX($G$1531:$G$2030,AB2186))=1,INDEX($G$1531:$G$2030,AB2186),"")))</x:f>
        <x:v>6</x:v>
      </x:c>
      <x:c r="M2186" s="1" t="str">
        <x:f>IF(A2186="","",IF(AI2186="Yes","Verified","Listed"))</x:f>
        <x:v>Listed</x:v>
      </x:c>
      <x:c r="N2186" s="1" t="str">
        <x:f>IF(A2186="","",IF(AJ2186="Yes","Verified","Listed"))</x:f>
        <x:v>Listed</x:v>
      </x:c>
      <x:c r="O2186" s="1" t="n">
        <x:f>IF(AND(ISNUMBER(G2186),G2186&gt;=0,G2186&lt;=1),IF(G2186&gt;=0.9,30,IF(G2186&gt;=0.8,25,IF(G2186&gt;=0.7,20,IF(G2186&gt;=0.6,15,IF(G2186&gt;=0.5,10,IF(G2186&gt;=0.4,5,0)))))),"")</x:f>
        <x:v>25</x:v>
      </x:c>
      <x:c r="P2186" s="1" t="n">
        <x:f>IF(ISNUMBER(K2186),IF(K2186&lt;0,"",IF(K2186&gt;1,25,IF(K2186&gt;=0.75,20,IF(K2186&gt;=0.5,15,IF(K2186&gt;=0.25,10,5))))),"")</x:f>
        <x:v>5</x:v>
      </x:c>
      <x:c r="Q2186" s="1" t="n">
        <x:f>IF(NOT(ISNUMBER(L2186)),"",IF(AND(L2186&gt;=0,MOD(L2186,1)=0),MAX(0,25-5*L2186),""))</x:f>
        <x:v>0</x:v>
      </x:c>
      <x:c r="R2186" s="1" t="n">
        <x:f>IF(NOT(ISNUMBER(F2186)),"",IF(AND(F2186&gt;0,MOD(F2186,1)=0),IF(F2186&gt;=700,5,IF(F2186&gt;=500,4,IF(F2186&gt;=350,3,IF(F2186&gt;=200,2,1)))),""))</x:f>
        <x:v>4</x:v>
      </x:c>
      <x:c r="S2186" s="1" t="n">
        <x:f>IF(COUNT(O2186:R2186)=4,SUM(O2186:R2186),"")</x:f>
        <x:v>34</x:v>
      </x:c>
      <x:c r="T2186" s="1" t="n">
        <x:f>IF(OR(COUNT(O2186:R2186)&lt;&gt;4,COUNT('Top 15'!$B$35:$E$35)&lt;&gt;4,MIN('Top 15'!$B$35:$E$35)&lt;0,SUM('Top 15'!$B$35:$E$35)&lt;=0),"",ROUND(85*(O2186/30*'Top 15'!$B$35+P2186/25*'Top 15'!$C$35+Q2186/25*'Top 15'!$D$35+R2186/5*'Top 15'!$E$35)/SUM('Top 15'!$B$35:$E$35),6))</x:f>
        <x:v>34</x:v>
      </x:c>
      <x:c r="U2186" s="1" t="str">
        <x:f>IF(A2186="","",IF(AND(M2186="Verified",N2186="Verified"),"Verified",IF(AND(M2186="Listed",N2186="Listed"),"Listed","Mixed")))</x:f>
        <x:v>Listed</x:v>
      </x:c>
      <x:c r="V2186" s="1" t="str">
        <x:f>IF(A2186="","",IF(AK2186&lt;&gt;1,"Duplicate source ID",IF(COUNTIFS('Staff Review'!$A$8:$A$507,A2186)&gt;1,"Duplicate review ID",IF(H2186&lt;&gt;"Yes","Outside scope",IF(J2186="Yes","Already served",IF(NOT(ISNUMBER(T2186)),"Missing data","Candidate"))))))</x:f>
        <x:v>Candidate</x:v>
      </x:c>
      <x:c r="W2186" s="1" t="n">
        <x:f>IF(AL2186=0,"",1+COUNTIFS($AL$2051:$AL$2550,1,$T$2051:$T$2550,"&gt;"&amp;T2186)+COUNTIFS($AL$2051:$AL$2550,1,$T$2051:$T$2550,T2186,$G$2051:$G$2550,"&gt;"&amp;G2186)+COUNTIFS($AL$2051:$AL$2550,1,$T$2051:$T$2550,T2186,$G$2051:$G$2550,G2186,$F$2051:$F$2550,"&gt;"&amp;F2186)+COUNTIFS($AL$2051:$AL$2550,1,$T$2051:$T$2550,T2186,$G$2051:$G$2550,G2186,$F$2051:$F$2550,F2186,$AM$2051:$AM$2550,"&lt;"&amp;AM2186))</x:f>
        <x:v>227</x:v>
      </x:c>
      <x:c r="X2186" s="1" t="n">
        <x:f>IF(AL2186=0,"",1+COUNTIFS($AL$2051:$AL$2550,1,$T$2051:$T$2550,"&gt;"&amp;T2186))</x:f>
        <x:v>221</x:v>
      </x:c>
      <x:c r="Y2186" s="1" t="n">
        <x:f>IF(AND(H2186="Yes",OR(LEN('School Search'!$B$5)=0,ISNUMBER(SEARCH('School Search'!$B$5,B2186&amp;" "&amp;E2186&amp;" "&amp;A2186))),OR('School Search'!$D$5="All",C2186='School Search'!$D$5),OR('School Search'!$G$5="All eligible",AND('School Search'!$G$5="Not marked served",J2186&lt;&gt;"Yes"),AND('School Search'!$G$5="Missing data",V2186="Missing data"),AND('School Search'!$G$5="Marked served",J2186="Yes"))),1,0)</x:f>
        <x:v>1</x:v>
      </x:c>
      <x:c r="Z2186" s="1" t="n">
        <x:f>IF(Y2186=0,"",COUNTIFS($Y$2051:$Y$2550,1,$AO$2051:$AO$2550,"&lt;"&amp;AO2186)+COUNTIFS($Y$2051:Y2186,1,$AO$2051:AO2186,AO2186))</x:f>
        <x:v>227</x:v>
      </x:c>
      <x:c r="AA2186" s="1" t="str">
        <x:f>IF(NOT(ISNUMBER(S2186)),"Missing demographic or access input",TEXT(G2186,"0%")&amp;" economic need; "&amp;TEXT(K2186,"0.00")&amp;" mi fresh access; "&amp;L2186&amp;" nearby resources")</x:f>
        <x:v>82% economic need; 0.14 mi fresh access; 6 nearby resources</x:v>
      </x:c>
      <x:c r="AB2186" s="1" t="n">
        <x:f>IF(OR(A2186="",COUNTIFS($A$1531:$A$2030,A2186)&lt;&gt;1),0,MATCH(A2186,$A$1531:$A$2030,0))</x:f>
        <x:v>136</x:v>
      </x:c>
      <x:c r="AC2186" s="1" t="str">
        <x:f>IF(AB2186=0,"",INDEX($E$1531:$E$2030,AB2186))</x:f>
        <x:v>722 Adams Meat Corp/Ideal Food Basket</x:v>
      </x:c>
      <x:c r="AD2186" s="1" t="str">
        <x:f>IF(AB2186=0,"",INDEX($F$1531:$F$2030,AB2186))</x:f>
        <x:v>722 Adams Ave, Philadelphia, PA, 19124</x:v>
      </x:c>
      <x:c r="AE2186" s="1" t="str">
        <x:f>IF(A2186="","",F137)</x:f>
        <x:v>5401 TABOR AVE</x:v>
      </x:c>
      <x:c r="AF2186" s="1" t="n">
        <x:f>IF(ISNUMBER(I137),I137,"")</x:f>
        <x:v>40.03404277</x:v>
      </x:c>
      <x:c r="AG2186" s="1" t="n">
        <x:f>IF(ISNUMBER(J137),J137,"")</x:f>
        <x:v>-75.10586492</x:v>
      </x:c>
      <x:c r="AH2186" s="1" t="str">
        <x:f>IF(I2186=0,"Not contacted",IF(INDEX('Staff Review'!$J$8:$J$507,I2186)="","Not contacted",INDEX('Staff Review'!$J$8:$J$507,I2186)))</x:f>
        <x:v>Not contacted</x:v>
      </x:c>
      <x:c r="AI2186" s="1" t="str">
        <x:f>IF(I2186=0,"No",IF(AND(COUNT(INDEX('Staff Review'!$D$8:$D$507,I2186))=1,INDEX('Staff Review'!$D$8:$D$507,I2186)&gt;=0,COUNT(INDEX('Staff Review'!$E$8:$E$507,I2186))=1,INDEX('Staff Review'!$E$8:$E$507,I2186)&gt;0,INDEX('Staff Review'!$E$8:$E$507,I2186)&lt;='Top 15'!$E$5,'Top 15'!$E$5-INDEX('Staff Review'!$E$8:$E$507,I2186)&lt;='Top 15'!$H$5,LEN(INDEX('Staff Review'!$H$8:$H$507,I2186))&gt;0),"Yes","No"))</x:f>
        <x:v>No</x:v>
      </x:c>
      <x:c r="AJ2186" s="1" t="str">
        <x:f>IF(I2186=0,"No",IF(COUNT(INDEX('Staff Review'!$F$8:$F$507,I2186))&lt;&gt;1,"No",IF(AND(INDEX('Staff Review'!$F$8:$F$507,I2186)&gt;=0,MOD(INDEX('Staff Review'!$F$8:$F$507,I2186),1)=0,COUNT(INDEX('Staff Review'!$G$8:$G$507,I2186))=1,INDEX('Staff Review'!$G$8:$G$507,I2186)&gt;0,INDEX('Staff Review'!$G$8:$G$507,I2186)&lt;='Top 15'!$E$5,'Top 15'!$E$5-INDEX('Staff Review'!$G$8:$G$507,I2186)&lt;='Top 15'!$H$5,LEN(INDEX('Staff Review'!$H$8:$H$507,I2186))&gt;0),"Yes","No")))</x:f>
        <x:v>No</x:v>
      </x:c>
      <x:c r="AK2186" s="1" t="n">
        <x:f>IF(A2186="",0,COUNTIFS($A$2:$A$501,A2186))</x:f>
        <x:v>1</x:v>
      </x:c>
      <x:c r="AL2186" s="1" t="n">
        <x:f>IF(V2186="Candidate",1,0)</x:f>
        <x:v>1</x:v>
      </x:c>
      <x:c r="AM2186" s="1" t="n">
        <x:f>IF(A2186="",0,VALUE(A2186))</x:f>
        <x:v>3421</x:v>
      </x:c>
      <x:c r="AN2186" s="1" t="n">
        <x:f>IF(OR(A2186="",COUNTIFS($T$41:$T$540,A2186)&lt;&gt;1),0,MATCH(A2186,$T$41:$T$540,0))</x:f>
        <x:v>136</x:v>
      </x:c>
      <x:c r="AO2186" t="n">
        <x:f>IF(ISNUMBER(W2186),W2186,10000+AM2186)</x:f>
        <x:v>227</x:v>
      </x:c>
    </x:row>
    <x:row r="2187" ht="22" customHeight="1">
      <x:c r="A2187" s="1" t="str">
        <x:f>IF(A138="","",A138)</x:f>
        <x:v>3422</x:v>
      </x:c>
      <x:c r="B2187" s="1" t="str">
        <x:f>IF(A2187="","",B138)</x:f>
        <x:v>The Philadelphia Charter School for Arts and Sciences</x:v>
      </x:c>
      <x:c r="C2187" s="1" t="str">
        <x:f>IF(A2187="","",C138)</x:f>
        <x:v>Charter</x:v>
      </x:c>
      <x:c r="D2187" s="1" t="str">
        <x:f>IF(A2187="","",E138)</x:f>
        <x:v>Elementary-Middle</x:v>
      </x:c>
      <x:c r="E2187" s="1" t="str">
        <x:f>IF(A2187="","",H138)</x:f>
        <x:v>19124</x:v>
      </x:c>
      <x:c r="F2187" s="1" t="n">
        <x:f>IF(ISNUMBER(K138),K138,"")</x:f>
        <x:v>837</x:v>
      </x:c>
      <x:c r="G2187" s="1" t="n">
        <x:f>IF(ISNUMBER(L138),L138,"")</x:f>
        <x:v>0.8432</x:v>
      </x:c>
      <x:c r="H2187" s="1" t="str">
        <x:f>IF(A2187="","",IF(AND(UPPER(G138)="PHILADELPHIA",OR(C2187="District",AND(C2187="Charter",D138="Yes"))),"Yes","No"))</x:f>
        <x:v>Yes</x:v>
      </x:c>
      <x:c r="I2187" s="1" t="n">
        <x:f>IF(OR(A2187="",COUNTIFS('Staff Review'!$A$8:$A$507,A2187)&lt;&gt;1),0,MATCH(A2187,'Staff Review'!$A$8:$A$507,0))</x:f>
        <x:v>287</x:v>
      </x:c>
      <x:c r="J2187" s="1" t="str">
        <x:f>IF(I2187=0,"No",IF(INDEX('Staff Review'!$C$8:$C$507,I2187)="Yes","Yes","No"))</x:f>
        <x:v>No</x:v>
      </x:c>
      <x:c r="K2187" s="1" t="n">
        <x:f>IF(AI2187="Yes",INDEX('Staff Review'!$D$8:$D$507,I2187),IF(AB2187=0,"",IF(COUNT(INDEX($C$1531:$C$2030,AB2187))=1,INDEX($C$1531:$C$2030,AB2187),"")))</x:f>
        <x:v>0.5309457400886154</x:v>
      </x:c>
      <x:c r="L2187" s="1" t="n">
        <x:f>IF(AJ2187="Yes",INDEX('Staff Review'!$F$8:$F$507,I2187),IF(AB2187=0,"",IF(COUNT(INDEX($G$1531:$G$2030,AB2187))=1,INDEX($G$1531:$G$2030,AB2187),"")))</x:f>
        <x:v>7</x:v>
      </x:c>
      <x:c r="M2187" s="1" t="str">
        <x:f>IF(A2187="","",IF(AI2187="Yes","Verified","Listed"))</x:f>
        <x:v>Listed</x:v>
      </x:c>
      <x:c r="N2187" s="1" t="str">
        <x:f>IF(A2187="","",IF(AJ2187="Yes","Verified","Listed"))</x:f>
        <x:v>Listed</x:v>
      </x:c>
      <x:c r="O2187" s="1" t="n">
        <x:f>IF(AND(ISNUMBER(G2187),G2187&gt;=0,G2187&lt;=1),IF(G2187&gt;=0.9,30,IF(G2187&gt;=0.8,25,IF(G2187&gt;=0.7,20,IF(G2187&gt;=0.6,15,IF(G2187&gt;=0.5,10,IF(G2187&gt;=0.4,5,0)))))),"")</x:f>
        <x:v>25</x:v>
      </x:c>
      <x:c r="P2187" s="1" t="n">
        <x:f>IF(ISNUMBER(K2187),IF(K2187&lt;0,"",IF(K2187&gt;1,25,IF(K2187&gt;=0.75,20,IF(K2187&gt;=0.5,15,IF(K2187&gt;=0.25,10,5))))),"")</x:f>
        <x:v>15</x:v>
      </x:c>
      <x:c r="Q2187" s="1" t="n">
        <x:f>IF(NOT(ISNUMBER(L2187)),"",IF(AND(L2187&gt;=0,MOD(L2187,1)=0),MAX(0,25-5*L2187),""))</x:f>
        <x:v>0</x:v>
      </x:c>
      <x:c r="R2187" s="1" t="n">
        <x:f>IF(NOT(ISNUMBER(F2187)),"",IF(AND(F2187&gt;0,MOD(F2187,1)=0),IF(F2187&gt;=700,5,IF(F2187&gt;=500,4,IF(F2187&gt;=350,3,IF(F2187&gt;=200,2,1)))),""))</x:f>
        <x:v>5</x:v>
      </x:c>
      <x:c r="S2187" s="1" t="n">
        <x:f>IF(COUNT(O2187:R2187)=4,SUM(O2187:R2187),"")</x:f>
        <x:v>45</x:v>
      </x:c>
      <x:c r="T2187" s="1" t="n">
        <x:f>IF(OR(COUNT(O2187:R2187)&lt;&gt;4,COUNT('Top 15'!$B$35:$E$35)&lt;&gt;4,MIN('Top 15'!$B$35:$E$35)&lt;0,SUM('Top 15'!$B$35:$E$35)&lt;=0),"",ROUND(85*(O2187/30*'Top 15'!$B$35+P2187/25*'Top 15'!$C$35+Q2187/25*'Top 15'!$D$35+R2187/5*'Top 15'!$E$35)/SUM('Top 15'!$B$35:$E$35),6))</x:f>
        <x:v>45</x:v>
      </x:c>
      <x:c r="U2187" s="1" t="str">
        <x:f>IF(A2187="","",IF(AND(M2187="Verified",N2187="Verified"),"Verified",IF(AND(M2187="Listed",N2187="Listed"),"Listed","Mixed")))</x:f>
        <x:v>Listed</x:v>
      </x:c>
      <x:c r="V2187" s="1" t="str">
        <x:f>IF(A2187="","",IF(AK2187&lt;&gt;1,"Duplicate source ID",IF(COUNTIFS('Staff Review'!$A$8:$A$507,A2187)&gt;1,"Duplicate review ID",IF(H2187&lt;&gt;"Yes","Outside scope",IF(J2187="Yes","Already served",IF(NOT(ISNUMBER(T2187)),"Missing data","Candidate"))))))</x:f>
        <x:v>Candidate</x:v>
      </x:c>
      <x:c r="W2187" s="1" t="n">
        <x:f>IF(AL2187=0,"",1+COUNTIFS($AL$2051:$AL$2550,1,$T$2051:$T$2550,"&gt;"&amp;T2187)+COUNTIFS($AL$2051:$AL$2550,1,$T$2051:$T$2550,T2187,$G$2051:$G$2550,"&gt;"&amp;G2187)+COUNTIFS($AL$2051:$AL$2550,1,$T$2051:$T$2550,T2187,$G$2051:$G$2550,G2187,$F$2051:$F$2550,"&gt;"&amp;F2187)+COUNTIFS($AL$2051:$AL$2550,1,$T$2051:$T$2550,T2187,$G$2051:$G$2550,G2187,$F$2051:$F$2550,F2187,$AM$2051:$AM$2550,"&lt;"&amp;AM2187))</x:f>
        <x:v>75</x:v>
      </x:c>
      <x:c r="X2187" s="1" t="n">
        <x:f>IF(AL2187=0,"",1+COUNTIFS($AL$2051:$AL$2550,1,$T$2051:$T$2550,"&gt;"&amp;T2187))</x:f>
        <x:v>74</x:v>
      </x:c>
      <x:c r="Y2187" s="1" t="n">
        <x:f>IF(AND(H2187="Yes",OR(LEN('School Search'!$B$5)=0,ISNUMBER(SEARCH('School Search'!$B$5,B2187&amp;" "&amp;E2187&amp;" "&amp;A2187))),OR('School Search'!$D$5="All",C2187='School Search'!$D$5),OR('School Search'!$G$5="All eligible",AND('School Search'!$G$5="Not marked served",J2187&lt;&gt;"Yes"),AND('School Search'!$G$5="Missing data",V2187="Missing data"),AND('School Search'!$G$5="Marked served",J2187="Yes"))),1,0)</x:f>
        <x:v>1</x:v>
      </x:c>
      <x:c r="Z2187" s="1" t="n">
        <x:f>IF(Y2187=0,"",COUNTIFS($Y$2051:$Y$2550,1,$AO$2051:$AO$2550,"&lt;"&amp;AO2187)+COUNTIFS($Y$2051:Y2187,1,$AO$2051:AO2187,AO2187))</x:f>
        <x:v>75</x:v>
      </x:c>
      <x:c r="AA2187" s="1" t="str">
        <x:f>IF(NOT(ISNUMBER(S2187)),"Missing demographic or access input",TEXT(G2187,"0%")&amp;" economic need; "&amp;TEXT(K2187,"0.00")&amp;" mi fresh access; "&amp;L2187&amp;" nearby resources")</x:f>
        <x:v>84% economic need; 0.53 mi fresh access; 7 nearby resources</x:v>
      </x:c>
      <x:c r="AB2187" s="1" t="n">
        <x:f>IF(OR(A2187="",COUNTIFS($A$1531:$A$2030,A2187)&lt;&gt;1),0,MATCH(A2187,$A$1531:$A$2030,0))</x:f>
        <x:v>137</x:v>
      </x:c>
      <x:c r="AC2187" s="1" t="str">
        <x:f>IF(AB2187=0,"",INDEX($E$1531:$E$2030,AB2187))</x:f>
        <x:v>Cousins Grocery Market Inc.</x:v>
      </x:c>
      <x:c r="AD2187" s="1" t="str">
        <x:f>IF(AB2187=0,"",INDEX($F$1531:$F$2030,AB2187))</x:f>
        <x:v>1607 Bridge St, Philadelphia, PA, 19124</x:v>
      </x:c>
      <x:c r="AE2187" s="1" t="str">
        <x:f>IF(A2187="","",F138)</x:f>
        <x:v>1197 HAWORTH ST</x:v>
      </x:c>
      <x:c r="AF2187" s="1" t="n">
        <x:f>IF(ISNUMBER(I138),I138,"")</x:f>
        <x:v>40.02423246</x:v>
      </x:c>
      <x:c r="AG2187" s="1" t="n">
        <x:f>IF(ISNUMBER(J138),J138,"")</x:f>
        <x:v>-75.08599631</x:v>
      </x:c>
      <x:c r="AH2187" s="1" t="str">
        <x:f>IF(I2187=0,"Not contacted",IF(INDEX('Staff Review'!$J$8:$J$507,I2187)="","Not contacted",INDEX('Staff Review'!$J$8:$J$507,I2187)))</x:f>
        <x:v>Not contacted</x:v>
      </x:c>
      <x:c r="AI2187" s="1" t="str">
        <x:f>IF(I2187=0,"No",IF(AND(COUNT(INDEX('Staff Review'!$D$8:$D$507,I2187))=1,INDEX('Staff Review'!$D$8:$D$507,I2187)&gt;=0,COUNT(INDEX('Staff Review'!$E$8:$E$507,I2187))=1,INDEX('Staff Review'!$E$8:$E$507,I2187)&gt;0,INDEX('Staff Review'!$E$8:$E$507,I2187)&lt;='Top 15'!$E$5,'Top 15'!$E$5-INDEX('Staff Review'!$E$8:$E$507,I2187)&lt;='Top 15'!$H$5,LEN(INDEX('Staff Review'!$H$8:$H$507,I2187))&gt;0),"Yes","No"))</x:f>
        <x:v>No</x:v>
      </x:c>
      <x:c r="AJ2187" s="1" t="str">
        <x:f>IF(I2187=0,"No",IF(COUNT(INDEX('Staff Review'!$F$8:$F$507,I2187))&lt;&gt;1,"No",IF(AND(INDEX('Staff Review'!$F$8:$F$507,I2187)&gt;=0,MOD(INDEX('Staff Review'!$F$8:$F$507,I2187),1)=0,COUNT(INDEX('Staff Review'!$G$8:$G$507,I2187))=1,INDEX('Staff Review'!$G$8:$G$507,I2187)&gt;0,INDEX('Staff Review'!$G$8:$G$507,I2187)&lt;='Top 15'!$E$5,'Top 15'!$E$5-INDEX('Staff Review'!$G$8:$G$507,I2187)&lt;='Top 15'!$H$5,LEN(INDEX('Staff Review'!$H$8:$H$507,I2187))&gt;0),"Yes","No")))</x:f>
        <x:v>No</x:v>
      </x:c>
      <x:c r="AK2187" s="1" t="n">
        <x:f>IF(A2187="",0,COUNTIFS($A$2:$A$501,A2187))</x:f>
        <x:v>1</x:v>
      </x:c>
      <x:c r="AL2187" s="1" t="n">
        <x:f>IF(V2187="Candidate",1,0)</x:f>
        <x:v>1</x:v>
      </x:c>
      <x:c r="AM2187" s="1" t="n">
        <x:f>IF(A2187="",0,VALUE(A2187))</x:f>
        <x:v>3422</x:v>
      </x:c>
      <x:c r="AN2187" s="1" t="n">
        <x:f>IF(OR(A2187="",COUNTIFS($T$41:$T$540,A2187)&lt;&gt;1),0,MATCH(A2187,$T$41:$T$540,0))</x:f>
        <x:v>137</x:v>
      </x:c>
      <x:c r="AO2187" t="n">
        <x:f>IF(ISNUMBER(W2187),W2187,10000+AM2187)</x:f>
        <x:v>75</x:v>
      </x:c>
    </x:row>
    <x:row r="2188" ht="22" customHeight="1">
      <x:c r="A2188" s="1" t="str">
        <x:f>IF(A139="","",A139)</x:f>
        <x:v>3424</x:v>
      </x:c>
      <x:c r="B2188" s="1" t="str">
        <x:f>IF(A2188="","",B139)</x:f>
        <x:v>Universal Charter School at Alcorn</x:v>
      </x:c>
      <x:c r="C2188" s="1" t="str">
        <x:f>IF(A2188="","",C139)</x:f>
        <x:v>Charter</x:v>
      </x:c>
      <x:c r="D2188" s="1" t="str">
        <x:f>IF(A2188="","",E139)</x:f>
        <x:v>Elementary-Middle</x:v>
      </x:c>
      <x:c r="E2188" s="1" t="str">
        <x:f>IF(A2188="","",H139)</x:f>
        <x:v>19146</x:v>
      </x:c>
      <x:c r="F2188" s="1" t="n">
        <x:f>IF(ISNUMBER(K139),K139,"")</x:f>
        <x:v>473</x:v>
      </x:c>
      <x:c r="G2188" s="1" t="n">
        <x:f>IF(ISNUMBER(L139),L139,"")</x:f>
        <x:v>0.8322</x:v>
      </x:c>
      <x:c r="H2188" s="1" t="str">
        <x:f>IF(A2188="","",IF(AND(UPPER(G139)="PHILADELPHIA",OR(C2188="District",AND(C2188="Charter",D139="Yes"))),"Yes","No"))</x:f>
        <x:v>Yes</x:v>
      </x:c>
      <x:c r="I2188" s="1" t="n">
        <x:f>IF(OR(A2188="",COUNTIFS('Staff Review'!$A$8:$A$507,A2188)&lt;&gt;1),0,MATCH(A2188,'Staff Review'!$A$8:$A$507,0))</x:f>
        <x:v>299</x:v>
      </x:c>
      <x:c r="J2188" s="1" t="str">
        <x:f>IF(I2188=0,"No",IF(INDEX('Staff Review'!$C$8:$C$507,I2188)="Yes","Yes","No"))</x:f>
        <x:v>No</x:v>
      </x:c>
      <x:c r="K2188" s="1" t="n">
        <x:f>IF(AI2188="Yes",INDEX('Staff Review'!$D$8:$D$507,I2188),IF(AB2188=0,"",IF(COUNT(INDEX($C$1531:$C$2030,AB2188))=1,INDEX($C$1531:$C$2030,AB2188),"")))</x:f>
        <x:v>0.3274344983886211</x:v>
      </x:c>
      <x:c r="L2188" s="1" t="n">
        <x:f>IF(AJ2188="Yes",INDEX('Staff Review'!$F$8:$F$507,I2188),IF(AB2188=0,"",IF(COUNT(INDEX($G$1531:$G$2030,AB2188))=1,INDEX($G$1531:$G$2030,AB2188),"")))</x:f>
        <x:v>8</x:v>
      </x:c>
      <x:c r="M2188" s="1" t="str">
        <x:f>IF(A2188="","",IF(AI2188="Yes","Verified","Listed"))</x:f>
        <x:v>Listed</x:v>
      </x:c>
      <x:c r="N2188" s="1" t="str">
        <x:f>IF(A2188="","",IF(AJ2188="Yes","Verified","Listed"))</x:f>
        <x:v>Listed</x:v>
      </x:c>
      <x:c r="O2188" s="1" t="n">
        <x:f>IF(AND(ISNUMBER(G2188),G2188&gt;=0,G2188&lt;=1),IF(G2188&gt;=0.9,30,IF(G2188&gt;=0.8,25,IF(G2188&gt;=0.7,20,IF(G2188&gt;=0.6,15,IF(G2188&gt;=0.5,10,IF(G2188&gt;=0.4,5,0)))))),"")</x:f>
        <x:v>25</x:v>
      </x:c>
      <x:c r="P2188" s="1" t="n">
        <x:f>IF(ISNUMBER(K2188),IF(K2188&lt;0,"",IF(K2188&gt;1,25,IF(K2188&gt;=0.75,20,IF(K2188&gt;=0.5,15,IF(K2188&gt;=0.25,10,5))))),"")</x:f>
        <x:v>10</x:v>
      </x:c>
      <x:c r="Q2188" s="1" t="n">
        <x:f>IF(NOT(ISNUMBER(L2188)),"",IF(AND(L2188&gt;=0,MOD(L2188,1)=0),MAX(0,25-5*L2188),""))</x:f>
        <x:v>0</x:v>
      </x:c>
      <x:c r="R2188" s="1" t="n">
        <x:f>IF(NOT(ISNUMBER(F2188)),"",IF(AND(F2188&gt;0,MOD(F2188,1)=0),IF(F2188&gt;=700,5,IF(F2188&gt;=500,4,IF(F2188&gt;=350,3,IF(F2188&gt;=200,2,1)))),""))</x:f>
        <x:v>3</x:v>
      </x:c>
      <x:c r="S2188" s="1" t="n">
        <x:f>IF(COUNT(O2188:R2188)=4,SUM(O2188:R2188),"")</x:f>
        <x:v>38</x:v>
      </x:c>
      <x:c r="T2188" s="1" t="n">
        <x:f>IF(OR(COUNT(O2188:R2188)&lt;&gt;4,COUNT('Top 15'!$B$35:$E$35)&lt;&gt;4,MIN('Top 15'!$B$35:$E$35)&lt;0,SUM('Top 15'!$B$35:$E$35)&lt;=0),"",ROUND(85*(O2188/30*'Top 15'!$B$35+P2188/25*'Top 15'!$C$35+Q2188/25*'Top 15'!$D$35+R2188/5*'Top 15'!$E$35)/SUM('Top 15'!$B$35:$E$35),6))</x:f>
        <x:v>38</x:v>
      </x:c>
      <x:c r="U2188" s="1" t="str">
        <x:f>IF(A2188="","",IF(AND(M2188="Verified",N2188="Verified"),"Verified",IF(AND(M2188="Listed",N2188="Listed"),"Listed","Mixed")))</x:f>
        <x:v>Listed</x:v>
      </x:c>
      <x:c r="V2188" s="1" t="str">
        <x:f>IF(A2188="","",IF(AK2188&lt;&gt;1,"Duplicate source ID",IF(COUNTIFS('Staff Review'!$A$8:$A$507,A2188)&gt;1,"Duplicate review ID",IF(H2188&lt;&gt;"Yes","Outside scope",IF(J2188="Yes","Already served",IF(NOT(ISNUMBER(T2188)),"Missing data","Candidate"))))))</x:f>
        <x:v>Candidate</x:v>
      </x:c>
      <x:c r="W2188" s="1" t="n">
        <x:f>IF(AL2188=0,"",1+COUNTIFS($AL$2051:$AL$2550,1,$T$2051:$T$2550,"&gt;"&amp;T2188)+COUNTIFS($AL$2051:$AL$2550,1,$T$2051:$T$2550,T2188,$G$2051:$G$2550,"&gt;"&amp;G2188)+COUNTIFS($AL$2051:$AL$2550,1,$T$2051:$T$2550,T2188,$G$2051:$G$2550,G2188,$F$2051:$F$2550,"&gt;"&amp;F2188)+COUNTIFS($AL$2051:$AL$2550,1,$T$2051:$T$2550,T2188,$G$2051:$G$2550,G2188,$F$2051:$F$2550,F2188,$AM$2051:$AM$2550,"&lt;"&amp;AM2188))</x:f>
        <x:v>176</x:v>
      </x:c>
      <x:c r="X2188" s="1" t="n">
        <x:f>IF(AL2188=0,"",1+COUNTIFS($AL$2051:$AL$2550,1,$T$2051:$T$2550,"&gt;"&amp;T2188))</x:f>
        <x:v>166</x:v>
      </x:c>
      <x:c r="Y2188" s="1" t="n">
        <x:f>IF(AND(H2188="Yes",OR(LEN('School Search'!$B$5)=0,ISNUMBER(SEARCH('School Search'!$B$5,B2188&amp;" "&amp;E2188&amp;" "&amp;A2188))),OR('School Search'!$D$5="All",C2188='School Search'!$D$5),OR('School Search'!$G$5="All eligible",AND('School Search'!$G$5="Not marked served",J2188&lt;&gt;"Yes"),AND('School Search'!$G$5="Missing data",V2188="Missing data"),AND('School Search'!$G$5="Marked served",J2188="Yes"))),1,0)</x:f>
        <x:v>1</x:v>
      </x:c>
      <x:c r="Z2188" s="1" t="n">
        <x:f>IF(Y2188=0,"",COUNTIFS($Y$2051:$Y$2550,1,$AO$2051:$AO$2550,"&lt;"&amp;AO2188)+COUNTIFS($Y$2051:Y2188,1,$AO$2051:AO2188,AO2188))</x:f>
        <x:v>176</x:v>
      </x:c>
      <x:c r="AA2188" s="1" t="str">
        <x:f>IF(NOT(ISNUMBER(S2188)),"Missing demographic or access input",TEXT(G2188,"0%")&amp;" economic need; "&amp;TEXT(K2188,"0.00")&amp;" mi fresh access; "&amp;L2188&amp;" nearby resources")</x:f>
        <x:v>83% economic need; 0.33 mi fresh access; 8 nearby resources</x:v>
      </x:c>
      <x:c r="AB2188" s="1" t="n">
        <x:f>IF(OR(A2188="",COUNTIFS($A$1531:$A$2030,A2188)&lt;&gt;1),0,MATCH(A2188,$A$1531:$A$2030,0))</x:f>
        <x:v>138</x:v>
      </x:c>
      <x:c r="AC2188" s="1" t="str">
        <x:f>IF(AB2188=0,"",INDEX($E$1531:$E$2030,AB2188))</x:f>
        <x:v>The Fresh Grocer Of Grays Ferry</x:v>
      </x:c>
      <x:c r="AD2188" s="1" t="str">
        <x:f>IF(AB2188=0,"",INDEX($F$1531:$F$2030,AB2188))</x:f>
        <x:v>3021 Grays Ferry Ave, Philadelphia, PA, 19146</x:v>
      </x:c>
      <x:c r="AE2188" s="1" t="str">
        <x:f>IF(A2188="","",F139)</x:f>
        <x:v>3200 DICKINSON ST</x:v>
      </x:c>
      <x:c r="AF2188" s="1" t="n">
        <x:f>IF(ISNUMBER(I139),I139,"")</x:f>
        <x:v>39.935499</x:v>
      </x:c>
      <x:c r="AG2188" s="1" t="n">
        <x:f>IF(ISNUMBER(J139),J139,"")</x:f>
        <x:v>-75.197771</x:v>
      </x:c>
      <x:c r="AH2188" s="1" t="str">
        <x:f>IF(I2188=0,"Not contacted",IF(INDEX('Staff Review'!$J$8:$J$507,I2188)="","Not contacted",INDEX('Staff Review'!$J$8:$J$507,I2188)))</x:f>
        <x:v>Not contacted</x:v>
      </x:c>
      <x:c r="AI2188" s="1" t="str">
        <x:f>IF(I2188=0,"No",IF(AND(COUNT(INDEX('Staff Review'!$D$8:$D$507,I2188))=1,INDEX('Staff Review'!$D$8:$D$507,I2188)&gt;=0,COUNT(INDEX('Staff Review'!$E$8:$E$507,I2188))=1,INDEX('Staff Review'!$E$8:$E$507,I2188)&gt;0,INDEX('Staff Review'!$E$8:$E$507,I2188)&lt;='Top 15'!$E$5,'Top 15'!$E$5-INDEX('Staff Review'!$E$8:$E$507,I2188)&lt;='Top 15'!$H$5,LEN(INDEX('Staff Review'!$H$8:$H$507,I2188))&gt;0),"Yes","No"))</x:f>
        <x:v>No</x:v>
      </x:c>
      <x:c r="AJ2188" s="1" t="str">
        <x:f>IF(I2188=0,"No",IF(COUNT(INDEX('Staff Review'!$F$8:$F$507,I2188))&lt;&gt;1,"No",IF(AND(INDEX('Staff Review'!$F$8:$F$507,I2188)&gt;=0,MOD(INDEX('Staff Review'!$F$8:$F$507,I2188),1)=0,COUNT(INDEX('Staff Review'!$G$8:$G$507,I2188))=1,INDEX('Staff Review'!$G$8:$G$507,I2188)&gt;0,INDEX('Staff Review'!$G$8:$G$507,I2188)&lt;='Top 15'!$E$5,'Top 15'!$E$5-INDEX('Staff Review'!$G$8:$G$507,I2188)&lt;='Top 15'!$H$5,LEN(INDEX('Staff Review'!$H$8:$H$507,I2188))&gt;0),"Yes","No")))</x:f>
        <x:v>No</x:v>
      </x:c>
      <x:c r="AK2188" s="1" t="n">
        <x:f>IF(A2188="",0,COUNTIFS($A$2:$A$501,A2188))</x:f>
        <x:v>1</x:v>
      </x:c>
      <x:c r="AL2188" s="1" t="n">
        <x:f>IF(V2188="Candidate",1,0)</x:f>
        <x:v>1</x:v>
      </x:c>
      <x:c r="AM2188" s="1" t="n">
        <x:f>IF(A2188="",0,VALUE(A2188))</x:f>
        <x:v>3424</x:v>
      </x:c>
      <x:c r="AN2188" s="1" t="n">
        <x:f>IF(OR(A2188="",COUNTIFS($T$41:$T$540,A2188)&lt;&gt;1),0,MATCH(A2188,$T$41:$T$540,0))</x:f>
        <x:v>138</x:v>
      </x:c>
      <x:c r="AO2188" t="n">
        <x:f>IF(ISNUMBER(W2188),W2188,10000+AM2188)</x:f>
        <x:v>176</x:v>
      </x:c>
    </x:row>
    <x:row r="2189" ht="22" customHeight="1">
      <x:c r="A2189" s="1" t="str">
        <x:f>IF(A140="","",A140)</x:f>
        <x:v>3426</x:v>
      </x:c>
      <x:c r="B2189" s="1" t="str">
        <x:f>IF(A2189="","",B140)</x:f>
        <x:v>Mastery Charter School at Pastorius</x:v>
      </x:c>
      <x:c r="C2189" s="1" t="str">
        <x:f>IF(A2189="","",C140)</x:f>
        <x:v>Charter</x:v>
      </x:c>
      <x:c r="D2189" s="1" t="str">
        <x:f>IF(A2189="","",E140)</x:f>
        <x:v>Elementary-Middle</x:v>
      </x:c>
      <x:c r="E2189" s="1" t="str">
        <x:f>IF(A2189="","",H140)</x:f>
        <x:v>19138</x:v>
      </x:c>
      <x:c r="F2189" s="1" t="n">
        <x:f>IF(ISNUMBER(K140),K140,"")</x:f>
        <x:v>688</x:v>
      </x:c>
      <x:c r="G2189" s="1" t="n">
        <x:f>IF(ISNUMBER(L140),L140,"")</x:f>
        <x:v>0.8602</x:v>
      </x:c>
      <x:c r="H2189" s="1" t="str">
        <x:f>IF(A2189="","",IF(AND(UPPER(G140)="PHILADELPHIA",OR(C2189="District",AND(C2189="Charter",D140="Yes"))),"Yes","No"))</x:f>
        <x:v>No</x:v>
      </x:c>
      <x:c r="I2189" s="1" t="n">
        <x:f>IF(OR(A2189="",COUNTIFS('Staff Review'!$A$8:$A$507,A2189)&lt;&gt;1),0,MATCH(A2189,'Staff Review'!$A$8:$A$507,0))</x:f>
        <x:v>189</x:v>
      </x:c>
      <x:c r="J2189" s="1" t="str">
        <x:f>IF(I2189=0,"No",IF(INDEX('Staff Review'!$C$8:$C$507,I2189)="Yes","Yes","No"))</x:f>
        <x:v>No</x:v>
      </x:c>
      <x:c r="K2189" s="1" t="n">
        <x:f>IF(AI2189="Yes",INDEX('Staff Review'!$D$8:$D$507,I2189),IF(AB2189=0,"",IF(COUNT(INDEX($C$1531:$C$2030,AB2189))=1,INDEX($C$1531:$C$2030,AB2189),"")))</x:f>
        <x:v>0.4645217783625057</x:v>
      </x:c>
      <x:c r="L2189" s="1" t="n">
        <x:f>IF(AJ2189="Yes",INDEX('Staff Review'!$F$8:$F$507,I2189),IF(AB2189=0,"",IF(COUNT(INDEX($G$1531:$G$2030,AB2189))=1,INDEX($G$1531:$G$2030,AB2189),"")))</x:f>
        <x:v>17</x:v>
      </x:c>
      <x:c r="M2189" s="1" t="str">
        <x:f>IF(A2189="","",IF(AI2189="Yes","Verified","Listed"))</x:f>
        <x:v>Listed</x:v>
      </x:c>
      <x:c r="N2189" s="1" t="str">
        <x:f>IF(A2189="","",IF(AJ2189="Yes","Verified","Listed"))</x:f>
        <x:v>Listed</x:v>
      </x:c>
      <x:c r="O2189" s="1" t="n">
        <x:f>IF(AND(ISNUMBER(G2189),G2189&gt;=0,G2189&lt;=1),IF(G2189&gt;=0.9,30,IF(G2189&gt;=0.8,25,IF(G2189&gt;=0.7,20,IF(G2189&gt;=0.6,15,IF(G2189&gt;=0.5,10,IF(G2189&gt;=0.4,5,0)))))),"")</x:f>
        <x:v>25</x:v>
      </x:c>
      <x:c r="P2189" s="1" t="n">
        <x:f>IF(ISNUMBER(K2189),IF(K2189&lt;0,"",IF(K2189&gt;1,25,IF(K2189&gt;=0.75,20,IF(K2189&gt;=0.5,15,IF(K2189&gt;=0.25,10,5))))),"")</x:f>
        <x:v>10</x:v>
      </x:c>
      <x:c r="Q2189" s="1" t="n">
        <x:f>IF(NOT(ISNUMBER(L2189)),"",IF(AND(L2189&gt;=0,MOD(L2189,1)=0),MAX(0,25-5*L2189),""))</x:f>
        <x:v>0</x:v>
      </x:c>
      <x:c r="R2189" s="1" t="n">
        <x:f>IF(NOT(ISNUMBER(F2189)),"",IF(AND(F2189&gt;0,MOD(F2189,1)=0),IF(F2189&gt;=700,5,IF(F2189&gt;=500,4,IF(F2189&gt;=350,3,IF(F2189&gt;=200,2,1)))),""))</x:f>
        <x:v>4</x:v>
      </x:c>
      <x:c r="S2189" s="1" t="n">
        <x:f>IF(COUNT(O2189:R2189)=4,SUM(O2189:R2189),"")</x:f>
        <x:v>39</x:v>
      </x:c>
      <x:c r="T2189" s="1" t="n">
        <x:f>IF(OR(COUNT(O2189:R2189)&lt;&gt;4,COUNT('Top 15'!$B$35:$E$35)&lt;&gt;4,MIN('Top 15'!$B$35:$E$35)&lt;0,SUM('Top 15'!$B$35:$E$35)&lt;=0),"",ROUND(85*(O2189/30*'Top 15'!$B$35+P2189/25*'Top 15'!$C$35+Q2189/25*'Top 15'!$D$35+R2189/5*'Top 15'!$E$35)/SUM('Top 15'!$B$35:$E$35),6))</x:f>
        <x:v>39</x:v>
      </x:c>
      <x:c r="U2189" s="1" t="str">
        <x:f>IF(A2189="","",IF(AND(M2189="Verified",N2189="Verified"),"Verified",IF(AND(M2189="Listed",N2189="Listed"),"Listed","Mixed")))</x:f>
        <x:v>Listed</x:v>
      </x:c>
      <x:c r="V2189" s="1" t="str">
        <x:f>IF(A2189="","",IF(AK2189&lt;&gt;1,"Duplicate source ID",IF(COUNTIFS('Staff Review'!$A$8:$A$507,A2189)&gt;1,"Duplicate review ID",IF(H2189&lt;&gt;"Yes","Outside scope",IF(J2189="Yes","Already served",IF(NOT(ISNUMBER(T2189)),"Missing data","Candidate"))))))</x:f>
        <x:v>Outside scope</x:v>
      </x:c>
      <x:c r="W2189" s="1" t="str">
        <x:f>IF(AL2189=0,"",1+COUNTIFS($AL$2051:$AL$2550,1,$T$2051:$T$2550,"&gt;"&amp;T2189)+COUNTIFS($AL$2051:$AL$2550,1,$T$2051:$T$2550,T2189,$G$2051:$G$2550,"&gt;"&amp;G2189)+COUNTIFS($AL$2051:$AL$2550,1,$T$2051:$T$2550,T2189,$G$2051:$G$2550,G2189,$F$2051:$F$2550,"&gt;"&amp;F2189)+COUNTIFS($AL$2051:$AL$2550,1,$T$2051:$T$2550,T2189,$G$2051:$G$2550,G2189,$F$2051:$F$2550,F2189,$AM$2051:$AM$2550,"&lt;"&amp;AM2189))</x:f>
      </x:c>
      <x:c r="X2189" s="1" t="str">
        <x:f>IF(AL2189=0,"",1+COUNTIFS($AL$2051:$AL$2550,1,$T$2051:$T$2550,"&gt;"&amp;T2189))</x:f>
      </x:c>
      <x:c r="Y2189" s="1" t="n">
        <x:f>IF(AND(H2189="Yes",OR(LEN('School Search'!$B$5)=0,ISNUMBER(SEARCH('School Search'!$B$5,B2189&amp;" "&amp;E2189&amp;" "&amp;A2189))),OR('School Search'!$D$5="All",C2189='School Search'!$D$5),OR('School Search'!$G$5="All eligible",AND('School Search'!$G$5="Not marked served",J2189&lt;&gt;"Yes"),AND('School Search'!$G$5="Missing data",V2189="Missing data"),AND('School Search'!$G$5="Marked served",J2189="Yes"))),1,0)</x:f>
        <x:v>0</x:v>
      </x:c>
      <x:c r="Z2189" s="1" t="str">
        <x:f>IF(Y2189=0,"",COUNTIFS($Y$2051:$Y$2550,1,$AO$2051:$AO$2550,"&lt;"&amp;AO2189)+COUNTIFS($Y$2051:Y2189,1,$AO$2051:AO2189,AO2189))</x:f>
      </x:c>
      <x:c r="AA2189" s="1" t="str">
        <x:f>IF(NOT(ISNUMBER(S2189)),"Missing demographic or access input",TEXT(G2189,"0%")&amp;" economic need; "&amp;TEXT(K2189,"0.00")&amp;" mi fresh access; "&amp;L2189&amp;" nearby resources")</x:f>
        <x:v>86% economic need; 0.46 mi fresh access; 17 nearby resources</x:v>
      </x:c>
      <x:c r="AB2189" s="1" t="n">
        <x:f>IF(OR(A2189="",COUNTIFS($A$1531:$A$2030,A2189)&lt;&gt;1),0,MATCH(A2189,$A$1531:$A$2030,0))</x:f>
        <x:v>139</x:v>
      </x:c>
      <x:c r="AC2189" s="1" t="str">
        <x:f>IF(AB2189=0,"",INDEX($E$1531:$E$2030,AB2189))</x:f>
        <x:v>THE FRESH GROCER</x:v>
      </x:c>
      <x:c r="AD2189" s="1" t="str">
        <x:f>IF(AB2189=0,"",INDEX($F$1531:$F$2030,AB2189))</x:f>
        <x:v>5301 Chew Ave, Philadelphia, PA, 19138</x:v>
      </x:c>
      <x:c r="AE2189" s="1" t="str">
        <x:f>IF(A2189="","",F140)</x:f>
        <x:v>5650 SPRAGUE ST</x:v>
      </x:c>
      <x:c r="AF2189" s="1" t="n">
        <x:f>IF(ISNUMBER(I140),I140,"")</x:f>
        <x:v>40.048208</x:v>
      </x:c>
      <x:c r="AG2189" s="1" t="n">
        <x:f>IF(ISNUMBER(J140),J140,"")</x:f>
        <x:v>-75.161424</x:v>
      </x:c>
      <x:c r="AH2189" s="1" t="str">
        <x:f>IF(I2189=0,"Not contacted",IF(INDEX('Staff Review'!$J$8:$J$507,I2189)="","Not contacted",INDEX('Staff Review'!$J$8:$J$507,I2189)))</x:f>
        <x:v>Not contacted</x:v>
      </x:c>
      <x:c r="AI2189" s="1" t="str">
        <x:f>IF(I2189=0,"No",IF(AND(COUNT(INDEX('Staff Review'!$D$8:$D$507,I2189))=1,INDEX('Staff Review'!$D$8:$D$507,I2189)&gt;=0,COUNT(INDEX('Staff Review'!$E$8:$E$507,I2189))=1,INDEX('Staff Review'!$E$8:$E$507,I2189)&gt;0,INDEX('Staff Review'!$E$8:$E$507,I2189)&lt;='Top 15'!$E$5,'Top 15'!$E$5-INDEX('Staff Review'!$E$8:$E$507,I2189)&lt;='Top 15'!$H$5,LEN(INDEX('Staff Review'!$H$8:$H$507,I2189))&gt;0),"Yes","No"))</x:f>
        <x:v>No</x:v>
      </x:c>
      <x:c r="AJ2189" s="1" t="str">
        <x:f>IF(I2189=0,"No",IF(COUNT(INDEX('Staff Review'!$F$8:$F$507,I2189))&lt;&gt;1,"No",IF(AND(INDEX('Staff Review'!$F$8:$F$507,I2189)&gt;=0,MOD(INDEX('Staff Review'!$F$8:$F$507,I2189),1)=0,COUNT(INDEX('Staff Review'!$G$8:$G$507,I2189))=1,INDEX('Staff Review'!$G$8:$G$507,I2189)&gt;0,INDEX('Staff Review'!$G$8:$G$507,I2189)&lt;='Top 15'!$E$5,'Top 15'!$E$5-INDEX('Staff Review'!$G$8:$G$507,I2189)&lt;='Top 15'!$H$5,LEN(INDEX('Staff Review'!$H$8:$H$507,I2189))&gt;0),"Yes","No")))</x:f>
        <x:v>No</x:v>
      </x:c>
      <x:c r="AK2189" s="1" t="n">
        <x:f>IF(A2189="",0,COUNTIFS($A$2:$A$501,A2189))</x:f>
        <x:v>1</x:v>
      </x:c>
      <x:c r="AL2189" s="1" t="n">
        <x:f>IF(V2189="Candidate",1,0)</x:f>
        <x:v>0</x:v>
      </x:c>
      <x:c r="AM2189" s="1" t="n">
        <x:f>IF(A2189="",0,VALUE(A2189))</x:f>
        <x:v>3426</x:v>
      </x:c>
      <x:c r="AN2189" s="1" t="n">
        <x:f>IF(OR(A2189="",COUNTIFS($T$41:$T$540,A2189)&lt;&gt;1),0,MATCH(A2189,$T$41:$T$540,0))</x:f>
        <x:v>139</x:v>
      </x:c>
      <x:c r="AO2189" t="n">
        <x:f>IF(ISNUMBER(W2189),W2189,10000+AM2189)</x:f>
        <x:v>13426</x:v>
      </x:c>
    </x:row>
    <x:row r="2190" ht="22" customHeight="1">
      <x:c r="A2190" s="1" t="str">
        <x:f>IF(A141="","",A141)</x:f>
        <x:v>3427</x:v>
      </x:c>
      <x:c r="B2190" s="1" t="str">
        <x:f>IF(A2190="","",B141)</x:f>
        <x:v>Mastery Charter School at Wister</x:v>
      </x:c>
      <x:c r="C2190" s="1" t="str">
        <x:f>IF(A2190="","",C141)</x:f>
        <x:v>Charter</x:v>
      </x:c>
      <x:c r="D2190" s="1" t="str">
        <x:f>IF(A2190="","",E141)</x:f>
        <x:v>Elementary</x:v>
      </x:c>
      <x:c r="E2190" s="1" t="str">
        <x:f>IF(A2190="","",H141)</x:f>
        <x:v>19144</x:v>
      </x:c>
      <x:c r="F2190" s="1" t="n">
        <x:f>IF(ISNUMBER(K141),K141,"")</x:f>
        <x:v>505</x:v>
      </x:c>
      <x:c r="G2190" s="1" t="n">
        <x:f>IF(ISNUMBER(L141),L141,"")</x:f>
        <x:v>0.998</x:v>
      </x:c>
      <x:c r="H2190" s="1" t="str">
        <x:f>IF(A2190="","",IF(AND(UPPER(G141)="PHILADELPHIA",OR(C2190="District",AND(C2190="Charter",D141="Yes"))),"Yes","No"))</x:f>
        <x:v>Yes</x:v>
      </x:c>
      <x:c r="I2190" s="1" t="n">
        <x:f>IF(OR(A2190="",COUNTIFS('Staff Review'!$A$8:$A$507,A2190)&lt;&gt;1),0,MATCH(A2190,'Staff Review'!$A$8:$A$507,0))</x:f>
        <x:v>194</x:v>
      </x:c>
      <x:c r="J2190" s="1" t="str">
        <x:f>IF(I2190=0,"No",IF(INDEX('Staff Review'!$C$8:$C$507,I2190)="Yes","Yes","No"))</x:f>
        <x:v>No</x:v>
      </x:c>
      <x:c r="K2190" s="1" t="n">
        <x:f>IF(AI2190="Yes",INDEX('Staff Review'!$D$8:$D$507,I2190),IF(AB2190=0,"",IF(COUNT(INDEX($C$1531:$C$2030,AB2190))=1,INDEX($C$1531:$C$2030,AB2190),"")))</x:f>
        <x:v>0.6254119000452193</x:v>
      </x:c>
      <x:c r="L2190" s="1" t="n">
        <x:f>IF(AJ2190="Yes",INDEX('Staff Review'!$F$8:$F$507,I2190),IF(AB2190=0,"",IF(COUNT(INDEX($G$1531:$G$2030,AB2190))=1,INDEX($G$1531:$G$2030,AB2190),"")))</x:f>
        <x:v>19</x:v>
      </x:c>
      <x:c r="M2190" s="1" t="str">
        <x:f>IF(A2190="","",IF(AI2190="Yes","Verified","Listed"))</x:f>
        <x:v>Listed</x:v>
      </x:c>
      <x:c r="N2190" s="1" t="str">
        <x:f>IF(A2190="","",IF(AJ2190="Yes","Verified","Listed"))</x:f>
        <x:v>Listed</x:v>
      </x:c>
      <x:c r="O2190" s="1" t="n">
        <x:f>IF(AND(ISNUMBER(G2190),G2190&gt;=0,G2190&lt;=1),IF(G2190&gt;=0.9,30,IF(G2190&gt;=0.8,25,IF(G2190&gt;=0.7,20,IF(G2190&gt;=0.6,15,IF(G2190&gt;=0.5,10,IF(G2190&gt;=0.4,5,0)))))),"")</x:f>
        <x:v>30</x:v>
      </x:c>
      <x:c r="P2190" s="1" t="n">
        <x:f>IF(ISNUMBER(K2190),IF(K2190&lt;0,"",IF(K2190&gt;1,25,IF(K2190&gt;=0.75,20,IF(K2190&gt;=0.5,15,IF(K2190&gt;=0.25,10,5))))),"")</x:f>
        <x:v>15</x:v>
      </x:c>
      <x:c r="Q2190" s="1" t="n">
        <x:f>IF(NOT(ISNUMBER(L2190)),"",IF(AND(L2190&gt;=0,MOD(L2190,1)=0),MAX(0,25-5*L2190),""))</x:f>
        <x:v>0</x:v>
      </x:c>
      <x:c r="R2190" s="1" t="n">
        <x:f>IF(NOT(ISNUMBER(F2190)),"",IF(AND(F2190&gt;0,MOD(F2190,1)=0),IF(F2190&gt;=700,5,IF(F2190&gt;=500,4,IF(F2190&gt;=350,3,IF(F2190&gt;=200,2,1)))),""))</x:f>
        <x:v>4</x:v>
      </x:c>
      <x:c r="S2190" s="1" t="n">
        <x:f>IF(COUNT(O2190:R2190)=4,SUM(O2190:R2190),"")</x:f>
        <x:v>49</x:v>
      </x:c>
      <x:c r="T2190" s="1" t="n">
        <x:f>IF(OR(COUNT(O2190:R2190)&lt;&gt;4,COUNT('Top 15'!$B$35:$E$35)&lt;&gt;4,MIN('Top 15'!$B$35:$E$35)&lt;0,SUM('Top 15'!$B$35:$E$35)&lt;=0),"",ROUND(85*(O2190/30*'Top 15'!$B$35+P2190/25*'Top 15'!$C$35+Q2190/25*'Top 15'!$D$35+R2190/5*'Top 15'!$E$35)/SUM('Top 15'!$B$35:$E$35),6))</x:f>
        <x:v>49</x:v>
      </x:c>
      <x:c r="U2190" s="1" t="str">
        <x:f>IF(A2190="","",IF(AND(M2190="Verified",N2190="Verified"),"Verified",IF(AND(M2190="Listed",N2190="Listed"),"Listed","Mixed")))</x:f>
        <x:v>Listed</x:v>
      </x:c>
      <x:c r="V2190" s="1" t="str">
        <x:f>IF(A2190="","",IF(AK2190&lt;&gt;1,"Duplicate source ID",IF(COUNTIFS('Staff Review'!$A$8:$A$507,A2190)&gt;1,"Duplicate review ID",IF(H2190&lt;&gt;"Yes","Outside scope",IF(J2190="Yes","Already served",IF(NOT(ISNUMBER(T2190)),"Missing data","Candidate"))))))</x:f>
        <x:v>Candidate</x:v>
      </x:c>
      <x:c r="W2190" s="1" t="n">
        <x:f>IF(AL2190=0,"",1+COUNTIFS($AL$2051:$AL$2550,1,$T$2051:$T$2550,"&gt;"&amp;T2190)+COUNTIFS($AL$2051:$AL$2550,1,$T$2051:$T$2550,T2190,$G$2051:$G$2550,"&gt;"&amp;G2190)+COUNTIFS($AL$2051:$AL$2550,1,$T$2051:$T$2550,T2190,$G$2051:$G$2550,G2190,$F$2051:$F$2550,"&gt;"&amp;F2190)+COUNTIFS($AL$2051:$AL$2550,1,$T$2051:$T$2550,T2190,$G$2051:$G$2550,G2190,$F$2051:$F$2550,F2190,$AM$2051:$AM$2550,"&lt;"&amp;AM2190))</x:f>
        <x:v>47</x:v>
      </x:c>
      <x:c r="X2190" s="1" t="n">
        <x:f>IF(AL2190=0,"",1+COUNTIFS($AL$2051:$AL$2550,1,$T$2051:$T$2550,"&gt;"&amp;T2190))</x:f>
        <x:v>46</x:v>
      </x:c>
      <x:c r="Y2190" s="1" t="n">
        <x:f>IF(AND(H2190="Yes",OR(LEN('School Search'!$B$5)=0,ISNUMBER(SEARCH('School Search'!$B$5,B2190&amp;" "&amp;E2190&amp;" "&amp;A2190))),OR('School Search'!$D$5="All",C2190='School Search'!$D$5),OR('School Search'!$G$5="All eligible",AND('School Search'!$G$5="Not marked served",J2190&lt;&gt;"Yes"),AND('School Search'!$G$5="Missing data",V2190="Missing data"),AND('School Search'!$G$5="Marked served",J2190="Yes"))),1,0)</x:f>
        <x:v>1</x:v>
      </x:c>
      <x:c r="Z2190" s="1" t="n">
        <x:f>IF(Y2190=0,"",COUNTIFS($Y$2051:$Y$2550,1,$AO$2051:$AO$2550,"&lt;"&amp;AO2190)+COUNTIFS($Y$2051:Y2190,1,$AO$2051:AO2190,AO2190))</x:f>
        <x:v>47</x:v>
      </x:c>
      <x:c r="AA2190" s="1" t="str">
        <x:f>IF(NOT(ISNUMBER(S2190)),"Missing demographic or access input",TEXT(G2190,"0%")&amp;" economic need; "&amp;TEXT(K2190,"0.00")&amp;" mi fresh access; "&amp;L2190&amp;" nearby resources")</x:f>
        <x:v>100% economic need; 0.63 mi fresh access; 19 nearby resources</x:v>
      </x:c>
      <x:c r="AB2190" s="1" t="n">
        <x:f>IF(OR(A2190="",COUNTIFS($A$1531:$A$2030,A2190)&lt;&gt;1),0,MATCH(A2190,$A$1531:$A$2030,0))</x:f>
        <x:v>140</x:v>
      </x:c>
      <x:c r="AC2190" s="1" t="str">
        <x:f>IF(AB2190=0,"",INDEX($E$1531:$E$2030,AB2190))</x:f>
        <x:v>Chelten Market Inc</x:v>
      </x:c>
      <x:c r="AD2190" s="1" t="str">
        <x:f>IF(AB2190=0,"",INDEX($F$1531:$F$2030,AB2190))</x:f>
        <x:v>176-82 W Chelten Ave, Philadelphia, PA, 19144</x:v>
      </x:c>
      <x:c r="AE2190" s="1" t="str">
        <x:f>IF(A2190="","",F141)</x:f>
        <x:v>67 E BRINGHURST ST</x:v>
      </x:c>
      <x:c r="AF2190" s="1" t="n">
        <x:f>IF(ISNUMBER(I141),I141,"")</x:f>
        <x:v>40.03288146</x:v>
      </x:c>
      <x:c r="AG2190" s="1" t="n">
        <x:f>IF(ISNUMBER(J141),J141,"")</x:f>
        <x:v>-75.16672063</x:v>
      </x:c>
      <x:c r="AH2190" s="1" t="str">
        <x:f>IF(I2190=0,"Not contacted",IF(INDEX('Staff Review'!$J$8:$J$507,I2190)="","Not contacted",INDEX('Staff Review'!$J$8:$J$507,I2190)))</x:f>
        <x:v>Not contacted</x:v>
      </x:c>
      <x:c r="AI2190" s="1" t="str">
        <x:f>IF(I2190=0,"No",IF(AND(COUNT(INDEX('Staff Review'!$D$8:$D$507,I2190))=1,INDEX('Staff Review'!$D$8:$D$507,I2190)&gt;=0,COUNT(INDEX('Staff Review'!$E$8:$E$507,I2190))=1,INDEX('Staff Review'!$E$8:$E$507,I2190)&gt;0,INDEX('Staff Review'!$E$8:$E$507,I2190)&lt;='Top 15'!$E$5,'Top 15'!$E$5-INDEX('Staff Review'!$E$8:$E$507,I2190)&lt;='Top 15'!$H$5,LEN(INDEX('Staff Review'!$H$8:$H$507,I2190))&gt;0),"Yes","No"))</x:f>
        <x:v>No</x:v>
      </x:c>
      <x:c r="AJ2190" s="1" t="str">
        <x:f>IF(I2190=0,"No",IF(COUNT(INDEX('Staff Review'!$F$8:$F$507,I2190))&lt;&gt;1,"No",IF(AND(INDEX('Staff Review'!$F$8:$F$507,I2190)&gt;=0,MOD(INDEX('Staff Review'!$F$8:$F$507,I2190),1)=0,COUNT(INDEX('Staff Review'!$G$8:$G$507,I2190))=1,INDEX('Staff Review'!$G$8:$G$507,I2190)&gt;0,INDEX('Staff Review'!$G$8:$G$507,I2190)&lt;='Top 15'!$E$5,'Top 15'!$E$5-INDEX('Staff Review'!$G$8:$G$507,I2190)&lt;='Top 15'!$H$5,LEN(INDEX('Staff Review'!$H$8:$H$507,I2190))&gt;0),"Yes","No")))</x:f>
        <x:v>No</x:v>
      </x:c>
      <x:c r="AK2190" s="1" t="n">
        <x:f>IF(A2190="",0,COUNTIFS($A$2:$A$501,A2190))</x:f>
        <x:v>1</x:v>
      </x:c>
      <x:c r="AL2190" s="1" t="n">
        <x:f>IF(V2190="Candidate",1,0)</x:f>
        <x:v>1</x:v>
      </x:c>
      <x:c r="AM2190" s="1" t="n">
        <x:f>IF(A2190="",0,VALUE(A2190))</x:f>
        <x:v>3427</x:v>
      </x:c>
      <x:c r="AN2190" s="1" t="n">
        <x:f>IF(OR(A2190="",COUNTIFS($T$41:$T$540,A2190)&lt;&gt;1),0,MATCH(A2190,$T$41:$T$540,0))</x:f>
        <x:v>140</x:v>
      </x:c>
      <x:c r="AO2190" t="n">
        <x:f>IF(ISNUMBER(W2190),W2190,10000+AM2190)</x:f>
        <x:v>47</x:v>
      </x:c>
    </x:row>
    <x:row r="2191" ht="22" customHeight="1">
      <x:c r="A2191" s="1" t="str">
        <x:f>IF(A142="","",A142)</x:f>
        <x:v>3428</x:v>
      </x:c>
      <x:c r="B2191" s="1" t="str">
        <x:f>IF(A2191="","",B142)</x:f>
        <x:v>Global Leadership Academy Charter School Southwest at Huey</x:v>
      </x:c>
      <x:c r="C2191" s="1" t="str">
        <x:f>IF(A2191="","",C142)</x:f>
        <x:v>Charter</x:v>
      </x:c>
      <x:c r="D2191" s="1" t="str">
        <x:f>IF(A2191="","",E142)</x:f>
        <x:v>Elementary-Middle</x:v>
      </x:c>
      <x:c r="E2191" s="1" t="str">
        <x:f>IF(A2191="","",H142)</x:f>
        <x:v>19143</x:v>
      </x:c>
      <x:c r="F2191" s="1" t="n">
        <x:f>IF(ISNUMBER(K142),K142,"")</x:f>
        <x:v>611</x:v>
      </x:c>
      <x:c r="G2191" s="1" t="n">
        <x:f>IF(ISNUMBER(L142),L142,"")</x:f>
        <x:v>0.825</x:v>
      </x:c>
      <x:c r="H2191" s="1" t="str">
        <x:f>IF(A2191="","",IF(AND(UPPER(G142)="PHILADELPHIA",OR(C2191="District",AND(C2191="Charter",D142="Yes"))),"Yes","No"))</x:f>
        <x:v>Yes</x:v>
      </x:c>
      <x:c r="I2191" s="1" t="n">
        <x:f>IF(OR(A2191="",COUNTIFS('Staff Review'!$A$8:$A$507,A2191)&lt;&gt;1),0,MATCH(A2191,'Staff Review'!$A$8:$A$507,0))</x:f>
        <x:v>101</x:v>
      </x:c>
      <x:c r="J2191" s="1" t="str">
        <x:f>IF(I2191=0,"No",IF(INDEX('Staff Review'!$C$8:$C$507,I2191)="Yes","Yes","No"))</x:f>
        <x:v>No</x:v>
      </x:c>
      <x:c r="K2191" s="1" t="n">
        <x:f>IF(AI2191="Yes",INDEX('Staff Review'!$D$8:$D$507,I2191),IF(AB2191=0,"",IF(COUNT(INDEX($C$1531:$C$2030,AB2191))=1,INDEX($C$1531:$C$2030,AB2191),"")))</x:f>
        <x:v>0.4443352670074507</x:v>
      </x:c>
      <x:c r="L2191" s="1" t="n">
        <x:f>IF(AJ2191="Yes",INDEX('Staff Review'!$F$8:$F$507,I2191),IF(AB2191=0,"",IF(COUNT(INDEX($G$1531:$G$2030,AB2191))=1,INDEX($G$1531:$G$2030,AB2191),"")))</x:f>
        <x:v>11</x:v>
      </x:c>
      <x:c r="M2191" s="1" t="str">
        <x:f>IF(A2191="","",IF(AI2191="Yes","Verified","Listed"))</x:f>
        <x:v>Listed</x:v>
      </x:c>
      <x:c r="N2191" s="1" t="str">
        <x:f>IF(A2191="","",IF(AJ2191="Yes","Verified","Listed"))</x:f>
        <x:v>Listed</x:v>
      </x:c>
      <x:c r="O2191" s="1" t="n">
        <x:f>IF(AND(ISNUMBER(G2191),G2191&gt;=0,G2191&lt;=1),IF(G2191&gt;=0.9,30,IF(G2191&gt;=0.8,25,IF(G2191&gt;=0.7,20,IF(G2191&gt;=0.6,15,IF(G2191&gt;=0.5,10,IF(G2191&gt;=0.4,5,0)))))),"")</x:f>
        <x:v>25</x:v>
      </x:c>
      <x:c r="P2191" s="1" t="n">
        <x:f>IF(ISNUMBER(K2191),IF(K2191&lt;0,"",IF(K2191&gt;1,25,IF(K2191&gt;=0.75,20,IF(K2191&gt;=0.5,15,IF(K2191&gt;=0.25,10,5))))),"")</x:f>
        <x:v>10</x:v>
      </x:c>
      <x:c r="Q2191" s="1" t="n">
        <x:f>IF(NOT(ISNUMBER(L2191)),"",IF(AND(L2191&gt;=0,MOD(L2191,1)=0),MAX(0,25-5*L2191),""))</x:f>
        <x:v>0</x:v>
      </x:c>
      <x:c r="R2191" s="1" t="n">
        <x:f>IF(NOT(ISNUMBER(F2191)),"",IF(AND(F2191&gt;0,MOD(F2191,1)=0),IF(F2191&gt;=700,5,IF(F2191&gt;=500,4,IF(F2191&gt;=350,3,IF(F2191&gt;=200,2,1)))),""))</x:f>
        <x:v>4</x:v>
      </x:c>
      <x:c r="S2191" s="1" t="n">
        <x:f>IF(COUNT(O2191:R2191)=4,SUM(O2191:R2191),"")</x:f>
        <x:v>39</x:v>
      </x:c>
      <x:c r="T2191" s="1" t="n">
        <x:f>IF(OR(COUNT(O2191:R2191)&lt;&gt;4,COUNT('Top 15'!$B$35:$E$35)&lt;&gt;4,MIN('Top 15'!$B$35:$E$35)&lt;0,SUM('Top 15'!$B$35:$E$35)&lt;=0),"",ROUND(85*(O2191/30*'Top 15'!$B$35+P2191/25*'Top 15'!$C$35+Q2191/25*'Top 15'!$D$35+R2191/5*'Top 15'!$E$35)/SUM('Top 15'!$B$35:$E$35),6))</x:f>
        <x:v>39</x:v>
      </x:c>
      <x:c r="U2191" s="1" t="str">
        <x:f>IF(A2191="","",IF(AND(M2191="Verified",N2191="Verified"),"Verified",IF(AND(M2191="Listed",N2191="Listed"),"Listed","Mixed")))</x:f>
        <x:v>Listed</x:v>
      </x:c>
      <x:c r="V2191" s="1" t="str">
        <x:f>IF(A2191="","",IF(AK2191&lt;&gt;1,"Duplicate source ID",IF(COUNTIFS('Staff Review'!$A$8:$A$507,A2191)&gt;1,"Duplicate review ID",IF(H2191&lt;&gt;"Yes","Outside scope",IF(J2191="Yes","Already served",IF(NOT(ISNUMBER(T2191)),"Missing data","Candidate"))))))</x:f>
        <x:v>Candidate</x:v>
      </x:c>
      <x:c r="W2191" s="1" t="n">
        <x:f>IF(AL2191=0,"",1+COUNTIFS($AL$2051:$AL$2550,1,$T$2051:$T$2550,"&gt;"&amp;T2191)+COUNTIFS($AL$2051:$AL$2550,1,$T$2051:$T$2550,T2191,$G$2051:$G$2550,"&gt;"&amp;G2191)+COUNTIFS($AL$2051:$AL$2550,1,$T$2051:$T$2550,T2191,$G$2051:$G$2550,G2191,$F$2051:$F$2550,"&gt;"&amp;F2191)+COUNTIFS($AL$2051:$AL$2550,1,$T$2051:$T$2550,T2191,$G$2051:$G$2550,G2191,$F$2051:$F$2550,F2191,$AM$2051:$AM$2550,"&lt;"&amp;AM2191))</x:f>
        <x:v>156</x:v>
      </x:c>
      <x:c r="X2191" s="1" t="n">
        <x:f>IF(AL2191=0,"",1+COUNTIFS($AL$2051:$AL$2550,1,$T$2051:$T$2550,"&gt;"&amp;T2191))</x:f>
        <x:v>148</x:v>
      </x:c>
      <x:c r="Y2191" s="1" t="n">
        <x:f>IF(AND(H2191="Yes",OR(LEN('School Search'!$B$5)=0,ISNUMBER(SEARCH('School Search'!$B$5,B2191&amp;" "&amp;E2191&amp;" "&amp;A2191))),OR('School Search'!$D$5="All",C2191='School Search'!$D$5),OR('School Search'!$G$5="All eligible",AND('School Search'!$G$5="Not marked served",J2191&lt;&gt;"Yes"),AND('School Search'!$G$5="Missing data",V2191="Missing data"),AND('School Search'!$G$5="Marked served",J2191="Yes"))),1,0)</x:f>
        <x:v>1</x:v>
      </x:c>
      <x:c r="Z2191" s="1" t="n">
        <x:f>IF(Y2191=0,"",COUNTIFS($Y$2051:$Y$2550,1,$AO$2051:$AO$2550,"&lt;"&amp;AO2191)+COUNTIFS($Y$2051:Y2191,1,$AO$2051:AO2191,AO2191))</x:f>
        <x:v>156</x:v>
      </x:c>
      <x:c r="AA2191" s="1" t="str">
        <x:f>IF(NOT(ISNUMBER(S2191)),"Missing demographic or access input",TEXT(G2191,"0%")&amp;" economic need; "&amp;TEXT(K2191,"0.00")&amp;" mi fresh access; "&amp;L2191&amp;" nearby resources")</x:f>
        <x:v>83% economic need; 0.44 mi fresh access; 11 nearby resources</x:v>
      </x:c>
      <x:c r="AB2191" s="1" t="n">
        <x:f>IF(OR(A2191="",COUNTIFS($A$1531:$A$2030,A2191)&lt;&gt;1),0,MATCH(A2191,$A$1531:$A$2030,0))</x:f>
        <x:v>141</x:v>
      </x:c>
      <x:c r="AC2191" s="1" t="str">
        <x:f>IF(AB2191=0,"",INDEX($E$1531:$E$2030,AB2191))</x:f>
        <x:v>Afor Market Philadelphia Llc</x:v>
      </x:c>
      <x:c r="AD2191" s="1" t="str">
        <x:f>IF(AB2191=0,"",INDEX($F$1531:$F$2030,AB2191))</x:f>
        <x:v>5228 Market St, Philadelphia, PA, 19139</x:v>
      </x:c>
      <x:c r="AE2191" s="1" t="str">
        <x:f>IF(A2191="","",F142)</x:f>
        <x:v>5200 PINE ST</x:v>
      </x:c>
      <x:c r="AF2191" s="1" t="n">
        <x:f>IF(ISNUMBER(I142),I142,"")</x:f>
        <x:v>39.95332691</x:v>
      </x:c>
      <x:c r="AG2191" s="1" t="n">
        <x:f>IF(ISNUMBER(J142),J142,"")</x:f>
        <x:v>-75.22685833</x:v>
      </x:c>
      <x:c r="AH2191" s="1" t="str">
        <x:f>IF(I2191=0,"Not contacted",IF(INDEX('Staff Review'!$J$8:$J$507,I2191)="","Not contacted",INDEX('Staff Review'!$J$8:$J$507,I2191)))</x:f>
        <x:v>Not contacted</x:v>
      </x:c>
      <x:c r="AI2191" s="1" t="str">
        <x:f>IF(I2191=0,"No",IF(AND(COUNT(INDEX('Staff Review'!$D$8:$D$507,I2191))=1,INDEX('Staff Review'!$D$8:$D$507,I2191)&gt;=0,COUNT(INDEX('Staff Review'!$E$8:$E$507,I2191))=1,INDEX('Staff Review'!$E$8:$E$507,I2191)&gt;0,INDEX('Staff Review'!$E$8:$E$507,I2191)&lt;='Top 15'!$E$5,'Top 15'!$E$5-INDEX('Staff Review'!$E$8:$E$507,I2191)&lt;='Top 15'!$H$5,LEN(INDEX('Staff Review'!$H$8:$H$507,I2191))&gt;0),"Yes","No"))</x:f>
        <x:v>No</x:v>
      </x:c>
      <x:c r="AJ2191" s="1" t="str">
        <x:f>IF(I2191=0,"No",IF(COUNT(INDEX('Staff Review'!$F$8:$F$507,I2191))&lt;&gt;1,"No",IF(AND(INDEX('Staff Review'!$F$8:$F$507,I2191)&gt;=0,MOD(INDEX('Staff Review'!$F$8:$F$507,I2191),1)=0,COUNT(INDEX('Staff Review'!$G$8:$G$507,I2191))=1,INDEX('Staff Review'!$G$8:$G$507,I2191)&gt;0,INDEX('Staff Review'!$G$8:$G$507,I2191)&lt;='Top 15'!$E$5,'Top 15'!$E$5-INDEX('Staff Review'!$G$8:$G$507,I2191)&lt;='Top 15'!$H$5,LEN(INDEX('Staff Review'!$H$8:$H$507,I2191))&gt;0),"Yes","No")))</x:f>
        <x:v>No</x:v>
      </x:c>
      <x:c r="AK2191" s="1" t="n">
        <x:f>IF(A2191="",0,COUNTIFS($A$2:$A$501,A2191))</x:f>
        <x:v>1</x:v>
      </x:c>
      <x:c r="AL2191" s="1" t="n">
        <x:f>IF(V2191="Candidate",1,0)</x:f>
        <x:v>1</x:v>
      </x:c>
      <x:c r="AM2191" s="1" t="n">
        <x:f>IF(A2191="",0,VALUE(A2191))</x:f>
        <x:v>3428</x:v>
      </x:c>
      <x:c r="AN2191" s="1" t="n">
        <x:f>IF(OR(A2191="",COUNTIFS($T$41:$T$540,A2191)&lt;&gt;1),0,MATCH(A2191,$T$41:$T$540,0))</x:f>
        <x:v>141</x:v>
      </x:c>
      <x:c r="AO2191" t="n">
        <x:f>IF(ISNUMBER(W2191),W2191,10000+AM2191)</x:f>
        <x:v>156</x:v>
      </x:c>
    </x:row>
    <x:row r="2192" ht="22" customHeight="1">
      <x:c r="A2192" s="1" t="str">
        <x:f>IF(A143="","",A143)</x:f>
        <x:v>3436</x:v>
      </x:c>
      <x:c r="B2192" s="1" t="str">
        <x:f>IF(A2192="","",B143)</x:f>
        <x:v>KIPP Octavius Catto Charter School</x:v>
      </x:c>
      <x:c r="C2192" s="1" t="str">
        <x:f>IF(A2192="","",C143)</x:f>
        <x:v>Charter</x:v>
      </x:c>
      <x:c r="D2192" s="1" t="str">
        <x:f>IF(A2192="","",E143)</x:f>
        <x:v>Elementary</x:v>
      </x:c>
      <x:c r="E2192" s="1" t="str">
        <x:f>IF(A2192="","",H143)</x:f>
        <x:v>19139</x:v>
      </x:c>
      <x:c r="F2192" s="1" t="n">
        <x:f>IF(ISNUMBER(K143),K143,"")</x:f>
        <x:v>476</x:v>
      </x:c>
      <x:c r="G2192" s="1" t="n">
        <x:f>IF(ISNUMBER(L143),L143,"")</x:f>
        <x:v>0.5635</x:v>
      </x:c>
      <x:c r="H2192" s="1" t="str">
        <x:f>IF(A2192="","",IF(AND(UPPER(G143)="PHILADELPHIA",OR(C2192="District",AND(C2192="Charter",D143="Yes"))),"Yes","No"))</x:f>
        <x:v>No</x:v>
      </x:c>
      <x:c r="I2192" s="1" t="n">
        <x:f>IF(OR(A2192="",COUNTIFS('Staff Review'!$A$8:$A$507,A2192)&lt;&gt;1),0,MATCH(A2192,'Staff Review'!$A$8:$A$507,0))</x:f>
        <x:v>163</x:v>
      </x:c>
      <x:c r="J2192" s="1" t="str">
        <x:f>IF(I2192=0,"No",IF(INDEX('Staff Review'!$C$8:$C$507,I2192)="Yes","Yes","No"))</x:f>
        <x:v>No</x:v>
      </x:c>
      <x:c r="K2192" s="1" t="n">
        <x:f>IF(AI2192="Yes",INDEX('Staff Review'!$D$8:$D$507,I2192),IF(AB2192=0,"",IF(COUNT(INDEX($C$1531:$C$2030,AB2192))=1,INDEX($C$1531:$C$2030,AB2192),"")))</x:f>
        <x:v>0.08897856392579075</x:v>
      </x:c>
      <x:c r="L2192" s="1" t="n">
        <x:f>IF(AJ2192="Yes",INDEX('Staff Review'!$F$8:$F$507,I2192),IF(AB2192=0,"",IF(COUNT(INDEX($G$1531:$G$2030,AB2192))=1,INDEX($G$1531:$G$2030,AB2192),"")))</x:f>
        <x:v>15</x:v>
      </x:c>
      <x:c r="M2192" s="1" t="str">
        <x:f>IF(A2192="","",IF(AI2192="Yes","Verified","Listed"))</x:f>
        <x:v>Listed</x:v>
      </x:c>
      <x:c r="N2192" s="1" t="str">
        <x:f>IF(A2192="","",IF(AJ2192="Yes","Verified","Listed"))</x:f>
        <x:v>Listed</x:v>
      </x:c>
      <x:c r="O2192" s="1" t="n">
        <x:f>IF(AND(ISNUMBER(G2192),G2192&gt;=0,G2192&lt;=1),IF(G2192&gt;=0.9,30,IF(G2192&gt;=0.8,25,IF(G2192&gt;=0.7,20,IF(G2192&gt;=0.6,15,IF(G2192&gt;=0.5,10,IF(G2192&gt;=0.4,5,0)))))),"")</x:f>
        <x:v>10</x:v>
      </x:c>
      <x:c r="P2192" s="1" t="n">
        <x:f>IF(ISNUMBER(K2192),IF(K2192&lt;0,"",IF(K2192&gt;1,25,IF(K2192&gt;=0.75,20,IF(K2192&gt;=0.5,15,IF(K2192&gt;=0.25,10,5))))),"")</x:f>
        <x:v>5</x:v>
      </x:c>
      <x:c r="Q2192" s="1" t="n">
        <x:f>IF(NOT(ISNUMBER(L2192)),"",IF(AND(L2192&gt;=0,MOD(L2192,1)=0),MAX(0,25-5*L2192),""))</x:f>
        <x:v>0</x:v>
      </x:c>
      <x:c r="R2192" s="1" t="n">
        <x:f>IF(NOT(ISNUMBER(F2192)),"",IF(AND(F2192&gt;0,MOD(F2192,1)=0),IF(F2192&gt;=700,5,IF(F2192&gt;=500,4,IF(F2192&gt;=350,3,IF(F2192&gt;=200,2,1)))),""))</x:f>
        <x:v>3</x:v>
      </x:c>
      <x:c r="S2192" s="1" t="n">
        <x:f>IF(COUNT(O2192:R2192)=4,SUM(O2192:R2192),"")</x:f>
        <x:v>18</x:v>
      </x:c>
      <x:c r="T2192" s="1" t="n">
        <x:f>IF(OR(COUNT(O2192:R2192)&lt;&gt;4,COUNT('Top 15'!$B$35:$E$35)&lt;&gt;4,MIN('Top 15'!$B$35:$E$35)&lt;0,SUM('Top 15'!$B$35:$E$35)&lt;=0),"",ROUND(85*(O2192/30*'Top 15'!$B$35+P2192/25*'Top 15'!$C$35+Q2192/25*'Top 15'!$D$35+R2192/5*'Top 15'!$E$35)/SUM('Top 15'!$B$35:$E$35),6))</x:f>
        <x:v>18</x:v>
      </x:c>
      <x:c r="U2192" s="1" t="str">
        <x:f>IF(A2192="","",IF(AND(M2192="Verified",N2192="Verified"),"Verified",IF(AND(M2192="Listed",N2192="Listed"),"Listed","Mixed")))</x:f>
        <x:v>Listed</x:v>
      </x:c>
      <x:c r="V2192" s="1" t="str">
        <x:f>IF(A2192="","",IF(AK2192&lt;&gt;1,"Duplicate source ID",IF(COUNTIFS('Staff Review'!$A$8:$A$507,A2192)&gt;1,"Duplicate review ID",IF(H2192&lt;&gt;"Yes","Outside scope",IF(J2192="Yes","Already served",IF(NOT(ISNUMBER(T2192)),"Missing data","Candidate"))))))</x:f>
        <x:v>Outside scope</x:v>
      </x:c>
      <x:c r="W2192" s="1" t="str">
        <x:f>IF(AL2192=0,"",1+COUNTIFS($AL$2051:$AL$2550,1,$T$2051:$T$2550,"&gt;"&amp;T2192)+COUNTIFS($AL$2051:$AL$2550,1,$T$2051:$T$2550,T2192,$G$2051:$G$2550,"&gt;"&amp;G2192)+COUNTIFS($AL$2051:$AL$2550,1,$T$2051:$T$2550,T2192,$G$2051:$G$2550,G2192,$F$2051:$F$2550,"&gt;"&amp;F2192)+COUNTIFS($AL$2051:$AL$2550,1,$T$2051:$T$2550,T2192,$G$2051:$G$2550,G2192,$F$2051:$F$2550,F2192,$AM$2051:$AM$2550,"&lt;"&amp;AM2192))</x:f>
      </x:c>
      <x:c r="X2192" s="1" t="str">
        <x:f>IF(AL2192=0,"",1+COUNTIFS($AL$2051:$AL$2550,1,$T$2051:$T$2550,"&gt;"&amp;T2192))</x:f>
      </x:c>
      <x:c r="Y2192" s="1" t="n">
        <x:f>IF(AND(H2192="Yes",OR(LEN('School Search'!$B$5)=0,ISNUMBER(SEARCH('School Search'!$B$5,B2192&amp;" "&amp;E2192&amp;" "&amp;A2192))),OR('School Search'!$D$5="All",C2192='School Search'!$D$5),OR('School Search'!$G$5="All eligible",AND('School Search'!$G$5="Not marked served",J2192&lt;&gt;"Yes"),AND('School Search'!$G$5="Missing data",V2192="Missing data"),AND('School Search'!$G$5="Marked served",J2192="Yes"))),1,0)</x:f>
        <x:v>0</x:v>
      </x:c>
      <x:c r="Z2192" s="1" t="str">
        <x:f>IF(Y2192=0,"",COUNTIFS($Y$2051:$Y$2550,1,$AO$2051:$AO$2550,"&lt;"&amp;AO2192)+COUNTIFS($Y$2051:Y2192,1,$AO$2051:AO2192,AO2192))</x:f>
      </x:c>
      <x:c r="AA2192" s="1" t="str">
        <x:f>IF(NOT(ISNUMBER(S2192)),"Missing demographic or access input",TEXT(G2192,"0%")&amp;" economic need; "&amp;TEXT(K2192,"0.00")&amp;" mi fresh access; "&amp;L2192&amp;" nearby resources")</x:f>
        <x:v>56% economic need; 0.09 mi fresh access; 15 nearby resources</x:v>
      </x:c>
      <x:c r="AB2192" s="1" t="n">
        <x:f>IF(OR(A2192="",COUNTIFS($A$1531:$A$2030,A2192)&lt;&gt;1),0,MATCH(A2192,$A$1531:$A$2030,0))</x:f>
        <x:v>142</x:v>
      </x:c>
      <x:c r="AC2192" s="1" t="str">
        <x:f>IF(AB2192=0,"",INDEX($E$1531:$E$2030,AB2192))</x:f>
        <x:v>ALDI 54</x:v>
      </x:c>
      <x:c r="AD2192" s="1" t="str">
        <x:f>IF(AB2192=0,"",INDEX($F$1531:$F$2030,AB2192))</x:f>
        <x:v>4421 Market St, Philadelphia, PA, 19104</x:v>
      </x:c>
      <x:c r="AE2192" s="1" t="str">
        <x:f>IF(A2192="","",F143)</x:f>
        <x:v>4601 MARKET ST</x:v>
      </x:c>
      <x:c r="AF2192" s="1" t="n">
        <x:f>IF(ISNUMBER(I143),I143,"")</x:f>
        <x:v>39.959724</x:v>
      </x:c>
      <x:c r="AG2192" s="1" t="n">
        <x:f>IF(ISNUMBER(J143),J143,"")</x:f>
        <x:v>-75.21459105</x:v>
      </x:c>
      <x:c r="AH2192" s="1" t="str">
        <x:f>IF(I2192=0,"Not contacted",IF(INDEX('Staff Review'!$J$8:$J$507,I2192)="","Not contacted",INDEX('Staff Review'!$J$8:$J$507,I2192)))</x:f>
        <x:v>Not contacted</x:v>
      </x:c>
      <x:c r="AI2192" s="1" t="str">
        <x:f>IF(I2192=0,"No",IF(AND(COUNT(INDEX('Staff Review'!$D$8:$D$507,I2192))=1,INDEX('Staff Review'!$D$8:$D$507,I2192)&gt;=0,COUNT(INDEX('Staff Review'!$E$8:$E$507,I2192))=1,INDEX('Staff Review'!$E$8:$E$507,I2192)&gt;0,INDEX('Staff Review'!$E$8:$E$507,I2192)&lt;='Top 15'!$E$5,'Top 15'!$E$5-INDEX('Staff Review'!$E$8:$E$507,I2192)&lt;='Top 15'!$H$5,LEN(INDEX('Staff Review'!$H$8:$H$507,I2192))&gt;0),"Yes","No"))</x:f>
        <x:v>No</x:v>
      </x:c>
      <x:c r="AJ2192" s="1" t="str">
        <x:f>IF(I2192=0,"No",IF(COUNT(INDEX('Staff Review'!$F$8:$F$507,I2192))&lt;&gt;1,"No",IF(AND(INDEX('Staff Review'!$F$8:$F$507,I2192)&gt;=0,MOD(INDEX('Staff Review'!$F$8:$F$507,I2192),1)=0,COUNT(INDEX('Staff Review'!$G$8:$G$507,I2192))=1,INDEX('Staff Review'!$G$8:$G$507,I2192)&gt;0,INDEX('Staff Review'!$G$8:$G$507,I2192)&lt;='Top 15'!$E$5,'Top 15'!$E$5-INDEX('Staff Review'!$G$8:$G$507,I2192)&lt;='Top 15'!$H$5,LEN(INDEX('Staff Review'!$H$8:$H$507,I2192))&gt;0),"Yes","No")))</x:f>
        <x:v>No</x:v>
      </x:c>
      <x:c r="AK2192" s="1" t="n">
        <x:f>IF(A2192="",0,COUNTIFS($A$2:$A$501,A2192))</x:f>
        <x:v>1</x:v>
      </x:c>
      <x:c r="AL2192" s="1" t="n">
        <x:f>IF(V2192="Candidate",1,0)</x:f>
        <x:v>0</x:v>
      </x:c>
      <x:c r="AM2192" s="1" t="n">
        <x:f>IF(A2192="",0,VALUE(A2192))</x:f>
        <x:v>3436</x:v>
      </x:c>
      <x:c r="AN2192" s="1" t="n">
        <x:f>IF(OR(A2192="",COUNTIFS($T$41:$T$540,A2192)&lt;&gt;1),0,MATCH(A2192,$T$41:$T$540,0))</x:f>
        <x:v>142</x:v>
      </x:c>
      <x:c r="AO2192" t="n">
        <x:f>IF(ISNUMBER(W2192),W2192,10000+AM2192)</x:f>
        <x:v>13436</x:v>
      </x:c>
    </x:row>
    <x:row r="2193" ht="22" customHeight="1">
      <x:c r="A2193" s="1" t="str">
        <x:f>IF(A144="","",A144)</x:f>
        <x:v>3437</x:v>
      </x:c>
      <x:c r="B2193" s="1" t="str">
        <x:f>IF(A2193="","",B144)</x:f>
        <x:v>KIPP North Philadelphia Charter School</x:v>
      </x:c>
      <x:c r="C2193" s="1" t="str">
        <x:f>IF(A2193="","",C144)</x:f>
        <x:v>Charter</x:v>
      </x:c>
      <x:c r="D2193" s="1" t="str">
        <x:f>IF(A2193="","",E144)</x:f>
        <x:v>Elementary</x:v>
      </x:c>
      <x:c r="E2193" s="1" t="str">
        <x:f>IF(A2193="","",H144)</x:f>
        <x:v>19132</x:v>
      </x:c>
      <x:c r="F2193" s="1" t="n">
        <x:f>IF(ISNUMBER(K144),K144,"")</x:f>
        <x:v>705</x:v>
      </x:c>
      <x:c r="G2193" s="1" t="n">
        <x:f>IF(ISNUMBER(L144),L144,"")</x:f>
        <x:v>0.5904</x:v>
      </x:c>
      <x:c r="H2193" s="1" t="str">
        <x:f>IF(A2193="","",IF(AND(UPPER(G144)="PHILADELPHIA",OR(C2193="District",AND(C2193="Charter",D144="Yes"))),"Yes","No"))</x:f>
        <x:v>Yes</x:v>
      </x:c>
      <x:c r="I2193" s="1" t="n">
        <x:f>IF(OR(A2193="",COUNTIFS('Staff Review'!$A$8:$A$507,A2193)&lt;&gt;1),0,MATCH(A2193,'Staff Review'!$A$8:$A$507,0))</x:f>
        <x:v>162</x:v>
      </x:c>
      <x:c r="J2193" s="1" t="str">
        <x:f>IF(I2193=0,"No",IF(INDEX('Staff Review'!$C$8:$C$507,I2193)="Yes","Yes","No"))</x:f>
        <x:v>No</x:v>
      </x:c>
      <x:c r="K2193" s="1" t="n">
        <x:f>IF(AI2193="Yes",INDEX('Staff Review'!$D$8:$D$507,I2193),IF(AB2193=0,"",IF(COUNT(INDEX($C$1531:$C$2030,AB2193))=1,INDEX($C$1531:$C$2030,AB2193),"")))</x:f>
        <x:v>0.47647430656461814</x:v>
      </x:c>
      <x:c r="L2193" s="1" t="n">
        <x:f>IF(AJ2193="Yes",INDEX('Staff Review'!$F$8:$F$507,I2193),IF(AB2193=0,"",IF(COUNT(INDEX($G$1531:$G$2030,AB2193))=1,INDEX($G$1531:$G$2030,AB2193),"")))</x:f>
        <x:v>16</x:v>
      </x:c>
      <x:c r="M2193" s="1" t="str">
        <x:f>IF(A2193="","",IF(AI2193="Yes","Verified","Listed"))</x:f>
        <x:v>Listed</x:v>
      </x:c>
      <x:c r="N2193" s="1" t="str">
        <x:f>IF(A2193="","",IF(AJ2193="Yes","Verified","Listed"))</x:f>
        <x:v>Listed</x:v>
      </x:c>
      <x:c r="O2193" s="1" t="n">
        <x:f>IF(AND(ISNUMBER(G2193),G2193&gt;=0,G2193&lt;=1),IF(G2193&gt;=0.9,30,IF(G2193&gt;=0.8,25,IF(G2193&gt;=0.7,20,IF(G2193&gt;=0.6,15,IF(G2193&gt;=0.5,10,IF(G2193&gt;=0.4,5,0)))))),"")</x:f>
        <x:v>10</x:v>
      </x:c>
      <x:c r="P2193" s="1" t="n">
        <x:f>IF(ISNUMBER(K2193),IF(K2193&lt;0,"",IF(K2193&gt;1,25,IF(K2193&gt;=0.75,20,IF(K2193&gt;=0.5,15,IF(K2193&gt;=0.25,10,5))))),"")</x:f>
        <x:v>10</x:v>
      </x:c>
      <x:c r="Q2193" s="1" t="n">
        <x:f>IF(NOT(ISNUMBER(L2193)),"",IF(AND(L2193&gt;=0,MOD(L2193,1)=0),MAX(0,25-5*L2193),""))</x:f>
        <x:v>0</x:v>
      </x:c>
      <x:c r="R2193" s="1" t="n">
        <x:f>IF(NOT(ISNUMBER(F2193)),"",IF(AND(F2193&gt;0,MOD(F2193,1)=0),IF(F2193&gt;=700,5,IF(F2193&gt;=500,4,IF(F2193&gt;=350,3,IF(F2193&gt;=200,2,1)))),""))</x:f>
        <x:v>5</x:v>
      </x:c>
      <x:c r="S2193" s="1" t="n">
        <x:f>IF(COUNT(O2193:R2193)=4,SUM(O2193:R2193),"")</x:f>
        <x:v>25</x:v>
      </x:c>
      <x:c r="T2193" s="1" t="n">
        <x:f>IF(OR(COUNT(O2193:R2193)&lt;&gt;4,COUNT('Top 15'!$B$35:$E$35)&lt;&gt;4,MIN('Top 15'!$B$35:$E$35)&lt;0,SUM('Top 15'!$B$35:$E$35)&lt;=0),"",ROUND(85*(O2193/30*'Top 15'!$B$35+P2193/25*'Top 15'!$C$35+Q2193/25*'Top 15'!$D$35+R2193/5*'Top 15'!$E$35)/SUM('Top 15'!$B$35:$E$35),6))</x:f>
        <x:v>25</x:v>
      </x:c>
      <x:c r="U2193" s="1" t="str">
        <x:f>IF(A2193="","",IF(AND(M2193="Verified",N2193="Verified"),"Verified",IF(AND(M2193="Listed",N2193="Listed"),"Listed","Mixed")))</x:f>
        <x:v>Listed</x:v>
      </x:c>
      <x:c r="V2193" s="1" t="str">
        <x:f>IF(A2193="","",IF(AK2193&lt;&gt;1,"Duplicate source ID",IF(COUNTIFS('Staff Review'!$A$8:$A$507,A2193)&gt;1,"Duplicate review ID",IF(H2193&lt;&gt;"Yes","Outside scope",IF(J2193="Yes","Already served",IF(NOT(ISNUMBER(T2193)),"Missing data","Candidate"))))))</x:f>
        <x:v>Candidate</x:v>
      </x:c>
      <x:c r="W2193" s="1" t="n">
        <x:f>IF(AL2193=0,"",1+COUNTIFS($AL$2051:$AL$2550,1,$T$2051:$T$2550,"&gt;"&amp;T2193)+COUNTIFS($AL$2051:$AL$2550,1,$T$2051:$T$2550,T2193,$G$2051:$G$2550,"&gt;"&amp;G2193)+COUNTIFS($AL$2051:$AL$2550,1,$T$2051:$T$2550,T2193,$G$2051:$G$2550,G2193,$F$2051:$F$2550,"&gt;"&amp;F2193)+COUNTIFS($AL$2051:$AL$2550,1,$T$2051:$T$2550,T2193,$G$2051:$G$2550,G2193,$F$2051:$F$2550,F2193,$AM$2051:$AM$2550,"&lt;"&amp;AM2193))</x:f>
        <x:v>271</x:v>
      </x:c>
      <x:c r="X2193" s="1" t="n">
        <x:f>IF(AL2193=0,"",1+COUNTIFS($AL$2051:$AL$2550,1,$T$2051:$T$2550,"&gt;"&amp;T2193))</x:f>
        <x:v>269</x:v>
      </x:c>
      <x:c r="Y2193" s="1" t="n">
        <x:f>IF(AND(H2193="Yes",OR(LEN('School Search'!$B$5)=0,ISNUMBER(SEARCH('School Search'!$B$5,B2193&amp;" "&amp;E2193&amp;" "&amp;A2193))),OR('School Search'!$D$5="All",C2193='School Search'!$D$5),OR('School Search'!$G$5="All eligible",AND('School Search'!$G$5="Not marked served",J2193&lt;&gt;"Yes"),AND('School Search'!$G$5="Missing data",V2193="Missing data"),AND('School Search'!$G$5="Marked served",J2193="Yes"))),1,0)</x:f>
        <x:v>1</x:v>
      </x:c>
      <x:c r="Z2193" s="1" t="n">
        <x:f>IF(Y2193=0,"",COUNTIFS($Y$2051:$Y$2550,1,$AO$2051:$AO$2550,"&lt;"&amp;AO2193)+COUNTIFS($Y$2051:Y2193,1,$AO$2051:AO2193,AO2193))</x:f>
        <x:v>271</x:v>
      </x:c>
      <x:c r="AA2193" s="1" t="str">
        <x:f>IF(NOT(ISNUMBER(S2193)),"Missing demographic or access input",TEXT(G2193,"0%")&amp;" economic need; "&amp;TEXT(K2193,"0.00")&amp;" mi fresh access; "&amp;L2193&amp;" nearby resources")</x:f>
        <x:v>59% economic need; 0.48 mi fresh access; 16 nearby resources</x:v>
      </x:c>
      <x:c r="AB2193" s="1" t="n">
        <x:f>IF(OR(A2193="",COUNTIFS($A$1531:$A$2030,A2193)&lt;&gt;1),0,MATCH(A2193,$A$1531:$A$2030,0))</x:f>
        <x:v>143</x:v>
      </x:c>
      <x:c r="AC2193" s="1" t="str">
        <x:f>IF(AB2193=0,"",INDEX($E$1531:$E$2030,AB2193))</x:f>
        <x:v>Save-A-Lot 60142</x:v>
      </x:c>
      <x:c r="AD2193" s="1" t="str">
        <x:f>IF(AB2193=0,"",INDEX($F$1531:$F$2030,AB2193))</x:f>
        <x:v>2101 W Lehigh Ave, Philadelphia, PA, 19132</x:v>
      </x:c>
      <x:c r="AE2193" s="1" t="str">
        <x:f>IF(A2193="","",F144)</x:f>
        <x:v>2539 N 16TH ST</x:v>
      </x:c>
      <x:c r="AF2193" s="1" t="n">
        <x:f>IF(ISNUMBER(I144),I144,"")</x:f>
        <x:v>39.99193</x:v>
      </x:c>
      <x:c r="AG2193" s="1" t="n">
        <x:f>IF(ISNUMBER(J144),J144,"")</x:f>
        <x:v>-75.158212</x:v>
      </x:c>
      <x:c r="AH2193" s="1" t="str">
        <x:f>IF(I2193=0,"Not contacted",IF(INDEX('Staff Review'!$J$8:$J$507,I2193)="","Not contacted",INDEX('Staff Review'!$J$8:$J$507,I2193)))</x:f>
        <x:v>Not contacted</x:v>
      </x:c>
      <x:c r="AI2193" s="1" t="str">
        <x:f>IF(I2193=0,"No",IF(AND(COUNT(INDEX('Staff Review'!$D$8:$D$507,I2193))=1,INDEX('Staff Review'!$D$8:$D$507,I2193)&gt;=0,COUNT(INDEX('Staff Review'!$E$8:$E$507,I2193))=1,INDEX('Staff Review'!$E$8:$E$507,I2193)&gt;0,INDEX('Staff Review'!$E$8:$E$507,I2193)&lt;='Top 15'!$E$5,'Top 15'!$E$5-INDEX('Staff Review'!$E$8:$E$507,I2193)&lt;='Top 15'!$H$5,LEN(INDEX('Staff Review'!$H$8:$H$507,I2193))&gt;0),"Yes","No"))</x:f>
        <x:v>No</x:v>
      </x:c>
      <x:c r="AJ2193" s="1" t="str">
        <x:f>IF(I2193=0,"No",IF(COUNT(INDEX('Staff Review'!$F$8:$F$507,I2193))&lt;&gt;1,"No",IF(AND(INDEX('Staff Review'!$F$8:$F$507,I2193)&gt;=0,MOD(INDEX('Staff Review'!$F$8:$F$507,I2193),1)=0,COUNT(INDEX('Staff Review'!$G$8:$G$507,I2193))=1,INDEX('Staff Review'!$G$8:$G$507,I2193)&gt;0,INDEX('Staff Review'!$G$8:$G$507,I2193)&lt;='Top 15'!$E$5,'Top 15'!$E$5-INDEX('Staff Review'!$G$8:$G$507,I2193)&lt;='Top 15'!$H$5,LEN(INDEX('Staff Review'!$H$8:$H$507,I2193))&gt;0),"Yes","No")))</x:f>
        <x:v>No</x:v>
      </x:c>
      <x:c r="AK2193" s="1" t="n">
        <x:f>IF(A2193="",0,COUNTIFS($A$2:$A$501,A2193))</x:f>
        <x:v>1</x:v>
      </x:c>
      <x:c r="AL2193" s="1" t="n">
        <x:f>IF(V2193="Candidate",1,0)</x:f>
        <x:v>1</x:v>
      </x:c>
      <x:c r="AM2193" s="1" t="n">
        <x:f>IF(A2193="",0,VALUE(A2193))</x:f>
        <x:v>3437</x:v>
      </x:c>
      <x:c r="AN2193" s="1" t="n">
        <x:f>IF(OR(A2193="",COUNTIFS($T$41:$T$540,A2193)&lt;&gt;1),0,MATCH(A2193,$T$41:$T$540,0))</x:f>
        <x:v>143</x:v>
      </x:c>
      <x:c r="AO2193" t="n">
        <x:f>IF(ISNUMBER(W2193),W2193,10000+AM2193)</x:f>
        <x:v>271</x:v>
      </x:c>
    </x:row>
    <x:row r="2194" ht="22" customHeight="1">
      <x:c r="A2194" s="1" t="str">
        <x:f>IF(A145="","",A145)</x:f>
        <x:v>3438</x:v>
      </x:c>
      <x:c r="B2194" s="1" t="str">
        <x:f>IF(A2194="","",B145)</x:f>
        <x:v>Deep Roots Charter School</x:v>
      </x:c>
      <x:c r="C2194" s="1" t="str">
        <x:f>IF(A2194="","",C145)</x:f>
        <x:v>Charter</x:v>
      </x:c>
      <x:c r="D2194" s="1" t="str">
        <x:f>IF(A2194="","",E145)</x:f>
        <x:v>Elementary</x:v>
      </x:c>
      <x:c r="E2194" s="1" t="str">
        <x:f>IF(A2194="","",H145)</x:f>
        <x:v>19134</x:v>
      </x:c>
      <x:c r="F2194" s="1" t="n">
        <x:f>IF(ISNUMBER(K145),K145,"")</x:f>
        <x:v>343</x:v>
      </x:c>
      <x:c r="G2194" s="1" t="n">
        <x:f>IF(ISNUMBER(L145),L145,"")</x:f>
        <x:v>0.9074</x:v>
      </x:c>
      <x:c r="H2194" s="1" t="str">
        <x:f>IF(A2194="","",IF(AND(UPPER(G145)="PHILADELPHIA",OR(C2194="District",AND(C2194="Charter",D145="Yes"))),"Yes","No"))</x:f>
        <x:v>Yes</x:v>
      </x:c>
      <x:c r="I2194" s="1" t="n">
        <x:f>IF(OR(A2194="",COUNTIFS('Staff Review'!$A$8:$A$507,A2194)&lt;&gt;1),0,MATCH(A2194,'Staff Review'!$A$8:$A$507,0))</x:f>
        <x:v>50</x:v>
      </x:c>
      <x:c r="J2194" s="1" t="str">
        <x:f>IF(I2194=0,"No",IF(INDEX('Staff Review'!$C$8:$C$507,I2194)="Yes","Yes","No"))</x:f>
        <x:v>No</x:v>
      </x:c>
      <x:c r="K2194" s="1" t="n">
        <x:f>IF(AI2194="Yes",INDEX('Staff Review'!$D$8:$D$507,I2194),IF(AB2194=0,"",IF(COUNT(INDEX($C$1531:$C$2030,AB2194))=1,INDEX($C$1531:$C$2030,AB2194),"")))</x:f>
        <x:v>0.36937979163708123</x:v>
      </x:c>
      <x:c r="L2194" s="1" t="n">
        <x:f>IF(AJ2194="Yes",INDEX('Staff Review'!$F$8:$F$507,I2194),IF(AB2194=0,"",IF(COUNT(INDEX($G$1531:$G$2030,AB2194))=1,INDEX($G$1531:$G$2030,AB2194),"")))</x:f>
        <x:v>7</x:v>
      </x:c>
      <x:c r="M2194" s="1" t="str">
        <x:f>IF(A2194="","",IF(AI2194="Yes","Verified","Listed"))</x:f>
        <x:v>Listed</x:v>
      </x:c>
      <x:c r="N2194" s="1" t="str">
        <x:f>IF(A2194="","",IF(AJ2194="Yes","Verified","Listed"))</x:f>
        <x:v>Listed</x:v>
      </x:c>
      <x:c r="O2194" s="1" t="n">
        <x:f>IF(AND(ISNUMBER(G2194),G2194&gt;=0,G2194&lt;=1),IF(G2194&gt;=0.9,30,IF(G2194&gt;=0.8,25,IF(G2194&gt;=0.7,20,IF(G2194&gt;=0.6,15,IF(G2194&gt;=0.5,10,IF(G2194&gt;=0.4,5,0)))))),"")</x:f>
        <x:v>30</x:v>
      </x:c>
      <x:c r="P2194" s="1" t="n">
        <x:f>IF(ISNUMBER(K2194),IF(K2194&lt;0,"",IF(K2194&gt;1,25,IF(K2194&gt;=0.75,20,IF(K2194&gt;=0.5,15,IF(K2194&gt;=0.25,10,5))))),"")</x:f>
        <x:v>10</x:v>
      </x:c>
      <x:c r="Q2194" s="1" t="n">
        <x:f>IF(NOT(ISNUMBER(L2194)),"",IF(AND(L2194&gt;=0,MOD(L2194,1)=0),MAX(0,25-5*L2194),""))</x:f>
        <x:v>0</x:v>
      </x:c>
      <x:c r="R2194" s="1" t="n">
        <x:f>IF(NOT(ISNUMBER(F2194)),"",IF(AND(F2194&gt;0,MOD(F2194,1)=0),IF(F2194&gt;=700,5,IF(F2194&gt;=500,4,IF(F2194&gt;=350,3,IF(F2194&gt;=200,2,1)))),""))</x:f>
        <x:v>2</x:v>
      </x:c>
      <x:c r="S2194" s="1" t="n">
        <x:f>IF(COUNT(O2194:R2194)=4,SUM(O2194:R2194),"")</x:f>
        <x:v>42</x:v>
      </x:c>
      <x:c r="T2194" s="1" t="n">
        <x:f>IF(OR(COUNT(O2194:R2194)&lt;&gt;4,COUNT('Top 15'!$B$35:$E$35)&lt;&gt;4,MIN('Top 15'!$B$35:$E$35)&lt;0,SUM('Top 15'!$B$35:$E$35)&lt;=0),"",ROUND(85*(O2194/30*'Top 15'!$B$35+P2194/25*'Top 15'!$C$35+Q2194/25*'Top 15'!$D$35+R2194/5*'Top 15'!$E$35)/SUM('Top 15'!$B$35:$E$35),6))</x:f>
        <x:v>42</x:v>
      </x:c>
      <x:c r="U2194" s="1" t="str">
        <x:f>IF(A2194="","",IF(AND(M2194="Verified",N2194="Verified"),"Verified",IF(AND(M2194="Listed",N2194="Listed"),"Listed","Mixed")))</x:f>
        <x:v>Listed</x:v>
      </x:c>
      <x:c r="V2194" s="1" t="str">
        <x:f>IF(A2194="","",IF(AK2194&lt;&gt;1,"Duplicate source ID",IF(COUNTIFS('Staff Review'!$A$8:$A$507,A2194)&gt;1,"Duplicate review ID",IF(H2194&lt;&gt;"Yes","Outside scope",IF(J2194="Yes","Already served",IF(NOT(ISNUMBER(T2194)),"Missing data","Candidate"))))))</x:f>
        <x:v>Candidate</x:v>
      </x:c>
      <x:c r="W2194" s="1" t="n">
        <x:f>IF(AL2194=0,"",1+COUNTIFS($AL$2051:$AL$2550,1,$T$2051:$T$2550,"&gt;"&amp;T2194)+COUNTIFS($AL$2051:$AL$2550,1,$T$2051:$T$2550,T2194,$G$2051:$G$2550,"&gt;"&amp;G2194)+COUNTIFS($AL$2051:$AL$2550,1,$T$2051:$T$2550,T2194,$G$2051:$G$2550,G2194,$F$2051:$F$2550,"&gt;"&amp;F2194)+COUNTIFS($AL$2051:$AL$2550,1,$T$2051:$T$2550,T2194,$G$2051:$G$2550,G2194,$F$2051:$F$2550,F2194,$AM$2051:$AM$2550,"&lt;"&amp;AM2194))</x:f>
        <x:v>108</x:v>
      </x:c>
      <x:c r="X2194" s="1" t="n">
        <x:f>IF(AL2194=0,"",1+COUNTIFS($AL$2051:$AL$2550,1,$T$2051:$T$2550,"&gt;"&amp;T2194))</x:f>
        <x:v>101</x:v>
      </x:c>
      <x:c r="Y2194" s="1" t="n">
        <x:f>IF(AND(H2194="Yes",OR(LEN('School Search'!$B$5)=0,ISNUMBER(SEARCH('School Search'!$B$5,B2194&amp;" "&amp;E2194&amp;" "&amp;A2194))),OR('School Search'!$D$5="All",C2194='School Search'!$D$5),OR('School Search'!$G$5="All eligible",AND('School Search'!$G$5="Not marked served",J2194&lt;&gt;"Yes"),AND('School Search'!$G$5="Missing data",V2194="Missing data"),AND('School Search'!$G$5="Marked served",J2194="Yes"))),1,0)</x:f>
        <x:v>1</x:v>
      </x:c>
      <x:c r="Z2194" s="1" t="n">
        <x:f>IF(Y2194=0,"",COUNTIFS($Y$2051:$Y$2550,1,$AO$2051:$AO$2550,"&lt;"&amp;AO2194)+COUNTIFS($Y$2051:Y2194,1,$AO$2051:AO2194,AO2194))</x:f>
        <x:v>108</x:v>
      </x:c>
      <x:c r="AA2194" s="1" t="str">
        <x:f>IF(NOT(ISNUMBER(S2194)),"Missing demographic or access input",TEXT(G2194,"0%")&amp;" economic need; "&amp;TEXT(K2194,"0.00")&amp;" mi fresh access; "&amp;L2194&amp;" nearby resources")</x:f>
        <x:v>91% economic need; 0.37 mi fresh access; 7 nearby resources</x:v>
      </x:c>
      <x:c r="AB2194" s="1" t="n">
        <x:f>IF(OR(A2194="",COUNTIFS($A$1531:$A$2030,A2194)&lt;&gt;1),0,MATCH(A2194,$A$1531:$A$2030,0))</x:f>
        <x:v>144</x:v>
      </x:c>
      <x:c r="AC2194" s="1" t="str">
        <x:f>IF(AB2194=0,"",INDEX($E$1531:$E$2030,AB2194))</x:f>
        <x:v>ALDI 60205</x:v>
      </x:c>
      <x:c r="AD2194" s="1" t="str">
        <x:f>IF(AB2194=0,"",INDEX($F$1531:$F$2030,AB2194))</x:f>
        <x:v>3500 Aramingo Ave, Philadelphia, PA, 19134</x:v>
      </x:c>
      <x:c r="AE2194" s="1" t="str">
        <x:f>IF(A2194="","",F145)</x:f>
        <x:v>3556 FRANKFORD AVE</x:v>
      </x:c>
      <x:c r="AF2194" s="1" t="n">
        <x:f>IF(ISNUMBER(I145),I145,"")</x:f>
        <x:v>39.998066</x:v>
      </x:c>
      <x:c r="AG2194" s="1" t="n">
        <x:f>IF(ISNUMBER(J145),J145,"")</x:f>
        <x:v>-75.101664</x:v>
      </x:c>
      <x:c r="AH2194" s="1" t="str">
        <x:f>IF(I2194=0,"Not contacted",IF(INDEX('Staff Review'!$J$8:$J$507,I2194)="","Not contacted",INDEX('Staff Review'!$J$8:$J$507,I2194)))</x:f>
        <x:v>Not contacted</x:v>
      </x:c>
      <x:c r="AI2194" s="1" t="str">
        <x:f>IF(I2194=0,"No",IF(AND(COUNT(INDEX('Staff Review'!$D$8:$D$507,I2194))=1,INDEX('Staff Review'!$D$8:$D$507,I2194)&gt;=0,COUNT(INDEX('Staff Review'!$E$8:$E$507,I2194))=1,INDEX('Staff Review'!$E$8:$E$507,I2194)&gt;0,INDEX('Staff Review'!$E$8:$E$507,I2194)&lt;='Top 15'!$E$5,'Top 15'!$E$5-INDEX('Staff Review'!$E$8:$E$507,I2194)&lt;='Top 15'!$H$5,LEN(INDEX('Staff Review'!$H$8:$H$507,I2194))&gt;0),"Yes","No"))</x:f>
        <x:v>No</x:v>
      </x:c>
      <x:c r="AJ2194" s="1" t="str">
        <x:f>IF(I2194=0,"No",IF(COUNT(INDEX('Staff Review'!$F$8:$F$507,I2194))&lt;&gt;1,"No",IF(AND(INDEX('Staff Review'!$F$8:$F$507,I2194)&gt;=0,MOD(INDEX('Staff Review'!$F$8:$F$507,I2194),1)=0,COUNT(INDEX('Staff Review'!$G$8:$G$507,I2194))=1,INDEX('Staff Review'!$G$8:$G$507,I2194)&gt;0,INDEX('Staff Review'!$G$8:$G$507,I2194)&lt;='Top 15'!$E$5,'Top 15'!$E$5-INDEX('Staff Review'!$G$8:$G$507,I2194)&lt;='Top 15'!$H$5,LEN(INDEX('Staff Review'!$H$8:$H$507,I2194))&gt;0),"Yes","No")))</x:f>
        <x:v>No</x:v>
      </x:c>
      <x:c r="AK2194" s="1" t="n">
        <x:f>IF(A2194="",0,COUNTIFS($A$2:$A$501,A2194))</x:f>
        <x:v>1</x:v>
      </x:c>
      <x:c r="AL2194" s="1" t="n">
        <x:f>IF(V2194="Candidate",1,0)</x:f>
        <x:v>1</x:v>
      </x:c>
      <x:c r="AM2194" s="1" t="n">
        <x:f>IF(A2194="",0,VALUE(A2194))</x:f>
        <x:v>3438</x:v>
      </x:c>
      <x:c r="AN2194" s="1" t="n">
        <x:f>IF(OR(A2194="",COUNTIFS($T$41:$T$540,A2194)&lt;&gt;1),0,MATCH(A2194,$T$41:$T$540,0))</x:f>
        <x:v>144</x:v>
      </x:c>
      <x:c r="AO2194" t="n">
        <x:f>IF(ISNUMBER(W2194),W2194,10000+AM2194)</x:f>
        <x:v>108</x:v>
      </x:c>
    </x:row>
    <x:row r="2195" ht="22" customHeight="1">
      <x:c r="A2195" s="1" t="str">
        <x:f>IF(A146="","",A146)</x:f>
        <x:v>3439</x:v>
      </x:c>
      <x:c r="B2195" s="1" t="str">
        <x:f>IF(A2195="","",B146)</x:f>
        <x:v>Mastery Prep Elementary Charter School</x:v>
      </x:c>
      <x:c r="C2195" s="1" t="str">
        <x:f>IF(A2195="","",C146)</x:f>
        <x:v>Charter</x:v>
      </x:c>
      <x:c r="D2195" s="1" t="str">
        <x:f>IF(A2195="","",E146)</x:f>
        <x:v>Elementary</x:v>
      </x:c>
      <x:c r="E2195" s="1" t="str">
        <x:f>IF(A2195="","",H146)</x:f>
        <x:v>19140</x:v>
      </x:c>
      <x:c r="F2195" s="1" t="n">
        <x:f>IF(ISNUMBER(K146),K146,"")</x:f>
        <x:v>602</x:v>
      </x:c>
      <x:c r="G2195" s="1" t="n">
        <x:f>IF(ISNUMBER(L146),L146,"")</x:f>
        <x:v>0.9152</x:v>
      </x:c>
      <x:c r="H2195" s="1" t="str">
        <x:f>IF(A2195="","",IF(AND(UPPER(G146)="PHILADELPHIA",OR(C2195="District",AND(C2195="Charter",D146="Yes"))),"Yes","No"))</x:f>
        <x:v>Yes</x:v>
      </x:c>
      <x:c r="I2195" s="1" t="n">
        <x:f>IF(OR(A2195="",COUNTIFS('Staff Review'!$A$8:$A$507,A2195)&lt;&gt;1),0,MATCH(A2195,'Staff Review'!$A$8:$A$507,0))</x:f>
        <x:v>195</x:v>
      </x:c>
      <x:c r="J2195" s="1" t="str">
        <x:f>IF(I2195=0,"No",IF(INDEX('Staff Review'!$C$8:$C$507,I2195)="Yes","Yes","No"))</x:f>
        <x:v>No</x:v>
      </x:c>
      <x:c r="K2195" s="1" t="n">
        <x:f>IF(AI2195="Yes",INDEX('Staff Review'!$D$8:$D$507,I2195),IF(AB2195=0,"",IF(COUNT(INDEX($C$1531:$C$2030,AB2195))=1,INDEX($C$1531:$C$2030,AB2195),"")))</x:f>
        <x:v>0.6599867386622097</x:v>
      </x:c>
      <x:c r="L2195" s="1" t="n">
        <x:f>IF(AJ2195="Yes",INDEX('Staff Review'!$F$8:$F$507,I2195),IF(AB2195=0,"",IF(COUNT(INDEX($G$1531:$G$2030,AB2195))=1,INDEX($G$1531:$G$2030,AB2195),"")))</x:f>
        <x:v>9</x:v>
      </x:c>
      <x:c r="M2195" s="1" t="str">
        <x:f>IF(A2195="","",IF(AI2195="Yes","Verified","Listed"))</x:f>
        <x:v>Listed</x:v>
      </x:c>
      <x:c r="N2195" s="1" t="str">
        <x:f>IF(A2195="","",IF(AJ2195="Yes","Verified","Listed"))</x:f>
        <x:v>Listed</x:v>
      </x:c>
      <x:c r="O2195" s="1" t="n">
        <x:f>IF(AND(ISNUMBER(G2195),G2195&gt;=0,G2195&lt;=1),IF(G2195&gt;=0.9,30,IF(G2195&gt;=0.8,25,IF(G2195&gt;=0.7,20,IF(G2195&gt;=0.6,15,IF(G2195&gt;=0.5,10,IF(G2195&gt;=0.4,5,0)))))),"")</x:f>
        <x:v>30</x:v>
      </x:c>
      <x:c r="P2195" s="1" t="n">
        <x:f>IF(ISNUMBER(K2195),IF(K2195&lt;0,"",IF(K2195&gt;1,25,IF(K2195&gt;=0.75,20,IF(K2195&gt;=0.5,15,IF(K2195&gt;=0.25,10,5))))),"")</x:f>
        <x:v>15</x:v>
      </x:c>
      <x:c r="Q2195" s="1" t="n">
        <x:f>IF(NOT(ISNUMBER(L2195)),"",IF(AND(L2195&gt;=0,MOD(L2195,1)=0),MAX(0,25-5*L2195),""))</x:f>
        <x:v>0</x:v>
      </x:c>
      <x:c r="R2195" s="1" t="n">
        <x:f>IF(NOT(ISNUMBER(F2195)),"",IF(AND(F2195&gt;0,MOD(F2195,1)=0),IF(F2195&gt;=700,5,IF(F2195&gt;=500,4,IF(F2195&gt;=350,3,IF(F2195&gt;=200,2,1)))),""))</x:f>
        <x:v>4</x:v>
      </x:c>
      <x:c r="S2195" s="1" t="n">
        <x:f>IF(COUNT(O2195:R2195)=4,SUM(O2195:R2195),"")</x:f>
        <x:v>49</x:v>
      </x:c>
      <x:c r="T2195" s="1" t="n">
        <x:f>IF(OR(COUNT(O2195:R2195)&lt;&gt;4,COUNT('Top 15'!$B$35:$E$35)&lt;&gt;4,MIN('Top 15'!$B$35:$E$35)&lt;0,SUM('Top 15'!$B$35:$E$35)&lt;=0),"",ROUND(85*(O2195/30*'Top 15'!$B$35+P2195/25*'Top 15'!$C$35+Q2195/25*'Top 15'!$D$35+R2195/5*'Top 15'!$E$35)/SUM('Top 15'!$B$35:$E$35),6))</x:f>
        <x:v>49</x:v>
      </x:c>
      <x:c r="U2195" s="1" t="str">
        <x:f>IF(A2195="","",IF(AND(M2195="Verified",N2195="Verified"),"Verified",IF(AND(M2195="Listed",N2195="Listed"),"Listed","Mixed")))</x:f>
        <x:v>Listed</x:v>
      </x:c>
      <x:c r="V2195" s="1" t="str">
        <x:f>IF(A2195="","",IF(AK2195&lt;&gt;1,"Duplicate source ID",IF(COUNTIFS('Staff Review'!$A$8:$A$507,A2195)&gt;1,"Duplicate review ID",IF(H2195&lt;&gt;"Yes","Outside scope",IF(J2195="Yes","Already served",IF(NOT(ISNUMBER(T2195)),"Missing data","Candidate"))))))</x:f>
        <x:v>Candidate</x:v>
      </x:c>
      <x:c r="W2195" s="1" t="n">
        <x:f>IF(AL2195=0,"",1+COUNTIFS($AL$2051:$AL$2550,1,$T$2051:$T$2550,"&gt;"&amp;T2195)+COUNTIFS($AL$2051:$AL$2550,1,$T$2051:$T$2550,T2195,$G$2051:$G$2550,"&gt;"&amp;G2195)+COUNTIFS($AL$2051:$AL$2550,1,$T$2051:$T$2550,T2195,$G$2051:$G$2550,G2195,$F$2051:$F$2550,"&gt;"&amp;F2195)+COUNTIFS($AL$2051:$AL$2550,1,$T$2051:$T$2550,T2195,$G$2051:$G$2550,G2195,$F$2051:$F$2550,F2195,$AM$2051:$AM$2550,"&lt;"&amp;AM2195))</x:f>
        <x:v>48</x:v>
      </x:c>
      <x:c r="X2195" s="1" t="n">
        <x:f>IF(AL2195=0,"",1+COUNTIFS($AL$2051:$AL$2550,1,$T$2051:$T$2550,"&gt;"&amp;T2195))</x:f>
        <x:v>46</x:v>
      </x:c>
      <x:c r="Y2195" s="1" t="n">
        <x:f>IF(AND(H2195="Yes",OR(LEN('School Search'!$B$5)=0,ISNUMBER(SEARCH('School Search'!$B$5,B2195&amp;" "&amp;E2195&amp;" "&amp;A2195))),OR('School Search'!$D$5="All",C2195='School Search'!$D$5),OR('School Search'!$G$5="All eligible",AND('School Search'!$G$5="Not marked served",J2195&lt;&gt;"Yes"),AND('School Search'!$G$5="Missing data",V2195="Missing data"),AND('School Search'!$G$5="Marked served",J2195="Yes"))),1,0)</x:f>
        <x:v>1</x:v>
      </x:c>
      <x:c r="Z2195" s="1" t="n">
        <x:f>IF(Y2195=0,"",COUNTIFS($Y$2051:$Y$2550,1,$AO$2051:$AO$2550,"&lt;"&amp;AO2195)+COUNTIFS($Y$2051:Y2195,1,$AO$2051:AO2195,AO2195))</x:f>
        <x:v>48</x:v>
      </x:c>
      <x:c r="AA2195" s="1" t="str">
        <x:f>IF(NOT(ISNUMBER(S2195)),"Missing demographic or access input",TEXT(G2195,"0%")&amp;" economic need; "&amp;TEXT(K2195,"0.00")&amp;" mi fresh access; "&amp;L2195&amp;" nearby resources")</x:f>
        <x:v>92% economic need; 0.66 mi fresh access; 9 nearby resources</x:v>
      </x:c>
      <x:c r="AB2195" s="1" t="n">
        <x:f>IF(OR(A2195="",COUNTIFS($A$1531:$A$2030,A2195)&lt;&gt;1),0,MATCH(A2195,$A$1531:$A$2030,0))</x:f>
        <x:v>145</x:v>
      </x:c>
      <x:c r="AC2195" s="1" t="str">
        <x:f>IF(AB2195=0,"",INDEX($E$1531:$E$2030,AB2195))</x:f>
        <x:v>Save-A-Lot 60138</x:v>
      </x:c>
      <x:c r="AD2195" s="1" t="str">
        <x:f>IF(AB2195=0,"",INDEX($F$1531:$F$2030,AB2195))</x:f>
        <x:v>4424 N Broad St, Philadelphia, PA, 19140</x:v>
      </x:c>
      <x:c r="AE2195" s="1" t="str">
        <x:f>IF(A2195="","",F146)</x:f>
        <x:v>1801 W PIKE ST</x:v>
      </x:c>
      <x:c r="AF2195" s="1" t="n">
        <x:f>IF(ISNUMBER(I146),I146,"")</x:f>
        <x:v>40.013457</x:v>
      </x:c>
      <x:c r="AG2195" s="1" t="n">
        <x:f>IF(ISNUMBER(J146),J146,"")</x:f>
        <x:v>-75.156128</x:v>
      </x:c>
      <x:c r="AH2195" s="1" t="str">
        <x:f>IF(I2195=0,"Not contacted",IF(INDEX('Staff Review'!$J$8:$J$507,I2195)="","Not contacted",INDEX('Staff Review'!$J$8:$J$507,I2195)))</x:f>
        <x:v>Not contacted</x:v>
      </x:c>
      <x:c r="AI2195" s="1" t="str">
        <x:f>IF(I2195=0,"No",IF(AND(COUNT(INDEX('Staff Review'!$D$8:$D$507,I2195))=1,INDEX('Staff Review'!$D$8:$D$507,I2195)&gt;=0,COUNT(INDEX('Staff Review'!$E$8:$E$507,I2195))=1,INDEX('Staff Review'!$E$8:$E$507,I2195)&gt;0,INDEX('Staff Review'!$E$8:$E$507,I2195)&lt;='Top 15'!$E$5,'Top 15'!$E$5-INDEX('Staff Review'!$E$8:$E$507,I2195)&lt;='Top 15'!$H$5,LEN(INDEX('Staff Review'!$H$8:$H$507,I2195))&gt;0),"Yes","No"))</x:f>
        <x:v>No</x:v>
      </x:c>
      <x:c r="AJ2195" s="1" t="str">
        <x:f>IF(I2195=0,"No",IF(COUNT(INDEX('Staff Review'!$F$8:$F$507,I2195))&lt;&gt;1,"No",IF(AND(INDEX('Staff Review'!$F$8:$F$507,I2195)&gt;=0,MOD(INDEX('Staff Review'!$F$8:$F$507,I2195),1)=0,COUNT(INDEX('Staff Review'!$G$8:$G$507,I2195))=1,INDEX('Staff Review'!$G$8:$G$507,I2195)&gt;0,INDEX('Staff Review'!$G$8:$G$507,I2195)&lt;='Top 15'!$E$5,'Top 15'!$E$5-INDEX('Staff Review'!$G$8:$G$507,I2195)&lt;='Top 15'!$H$5,LEN(INDEX('Staff Review'!$H$8:$H$507,I2195))&gt;0),"Yes","No")))</x:f>
        <x:v>No</x:v>
      </x:c>
      <x:c r="AK2195" s="1" t="n">
        <x:f>IF(A2195="",0,COUNTIFS($A$2:$A$501,A2195))</x:f>
        <x:v>1</x:v>
      </x:c>
      <x:c r="AL2195" s="1" t="n">
        <x:f>IF(V2195="Candidate",1,0)</x:f>
        <x:v>1</x:v>
      </x:c>
      <x:c r="AM2195" s="1" t="n">
        <x:f>IF(A2195="",0,VALUE(A2195))</x:f>
        <x:v>3439</x:v>
      </x:c>
      <x:c r="AN2195" s="1" t="n">
        <x:f>IF(OR(A2195="",COUNTIFS($T$41:$T$540,A2195)&lt;&gt;1),0,MATCH(A2195,$T$41:$T$540,0))</x:f>
        <x:v>145</x:v>
      </x:c>
      <x:c r="AO2195" t="n">
        <x:f>IF(ISNUMBER(W2195),W2195,10000+AM2195)</x:f>
        <x:v>48</x:v>
      </x:c>
    </x:row>
    <x:row r="2196" ht="22" customHeight="1">
      <x:c r="A2196" s="1" t="str">
        <x:f>IF(A147="","",A147)</x:f>
        <x:v>3440</x:v>
      </x:c>
      <x:c r="B2196" s="1" t="str">
        <x:f>IF(A2196="","",B147)</x:f>
        <x:v>MaST Community Charter School II</x:v>
      </x:c>
      <x:c r="C2196" s="1" t="str">
        <x:f>IF(A2196="","",C147)</x:f>
        <x:v>Charter</x:v>
      </x:c>
      <x:c r="D2196" s="1" t="str">
        <x:f>IF(A2196="","",E147)</x:f>
        <x:v>Elementary-High</x:v>
      </x:c>
      <x:c r="E2196" s="1" t="str">
        <x:f>IF(A2196="","",H147)</x:f>
        <x:v>19135</x:v>
      </x:c>
      <x:c r="F2196" s="1" t="n">
        <x:f>IF(ISNUMBER(K147),K147,"")</x:f>
        <x:v>1903</x:v>
      </x:c>
      <x:c r="G2196" s="1" t="n">
        <x:f>IF(ISNUMBER(L147),L147,"")</x:f>
        <x:v>0.5451</x:v>
      </x:c>
      <x:c r="H2196" s="1" t="str">
        <x:f>IF(A2196="","",IF(AND(UPPER(G147)="PHILADELPHIA",OR(C2196="District",AND(C2196="Charter",D147="Yes"))),"Yes","No"))</x:f>
        <x:v>Yes</x:v>
      </x:c>
      <x:c r="I2196" s="1" t="n">
        <x:f>IF(OR(A2196="",COUNTIFS('Staff Review'!$A$8:$A$507,A2196)&lt;&gt;1),0,MATCH(A2196,'Staff Review'!$A$8:$A$507,0))</x:f>
        <x:v>179</x:v>
      </x:c>
      <x:c r="J2196" s="1" t="str">
        <x:f>IF(I2196=0,"No",IF(INDEX('Staff Review'!$C$8:$C$507,I2196)="Yes","Yes","No"))</x:f>
        <x:v>No</x:v>
      </x:c>
      <x:c r="K2196" s="1" t="n">
        <x:f>IF(AI2196="Yes",INDEX('Staff Review'!$D$8:$D$507,I2196),IF(AB2196=0,"",IF(COUNT(INDEX($C$1531:$C$2030,AB2196))=1,INDEX($C$1531:$C$2030,AB2196),"")))</x:f>
        <x:v>0.4744588509045966</x:v>
      </x:c>
      <x:c r="L2196" s="1" t="n">
        <x:f>IF(AJ2196="Yes",INDEX('Staff Review'!$F$8:$F$507,I2196),IF(AB2196=0,"",IF(COUNT(INDEX($G$1531:$G$2030,AB2196))=1,INDEX($G$1531:$G$2030,AB2196),"")))</x:f>
        <x:v>3</x:v>
      </x:c>
      <x:c r="M2196" s="1" t="str">
        <x:f>IF(A2196="","",IF(AI2196="Yes","Verified","Listed"))</x:f>
        <x:v>Listed</x:v>
      </x:c>
      <x:c r="N2196" s="1" t="str">
        <x:f>IF(A2196="","",IF(AJ2196="Yes","Verified","Listed"))</x:f>
        <x:v>Listed</x:v>
      </x:c>
      <x:c r="O2196" s="1" t="n">
        <x:f>IF(AND(ISNUMBER(G2196),G2196&gt;=0,G2196&lt;=1),IF(G2196&gt;=0.9,30,IF(G2196&gt;=0.8,25,IF(G2196&gt;=0.7,20,IF(G2196&gt;=0.6,15,IF(G2196&gt;=0.5,10,IF(G2196&gt;=0.4,5,0)))))),"")</x:f>
        <x:v>10</x:v>
      </x:c>
      <x:c r="P2196" s="1" t="n">
        <x:f>IF(ISNUMBER(K2196),IF(K2196&lt;0,"",IF(K2196&gt;1,25,IF(K2196&gt;=0.75,20,IF(K2196&gt;=0.5,15,IF(K2196&gt;=0.25,10,5))))),"")</x:f>
        <x:v>10</x:v>
      </x:c>
      <x:c r="Q2196" s="1" t="n">
        <x:f>IF(NOT(ISNUMBER(L2196)),"",IF(AND(L2196&gt;=0,MOD(L2196,1)=0),MAX(0,25-5*L2196),""))</x:f>
        <x:v>10</x:v>
      </x:c>
      <x:c r="R2196" s="1" t="n">
        <x:f>IF(NOT(ISNUMBER(F2196)),"",IF(AND(F2196&gt;0,MOD(F2196,1)=0),IF(F2196&gt;=700,5,IF(F2196&gt;=500,4,IF(F2196&gt;=350,3,IF(F2196&gt;=200,2,1)))),""))</x:f>
        <x:v>5</x:v>
      </x:c>
      <x:c r="S2196" s="1" t="n">
        <x:f>IF(COUNT(O2196:R2196)=4,SUM(O2196:R2196),"")</x:f>
        <x:v>35</x:v>
      </x:c>
      <x:c r="T2196" s="1" t="n">
        <x:f>IF(OR(COUNT(O2196:R2196)&lt;&gt;4,COUNT('Top 15'!$B$35:$E$35)&lt;&gt;4,MIN('Top 15'!$B$35:$E$35)&lt;0,SUM('Top 15'!$B$35:$E$35)&lt;=0),"",ROUND(85*(O2196/30*'Top 15'!$B$35+P2196/25*'Top 15'!$C$35+Q2196/25*'Top 15'!$D$35+R2196/5*'Top 15'!$E$35)/SUM('Top 15'!$B$35:$E$35),6))</x:f>
        <x:v>35</x:v>
      </x:c>
      <x:c r="U2196" s="1" t="str">
        <x:f>IF(A2196="","",IF(AND(M2196="Verified",N2196="Verified"),"Verified",IF(AND(M2196="Listed",N2196="Listed"),"Listed","Mixed")))</x:f>
        <x:v>Listed</x:v>
      </x:c>
      <x:c r="V2196" s="1" t="str">
        <x:f>IF(A2196="","",IF(AK2196&lt;&gt;1,"Duplicate source ID",IF(COUNTIFS('Staff Review'!$A$8:$A$507,A2196)&gt;1,"Duplicate review ID",IF(H2196&lt;&gt;"Yes","Outside scope",IF(J2196="Yes","Already served",IF(NOT(ISNUMBER(T2196)),"Missing data","Candidate"))))))</x:f>
        <x:v>Candidate</x:v>
      </x:c>
      <x:c r="W2196" s="1" t="n">
        <x:f>IF(AL2196=0,"",1+COUNTIFS($AL$2051:$AL$2550,1,$T$2051:$T$2550,"&gt;"&amp;T2196)+COUNTIFS($AL$2051:$AL$2550,1,$T$2051:$T$2550,T2196,$G$2051:$G$2550,"&gt;"&amp;G2196)+COUNTIFS($AL$2051:$AL$2550,1,$T$2051:$T$2550,T2196,$G$2051:$G$2550,G2196,$F$2051:$F$2550,"&gt;"&amp;F2196)+COUNTIFS($AL$2051:$AL$2550,1,$T$2051:$T$2550,T2196,$G$2051:$G$2550,G2196,$F$2051:$F$2550,F2196,$AM$2051:$AM$2550,"&lt;"&amp;AM2196))</x:f>
        <x:v>219</x:v>
      </x:c>
      <x:c r="X2196" s="1" t="n">
        <x:f>IF(AL2196=0,"",1+COUNTIFS($AL$2051:$AL$2550,1,$T$2051:$T$2550,"&gt;"&amp;T2196))</x:f>
        <x:v>210</x:v>
      </x:c>
      <x:c r="Y2196" s="1" t="n">
        <x:f>IF(AND(H2196="Yes",OR(LEN('School Search'!$B$5)=0,ISNUMBER(SEARCH('School Search'!$B$5,B2196&amp;" "&amp;E2196&amp;" "&amp;A2196))),OR('School Search'!$D$5="All",C2196='School Search'!$D$5),OR('School Search'!$G$5="All eligible",AND('School Search'!$G$5="Not marked served",J2196&lt;&gt;"Yes"),AND('School Search'!$G$5="Missing data",V2196="Missing data"),AND('School Search'!$G$5="Marked served",J2196="Yes"))),1,0)</x:f>
        <x:v>1</x:v>
      </x:c>
      <x:c r="Z2196" s="1" t="n">
        <x:f>IF(Y2196=0,"",COUNTIFS($Y$2051:$Y$2550,1,$AO$2051:$AO$2550,"&lt;"&amp;AO2196)+COUNTIFS($Y$2051:Y2196,1,$AO$2051:AO2196,AO2196))</x:f>
        <x:v>219</x:v>
      </x:c>
      <x:c r="AA2196" s="1" t="str">
        <x:f>IF(NOT(ISNUMBER(S2196)),"Missing demographic or access input",TEXT(G2196,"0%")&amp;" economic need; "&amp;TEXT(K2196,"0.00")&amp;" mi fresh access; "&amp;L2196&amp;" nearby resources")</x:f>
        <x:v>55% economic need; 0.47 mi fresh access; 3 nearby resources</x:v>
      </x:c>
      <x:c r="AB2196" s="1" t="n">
        <x:f>IF(OR(A2196="",COUNTIFS($A$1531:$A$2030,A2196)&lt;&gt;1),0,MATCH(A2196,$A$1531:$A$2030,0))</x:f>
        <x:v>146</x:v>
      </x:c>
      <x:c r="AC2196" s="1" t="str">
        <x:f>IF(AB2196=0,"",INDEX($E$1531:$E$2030,AB2196))</x:f>
        <x:v>6327 Meat Corp DBA Food Town</x:v>
      </x:c>
      <x:c r="AD2196" s="1" t="str">
        <x:f>IF(AB2196=0,"",INDEX($F$1531:$F$2030,AB2196))</x:f>
        <x:v>6327 Torresdale Ave, Philadelphia, PA, 19135</x:v>
      </x:c>
      <x:c r="AE2196" s="1" t="str">
        <x:f>IF(A2196="","",F147)</x:f>
        <x:v>6501 STATE RD</x:v>
      </x:c>
      <x:c r="AF2196" s="1" t="n">
        <x:f>IF(ISNUMBER(I147),I147,"")</x:f>
        <x:v>40.017476</x:v>
      </x:c>
      <x:c r="AG2196" s="1" t="n">
        <x:f>IF(ISNUMBER(J147),J147,"")</x:f>
        <x:v>-75.044372</x:v>
      </x:c>
      <x:c r="AH2196" s="1" t="str">
        <x:f>IF(I2196=0,"Not contacted",IF(INDEX('Staff Review'!$J$8:$J$507,I2196)="","Not contacted",INDEX('Staff Review'!$J$8:$J$507,I2196)))</x:f>
        <x:v>Not contacted</x:v>
      </x:c>
      <x:c r="AI2196" s="1" t="str">
        <x:f>IF(I2196=0,"No",IF(AND(COUNT(INDEX('Staff Review'!$D$8:$D$507,I2196))=1,INDEX('Staff Review'!$D$8:$D$507,I2196)&gt;=0,COUNT(INDEX('Staff Review'!$E$8:$E$507,I2196))=1,INDEX('Staff Review'!$E$8:$E$507,I2196)&gt;0,INDEX('Staff Review'!$E$8:$E$507,I2196)&lt;='Top 15'!$E$5,'Top 15'!$E$5-INDEX('Staff Review'!$E$8:$E$507,I2196)&lt;='Top 15'!$H$5,LEN(INDEX('Staff Review'!$H$8:$H$507,I2196))&gt;0),"Yes","No"))</x:f>
        <x:v>No</x:v>
      </x:c>
      <x:c r="AJ2196" s="1" t="str">
        <x:f>IF(I2196=0,"No",IF(COUNT(INDEX('Staff Review'!$F$8:$F$507,I2196))&lt;&gt;1,"No",IF(AND(INDEX('Staff Review'!$F$8:$F$507,I2196)&gt;=0,MOD(INDEX('Staff Review'!$F$8:$F$507,I2196),1)=0,COUNT(INDEX('Staff Review'!$G$8:$G$507,I2196))=1,INDEX('Staff Review'!$G$8:$G$507,I2196)&gt;0,INDEX('Staff Review'!$G$8:$G$507,I2196)&lt;='Top 15'!$E$5,'Top 15'!$E$5-INDEX('Staff Review'!$G$8:$G$507,I2196)&lt;='Top 15'!$H$5,LEN(INDEX('Staff Review'!$H$8:$H$507,I2196))&gt;0),"Yes","No")))</x:f>
        <x:v>No</x:v>
      </x:c>
      <x:c r="AK2196" s="1" t="n">
        <x:f>IF(A2196="",0,COUNTIFS($A$2:$A$501,A2196))</x:f>
        <x:v>1</x:v>
      </x:c>
      <x:c r="AL2196" s="1" t="n">
        <x:f>IF(V2196="Candidate",1,0)</x:f>
        <x:v>1</x:v>
      </x:c>
      <x:c r="AM2196" s="1" t="n">
        <x:f>IF(A2196="",0,VALUE(A2196))</x:f>
        <x:v>3440</x:v>
      </x:c>
      <x:c r="AN2196" s="1" t="n">
        <x:f>IF(OR(A2196="",COUNTIFS($T$41:$T$540,A2196)&lt;&gt;1),0,MATCH(A2196,$T$41:$T$540,0))</x:f>
        <x:v>146</x:v>
      </x:c>
      <x:c r="AO2196" t="n">
        <x:f>IF(ISNUMBER(W2196),W2196,10000+AM2196)</x:f>
        <x:v>219</x:v>
      </x:c>
    </x:row>
    <x:row r="2197" ht="22" customHeight="1">
      <x:c r="A2197" s="1" t="str">
        <x:f>IF(A148="","",A148)</x:f>
        <x:v>3441</x:v>
      </x:c>
      <x:c r="B2197" s="1" t="str">
        <x:f>IF(A2197="","",B148)</x:f>
        <x:v>TECH Freire Charter School</x:v>
      </x:c>
      <x:c r="C2197" s="1" t="str">
        <x:f>IF(A2197="","",C148)</x:f>
        <x:v>Charter</x:v>
      </x:c>
      <x:c r="D2197" s="1" t="str">
        <x:f>IF(A2197="","",E148)</x:f>
        <x:v>High</x:v>
      </x:c>
      <x:c r="E2197" s="1" t="str">
        <x:f>IF(A2197="","",H148)</x:f>
        <x:v>19132</x:v>
      </x:c>
      <x:c r="F2197" s="1" t="n">
        <x:f>IF(ISNUMBER(K148),K148,"")</x:f>
        <x:v>565</x:v>
      </x:c>
      <x:c r="G2197" s="1" t="n">
        <x:f>IF(ISNUMBER(L148),L148,"")</x:f>
        <x:v>0.7932</x:v>
      </x:c>
      <x:c r="H2197" s="1" t="str">
        <x:f>IF(A2197="","",IF(AND(UPPER(G148)="PHILADELPHIA",OR(C2197="District",AND(C2197="Charter",D148="Yes"))),"Yes","No"))</x:f>
        <x:v>Yes</x:v>
      </x:c>
      <x:c r="I2197" s="1" t="n">
        <x:f>IF(OR(A2197="",COUNTIFS('Staff Review'!$A$8:$A$507,A2197)&lt;&gt;1),0,MATCH(A2197,'Staff Review'!$A$8:$A$507,0))</x:f>
        <x:v>282</x:v>
      </x:c>
      <x:c r="J2197" s="1" t="str">
        <x:f>IF(I2197=0,"No",IF(INDEX('Staff Review'!$C$8:$C$507,I2197)="Yes","Yes","No"))</x:f>
        <x:v>No</x:v>
      </x:c>
      <x:c r="K2197" s="1" t="n">
        <x:f>IF(AI2197="Yes",INDEX('Staff Review'!$D$8:$D$507,I2197),IF(AB2197=0,"",IF(COUNT(INDEX($C$1531:$C$2030,AB2197))=1,INDEX($C$1531:$C$2030,AB2197),"")))</x:f>
        <x:v>0.715649751295581</x:v>
      </x:c>
      <x:c r="L2197" s="1" t="n">
        <x:f>IF(AJ2197="Yes",INDEX('Staff Review'!$F$8:$F$507,I2197),IF(AB2197=0,"",IF(COUNT(INDEX($G$1531:$G$2030,AB2197))=1,INDEX($G$1531:$G$2030,AB2197),"")))</x:f>
        <x:v>16</x:v>
      </x:c>
      <x:c r="M2197" s="1" t="str">
        <x:f>IF(A2197="","",IF(AI2197="Yes","Verified","Listed"))</x:f>
        <x:v>Listed</x:v>
      </x:c>
      <x:c r="N2197" s="1" t="str">
        <x:f>IF(A2197="","",IF(AJ2197="Yes","Verified","Listed"))</x:f>
        <x:v>Listed</x:v>
      </x:c>
      <x:c r="O2197" s="1" t="n">
        <x:f>IF(AND(ISNUMBER(G2197),G2197&gt;=0,G2197&lt;=1),IF(G2197&gt;=0.9,30,IF(G2197&gt;=0.8,25,IF(G2197&gt;=0.7,20,IF(G2197&gt;=0.6,15,IF(G2197&gt;=0.5,10,IF(G2197&gt;=0.4,5,0)))))),"")</x:f>
        <x:v>20</x:v>
      </x:c>
      <x:c r="P2197" s="1" t="n">
        <x:f>IF(ISNUMBER(K2197),IF(K2197&lt;0,"",IF(K2197&gt;1,25,IF(K2197&gt;=0.75,20,IF(K2197&gt;=0.5,15,IF(K2197&gt;=0.25,10,5))))),"")</x:f>
        <x:v>15</x:v>
      </x:c>
      <x:c r="Q2197" s="1" t="n">
        <x:f>IF(NOT(ISNUMBER(L2197)),"",IF(AND(L2197&gt;=0,MOD(L2197,1)=0),MAX(0,25-5*L2197),""))</x:f>
        <x:v>0</x:v>
      </x:c>
      <x:c r="R2197" s="1" t="n">
        <x:f>IF(NOT(ISNUMBER(F2197)),"",IF(AND(F2197&gt;0,MOD(F2197,1)=0),IF(F2197&gt;=700,5,IF(F2197&gt;=500,4,IF(F2197&gt;=350,3,IF(F2197&gt;=200,2,1)))),""))</x:f>
        <x:v>4</x:v>
      </x:c>
      <x:c r="S2197" s="1" t="n">
        <x:f>IF(COUNT(O2197:R2197)=4,SUM(O2197:R2197),"")</x:f>
        <x:v>39</x:v>
      </x:c>
      <x:c r="T2197" s="1" t="n">
        <x:f>IF(OR(COUNT(O2197:R2197)&lt;&gt;4,COUNT('Top 15'!$B$35:$E$35)&lt;&gt;4,MIN('Top 15'!$B$35:$E$35)&lt;0,SUM('Top 15'!$B$35:$E$35)&lt;=0),"",ROUND(85*(O2197/30*'Top 15'!$B$35+P2197/25*'Top 15'!$C$35+Q2197/25*'Top 15'!$D$35+R2197/5*'Top 15'!$E$35)/SUM('Top 15'!$B$35:$E$35),6))</x:f>
        <x:v>39</x:v>
      </x:c>
      <x:c r="U2197" s="1" t="str">
        <x:f>IF(A2197="","",IF(AND(M2197="Verified",N2197="Verified"),"Verified",IF(AND(M2197="Listed",N2197="Listed"),"Listed","Mixed")))</x:f>
        <x:v>Listed</x:v>
      </x:c>
      <x:c r="V2197" s="1" t="str">
        <x:f>IF(A2197="","",IF(AK2197&lt;&gt;1,"Duplicate source ID",IF(COUNTIFS('Staff Review'!$A$8:$A$507,A2197)&gt;1,"Duplicate review ID",IF(H2197&lt;&gt;"Yes","Outside scope",IF(J2197="Yes","Already served",IF(NOT(ISNUMBER(T2197)),"Missing data","Candidate"))))))</x:f>
        <x:v>Candidate</x:v>
      </x:c>
      <x:c r="W2197" s="1" t="n">
        <x:f>IF(AL2197=0,"",1+COUNTIFS($AL$2051:$AL$2550,1,$T$2051:$T$2550,"&gt;"&amp;T2197)+COUNTIFS($AL$2051:$AL$2550,1,$T$2051:$T$2550,T2197,$G$2051:$G$2550,"&gt;"&amp;G2197)+COUNTIFS($AL$2051:$AL$2550,1,$T$2051:$T$2550,T2197,$G$2051:$G$2550,G2197,$F$2051:$F$2550,"&gt;"&amp;F2197)+COUNTIFS($AL$2051:$AL$2550,1,$T$2051:$T$2550,T2197,$G$2051:$G$2550,G2197,$F$2051:$F$2550,F2197,$AM$2051:$AM$2550,"&lt;"&amp;AM2197))</x:f>
        <x:v>162</x:v>
      </x:c>
      <x:c r="X2197" s="1" t="n">
        <x:f>IF(AL2197=0,"",1+COUNTIFS($AL$2051:$AL$2550,1,$T$2051:$T$2550,"&gt;"&amp;T2197))</x:f>
        <x:v>148</x:v>
      </x:c>
      <x:c r="Y2197" s="1" t="n">
        <x:f>IF(AND(H2197="Yes",OR(LEN('School Search'!$B$5)=0,ISNUMBER(SEARCH('School Search'!$B$5,B2197&amp;" "&amp;E2197&amp;" "&amp;A2197))),OR('School Search'!$D$5="All",C2197='School Search'!$D$5),OR('School Search'!$G$5="All eligible",AND('School Search'!$G$5="Not marked served",J2197&lt;&gt;"Yes"),AND('School Search'!$G$5="Missing data",V2197="Missing data"),AND('School Search'!$G$5="Marked served",J2197="Yes"))),1,0)</x:f>
        <x:v>1</x:v>
      </x:c>
      <x:c r="Z2197" s="1" t="n">
        <x:f>IF(Y2197=0,"",COUNTIFS($Y$2051:$Y$2550,1,$AO$2051:$AO$2550,"&lt;"&amp;AO2197)+COUNTIFS($Y$2051:Y2197,1,$AO$2051:AO2197,AO2197))</x:f>
        <x:v>162</x:v>
      </x:c>
      <x:c r="AA2197" s="1" t="str">
        <x:f>IF(NOT(ISNUMBER(S2197)),"Missing demographic or access input",TEXT(G2197,"0%")&amp;" economic need; "&amp;TEXT(K2197,"0.00")&amp;" mi fresh access; "&amp;L2197&amp;" nearby resources")</x:f>
        <x:v>79% economic need; 0.72 mi fresh access; 16 nearby resources</x:v>
      </x:c>
      <x:c r="AB2197" s="1" t="n">
        <x:f>IF(OR(A2197="",COUNTIFS($A$1531:$A$2030,A2197)&lt;&gt;1),0,MATCH(A2197,$A$1531:$A$2030,0))</x:f>
        <x:v>147</x:v>
      </x:c>
      <x:c r="AC2197" s="1" t="str">
        <x:f>IF(AB2197=0,"",INDEX($E$1531:$E$2030,AB2197))</x:f>
        <x:v>Cousins Supermarket Inc 1</x:v>
      </x:c>
      <x:c r="AD2197" s="1" t="str">
        <x:f>IF(AB2197=0,"",INDEX($F$1531:$F$2030,AB2197))</x:f>
        <x:v>1943 N 6th St, Philadelphia, PA, 19122</x:v>
      </x:c>
      <x:c r="AE2197" s="1" t="str">
        <x:f>IF(A2197="","",F148)</x:f>
        <x:v>2221 N BROAD ST</x:v>
      </x:c>
      <x:c r="AF2197" s="1" t="n">
        <x:f>IF(ISNUMBER(I148),I148,"")</x:f>
        <x:v>39.986869</x:v>
      </x:c>
      <x:c r="AG2197" s="1" t="n">
        <x:f>IF(ISNUMBER(J148),J148,"")</x:f>
        <x:v>-75.155669</x:v>
      </x:c>
      <x:c r="AH2197" s="1" t="str">
        <x:f>IF(I2197=0,"Not contacted",IF(INDEX('Staff Review'!$J$8:$J$507,I2197)="","Not contacted",INDEX('Staff Review'!$J$8:$J$507,I2197)))</x:f>
        <x:v>Not contacted</x:v>
      </x:c>
      <x:c r="AI2197" s="1" t="str">
        <x:f>IF(I2197=0,"No",IF(AND(COUNT(INDEX('Staff Review'!$D$8:$D$507,I2197))=1,INDEX('Staff Review'!$D$8:$D$507,I2197)&gt;=0,COUNT(INDEX('Staff Review'!$E$8:$E$507,I2197))=1,INDEX('Staff Review'!$E$8:$E$507,I2197)&gt;0,INDEX('Staff Review'!$E$8:$E$507,I2197)&lt;='Top 15'!$E$5,'Top 15'!$E$5-INDEX('Staff Review'!$E$8:$E$507,I2197)&lt;='Top 15'!$H$5,LEN(INDEX('Staff Review'!$H$8:$H$507,I2197))&gt;0),"Yes","No"))</x:f>
        <x:v>No</x:v>
      </x:c>
      <x:c r="AJ2197" s="1" t="str">
        <x:f>IF(I2197=0,"No",IF(COUNT(INDEX('Staff Review'!$F$8:$F$507,I2197))&lt;&gt;1,"No",IF(AND(INDEX('Staff Review'!$F$8:$F$507,I2197)&gt;=0,MOD(INDEX('Staff Review'!$F$8:$F$507,I2197),1)=0,COUNT(INDEX('Staff Review'!$G$8:$G$507,I2197))=1,INDEX('Staff Review'!$G$8:$G$507,I2197)&gt;0,INDEX('Staff Review'!$G$8:$G$507,I2197)&lt;='Top 15'!$E$5,'Top 15'!$E$5-INDEX('Staff Review'!$G$8:$G$507,I2197)&lt;='Top 15'!$H$5,LEN(INDEX('Staff Review'!$H$8:$H$507,I2197))&gt;0),"Yes","No")))</x:f>
        <x:v>No</x:v>
      </x:c>
      <x:c r="AK2197" s="1" t="n">
        <x:f>IF(A2197="",0,COUNTIFS($A$2:$A$501,A2197))</x:f>
        <x:v>1</x:v>
      </x:c>
      <x:c r="AL2197" s="1" t="n">
        <x:f>IF(V2197="Candidate",1,0)</x:f>
        <x:v>1</x:v>
      </x:c>
      <x:c r="AM2197" s="1" t="n">
        <x:f>IF(A2197="",0,VALUE(A2197))</x:f>
        <x:v>3441</x:v>
      </x:c>
      <x:c r="AN2197" s="1" t="n">
        <x:f>IF(OR(A2197="",COUNTIFS($T$41:$T$540,A2197)&lt;&gt;1),0,MATCH(A2197,$T$41:$T$540,0))</x:f>
        <x:v>147</x:v>
      </x:c>
      <x:c r="AO2197" t="n">
        <x:f>IF(ISNUMBER(W2197),W2197,10000+AM2197)</x:f>
        <x:v>162</x:v>
      </x:c>
    </x:row>
    <x:row r="2198" ht="22" customHeight="1">
      <x:c r="A2198" s="1" t="str">
        <x:f>IF(A149="","",A149)</x:f>
        <x:v>3442</x:v>
      </x:c>
      <x:c r="B2198" s="1" t="str">
        <x:f>IF(A2198="","",B149)</x:f>
        <x:v>Impact Charter School West</x:v>
      </x:c>
      <x:c r="C2198" s="1" t="str">
        <x:f>IF(A2198="","",C149)</x:f>
        <x:v>Charter</x:v>
      </x:c>
      <x:c r="D2198" s="1" t="str">
        <x:f>IF(A2198="","",E149)</x:f>
        <x:v>Elementary-Middle</x:v>
      </x:c>
      <x:c r="E2198" s="1" t="str">
        <x:f>IF(A2198="","",H149)</x:f>
        <x:v>19143</x:v>
      </x:c>
      <x:c r="F2198" s="1" t="n">
        <x:f>IF(ISNUMBER(K149),K149,"")</x:f>
        <x:v>833</x:v>
      </x:c>
      <x:c r="G2198" s="1" t="n">
        <x:f>IF(ISNUMBER(L149),L149,"")</x:f>
        <x:v>0.874</x:v>
      </x:c>
      <x:c r="H2198" s="1" t="str">
        <x:f>IF(A2198="","",IF(AND(UPPER(G149)="PHILADELPHIA",OR(C2198="District",AND(C2198="Charter",D149="Yes"))),"Yes","No"))</x:f>
        <x:v>Yes</x:v>
      </x:c>
      <x:c r="I2198" s="1" t="n">
        <x:f>IF(OR(A2198="",COUNTIFS('Staff Review'!$A$8:$A$507,A2198)&lt;&gt;1),0,MATCH(A2198,'Staff Review'!$A$8:$A$507,0))</x:f>
        <x:v>120</x:v>
      </x:c>
      <x:c r="J2198" s="1" t="str">
        <x:f>IF(I2198=0,"No",IF(INDEX('Staff Review'!$C$8:$C$507,I2198)="Yes","Yes","No"))</x:f>
        <x:v>No</x:v>
      </x:c>
      <x:c r="K2198" s="1" t="n">
        <x:f>IF(AI2198="Yes",INDEX('Staff Review'!$D$8:$D$507,I2198),IF(AB2198=0,"",IF(COUNT(INDEX($C$1531:$C$2030,AB2198))=1,INDEX($C$1531:$C$2030,AB2198),"")))</x:f>
        <x:v>0.36316271827883184</x:v>
      </x:c>
      <x:c r="L2198" s="1" t="n">
        <x:f>IF(AJ2198="Yes",INDEX('Staff Review'!$F$8:$F$507,I2198),IF(AB2198=0,"",IF(COUNT(INDEX($G$1531:$G$2030,AB2198))=1,INDEX($G$1531:$G$2030,AB2198),"")))</x:f>
        <x:v>10</x:v>
      </x:c>
      <x:c r="M2198" s="1" t="str">
        <x:f>IF(A2198="","",IF(AI2198="Yes","Verified","Listed"))</x:f>
        <x:v>Listed</x:v>
      </x:c>
      <x:c r="N2198" s="1" t="str">
        <x:f>IF(A2198="","",IF(AJ2198="Yes","Verified","Listed"))</x:f>
        <x:v>Listed</x:v>
      </x:c>
      <x:c r="O2198" s="1" t="n">
        <x:f>IF(AND(ISNUMBER(G2198),G2198&gt;=0,G2198&lt;=1),IF(G2198&gt;=0.9,30,IF(G2198&gt;=0.8,25,IF(G2198&gt;=0.7,20,IF(G2198&gt;=0.6,15,IF(G2198&gt;=0.5,10,IF(G2198&gt;=0.4,5,0)))))),"")</x:f>
        <x:v>25</x:v>
      </x:c>
      <x:c r="P2198" s="1" t="n">
        <x:f>IF(ISNUMBER(K2198),IF(K2198&lt;0,"",IF(K2198&gt;1,25,IF(K2198&gt;=0.75,20,IF(K2198&gt;=0.5,15,IF(K2198&gt;=0.25,10,5))))),"")</x:f>
        <x:v>10</x:v>
      </x:c>
      <x:c r="Q2198" s="1" t="n">
        <x:f>IF(NOT(ISNUMBER(L2198)),"",IF(AND(L2198&gt;=0,MOD(L2198,1)=0),MAX(0,25-5*L2198),""))</x:f>
        <x:v>0</x:v>
      </x:c>
      <x:c r="R2198" s="1" t="n">
        <x:f>IF(NOT(ISNUMBER(F2198)),"",IF(AND(F2198&gt;0,MOD(F2198,1)=0),IF(F2198&gt;=700,5,IF(F2198&gt;=500,4,IF(F2198&gt;=350,3,IF(F2198&gt;=200,2,1)))),""))</x:f>
        <x:v>5</x:v>
      </x:c>
      <x:c r="S2198" s="1" t="n">
        <x:f>IF(COUNT(O2198:R2198)=4,SUM(O2198:R2198),"")</x:f>
        <x:v>40</x:v>
      </x:c>
      <x:c r="T2198" s="1" t="n">
        <x:f>IF(OR(COUNT(O2198:R2198)&lt;&gt;4,COUNT('Top 15'!$B$35:$E$35)&lt;&gt;4,MIN('Top 15'!$B$35:$E$35)&lt;0,SUM('Top 15'!$B$35:$E$35)&lt;=0),"",ROUND(85*(O2198/30*'Top 15'!$B$35+P2198/25*'Top 15'!$C$35+Q2198/25*'Top 15'!$D$35+R2198/5*'Top 15'!$E$35)/SUM('Top 15'!$B$35:$E$35),6))</x:f>
        <x:v>40</x:v>
      </x:c>
      <x:c r="U2198" s="1" t="str">
        <x:f>IF(A2198="","",IF(AND(M2198="Verified",N2198="Verified"),"Verified",IF(AND(M2198="Listed",N2198="Listed"),"Listed","Mixed")))</x:f>
        <x:v>Listed</x:v>
      </x:c>
      <x:c r="V2198" s="1" t="str">
        <x:f>IF(A2198="","",IF(AK2198&lt;&gt;1,"Duplicate source ID",IF(COUNTIFS('Staff Review'!$A$8:$A$507,A2198)&gt;1,"Duplicate review ID",IF(H2198&lt;&gt;"Yes","Outside scope",IF(J2198="Yes","Already served",IF(NOT(ISNUMBER(T2198)),"Missing data","Candidate"))))))</x:f>
        <x:v>Candidate</x:v>
      </x:c>
      <x:c r="W2198" s="1" t="n">
        <x:f>IF(AL2198=0,"",1+COUNTIFS($AL$2051:$AL$2550,1,$T$2051:$T$2550,"&gt;"&amp;T2198)+COUNTIFS($AL$2051:$AL$2550,1,$T$2051:$T$2550,T2198,$G$2051:$G$2550,"&gt;"&amp;G2198)+COUNTIFS($AL$2051:$AL$2550,1,$T$2051:$T$2550,T2198,$G$2051:$G$2550,G2198,$F$2051:$F$2550,"&gt;"&amp;F2198)+COUNTIFS($AL$2051:$AL$2550,1,$T$2051:$T$2550,T2198,$G$2051:$G$2550,G2198,$F$2051:$F$2550,F2198,$AM$2051:$AM$2550,"&lt;"&amp;AM2198))</x:f>
        <x:v>136</x:v>
      </x:c>
      <x:c r="X2198" s="1" t="n">
        <x:f>IF(AL2198=0,"",1+COUNTIFS($AL$2051:$AL$2550,1,$T$2051:$T$2550,"&gt;"&amp;T2198))</x:f>
        <x:v>133</x:v>
      </x:c>
      <x:c r="Y2198" s="1" t="n">
        <x:f>IF(AND(H2198="Yes",OR(LEN('School Search'!$B$5)=0,ISNUMBER(SEARCH('School Search'!$B$5,B2198&amp;" "&amp;E2198&amp;" "&amp;A2198))),OR('School Search'!$D$5="All",C2198='School Search'!$D$5),OR('School Search'!$G$5="All eligible",AND('School Search'!$G$5="Not marked served",J2198&lt;&gt;"Yes"),AND('School Search'!$G$5="Missing data",V2198="Missing data"),AND('School Search'!$G$5="Marked served",J2198="Yes"))),1,0)</x:f>
        <x:v>1</x:v>
      </x:c>
      <x:c r="Z2198" s="1" t="n">
        <x:f>IF(Y2198=0,"",COUNTIFS($Y$2051:$Y$2550,1,$AO$2051:$AO$2550,"&lt;"&amp;AO2198)+COUNTIFS($Y$2051:Y2198,1,$AO$2051:AO2198,AO2198))</x:f>
        <x:v>136</x:v>
      </x:c>
      <x:c r="AA2198" s="1" t="str">
        <x:f>IF(NOT(ISNUMBER(S2198)),"Missing demographic or access input",TEXT(G2198,"0%")&amp;" economic need; "&amp;TEXT(K2198,"0.00")&amp;" mi fresh access; "&amp;L2198&amp;" nearby resources")</x:f>
        <x:v>87% economic need; 0.36 mi fresh access; 10 nearby resources</x:v>
      </x:c>
      <x:c r="AB2198" s="1" t="n">
        <x:f>IF(OR(A2198="",COUNTIFS($A$1531:$A$2030,A2198)&lt;&gt;1),0,MATCH(A2198,$A$1531:$A$2030,0))</x:f>
        <x:v>148</x:v>
      </x:c>
      <x:c r="AC2198" s="1" t="str">
        <x:f>IF(AB2198=0,"",INDEX($E$1531:$E$2030,AB2198))</x:f>
        <x:v>SAVE-A-LOT 60135</x:v>
      </x:c>
      <x:c r="AD2198" s="1" t="str">
        <x:f>IF(AB2198=0,"",INDEX($F$1531:$F$2030,AB2198))</x:f>
        <x:v>5800 Woodland Ave, Philadelphia, PA, 19143</x:v>
      </x:c>
      <x:c r="AE2198" s="1" t="str">
        <x:f>IF(A2198="","",F149)</x:f>
        <x:v>5600 CHESTER AVE</x:v>
      </x:c>
      <x:c r="AF2198" s="1" t="n">
        <x:f>IF(ISNUMBER(I149),I149,"")</x:f>
        <x:v>39.93731366</x:v>
      </x:c>
      <x:c r="AG2198" s="1" t="n">
        <x:f>IF(ISNUMBER(J149),J149,"")</x:f>
        <x:v>-75.22614036</x:v>
      </x:c>
      <x:c r="AH2198" s="1" t="str">
        <x:f>IF(I2198=0,"Not contacted",IF(INDEX('Staff Review'!$J$8:$J$507,I2198)="","Not contacted",INDEX('Staff Review'!$J$8:$J$507,I2198)))</x:f>
        <x:v>Not contacted</x:v>
      </x:c>
      <x:c r="AI2198" s="1" t="str">
        <x:f>IF(I2198=0,"No",IF(AND(COUNT(INDEX('Staff Review'!$D$8:$D$507,I2198))=1,INDEX('Staff Review'!$D$8:$D$507,I2198)&gt;=0,COUNT(INDEX('Staff Review'!$E$8:$E$507,I2198))=1,INDEX('Staff Review'!$E$8:$E$507,I2198)&gt;0,INDEX('Staff Review'!$E$8:$E$507,I2198)&lt;='Top 15'!$E$5,'Top 15'!$E$5-INDEX('Staff Review'!$E$8:$E$507,I2198)&lt;='Top 15'!$H$5,LEN(INDEX('Staff Review'!$H$8:$H$507,I2198))&gt;0),"Yes","No"))</x:f>
        <x:v>No</x:v>
      </x:c>
      <x:c r="AJ2198" s="1" t="str">
        <x:f>IF(I2198=0,"No",IF(COUNT(INDEX('Staff Review'!$F$8:$F$507,I2198))&lt;&gt;1,"No",IF(AND(INDEX('Staff Review'!$F$8:$F$507,I2198)&gt;=0,MOD(INDEX('Staff Review'!$F$8:$F$507,I2198),1)=0,COUNT(INDEX('Staff Review'!$G$8:$G$507,I2198))=1,INDEX('Staff Review'!$G$8:$G$507,I2198)&gt;0,INDEX('Staff Review'!$G$8:$G$507,I2198)&lt;='Top 15'!$E$5,'Top 15'!$E$5-INDEX('Staff Review'!$G$8:$G$507,I2198)&lt;='Top 15'!$H$5,LEN(INDEX('Staff Review'!$H$8:$H$507,I2198))&gt;0),"Yes","No")))</x:f>
        <x:v>No</x:v>
      </x:c>
      <x:c r="AK2198" s="1" t="n">
        <x:f>IF(A2198="",0,COUNTIFS($A$2:$A$501,A2198))</x:f>
        <x:v>1</x:v>
      </x:c>
      <x:c r="AL2198" s="1" t="n">
        <x:f>IF(V2198="Candidate",1,0)</x:f>
        <x:v>1</x:v>
      </x:c>
      <x:c r="AM2198" s="1" t="n">
        <x:f>IF(A2198="",0,VALUE(A2198))</x:f>
        <x:v>3442</x:v>
      </x:c>
      <x:c r="AN2198" s="1" t="n">
        <x:f>IF(OR(A2198="",COUNTIFS($T$41:$T$540,A2198)&lt;&gt;1),0,MATCH(A2198,$T$41:$T$540,0))</x:f>
        <x:v>148</x:v>
      </x:c>
      <x:c r="AO2198" t="n">
        <x:f>IF(ISNUMBER(W2198),W2198,10000+AM2198)</x:f>
        <x:v>136</x:v>
      </x:c>
    </x:row>
    <x:row r="2199" ht="22" customHeight="1">
      <x:c r="A2199" s="1" t="str">
        <x:f>IF(A150="","",A150)</x:f>
        <x:v>3443</x:v>
      </x:c>
      <x:c r="B2199" s="1" t="str">
        <x:f>IF(A2199="","",B150)</x:f>
        <x:v>KIPP West Philadelphia Charter School</x:v>
      </x:c>
      <x:c r="C2199" s="1" t="str">
        <x:f>IF(A2199="","",C150)</x:f>
        <x:v>Charter</x:v>
      </x:c>
      <x:c r="D2199" s="1" t="str">
        <x:f>IF(A2199="","",E150)</x:f>
        <x:v>Elementary</x:v>
      </x:c>
      <x:c r="E2199" s="1" t="str">
        <x:f>IF(A2199="","",H150)</x:f>
        <x:v>19131</x:v>
      </x:c>
      <x:c r="F2199" s="1" t="n">
        <x:f>IF(ISNUMBER(K150),K150,"")</x:f>
        <x:v>823</x:v>
      </x:c>
      <x:c r="G2199" s="1" t="str">
        <x:f>IF(ISNUMBER(L150),L150,"")</x:f>
      </x:c>
      <x:c r="H2199" s="1" t="str">
        <x:f>IF(A2199="","",IF(AND(UPPER(G150)="PHILADELPHIA",OR(C2199="District",AND(C2199="Charter",D150="Yes"))),"Yes","No"))</x:f>
        <x:v>Yes</x:v>
      </x:c>
      <x:c r="I2199" s="1" t="n">
        <x:f>IF(OR(A2199="",COUNTIFS('Staff Review'!$A$8:$A$507,A2199)&lt;&gt;1),0,MATCH(A2199,'Staff Review'!$A$8:$A$507,0))</x:f>
        <x:v>165</x:v>
      </x:c>
      <x:c r="J2199" s="1" t="str">
        <x:f>IF(I2199=0,"No",IF(INDEX('Staff Review'!$C$8:$C$507,I2199)="Yes","Yes","No"))</x:f>
        <x:v>No</x:v>
      </x:c>
      <x:c r="K2199" s="1" t="n">
        <x:f>IF(AI2199="Yes",INDEX('Staff Review'!$D$8:$D$507,I2199),IF(AB2199=0,"",IF(COUNT(INDEX($C$1531:$C$2030,AB2199))=1,INDEX($C$1531:$C$2030,AB2199),"")))</x:f>
        <x:v>0.22272035791186792</x:v>
      </x:c>
      <x:c r="L2199" s="1" t="n">
        <x:f>IF(AJ2199="Yes",INDEX('Staff Review'!$F$8:$F$507,I2199),IF(AB2199=0,"",IF(COUNT(INDEX($G$1531:$G$2030,AB2199))=1,INDEX($G$1531:$G$2030,AB2199),"")))</x:f>
        <x:v>5</x:v>
      </x:c>
      <x:c r="M2199" s="1" t="str">
        <x:f>IF(A2199="","",IF(AI2199="Yes","Verified","Listed"))</x:f>
        <x:v>Listed</x:v>
      </x:c>
      <x:c r="N2199" s="1" t="str">
        <x:f>IF(A2199="","",IF(AJ2199="Yes","Verified","Listed"))</x:f>
        <x:v>Listed</x:v>
      </x:c>
      <x:c r="O2199" s="1" t="str">
        <x:f>IF(AND(ISNUMBER(G2199),G2199&gt;=0,G2199&lt;=1),IF(G2199&gt;=0.9,30,IF(G2199&gt;=0.8,25,IF(G2199&gt;=0.7,20,IF(G2199&gt;=0.6,15,IF(G2199&gt;=0.5,10,IF(G2199&gt;=0.4,5,0)))))),"")</x:f>
      </x:c>
      <x:c r="P2199" s="1" t="n">
        <x:f>IF(ISNUMBER(K2199),IF(K2199&lt;0,"",IF(K2199&gt;1,25,IF(K2199&gt;=0.75,20,IF(K2199&gt;=0.5,15,IF(K2199&gt;=0.25,10,5))))),"")</x:f>
        <x:v>5</x:v>
      </x:c>
      <x:c r="Q2199" s="1" t="n">
        <x:f>IF(NOT(ISNUMBER(L2199)),"",IF(AND(L2199&gt;=0,MOD(L2199,1)=0),MAX(0,25-5*L2199),""))</x:f>
        <x:v>0</x:v>
      </x:c>
      <x:c r="R2199" s="1" t="n">
        <x:f>IF(NOT(ISNUMBER(F2199)),"",IF(AND(F2199&gt;0,MOD(F2199,1)=0),IF(F2199&gt;=700,5,IF(F2199&gt;=500,4,IF(F2199&gt;=350,3,IF(F2199&gt;=200,2,1)))),""))</x:f>
        <x:v>5</x:v>
      </x:c>
      <x:c r="S2199" s="1" t="str">
        <x:f>IF(COUNT(O2199:R2199)=4,SUM(O2199:R2199),"")</x:f>
      </x:c>
      <x:c r="T2199" s="1" t="str">
        <x:f>IF(OR(COUNT(O2199:R2199)&lt;&gt;4,COUNT('Top 15'!$B$35:$E$35)&lt;&gt;4,MIN('Top 15'!$B$35:$E$35)&lt;0,SUM('Top 15'!$B$35:$E$35)&lt;=0),"",ROUND(85*(O2199/30*'Top 15'!$B$35+P2199/25*'Top 15'!$C$35+Q2199/25*'Top 15'!$D$35+R2199/5*'Top 15'!$E$35)/SUM('Top 15'!$B$35:$E$35),6))</x:f>
      </x:c>
      <x:c r="U2199" s="1" t="str">
        <x:f>IF(A2199="","",IF(AND(M2199="Verified",N2199="Verified"),"Verified",IF(AND(M2199="Listed",N2199="Listed"),"Listed","Mixed")))</x:f>
        <x:v>Listed</x:v>
      </x:c>
      <x:c r="V2199" s="1" t="str">
        <x:f>IF(A2199="","",IF(AK2199&lt;&gt;1,"Duplicate source ID",IF(COUNTIFS('Staff Review'!$A$8:$A$507,A2199)&gt;1,"Duplicate review ID",IF(H2199&lt;&gt;"Yes","Outside scope",IF(J2199="Yes","Already served",IF(NOT(ISNUMBER(T2199)),"Missing data","Candidate"))))))</x:f>
        <x:v>Missing data</x:v>
      </x:c>
      <x:c r="W2199" s="1" t="str">
        <x:f>IF(AL2199=0,"",1+COUNTIFS($AL$2051:$AL$2550,1,$T$2051:$T$2550,"&gt;"&amp;T2199)+COUNTIFS($AL$2051:$AL$2550,1,$T$2051:$T$2550,T2199,$G$2051:$G$2550,"&gt;"&amp;G2199)+COUNTIFS($AL$2051:$AL$2550,1,$T$2051:$T$2550,T2199,$G$2051:$G$2550,G2199,$F$2051:$F$2550,"&gt;"&amp;F2199)+COUNTIFS($AL$2051:$AL$2550,1,$T$2051:$T$2550,T2199,$G$2051:$G$2550,G2199,$F$2051:$F$2550,F2199,$AM$2051:$AM$2550,"&lt;"&amp;AM2199))</x:f>
      </x:c>
      <x:c r="X2199" s="1" t="str">
        <x:f>IF(AL2199=0,"",1+COUNTIFS($AL$2051:$AL$2550,1,$T$2051:$T$2550,"&gt;"&amp;T2199))</x:f>
      </x:c>
      <x:c r="Y2199" s="1" t="n">
        <x:f>IF(AND(H2199="Yes",OR(LEN('School Search'!$B$5)=0,ISNUMBER(SEARCH('School Search'!$B$5,B2199&amp;" "&amp;E2199&amp;" "&amp;A2199))),OR('School Search'!$D$5="All",C2199='School Search'!$D$5),OR('School Search'!$G$5="All eligible",AND('School Search'!$G$5="Not marked served",J2199&lt;&gt;"Yes"),AND('School Search'!$G$5="Missing data",V2199="Missing data"),AND('School Search'!$G$5="Marked served",J2199="Yes"))),1,0)</x:f>
        <x:v>1</x:v>
      </x:c>
      <x:c r="Z2199" s="1" t="n">
        <x:f>IF(Y2199=0,"",COUNTIFS($Y$2051:$Y$2550,1,$AO$2051:$AO$2550,"&lt;"&amp;AO2199)+COUNTIFS($Y$2051:Y2199,1,$AO$2051:AO2199,AO2199))</x:f>
        <x:v>299</x:v>
      </x:c>
      <x:c r="AA2199" s="1" t="str">
        <x:f>IF(NOT(ISNUMBER(S2199)),"Missing demographic or access input",TEXT(G2199,"0%")&amp;" economic need; "&amp;TEXT(K2199,"0.00")&amp;" mi fresh access; "&amp;L2199&amp;" nearby resources")</x:f>
        <x:v>Missing demographic or access input</x:v>
      </x:c>
      <x:c r="AB2199" s="1" t="n">
        <x:f>IF(OR(A2199="",COUNTIFS($A$1531:$A$2030,A2199)&lt;&gt;1),0,MATCH(A2199,$A$1531:$A$2030,0))</x:f>
        <x:v>149</x:v>
      </x:c>
      <x:c r="AC2199" s="1" t="str">
        <x:f>IF(AB2199=0,"",INDEX($E$1531:$E$2030,AB2199))</x:f>
        <x:v>Shoprite of Parkside 419</x:v>
      </x:c>
      <x:c r="AD2199" s="1" t="str">
        <x:f>IF(AB2199=0,"",INDEX($F$1531:$F$2030,AB2199))</x:f>
        <x:v>1575 N 52nd St, Philadelphia, PA, 19131</x:v>
      </x:c>
      <x:c r="AE2199" s="1" t="str">
        <x:f>IF(A2199="","",F150)</x:f>
        <x:v>5070 PARKSIDE AVE</x:v>
      </x:c>
      <x:c r="AF2199" s="1" t="n">
        <x:f>IF(ISNUMBER(I150),I150,"")</x:f>
        <x:v>39.9796873</x:v>
      </x:c>
      <x:c r="AG2199" s="1" t="n">
        <x:f>IF(ISNUMBER(J150),J150,"")</x:f>
        <x:v>-75.2210853</x:v>
      </x:c>
      <x:c r="AH2199" s="1" t="str">
        <x:f>IF(I2199=0,"Not contacted",IF(INDEX('Staff Review'!$J$8:$J$507,I2199)="","Not contacted",INDEX('Staff Review'!$J$8:$J$507,I2199)))</x:f>
        <x:v>Not contacted</x:v>
      </x:c>
      <x:c r="AI2199" s="1" t="str">
        <x:f>IF(I2199=0,"No",IF(AND(COUNT(INDEX('Staff Review'!$D$8:$D$507,I2199))=1,INDEX('Staff Review'!$D$8:$D$507,I2199)&gt;=0,COUNT(INDEX('Staff Review'!$E$8:$E$507,I2199))=1,INDEX('Staff Review'!$E$8:$E$507,I2199)&gt;0,INDEX('Staff Review'!$E$8:$E$507,I2199)&lt;='Top 15'!$E$5,'Top 15'!$E$5-INDEX('Staff Review'!$E$8:$E$507,I2199)&lt;='Top 15'!$H$5,LEN(INDEX('Staff Review'!$H$8:$H$507,I2199))&gt;0),"Yes","No"))</x:f>
        <x:v>No</x:v>
      </x:c>
      <x:c r="AJ2199" s="1" t="str">
        <x:f>IF(I2199=0,"No",IF(COUNT(INDEX('Staff Review'!$F$8:$F$507,I2199))&lt;&gt;1,"No",IF(AND(INDEX('Staff Review'!$F$8:$F$507,I2199)&gt;=0,MOD(INDEX('Staff Review'!$F$8:$F$507,I2199),1)=0,COUNT(INDEX('Staff Review'!$G$8:$G$507,I2199))=1,INDEX('Staff Review'!$G$8:$G$507,I2199)&gt;0,INDEX('Staff Review'!$G$8:$G$507,I2199)&lt;='Top 15'!$E$5,'Top 15'!$E$5-INDEX('Staff Review'!$G$8:$G$507,I2199)&lt;='Top 15'!$H$5,LEN(INDEX('Staff Review'!$H$8:$H$507,I2199))&gt;0),"Yes","No")))</x:f>
        <x:v>No</x:v>
      </x:c>
      <x:c r="AK2199" s="1" t="n">
        <x:f>IF(A2199="",0,COUNTIFS($A$2:$A$501,A2199))</x:f>
        <x:v>1</x:v>
      </x:c>
      <x:c r="AL2199" s="1" t="n">
        <x:f>IF(V2199="Candidate",1,0)</x:f>
        <x:v>0</x:v>
      </x:c>
      <x:c r="AM2199" s="1" t="n">
        <x:f>IF(A2199="",0,VALUE(A2199))</x:f>
        <x:v>3443</x:v>
      </x:c>
      <x:c r="AN2199" s="1" t="n">
        <x:f>IF(OR(A2199="",COUNTIFS($T$41:$T$540,A2199)&lt;&gt;1),0,MATCH(A2199,$T$41:$T$540,0))</x:f>
        <x:v>149</x:v>
      </x:c>
      <x:c r="AO2199" t="n">
        <x:f>IF(ISNUMBER(W2199),W2199,10000+AM2199)</x:f>
        <x:v>13443</x:v>
      </x:c>
    </x:row>
    <x:row r="2200" ht="22" customHeight="1">
      <x:c r="A2200" s="1" t="str">
        <x:f>IF(A151="","",A151)</x:f>
        <x:v>3445</x:v>
      </x:c>
      <x:c r="B2200" s="1" t="str">
        <x:f>IF(A2200="","",B151)</x:f>
        <x:v>MAST Community Charter School III</x:v>
      </x:c>
      <x:c r="C2200" s="1" t="str">
        <x:f>IF(A2200="","",C151)</x:f>
        <x:v>Charter</x:v>
      </x:c>
      <x:c r="D2200" s="1" t="str">
        <x:f>IF(A2200="","",E151)</x:f>
        <x:v>Elementary</x:v>
      </x:c>
      <x:c r="E2200" s="1" t="str">
        <x:f>IF(A2200="","",H151)</x:f>
        <x:v>19154</x:v>
      </x:c>
      <x:c r="F2200" s="1" t="n">
        <x:f>IF(ISNUMBER(K151),K151,"")</x:f>
        <x:v>1328</x:v>
      </x:c>
      <x:c r="G2200" s="1" t="n">
        <x:f>IF(ISNUMBER(L151),L151,"")</x:f>
        <x:v>0.6847</x:v>
      </x:c>
      <x:c r="H2200" s="1" t="str">
        <x:f>IF(A2200="","",IF(AND(UPPER(G151)="PHILADELPHIA",OR(C2200="District",AND(C2200="Charter",D151="Yes"))),"Yes","No"))</x:f>
        <x:v>Yes</x:v>
      </x:c>
      <x:c r="I2200" s="1" t="n">
        <x:f>IF(OR(A2200="",COUNTIFS('Staff Review'!$A$8:$A$507,A2200)&lt;&gt;1),0,MATCH(A2200,'Staff Review'!$A$8:$A$507,0))</x:f>
        <x:v>180</x:v>
      </x:c>
      <x:c r="J2200" s="1" t="str">
        <x:f>IF(I2200=0,"No",IF(INDEX('Staff Review'!$C$8:$C$507,I2200)="Yes","Yes","No"))</x:f>
        <x:v>No</x:v>
      </x:c>
      <x:c r="K2200" s="1" t="n">
        <x:f>IF(AI2200="Yes",INDEX('Staff Review'!$D$8:$D$507,I2200),IF(AB2200=0,"",IF(COUNT(INDEX($C$1531:$C$2030,AB2200))=1,INDEX($C$1531:$C$2030,AB2200),"")))</x:f>
        <x:v>0.565669031699028</x:v>
      </x:c>
      <x:c r="L2200" s="1" t="n">
        <x:f>IF(AJ2200="Yes",INDEX('Staff Review'!$F$8:$F$507,I2200),IF(AB2200=0,"",IF(COUNT(INDEX($G$1531:$G$2030,AB2200))=1,INDEX($G$1531:$G$2030,AB2200),"")))</x:f>
        <x:v>1</x:v>
      </x:c>
      <x:c r="M2200" s="1" t="str">
        <x:f>IF(A2200="","",IF(AI2200="Yes","Verified","Listed"))</x:f>
        <x:v>Listed</x:v>
      </x:c>
      <x:c r="N2200" s="1" t="str">
        <x:f>IF(A2200="","",IF(AJ2200="Yes","Verified","Listed"))</x:f>
        <x:v>Listed</x:v>
      </x:c>
      <x:c r="O2200" s="1" t="n">
        <x:f>IF(AND(ISNUMBER(G2200),G2200&gt;=0,G2200&lt;=1),IF(G2200&gt;=0.9,30,IF(G2200&gt;=0.8,25,IF(G2200&gt;=0.7,20,IF(G2200&gt;=0.6,15,IF(G2200&gt;=0.5,10,IF(G2200&gt;=0.4,5,0)))))),"")</x:f>
        <x:v>15</x:v>
      </x:c>
      <x:c r="P2200" s="1" t="n">
        <x:f>IF(ISNUMBER(K2200),IF(K2200&lt;0,"",IF(K2200&gt;1,25,IF(K2200&gt;=0.75,20,IF(K2200&gt;=0.5,15,IF(K2200&gt;=0.25,10,5))))),"")</x:f>
        <x:v>15</x:v>
      </x:c>
      <x:c r="Q2200" s="1" t="n">
        <x:f>IF(NOT(ISNUMBER(L2200)),"",IF(AND(L2200&gt;=0,MOD(L2200,1)=0),MAX(0,25-5*L2200),""))</x:f>
        <x:v>20</x:v>
      </x:c>
      <x:c r="R2200" s="1" t="n">
        <x:f>IF(NOT(ISNUMBER(F2200)),"",IF(AND(F2200&gt;0,MOD(F2200,1)=0),IF(F2200&gt;=700,5,IF(F2200&gt;=500,4,IF(F2200&gt;=350,3,IF(F2200&gt;=200,2,1)))),""))</x:f>
        <x:v>5</x:v>
      </x:c>
      <x:c r="S2200" s="1" t="n">
        <x:f>IF(COUNT(O2200:R2200)=4,SUM(O2200:R2200),"")</x:f>
        <x:v>55</x:v>
      </x:c>
      <x:c r="T2200" s="1" t="n">
        <x:f>IF(OR(COUNT(O2200:R2200)&lt;&gt;4,COUNT('Top 15'!$B$35:$E$35)&lt;&gt;4,MIN('Top 15'!$B$35:$E$35)&lt;0,SUM('Top 15'!$B$35:$E$35)&lt;=0),"",ROUND(85*(O2200/30*'Top 15'!$B$35+P2200/25*'Top 15'!$C$35+Q2200/25*'Top 15'!$D$35+R2200/5*'Top 15'!$E$35)/SUM('Top 15'!$B$35:$E$35),6))</x:f>
        <x:v>55</x:v>
      </x:c>
      <x:c r="U2200" s="1" t="str">
        <x:f>IF(A2200="","",IF(AND(M2200="Verified",N2200="Verified"),"Verified",IF(AND(M2200="Listed",N2200="Listed"),"Listed","Mixed")))</x:f>
        <x:v>Listed</x:v>
      </x:c>
      <x:c r="V2200" s="1" t="str">
        <x:f>IF(A2200="","",IF(AK2200&lt;&gt;1,"Duplicate source ID",IF(COUNTIFS('Staff Review'!$A$8:$A$507,A2200)&gt;1,"Duplicate review ID",IF(H2200&lt;&gt;"Yes","Outside scope",IF(J2200="Yes","Already served",IF(NOT(ISNUMBER(T2200)),"Missing data","Candidate"))))))</x:f>
        <x:v>Candidate</x:v>
      </x:c>
      <x:c r="W2200" s="1" t="n">
        <x:f>IF(AL2200=0,"",1+COUNTIFS($AL$2051:$AL$2550,1,$T$2051:$T$2550,"&gt;"&amp;T2200)+COUNTIFS($AL$2051:$AL$2550,1,$T$2051:$T$2550,T2200,$G$2051:$G$2550,"&gt;"&amp;G2200)+COUNTIFS($AL$2051:$AL$2550,1,$T$2051:$T$2550,T2200,$G$2051:$G$2550,G2200,$F$2051:$F$2550,"&gt;"&amp;F2200)+COUNTIFS($AL$2051:$AL$2550,1,$T$2051:$T$2550,T2200,$G$2051:$G$2550,G2200,$F$2051:$F$2550,F2200,$AM$2051:$AM$2550,"&lt;"&amp;AM2200))</x:f>
        <x:v>30</x:v>
      </x:c>
      <x:c r="X2200" s="1" t="n">
        <x:f>IF(AL2200=0,"",1+COUNTIFS($AL$2051:$AL$2550,1,$T$2051:$T$2550,"&gt;"&amp;T2200))</x:f>
        <x:v>24</x:v>
      </x:c>
      <x:c r="Y2200" s="1" t="n">
        <x:f>IF(AND(H2200="Yes",OR(LEN('School Search'!$B$5)=0,ISNUMBER(SEARCH('School Search'!$B$5,B2200&amp;" "&amp;E2200&amp;" "&amp;A2200))),OR('School Search'!$D$5="All",C2200='School Search'!$D$5),OR('School Search'!$G$5="All eligible",AND('School Search'!$G$5="Not marked served",J2200&lt;&gt;"Yes"),AND('School Search'!$G$5="Missing data",V2200="Missing data"),AND('School Search'!$G$5="Marked served",J2200="Yes"))),1,0)</x:f>
        <x:v>1</x:v>
      </x:c>
      <x:c r="Z2200" s="1" t="n">
        <x:f>IF(Y2200=0,"",COUNTIFS($Y$2051:$Y$2550,1,$AO$2051:$AO$2550,"&lt;"&amp;AO2200)+COUNTIFS($Y$2051:Y2200,1,$AO$2051:AO2200,AO2200))</x:f>
        <x:v>30</x:v>
      </x:c>
      <x:c r="AA2200" s="1" t="str">
        <x:f>IF(NOT(ISNUMBER(S2200)),"Missing demographic or access input",TEXT(G2200,"0%")&amp;" economic need; "&amp;TEXT(K2200,"0.00")&amp;" mi fresh access; "&amp;L2200&amp;" nearby resources")</x:f>
        <x:v>68% economic need; 0.57 mi fresh access; 1 nearby resources</x:v>
      </x:c>
      <x:c r="AB2200" s="1" t="n">
        <x:f>IF(OR(A2200="",COUNTIFS($A$1531:$A$2030,A2200)&lt;&gt;1),0,MATCH(A2200,$A$1531:$A$2030,0))</x:f>
        <x:v>150</x:v>
      </x:c>
      <x:c r="AC2200" s="1" t="str">
        <x:f>IF(AB2200=0,"",INDEX($E$1531:$E$2030,AB2200))</x:f>
        <x:v>ALDI 60191</x:v>
      </x:c>
      <x:c r="AD2200" s="1" t="str">
        <x:f>IF(AB2200=0,"",INDEX($F$1531:$F$2030,AB2200))</x:f>
        <x:v>12002 Roosevelt Blvd, Philadelphia, PA, 19116</x:v>
      </x:c>
      <x:c r="AE2200" s="1" t="str">
        <x:f>IF(A2200="","",F151)</x:f>
        <x:v>1 CROWN WAY</x:v>
      </x:c>
      <x:c r="AF2200" s="1" t="n">
        <x:f>IF(ISNUMBER(I151),I151,"")</x:f>
        <x:v>40.109575</x:v>
      </x:c>
      <x:c r="AG2200" s="1" t="n">
        <x:f>IF(ISNUMBER(J151),J151,"")</x:f>
        <x:v>-74.991671</x:v>
      </x:c>
      <x:c r="AH2200" s="1" t="str">
        <x:f>IF(I2200=0,"Not contacted",IF(INDEX('Staff Review'!$J$8:$J$507,I2200)="","Not contacted",INDEX('Staff Review'!$J$8:$J$507,I2200)))</x:f>
        <x:v>Not contacted</x:v>
      </x:c>
      <x:c r="AI2200" s="1" t="str">
        <x:f>IF(I2200=0,"No",IF(AND(COUNT(INDEX('Staff Review'!$D$8:$D$507,I2200))=1,INDEX('Staff Review'!$D$8:$D$507,I2200)&gt;=0,COUNT(INDEX('Staff Review'!$E$8:$E$507,I2200))=1,INDEX('Staff Review'!$E$8:$E$507,I2200)&gt;0,INDEX('Staff Review'!$E$8:$E$507,I2200)&lt;='Top 15'!$E$5,'Top 15'!$E$5-INDEX('Staff Review'!$E$8:$E$507,I2200)&lt;='Top 15'!$H$5,LEN(INDEX('Staff Review'!$H$8:$H$507,I2200))&gt;0),"Yes","No"))</x:f>
        <x:v>No</x:v>
      </x:c>
      <x:c r="AJ2200" s="1" t="str">
        <x:f>IF(I2200=0,"No",IF(COUNT(INDEX('Staff Review'!$F$8:$F$507,I2200))&lt;&gt;1,"No",IF(AND(INDEX('Staff Review'!$F$8:$F$507,I2200)&gt;=0,MOD(INDEX('Staff Review'!$F$8:$F$507,I2200),1)=0,COUNT(INDEX('Staff Review'!$G$8:$G$507,I2200))=1,INDEX('Staff Review'!$G$8:$G$507,I2200)&gt;0,INDEX('Staff Review'!$G$8:$G$507,I2200)&lt;='Top 15'!$E$5,'Top 15'!$E$5-INDEX('Staff Review'!$G$8:$G$507,I2200)&lt;='Top 15'!$H$5,LEN(INDEX('Staff Review'!$H$8:$H$507,I2200))&gt;0),"Yes","No")))</x:f>
        <x:v>No</x:v>
      </x:c>
      <x:c r="AK2200" s="1" t="n">
        <x:f>IF(A2200="",0,COUNTIFS($A$2:$A$501,A2200))</x:f>
        <x:v>1</x:v>
      </x:c>
      <x:c r="AL2200" s="1" t="n">
        <x:f>IF(V2200="Candidate",1,0)</x:f>
        <x:v>1</x:v>
      </x:c>
      <x:c r="AM2200" s="1" t="n">
        <x:f>IF(A2200="",0,VALUE(A2200))</x:f>
        <x:v>3445</x:v>
      </x:c>
      <x:c r="AN2200" s="1" t="n">
        <x:f>IF(OR(A2200="",COUNTIFS($T$41:$T$540,A2200)&lt;&gt;1),0,MATCH(A2200,$T$41:$T$540,0))</x:f>
        <x:v>150</x:v>
      </x:c>
      <x:c r="AO2200" t="n">
        <x:f>IF(ISNUMBER(W2200),W2200,10000+AM2200)</x:f>
        <x:v>30</x:v>
      </x:c>
    </x:row>
    <x:row r="2201" ht="22" customHeight="1">
      <x:c r="A2201" s="1" t="str">
        <x:f>IF(A152="","",A152)</x:f>
        <x:v>3446</x:v>
      </x:c>
      <x:c r="B2201" s="1" t="str">
        <x:f>IF(A2201="","",B152)</x:f>
        <x:v>Philadelphia Hebrew Public Charter School</x:v>
      </x:c>
      <x:c r="C2201" s="1" t="str">
        <x:f>IF(A2201="","",C152)</x:f>
        <x:v>Charter</x:v>
      </x:c>
      <x:c r="D2201" s="1" t="str">
        <x:f>IF(A2201="","",E152)</x:f>
        <x:v>Elementary</x:v>
      </x:c>
      <x:c r="E2201" s="1" t="str">
        <x:f>IF(A2201="","",H152)</x:f>
        <x:v>19129</x:v>
      </x:c>
      <x:c r="F2201" s="1" t="n">
        <x:f>IF(ISNUMBER(K152),K152,"")</x:f>
        <x:v>614</x:v>
      </x:c>
      <x:c r="G2201" s="1" t="n">
        <x:f>IF(ISNUMBER(L152),L152,"")</x:f>
        <x:v>0.7869</x:v>
      </x:c>
      <x:c r="H2201" s="1" t="str">
        <x:f>IF(A2201="","",IF(AND(UPPER(G152)="PHILADELPHIA",OR(C2201="District",AND(C2201="Charter",D152="Yes"))),"Yes","No"))</x:f>
        <x:v>Yes</x:v>
      </x:c>
      <x:c r="I2201" s="1" t="n">
        <x:f>IF(OR(A2201="",COUNTIFS('Staff Review'!$A$8:$A$507,A2201)&lt;&gt;1),0,MATCH(A2201,'Staff Review'!$A$8:$A$507,0))</x:f>
        <x:v>234</x:v>
      </x:c>
      <x:c r="J2201" s="1" t="str">
        <x:f>IF(I2201=0,"No",IF(INDEX('Staff Review'!$C$8:$C$507,I2201)="Yes","Yes","No"))</x:f>
        <x:v>No</x:v>
      </x:c>
      <x:c r="K2201" s="1" t="n">
        <x:f>IF(AI2201="Yes",INDEX('Staff Review'!$D$8:$D$507,I2201),IF(AB2201=0,"",IF(COUNT(INDEX($C$1531:$C$2030,AB2201))=1,INDEX($C$1531:$C$2030,AB2201),"")))</x:f>
        <x:v>0.4940020933208758</x:v>
      </x:c>
      <x:c r="L2201" s="1" t="n">
        <x:f>IF(AJ2201="Yes",INDEX('Staff Review'!$F$8:$F$507,I2201),IF(AB2201=0,"",IF(COUNT(INDEX($G$1531:$G$2030,AB2201))=1,INDEX($G$1531:$G$2030,AB2201),"")))</x:f>
        <x:v>3</x:v>
      </x:c>
      <x:c r="M2201" s="1" t="str">
        <x:f>IF(A2201="","",IF(AI2201="Yes","Verified","Listed"))</x:f>
        <x:v>Listed</x:v>
      </x:c>
      <x:c r="N2201" s="1" t="str">
        <x:f>IF(A2201="","",IF(AJ2201="Yes","Verified","Listed"))</x:f>
        <x:v>Listed</x:v>
      </x:c>
      <x:c r="O2201" s="1" t="n">
        <x:f>IF(AND(ISNUMBER(G2201),G2201&gt;=0,G2201&lt;=1),IF(G2201&gt;=0.9,30,IF(G2201&gt;=0.8,25,IF(G2201&gt;=0.7,20,IF(G2201&gt;=0.6,15,IF(G2201&gt;=0.5,10,IF(G2201&gt;=0.4,5,0)))))),"")</x:f>
        <x:v>20</x:v>
      </x:c>
      <x:c r="P2201" s="1" t="n">
        <x:f>IF(ISNUMBER(K2201),IF(K2201&lt;0,"",IF(K2201&gt;1,25,IF(K2201&gt;=0.75,20,IF(K2201&gt;=0.5,15,IF(K2201&gt;=0.25,10,5))))),"")</x:f>
        <x:v>10</x:v>
      </x:c>
      <x:c r="Q2201" s="1" t="n">
        <x:f>IF(NOT(ISNUMBER(L2201)),"",IF(AND(L2201&gt;=0,MOD(L2201,1)=0),MAX(0,25-5*L2201),""))</x:f>
        <x:v>10</x:v>
      </x:c>
      <x:c r="R2201" s="1" t="n">
        <x:f>IF(NOT(ISNUMBER(F2201)),"",IF(AND(F2201&gt;0,MOD(F2201,1)=0),IF(F2201&gt;=700,5,IF(F2201&gt;=500,4,IF(F2201&gt;=350,3,IF(F2201&gt;=200,2,1)))),""))</x:f>
        <x:v>4</x:v>
      </x:c>
      <x:c r="S2201" s="1" t="n">
        <x:f>IF(COUNT(O2201:R2201)=4,SUM(O2201:R2201),"")</x:f>
        <x:v>44</x:v>
      </x:c>
      <x:c r="T2201" s="1" t="n">
        <x:f>IF(OR(COUNT(O2201:R2201)&lt;&gt;4,COUNT('Top 15'!$B$35:$E$35)&lt;&gt;4,MIN('Top 15'!$B$35:$E$35)&lt;0,SUM('Top 15'!$B$35:$E$35)&lt;=0),"",ROUND(85*(O2201/30*'Top 15'!$B$35+P2201/25*'Top 15'!$C$35+Q2201/25*'Top 15'!$D$35+R2201/5*'Top 15'!$E$35)/SUM('Top 15'!$B$35:$E$35),6))</x:f>
        <x:v>44</x:v>
      </x:c>
      <x:c r="U2201" s="1" t="str">
        <x:f>IF(A2201="","",IF(AND(M2201="Verified",N2201="Verified"),"Verified",IF(AND(M2201="Listed",N2201="Listed"),"Listed","Mixed")))</x:f>
        <x:v>Listed</x:v>
      </x:c>
      <x:c r="V2201" s="1" t="str">
        <x:f>IF(A2201="","",IF(AK2201&lt;&gt;1,"Duplicate source ID",IF(COUNTIFS('Staff Review'!$A$8:$A$507,A2201)&gt;1,"Duplicate review ID",IF(H2201&lt;&gt;"Yes","Outside scope",IF(J2201="Yes","Already served",IF(NOT(ISNUMBER(T2201)),"Missing data","Candidate"))))))</x:f>
        <x:v>Candidate</x:v>
      </x:c>
      <x:c r="W2201" s="1" t="n">
        <x:f>IF(AL2201=0,"",1+COUNTIFS($AL$2051:$AL$2550,1,$T$2051:$T$2550,"&gt;"&amp;T2201)+COUNTIFS($AL$2051:$AL$2550,1,$T$2051:$T$2550,T2201,$G$2051:$G$2550,"&gt;"&amp;G2201)+COUNTIFS($AL$2051:$AL$2550,1,$T$2051:$T$2550,T2201,$G$2051:$G$2550,G2201,$F$2051:$F$2550,"&gt;"&amp;F2201)+COUNTIFS($AL$2051:$AL$2550,1,$T$2051:$T$2550,T2201,$G$2051:$G$2550,G2201,$F$2051:$F$2550,F2201,$AM$2051:$AM$2550,"&lt;"&amp;AM2201))</x:f>
        <x:v>88</x:v>
      </x:c>
      <x:c r="X2201" s="1" t="n">
        <x:f>IF(AL2201=0,"",1+COUNTIFS($AL$2051:$AL$2550,1,$T$2051:$T$2550,"&gt;"&amp;T2201))</x:f>
        <x:v>81</x:v>
      </x:c>
      <x:c r="Y2201" s="1" t="n">
        <x:f>IF(AND(H2201="Yes",OR(LEN('School Search'!$B$5)=0,ISNUMBER(SEARCH('School Search'!$B$5,B2201&amp;" "&amp;E2201&amp;" "&amp;A2201))),OR('School Search'!$D$5="All",C2201='School Search'!$D$5),OR('School Search'!$G$5="All eligible",AND('School Search'!$G$5="Not marked served",J2201&lt;&gt;"Yes"),AND('School Search'!$G$5="Missing data",V2201="Missing data"),AND('School Search'!$G$5="Marked served",J2201="Yes"))),1,0)</x:f>
        <x:v>1</x:v>
      </x:c>
      <x:c r="Z2201" s="1" t="n">
        <x:f>IF(Y2201=0,"",COUNTIFS($Y$2051:$Y$2550,1,$AO$2051:$AO$2550,"&lt;"&amp;AO2201)+COUNTIFS($Y$2051:Y2201,1,$AO$2051:AO2201,AO2201))</x:f>
        <x:v>88</x:v>
      </x:c>
      <x:c r="AA2201" s="1" t="str">
        <x:f>IF(NOT(ISNUMBER(S2201)),"Missing demographic or access input",TEXT(G2201,"0%")&amp;" economic need; "&amp;TEXT(K2201,"0.00")&amp;" mi fresh access; "&amp;L2201&amp;" nearby resources")</x:f>
        <x:v>79% economic need; 0.49 mi fresh access; 3 nearby resources</x:v>
      </x:c>
      <x:c r="AB2201" s="1" t="n">
        <x:f>IF(OR(A2201="",COUNTIFS($A$1531:$A$2030,A2201)&lt;&gt;1),0,MATCH(A2201,$A$1531:$A$2030,0))</x:f>
        <x:v>151</x:v>
      </x:c>
      <x:c r="AC2201" s="1" t="str">
        <x:f>IF(AB2201=0,"",INDEX($E$1531:$E$2030,AB2201))</x:f>
        <x:v>Shoprite of Fox Street 430</x:v>
      </x:c>
      <x:c r="AD2201" s="1" t="str">
        <x:f>IF(AB2201=0,"",INDEX($F$1531:$F$2030,AB2201))</x:f>
        <x:v>2800 Fox Street, Philadelphia, PA, 19129</x:v>
      </x:c>
      <x:c r="AE2201" s="1" t="str">
        <x:f>IF(A2201="","",F152)</x:f>
        <x:v>3300 HENRY AVE</x:v>
      </x:c>
      <x:c r="AF2201" s="1" t="n">
        <x:f>IF(ISNUMBER(I152),I152,"")</x:f>
        <x:v>40.012045</x:v>
      </x:c>
      <x:c r="AG2201" s="1" t="n">
        <x:f>IF(ISNUMBER(J152),J152,"")</x:f>
        <x:v>-75.184376</x:v>
      </x:c>
      <x:c r="AH2201" s="1" t="str">
        <x:f>IF(I2201=0,"Not contacted",IF(INDEX('Staff Review'!$J$8:$J$507,I2201)="","Not contacted",INDEX('Staff Review'!$J$8:$J$507,I2201)))</x:f>
        <x:v>Not contacted</x:v>
      </x:c>
      <x:c r="AI2201" s="1" t="str">
        <x:f>IF(I2201=0,"No",IF(AND(COUNT(INDEX('Staff Review'!$D$8:$D$507,I2201))=1,INDEX('Staff Review'!$D$8:$D$507,I2201)&gt;=0,COUNT(INDEX('Staff Review'!$E$8:$E$507,I2201))=1,INDEX('Staff Review'!$E$8:$E$507,I2201)&gt;0,INDEX('Staff Review'!$E$8:$E$507,I2201)&lt;='Top 15'!$E$5,'Top 15'!$E$5-INDEX('Staff Review'!$E$8:$E$507,I2201)&lt;='Top 15'!$H$5,LEN(INDEX('Staff Review'!$H$8:$H$507,I2201))&gt;0),"Yes","No"))</x:f>
        <x:v>No</x:v>
      </x:c>
      <x:c r="AJ2201" s="1" t="str">
        <x:f>IF(I2201=0,"No",IF(COUNT(INDEX('Staff Review'!$F$8:$F$507,I2201))&lt;&gt;1,"No",IF(AND(INDEX('Staff Review'!$F$8:$F$507,I2201)&gt;=0,MOD(INDEX('Staff Review'!$F$8:$F$507,I2201),1)=0,COUNT(INDEX('Staff Review'!$G$8:$G$507,I2201))=1,INDEX('Staff Review'!$G$8:$G$507,I2201)&gt;0,INDEX('Staff Review'!$G$8:$G$507,I2201)&lt;='Top 15'!$E$5,'Top 15'!$E$5-INDEX('Staff Review'!$G$8:$G$507,I2201)&lt;='Top 15'!$H$5,LEN(INDEX('Staff Review'!$H$8:$H$507,I2201))&gt;0),"Yes","No")))</x:f>
        <x:v>No</x:v>
      </x:c>
      <x:c r="AK2201" s="1" t="n">
        <x:f>IF(A2201="",0,COUNTIFS($A$2:$A$501,A2201))</x:f>
        <x:v>1</x:v>
      </x:c>
      <x:c r="AL2201" s="1" t="n">
        <x:f>IF(V2201="Candidate",1,0)</x:f>
        <x:v>1</x:v>
      </x:c>
      <x:c r="AM2201" s="1" t="n">
        <x:f>IF(A2201="",0,VALUE(A2201))</x:f>
        <x:v>3446</x:v>
      </x:c>
      <x:c r="AN2201" s="1" t="n">
        <x:f>IF(OR(A2201="",COUNTIFS($T$41:$T$540,A2201)&lt;&gt;1),0,MATCH(A2201,$T$41:$T$540,0))</x:f>
        <x:v>151</x:v>
      </x:c>
      <x:c r="AO2201" t="n">
        <x:f>IF(ISNUMBER(W2201),W2201,10000+AM2201)</x:f>
        <x:v>88</x:v>
      </x:c>
    </x:row>
    <x:row r="2202" ht="22" customHeight="1">
      <x:c r="A2202" s="1" t="str">
        <x:f>IF(A153="","",A153)</x:f>
        <x:v>3510</x:v>
      </x:c>
      <x:c r="B2202" s="1" t="str">
        <x:f>IF(A2202="","",B153)</x:f>
        <x:v>El Centro de Estudiantes</x:v>
      </x:c>
      <x:c r="C2202" s="1" t="str">
        <x:f>IF(A2202="","",C153)</x:f>
        <x:v>Contracted</x:v>
      </x:c>
      <x:c r="D2202" s="1" t="str">
        <x:f>IF(A2202="","",E153)</x:f>
        <x:v>Transition/Overage School</x:v>
      </x:c>
      <x:c r="E2202" s="1" t="str">
        <x:f>IF(A2202="","",H153)</x:f>
        <x:v>19134</x:v>
      </x:c>
      <x:c r="F2202" s="1" t="n">
        <x:f>IF(ISNUMBER(K153),K153,"")</x:f>
        <x:v>146</x:v>
      </x:c>
      <x:c r="G2202" s="1" t="str">
        <x:f>IF(ISNUMBER(L153),L153,"")</x:f>
      </x:c>
      <x:c r="H2202" s="1" t="str">
        <x:f>IF(A2202="","",IF(AND(UPPER(G153)="PHILADELPHIA",OR(C2202="District",AND(C2202="Charter",D153="Yes"))),"Yes","No"))</x:f>
        <x:v>No</x:v>
      </x:c>
      <x:c r="I2202" s="1" t="n">
        <x:f>IF(OR(A2202="",COUNTIFS('Staff Review'!$A$8:$A$507,A2202)&lt;&gt;1),0,MATCH(A2202,'Staff Review'!$A$8:$A$507,0))</x:f>
        <x:v>60</x:v>
      </x:c>
      <x:c r="J2202" s="1" t="str">
        <x:f>IF(I2202=0,"No",IF(INDEX('Staff Review'!$C$8:$C$507,I2202)="Yes","Yes","No"))</x:f>
        <x:v>No</x:v>
      </x:c>
      <x:c r="K2202" s="1" t="n">
        <x:f>IF(AI2202="Yes",INDEX('Staff Review'!$D$8:$D$507,I2202),IF(AB2202=0,"",IF(COUNT(INDEX($C$1531:$C$2030,AB2202))=1,INDEX($C$1531:$C$2030,AB2202),"")))</x:f>
        <x:v>0.4575694465003808</x:v>
      </x:c>
      <x:c r="L2202" s="1" t="n">
        <x:f>IF(AJ2202="Yes",INDEX('Staff Review'!$F$8:$F$507,I2202),IF(AB2202=0,"",IF(COUNT(INDEX($G$1531:$G$2030,AB2202))=1,INDEX($G$1531:$G$2030,AB2202),"")))</x:f>
        <x:v>7</x:v>
      </x:c>
      <x:c r="M2202" s="1" t="str">
        <x:f>IF(A2202="","",IF(AI2202="Yes","Verified","Listed"))</x:f>
        <x:v>Listed</x:v>
      </x:c>
      <x:c r="N2202" s="1" t="str">
        <x:f>IF(A2202="","",IF(AJ2202="Yes","Verified","Listed"))</x:f>
        <x:v>Listed</x:v>
      </x:c>
      <x:c r="O2202" s="1" t="str">
        <x:f>IF(AND(ISNUMBER(G2202),G2202&gt;=0,G2202&lt;=1),IF(G2202&gt;=0.9,30,IF(G2202&gt;=0.8,25,IF(G2202&gt;=0.7,20,IF(G2202&gt;=0.6,15,IF(G2202&gt;=0.5,10,IF(G2202&gt;=0.4,5,0)))))),"")</x:f>
      </x:c>
      <x:c r="P2202" s="1" t="n">
        <x:f>IF(ISNUMBER(K2202),IF(K2202&lt;0,"",IF(K2202&gt;1,25,IF(K2202&gt;=0.75,20,IF(K2202&gt;=0.5,15,IF(K2202&gt;=0.25,10,5))))),"")</x:f>
        <x:v>10</x:v>
      </x:c>
      <x:c r="Q2202" s="1" t="n">
        <x:f>IF(NOT(ISNUMBER(L2202)),"",IF(AND(L2202&gt;=0,MOD(L2202,1)=0),MAX(0,25-5*L2202),""))</x:f>
        <x:v>0</x:v>
      </x:c>
      <x:c r="R2202" s="1" t="n">
        <x:f>IF(NOT(ISNUMBER(F2202)),"",IF(AND(F2202&gt;0,MOD(F2202,1)=0),IF(F2202&gt;=700,5,IF(F2202&gt;=500,4,IF(F2202&gt;=350,3,IF(F2202&gt;=200,2,1)))),""))</x:f>
        <x:v>1</x:v>
      </x:c>
      <x:c r="S2202" s="1" t="str">
        <x:f>IF(COUNT(O2202:R2202)=4,SUM(O2202:R2202),"")</x:f>
      </x:c>
      <x:c r="T2202" s="1" t="str">
        <x:f>IF(OR(COUNT(O2202:R2202)&lt;&gt;4,COUNT('Top 15'!$B$35:$E$35)&lt;&gt;4,MIN('Top 15'!$B$35:$E$35)&lt;0,SUM('Top 15'!$B$35:$E$35)&lt;=0),"",ROUND(85*(O2202/30*'Top 15'!$B$35+P2202/25*'Top 15'!$C$35+Q2202/25*'Top 15'!$D$35+R2202/5*'Top 15'!$E$35)/SUM('Top 15'!$B$35:$E$35),6))</x:f>
      </x:c>
      <x:c r="U2202" s="1" t="str">
        <x:f>IF(A2202="","",IF(AND(M2202="Verified",N2202="Verified"),"Verified",IF(AND(M2202="Listed",N2202="Listed"),"Listed","Mixed")))</x:f>
        <x:v>Listed</x:v>
      </x:c>
      <x:c r="V2202" s="1" t="str">
        <x:f>IF(A2202="","",IF(AK2202&lt;&gt;1,"Duplicate source ID",IF(COUNTIFS('Staff Review'!$A$8:$A$507,A2202)&gt;1,"Duplicate review ID",IF(H2202&lt;&gt;"Yes","Outside scope",IF(J2202="Yes","Already served",IF(NOT(ISNUMBER(T2202)),"Missing data","Candidate"))))))</x:f>
        <x:v>Outside scope</x:v>
      </x:c>
      <x:c r="W2202" s="1" t="str">
        <x:f>IF(AL2202=0,"",1+COUNTIFS($AL$2051:$AL$2550,1,$T$2051:$T$2550,"&gt;"&amp;T2202)+COUNTIFS($AL$2051:$AL$2550,1,$T$2051:$T$2550,T2202,$G$2051:$G$2550,"&gt;"&amp;G2202)+COUNTIFS($AL$2051:$AL$2550,1,$T$2051:$T$2550,T2202,$G$2051:$G$2550,G2202,$F$2051:$F$2550,"&gt;"&amp;F2202)+COUNTIFS($AL$2051:$AL$2550,1,$T$2051:$T$2550,T2202,$G$2051:$G$2550,G2202,$F$2051:$F$2550,F2202,$AM$2051:$AM$2550,"&lt;"&amp;AM2202))</x:f>
      </x:c>
      <x:c r="X2202" s="1" t="str">
        <x:f>IF(AL2202=0,"",1+COUNTIFS($AL$2051:$AL$2550,1,$T$2051:$T$2550,"&gt;"&amp;T2202))</x:f>
      </x:c>
      <x:c r="Y2202" s="1" t="n">
        <x:f>IF(AND(H2202="Yes",OR(LEN('School Search'!$B$5)=0,ISNUMBER(SEARCH('School Search'!$B$5,B2202&amp;" "&amp;E2202&amp;" "&amp;A2202))),OR('School Search'!$D$5="All",C2202='School Search'!$D$5),OR('School Search'!$G$5="All eligible",AND('School Search'!$G$5="Not marked served",J2202&lt;&gt;"Yes"),AND('School Search'!$G$5="Missing data",V2202="Missing data"),AND('School Search'!$G$5="Marked served",J2202="Yes"))),1,0)</x:f>
        <x:v>0</x:v>
      </x:c>
      <x:c r="Z2202" s="1" t="str">
        <x:f>IF(Y2202=0,"",COUNTIFS($Y$2051:$Y$2550,1,$AO$2051:$AO$2550,"&lt;"&amp;AO2202)+COUNTIFS($Y$2051:Y2202,1,$AO$2051:AO2202,AO2202))</x:f>
      </x:c>
      <x:c r="AA2202" s="1" t="str">
        <x:f>IF(NOT(ISNUMBER(S2202)),"Missing demographic or access input",TEXT(G2202,"0%")&amp;" economic need; "&amp;TEXT(K2202,"0.00")&amp;" mi fresh access; "&amp;L2202&amp;" nearby resources")</x:f>
        <x:v>Missing demographic or access input</x:v>
      </x:c>
      <x:c r="AB2202" s="1" t="n">
        <x:f>IF(OR(A2202="",COUNTIFS($A$1531:$A$2030,A2202)&lt;&gt;1),0,MATCH(A2202,$A$1531:$A$2030,0))</x:f>
        <x:v>152</x:v>
      </x:c>
      <x:c r="AC2202" s="1" t="str">
        <x:f>IF(AB2202=0,"",INDEX($E$1531:$E$2030,AB2202))</x:f>
        <x:v>ALDI 60205</x:v>
      </x:c>
      <x:c r="AD2202" s="1" t="str">
        <x:f>IF(AB2202=0,"",INDEX($F$1531:$F$2030,AB2202))</x:f>
        <x:v>3500 Aramingo Ave, Philadelphia, PA, 19134</x:v>
      </x:c>
      <x:c r="AE2202" s="1" t="str">
        <x:f>IF(A2202="","",F153)</x:f>
        <x:v>3360 FRANKFORD AVE</x:v>
      </x:c>
      <x:c r="AF2202" s="1" t="n">
        <x:f>IF(ISNUMBER(I153),I153,"")</x:f>
        <x:v>39.99560895</x:v>
      </x:c>
      <x:c r="AG2202" s="1" t="n">
        <x:f>IF(ISNUMBER(J153),J153,"")</x:f>
        <x:v>-75.10661699</x:v>
      </x:c>
      <x:c r="AH2202" s="1" t="str">
        <x:f>IF(I2202=0,"Not contacted",IF(INDEX('Staff Review'!$J$8:$J$507,I2202)="","Not contacted",INDEX('Staff Review'!$J$8:$J$507,I2202)))</x:f>
        <x:v>Not contacted</x:v>
      </x:c>
      <x:c r="AI2202" s="1" t="str">
        <x:f>IF(I2202=0,"No",IF(AND(COUNT(INDEX('Staff Review'!$D$8:$D$507,I2202))=1,INDEX('Staff Review'!$D$8:$D$507,I2202)&gt;=0,COUNT(INDEX('Staff Review'!$E$8:$E$507,I2202))=1,INDEX('Staff Review'!$E$8:$E$507,I2202)&gt;0,INDEX('Staff Review'!$E$8:$E$507,I2202)&lt;='Top 15'!$E$5,'Top 15'!$E$5-INDEX('Staff Review'!$E$8:$E$507,I2202)&lt;='Top 15'!$H$5,LEN(INDEX('Staff Review'!$H$8:$H$507,I2202))&gt;0),"Yes","No"))</x:f>
        <x:v>No</x:v>
      </x:c>
      <x:c r="AJ2202" s="1" t="str">
        <x:f>IF(I2202=0,"No",IF(COUNT(INDEX('Staff Review'!$F$8:$F$507,I2202))&lt;&gt;1,"No",IF(AND(INDEX('Staff Review'!$F$8:$F$507,I2202)&gt;=0,MOD(INDEX('Staff Review'!$F$8:$F$507,I2202),1)=0,COUNT(INDEX('Staff Review'!$G$8:$G$507,I2202))=1,INDEX('Staff Review'!$G$8:$G$507,I2202)&gt;0,INDEX('Staff Review'!$G$8:$G$507,I2202)&lt;='Top 15'!$E$5,'Top 15'!$E$5-INDEX('Staff Review'!$G$8:$G$507,I2202)&lt;='Top 15'!$H$5,LEN(INDEX('Staff Review'!$H$8:$H$507,I2202))&gt;0),"Yes","No")))</x:f>
        <x:v>No</x:v>
      </x:c>
      <x:c r="AK2202" s="1" t="n">
        <x:f>IF(A2202="",0,COUNTIFS($A$2:$A$501,A2202))</x:f>
        <x:v>1</x:v>
      </x:c>
      <x:c r="AL2202" s="1" t="n">
        <x:f>IF(V2202="Candidate",1,0)</x:f>
        <x:v>0</x:v>
      </x:c>
      <x:c r="AM2202" s="1" t="n">
        <x:f>IF(A2202="",0,VALUE(A2202))</x:f>
        <x:v>3510</x:v>
      </x:c>
      <x:c r="AN2202" s="1" t="n">
        <x:f>IF(OR(A2202="",COUNTIFS($T$41:$T$540,A2202)&lt;&gt;1),0,MATCH(A2202,$T$41:$T$540,0))</x:f>
        <x:v>152</x:v>
      </x:c>
      <x:c r="AO2202" t="n">
        <x:f>IF(ISNUMBER(W2202),W2202,10000+AM2202)</x:f>
        <x:v>13510</x:v>
      </x:c>
    </x:row>
    <x:row r="2203" ht="22" customHeight="1">
      <x:c r="A2203" s="1" t="str">
        <x:f>IF(A154="","",A154)</x:f>
        <x:v>3810</x:v>
      </x:c>
      <x:c r="B2203" s="1" t="str">
        <x:f>IF(A2203="","",B154)</x:f>
        <x:v>One Bright Ray - Elmwood</x:v>
      </x:c>
      <x:c r="C2203" s="1" t="str">
        <x:f>IF(A2203="","",C154)</x:f>
        <x:v>Contracted</x:v>
      </x:c>
      <x:c r="D2203" s="1" t="str">
        <x:f>IF(A2203="","",E154)</x:f>
        <x:v>Transition/Overage School</x:v>
      </x:c>
      <x:c r="E2203" s="1" t="str">
        <x:f>IF(A2203="","",H154)</x:f>
        <x:v>19142</x:v>
      </x:c>
      <x:c r="F2203" s="1" t="n">
        <x:f>IF(ISNUMBER(K154),K154,"")</x:f>
        <x:v>102</x:v>
      </x:c>
      <x:c r="G2203" s="1" t="str">
        <x:f>IF(ISNUMBER(L154),L154,"")</x:f>
      </x:c>
      <x:c r="H2203" s="1" t="str">
        <x:f>IF(A2203="","",IF(AND(UPPER(G154)="PHILADELPHIA",OR(C2203="District",AND(C2203="Charter",D154="Yes"))),"Yes","No"))</x:f>
        <x:v>No</x:v>
      </x:c>
      <x:c r="I2203" s="1" t="n">
        <x:f>IF(OR(A2203="",COUNTIFS('Staff Review'!$A$8:$A$507,A2203)&lt;&gt;1),0,MATCH(A2203,'Staff Review'!$A$8:$A$507,0))</x:f>
        <x:v>213</x:v>
      </x:c>
      <x:c r="J2203" s="1" t="str">
        <x:f>IF(I2203=0,"No",IF(INDEX('Staff Review'!$C$8:$C$507,I2203)="Yes","Yes","No"))</x:f>
        <x:v>No</x:v>
      </x:c>
      <x:c r="K2203" s="1" t="n">
        <x:f>IF(AI2203="Yes",INDEX('Staff Review'!$D$8:$D$507,I2203),IF(AB2203=0,"",IF(COUNT(INDEX($C$1531:$C$2030,AB2203))=1,INDEX($C$1531:$C$2030,AB2203),"")))</x:f>
        <x:v>0.36299937586084763</x:v>
      </x:c>
      <x:c r="L2203" s="1" t="n">
        <x:f>IF(AJ2203="Yes",INDEX('Staff Review'!$F$8:$F$507,I2203),IF(AB2203=0,"",IF(COUNT(INDEX($G$1531:$G$2030,AB2203))=1,INDEX($G$1531:$G$2030,AB2203),"")))</x:f>
        <x:v>5</x:v>
      </x:c>
      <x:c r="M2203" s="1" t="str">
        <x:f>IF(A2203="","",IF(AI2203="Yes","Verified","Listed"))</x:f>
        <x:v>Listed</x:v>
      </x:c>
      <x:c r="N2203" s="1" t="str">
        <x:f>IF(A2203="","",IF(AJ2203="Yes","Verified","Listed"))</x:f>
        <x:v>Listed</x:v>
      </x:c>
      <x:c r="O2203" s="1" t="str">
        <x:f>IF(AND(ISNUMBER(G2203),G2203&gt;=0,G2203&lt;=1),IF(G2203&gt;=0.9,30,IF(G2203&gt;=0.8,25,IF(G2203&gt;=0.7,20,IF(G2203&gt;=0.6,15,IF(G2203&gt;=0.5,10,IF(G2203&gt;=0.4,5,0)))))),"")</x:f>
      </x:c>
      <x:c r="P2203" s="1" t="n">
        <x:f>IF(ISNUMBER(K2203),IF(K2203&lt;0,"",IF(K2203&gt;1,25,IF(K2203&gt;=0.75,20,IF(K2203&gt;=0.5,15,IF(K2203&gt;=0.25,10,5))))),"")</x:f>
        <x:v>10</x:v>
      </x:c>
      <x:c r="Q2203" s="1" t="n">
        <x:f>IF(NOT(ISNUMBER(L2203)),"",IF(AND(L2203&gt;=0,MOD(L2203,1)=0),MAX(0,25-5*L2203),""))</x:f>
        <x:v>0</x:v>
      </x:c>
      <x:c r="R2203" s="1" t="n">
        <x:f>IF(NOT(ISNUMBER(F2203)),"",IF(AND(F2203&gt;0,MOD(F2203,1)=0),IF(F2203&gt;=700,5,IF(F2203&gt;=500,4,IF(F2203&gt;=350,3,IF(F2203&gt;=200,2,1)))),""))</x:f>
        <x:v>1</x:v>
      </x:c>
      <x:c r="S2203" s="1" t="str">
        <x:f>IF(COUNT(O2203:R2203)=4,SUM(O2203:R2203),"")</x:f>
      </x:c>
      <x:c r="T2203" s="1" t="str">
        <x:f>IF(OR(COUNT(O2203:R2203)&lt;&gt;4,COUNT('Top 15'!$B$35:$E$35)&lt;&gt;4,MIN('Top 15'!$B$35:$E$35)&lt;0,SUM('Top 15'!$B$35:$E$35)&lt;=0),"",ROUND(85*(O2203/30*'Top 15'!$B$35+P2203/25*'Top 15'!$C$35+Q2203/25*'Top 15'!$D$35+R2203/5*'Top 15'!$E$35)/SUM('Top 15'!$B$35:$E$35),6))</x:f>
      </x:c>
      <x:c r="U2203" s="1" t="str">
        <x:f>IF(A2203="","",IF(AND(M2203="Verified",N2203="Verified"),"Verified",IF(AND(M2203="Listed",N2203="Listed"),"Listed","Mixed")))</x:f>
        <x:v>Listed</x:v>
      </x:c>
      <x:c r="V2203" s="1" t="str">
        <x:f>IF(A2203="","",IF(AK2203&lt;&gt;1,"Duplicate source ID",IF(COUNTIFS('Staff Review'!$A$8:$A$507,A2203)&gt;1,"Duplicate review ID",IF(H2203&lt;&gt;"Yes","Outside scope",IF(J2203="Yes","Already served",IF(NOT(ISNUMBER(T2203)),"Missing data","Candidate"))))))</x:f>
        <x:v>Outside scope</x:v>
      </x:c>
      <x:c r="W2203" s="1" t="str">
        <x:f>IF(AL2203=0,"",1+COUNTIFS($AL$2051:$AL$2550,1,$T$2051:$T$2550,"&gt;"&amp;T2203)+COUNTIFS($AL$2051:$AL$2550,1,$T$2051:$T$2550,T2203,$G$2051:$G$2550,"&gt;"&amp;G2203)+COUNTIFS($AL$2051:$AL$2550,1,$T$2051:$T$2550,T2203,$G$2051:$G$2550,G2203,$F$2051:$F$2550,"&gt;"&amp;F2203)+COUNTIFS($AL$2051:$AL$2550,1,$T$2051:$T$2550,T2203,$G$2051:$G$2550,G2203,$F$2051:$F$2550,F2203,$AM$2051:$AM$2550,"&lt;"&amp;AM2203))</x:f>
      </x:c>
      <x:c r="X2203" s="1" t="str">
        <x:f>IF(AL2203=0,"",1+COUNTIFS($AL$2051:$AL$2550,1,$T$2051:$T$2550,"&gt;"&amp;T2203))</x:f>
      </x:c>
      <x:c r="Y2203" s="1" t="n">
        <x:f>IF(AND(H2203="Yes",OR(LEN('School Search'!$B$5)=0,ISNUMBER(SEARCH('School Search'!$B$5,B2203&amp;" "&amp;E2203&amp;" "&amp;A2203))),OR('School Search'!$D$5="All",C2203='School Search'!$D$5),OR('School Search'!$G$5="All eligible",AND('School Search'!$G$5="Not marked served",J2203&lt;&gt;"Yes"),AND('School Search'!$G$5="Missing data",V2203="Missing data"),AND('School Search'!$G$5="Marked served",J2203="Yes"))),1,0)</x:f>
        <x:v>0</x:v>
      </x:c>
      <x:c r="Z2203" s="1" t="str">
        <x:f>IF(Y2203=0,"",COUNTIFS($Y$2051:$Y$2550,1,$AO$2051:$AO$2550,"&lt;"&amp;AO2203)+COUNTIFS($Y$2051:Y2203,1,$AO$2051:AO2203,AO2203))</x:f>
      </x:c>
      <x:c r="AA2203" s="1" t="str">
        <x:f>IF(NOT(ISNUMBER(S2203)),"Missing demographic or access input",TEXT(G2203,"0%")&amp;" economic need; "&amp;TEXT(K2203,"0.00")&amp;" mi fresh access; "&amp;L2203&amp;" nearby resources")</x:f>
        <x:v>Missing demographic or access input</x:v>
      </x:c>
      <x:c r="AB2203" s="1" t="n">
        <x:f>IF(OR(A2203="",COUNTIFS($A$1531:$A$2030,A2203)&lt;&gt;1),0,MATCH(A2203,$A$1531:$A$2030,0))</x:f>
        <x:v>153</x:v>
      </x:c>
      <x:c r="AC2203" s="1" t="str">
        <x:f>IF(AB2203=0,"",INDEX($E$1531:$E$2030,AB2203))</x:f>
        <x:v>Cousin's Fresh Market Inc</x:v>
      </x:c>
      <x:c r="AD2203" s="1" t="str">
        <x:f>IF(AB2203=0,"",INDEX($F$1531:$F$2030,AB2203))</x:f>
        <x:v>6411 Woodland Ave, Philadelphia, PA, 19142</x:v>
      </x:c>
      <x:c r="AE2203" s="1" t="str">
        <x:f>IF(A2203="","",F154)</x:f>
        <x:v>6404 ELMWOOD AVE</x:v>
      </x:c>
      <x:c r="AF2203" s="1" t="n">
        <x:f>IF(ISNUMBER(I154),I154,"")</x:f>
        <x:v>39.92251591</x:v>
      </x:c>
      <x:c r="AG2203" s="1" t="n">
        <x:f>IF(ISNUMBER(J154),J154,"")</x:f>
        <x:v>-75.22908493</x:v>
      </x:c>
      <x:c r="AH2203" s="1" t="str">
        <x:f>IF(I2203=0,"Not contacted",IF(INDEX('Staff Review'!$J$8:$J$507,I2203)="","Not contacted",INDEX('Staff Review'!$J$8:$J$507,I2203)))</x:f>
        <x:v>Not contacted</x:v>
      </x:c>
      <x:c r="AI2203" s="1" t="str">
        <x:f>IF(I2203=0,"No",IF(AND(COUNT(INDEX('Staff Review'!$D$8:$D$507,I2203))=1,INDEX('Staff Review'!$D$8:$D$507,I2203)&gt;=0,COUNT(INDEX('Staff Review'!$E$8:$E$507,I2203))=1,INDEX('Staff Review'!$E$8:$E$507,I2203)&gt;0,INDEX('Staff Review'!$E$8:$E$507,I2203)&lt;='Top 15'!$E$5,'Top 15'!$E$5-INDEX('Staff Review'!$E$8:$E$507,I2203)&lt;='Top 15'!$H$5,LEN(INDEX('Staff Review'!$H$8:$H$507,I2203))&gt;0),"Yes","No"))</x:f>
        <x:v>No</x:v>
      </x:c>
      <x:c r="AJ2203" s="1" t="str">
        <x:f>IF(I2203=0,"No",IF(COUNT(INDEX('Staff Review'!$F$8:$F$507,I2203))&lt;&gt;1,"No",IF(AND(INDEX('Staff Review'!$F$8:$F$507,I2203)&gt;=0,MOD(INDEX('Staff Review'!$F$8:$F$507,I2203),1)=0,COUNT(INDEX('Staff Review'!$G$8:$G$507,I2203))=1,INDEX('Staff Review'!$G$8:$G$507,I2203)&gt;0,INDEX('Staff Review'!$G$8:$G$507,I2203)&lt;='Top 15'!$E$5,'Top 15'!$E$5-INDEX('Staff Review'!$G$8:$G$507,I2203)&lt;='Top 15'!$H$5,LEN(INDEX('Staff Review'!$H$8:$H$507,I2203))&gt;0),"Yes","No")))</x:f>
        <x:v>No</x:v>
      </x:c>
      <x:c r="AK2203" s="1" t="n">
        <x:f>IF(A2203="",0,COUNTIFS($A$2:$A$501,A2203))</x:f>
        <x:v>1</x:v>
      </x:c>
      <x:c r="AL2203" s="1" t="n">
        <x:f>IF(V2203="Candidate",1,0)</x:f>
        <x:v>0</x:v>
      </x:c>
      <x:c r="AM2203" s="1" t="n">
        <x:f>IF(A2203="",0,VALUE(A2203))</x:f>
        <x:v>3810</x:v>
      </x:c>
      <x:c r="AN2203" s="1" t="n">
        <x:f>IF(OR(A2203="",COUNTIFS($T$41:$T$540,A2203)&lt;&gt;1),0,MATCH(A2203,$T$41:$T$540,0))</x:f>
        <x:v>153</x:v>
      </x:c>
      <x:c r="AO2203" t="n">
        <x:f>IF(ISNUMBER(W2203),W2203,10000+AM2203)</x:f>
        <x:v>13810</x:v>
      </x:c>
    </x:row>
    <x:row r="2204" ht="22" customHeight="1">
      <x:c r="A2204" s="1" t="str">
        <x:f>IF(A155="","",A155)</x:f>
        <x:v>3820</x:v>
      </x:c>
      <x:c r="B2204" s="1" t="str">
        <x:f>IF(A2204="","",B155)</x:f>
        <x:v>Achieve Academy of Philadelphia - East Campus</x:v>
      </x:c>
      <x:c r="C2204" s="1" t="str">
        <x:f>IF(A2204="","",C155)</x:f>
        <x:v>Contracted</x:v>
      </x:c>
      <x:c r="D2204" s="1" t="str">
        <x:f>IF(A2204="","",E155)</x:f>
        <x:v>Transition/Overage School</x:v>
      </x:c>
      <x:c r="E2204" s="1" t="str">
        <x:f>IF(A2204="","",H155)</x:f>
        <x:v>19140</x:v>
      </x:c>
      <x:c r="F2204" s="1" t="n">
        <x:f>IF(ISNUMBER(K155),K155,"")</x:f>
        <x:v>46</x:v>
      </x:c>
      <x:c r="G2204" s="1" t="str">
        <x:f>IF(ISNUMBER(L155),L155,"")</x:f>
      </x:c>
      <x:c r="H2204" s="1" t="str">
        <x:f>IF(A2204="","",IF(AND(UPPER(G155)="PHILADELPHIA",OR(C2204="District",AND(C2204="Charter",D155="Yes"))),"Yes","No"))</x:f>
        <x:v>No</x:v>
      </x:c>
      <x:c r="I2204" s="1" t="n">
        <x:f>IF(OR(A2204="",COUNTIFS('Staff Review'!$A$8:$A$507,A2204)&lt;&gt;1),0,MATCH(A2204,'Staff Review'!$A$8:$A$507,0))</x:f>
        <x:v>7</x:v>
      </x:c>
      <x:c r="J2204" s="1" t="str">
        <x:f>IF(I2204=0,"No",IF(INDEX('Staff Review'!$C$8:$C$507,I2204)="Yes","Yes","No"))</x:f>
        <x:v>No</x:v>
      </x:c>
      <x:c r="K2204" s="1" t="n">
        <x:f>IF(AI2204="Yes",INDEX('Staff Review'!$D$8:$D$507,I2204),IF(AB2204=0,"",IF(COUNT(INDEX($C$1531:$C$2030,AB2204))=1,INDEX($C$1531:$C$2030,AB2204),"")))</x:f>
        <x:v>0.5181636732430546</x:v>
      </x:c>
      <x:c r="L2204" s="1" t="n">
        <x:f>IF(AJ2204="Yes",INDEX('Staff Review'!$F$8:$F$507,I2204),IF(AB2204=0,"",IF(COUNT(INDEX($G$1531:$G$2030,AB2204))=1,INDEX($G$1531:$G$2030,AB2204),"")))</x:f>
        <x:v>10</x:v>
      </x:c>
      <x:c r="M2204" s="1" t="str">
        <x:f>IF(A2204="","",IF(AI2204="Yes","Verified","Listed"))</x:f>
        <x:v>Listed</x:v>
      </x:c>
      <x:c r="N2204" s="1" t="str">
        <x:f>IF(A2204="","",IF(AJ2204="Yes","Verified","Listed"))</x:f>
        <x:v>Listed</x:v>
      </x:c>
      <x:c r="O2204" s="1" t="str">
        <x:f>IF(AND(ISNUMBER(G2204),G2204&gt;=0,G2204&lt;=1),IF(G2204&gt;=0.9,30,IF(G2204&gt;=0.8,25,IF(G2204&gt;=0.7,20,IF(G2204&gt;=0.6,15,IF(G2204&gt;=0.5,10,IF(G2204&gt;=0.4,5,0)))))),"")</x:f>
      </x:c>
      <x:c r="P2204" s="1" t="n">
        <x:f>IF(ISNUMBER(K2204),IF(K2204&lt;0,"",IF(K2204&gt;1,25,IF(K2204&gt;=0.75,20,IF(K2204&gt;=0.5,15,IF(K2204&gt;=0.25,10,5))))),"")</x:f>
        <x:v>15</x:v>
      </x:c>
      <x:c r="Q2204" s="1" t="n">
        <x:f>IF(NOT(ISNUMBER(L2204)),"",IF(AND(L2204&gt;=0,MOD(L2204,1)=0),MAX(0,25-5*L2204),""))</x:f>
        <x:v>0</x:v>
      </x:c>
      <x:c r="R2204" s="1" t="n">
        <x:f>IF(NOT(ISNUMBER(F2204)),"",IF(AND(F2204&gt;0,MOD(F2204,1)=0),IF(F2204&gt;=700,5,IF(F2204&gt;=500,4,IF(F2204&gt;=350,3,IF(F2204&gt;=200,2,1)))),""))</x:f>
        <x:v>1</x:v>
      </x:c>
      <x:c r="S2204" s="1" t="str">
        <x:f>IF(COUNT(O2204:R2204)=4,SUM(O2204:R2204),"")</x:f>
      </x:c>
      <x:c r="T2204" s="1" t="str">
        <x:f>IF(OR(COUNT(O2204:R2204)&lt;&gt;4,COUNT('Top 15'!$B$35:$E$35)&lt;&gt;4,MIN('Top 15'!$B$35:$E$35)&lt;0,SUM('Top 15'!$B$35:$E$35)&lt;=0),"",ROUND(85*(O2204/30*'Top 15'!$B$35+P2204/25*'Top 15'!$C$35+Q2204/25*'Top 15'!$D$35+R2204/5*'Top 15'!$E$35)/SUM('Top 15'!$B$35:$E$35),6))</x:f>
      </x:c>
      <x:c r="U2204" s="1" t="str">
        <x:f>IF(A2204="","",IF(AND(M2204="Verified",N2204="Verified"),"Verified",IF(AND(M2204="Listed",N2204="Listed"),"Listed","Mixed")))</x:f>
        <x:v>Listed</x:v>
      </x:c>
      <x:c r="V2204" s="1" t="str">
        <x:f>IF(A2204="","",IF(AK2204&lt;&gt;1,"Duplicate source ID",IF(COUNTIFS('Staff Review'!$A$8:$A$507,A2204)&gt;1,"Duplicate review ID",IF(H2204&lt;&gt;"Yes","Outside scope",IF(J2204="Yes","Already served",IF(NOT(ISNUMBER(T2204)),"Missing data","Candidate"))))))</x:f>
        <x:v>Outside scope</x:v>
      </x:c>
      <x:c r="W2204" s="1" t="str">
        <x:f>IF(AL2204=0,"",1+COUNTIFS($AL$2051:$AL$2550,1,$T$2051:$T$2550,"&gt;"&amp;T2204)+COUNTIFS($AL$2051:$AL$2550,1,$T$2051:$T$2550,T2204,$G$2051:$G$2550,"&gt;"&amp;G2204)+COUNTIFS($AL$2051:$AL$2550,1,$T$2051:$T$2550,T2204,$G$2051:$G$2550,G2204,$F$2051:$F$2550,"&gt;"&amp;F2204)+COUNTIFS($AL$2051:$AL$2550,1,$T$2051:$T$2550,T2204,$G$2051:$G$2550,G2204,$F$2051:$F$2550,F2204,$AM$2051:$AM$2550,"&lt;"&amp;AM2204))</x:f>
      </x:c>
      <x:c r="X2204" s="1" t="str">
        <x:f>IF(AL2204=0,"",1+COUNTIFS($AL$2051:$AL$2550,1,$T$2051:$T$2550,"&gt;"&amp;T2204))</x:f>
      </x:c>
      <x:c r="Y2204" s="1" t="n">
        <x:f>IF(AND(H2204="Yes",OR(LEN('School Search'!$B$5)=0,ISNUMBER(SEARCH('School Search'!$B$5,B2204&amp;" "&amp;E2204&amp;" "&amp;A2204))),OR('School Search'!$D$5="All",C2204='School Search'!$D$5),OR('School Search'!$G$5="All eligible",AND('School Search'!$G$5="Not marked served",J2204&lt;&gt;"Yes"),AND('School Search'!$G$5="Missing data",V2204="Missing data"),AND('School Search'!$G$5="Marked served",J2204="Yes"))),1,0)</x:f>
        <x:v>0</x:v>
      </x:c>
      <x:c r="Z2204" s="1" t="str">
        <x:f>IF(Y2204=0,"",COUNTIFS($Y$2051:$Y$2550,1,$AO$2051:$AO$2550,"&lt;"&amp;AO2204)+COUNTIFS($Y$2051:Y2204,1,$AO$2051:AO2204,AO2204))</x:f>
      </x:c>
      <x:c r="AA2204" s="1" t="str">
        <x:f>IF(NOT(ISNUMBER(S2204)),"Missing demographic or access input",TEXT(G2204,"0%")&amp;" economic need; "&amp;TEXT(K2204,"0.00")&amp;" mi fresh access; "&amp;L2204&amp;" nearby resources")</x:f>
        <x:v>Missing demographic or access input</x:v>
      </x:c>
      <x:c r="AB2204" s="1" t="n">
        <x:f>IF(OR(A2204="",COUNTIFS($A$1531:$A$2030,A2204)&lt;&gt;1),0,MATCH(A2204,$A$1531:$A$2030,0))</x:f>
        <x:v>154</x:v>
      </x:c>
      <x:c r="AC2204" s="1" t="str">
        <x:f>IF(AB2204=0,"",INDEX($E$1531:$E$2030,AB2204))</x:f>
        <x:v>COUSINS SUPERMARKET INC. #2</x:v>
      </x:c>
      <x:c r="AD2204" s="1" t="str">
        <x:f>IF(AB2204=0,"",INDEX($F$1531:$F$2030,AB2204))</x:f>
        <x:v>4037 N 5th St, Philadelphia, PA, 19140</x:v>
      </x:c>
      <x:c r="AE2204" s="1" t="str">
        <x:f>IF(A2204="","",F155)</x:f>
        <x:v>4224 N FRONT ST</x:v>
      </x:c>
      <x:c r="AF2204" s="1" t="n">
        <x:f>IF(ISNUMBER(I155),I155,"")</x:f>
        <x:v>40.01425525</x:v>
      </x:c>
      <x:c r="AG2204" s="1" t="n">
        <x:f>IF(ISNUMBER(J155),J155,"")</x:f>
        <x:v>-75.12599679</x:v>
      </x:c>
      <x:c r="AH2204" s="1" t="str">
        <x:f>IF(I2204=0,"Not contacted",IF(INDEX('Staff Review'!$J$8:$J$507,I2204)="","Not contacted",INDEX('Staff Review'!$J$8:$J$507,I2204)))</x:f>
        <x:v>Not contacted</x:v>
      </x:c>
      <x:c r="AI2204" s="1" t="str">
        <x:f>IF(I2204=0,"No",IF(AND(COUNT(INDEX('Staff Review'!$D$8:$D$507,I2204))=1,INDEX('Staff Review'!$D$8:$D$507,I2204)&gt;=0,COUNT(INDEX('Staff Review'!$E$8:$E$507,I2204))=1,INDEX('Staff Review'!$E$8:$E$507,I2204)&gt;0,INDEX('Staff Review'!$E$8:$E$507,I2204)&lt;='Top 15'!$E$5,'Top 15'!$E$5-INDEX('Staff Review'!$E$8:$E$507,I2204)&lt;='Top 15'!$H$5,LEN(INDEX('Staff Review'!$H$8:$H$507,I2204))&gt;0),"Yes","No"))</x:f>
        <x:v>No</x:v>
      </x:c>
      <x:c r="AJ2204" s="1" t="str">
        <x:f>IF(I2204=0,"No",IF(COUNT(INDEX('Staff Review'!$F$8:$F$507,I2204))&lt;&gt;1,"No",IF(AND(INDEX('Staff Review'!$F$8:$F$507,I2204)&gt;=0,MOD(INDEX('Staff Review'!$F$8:$F$507,I2204),1)=0,COUNT(INDEX('Staff Review'!$G$8:$G$507,I2204))=1,INDEX('Staff Review'!$G$8:$G$507,I2204)&gt;0,INDEX('Staff Review'!$G$8:$G$507,I2204)&lt;='Top 15'!$E$5,'Top 15'!$E$5-INDEX('Staff Review'!$G$8:$G$507,I2204)&lt;='Top 15'!$H$5,LEN(INDEX('Staff Review'!$H$8:$H$507,I2204))&gt;0),"Yes","No")))</x:f>
        <x:v>No</x:v>
      </x:c>
      <x:c r="AK2204" s="1" t="n">
        <x:f>IF(A2204="",0,COUNTIFS($A$2:$A$501,A2204))</x:f>
        <x:v>1</x:v>
      </x:c>
      <x:c r="AL2204" s="1" t="n">
        <x:f>IF(V2204="Candidate",1,0)</x:f>
        <x:v>0</x:v>
      </x:c>
      <x:c r="AM2204" s="1" t="n">
        <x:f>IF(A2204="",0,VALUE(A2204))</x:f>
        <x:v>3820</x:v>
      </x:c>
      <x:c r="AN2204" s="1" t="n">
        <x:f>IF(OR(A2204="",COUNTIFS($T$41:$T$540,A2204)&lt;&gt;1),0,MATCH(A2204,$T$41:$T$540,0))</x:f>
        <x:v>154</x:v>
      </x:c>
      <x:c r="AO2204" t="n">
        <x:f>IF(ISNUMBER(W2204),W2204,10000+AM2204)</x:f>
        <x:v>13820</x:v>
      </x:c>
    </x:row>
    <x:row r="2205" ht="22" customHeight="1">
      <x:c r="A2205" s="1" t="str">
        <x:f>IF(A156="","",A156)</x:f>
        <x:v>3850</x:v>
      </x:c>
      <x:c r="B2205" s="1" t="str">
        <x:f>IF(A2205="","",B156)</x:f>
        <x:v>Northeast High School EOP</x:v>
      </x:c>
      <x:c r="C2205" s="1" t="str">
        <x:f>IF(A2205="","",C156)</x:f>
        <x:v>District</x:v>
      </x:c>
      <x:c r="D2205" s="1" t="str">
        <x:f>IF(A2205="","",E156)</x:f>
        <x:v>Transition/Overage School</x:v>
      </x:c>
      <x:c r="E2205" s="1" t="str">
        <x:f>IF(A2205="","",H156)</x:f>
        <x:v>19111</x:v>
      </x:c>
      <x:c r="F2205" s="1" t="n">
        <x:f>IF(ISNUMBER(K156),K156,"")</x:f>
        <x:v>185</x:v>
      </x:c>
      <x:c r="G2205" s="1" t="str">
        <x:f>IF(ISNUMBER(L156),L156,"")</x:f>
      </x:c>
      <x:c r="H2205" s="1" t="str">
        <x:f>IF(A2205="","",IF(AND(UPPER(G156)="PHILADELPHIA",OR(C2205="District",AND(C2205="Charter",D156="Yes"))),"Yes","No"))</x:f>
        <x:v>Yes</x:v>
      </x:c>
      <x:c r="I2205" s="1" t="n">
        <x:f>IF(OR(A2205="",COUNTIFS('Staff Review'!$A$8:$A$507,A2205)&lt;&gt;1),0,MATCH(A2205,'Staff Review'!$A$8:$A$507,0))</x:f>
        <x:v>207</x:v>
      </x:c>
      <x:c r="J2205" s="1" t="str">
        <x:f>IF(I2205=0,"No",IF(INDEX('Staff Review'!$C$8:$C$507,I2205)="Yes","Yes","No"))</x:f>
        <x:v>No</x:v>
      </x:c>
      <x:c r="K2205" s="1" t="n">
        <x:f>IF(AI2205="Yes",INDEX('Staff Review'!$D$8:$D$507,I2205),IF(AB2205=0,"",IF(COUNT(INDEX($C$1531:$C$2030,AB2205))=1,INDEX($C$1531:$C$2030,AB2205),"")))</x:f>
        <x:v>0.38029979381130363</x:v>
      </x:c>
      <x:c r="L2205" s="1" t="n">
        <x:f>IF(AJ2205="Yes",INDEX('Staff Review'!$F$8:$F$507,I2205),IF(AB2205=0,"",IF(COUNT(INDEX($G$1531:$G$2030,AB2205))=1,INDEX($G$1531:$G$2030,AB2205),"")))</x:f>
        <x:v>0</x:v>
      </x:c>
      <x:c r="M2205" s="1" t="str">
        <x:f>IF(A2205="","",IF(AI2205="Yes","Verified","Listed"))</x:f>
        <x:v>Listed</x:v>
      </x:c>
      <x:c r="N2205" s="1" t="str">
        <x:f>IF(A2205="","",IF(AJ2205="Yes","Verified","Listed"))</x:f>
        <x:v>Listed</x:v>
      </x:c>
      <x:c r="O2205" s="1" t="str">
        <x:f>IF(AND(ISNUMBER(G2205),G2205&gt;=0,G2205&lt;=1),IF(G2205&gt;=0.9,30,IF(G2205&gt;=0.8,25,IF(G2205&gt;=0.7,20,IF(G2205&gt;=0.6,15,IF(G2205&gt;=0.5,10,IF(G2205&gt;=0.4,5,0)))))),"")</x:f>
      </x:c>
      <x:c r="P2205" s="1" t="n">
        <x:f>IF(ISNUMBER(K2205),IF(K2205&lt;0,"",IF(K2205&gt;1,25,IF(K2205&gt;=0.75,20,IF(K2205&gt;=0.5,15,IF(K2205&gt;=0.25,10,5))))),"")</x:f>
        <x:v>10</x:v>
      </x:c>
      <x:c r="Q2205" s="1" t="n">
        <x:f>IF(NOT(ISNUMBER(L2205)),"",IF(AND(L2205&gt;=0,MOD(L2205,1)=0),MAX(0,25-5*L2205),""))</x:f>
        <x:v>25</x:v>
      </x:c>
      <x:c r="R2205" s="1" t="n">
        <x:f>IF(NOT(ISNUMBER(F2205)),"",IF(AND(F2205&gt;0,MOD(F2205,1)=0),IF(F2205&gt;=700,5,IF(F2205&gt;=500,4,IF(F2205&gt;=350,3,IF(F2205&gt;=200,2,1)))),""))</x:f>
        <x:v>1</x:v>
      </x:c>
      <x:c r="S2205" s="1" t="str">
        <x:f>IF(COUNT(O2205:R2205)=4,SUM(O2205:R2205),"")</x:f>
      </x:c>
      <x:c r="T2205" s="1" t="str">
        <x:f>IF(OR(COUNT(O2205:R2205)&lt;&gt;4,COUNT('Top 15'!$B$35:$E$35)&lt;&gt;4,MIN('Top 15'!$B$35:$E$35)&lt;0,SUM('Top 15'!$B$35:$E$35)&lt;=0),"",ROUND(85*(O2205/30*'Top 15'!$B$35+P2205/25*'Top 15'!$C$35+Q2205/25*'Top 15'!$D$35+R2205/5*'Top 15'!$E$35)/SUM('Top 15'!$B$35:$E$35),6))</x:f>
      </x:c>
      <x:c r="U2205" s="1" t="str">
        <x:f>IF(A2205="","",IF(AND(M2205="Verified",N2205="Verified"),"Verified",IF(AND(M2205="Listed",N2205="Listed"),"Listed","Mixed")))</x:f>
        <x:v>Listed</x:v>
      </x:c>
      <x:c r="V2205" s="1" t="str">
        <x:f>IF(A2205="","",IF(AK2205&lt;&gt;1,"Duplicate source ID",IF(COUNTIFS('Staff Review'!$A$8:$A$507,A2205)&gt;1,"Duplicate review ID",IF(H2205&lt;&gt;"Yes","Outside scope",IF(J2205="Yes","Already served",IF(NOT(ISNUMBER(T2205)),"Missing data","Candidate"))))))</x:f>
        <x:v>Missing data</x:v>
      </x:c>
      <x:c r="W2205" s="1" t="str">
        <x:f>IF(AL2205=0,"",1+COUNTIFS($AL$2051:$AL$2550,1,$T$2051:$T$2550,"&gt;"&amp;T2205)+COUNTIFS($AL$2051:$AL$2550,1,$T$2051:$T$2550,T2205,$G$2051:$G$2550,"&gt;"&amp;G2205)+COUNTIFS($AL$2051:$AL$2550,1,$T$2051:$T$2550,T2205,$G$2051:$G$2550,G2205,$F$2051:$F$2550,"&gt;"&amp;F2205)+COUNTIFS($AL$2051:$AL$2550,1,$T$2051:$T$2550,T2205,$G$2051:$G$2550,G2205,$F$2051:$F$2550,F2205,$AM$2051:$AM$2550,"&lt;"&amp;AM2205))</x:f>
      </x:c>
      <x:c r="X2205" s="1" t="str">
        <x:f>IF(AL2205=0,"",1+COUNTIFS($AL$2051:$AL$2550,1,$T$2051:$T$2550,"&gt;"&amp;T2205))</x:f>
      </x:c>
      <x:c r="Y2205" s="1" t="n">
        <x:f>IF(AND(H2205="Yes",OR(LEN('School Search'!$B$5)=0,ISNUMBER(SEARCH('School Search'!$B$5,B2205&amp;" "&amp;E2205&amp;" "&amp;A2205))),OR('School Search'!$D$5="All",C2205='School Search'!$D$5),OR('School Search'!$G$5="All eligible",AND('School Search'!$G$5="Not marked served",J2205&lt;&gt;"Yes"),AND('School Search'!$G$5="Missing data",V2205="Missing data"),AND('School Search'!$G$5="Marked served",J2205="Yes"))),1,0)</x:f>
        <x:v>1</x:v>
      </x:c>
      <x:c r="Z2205" s="1" t="n">
        <x:f>IF(Y2205=0,"",COUNTIFS($Y$2051:$Y$2550,1,$AO$2051:$AO$2550,"&lt;"&amp;AO2205)+COUNTIFS($Y$2051:Y2205,1,$AO$2051:AO2205,AO2205))</x:f>
        <x:v>300</x:v>
      </x:c>
      <x:c r="AA2205" s="1" t="str">
        <x:f>IF(NOT(ISNUMBER(S2205)),"Missing demographic or access input",TEXT(G2205,"0%")&amp;" economic need; "&amp;TEXT(K2205,"0.00")&amp;" mi fresh access; "&amp;L2205&amp;" nearby resources")</x:f>
        <x:v>Missing demographic or access input</x:v>
      </x:c>
      <x:c r="AB2205" s="1" t="n">
        <x:f>IF(OR(A2205="",COUNTIFS($A$1531:$A$2030,A2205)&lt;&gt;1),0,MATCH(A2205,$A$1531:$A$2030,0))</x:f>
        <x:v>155</x:v>
      </x:c>
      <x:c r="AC2205" s="1" t="str">
        <x:f>IF(AB2205=0,"",INDEX($E$1531:$E$2030,AB2205))</x:f>
        <x:v>Jumbo Meat Market</x:v>
      </x:c>
      <x:c r="AD2205" s="1" t="str">
        <x:f>IF(AB2205=0,"",INDEX($F$1531:$F$2030,AB2205))</x:f>
        <x:v>7322 Castor Ave, Philadelphia, PA, 19152</x:v>
      </x:c>
      <x:c r="AE2205" s="1" t="str">
        <x:f>IF(A2205="","",F156)</x:f>
        <x:v>1601 COTTMAN AVE</x:v>
      </x:c>
      <x:c r="AF2205" s="1" t="n">
        <x:f>IF(ISNUMBER(I156),I156,"")</x:f>
        <x:v>40.055681</x:v>
      </x:c>
      <x:c r="AG2205" s="1" t="n">
        <x:f>IF(ISNUMBER(J156),J156,"")</x:f>
        <x:v>-75.071168</x:v>
      </x:c>
      <x:c r="AH2205" s="1" t="str">
        <x:f>IF(I2205=0,"Not contacted",IF(INDEX('Staff Review'!$J$8:$J$507,I2205)="","Not contacted",INDEX('Staff Review'!$J$8:$J$507,I2205)))</x:f>
        <x:v>Not contacted</x:v>
      </x:c>
      <x:c r="AI2205" s="1" t="str">
        <x:f>IF(I2205=0,"No",IF(AND(COUNT(INDEX('Staff Review'!$D$8:$D$507,I2205))=1,INDEX('Staff Review'!$D$8:$D$507,I2205)&gt;=0,COUNT(INDEX('Staff Review'!$E$8:$E$507,I2205))=1,INDEX('Staff Review'!$E$8:$E$507,I2205)&gt;0,INDEX('Staff Review'!$E$8:$E$507,I2205)&lt;='Top 15'!$E$5,'Top 15'!$E$5-INDEX('Staff Review'!$E$8:$E$507,I2205)&lt;='Top 15'!$H$5,LEN(INDEX('Staff Review'!$H$8:$H$507,I2205))&gt;0),"Yes","No"))</x:f>
        <x:v>No</x:v>
      </x:c>
      <x:c r="AJ2205" s="1" t="str">
        <x:f>IF(I2205=0,"No",IF(COUNT(INDEX('Staff Review'!$F$8:$F$507,I2205))&lt;&gt;1,"No",IF(AND(INDEX('Staff Review'!$F$8:$F$507,I2205)&gt;=0,MOD(INDEX('Staff Review'!$F$8:$F$507,I2205),1)=0,COUNT(INDEX('Staff Review'!$G$8:$G$507,I2205))=1,INDEX('Staff Review'!$G$8:$G$507,I2205)&gt;0,INDEX('Staff Review'!$G$8:$G$507,I2205)&lt;='Top 15'!$E$5,'Top 15'!$E$5-INDEX('Staff Review'!$G$8:$G$507,I2205)&lt;='Top 15'!$H$5,LEN(INDEX('Staff Review'!$H$8:$H$507,I2205))&gt;0),"Yes","No")))</x:f>
        <x:v>No</x:v>
      </x:c>
      <x:c r="AK2205" s="1" t="n">
        <x:f>IF(A2205="",0,COUNTIFS($A$2:$A$501,A2205))</x:f>
        <x:v>1</x:v>
      </x:c>
      <x:c r="AL2205" s="1" t="n">
        <x:f>IF(V2205="Candidate",1,0)</x:f>
        <x:v>0</x:v>
      </x:c>
      <x:c r="AM2205" s="1" t="n">
        <x:f>IF(A2205="",0,VALUE(A2205))</x:f>
        <x:v>3850</x:v>
      </x:c>
      <x:c r="AN2205" s="1" t="n">
        <x:f>IF(OR(A2205="",COUNTIFS($T$41:$T$540,A2205)&lt;&gt;1),0,MATCH(A2205,$T$41:$T$540,0))</x:f>
        <x:v>155</x:v>
      </x:c>
      <x:c r="AO2205" t="n">
        <x:f>IF(ISNUMBER(W2205),W2205,10000+AM2205)</x:f>
        <x:v>13850</x:v>
      </x:c>
    </x:row>
    <x:row r="2206" ht="22" customHeight="1">
      <x:c r="A2206" s="1" t="str">
        <x:f>IF(A157="","",A157)</x:f>
        <x:v>3880</x:v>
      </x:c>
      <x:c r="B2206" s="1" t="str">
        <x:f>IF(A2206="","",B157)</x:f>
        <x:v>South Philadelphia High School EOP</x:v>
      </x:c>
      <x:c r="C2206" s="1" t="str">
        <x:f>IF(A2206="","",C157)</x:f>
        <x:v>District</x:v>
      </x:c>
      <x:c r="D2206" s="1" t="str">
        <x:f>IF(A2206="","",E157)</x:f>
        <x:v>Transition/Overage School</x:v>
      </x:c>
      <x:c r="E2206" s="1" t="str">
        <x:f>IF(A2206="","",H157)</x:f>
        <x:v>19148</x:v>
      </x:c>
      <x:c r="F2206" s="1" t="n">
        <x:f>IF(ISNUMBER(K157),K157,"")</x:f>
        <x:v>121</x:v>
      </x:c>
      <x:c r="G2206" s="1" t="str">
        <x:f>IF(ISNUMBER(L157),L157,"")</x:f>
      </x:c>
      <x:c r="H2206" s="1" t="str">
        <x:f>IF(A2206="","",IF(AND(UPPER(G157)="PHILADELPHIA",OR(C2206="District",AND(C2206="Charter",D157="Yes"))),"Yes","No"))</x:f>
        <x:v>Yes</x:v>
      </x:c>
      <x:c r="I2206" s="1" t="n">
        <x:f>IF(OR(A2206="",COUNTIFS('Staff Review'!$A$8:$A$507,A2206)&lt;&gt;1),0,MATCH(A2206,'Staff Review'!$A$8:$A$507,0))</x:f>
        <x:v>271</x:v>
      </x:c>
      <x:c r="J2206" s="1" t="str">
        <x:f>IF(I2206=0,"No",IF(INDEX('Staff Review'!$C$8:$C$507,I2206)="Yes","Yes","No"))</x:f>
        <x:v>No</x:v>
      </x:c>
      <x:c r="K2206" s="1" t="n">
        <x:f>IF(AI2206="Yes",INDEX('Staff Review'!$D$8:$D$507,I2206),IF(AB2206=0,"",IF(COUNT(INDEX($C$1531:$C$2030,AB2206))=1,INDEX($C$1531:$C$2030,AB2206),"")))</x:f>
        <x:v>0.0677150100802512</x:v>
      </x:c>
      <x:c r="L2206" s="1" t="n">
        <x:f>IF(AJ2206="Yes",INDEX('Staff Review'!$F$8:$F$507,I2206),IF(AB2206=0,"",IF(COUNT(INDEX($G$1531:$G$2030,AB2206))=1,INDEX($G$1531:$G$2030,AB2206),"")))</x:f>
        <x:v>10</x:v>
      </x:c>
      <x:c r="M2206" s="1" t="str">
        <x:f>IF(A2206="","",IF(AI2206="Yes","Verified","Listed"))</x:f>
        <x:v>Listed</x:v>
      </x:c>
      <x:c r="N2206" s="1" t="str">
        <x:f>IF(A2206="","",IF(AJ2206="Yes","Verified","Listed"))</x:f>
        <x:v>Listed</x:v>
      </x:c>
      <x:c r="O2206" s="1" t="str">
        <x:f>IF(AND(ISNUMBER(G2206),G2206&gt;=0,G2206&lt;=1),IF(G2206&gt;=0.9,30,IF(G2206&gt;=0.8,25,IF(G2206&gt;=0.7,20,IF(G2206&gt;=0.6,15,IF(G2206&gt;=0.5,10,IF(G2206&gt;=0.4,5,0)))))),"")</x:f>
      </x:c>
      <x:c r="P2206" s="1" t="n">
        <x:f>IF(ISNUMBER(K2206),IF(K2206&lt;0,"",IF(K2206&gt;1,25,IF(K2206&gt;=0.75,20,IF(K2206&gt;=0.5,15,IF(K2206&gt;=0.25,10,5))))),"")</x:f>
        <x:v>5</x:v>
      </x:c>
      <x:c r="Q2206" s="1" t="n">
        <x:f>IF(NOT(ISNUMBER(L2206)),"",IF(AND(L2206&gt;=0,MOD(L2206,1)=0),MAX(0,25-5*L2206),""))</x:f>
        <x:v>0</x:v>
      </x:c>
      <x:c r="R2206" s="1" t="n">
        <x:f>IF(NOT(ISNUMBER(F2206)),"",IF(AND(F2206&gt;0,MOD(F2206,1)=0),IF(F2206&gt;=700,5,IF(F2206&gt;=500,4,IF(F2206&gt;=350,3,IF(F2206&gt;=200,2,1)))),""))</x:f>
        <x:v>1</x:v>
      </x:c>
      <x:c r="S2206" s="1" t="str">
        <x:f>IF(COUNT(O2206:R2206)=4,SUM(O2206:R2206),"")</x:f>
      </x:c>
      <x:c r="T2206" s="1" t="str">
        <x:f>IF(OR(COUNT(O2206:R2206)&lt;&gt;4,COUNT('Top 15'!$B$35:$E$35)&lt;&gt;4,MIN('Top 15'!$B$35:$E$35)&lt;0,SUM('Top 15'!$B$35:$E$35)&lt;=0),"",ROUND(85*(O2206/30*'Top 15'!$B$35+P2206/25*'Top 15'!$C$35+Q2206/25*'Top 15'!$D$35+R2206/5*'Top 15'!$E$35)/SUM('Top 15'!$B$35:$E$35),6))</x:f>
      </x:c>
      <x:c r="U2206" s="1" t="str">
        <x:f>IF(A2206="","",IF(AND(M2206="Verified",N2206="Verified"),"Verified",IF(AND(M2206="Listed",N2206="Listed"),"Listed","Mixed")))</x:f>
        <x:v>Listed</x:v>
      </x:c>
      <x:c r="V2206" s="1" t="str">
        <x:f>IF(A2206="","",IF(AK2206&lt;&gt;1,"Duplicate source ID",IF(COUNTIFS('Staff Review'!$A$8:$A$507,A2206)&gt;1,"Duplicate review ID",IF(H2206&lt;&gt;"Yes","Outside scope",IF(J2206="Yes","Already served",IF(NOT(ISNUMBER(T2206)),"Missing data","Candidate"))))))</x:f>
        <x:v>Missing data</x:v>
      </x:c>
      <x:c r="W2206" s="1" t="str">
        <x:f>IF(AL2206=0,"",1+COUNTIFS($AL$2051:$AL$2550,1,$T$2051:$T$2550,"&gt;"&amp;T2206)+COUNTIFS($AL$2051:$AL$2550,1,$T$2051:$T$2550,T2206,$G$2051:$G$2550,"&gt;"&amp;G2206)+COUNTIFS($AL$2051:$AL$2550,1,$T$2051:$T$2550,T2206,$G$2051:$G$2550,G2206,$F$2051:$F$2550,"&gt;"&amp;F2206)+COUNTIFS($AL$2051:$AL$2550,1,$T$2051:$T$2550,T2206,$G$2051:$G$2550,G2206,$F$2051:$F$2550,F2206,$AM$2051:$AM$2550,"&lt;"&amp;AM2206))</x:f>
      </x:c>
      <x:c r="X2206" s="1" t="str">
        <x:f>IF(AL2206=0,"",1+COUNTIFS($AL$2051:$AL$2550,1,$T$2051:$T$2550,"&gt;"&amp;T2206))</x:f>
      </x:c>
      <x:c r="Y2206" s="1" t="n">
        <x:f>IF(AND(H2206="Yes",OR(LEN('School Search'!$B$5)=0,ISNUMBER(SEARCH('School Search'!$B$5,B2206&amp;" "&amp;E2206&amp;" "&amp;A2206))),OR('School Search'!$D$5="All",C2206='School Search'!$D$5),OR('School Search'!$G$5="All eligible",AND('School Search'!$G$5="Not marked served",J2206&lt;&gt;"Yes"),AND('School Search'!$G$5="Missing data",V2206="Missing data"),AND('School Search'!$G$5="Marked served",J2206="Yes"))),1,0)</x:f>
        <x:v>1</x:v>
      </x:c>
      <x:c r="Z2206" s="1" t="n">
        <x:f>IF(Y2206=0,"",COUNTIFS($Y$2051:$Y$2550,1,$AO$2051:$AO$2550,"&lt;"&amp;AO2206)+COUNTIFS($Y$2051:Y2206,1,$AO$2051:AO2206,AO2206))</x:f>
        <x:v>301</x:v>
      </x:c>
      <x:c r="AA2206" s="1" t="str">
        <x:f>IF(NOT(ISNUMBER(S2206)),"Missing demographic or access input",TEXT(G2206,"0%")&amp;" economic need; "&amp;TEXT(K2206,"0.00")&amp;" mi fresh access; "&amp;L2206&amp;" nearby resources")</x:f>
        <x:v>Missing demographic or access input</x:v>
      </x:c>
      <x:c r="AB2206" s="1" t="n">
        <x:f>IF(OR(A2206="",COUNTIFS($A$1531:$A$2030,A2206)&lt;&gt;1),0,MATCH(A2206,$A$1531:$A$2030,0))</x:f>
        <x:v>156</x:v>
      </x:c>
      <x:c r="AC2206" s="1" t="str">
        <x:f>IF(AB2206=0,"",INDEX($E$1531:$E$2030,AB2206))</x:f>
        <x:v>South Philly Food Co-op</x:v>
      </x:c>
      <x:c r="AD2206" s="1" t="str">
        <x:f>IF(AB2206=0,"",INDEX($F$1531:$F$2030,AB2206))</x:f>
        <x:v>2031 S Juniper St, Philadelphia, PA, 19148</x:v>
      </x:c>
      <x:c r="AE2206" s="1" t="str">
        <x:f>IF(A2206="","",F157)</x:f>
        <x:v>2101 S BROAD ST</x:v>
      </x:c>
      <x:c r="AF2206" s="1" t="n">
        <x:f>IF(ISNUMBER(I157),I157,"")</x:f>
        <x:v>39.9238987</x:v>
      </x:c>
      <x:c r="AG2206" s="1" t="n">
        <x:f>IF(ISNUMBER(J157),J157,"")</x:f>
        <x:v>-75.1691065</x:v>
      </x:c>
      <x:c r="AH2206" s="1" t="str">
        <x:f>IF(I2206=0,"Not contacted",IF(INDEX('Staff Review'!$J$8:$J$507,I2206)="","Not contacted",INDEX('Staff Review'!$J$8:$J$507,I2206)))</x:f>
        <x:v>Not contacted</x:v>
      </x:c>
      <x:c r="AI2206" s="1" t="str">
        <x:f>IF(I2206=0,"No",IF(AND(COUNT(INDEX('Staff Review'!$D$8:$D$507,I2206))=1,INDEX('Staff Review'!$D$8:$D$507,I2206)&gt;=0,COUNT(INDEX('Staff Review'!$E$8:$E$507,I2206))=1,INDEX('Staff Review'!$E$8:$E$507,I2206)&gt;0,INDEX('Staff Review'!$E$8:$E$507,I2206)&lt;='Top 15'!$E$5,'Top 15'!$E$5-INDEX('Staff Review'!$E$8:$E$507,I2206)&lt;='Top 15'!$H$5,LEN(INDEX('Staff Review'!$H$8:$H$507,I2206))&gt;0),"Yes","No"))</x:f>
        <x:v>No</x:v>
      </x:c>
      <x:c r="AJ2206" s="1" t="str">
        <x:f>IF(I2206=0,"No",IF(COUNT(INDEX('Staff Review'!$F$8:$F$507,I2206))&lt;&gt;1,"No",IF(AND(INDEX('Staff Review'!$F$8:$F$507,I2206)&gt;=0,MOD(INDEX('Staff Review'!$F$8:$F$507,I2206),1)=0,COUNT(INDEX('Staff Review'!$G$8:$G$507,I2206))=1,INDEX('Staff Review'!$G$8:$G$507,I2206)&gt;0,INDEX('Staff Review'!$G$8:$G$507,I2206)&lt;='Top 15'!$E$5,'Top 15'!$E$5-INDEX('Staff Review'!$G$8:$G$507,I2206)&lt;='Top 15'!$H$5,LEN(INDEX('Staff Review'!$H$8:$H$507,I2206))&gt;0),"Yes","No")))</x:f>
        <x:v>No</x:v>
      </x:c>
      <x:c r="AK2206" s="1" t="n">
        <x:f>IF(A2206="",0,COUNTIFS($A$2:$A$501,A2206))</x:f>
        <x:v>1</x:v>
      </x:c>
      <x:c r="AL2206" s="1" t="n">
        <x:f>IF(V2206="Candidate",1,0)</x:f>
        <x:v>0</x:v>
      </x:c>
      <x:c r="AM2206" s="1" t="n">
        <x:f>IF(A2206="",0,VALUE(A2206))</x:f>
        <x:v>3880</x:v>
      </x:c>
      <x:c r="AN2206" s="1" t="n">
        <x:f>IF(OR(A2206="",COUNTIFS($T$41:$T$540,A2206)&lt;&gt;1),0,MATCH(A2206,$T$41:$T$540,0))</x:f>
        <x:v>156</x:v>
      </x:c>
      <x:c r="AO2206" t="n">
        <x:f>IF(ISNUMBER(W2206),W2206,10000+AM2206)</x:f>
        <x:v>13880</x:v>
      </x:c>
    </x:row>
    <x:row r="2207" ht="22" customHeight="1">
      <x:c r="A2207" s="1" t="str">
        <x:f>IF(A158="","",A158)</x:f>
        <x:v>4020</x:v>
      </x:c>
      <x:c r="B2207" s="1" t="str">
        <x:f>IF(A2207="","",B158)</x:f>
        <x:v>Overbrook High School</x:v>
      </x:c>
      <x:c r="C2207" s="1" t="str">
        <x:f>IF(A2207="","",C158)</x:f>
        <x:v>District</x:v>
      </x:c>
      <x:c r="D2207" s="1" t="str">
        <x:f>IF(A2207="","",E158)</x:f>
        <x:v>High</x:v>
      </x:c>
      <x:c r="E2207" s="1" t="str">
        <x:f>IF(A2207="","",H158)</x:f>
        <x:v>19131</x:v>
      </x:c>
      <x:c r="F2207" s="1" t="n">
        <x:f>IF(ISNUMBER(K158),K158,"")</x:f>
        <x:v>466</x:v>
      </x:c>
      <x:c r="G2207" s="1" t="n">
        <x:f>IF(ISNUMBER(L158),L158,"")</x:f>
        <x:v>0.8232</x:v>
      </x:c>
      <x:c r="H2207" s="1" t="str">
        <x:f>IF(A2207="","",IF(AND(UPPER(G158)="PHILADELPHIA",OR(C2207="District",AND(C2207="Charter",D158="Yes"))),"Yes","No"))</x:f>
        <x:v>Yes</x:v>
      </x:c>
      <x:c r="I2207" s="1" t="n">
        <x:f>IF(OR(A2207="",COUNTIFS('Staff Review'!$A$8:$A$507,A2207)&lt;&gt;1),0,MATCH(A2207,'Staff Review'!$A$8:$A$507,0))</x:f>
        <x:v>220</x:v>
      </x:c>
      <x:c r="J2207" s="1" t="str">
        <x:f>IF(I2207=0,"No",IF(INDEX('Staff Review'!$C$8:$C$507,I2207)="Yes","Yes","No"))</x:f>
        <x:v>No</x:v>
      </x:c>
      <x:c r="K2207" s="1" t="n">
        <x:f>IF(AI2207="Yes",INDEX('Staff Review'!$D$8:$D$507,I2207),IF(AB2207=0,"",IF(COUNT(INDEX($C$1531:$C$2030,AB2207))=1,INDEX($C$1531:$C$2030,AB2207),"")))</x:f>
        <x:v>0.7295328361844429</x:v>
      </x:c>
      <x:c r="L2207" s="1" t="n">
        <x:f>IF(AJ2207="Yes",INDEX('Staff Review'!$F$8:$F$507,I2207),IF(AB2207=0,"",IF(COUNT(INDEX($G$1531:$G$2030,AB2207))=1,INDEX($G$1531:$G$2030,AB2207),"")))</x:f>
        <x:v>8</x:v>
      </x:c>
      <x:c r="M2207" s="1" t="str">
        <x:f>IF(A2207="","",IF(AI2207="Yes","Verified","Listed"))</x:f>
        <x:v>Listed</x:v>
      </x:c>
      <x:c r="N2207" s="1" t="str">
        <x:f>IF(A2207="","",IF(AJ2207="Yes","Verified","Listed"))</x:f>
        <x:v>Listed</x:v>
      </x:c>
      <x:c r="O2207" s="1" t="n">
        <x:f>IF(AND(ISNUMBER(G2207),G2207&gt;=0,G2207&lt;=1),IF(G2207&gt;=0.9,30,IF(G2207&gt;=0.8,25,IF(G2207&gt;=0.7,20,IF(G2207&gt;=0.6,15,IF(G2207&gt;=0.5,10,IF(G2207&gt;=0.4,5,0)))))),"")</x:f>
        <x:v>25</x:v>
      </x:c>
      <x:c r="P2207" s="1" t="n">
        <x:f>IF(ISNUMBER(K2207),IF(K2207&lt;0,"",IF(K2207&gt;1,25,IF(K2207&gt;=0.75,20,IF(K2207&gt;=0.5,15,IF(K2207&gt;=0.25,10,5))))),"")</x:f>
        <x:v>15</x:v>
      </x:c>
      <x:c r="Q2207" s="1" t="n">
        <x:f>IF(NOT(ISNUMBER(L2207)),"",IF(AND(L2207&gt;=0,MOD(L2207,1)=0),MAX(0,25-5*L2207),""))</x:f>
        <x:v>0</x:v>
      </x:c>
      <x:c r="R2207" s="1" t="n">
        <x:f>IF(NOT(ISNUMBER(F2207)),"",IF(AND(F2207&gt;0,MOD(F2207,1)=0),IF(F2207&gt;=700,5,IF(F2207&gt;=500,4,IF(F2207&gt;=350,3,IF(F2207&gt;=200,2,1)))),""))</x:f>
        <x:v>3</x:v>
      </x:c>
      <x:c r="S2207" s="1" t="n">
        <x:f>IF(COUNT(O2207:R2207)=4,SUM(O2207:R2207),"")</x:f>
        <x:v>43</x:v>
      </x:c>
      <x:c r="T2207" s="1" t="n">
        <x:f>IF(OR(COUNT(O2207:R2207)&lt;&gt;4,COUNT('Top 15'!$B$35:$E$35)&lt;&gt;4,MIN('Top 15'!$B$35:$E$35)&lt;0,SUM('Top 15'!$B$35:$E$35)&lt;=0),"",ROUND(85*(O2207/30*'Top 15'!$B$35+P2207/25*'Top 15'!$C$35+Q2207/25*'Top 15'!$D$35+R2207/5*'Top 15'!$E$35)/SUM('Top 15'!$B$35:$E$35),6))</x:f>
        <x:v>43</x:v>
      </x:c>
      <x:c r="U2207" s="1" t="str">
        <x:f>IF(A2207="","",IF(AND(M2207="Verified",N2207="Verified"),"Verified",IF(AND(M2207="Listed",N2207="Listed"),"Listed","Mixed")))</x:f>
        <x:v>Listed</x:v>
      </x:c>
      <x:c r="V2207" s="1" t="str">
        <x:f>IF(A2207="","",IF(AK2207&lt;&gt;1,"Duplicate source ID",IF(COUNTIFS('Staff Review'!$A$8:$A$507,A2207)&gt;1,"Duplicate review ID",IF(H2207&lt;&gt;"Yes","Outside scope",IF(J2207="Yes","Already served",IF(NOT(ISNUMBER(T2207)),"Missing data","Candidate"))))))</x:f>
        <x:v>Candidate</x:v>
      </x:c>
      <x:c r="W2207" s="1" t="n">
        <x:f>IF(AL2207=0,"",1+COUNTIFS($AL$2051:$AL$2550,1,$T$2051:$T$2550,"&gt;"&amp;T2207)+COUNTIFS($AL$2051:$AL$2550,1,$T$2051:$T$2550,T2207,$G$2051:$G$2550,"&gt;"&amp;G2207)+COUNTIFS($AL$2051:$AL$2550,1,$T$2051:$T$2550,T2207,$G$2051:$G$2550,G2207,$F$2051:$F$2550,"&gt;"&amp;F2207)+COUNTIFS($AL$2051:$AL$2550,1,$T$2051:$T$2550,T2207,$G$2051:$G$2550,G2207,$F$2051:$F$2550,F2207,$AM$2051:$AM$2550,"&lt;"&amp;AM2207))</x:f>
        <x:v>97</x:v>
      </x:c>
      <x:c r="X2207" s="1" t="n">
        <x:f>IF(AL2207=0,"",1+COUNTIFS($AL$2051:$AL$2550,1,$T$2051:$T$2550,"&gt;"&amp;T2207))</x:f>
        <x:v>90</x:v>
      </x:c>
      <x:c r="Y2207" s="1" t="n">
        <x:f>IF(AND(H2207="Yes",OR(LEN('School Search'!$B$5)=0,ISNUMBER(SEARCH('School Search'!$B$5,B2207&amp;" "&amp;E2207&amp;" "&amp;A2207))),OR('School Search'!$D$5="All",C2207='School Search'!$D$5),OR('School Search'!$G$5="All eligible",AND('School Search'!$G$5="Not marked served",J2207&lt;&gt;"Yes"),AND('School Search'!$G$5="Missing data",V2207="Missing data"),AND('School Search'!$G$5="Marked served",J2207="Yes"))),1,0)</x:f>
        <x:v>1</x:v>
      </x:c>
      <x:c r="Z2207" s="1" t="n">
        <x:f>IF(Y2207=0,"",COUNTIFS($Y$2051:$Y$2550,1,$AO$2051:$AO$2550,"&lt;"&amp;AO2207)+COUNTIFS($Y$2051:Y2207,1,$AO$2051:AO2207,AO2207))</x:f>
        <x:v>97</x:v>
      </x:c>
      <x:c r="AA2207" s="1" t="str">
        <x:f>IF(NOT(ISNUMBER(S2207)),"Missing demographic or access input",TEXT(G2207,"0%")&amp;" economic need; "&amp;TEXT(K2207,"0.00")&amp;" mi fresh access; "&amp;L2207&amp;" nearby resources")</x:f>
        <x:v>82% economic need; 0.73 mi fresh access; 8 nearby resources</x:v>
      </x:c>
      <x:c r="AB2207" s="1" t="n">
        <x:f>IF(OR(A2207="",COUNTIFS($A$1531:$A$2030,A2207)&lt;&gt;1),0,MATCH(A2207,$A$1531:$A$2030,0))</x:f>
        <x:v>157</x:v>
      </x:c>
      <x:c r="AC2207" s="1" t="str">
        <x:f>IF(AB2207=0,"",INDEX($E$1531:$E$2030,AB2207))</x:f>
        <x:v>Shoprite of Parkside 419</x:v>
      </x:c>
      <x:c r="AD2207" s="1" t="str">
        <x:f>IF(AB2207=0,"",INDEX($F$1531:$F$2030,AB2207))</x:f>
        <x:v>1575 N 52nd St, Philadelphia, PA, 19131</x:v>
      </x:c>
      <x:c r="AE2207" s="1" t="str">
        <x:f>IF(A2207="","",F158)</x:f>
        <x:v>5898 LANCASTER AVE</x:v>
      </x:c>
      <x:c r="AF2207" s="1" t="n">
        <x:f>IF(ISNUMBER(I158),I158,"")</x:f>
        <x:v>39.981028</x:v>
      </x:c>
      <x:c r="AG2207" s="1" t="n">
        <x:f>IF(ISNUMBER(J158),J158,"")</x:f>
        <x:v>-75.238556</x:v>
      </x:c>
      <x:c r="AH2207" s="1" t="str">
        <x:f>IF(I2207=0,"Not contacted",IF(INDEX('Staff Review'!$J$8:$J$507,I2207)="","Not contacted",INDEX('Staff Review'!$J$8:$J$507,I2207)))</x:f>
        <x:v>Not contacted</x:v>
      </x:c>
      <x:c r="AI2207" s="1" t="str">
        <x:f>IF(I2207=0,"No",IF(AND(COUNT(INDEX('Staff Review'!$D$8:$D$507,I2207))=1,INDEX('Staff Review'!$D$8:$D$507,I2207)&gt;=0,COUNT(INDEX('Staff Review'!$E$8:$E$507,I2207))=1,INDEX('Staff Review'!$E$8:$E$507,I2207)&gt;0,INDEX('Staff Review'!$E$8:$E$507,I2207)&lt;='Top 15'!$E$5,'Top 15'!$E$5-INDEX('Staff Review'!$E$8:$E$507,I2207)&lt;='Top 15'!$H$5,LEN(INDEX('Staff Review'!$H$8:$H$507,I2207))&gt;0),"Yes","No"))</x:f>
        <x:v>No</x:v>
      </x:c>
      <x:c r="AJ2207" s="1" t="str">
        <x:f>IF(I2207=0,"No",IF(COUNT(INDEX('Staff Review'!$F$8:$F$507,I2207))&lt;&gt;1,"No",IF(AND(INDEX('Staff Review'!$F$8:$F$507,I2207)&gt;=0,MOD(INDEX('Staff Review'!$F$8:$F$507,I2207),1)=0,COUNT(INDEX('Staff Review'!$G$8:$G$507,I2207))=1,INDEX('Staff Review'!$G$8:$G$507,I2207)&gt;0,INDEX('Staff Review'!$G$8:$G$507,I2207)&lt;='Top 15'!$E$5,'Top 15'!$E$5-INDEX('Staff Review'!$G$8:$G$507,I2207)&lt;='Top 15'!$H$5,LEN(INDEX('Staff Review'!$H$8:$H$507,I2207))&gt;0),"Yes","No")))</x:f>
        <x:v>No</x:v>
      </x:c>
      <x:c r="AK2207" s="1" t="n">
        <x:f>IF(A2207="",0,COUNTIFS($A$2:$A$501,A2207))</x:f>
        <x:v>1</x:v>
      </x:c>
      <x:c r="AL2207" s="1" t="n">
        <x:f>IF(V2207="Candidate",1,0)</x:f>
        <x:v>1</x:v>
      </x:c>
      <x:c r="AM2207" s="1" t="n">
        <x:f>IF(A2207="",0,VALUE(A2207))</x:f>
        <x:v>4020</x:v>
      </x:c>
      <x:c r="AN2207" s="1" t="n">
        <x:f>IF(OR(A2207="",COUNTIFS($T$41:$T$540,A2207)&lt;&gt;1),0,MATCH(A2207,$T$41:$T$540,0))</x:f>
        <x:v>157</x:v>
      </x:c>
      <x:c r="AO2207" t="n">
        <x:f>IF(ISNUMBER(W2207),W2207,10000+AM2207)</x:f>
        <x:v>97</x:v>
      </x:c>
    </x:row>
    <x:row r="2208" ht="22" customHeight="1">
      <x:c r="A2208" s="1" t="str">
        <x:f>IF(A159="","",A159)</x:f>
        <x:v>4030</x:v>
      </x:c>
      <x:c r="B2208" s="1" t="str">
        <x:f>IF(A2208="","",B159)</x:f>
        <x:v>Carver High School of Engineering and Science</x:v>
      </x:c>
      <x:c r="C2208" s="1" t="str">
        <x:f>IF(A2208="","",C159)</x:f>
        <x:v>District</x:v>
      </x:c>
      <x:c r="D2208" s="1" t="str">
        <x:f>IF(A2208="","",E159)</x:f>
        <x:v>Middle-High</x:v>
      </x:c>
      <x:c r="E2208" s="1" t="str">
        <x:f>IF(A2208="","",H159)</x:f>
        <x:v>19121</x:v>
      </x:c>
      <x:c r="F2208" s="1" t="n">
        <x:f>IF(ISNUMBER(K159),K159,"")</x:f>
        <x:v>906</x:v>
      </x:c>
      <x:c r="G2208" s="1" t="n">
        <x:f>IF(ISNUMBER(L159),L159,"")</x:f>
        <x:v>0.5444</x:v>
      </x:c>
      <x:c r="H2208" s="1" t="str">
        <x:f>IF(A2208="","",IF(AND(UPPER(G159)="PHILADELPHIA",OR(C2208="District",AND(C2208="Charter",D159="Yes"))),"Yes","No"))</x:f>
        <x:v>Yes</x:v>
      </x:c>
      <x:c r="I2208" s="1" t="n">
        <x:f>IF(OR(A2208="",COUNTIFS('Staff Review'!$A$8:$A$507,A2208)&lt;&gt;1),0,MATCH(A2208,'Staff Review'!$A$8:$A$507,0))</x:f>
        <x:v>36</x:v>
      </x:c>
      <x:c r="J2208" s="1" t="str">
        <x:f>IF(I2208=0,"No",IF(INDEX('Staff Review'!$C$8:$C$507,I2208)="Yes","Yes","No"))</x:f>
        <x:v>No</x:v>
      </x:c>
      <x:c r="K2208" s="1" t="n">
        <x:f>IF(AI2208="Yes",INDEX('Staff Review'!$D$8:$D$507,I2208),IF(AB2208=0,"",IF(COUNT(INDEX($C$1531:$C$2030,AB2208))=1,INDEX($C$1531:$C$2030,AB2208),"")))</x:f>
        <x:v>0.5124788652780752</x:v>
      </x:c>
      <x:c r="L2208" s="1" t="n">
        <x:f>IF(AJ2208="Yes",INDEX('Staff Review'!$F$8:$F$507,I2208),IF(AB2208=0,"",IF(COUNT(INDEX($G$1531:$G$2030,AB2208))=1,INDEX($G$1531:$G$2030,AB2208),"")))</x:f>
        <x:v>13</x:v>
      </x:c>
      <x:c r="M2208" s="1" t="str">
        <x:f>IF(A2208="","",IF(AI2208="Yes","Verified","Listed"))</x:f>
        <x:v>Listed</x:v>
      </x:c>
      <x:c r="N2208" s="1" t="str">
        <x:f>IF(A2208="","",IF(AJ2208="Yes","Verified","Listed"))</x:f>
        <x:v>Listed</x:v>
      </x:c>
      <x:c r="O2208" s="1" t="n">
        <x:f>IF(AND(ISNUMBER(G2208),G2208&gt;=0,G2208&lt;=1),IF(G2208&gt;=0.9,30,IF(G2208&gt;=0.8,25,IF(G2208&gt;=0.7,20,IF(G2208&gt;=0.6,15,IF(G2208&gt;=0.5,10,IF(G2208&gt;=0.4,5,0)))))),"")</x:f>
        <x:v>10</x:v>
      </x:c>
      <x:c r="P2208" s="1" t="n">
        <x:f>IF(ISNUMBER(K2208),IF(K2208&lt;0,"",IF(K2208&gt;1,25,IF(K2208&gt;=0.75,20,IF(K2208&gt;=0.5,15,IF(K2208&gt;=0.25,10,5))))),"")</x:f>
        <x:v>15</x:v>
      </x:c>
      <x:c r="Q2208" s="1" t="n">
        <x:f>IF(NOT(ISNUMBER(L2208)),"",IF(AND(L2208&gt;=0,MOD(L2208,1)=0),MAX(0,25-5*L2208),""))</x:f>
        <x:v>0</x:v>
      </x:c>
      <x:c r="R2208" s="1" t="n">
        <x:f>IF(NOT(ISNUMBER(F2208)),"",IF(AND(F2208&gt;0,MOD(F2208,1)=0),IF(F2208&gt;=700,5,IF(F2208&gt;=500,4,IF(F2208&gt;=350,3,IF(F2208&gt;=200,2,1)))),""))</x:f>
        <x:v>5</x:v>
      </x:c>
      <x:c r="S2208" s="1" t="n">
        <x:f>IF(COUNT(O2208:R2208)=4,SUM(O2208:R2208),"")</x:f>
        <x:v>30</x:v>
      </x:c>
      <x:c r="T2208" s="1" t="n">
        <x:f>IF(OR(COUNT(O2208:R2208)&lt;&gt;4,COUNT('Top 15'!$B$35:$E$35)&lt;&gt;4,MIN('Top 15'!$B$35:$E$35)&lt;0,SUM('Top 15'!$B$35:$E$35)&lt;=0),"",ROUND(85*(O2208/30*'Top 15'!$B$35+P2208/25*'Top 15'!$C$35+Q2208/25*'Top 15'!$D$35+R2208/5*'Top 15'!$E$35)/SUM('Top 15'!$B$35:$E$35),6))</x:f>
        <x:v>30</x:v>
      </x:c>
      <x:c r="U2208" s="1" t="str">
        <x:f>IF(A2208="","",IF(AND(M2208="Verified",N2208="Verified"),"Verified",IF(AND(M2208="Listed",N2208="Listed"),"Listed","Mixed")))</x:f>
        <x:v>Listed</x:v>
      </x:c>
      <x:c r="V2208" s="1" t="str">
        <x:f>IF(A2208="","",IF(AK2208&lt;&gt;1,"Duplicate source ID",IF(COUNTIFS('Staff Review'!$A$8:$A$507,A2208)&gt;1,"Duplicate review ID",IF(H2208&lt;&gt;"Yes","Outside scope",IF(J2208="Yes","Already served",IF(NOT(ISNUMBER(T2208)),"Missing data","Candidate"))))))</x:f>
        <x:v>Candidate</x:v>
      </x:c>
      <x:c r="W2208" s="1" t="n">
        <x:f>IF(AL2208=0,"",1+COUNTIFS($AL$2051:$AL$2550,1,$T$2051:$T$2550,"&gt;"&amp;T2208)+COUNTIFS($AL$2051:$AL$2550,1,$T$2051:$T$2550,T2208,$G$2051:$G$2550,"&gt;"&amp;G2208)+COUNTIFS($AL$2051:$AL$2550,1,$T$2051:$T$2550,T2208,$G$2051:$G$2550,G2208,$F$2051:$F$2550,"&gt;"&amp;F2208)+COUNTIFS($AL$2051:$AL$2550,1,$T$2051:$T$2550,T2208,$G$2051:$G$2550,G2208,$F$2051:$F$2550,F2208,$AM$2051:$AM$2550,"&lt;"&amp;AM2208))</x:f>
        <x:v>260</x:v>
      </x:c>
      <x:c r="X2208" s="1" t="n">
        <x:f>IF(AL2208=0,"",1+COUNTIFS($AL$2051:$AL$2550,1,$T$2051:$T$2550,"&gt;"&amp;T2208))</x:f>
        <x:v>253</x:v>
      </x:c>
      <x:c r="Y2208" s="1" t="n">
        <x:f>IF(AND(H2208="Yes",OR(LEN('School Search'!$B$5)=0,ISNUMBER(SEARCH('School Search'!$B$5,B2208&amp;" "&amp;E2208&amp;" "&amp;A2208))),OR('School Search'!$D$5="All",C2208='School Search'!$D$5),OR('School Search'!$G$5="All eligible",AND('School Search'!$G$5="Not marked served",J2208&lt;&gt;"Yes"),AND('School Search'!$G$5="Missing data",V2208="Missing data"),AND('School Search'!$G$5="Marked served",J2208="Yes"))),1,0)</x:f>
        <x:v>1</x:v>
      </x:c>
      <x:c r="Z2208" s="1" t="n">
        <x:f>IF(Y2208=0,"",COUNTIFS($Y$2051:$Y$2550,1,$AO$2051:$AO$2550,"&lt;"&amp;AO2208)+COUNTIFS($Y$2051:Y2208,1,$AO$2051:AO2208,AO2208))</x:f>
        <x:v>260</x:v>
      </x:c>
      <x:c r="AA2208" s="1" t="str">
        <x:f>IF(NOT(ISNUMBER(S2208)),"Missing demographic or access input",TEXT(G2208,"0%")&amp;" economic need; "&amp;TEXT(K2208,"0.00")&amp;" mi fresh access; "&amp;L2208&amp;" nearby resources")</x:f>
        <x:v>54% economic need; 0.51 mi fresh access; 13 nearby resources</x:v>
      </x:c>
      <x:c r="AB2208" s="1" t="n">
        <x:f>IF(OR(A2208="",COUNTIFS($A$1531:$A$2030,A2208)&lt;&gt;1),0,MATCH(A2208,$A$1531:$A$2030,0))</x:f>
        <x:v>158</x:v>
      </x:c>
      <x:c r="AC2208" s="1" t="str">
        <x:f>IF(AB2208=0,"",INDEX($E$1531:$E$2030,AB2208))</x:f>
        <x:v>The Fresh Grocer</x:v>
      </x:c>
      <x:c r="AD2208" s="1" t="str">
        <x:f>IF(AB2208=0,"",INDEX($F$1531:$F$2030,AB2208))</x:f>
        <x:v>1501 N Broad St, Philadelphia, PA, 19122</x:v>
      </x:c>
      <x:c r="AE2208" s="1" t="str">
        <x:f>IF(A2208="","",F159)</x:f>
        <x:v>1600 W NORRIS ST</x:v>
      </x:c>
      <x:c r="AF2208" s="1" t="n">
        <x:f>IF(ISNUMBER(I159),I159,"")</x:f>
        <x:v>39.98341809</x:v>
      </x:c>
      <x:c r="AG2208" s="1" t="n">
        <x:f>IF(ISNUMBER(J159),J159,"")</x:f>
        <x:v>-75.16127789</x:v>
      </x:c>
      <x:c r="AH2208" s="1" t="str">
        <x:f>IF(I2208=0,"Not contacted",IF(INDEX('Staff Review'!$J$8:$J$507,I2208)="","Not contacted",INDEX('Staff Review'!$J$8:$J$507,I2208)))</x:f>
        <x:v>Not contacted</x:v>
      </x:c>
      <x:c r="AI2208" s="1" t="str">
        <x:f>IF(I2208=0,"No",IF(AND(COUNT(INDEX('Staff Review'!$D$8:$D$507,I2208))=1,INDEX('Staff Review'!$D$8:$D$507,I2208)&gt;=0,COUNT(INDEX('Staff Review'!$E$8:$E$507,I2208))=1,INDEX('Staff Review'!$E$8:$E$507,I2208)&gt;0,INDEX('Staff Review'!$E$8:$E$507,I2208)&lt;='Top 15'!$E$5,'Top 15'!$E$5-INDEX('Staff Review'!$E$8:$E$507,I2208)&lt;='Top 15'!$H$5,LEN(INDEX('Staff Review'!$H$8:$H$507,I2208))&gt;0),"Yes","No"))</x:f>
        <x:v>No</x:v>
      </x:c>
      <x:c r="AJ2208" s="1" t="str">
        <x:f>IF(I2208=0,"No",IF(COUNT(INDEX('Staff Review'!$F$8:$F$507,I2208))&lt;&gt;1,"No",IF(AND(INDEX('Staff Review'!$F$8:$F$507,I2208)&gt;=0,MOD(INDEX('Staff Review'!$F$8:$F$507,I2208),1)=0,COUNT(INDEX('Staff Review'!$G$8:$G$507,I2208))=1,INDEX('Staff Review'!$G$8:$G$507,I2208)&gt;0,INDEX('Staff Review'!$G$8:$G$507,I2208)&lt;='Top 15'!$E$5,'Top 15'!$E$5-INDEX('Staff Review'!$G$8:$G$507,I2208)&lt;='Top 15'!$H$5,LEN(INDEX('Staff Review'!$H$8:$H$507,I2208))&gt;0),"Yes","No")))</x:f>
        <x:v>No</x:v>
      </x:c>
      <x:c r="AK2208" s="1" t="n">
        <x:f>IF(A2208="",0,COUNTIFS($A$2:$A$501,A2208))</x:f>
        <x:v>1</x:v>
      </x:c>
      <x:c r="AL2208" s="1" t="n">
        <x:f>IF(V2208="Candidate",1,0)</x:f>
        <x:v>1</x:v>
      </x:c>
      <x:c r="AM2208" s="1" t="n">
        <x:f>IF(A2208="",0,VALUE(A2208))</x:f>
        <x:v>4030</x:v>
      </x:c>
      <x:c r="AN2208" s="1" t="n">
        <x:f>IF(OR(A2208="",COUNTIFS($T$41:$T$540,A2208)&lt;&gt;1),0,MATCH(A2208,$T$41:$T$540,0))</x:f>
        <x:v>158</x:v>
      </x:c>
      <x:c r="AO2208" t="n">
        <x:f>IF(ISNUMBER(W2208),W2208,10000+AM2208)</x:f>
        <x:v>260</x:v>
      </x:c>
    </x:row>
    <x:row r="2209" ht="22" customHeight="1">
      <x:c r="A2209" s="1" t="str">
        <x:f>IF(A160="","",A160)</x:f>
        <x:v>4060</x:v>
      </x:c>
      <x:c r="B2209" s="1" t="str">
        <x:f>IF(A2209="","",B160)</x:f>
        <x:v>Murrell Dobbins Career and Technical High School</x:v>
      </x:c>
      <x:c r="C2209" s="1" t="str">
        <x:f>IF(A2209="","",C160)</x:f>
        <x:v>District</x:v>
      </x:c>
      <x:c r="D2209" s="1" t="str">
        <x:f>IF(A2209="","",E160)</x:f>
        <x:v>High</x:v>
      </x:c>
      <x:c r="E2209" s="1" t="str">
        <x:f>IF(A2209="","",H160)</x:f>
        <x:v>19132</x:v>
      </x:c>
      <x:c r="F2209" s="1" t="n">
        <x:f>IF(ISNUMBER(K160),K160,"")</x:f>
        <x:v>535</x:v>
      </x:c>
      <x:c r="G2209" s="1" t="n">
        <x:f>IF(ISNUMBER(L160),L160,"")</x:f>
        <x:v>0.9064</x:v>
      </x:c>
      <x:c r="H2209" s="1" t="str">
        <x:f>IF(A2209="","",IF(AND(UPPER(G160)="PHILADELPHIA",OR(C2209="District",AND(C2209="Charter",D160="Yes"))),"Yes","No"))</x:f>
        <x:v>Yes</x:v>
      </x:c>
      <x:c r="I2209" s="1" t="n">
        <x:f>IF(OR(A2209="",COUNTIFS('Staff Review'!$A$8:$A$507,A2209)&lt;&gt;1),0,MATCH(A2209,'Staff Review'!$A$8:$A$507,0))</x:f>
        <x:v>203</x:v>
      </x:c>
      <x:c r="J2209" s="1" t="str">
        <x:f>IF(I2209=0,"No",IF(INDEX('Staff Review'!$C$8:$C$507,I2209)="Yes","Yes","No"))</x:f>
        <x:v>No</x:v>
      </x:c>
      <x:c r="K2209" s="1" t="n">
        <x:f>IF(AI2209="Yes",INDEX('Staff Review'!$D$8:$D$507,I2209),IF(AB2209=0,"",IF(COUNT(INDEX($C$1531:$C$2030,AB2209))=1,INDEX($C$1531:$C$2030,AB2209),"")))</x:f>
        <x:v>0.04483946969533602</x:v>
      </x:c>
      <x:c r="L2209" s="1" t="n">
        <x:f>IF(AJ2209="Yes",INDEX('Staff Review'!$F$8:$F$507,I2209),IF(AB2209=0,"",IF(COUNT(INDEX($G$1531:$G$2030,AB2209))=1,INDEX($G$1531:$G$2030,AB2209),"")))</x:f>
        <x:v>14</x:v>
      </x:c>
      <x:c r="M2209" s="1" t="str">
        <x:f>IF(A2209="","",IF(AI2209="Yes","Verified","Listed"))</x:f>
        <x:v>Listed</x:v>
      </x:c>
      <x:c r="N2209" s="1" t="str">
        <x:f>IF(A2209="","",IF(AJ2209="Yes","Verified","Listed"))</x:f>
        <x:v>Listed</x:v>
      </x:c>
      <x:c r="O2209" s="1" t="n">
        <x:f>IF(AND(ISNUMBER(G2209),G2209&gt;=0,G2209&lt;=1),IF(G2209&gt;=0.9,30,IF(G2209&gt;=0.8,25,IF(G2209&gt;=0.7,20,IF(G2209&gt;=0.6,15,IF(G2209&gt;=0.5,10,IF(G2209&gt;=0.4,5,0)))))),"")</x:f>
        <x:v>30</x:v>
      </x:c>
      <x:c r="P2209" s="1" t="n">
        <x:f>IF(ISNUMBER(K2209),IF(K2209&lt;0,"",IF(K2209&gt;1,25,IF(K2209&gt;=0.75,20,IF(K2209&gt;=0.5,15,IF(K2209&gt;=0.25,10,5))))),"")</x:f>
        <x:v>5</x:v>
      </x:c>
      <x:c r="Q2209" s="1" t="n">
        <x:f>IF(NOT(ISNUMBER(L2209)),"",IF(AND(L2209&gt;=0,MOD(L2209,1)=0),MAX(0,25-5*L2209),""))</x:f>
        <x:v>0</x:v>
      </x:c>
      <x:c r="R2209" s="1" t="n">
        <x:f>IF(NOT(ISNUMBER(F2209)),"",IF(AND(F2209&gt;0,MOD(F2209,1)=0),IF(F2209&gt;=700,5,IF(F2209&gt;=500,4,IF(F2209&gt;=350,3,IF(F2209&gt;=200,2,1)))),""))</x:f>
        <x:v>4</x:v>
      </x:c>
      <x:c r="S2209" s="1" t="n">
        <x:f>IF(COUNT(O2209:R2209)=4,SUM(O2209:R2209),"")</x:f>
        <x:v>39</x:v>
      </x:c>
      <x:c r="T2209" s="1" t="n">
        <x:f>IF(OR(COUNT(O2209:R2209)&lt;&gt;4,COUNT('Top 15'!$B$35:$E$35)&lt;&gt;4,MIN('Top 15'!$B$35:$E$35)&lt;0,SUM('Top 15'!$B$35:$E$35)&lt;=0),"",ROUND(85*(O2209/30*'Top 15'!$B$35+P2209/25*'Top 15'!$C$35+Q2209/25*'Top 15'!$D$35+R2209/5*'Top 15'!$E$35)/SUM('Top 15'!$B$35:$E$35),6))</x:f>
        <x:v>39</x:v>
      </x:c>
      <x:c r="U2209" s="1" t="str">
        <x:f>IF(A2209="","",IF(AND(M2209="Verified",N2209="Verified"),"Verified",IF(AND(M2209="Listed",N2209="Listed"),"Listed","Mixed")))</x:f>
        <x:v>Listed</x:v>
      </x:c>
      <x:c r="V2209" s="1" t="str">
        <x:f>IF(A2209="","",IF(AK2209&lt;&gt;1,"Duplicate source ID",IF(COUNTIFS('Staff Review'!$A$8:$A$507,A2209)&gt;1,"Duplicate review ID",IF(H2209&lt;&gt;"Yes","Outside scope",IF(J2209="Yes","Already served",IF(NOT(ISNUMBER(T2209)),"Missing data","Candidate"))))))</x:f>
        <x:v>Candidate</x:v>
      </x:c>
      <x:c r="W2209" s="1" t="n">
        <x:f>IF(AL2209=0,"",1+COUNTIFS($AL$2051:$AL$2550,1,$T$2051:$T$2550,"&gt;"&amp;T2209)+COUNTIFS($AL$2051:$AL$2550,1,$T$2051:$T$2550,T2209,$G$2051:$G$2550,"&gt;"&amp;G2209)+COUNTIFS($AL$2051:$AL$2550,1,$T$2051:$T$2550,T2209,$G$2051:$G$2550,G2209,$F$2051:$F$2550,"&gt;"&amp;F2209)+COUNTIFS($AL$2051:$AL$2550,1,$T$2051:$T$2550,T2209,$G$2051:$G$2550,G2209,$F$2051:$F$2550,F2209,$AM$2051:$AM$2550,"&lt;"&amp;AM2209))</x:f>
        <x:v>150</x:v>
      </x:c>
      <x:c r="X2209" s="1" t="n">
        <x:f>IF(AL2209=0,"",1+COUNTIFS($AL$2051:$AL$2550,1,$T$2051:$T$2550,"&gt;"&amp;T2209))</x:f>
        <x:v>148</x:v>
      </x:c>
      <x:c r="Y2209" s="1" t="n">
        <x:f>IF(AND(H2209="Yes",OR(LEN('School Search'!$B$5)=0,ISNUMBER(SEARCH('School Search'!$B$5,B2209&amp;" "&amp;E2209&amp;" "&amp;A2209))),OR('School Search'!$D$5="All",C2209='School Search'!$D$5),OR('School Search'!$G$5="All eligible",AND('School Search'!$G$5="Not marked served",J2209&lt;&gt;"Yes"),AND('School Search'!$G$5="Missing data",V2209="Missing data"),AND('School Search'!$G$5="Marked served",J2209="Yes"))),1,0)</x:f>
        <x:v>1</x:v>
      </x:c>
      <x:c r="Z2209" s="1" t="n">
        <x:f>IF(Y2209=0,"",COUNTIFS($Y$2051:$Y$2550,1,$AO$2051:$AO$2550,"&lt;"&amp;AO2209)+COUNTIFS($Y$2051:Y2209,1,$AO$2051:AO2209,AO2209))</x:f>
        <x:v>150</x:v>
      </x:c>
      <x:c r="AA2209" s="1" t="str">
        <x:f>IF(NOT(ISNUMBER(S2209)),"Missing demographic or access input",TEXT(G2209,"0%")&amp;" economic need; "&amp;TEXT(K2209,"0.00")&amp;" mi fresh access; "&amp;L2209&amp;" nearby resources")</x:f>
        <x:v>91% economic need; 0.04 mi fresh access; 14 nearby resources</x:v>
      </x:c>
      <x:c r="AB2209" s="1" t="n">
        <x:f>IF(OR(A2209="",COUNTIFS($A$1531:$A$2030,A2209)&lt;&gt;1),0,MATCH(A2209,$A$1531:$A$2030,0))</x:f>
        <x:v>159</x:v>
      </x:c>
      <x:c r="AC2209" s="1" t="str">
        <x:f>IF(AB2209=0,"",INDEX($E$1531:$E$2030,AB2209))</x:f>
        <x:v>Save-A-Lot 60142</x:v>
      </x:c>
      <x:c r="AD2209" s="1" t="str">
        <x:f>IF(AB2209=0,"",INDEX($F$1531:$F$2030,AB2209))</x:f>
        <x:v>2101 W Lehigh Ave, Philadelphia, PA, 19132</x:v>
      </x:c>
      <x:c r="AE2209" s="1" t="str">
        <x:f>IF(A2209="","",F160)</x:f>
        <x:v>2150 W LEHIGH AVE</x:v>
      </x:c>
      <x:c r="AF2209" s="1" t="n">
        <x:f>IF(ISNUMBER(I160),I160,"")</x:f>
        <x:v>39.9954293</x:v>
      </x:c>
      <x:c r="AG2209" s="1" t="n">
        <x:f>IF(ISNUMBER(J160),J160,"")</x:f>
        <x:v>-75.16679334</x:v>
      </x:c>
      <x:c r="AH2209" s="1" t="str">
        <x:f>IF(I2209=0,"Not contacted",IF(INDEX('Staff Review'!$J$8:$J$507,I2209)="","Not contacted",INDEX('Staff Review'!$J$8:$J$507,I2209)))</x:f>
        <x:v>Not contacted</x:v>
      </x:c>
      <x:c r="AI2209" s="1" t="str">
        <x:f>IF(I2209=0,"No",IF(AND(COUNT(INDEX('Staff Review'!$D$8:$D$507,I2209))=1,INDEX('Staff Review'!$D$8:$D$507,I2209)&gt;=0,COUNT(INDEX('Staff Review'!$E$8:$E$507,I2209))=1,INDEX('Staff Review'!$E$8:$E$507,I2209)&gt;0,INDEX('Staff Review'!$E$8:$E$507,I2209)&lt;='Top 15'!$E$5,'Top 15'!$E$5-INDEX('Staff Review'!$E$8:$E$507,I2209)&lt;='Top 15'!$H$5,LEN(INDEX('Staff Review'!$H$8:$H$507,I2209))&gt;0),"Yes","No"))</x:f>
        <x:v>No</x:v>
      </x:c>
      <x:c r="AJ2209" s="1" t="str">
        <x:f>IF(I2209=0,"No",IF(COUNT(INDEX('Staff Review'!$F$8:$F$507,I2209))&lt;&gt;1,"No",IF(AND(INDEX('Staff Review'!$F$8:$F$507,I2209)&gt;=0,MOD(INDEX('Staff Review'!$F$8:$F$507,I2209),1)=0,COUNT(INDEX('Staff Review'!$G$8:$G$507,I2209))=1,INDEX('Staff Review'!$G$8:$G$507,I2209)&gt;0,INDEX('Staff Review'!$G$8:$G$507,I2209)&lt;='Top 15'!$E$5,'Top 15'!$E$5-INDEX('Staff Review'!$G$8:$G$507,I2209)&lt;='Top 15'!$H$5,LEN(INDEX('Staff Review'!$H$8:$H$507,I2209))&gt;0),"Yes","No")))</x:f>
        <x:v>No</x:v>
      </x:c>
      <x:c r="AK2209" s="1" t="n">
        <x:f>IF(A2209="",0,COUNTIFS($A$2:$A$501,A2209))</x:f>
        <x:v>1</x:v>
      </x:c>
      <x:c r="AL2209" s="1" t="n">
        <x:f>IF(V2209="Candidate",1,0)</x:f>
        <x:v>1</x:v>
      </x:c>
      <x:c r="AM2209" s="1" t="n">
        <x:f>IF(A2209="",0,VALUE(A2209))</x:f>
        <x:v>4060</x:v>
      </x:c>
      <x:c r="AN2209" s="1" t="n">
        <x:f>IF(OR(A2209="",COUNTIFS($T$41:$T$540,A2209)&lt;&gt;1),0,MATCH(A2209,$T$41:$T$540,0))</x:f>
        <x:v>159</x:v>
      </x:c>
      <x:c r="AO2209" t="n">
        <x:f>IF(ISNUMBER(W2209),W2209,10000+AM2209)</x:f>
        <x:v>150</x:v>
      </x:c>
    </x:row>
    <x:row r="2210" ht="22" customHeight="1">
      <x:c r="A2210" s="1" t="str">
        <x:f>IF(A161="","",A161)</x:f>
        <x:v>4140</x:v>
      </x:c>
      <x:c r="B2210" s="1" t="str">
        <x:f>IF(A2210="","",B161)</x:f>
        <x:v>Strawberry Mansion High School</x:v>
      </x:c>
      <x:c r="C2210" s="1" t="str">
        <x:f>IF(A2210="","",C161)</x:f>
        <x:v>District</x:v>
      </x:c>
      <x:c r="D2210" s="1" t="str">
        <x:f>IF(A2210="","",E161)</x:f>
        <x:v>High</x:v>
      </x:c>
      <x:c r="E2210" s="1" t="str">
        <x:f>IF(A2210="","",H161)</x:f>
        <x:v>19121</x:v>
      </x:c>
      <x:c r="F2210" s="1" t="n">
        <x:f>IF(ISNUMBER(K161),K161,"")</x:f>
        <x:v>275</x:v>
      </x:c>
      <x:c r="G2210" s="1" t="n">
        <x:f>IF(ISNUMBER(L161),L161,"")</x:f>
        <x:v>0.8735</x:v>
      </x:c>
      <x:c r="H2210" s="1" t="str">
        <x:f>IF(A2210="","",IF(AND(UPPER(G161)="PHILADELPHIA",OR(C2210="District",AND(C2210="Charter",D161="Yes"))),"Yes","No"))</x:f>
        <x:v>Yes</x:v>
      </x:c>
      <x:c r="I2210" s="1" t="n">
        <x:f>IF(OR(A2210="",COUNTIFS('Staff Review'!$A$8:$A$507,A2210)&lt;&gt;1),0,MATCH(A2210,'Staff Review'!$A$8:$A$507,0))</x:f>
        <x:v>278</x:v>
      </x:c>
      <x:c r="J2210" s="1" t="str">
        <x:f>IF(I2210=0,"No",IF(INDEX('Staff Review'!$C$8:$C$507,I2210)="Yes","Yes","No"))</x:f>
        <x:v>No</x:v>
      </x:c>
      <x:c r="K2210" s="1" t="n">
        <x:f>IF(AI2210="Yes",INDEX('Staff Review'!$D$8:$D$507,I2210),IF(AB2210=0,"",IF(COUNT(INDEX($C$1531:$C$2030,AB2210))=1,INDEX($C$1531:$C$2030,AB2210),"")))</x:f>
        <x:v>0.325702508834255</x:v>
      </x:c>
      <x:c r="L2210" s="1" t="n">
        <x:f>IF(AJ2210="Yes",INDEX('Staff Review'!$F$8:$F$507,I2210),IF(AB2210=0,"",IF(COUNT(INDEX($G$1531:$G$2030,AB2210))=1,INDEX($G$1531:$G$2030,AB2210),"")))</x:f>
        <x:v>12</x:v>
      </x:c>
      <x:c r="M2210" s="1" t="str">
        <x:f>IF(A2210="","",IF(AI2210="Yes","Verified","Listed"))</x:f>
        <x:v>Listed</x:v>
      </x:c>
      <x:c r="N2210" s="1" t="str">
        <x:f>IF(A2210="","",IF(AJ2210="Yes","Verified","Listed"))</x:f>
        <x:v>Listed</x:v>
      </x:c>
      <x:c r="O2210" s="1" t="n">
        <x:f>IF(AND(ISNUMBER(G2210),G2210&gt;=0,G2210&lt;=1),IF(G2210&gt;=0.9,30,IF(G2210&gt;=0.8,25,IF(G2210&gt;=0.7,20,IF(G2210&gt;=0.6,15,IF(G2210&gt;=0.5,10,IF(G2210&gt;=0.4,5,0)))))),"")</x:f>
        <x:v>25</x:v>
      </x:c>
      <x:c r="P2210" s="1" t="n">
        <x:f>IF(ISNUMBER(K2210),IF(K2210&lt;0,"",IF(K2210&gt;1,25,IF(K2210&gt;=0.75,20,IF(K2210&gt;=0.5,15,IF(K2210&gt;=0.25,10,5))))),"")</x:f>
        <x:v>10</x:v>
      </x:c>
      <x:c r="Q2210" s="1" t="n">
        <x:f>IF(NOT(ISNUMBER(L2210)),"",IF(AND(L2210&gt;=0,MOD(L2210,1)=0),MAX(0,25-5*L2210),""))</x:f>
        <x:v>0</x:v>
      </x:c>
      <x:c r="R2210" s="1" t="n">
        <x:f>IF(NOT(ISNUMBER(F2210)),"",IF(AND(F2210&gt;0,MOD(F2210,1)=0),IF(F2210&gt;=700,5,IF(F2210&gt;=500,4,IF(F2210&gt;=350,3,IF(F2210&gt;=200,2,1)))),""))</x:f>
        <x:v>2</x:v>
      </x:c>
      <x:c r="S2210" s="1" t="n">
        <x:f>IF(COUNT(O2210:R2210)=4,SUM(O2210:R2210),"")</x:f>
        <x:v>37</x:v>
      </x:c>
      <x:c r="T2210" s="1" t="n">
        <x:f>IF(OR(COUNT(O2210:R2210)&lt;&gt;4,COUNT('Top 15'!$B$35:$E$35)&lt;&gt;4,MIN('Top 15'!$B$35:$E$35)&lt;0,SUM('Top 15'!$B$35:$E$35)&lt;=0),"",ROUND(85*(O2210/30*'Top 15'!$B$35+P2210/25*'Top 15'!$C$35+Q2210/25*'Top 15'!$D$35+R2210/5*'Top 15'!$E$35)/SUM('Top 15'!$B$35:$E$35),6))</x:f>
        <x:v>37</x:v>
      </x:c>
      <x:c r="U2210" s="1" t="str">
        <x:f>IF(A2210="","",IF(AND(M2210="Verified",N2210="Verified"),"Verified",IF(AND(M2210="Listed",N2210="Listed"),"Listed","Mixed")))</x:f>
        <x:v>Listed</x:v>
      </x:c>
      <x:c r="V2210" s="1" t="str">
        <x:f>IF(A2210="","",IF(AK2210&lt;&gt;1,"Duplicate source ID",IF(COUNTIFS('Staff Review'!$A$8:$A$507,A2210)&gt;1,"Duplicate review ID",IF(H2210&lt;&gt;"Yes","Outside scope",IF(J2210="Yes","Already served",IF(NOT(ISNUMBER(T2210)),"Missing data","Candidate"))))))</x:f>
        <x:v>Candidate</x:v>
      </x:c>
      <x:c r="W2210" s="1" t="n">
        <x:f>IF(AL2210=0,"",1+COUNTIFS($AL$2051:$AL$2550,1,$T$2051:$T$2550,"&gt;"&amp;T2210)+COUNTIFS($AL$2051:$AL$2550,1,$T$2051:$T$2550,T2210,$G$2051:$G$2550,"&gt;"&amp;G2210)+COUNTIFS($AL$2051:$AL$2550,1,$T$2051:$T$2550,T2210,$G$2051:$G$2550,G2210,$F$2051:$F$2550,"&gt;"&amp;F2210)+COUNTIFS($AL$2051:$AL$2550,1,$T$2051:$T$2550,T2210,$G$2051:$G$2550,G2210,$F$2051:$F$2550,F2210,$AM$2051:$AM$2550,"&lt;"&amp;AM2210))</x:f>
        <x:v>190</x:v>
      </x:c>
      <x:c r="X2210" s="1" t="n">
        <x:f>IF(AL2210=0,"",1+COUNTIFS($AL$2051:$AL$2550,1,$T$2051:$T$2550,"&gt;"&amp;T2210))</x:f>
        <x:v>182</x:v>
      </x:c>
      <x:c r="Y2210" s="1" t="n">
        <x:f>IF(AND(H2210="Yes",OR(LEN('School Search'!$B$5)=0,ISNUMBER(SEARCH('School Search'!$B$5,B2210&amp;" "&amp;E2210&amp;" "&amp;A2210))),OR('School Search'!$D$5="All",C2210='School Search'!$D$5),OR('School Search'!$G$5="All eligible",AND('School Search'!$G$5="Not marked served",J2210&lt;&gt;"Yes"),AND('School Search'!$G$5="Missing data",V2210="Missing data"),AND('School Search'!$G$5="Marked served",J2210="Yes"))),1,0)</x:f>
        <x:v>1</x:v>
      </x:c>
      <x:c r="Z2210" s="1" t="n">
        <x:f>IF(Y2210=0,"",COUNTIFS($Y$2051:$Y$2550,1,$AO$2051:$AO$2550,"&lt;"&amp;AO2210)+COUNTIFS($Y$2051:Y2210,1,$AO$2051:AO2210,AO2210))</x:f>
        <x:v>190</x:v>
      </x:c>
      <x:c r="AA2210" s="1" t="str">
        <x:f>IF(NOT(ISNUMBER(S2210)),"Missing demographic or access input",TEXT(G2210,"0%")&amp;" economic need; "&amp;TEXT(K2210,"0.00")&amp;" mi fresh access; "&amp;L2210&amp;" nearby resources")</x:f>
        <x:v>87% economic need; 0.33 mi fresh access; 12 nearby resources</x:v>
      </x:c>
      <x:c r="AB2210" s="1" t="n">
        <x:f>IF(OR(A2210="",COUNTIFS($A$1531:$A$2030,A2210)&lt;&gt;1),0,MATCH(A2210,$A$1531:$A$2030,0))</x:f>
        <x:v>160</x:v>
      </x:c>
      <x:c r="AC2210" s="1" t="str">
        <x:f>IF(AB2210=0,"",INDEX($E$1531:$E$2030,AB2210))</x:f>
        <x:v>SAVE-A-LOT 60146</x:v>
      </x:c>
      <x:c r="AD2210" s="1" t="str">
        <x:f>IF(AB2210=0,"",INDEX($F$1531:$F$2030,AB2210))</x:f>
        <x:v>2801 W Dauphin St, Philadelphia, PA, 19132</x:v>
      </x:c>
      <x:c r="AE2210" s="1" t="str">
        <x:f>IF(A2210="","",F161)</x:f>
        <x:v>3133 RIDGE AVE</x:v>
      </x:c>
      <x:c r="AF2210" s="1" t="n">
        <x:f>IF(ISNUMBER(I161),I161,"")</x:f>
        <x:v>39.99074371</x:v>
      </x:c>
      <x:c r="AG2210" s="1" t="n">
        <x:f>IF(ISNUMBER(J161),J161,"")</x:f>
        <x:v>-75.18402464</x:v>
      </x:c>
      <x:c r="AH2210" s="1" t="str">
        <x:f>IF(I2210=0,"Not contacted",IF(INDEX('Staff Review'!$J$8:$J$507,I2210)="","Not contacted",INDEX('Staff Review'!$J$8:$J$507,I2210)))</x:f>
        <x:v>Not contacted</x:v>
      </x:c>
      <x:c r="AI2210" s="1" t="str">
        <x:f>IF(I2210=0,"No",IF(AND(COUNT(INDEX('Staff Review'!$D$8:$D$507,I2210))=1,INDEX('Staff Review'!$D$8:$D$507,I2210)&gt;=0,COUNT(INDEX('Staff Review'!$E$8:$E$507,I2210))=1,INDEX('Staff Review'!$E$8:$E$507,I2210)&gt;0,INDEX('Staff Review'!$E$8:$E$507,I2210)&lt;='Top 15'!$E$5,'Top 15'!$E$5-INDEX('Staff Review'!$E$8:$E$507,I2210)&lt;='Top 15'!$H$5,LEN(INDEX('Staff Review'!$H$8:$H$507,I2210))&gt;0),"Yes","No"))</x:f>
        <x:v>No</x:v>
      </x:c>
      <x:c r="AJ2210" s="1" t="str">
        <x:f>IF(I2210=0,"No",IF(COUNT(INDEX('Staff Review'!$F$8:$F$507,I2210))&lt;&gt;1,"No",IF(AND(INDEX('Staff Review'!$F$8:$F$507,I2210)&gt;=0,MOD(INDEX('Staff Review'!$F$8:$F$507,I2210),1)=0,COUNT(INDEX('Staff Review'!$G$8:$G$507,I2210))=1,INDEX('Staff Review'!$G$8:$G$507,I2210)&gt;0,INDEX('Staff Review'!$G$8:$G$507,I2210)&lt;='Top 15'!$E$5,'Top 15'!$E$5-INDEX('Staff Review'!$G$8:$G$507,I2210)&lt;='Top 15'!$H$5,LEN(INDEX('Staff Review'!$H$8:$H$507,I2210))&gt;0),"Yes","No")))</x:f>
        <x:v>No</x:v>
      </x:c>
      <x:c r="AK2210" s="1" t="n">
        <x:f>IF(A2210="",0,COUNTIFS($A$2:$A$501,A2210))</x:f>
        <x:v>1</x:v>
      </x:c>
      <x:c r="AL2210" s="1" t="n">
        <x:f>IF(V2210="Candidate",1,0)</x:f>
        <x:v>1</x:v>
      </x:c>
      <x:c r="AM2210" s="1" t="n">
        <x:f>IF(A2210="",0,VALUE(A2210))</x:f>
        <x:v>4140</x:v>
      </x:c>
      <x:c r="AN2210" s="1" t="n">
        <x:f>IF(OR(A2210="",COUNTIFS($T$41:$T$540,A2210)&lt;&gt;1),0,MATCH(A2210,$T$41:$T$540,0))</x:f>
        <x:v>160</x:v>
      </x:c>
      <x:c r="AO2210" t="n">
        <x:f>IF(ISNUMBER(W2210),W2210,10000+AM2210)</x:f>
        <x:v>190</x:v>
      </x:c>
    </x:row>
    <x:row r="2211" ht="22" customHeight="1">
      <x:c r="A2211" s="1" t="str">
        <x:f>IF(A162="","",A162)</x:f>
        <x:v>4220</x:v>
      </x:c>
      <x:c r="B2211" s="1" t="str">
        <x:f>IF(A2211="","",B162)</x:f>
        <x:v>James G. Blaine School</x:v>
      </x:c>
      <x:c r="C2211" s="1" t="str">
        <x:f>IF(A2211="","",C162)</x:f>
        <x:v>District</x:v>
      </x:c>
      <x:c r="D2211" s="1" t="str">
        <x:f>IF(A2211="","",E162)</x:f>
        <x:v>Elementary-Middle</x:v>
      </x:c>
      <x:c r="E2211" s="1" t="str">
        <x:f>IF(A2211="","",H162)</x:f>
        <x:v>19121</x:v>
      </x:c>
      <x:c r="F2211" s="1" t="n">
        <x:f>IF(ISNUMBER(K162),K162,"")</x:f>
        <x:v>299</x:v>
      </x:c>
      <x:c r="G2211" s="1" t="n">
        <x:f>IF(ISNUMBER(L162),L162,"")</x:f>
        <x:v>0.8944</x:v>
      </x:c>
      <x:c r="H2211" s="1" t="str">
        <x:f>IF(A2211="","",IF(AND(UPPER(G162)="PHILADELPHIA",OR(C2211="District",AND(C2211="Charter",D162="Yes"))),"Yes","No"))</x:f>
        <x:v>Yes</x:v>
      </x:c>
      <x:c r="I2211" s="1" t="n">
        <x:f>IF(OR(A2211="",COUNTIFS('Staff Review'!$A$8:$A$507,A2211)&lt;&gt;1),0,MATCH(A2211,'Staff Review'!$A$8:$A$507,0))</x:f>
        <x:v>126</x:v>
      </x:c>
      <x:c r="J2211" s="1" t="str">
        <x:f>IF(I2211=0,"No",IF(INDEX('Staff Review'!$C$8:$C$507,I2211)="Yes","Yes","No"))</x:f>
        <x:v>No</x:v>
      </x:c>
      <x:c r="K2211" s="1" t="n">
        <x:f>IF(AI2211="Yes",INDEX('Staff Review'!$D$8:$D$507,I2211),IF(AB2211=0,"",IF(COUNT(INDEX($C$1531:$C$2030,AB2211))=1,INDEX($C$1531:$C$2030,AB2211),"")))</x:f>
        <x:v>0.4687072444951352</x:v>
      </x:c>
      <x:c r="L2211" s="1" t="n">
        <x:f>IF(AJ2211="Yes",INDEX('Staff Review'!$F$8:$F$507,I2211),IF(AB2211=0,"",IF(COUNT(INDEX($G$1531:$G$2030,AB2211))=1,INDEX($G$1531:$G$2030,AB2211),"")))</x:f>
        <x:v>11</x:v>
      </x:c>
      <x:c r="M2211" s="1" t="str">
        <x:f>IF(A2211="","",IF(AI2211="Yes","Verified","Listed"))</x:f>
        <x:v>Listed</x:v>
      </x:c>
      <x:c r="N2211" s="1" t="str">
        <x:f>IF(A2211="","",IF(AJ2211="Yes","Verified","Listed"))</x:f>
        <x:v>Listed</x:v>
      </x:c>
      <x:c r="O2211" s="1" t="n">
        <x:f>IF(AND(ISNUMBER(G2211),G2211&gt;=0,G2211&lt;=1),IF(G2211&gt;=0.9,30,IF(G2211&gt;=0.8,25,IF(G2211&gt;=0.7,20,IF(G2211&gt;=0.6,15,IF(G2211&gt;=0.5,10,IF(G2211&gt;=0.4,5,0)))))),"")</x:f>
        <x:v>25</x:v>
      </x:c>
      <x:c r="P2211" s="1" t="n">
        <x:f>IF(ISNUMBER(K2211),IF(K2211&lt;0,"",IF(K2211&gt;1,25,IF(K2211&gt;=0.75,20,IF(K2211&gt;=0.5,15,IF(K2211&gt;=0.25,10,5))))),"")</x:f>
        <x:v>10</x:v>
      </x:c>
      <x:c r="Q2211" s="1" t="n">
        <x:f>IF(NOT(ISNUMBER(L2211)),"",IF(AND(L2211&gt;=0,MOD(L2211,1)=0),MAX(0,25-5*L2211),""))</x:f>
        <x:v>0</x:v>
      </x:c>
      <x:c r="R2211" s="1" t="n">
        <x:f>IF(NOT(ISNUMBER(F2211)),"",IF(AND(F2211&gt;0,MOD(F2211,1)=0),IF(F2211&gt;=700,5,IF(F2211&gt;=500,4,IF(F2211&gt;=350,3,IF(F2211&gt;=200,2,1)))),""))</x:f>
        <x:v>2</x:v>
      </x:c>
      <x:c r="S2211" s="1" t="n">
        <x:f>IF(COUNT(O2211:R2211)=4,SUM(O2211:R2211),"")</x:f>
        <x:v>37</x:v>
      </x:c>
      <x:c r="T2211" s="1" t="n">
        <x:f>IF(OR(COUNT(O2211:R2211)&lt;&gt;4,COUNT('Top 15'!$B$35:$E$35)&lt;&gt;4,MIN('Top 15'!$B$35:$E$35)&lt;0,SUM('Top 15'!$B$35:$E$35)&lt;=0),"",ROUND(85*(O2211/30*'Top 15'!$B$35+P2211/25*'Top 15'!$C$35+Q2211/25*'Top 15'!$D$35+R2211/5*'Top 15'!$E$35)/SUM('Top 15'!$B$35:$E$35),6))</x:f>
        <x:v>37</x:v>
      </x:c>
      <x:c r="U2211" s="1" t="str">
        <x:f>IF(A2211="","",IF(AND(M2211="Verified",N2211="Verified"),"Verified",IF(AND(M2211="Listed",N2211="Listed"),"Listed","Mixed")))</x:f>
        <x:v>Listed</x:v>
      </x:c>
      <x:c r="V2211" s="1" t="str">
        <x:f>IF(A2211="","",IF(AK2211&lt;&gt;1,"Duplicate source ID",IF(COUNTIFS('Staff Review'!$A$8:$A$507,A2211)&gt;1,"Duplicate review ID",IF(H2211&lt;&gt;"Yes","Outside scope",IF(J2211="Yes","Already served",IF(NOT(ISNUMBER(T2211)),"Missing data","Candidate"))))))</x:f>
        <x:v>Candidate</x:v>
      </x:c>
      <x:c r="W2211" s="1" t="n">
        <x:f>IF(AL2211=0,"",1+COUNTIFS($AL$2051:$AL$2550,1,$T$2051:$T$2550,"&gt;"&amp;T2211)+COUNTIFS($AL$2051:$AL$2550,1,$T$2051:$T$2550,T2211,$G$2051:$G$2550,"&gt;"&amp;G2211)+COUNTIFS($AL$2051:$AL$2550,1,$T$2051:$T$2550,T2211,$G$2051:$G$2550,G2211,$F$2051:$F$2550,"&gt;"&amp;F2211)+COUNTIFS($AL$2051:$AL$2550,1,$T$2051:$T$2550,T2211,$G$2051:$G$2550,G2211,$F$2051:$F$2550,F2211,$AM$2051:$AM$2550,"&lt;"&amp;AM2211))</x:f>
        <x:v>186</x:v>
      </x:c>
      <x:c r="X2211" s="1" t="n">
        <x:f>IF(AL2211=0,"",1+COUNTIFS($AL$2051:$AL$2550,1,$T$2051:$T$2550,"&gt;"&amp;T2211))</x:f>
        <x:v>182</x:v>
      </x:c>
      <x:c r="Y2211" s="1" t="n">
        <x:f>IF(AND(H2211="Yes",OR(LEN('School Search'!$B$5)=0,ISNUMBER(SEARCH('School Search'!$B$5,B2211&amp;" "&amp;E2211&amp;" "&amp;A2211))),OR('School Search'!$D$5="All",C2211='School Search'!$D$5),OR('School Search'!$G$5="All eligible",AND('School Search'!$G$5="Not marked served",J2211&lt;&gt;"Yes"),AND('School Search'!$G$5="Missing data",V2211="Missing data"),AND('School Search'!$G$5="Marked served",J2211="Yes"))),1,0)</x:f>
        <x:v>1</x:v>
      </x:c>
      <x:c r="Z2211" s="1" t="n">
        <x:f>IF(Y2211=0,"",COUNTIFS($Y$2051:$Y$2550,1,$AO$2051:$AO$2550,"&lt;"&amp;AO2211)+COUNTIFS($Y$2051:Y2211,1,$AO$2051:AO2211,AO2211))</x:f>
        <x:v>186</x:v>
      </x:c>
      <x:c r="AA2211" s="1" t="str">
        <x:f>IF(NOT(ISNUMBER(S2211)),"Missing demographic or access input",TEXT(G2211,"0%")&amp;" economic need; "&amp;TEXT(K2211,"0.00")&amp;" mi fresh access; "&amp;L2211&amp;" nearby resources")</x:f>
        <x:v>89% economic need; 0.47 mi fresh access; 11 nearby resources</x:v>
      </x:c>
      <x:c r="AB2211" s="1" t="n">
        <x:f>IF(OR(A2211="",COUNTIFS($A$1531:$A$2030,A2211)&lt;&gt;1),0,MATCH(A2211,$A$1531:$A$2030,0))</x:f>
        <x:v>161</x:v>
      </x:c>
      <x:c r="AC2211" s="1" t="str">
        <x:f>IF(AB2211=0,"",INDEX($E$1531:$E$2030,AB2211))</x:f>
        <x:v>SAVE-A-LOT 60146</x:v>
      </x:c>
      <x:c r="AD2211" s="1" t="str">
        <x:f>IF(AB2211=0,"",INDEX($F$1531:$F$2030,AB2211))</x:f>
        <x:v>2801 W Dauphin St, Philadelphia, PA, 19132</x:v>
      </x:c>
      <x:c r="AE2211" s="1" t="str">
        <x:f>IF(A2211="","",F162)</x:f>
        <x:v>3001 W BERKS ST</x:v>
      </x:c>
      <x:c r="AF2211" s="1" t="n">
        <x:f>IF(ISNUMBER(I162),I162,"")</x:f>
        <x:v>39.98521297</x:v>
      </x:c>
      <x:c r="AG2211" s="1" t="n">
        <x:f>IF(ISNUMBER(J162),J162,"")</x:f>
        <x:v>-75.18293887</x:v>
      </x:c>
      <x:c r="AH2211" s="1" t="str">
        <x:f>IF(I2211=0,"Not contacted",IF(INDEX('Staff Review'!$J$8:$J$507,I2211)="","Not contacted",INDEX('Staff Review'!$J$8:$J$507,I2211)))</x:f>
        <x:v>Not contacted</x:v>
      </x:c>
      <x:c r="AI2211" s="1" t="str">
        <x:f>IF(I2211=0,"No",IF(AND(COUNT(INDEX('Staff Review'!$D$8:$D$507,I2211))=1,INDEX('Staff Review'!$D$8:$D$507,I2211)&gt;=0,COUNT(INDEX('Staff Review'!$E$8:$E$507,I2211))=1,INDEX('Staff Review'!$E$8:$E$507,I2211)&gt;0,INDEX('Staff Review'!$E$8:$E$507,I2211)&lt;='Top 15'!$E$5,'Top 15'!$E$5-INDEX('Staff Review'!$E$8:$E$507,I2211)&lt;='Top 15'!$H$5,LEN(INDEX('Staff Review'!$H$8:$H$507,I2211))&gt;0),"Yes","No"))</x:f>
        <x:v>No</x:v>
      </x:c>
      <x:c r="AJ2211" s="1" t="str">
        <x:f>IF(I2211=0,"No",IF(COUNT(INDEX('Staff Review'!$F$8:$F$507,I2211))&lt;&gt;1,"No",IF(AND(INDEX('Staff Review'!$F$8:$F$507,I2211)&gt;=0,MOD(INDEX('Staff Review'!$F$8:$F$507,I2211),1)=0,COUNT(INDEX('Staff Review'!$G$8:$G$507,I2211))=1,INDEX('Staff Review'!$G$8:$G$507,I2211)&gt;0,INDEX('Staff Review'!$G$8:$G$507,I2211)&lt;='Top 15'!$E$5,'Top 15'!$E$5-INDEX('Staff Review'!$G$8:$G$507,I2211)&lt;='Top 15'!$H$5,LEN(INDEX('Staff Review'!$H$8:$H$507,I2211))&gt;0),"Yes","No")))</x:f>
        <x:v>No</x:v>
      </x:c>
      <x:c r="AK2211" s="1" t="n">
        <x:f>IF(A2211="",0,COUNTIFS($A$2:$A$501,A2211))</x:f>
        <x:v>1</x:v>
      </x:c>
      <x:c r="AL2211" s="1" t="n">
        <x:f>IF(V2211="Candidate",1,0)</x:f>
        <x:v>1</x:v>
      </x:c>
      <x:c r="AM2211" s="1" t="n">
        <x:f>IF(A2211="",0,VALUE(A2211))</x:f>
        <x:v>4220</x:v>
      </x:c>
      <x:c r="AN2211" s="1" t="n">
        <x:f>IF(OR(A2211="",COUNTIFS($T$41:$T$540,A2211)&lt;&gt;1),0,MATCH(A2211,$T$41:$T$540,0))</x:f>
        <x:v>161</x:v>
      </x:c>
      <x:c r="AO2211" t="n">
        <x:f>IF(ISNUMBER(W2211),W2211,10000+AM2211)</x:f>
        <x:v>186</x:v>
      </x:c>
    </x:row>
    <x:row r="2212" ht="22" customHeight="1">
      <x:c r="A2212" s="1" t="str">
        <x:f>IF(A163="","",A163)</x:f>
        <x:v>4240</x:v>
      </x:c>
      <x:c r="B2212" s="1" t="str">
        <x:f>IF(A2212="","",B163)</x:f>
        <x:v>Lewis C. Cassidy Academics Plus School</x:v>
      </x:c>
      <x:c r="C2212" s="1" t="str">
        <x:f>IF(A2212="","",C163)</x:f>
        <x:v>District</x:v>
      </x:c>
      <x:c r="D2212" s="1" t="str">
        <x:f>IF(A2212="","",E163)</x:f>
        <x:v>Elementary-Middle</x:v>
      </x:c>
      <x:c r="E2212" s="1" t="str">
        <x:f>IF(A2212="","",H163)</x:f>
        <x:v>19151</x:v>
      </x:c>
      <x:c r="F2212" s="1" t="n">
        <x:f>IF(ISNUMBER(K163),K163,"")</x:f>
        <x:v>363</x:v>
      </x:c>
      <x:c r="G2212" s="1" t="n">
        <x:f>IF(ISNUMBER(L163),L163,"")</x:f>
        <x:v>0.7479</x:v>
      </x:c>
      <x:c r="H2212" s="1" t="str">
        <x:f>IF(A2212="","",IF(AND(UPPER(G163)="PHILADELPHIA",OR(C2212="District",AND(C2212="Charter",D163="Yes"))),"Yes","No"))</x:f>
        <x:v>Yes</x:v>
      </x:c>
      <x:c r="I2212" s="1" t="n">
        <x:f>IF(OR(A2212="",COUNTIFS('Staff Review'!$A$8:$A$507,A2212)&lt;&gt;1),0,MATCH(A2212,'Staff Review'!$A$8:$A$507,0))</x:f>
        <x:v>170</x:v>
      </x:c>
      <x:c r="J2212" s="1" t="str">
        <x:f>IF(I2212=0,"No",IF(INDEX('Staff Review'!$C$8:$C$507,I2212)="Yes","Yes","No"))</x:f>
        <x:v>No</x:v>
      </x:c>
      <x:c r="K2212" s="1" t="n">
        <x:f>IF(AI2212="Yes",INDEX('Staff Review'!$D$8:$D$507,I2212),IF(AB2212=0,"",IF(COUNT(INDEX($C$1531:$C$2030,AB2212))=1,INDEX($C$1531:$C$2030,AB2212),"")))</x:f>
        <x:v>0.8875990918896205</x:v>
      </x:c>
      <x:c r="L2212" s="1" t="n">
        <x:f>IF(AJ2212="Yes",INDEX('Staff Review'!$F$8:$F$507,I2212),IF(AB2212=0,"",IF(COUNT(INDEX($G$1531:$G$2030,AB2212))=1,INDEX($G$1531:$G$2030,AB2212),"")))</x:f>
        <x:v>6</x:v>
      </x:c>
      <x:c r="M2212" s="1" t="str">
        <x:f>IF(A2212="","",IF(AI2212="Yes","Verified","Listed"))</x:f>
        <x:v>Listed</x:v>
      </x:c>
      <x:c r="N2212" s="1" t="str">
        <x:f>IF(A2212="","",IF(AJ2212="Yes","Verified","Listed"))</x:f>
        <x:v>Listed</x:v>
      </x:c>
      <x:c r="O2212" s="1" t="n">
        <x:f>IF(AND(ISNUMBER(G2212),G2212&gt;=0,G2212&lt;=1),IF(G2212&gt;=0.9,30,IF(G2212&gt;=0.8,25,IF(G2212&gt;=0.7,20,IF(G2212&gt;=0.6,15,IF(G2212&gt;=0.5,10,IF(G2212&gt;=0.4,5,0)))))),"")</x:f>
        <x:v>20</x:v>
      </x:c>
      <x:c r="P2212" s="1" t="n">
        <x:f>IF(ISNUMBER(K2212),IF(K2212&lt;0,"",IF(K2212&gt;1,25,IF(K2212&gt;=0.75,20,IF(K2212&gt;=0.5,15,IF(K2212&gt;=0.25,10,5))))),"")</x:f>
        <x:v>20</x:v>
      </x:c>
      <x:c r="Q2212" s="1" t="n">
        <x:f>IF(NOT(ISNUMBER(L2212)),"",IF(AND(L2212&gt;=0,MOD(L2212,1)=0),MAX(0,25-5*L2212),""))</x:f>
        <x:v>0</x:v>
      </x:c>
      <x:c r="R2212" s="1" t="n">
        <x:f>IF(NOT(ISNUMBER(F2212)),"",IF(AND(F2212&gt;0,MOD(F2212,1)=0),IF(F2212&gt;=700,5,IF(F2212&gt;=500,4,IF(F2212&gt;=350,3,IF(F2212&gt;=200,2,1)))),""))</x:f>
        <x:v>3</x:v>
      </x:c>
      <x:c r="S2212" s="1" t="n">
        <x:f>IF(COUNT(O2212:R2212)=4,SUM(O2212:R2212),"")</x:f>
        <x:v>43</x:v>
      </x:c>
      <x:c r="T2212" s="1" t="n">
        <x:f>IF(OR(COUNT(O2212:R2212)&lt;&gt;4,COUNT('Top 15'!$B$35:$E$35)&lt;&gt;4,MIN('Top 15'!$B$35:$E$35)&lt;0,SUM('Top 15'!$B$35:$E$35)&lt;=0),"",ROUND(85*(O2212/30*'Top 15'!$B$35+P2212/25*'Top 15'!$C$35+Q2212/25*'Top 15'!$D$35+R2212/5*'Top 15'!$E$35)/SUM('Top 15'!$B$35:$E$35),6))</x:f>
        <x:v>43</x:v>
      </x:c>
      <x:c r="U2212" s="1" t="str">
        <x:f>IF(A2212="","",IF(AND(M2212="Verified",N2212="Verified"),"Verified",IF(AND(M2212="Listed",N2212="Listed"),"Listed","Mixed")))</x:f>
        <x:v>Listed</x:v>
      </x:c>
      <x:c r="V2212" s="1" t="str">
        <x:f>IF(A2212="","",IF(AK2212&lt;&gt;1,"Duplicate source ID",IF(COUNTIFS('Staff Review'!$A$8:$A$507,A2212)&gt;1,"Duplicate review ID",IF(H2212&lt;&gt;"Yes","Outside scope",IF(J2212="Yes","Already served",IF(NOT(ISNUMBER(T2212)),"Missing data","Candidate"))))))</x:f>
        <x:v>Candidate</x:v>
      </x:c>
      <x:c r="W2212" s="1" t="n">
        <x:f>IF(AL2212=0,"",1+COUNTIFS($AL$2051:$AL$2550,1,$T$2051:$T$2550,"&gt;"&amp;T2212)+COUNTIFS($AL$2051:$AL$2550,1,$T$2051:$T$2550,T2212,$G$2051:$G$2550,"&gt;"&amp;G2212)+COUNTIFS($AL$2051:$AL$2550,1,$T$2051:$T$2550,T2212,$G$2051:$G$2550,G2212,$F$2051:$F$2550,"&gt;"&amp;F2212)+COUNTIFS($AL$2051:$AL$2550,1,$T$2051:$T$2550,T2212,$G$2051:$G$2550,G2212,$F$2051:$F$2550,F2212,$AM$2051:$AM$2550,"&lt;"&amp;AM2212))</x:f>
        <x:v>99</x:v>
      </x:c>
      <x:c r="X2212" s="1" t="n">
        <x:f>IF(AL2212=0,"",1+COUNTIFS($AL$2051:$AL$2550,1,$T$2051:$T$2550,"&gt;"&amp;T2212))</x:f>
        <x:v>90</x:v>
      </x:c>
      <x:c r="Y2212" s="1" t="n">
        <x:f>IF(AND(H2212="Yes",OR(LEN('School Search'!$B$5)=0,ISNUMBER(SEARCH('School Search'!$B$5,B2212&amp;" "&amp;E2212&amp;" "&amp;A2212))),OR('School Search'!$D$5="All",C2212='School Search'!$D$5),OR('School Search'!$G$5="All eligible",AND('School Search'!$G$5="Not marked served",J2212&lt;&gt;"Yes"),AND('School Search'!$G$5="Missing data",V2212="Missing data"),AND('School Search'!$G$5="Marked served",J2212="Yes"))),1,0)</x:f>
        <x:v>1</x:v>
      </x:c>
      <x:c r="Z2212" s="1" t="n">
        <x:f>IF(Y2212=0,"",COUNTIFS($Y$2051:$Y$2550,1,$AO$2051:$AO$2550,"&lt;"&amp;AO2212)+COUNTIFS($Y$2051:Y2212,1,$AO$2051:AO2212,AO2212))</x:f>
        <x:v>99</x:v>
      </x:c>
      <x:c r="AA2212" s="1" t="str">
        <x:f>IF(NOT(ISNUMBER(S2212)),"Missing demographic or access input",TEXT(G2212,"0%")&amp;" economic need; "&amp;TEXT(K2212,"0.00")&amp;" mi fresh access; "&amp;L2212&amp;" nearby resources")</x:f>
        <x:v>75% economic need; 0.89 mi fresh access; 6 nearby resources</x:v>
      </x:c>
      <x:c r="AB2212" s="1" t="n">
        <x:f>IF(OR(A2212="",COUNTIFS($A$1531:$A$2030,A2212)&lt;&gt;1),0,MATCH(A2212,$A$1531:$A$2030,0))</x:f>
        <x:v>162</x:v>
      </x:c>
      <x:c r="AC2212" s="1" t="str">
        <x:f>IF(AB2212=0,"",INDEX($E$1531:$E$2030,AB2212))</x:f>
        <x:v>Al Aqsa Supermarket</x:v>
      </x:c>
      <x:c r="AD2212" s="1" t="str">
        <x:f>IF(AB2212=0,"",INDEX($F$1531:$F$2030,AB2212))</x:f>
        <x:v>6501 Market St, Upper Darby, PA, 19082</x:v>
      </x:c>
      <x:c r="AE2212" s="1" t="str">
        <x:f>IF(A2212="","",F163)</x:f>
        <x:v>6523 LANSDOWNE AVE</x:v>
      </x:c>
      <x:c r="AF2212" s="1" t="n">
        <x:f>IF(ISNUMBER(I163),I163,"")</x:f>
        <x:v>39.97551874</x:v>
      </x:c>
      <x:c r="AG2212" s="1" t="n">
        <x:f>IF(ISNUMBER(J163),J163,"")</x:f>
        <x:v>-75.25077443</x:v>
      </x:c>
      <x:c r="AH2212" s="1" t="str">
        <x:f>IF(I2212=0,"Not contacted",IF(INDEX('Staff Review'!$J$8:$J$507,I2212)="","Not contacted",INDEX('Staff Review'!$J$8:$J$507,I2212)))</x:f>
        <x:v>Not contacted</x:v>
      </x:c>
      <x:c r="AI2212" s="1" t="str">
        <x:f>IF(I2212=0,"No",IF(AND(COUNT(INDEX('Staff Review'!$D$8:$D$507,I2212))=1,INDEX('Staff Review'!$D$8:$D$507,I2212)&gt;=0,COUNT(INDEX('Staff Review'!$E$8:$E$507,I2212))=1,INDEX('Staff Review'!$E$8:$E$507,I2212)&gt;0,INDEX('Staff Review'!$E$8:$E$507,I2212)&lt;='Top 15'!$E$5,'Top 15'!$E$5-INDEX('Staff Review'!$E$8:$E$507,I2212)&lt;='Top 15'!$H$5,LEN(INDEX('Staff Review'!$H$8:$H$507,I2212))&gt;0),"Yes","No"))</x:f>
        <x:v>No</x:v>
      </x:c>
      <x:c r="AJ2212" s="1" t="str">
        <x:f>IF(I2212=0,"No",IF(COUNT(INDEX('Staff Review'!$F$8:$F$507,I2212))&lt;&gt;1,"No",IF(AND(INDEX('Staff Review'!$F$8:$F$507,I2212)&gt;=0,MOD(INDEX('Staff Review'!$F$8:$F$507,I2212),1)=0,COUNT(INDEX('Staff Review'!$G$8:$G$507,I2212))=1,INDEX('Staff Review'!$G$8:$G$507,I2212)&gt;0,INDEX('Staff Review'!$G$8:$G$507,I2212)&lt;='Top 15'!$E$5,'Top 15'!$E$5-INDEX('Staff Review'!$G$8:$G$507,I2212)&lt;='Top 15'!$H$5,LEN(INDEX('Staff Review'!$H$8:$H$507,I2212))&gt;0),"Yes","No")))</x:f>
        <x:v>No</x:v>
      </x:c>
      <x:c r="AK2212" s="1" t="n">
        <x:f>IF(A2212="",0,COUNTIFS($A$2:$A$501,A2212))</x:f>
        <x:v>1</x:v>
      </x:c>
      <x:c r="AL2212" s="1" t="n">
        <x:f>IF(V2212="Candidate",1,0)</x:f>
        <x:v>1</x:v>
      </x:c>
      <x:c r="AM2212" s="1" t="n">
        <x:f>IF(A2212="",0,VALUE(A2212))</x:f>
        <x:v>4240</x:v>
      </x:c>
      <x:c r="AN2212" s="1" t="n">
        <x:f>IF(OR(A2212="",COUNTIFS($T$41:$T$540,A2212)&lt;&gt;1),0,MATCH(A2212,$T$41:$T$540,0))</x:f>
        <x:v>162</x:v>
      </x:c>
      <x:c r="AO2212" t="n">
        <x:f>IF(ISNUMBER(W2212),W2212,10000+AM2212)</x:f>
        <x:v>99</x:v>
      </x:c>
    </x:row>
    <x:row r="2213" ht="22" customHeight="1">
      <x:c r="A2213" s="1" t="str">
        <x:f>IF(A164="","",A164)</x:f>
        <x:v>4270</x:v>
      </x:c>
      <x:c r="B2213" s="1" t="str">
        <x:f>IF(A2213="","",B164)</x:f>
        <x:v>William Dick School</x:v>
      </x:c>
      <x:c r="C2213" s="1" t="str">
        <x:f>IF(A2213="","",C164)</x:f>
        <x:v>District</x:v>
      </x:c>
      <x:c r="D2213" s="1" t="str">
        <x:f>IF(A2213="","",E164)</x:f>
        <x:v>Elementary-Middle</x:v>
      </x:c>
      <x:c r="E2213" s="1" t="str">
        <x:f>IF(A2213="","",H164)</x:f>
        <x:v>19121</x:v>
      </x:c>
      <x:c r="F2213" s="1" t="n">
        <x:f>IF(ISNUMBER(K164),K164,"")</x:f>
        <x:v>306</x:v>
      </x:c>
      <x:c r="G2213" s="1" t="n">
        <x:f>IF(ISNUMBER(L164),L164,"")</x:f>
        <x:v>0.9638</x:v>
      </x:c>
      <x:c r="H2213" s="1" t="str">
        <x:f>IF(A2213="","",IF(AND(UPPER(G164)="PHILADELPHIA",OR(C2213="District",AND(C2213="Charter",D164="Yes"))),"Yes","No"))</x:f>
        <x:v>Yes</x:v>
      </x:c>
      <x:c r="I2213" s="1" t="n">
        <x:f>IF(OR(A2213="",COUNTIFS('Staff Review'!$A$8:$A$507,A2213)&lt;&gt;1),0,MATCH(A2213,'Staff Review'!$A$8:$A$507,0))</x:f>
        <x:v>316</x:v>
      </x:c>
      <x:c r="J2213" s="1" t="str">
        <x:f>IF(I2213=0,"No",IF(INDEX('Staff Review'!$C$8:$C$507,I2213)="Yes","Yes","No"))</x:f>
        <x:v>No</x:v>
      </x:c>
      <x:c r="K2213" s="1" t="n">
        <x:f>IF(AI2213="Yes",INDEX('Staff Review'!$D$8:$D$507,I2213),IF(AB2213=0,"",IF(COUNT(INDEX($C$1531:$C$2030,AB2213))=1,INDEX($C$1531:$C$2030,AB2213),"")))</x:f>
        <x:v>0.35343027900899937</x:v>
      </x:c>
      <x:c r="L2213" s="1" t="n">
        <x:f>IF(AJ2213="Yes",INDEX('Staff Review'!$F$8:$F$507,I2213),IF(AB2213=0,"",IF(COUNT(INDEX($G$1531:$G$2030,AB2213))=1,INDEX($G$1531:$G$2030,AB2213),"")))</x:f>
        <x:v>18</x:v>
      </x:c>
      <x:c r="M2213" s="1" t="str">
        <x:f>IF(A2213="","",IF(AI2213="Yes","Verified","Listed"))</x:f>
        <x:v>Listed</x:v>
      </x:c>
      <x:c r="N2213" s="1" t="str">
        <x:f>IF(A2213="","",IF(AJ2213="Yes","Verified","Listed"))</x:f>
        <x:v>Listed</x:v>
      </x:c>
      <x:c r="O2213" s="1" t="n">
        <x:f>IF(AND(ISNUMBER(G2213),G2213&gt;=0,G2213&lt;=1),IF(G2213&gt;=0.9,30,IF(G2213&gt;=0.8,25,IF(G2213&gt;=0.7,20,IF(G2213&gt;=0.6,15,IF(G2213&gt;=0.5,10,IF(G2213&gt;=0.4,5,0)))))),"")</x:f>
        <x:v>30</x:v>
      </x:c>
      <x:c r="P2213" s="1" t="n">
        <x:f>IF(ISNUMBER(K2213),IF(K2213&lt;0,"",IF(K2213&gt;1,25,IF(K2213&gt;=0.75,20,IF(K2213&gt;=0.5,15,IF(K2213&gt;=0.25,10,5))))),"")</x:f>
        <x:v>10</x:v>
      </x:c>
      <x:c r="Q2213" s="1" t="n">
        <x:f>IF(NOT(ISNUMBER(L2213)),"",IF(AND(L2213&gt;=0,MOD(L2213,1)=0),MAX(0,25-5*L2213),""))</x:f>
        <x:v>0</x:v>
      </x:c>
      <x:c r="R2213" s="1" t="n">
        <x:f>IF(NOT(ISNUMBER(F2213)),"",IF(AND(F2213&gt;0,MOD(F2213,1)=0),IF(F2213&gt;=700,5,IF(F2213&gt;=500,4,IF(F2213&gt;=350,3,IF(F2213&gt;=200,2,1)))),""))</x:f>
        <x:v>2</x:v>
      </x:c>
      <x:c r="S2213" s="1" t="n">
        <x:f>IF(COUNT(O2213:R2213)=4,SUM(O2213:R2213),"")</x:f>
        <x:v>42</x:v>
      </x:c>
      <x:c r="T2213" s="1" t="n">
        <x:f>IF(OR(COUNT(O2213:R2213)&lt;&gt;4,COUNT('Top 15'!$B$35:$E$35)&lt;&gt;4,MIN('Top 15'!$B$35:$E$35)&lt;0,SUM('Top 15'!$B$35:$E$35)&lt;=0),"",ROUND(85*(O2213/30*'Top 15'!$B$35+P2213/25*'Top 15'!$C$35+Q2213/25*'Top 15'!$D$35+R2213/5*'Top 15'!$E$35)/SUM('Top 15'!$B$35:$E$35),6))</x:f>
        <x:v>42</x:v>
      </x:c>
      <x:c r="U2213" s="1" t="str">
        <x:f>IF(A2213="","",IF(AND(M2213="Verified",N2213="Verified"),"Verified",IF(AND(M2213="Listed",N2213="Listed"),"Listed","Mixed")))</x:f>
        <x:v>Listed</x:v>
      </x:c>
      <x:c r="V2213" s="1" t="str">
        <x:f>IF(A2213="","",IF(AK2213&lt;&gt;1,"Duplicate source ID",IF(COUNTIFS('Staff Review'!$A$8:$A$507,A2213)&gt;1,"Duplicate review ID",IF(H2213&lt;&gt;"Yes","Outside scope",IF(J2213="Yes","Already served",IF(NOT(ISNUMBER(T2213)),"Missing data","Candidate"))))))</x:f>
        <x:v>Candidate</x:v>
      </x:c>
      <x:c r="W2213" s="1" t="n">
        <x:f>IF(AL2213=0,"",1+COUNTIFS($AL$2051:$AL$2550,1,$T$2051:$T$2550,"&gt;"&amp;T2213)+COUNTIFS($AL$2051:$AL$2550,1,$T$2051:$T$2550,T2213,$G$2051:$G$2550,"&gt;"&amp;G2213)+COUNTIFS($AL$2051:$AL$2550,1,$T$2051:$T$2550,T2213,$G$2051:$G$2550,G2213,$F$2051:$F$2550,"&gt;"&amp;F2213)+COUNTIFS($AL$2051:$AL$2550,1,$T$2051:$T$2550,T2213,$G$2051:$G$2550,G2213,$F$2051:$F$2550,F2213,$AM$2051:$AM$2550,"&lt;"&amp;AM2213))</x:f>
        <x:v>102</x:v>
      </x:c>
      <x:c r="X2213" s="1" t="n">
        <x:f>IF(AL2213=0,"",1+COUNTIFS($AL$2051:$AL$2550,1,$T$2051:$T$2550,"&gt;"&amp;T2213))</x:f>
        <x:v>101</x:v>
      </x:c>
      <x:c r="Y2213" s="1" t="n">
        <x:f>IF(AND(H2213="Yes",OR(LEN('School Search'!$B$5)=0,ISNUMBER(SEARCH('School Search'!$B$5,B2213&amp;" "&amp;E2213&amp;" "&amp;A2213))),OR('School Search'!$D$5="All",C2213='School Search'!$D$5),OR('School Search'!$G$5="All eligible",AND('School Search'!$G$5="Not marked served",J2213&lt;&gt;"Yes"),AND('School Search'!$G$5="Missing data",V2213="Missing data"),AND('School Search'!$G$5="Marked served",J2213="Yes"))),1,0)</x:f>
        <x:v>1</x:v>
      </x:c>
      <x:c r="Z2213" s="1" t="n">
        <x:f>IF(Y2213=0,"",COUNTIFS($Y$2051:$Y$2550,1,$AO$2051:$AO$2550,"&lt;"&amp;AO2213)+COUNTIFS($Y$2051:Y2213,1,$AO$2051:AO2213,AO2213))</x:f>
        <x:v>102</x:v>
      </x:c>
      <x:c r="AA2213" s="1" t="str">
        <x:f>IF(NOT(ISNUMBER(S2213)),"Missing demographic or access input",TEXT(G2213,"0%")&amp;" economic need; "&amp;TEXT(K2213,"0.00")&amp;" mi fresh access; "&amp;L2213&amp;" nearby resources")</x:f>
        <x:v>96% economic need; 0.35 mi fresh access; 18 nearby resources</x:v>
      </x:c>
      <x:c r="AB2213" s="1" t="n">
        <x:f>IF(OR(A2213="",COUNTIFS($A$1531:$A$2030,A2213)&lt;&gt;1),0,MATCH(A2213,$A$1531:$A$2030,0))</x:f>
        <x:v>163</x:v>
      </x:c>
      <x:c r="AC2213" s="1" t="str">
        <x:f>IF(AB2213=0,"",INDEX($E$1531:$E$2030,AB2213))</x:f>
        <x:v>SAVE-A-LOT 60146</x:v>
      </x:c>
      <x:c r="AD2213" s="1" t="str">
        <x:f>IF(AB2213=0,"",INDEX($F$1531:$F$2030,AB2213))</x:f>
        <x:v>2801 W Dauphin St, Philadelphia, PA, 19132</x:v>
      </x:c>
      <x:c r="AE2213" s="1" t="str">
        <x:f>IF(A2213="","",F164)</x:f>
        <x:v>2498 W DIAMOND ST</x:v>
      </x:c>
      <x:c r="AF2213" s="1" t="n">
        <x:f>IF(ISNUMBER(I164),I164,"")</x:f>
        <x:v>39.98673</x:v>
      </x:c>
      <x:c r="AG2213" s="1" t="n">
        <x:f>IF(ISNUMBER(J164),J164,"")</x:f>
        <x:v>-75.173787</x:v>
      </x:c>
      <x:c r="AH2213" s="1" t="str">
        <x:f>IF(I2213=0,"Not contacted",IF(INDEX('Staff Review'!$J$8:$J$507,I2213)="","Not contacted",INDEX('Staff Review'!$J$8:$J$507,I2213)))</x:f>
        <x:v>Not contacted</x:v>
      </x:c>
      <x:c r="AI2213" s="1" t="str">
        <x:f>IF(I2213=0,"No",IF(AND(COUNT(INDEX('Staff Review'!$D$8:$D$507,I2213))=1,INDEX('Staff Review'!$D$8:$D$507,I2213)&gt;=0,COUNT(INDEX('Staff Review'!$E$8:$E$507,I2213))=1,INDEX('Staff Review'!$E$8:$E$507,I2213)&gt;0,INDEX('Staff Review'!$E$8:$E$507,I2213)&lt;='Top 15'!$E$5,'Top 15'!$E$5-INDEX('Staff Review'!$E$8:$E$507,I2213)&lt;='Top 15'!$H$5,LEN(INDEX('Staff Review'!$H$8:$H$507,I2213))&gt;0),"Yes","No"))</x:f>
        <x:v>No</x:v>
      </x:c>
      <x:c r="AJ2213" s="1" t="str">
        <x:f>IF(I2213=0,"No",IF(COUNT(INDEX('Staff Review'!$F$8:$F$507,I2213))&lt;&gt;1,"No",IF(AND(INDEX('Staff Review'!$F$8:$F$507,I2213)&gt;=0,MOD(INDEX('Staff Review'!$F$8:$F$507,I2213),1)=0,COUNT(INDEX('Staff Review'!$G$8:$G$507,I2213))=1,INDEX('Staff Review'!$G$8:$G$507,I2213)&gt;0,INDEX('Staff Review'!$G$8:$G$507,I2213)&lt;='Top 15'!$E$5,'Top 15'!$E$5-INDEX('Staff Review'!$G$8:$G$507,I2213)&lt;='Top 15'!$H$5,LEN(INDEX('Staff Review'!$H$8:$H$507,I2213))&gt;0),"Yes","No")))</x:f>
        <x:v>No</x:v>
      </x:c>
      <x:c r="AK2213" s="1" t="n">
        <x:f>IF(A2213="",0,COUNTIFS($A$2:$A$501,A2213))</x:f>
        <x:v>1</x:v>
      </x:c>
      <x:c r="AL2213" s="1" t="n">
        <x:f>IF(V2213="Candidate",1,0)</x:f>
        <x:v>1</x:v>
      </x:c>
      <x:c r="AM2213" s="1" t="n">
        <x:f>IF(A2213="",0,VALUE(A2213))</x:f>
        <x:v>4270</x:v>
      </x:c>
      <x:c r="AN2213" s="1" t="n">
        <x:f>IF(OR(A2213="",COUNTIFS($T$41:$T$540,A2213)&lt;&gt;1),0,MATCH(A2213,$T$41:$T$540,0))</x:f>
        <x:v>163</x:v>
      </x:c>
      <x:c r="AO2213" t="n">
        <x:f>IF(ISNUMBER(W2213),W2213,10000+AM2213)</x:f>
        <x:v>102</x:v>
      </x:c>
    </x:row>
    <x:row r="2214" ht="22" customHeight="1">
      <x:c r="A2214" s="1" t="str">
        <x:f>IF(A165="","",A165)</x:f>
        <x:v>4280</x:v>
      </x:c>
      <x:c r="B2214" s="1" t="str">
        <x:f>IF(A2214="","",B165)</x:f>
        <x:v>Samuel Gompers School</x:v>
      </x:c>
      <x:c r="C2214" s="1" t="str">
        <x:f>IF(A2214="","",C165)</x:f>
        <x:v>District</x:v>
      </x:c>
      <x:c r="D2214" s="1" t="str">
        <x:f>IF(A2214="","",E165)</x:f>
        <x:v>Elementary-Middle</x:v>
      </x:c>
      <x:c r="E2214" s="1" t="str">
        <x:f>IF(A2214="","",H165)</x:f>
        <x:v>19131</x:v>
      </x:c>
      <x:c r="F2214" s="1" t="n">
        <x:f>IF(ISNUMBER(K165),K165,"")</x:f>
        <x:v>236</x:v>
      </x:c>
      <x:c r="G2214" s="1" t="n">
        <x:f>IF(ISNUMBER(L165),L165,"")</x:f>
        <x:v>0.7203</x:v>
      </x:c>
      <x:c r="H2214" s="1" t="str">
        <x:f>IF(A2214="","",IF(AND(UPPER(G165)="PHILADELPHIA",OR(C2214="District",AND(C2214="Charter",D165="Yes"))),"Yes","No"))</x:f>
        <x:v>Yes</x:v>
      </x:c>
      <x:c r="I2214" s="1" t="n">
        <x:f>IF(OR(A2214="",COUNTIFS('Staff Review'!$A$8:$A$507,A2214)&lt;&gt;1),0,MATCH(A2214,'Staff Review'!$A$8:$A$507,0))</x:f>
        <x:v>262</x:v>
      </x:c>
      <x:c r="J2214" s="1" t="str">
        <x:f>IF(I2214=0,"No",IF(INDEX('Staff Review'!$C$8:$C$507,I2214)="Yes","Yes","No"))</x:f>
        <x:v>No</x:v>
      </x:c>
      <x:c r="K2214" s="1" t="n">
        <x:f>IF(AI2214="Yes",INDEX('Staff Review'!$D$8:$D$507,I2214),IF(AB2214=0,"",IF(COUNT(INDEX($C$1531:$C$2030,AB2214))=1,INDEX($C$1531:$C$2030,AB2214),"")))</x:f>
        <x:v>1.0969192688329938</x:v>
      </x:c>
      <x:c r="L2214" s="1" t="n">
        <x:f>IF(AJ2214="Yes",INDEX('Staff Review'!$F$8:$F$507,I2214),IF(AB2214=0,"",IF(COUNT(INDEX($G$1531:$G$2030,AB2214))=1,INDEX($G$1531:$G$2030,AB2214),"")))</x:f>
        <x:v>3</x:v>
      </x:c>
      <x:c r="M2214" s="1" t="str">
        <x:f>IF(A2214="","",IF(AI2214="Yes","Verified","Listed"))</x:f>
        <x:v>Listed</x:v>
      </x:c>
      <x:c r="N2214" s="1" t="str">
        <x:f>IF(A2214="","",IF(AJ2214="Yes","Verified","Listed"))</x:f>
        <x:v>Listed</x:v>
      </x:c>
      <x:c r="O2214" s="1" t="n">
        <x:f>IF(AND(ISNUMBER(G2214),G2214&gt;=0,G2214&lt;=1),IF(G2214&gt;=0.9,30,IF(G2214&gt;=0.8,25,IF(G2214&gt;=0.7,20,IF(G2214&gt;=0.6,15,IF(G2214&gt;=0.5,10,IF(G2214&gt;=0.4,5,0)))))),"")</x:f>
        <x:v>20</x:v>
      </x:c>
      <x:c r="P2214" s="1" t="n">
        <x:f>IF(ISNUMBER(K2214),IF(K2214&lt;0,"",IF(K2214&gt;1,25,IF(K2214&gt;=0.75,20,IF(K2214&gt;=0.5,15,IF(K2214&gt;=0.25,10,5))))),"")</x:f>
        <x:v>25</x:v>
      </x:c>
      <x:c r="Q2214" s="1" t="n">
        <x:f>IF(NOT(ISNUMBER(L2214)),"",IF(AND(L2214&gt;=0,MOD(L2214,1)=0),MAX(0,25-5*L2214),""))</x:f>
        <x:v>10</x:v>
      </x:c>
      <x:c r="R2214" s="1" t="n">
        <x:f>IF(NOT(ISNUMBER(F2214)),"",IF(AND(F2214&gt;0,MOD(F2214,1)=0),IF(F2214&gt;=700,5,IF(F2214&gt;=500,4,IF(F2214&gt;=350,3,IF(F2214&gt;=200,2,1)))),""))</x:f>
        <x:v>2</x:v>
      </x:c>
      <x:c r="S2214" s="1" t="n">
        <x:f>IF(COUNT(O2214:R2214)=4,SUM(O2214:R2214),"")</x:f>
        <x:v>57</x:v>
      </x:c>
      <x:c r="T2214" s="1" t="n">
        <x:f>IF(OR(COUNT(O2214:R2214)&lt;&gt;4,COUNT('Top 15'!$B$35:$E$35)&lt;&gt;4,MIN('Top 15'!$B$35:$E$35)&lt;0,SUM('Top 15'!$B$35:$E$35)&lt;=0),"",ROUND(85*(O2214/30*'Top 15'!$B$35+P2214/25*'Top 15'!$C$35+Q2214/25*'Top 15'!$D$35+R2214/5*'Top 15'!$E$35)/SUM('Top 15'!$B$35:$E$35),6))</x:f>
        <x:v>57</x:v>
      </x:c>
      <x:c r="U2214" s="1" t="str">
        <x:f>IF(A2214="","",IF(AND(M2214="Verified",N2214="Verified"),"Verified",IF(AND(M2214="Listed",N2214="Listed"),"Listed","Mixed")))</x:f>
        <x:v>Listed</x:v>
      </x:c>
      <x:c r="V2214" s="1" t="str">
        <x:f>IF(A2214="","",IF(AK2214&lt;&gt;1,"Duplicate source ID",IF(COUNTIFS('Staff Review'!$A$8:$A$507,A2214)&gt;1,"Duplicate review ID",IF(H2214&lt;&gt;"Yes","Outside scope",IF(J2214="Yes","Already served",IF(NOT(ISNUMBER(T2214)),"Missing data","Candidate"))))))</x:f>
        <x:v>Candidate</x:v>
      </x:c>
      <x:c r="W2214" s="1" t="n">
        <x:f>IF(AL2214=0,"",1+COUNTIFS($AL$2051:$AL$2550,1,$T$2051:$T$2550,"&gt;"&amp;T2214)+COUNTIFS($AL$2051:$AL$2550,1,$T$2051:$T$2550,T2214,$G$2051:$G$2550,"&gt;"&amp;G2214)+COUNTIFS($AL$2051:$AL$2550,1,$T$2051:$T$2550,T2214,$G$2051:$G$2550,G2214,$F$2051:$F$2550,"&gt;"&amp;F2214)+COUNTIFS($AL$2051:$AL$2550,1,$T$2051:$T$2550,T2214,$G$2051:$G$2550,G2214,$F$2051:$F$2550,F2214,$AM$2051:$AM$2550,"&lt;"&amp;AM2214))</x:f>
        <x:v>22</x:v>
      </x:c>
      <x:c r="X2214" s="1" t="n">
        <x:f>IF(AL2214=0,"",1+COUNTIFS($AL$2051:$AL$2550,1,$T$2051:$T$2550,"&gt;"&amp;T2214))</x:f>
        <x:v>20</x:v>
      </x:c>
      <x:c r="Y2214" s="1" t="n">
        <x:f>IF(AND(H2214="Yes",OR(LEN('School Search'!$B$5)=0,ISNUMBER(SEARCH('School Search'!$B$5,B2214&amp;" "&amp;E2214&amp;" "&amp;A2214))),OR('School Search'!$D$5="All",C2214='School Search'!$D$5),OR('School Search'!$G$5="All eligible",AND('School Search'!$G$5="Not marked served",J2214&lt;&gt;"Yes"),AND('School Search'!$G$5="Missing data",V2214="Missing data"),AND('School Search'!$G$5="Marked served",J2214="Yes"))),1,0)</x:f>
        <x:v>1</x:v>
      </x:c>
      <x:c r="Z2214" s="1" t="n">
        <x:f>IF(Y2214=0,"",COUNTIFS($Y$2051:$Y$2550,1,$AO$2051:$AO$2550,"&lt;"&amp;AO2214)+COUNTIFS($Y$2051:Y2214,1,$AO$2051:AO2214,AO2214))</x:f>
        <x:v>22</x:v>
      </x:c>
      <x:c r="AA2214" s="1" t="str">
        <x:f>IF(NOT(ISNUMBER(S2214)),"Missing demographic or access input",TEXT(G2214,"0%")&amp;" economic need; "&amp;TEXT(K2214,"0.00")&amp;" mi fresh access; "&amp;L2214&amp;" nearby resources")</x:f>
        <x:v>72% economic need; 1.10 mi fresh access; 3 nearby resources</x:v>
      </x:c>
      <x:c r="AB2214" s="1" t="n">
        <x:f>IF(OR(A2214="",COUNTIFS($A$1531:$A$2030,A2214)&lt;&gt;1),0,MATCH(A2214,$A$1531:$A$2030,0))</x:f>
        <x:v>164</x:v>
      </x:c>
      <x:c r="AC2214" s="1" t="str">
        <x:f>IF(AB2214=0,"",INDEX($E$1531:$E$2030,AB2214))</x:f>
        <x:v>ACME 3711</x:v>
      </x:c>
      <x:c r="AD2214" s="1" t="str">
        <x:f>IF(AB2214=0,"",INDEX($F$1531:$F$2030,AB2214))</x:f>
        <x:v>121 E City Ave, Bala Cynwyd, PA, 19004</x:v>
      </x:c>
      <x:c r="AE2214" s="1" t="str">
        <x:f>IF(A2214="","",F165)</x:f>
        <x:v>5701 WYNNEFIELD AVE</x:v>
      </x:c>
      <x:c r="AF2214" s="1" t="n">
        <x:f>IF(ISNUMBER(I165),I165,"")</x:f>
        <x:v>39.99205763</x:v>
      </x:c>
      <x:c r="AG2214" s="1" t="n">
        <x:f>IF(ISNUMBER(J165),J165,"")</x:f>
        <x:v>-75.23754028</x:v>
      </x:c>
      <x:c r="AH2214" s="1" t="str">
        <x:f>IF(I2214=0,"Not contacted",IF(INDEX('Staff Review'!$J$8:$J$507,I2214)="","Not contacted",INDEX('Staff Review'!$J$8:$J$507,I2214)))</x:f>
        <x:v>Not contacted</x:v>
      </x:c>
      <x:c r="AI2214" s="1" t="str">
        <x:f>IF(I2214=0,"No",IF(AND(COUNT(INDEX('Staff Review'!$D$8:$D$507,I2214))=1,INDEX('Staff Review'!$D$8:$D$507,I2214)&gt;=0,COUNT(INDEX('Staff Review'!$E$8:$E$507,I2214))=1,INDEX('Staff Review'!$E$8:$E$507,I2214)&gt;0,INDEX('Staff Review'!$E$8:$E$507,I2214)&lt;='Top 15'!$E$5,'Top 15'!$E$5-INDEX('Staff Review'!$E$8:$E$507,I2214)&lt;='Top 15'!$H$5,LEN(INDEX('Staff Review'!$H$8:$H$507,I2214))&gt;0),"Yes","No"))</x:f>
        <x:v>No</x:v>
      </x:c>
      <x:c r="AJ2214" s="1" t="str">
        <x:f>IF(I2214=0,"No",IF(COUNT(INDEX('Staff Review'!$F$8:$F$507,I2214))&lt;&gt;1,"No",IF(AND(INDEX('Staff Review'!$F$8:$F$507,I2214)&gt;=0,MOD(INDEX('Staff Review'!$F$8:$F$507,I2214),1)=0,COUNT(INDEX('Staff Review'!$G$8:$G$507,I2214))=1,INDEX('Staff Review'!$G$8:$G$507,I2214)&gt;0,INDEX('Staff Review'!$G$8:$G$507,I2214)&lt;='Top 15'!$E$5,'Top 15'!$E$5-INDEX('Staff Review'!$G$8:$G$507,I2214)&lt;='Top 15'!$H$5,LEN(INDEX('Staff Review'!$H$8:$H$507,I2214))&gt;0),"Yes","No")))</x:f>
        <x:v>No</x:v>
      </x:c>
      <x:c r="AK2214" s="1" t="n">
        <x:f>IF(A2214="",0,COUNTIFS($A$2:$A$501,A2214))</x:f>
        <x:v>1</x:v>
      </x:c>
      <x:c r="AL2214" s="1" t="n">
        <x:f>IF(V2214="Candidate",1,0)</x:f>
        <x:v>1</x:v>
      </x:c>
      <x:c r="AM2214" s="1" t="n">
        <x:f>IF(A2214="",0,VALUE(A2214))</x:f>
        <x:v>4280</x:v>
      </x:c>
      <x:c r="AN2214" s="1" t="n">
        <x:f>IF(OR(A2214="",COUNTIFS($T$41:$T$540,A2214)&lt;&gt;1),0,MATCH(A2214,$T$41:$T$540,0))</x:f>
        <x:v>164</x:v>
      </x:c>
      <x:c r="AO2214" t="n">
        <x:f>IF(ISNUMBER(W2214),W2214,10000+AM2214)</x:f>
        <x:v>22</x:v>
      </x:c>
    </x:row>
    <x:row r="2215" ht="22" customHeight="1">
      <x:c r="A2215" s="1" t="str">
        <x:f>IF(A166="","",A166)</x:f>
        <x:v>4300</x:v>
      </x:c>
      <x:c r="B2215" s="1" t="str">
        <x:f>IF(A2215="","",B166)</x:f>
        <x:v>Edward Heston School</x:v>
      </x:c>
      <x:c r="C2215" s="1" t="str">
        <x:f>IF(A2215="","",C166)</x:f>
        <x:v>District</x:v>
      </x:c>
      <x:c r="D2215" s="1" t="str">
        <x:f>IF(A2215="","",E166)</x:f>
        <x:v>Elementary-Middle</x:v>
      </x:c>
      <x:c r="E2215" s="1" t="str">
        <x:f>IF(A2215="","",H166)</x:f>
        <x:v>19131</x:v>
      </x:c>
      <x:c r="F2215" s="1" t="n">
        <x:f>IF(ISNUMBER(K166),K166,"")</x:f>
        <x:v>219</x:v>
      </x:c>
      <x:c r="G2215" s="1" t="n">
        <x:f>IF(ISNUMBER(L166),L166,"")</x:f>
        <x:v>0.9111</x:v>
      </x:c>
      <x:c r="H2215" s="1" t="str">
        <x:f>IF(A2215="","",IF(AND(UPPER(G166)="PHILADELPHIA",OR(C2215="District",AND(C2215="Charter",D166="Yes"))),"Yes","No"))</x:f>
        <x:v>Yes</x:v>
      </x:c>
      <x:c r="I2215" s="1" t="n">
        <x:f>IF(OR(A2215="",COUNTIFS('Staff Review'!$A$8:$A$507,A2215)&lt;&gt;1),0,MATCH(A2215,'Staff Review'!$A$8:$A$507,0))</x:f>
        <x:v>56</x:v>
      </x:c>
      <x:c r="J2215" s="1" t="str">
        <x:f>IF(I2215=0,"No",IF(INDEX('Staff Review'!$C$8:$C$507,I2215)="Yes","Yes","No"))</x:f>
        <x:v>No</x:v>
      </x:c>
      <x:c r="K2215" s="1" t="n">
        <x:f>IF(AI2215="Yes",INDEX('Staff Review'!$D$8:$D$507,I2215),IF(AB2215=0,"",IF(COUNT(INDEX($C$1531:$C$2030,AB2215))=1,INDEX($C$1531:$C$2030,AB2215),"")))</x:f>
        <x:v>0.2522378203302679</x:v>
      </x:c>
      <x:c r="L2215" s="1" t="n">
        <x:f>IF(AJ2215="Yes",INDEX('Staff Review'!$F$8:$F$507,I2215),IF(AB2215=0,"",IF(COUNT(INDEX($G$1531:$G$2030,AB2215))=1,INDEX($G$1531:$G$2030,AB2215),"")))</x:f>
        <x:v>11</x:v>
      </x:c>
      <x:c r="M2215" s="1" t="str">
        <x:f>IF(A2215="","",IF(AI2215="Yes","Verified","Listed"))</x:f>
        <x:v>Listed</x:v>
      </x:c>
      <x:c r="N2215" s="1" t="str">
        <x:f>IF(A2215="","",IF(AJ2215="Yes","Verified","Listed"))</x:f>
        <x:v>Listed</x:v>
      </x:c>
      <x:c r="O2215" s="1" t="n">
        <x:f>IF(AND(ISNUMBER(G2215),G2215&gt;=0,G2215&lt;=1),IF(G2215&gt;=0.9,30,IF(G2215&gt;=0.8,25,IF(G2215&gt;=0.7,20,IF(G2215&gt;=0.6,15,IF(G2215&gt;=0.5,10,IF(G2215&gt;=0.4,5,0)))))),"")</x:f>
        <x:v>30</x:v>
      </x:c>
      <x:c r="P2215" s="1" t="n">
        <x:f>IF(ISNUMBER(K2215),IF(K2215&lt;0,"",IF(K2215&gt;1,25,IF(K2215&gt;=0.75,20,IF(K2215&gt;=0.5,15,IF(K2215&gt;=0.25,10,5))))),"")</x:f>
        <x:v>10</x:v>
      </x:c>
      <x:c r="Q2215" s="1" t="n">
        <x:f>IF(NOT(ISNUMBER(L2215)),"",IF(AND(L2215&gt;=0,MOD(L2215,1)=0),MAX(0,25-5*L2215),""))</x:f>
        <x:v>0</x:v>
      </x:c>
      <x:c r="R2215" s="1" t="n">
        <x:f>IF(NOT(ISNUMBER(F2215)),"",IF(AND(F2215&gt;0,MOD(F2215,1)=0),IF(F2215&gt;=700,5,IF(F2215&gt;=500,4,IF(F2215&gt;=350,3,IF(F2215&gt;=200,2,1)))),""))</x:f>
        <x:v>2</x:v>
      </x:c>
      <x:c r="S2215" s="1" t="n">
        <x:f>IF(COUNT(O2215:R2215)=4,SUM(O2215:R2215),"")</x:f>
        <x:v>42</x:v>
      </x:c>
      <x:c r="T2215" s="1" t="n">
        <x:f>IF(OR(COUNT(O2215:R2215)&lt;&gt;4,COUNT('Top 15'!$B$35:$E$35)&lt;&gt;4,MIN('Top 15'!$B$35:$E$35)&lt;0,SUM('Top 15'!$B$35:$E$35)&lt;=0),"",ROUND(85*(O2215/30*'Top 15'!$B$35+P2215/25*'Top 15'!$C$35+Q2215/25*'Top 15'!$D$35+R2215/5*'Top 15'!$E$35)/SUM('Top 15'!$B$35:$E$35),6))</x:f>
        <x:v>42</x:v>
      </x:c>
      <x:c r="U2215" s="1" t="str">
        <x:f>IF(A2215="","",IF(AND(M2215="Verified",N2215="Verified"),"Verified",IF(AND(M2215="Listed",N2215="Listed"),"Listed","Mixed")))</x:f>
        <x:v>Listed</x:v>
      </x:c>
      <x:c r="V2215" s="1" t="str">
        <x:f>IF(A2215="","",IF(AK2215&lt;&gt;1,"Duplicate source ID",IF(COUNTIFS('Staff Review'!$A$8:$A$507,A2215)&gt;1,"Duplicate review ID",IF(H2215&lt;&gt;"Yes","Outside scope",IF(J2215="Yes","Already served",IF(NOT(ISNUMBER(T2215)),"Missing data","Candidate"))))))</x:f>
        <x:v>Candidate</x:v>
      </x:c>
      <x:c r="W2215" s="1" t="n">
        <x:f>IF(AL2215=0,"",1+COUNTIFS($AL$2051:$AL$2550,1,$T$2051:$T$2550,"&gt;"&amp;T2215)+COUNTIFS($AL$2051:$AL$2550,1,$T$2051:$T$2550,T2215,$G$2051:$G$2550,"&gt;"&amp;G2215)+COUNTIFS($AL$2051:$AL$2550,1,$T$2051:$T$2550,T2215,$G$2051:$G$2550,G2215,$F$2051:$F$2550,"&gt;"&amp;F2215)+COUNTIFS($AL$2051:$AL$2550,1,$T$2051:$T$2550,T2215,$G$2051:$G$2550,G2215,$F$2051:$F$2550,F2215,$AM$2051:$AM$2550,"&lt;"&amp;AM2215))</x:f>
        <x:v>107</x:v>
      </x:c>
      <x:c r="X2215" s="1" t="n">
        <x:f>IF(AL2215=0,"",1+COUNTIFS($AL$2051:$AL$2550,1,$T$2051:$T$2550,"&gt;"&amp;T2215))</x:f>
        <x:v>101</x:v>
      </x:c>
      <x:c r="Y2215" s="1" t="n">
        <x:f>IF(AND(H2215="Yes",OR(LEN('School Search'!$B$5)=0,ISNUMBER(SEARCH('School Search'!$B$5,B2215&amp;" "&amp;E2215&amp;" "&amp;A2215))),OR('School Search'!$D$5="All",C2215='School Search'!$D$5),OR('School Search'!$G$5="All eligible",AND('School Search'!$G$5="Not marked served",J2215&lt;&gt;"Yes"),AND('School Search'!$G$5="Missing data",V2215="Missing data"),AND('School Search'!$G$5="Marked served",J2215="Yes"))),1,0)</x:f>
        <x:v>1</x:v>
      </x:c>
      <x:c r="Z2215" s="1" t="n">
        <x:f>IF(Y2215=0,"",COUNTIFS($Y$2051:$Y$2550,1,$AO$2051:$AO$2550,"&lt;"&amp;AO2215)+COUNTIFS($Y$2051:Y2215,1,$AO$2051:AO2215,AO2215))</x:f>
        <x:v>107</x:v>
      </x:c>
      <x:c r="AA2215" s="1" t="str">
        <x:f>IF(NOT(ISNUMBER(S2215)),"Missing demographic or access input",TEXT(G2215,"0%")&amp;" economic need; "&amp;TEXT(K2215,"0.00")&amp;" mi fresh access; "&amp;L2215&amp;" nearby resources")</x:f>
        <x:v>91% economic need; 0.25 mi fresh access; 11 nearby resources</x:v>
      </x:c>
      <x:c r="AB2215" s="1" t="n">
        <x:f>IF(OR(A2215="",COUNTIFS($A$1531:$A$2030,A2215)&lt;&gt;1),0,MATCH(A2215,$A$1531:$A$2030,0))</x:f>
        <x:v>165</x:v>
      </x:c>
      <x:c r="AC2215" s="1" t="str">
        <x:f>IF(AB2215=0,"",INDEX($E$1531:$E$2030,AB2215))</x:f>
        <x:v>Shoprite of Parkside 419</x:v>
      </x:c>
      <x:c r="AD2215" s="1" t="str">
        <x:f>IF(AB2215=0,"",INDEX($F$1531:$F$2030,AB2215))</x:f>
        <x:v>1575 N 52nd St, Philadelphia, PA, 19131</x:v>
      </x:c>
      <x:c r="AE2215" s="1" t="str">
        <x:f>IF(A2215="","",F166)</x:f>
        <x:v>1621 N 54TH ST</x:v>
      </x:c>
      <x:c r="AF2215" s="1" t="n">
        <x:f>IF(ISNUMBER(I166),I166,"")</x:f>
        <x:v>39.977852</x:v>
      </x:c>
      <x:c r="AG2215" s="1" t="n">
        <x:f>IF(ISNUMBER(J166),J166,"")</x:f>
        <x:v>-75.229727</x:v>
      </x:c>
      <x:c r="AH2215" s="1" t="str">
        <x:f>IF(I2215=0,"Not contacted",IF(INDEX('Staff Review'!$J$8:$J$507,I2215)="","Not contacted",INDEX('Staff Review'!$J$8:$J$507,I2215)))</x:f>
        <x:v>Not contacted</x:v>
      </x:c>
      <x:c r="AI2215" s="1" t="str">
        <x:f>IF(I2215=0,"No",IF(AND(COUNT(INDEX('Staff Review'!$D$8:$D$507,I2215))=1,INDEX('Staff Review'!$D$8:$D$507,I2215)&gt;=0,COUNT(INDEX('Staff Review'!$E$8:$E$507,I2215))=1,INDEX('Staff Review'!$E$8:$E$507,I2215)&gt;0,INDEX('Staff Review'!$E$8:$E$507,I2215)&lt;='Top 15'!$E$5,'Top 15'!$E$5-INDEX('Staff Review'!$E$8:$E$507,I2215)&lt;='Top 15'!$H$5,LEN(INDEX('Staff Review'!$H$8:$H$507,I2215))&gt;0),"Yes","No"))</x:f>
        <x:v>No</x:v>
      </x:c>
      <x:c r="AJ2215" s="1" t="str">
        <x:f>IF(I2215=0,"No",IF(COUNT(INDEX('Staff Review'!$F$8:$F$507,I2215))&lt;&gt;1,"No",IF(AND(INDEX('Staff Review'!$F$8:$F$507,I2215)&gt;=0,MOD(INDEX('Staff Review'!$F$8:$F$507,I2215),1)=0,COUNT(INDEX('Staff Review'!$G$8:$G$507,I2215))=1,INDEX('Staff Review'!$G$8:$G$507,I2215)&gt;0,INDEX('Staff Review'!$G$8:$G$507,I2215)&lt;='Top 15'!$E$5,'Top 15'!$E$5-INDEX('Staff Review'!$G$8:$G$507,I2215)&lt;='Top 15'!$H$5,LEN(INDEX('Staff Review'!$H$8:$H$507,I2215))&gt;0),"Yes","No")))</x:f>
        <x:v>No</x:v>
      </x:c>
      <x:c r="AK2215" s="1" t="n">
        <x:f>IF(A2215="",0,COUNTIFS($A$2:$A$501,A2215))</x:f>
        <x:v>1</x:v>
      </x:c>
      <x:c r="AL2215" s="1" t="n">
        <x:f>IF(V2215="Candidate",1,0)</x:f>
        <x:v>1</x:v>
      </x:c>
      <x:c r="AM2215" s="1" t="n">
        <x:f>IF(A2215="",0,VALUE(A2215))</x:f>
        <x:v>4300</x:v>
      </x:c>
      <x:c r="AN2215" s="1" t="n">
        <x:f>IF(OR(A2215="",COUNTIFS($T$41:$T$540,A2215)&lt;&gt;1),0,MATCH(A2215,$T$41:$T$540,0))</x:f>
        <x:v>165</x:v>
      </x:c>
      <x:c r="AO2215" t="n">
        <x:f>IF(ISNUMBER(W2215),W2215,10000+AM2215)</x:f>
        <x:v>107</x:v>
      </x:c>
    </x:row>
    <x:row r="2216" ht="22" customHeight="1">
      <x:c r="A2216" s="1" t="str">
        <x:f>IF(A167="","",A167)</x:f>
        <x:v>4320</x:v>
      </x:c>
      <x:c r="B2216" s="1" t="str">
        <x:f>IF(A2216="","",B167)</x:f>
        <x:v>Robert E. Lamberton School</x:v>
      </x:c>
      <x:c r="C2216" s="1" t="str">
        <x:f>IF(A2216="","",C167)</x:f>
        <x:v>District</x:v>
      </x:c>
      <x:c r="D2216" s="1" t="str">
        <x:f>IF(A2216="","",E167)</x:f>
        <x:v>Elementary-Middle</x:v>
      </x:c>
      <x:c r="E2216" s="1" t="str">
        <x:f>IF(A2216="","",H167)</x:f>
        <x:v>19151</x:v>
      </x:c>
      <x:c r="F2216" s="1" t="n">
        <x:f>IF(ISNUMBER(K167),K167,"")</x:f>
        <x:v>362</x:v>
      </x:c>
      <x:c r="G2216" s="1" t="n">
        <x:f>IF(ISNUMBER(L167),L167,"")</x:f>
        <x:v>0.8355</x:v>
      </x:c>
      <x:c r="H2216" s="1" t="str">
        <x:f>IF(A2216="","",IF(AND(UPPER(G167)="PHILADELPHIA",OR(C2216="District",AND(C2216="Charter",D167="Yes"))),"Yes","No"))</x:f>
        <x:v>Yes</x:v>
      </x:c>
      <x:c r="I2216" s="1" t="n">
        <x:f>IF(OR(A2216="",COUNTIFS('Staff Review'!$A$8:$A$507,A2216)&lt;&gt;1),0,MATCH(A2216,'Staff Review'!$A$8:$A$507,0))</x:f>
        <x:v>252</x:v>
      </x:c>
      <x:c r="J2216" s="1" t="str">
        <x:f>IF(I2216=0,"No",IF(INDEX('Staff Review'!$C$8:$C$507,I2216)="Yes","Yes","No"))</x:f>
        <x:v>No</x:v>
      </x:c>
      <x:c r="K2216" s="1" t="n">
        <x:f>IF(AI2216="Yes",INDEX('Staff Review'!$D$8:$D$507,I2216),IF(AB2216=0,"",IF(COUNT(INDEX($C$1531:$C$2030,AB2216))=1,INDEX($C$1531:$C$2030,AB2216),"")))</x:f>
        <x:v>0.3189351358977049</x:v>
      </x:c>
      <x:c r="L2216" s="1" t="n">
        <x:f>IF(AJ2216="Yes",INDEX('Staff Review'!$F$8:$F$507,I2216),IF(AB2216=0,"",IF(COUNT(INDEX($G$1531:$G$2030,AB2216))=1,INDEX($G$1531:$G$2030,AB2216),"")))</x:f>
        <x:v>0</x:v>
      </x:c>
      <x:c r="M2216" s="1" t="str">
        <x:f>IF(A2216="","",IF(AI2216="Yes","Verified","Listed"))</x:f>
        <x:v>Listed</x:v>
      </x:c>
      <x:c r="N2216" s="1" t="str">
        <x:f>IF(A2216="","",IF(AJ2216="Yes","Verified","Listed"))</x:f>
        <x:v>Listed</x:v>
      </x:c>
      <x:c r="O2216" s="1" t="n">
        <x:f>IF(AND(ISNUMBER(G2216),G2216&gt;=0,G2216&lt;=1),IF(G2216&gt;=0.9,30,IF(G2216&gt;=0.8,25,IF(G2216&gt;=0.7,20,IF(G2216&gt;=0.6,15,IF(G2216&gt;=0.5,10,IF(G2216&gt;=0.4,5,0)))))),"")</x:f>
        <x:v>25</x:v>
      </x:c>
      <x:c r="P2216" s="1" t="n">
        <x:f>IF(ISNUMBER(K2216),IF(K2216&lt;0,"",IF(K2216&gt;1,25,IF(K2216&gt;=0.75,20,IF(K2216&gt;=0.5,15,IF(K2216&gt;=0.25,10,5))))),"")</x:f>
        <x:v>10</x:v>
      </x:c>
      <x:c r="Q2216" s="1" t="n">
        <x:f>IF(NOT(ISNUMBER(L2216)),"",IF(AND(L2216&gt;=0,MOD(L2216,1)=0),MAX(0,25-5*L2216),""))</x:f>
        <x:v>25</x:v>
      </x:c>
      <x:c r="R2216" s="1" t="n">
        <x:f>IF(NOT(ISNUMBER(F2216)),"",IF(AND(F2216&gt;0,MOD(F2216,1)=0),IF(F2216&gt;=700,5,IF(F2216&gt;=500,4,IF(F2216&gt;=350,3,IF(F2216&gt;=200,2,1)))),""))</x:f>
        <x:v>3</x:v>
      </x:c>
      <x:c r="S2216" s="1" t="n">
        <x:f>IF(COUNT(O2216:R2216)=4,SUM(O2216:R2216),"")</x:f>
        <x:v>63</x:v>
      </x:c>
      <x:c r="T2216" s="1" t="n">
        <x:f>IF(OR(COUNT(O2216:R2216)&lt;&gt;4,COUNT('Top 15'!$B$35:$E$35)&lt;&gt;4,MIN('Top 15'!$B$35:$E$35)&lt;0,SUM('Top 15'!$B$35:$E$35)&lt;=0),"",ROUND(85*(O2216/30*'Top 15'!$B$35+P2216/25*'Top 15'!$C$35+Q2216/25*'Top 15'!$D$35+R2216/5*'Top 15'!$E$35)/SUM('Top 15'!$B$35:$E$35),6))</x:f>
        <x:v>63</x:v>
      </x:c>
      <x:c r="U2216" s="1" t="str">
        <x:f>IF(A2216="","",IF(AND(M2216="Verified",N2216="Verified"),"Verified",IF(AND(M2216="Listed",N2216="Listed"),"Listed","Mixed")))</x:f>
        <x:v>Listed</x:v>
      </x:c>
      <x:c r="V2216" s="1" t="str">
        <x:f>IF(A2216="","",IF(AK2216&lt;&gt;1,"Duplicate source ID",IF(COUNTIFS('Staff Review'!$A$8:$A$507,A2216)&gt;1,"Duplicate review ID",IF(H2216&lt;&gt;"Yes","Outside scope",IF(J2216="Yes","Already served",IF(NOT(ISNUMBER(T2216)),"Missing data","Candidate"))))))</x:f>
        <x:v>Candidate</x:v>
      </x:c>
      <x:c r="W2216" s="1" t="n">
        <x:f>IF(AL2216=0,"",1+COUNTIFS($AL$2051:$AL$2550,1,$T$2051:$T$2550,"&gt;"&amp;T2216)+COUNTIFS($AL$2051:$AL$2550,1,$T$2051:$T$2550,T2216,$G$2051:$G$2550,"&gt;"&amp;G2216)+COUNTIFS($AL$2051:$AL$2550,1,$T$2051:$T$2550,T2216,$G$2051:$G$2550,G2216,$F$2051:$F$2550,"&gt;"&amp;F2216)+COUNTIFS($AL$2051:$AL$2550,1,$T$2051:$T$2550,T2216,$G$2051:$G$2550,G2216,$F$2051:$F$2550,F2216,$AM$2051:$AM$2550,"&lt;"&amp;AM2216))</x:f>
        <x:v>8</x:v>
      </x:c>
      <x:c r="X2216" s="1" t="n">
        <x:f>IF(AL2216=0,"",1+COUNTIFS($AL$2051:$AL$2550,1,$T$2051:$T$2550,"&gt;"&amp;T2216))</x:f>
        <x:v>7</x:v>
      </x:c>
      <x:c r="Y2216" s="1" t="n">
        <x:f>IF(AND(H2216="Yes",OR(LEN('School Search'!$B$5)=0,ISNUMBER(SEARCH('School Search'!$B$5,B2216&amp;" "&amp;E2216&amp;" "&amp;A2216))),OR('School Search'!$D$5="All",C2216='School Search'!$D$5),OR('School Search'!$G$5="All eligible",AND('School Search'!$G$5="Not marked served",J2216&lt;&gt;"Yes"),AND('School Search'!$G$5="Missing data",V2216="Missing data"),AND('School Search'!$G$5="Marked served",J2216="Yes"))),1,0)</x:f>
        <x:v>1</x:v>
      </x:c>
      <x:c r="Z2216" s="1" t="n">
        <x:f>IF(Y2216=0,"",COUNTIFS($Y$2051:$Y$2550,1,$AO$2051:$AO$2550,"&lt;"&amp;AO2216)+COUNTIFS($Y$2051:Y2216,1,$AO$2051:AO2216,AO2216))</x:f>
        <x:v>8</x:v>
      </x:c>
      <x:c r="AA2216" s="1" t="str">
        <x:f>IF(NOT(ISNUMBER(S2216)),"Missing demographic or access input",TEXT(G2216,"0%")&amp;" economic need; "&amp;TEXT(K2216,"0.00")&amp;" mi fresh access; "&amp;L2216&amp;" nearby resources")</x:f>
        <x:v>84% economic need; 0.32 mi fresh access; 0 nearby resources</x:v>
      </x:c>
      <x:c r="AB2216" s="1" t="n">
        <x:f>IF(OR(A2216="",COUNTIFS($A$1531:$A$2030,A2216)&lt;&gt;1),0,MATCH(A2216,$A$1531:$A$2030,0))</x:f>
        <x:v>166</x:v>
      </x:c>
      <x:c r="AC2216" s="1" t="str">
        <x:f>IF(AB2216=0,"",INDEX($E$1531:$E$2030,AB2216))</x:f>
        <x:v>ALDI 60024 60024</x:v>
      </x:c>
      <x:c r="AD2216" s="1" t="str">
        <x:f>IF(AB2216=0,"",INDEX($F$1531:$F$2030,AB2216))</x:f>
        <x:v>1911 N 76th St, Philadelphia, PA, 19151</x:v>
      </x:c>
      <x:c r="AE2216" s="1" t="str">
        <x:f>IF(A2216="","",F167)</x:f>
        <x:v>7501 WOODBINE AVE</x:v>
      </x:c>
      <x:c r="AF2216" s="1" t="n">
        <x:f>IF(ISNUMBER(I167),I167,"")</x:f>
        <x:v>39.975465</x:v>
      </x:c>
      <x:c r="AG2216" s="1" t="n">
        <x:f>IF(ISNUMBER(J167),J167,"")</x:f>
        <x:v>-75.266329</x:v>
      </x:c>
      <x:c r="AH2216" s="1" t="str">
        <x:f>IF(I2216=0,"Not contacted",IF(INDEX('Staff Review'!$J$8:$J$507,I2216)="","Not contacted",INDEX('Staff Review'!$J$8:$J$507,I2216)))</x:f>
        <x:v>Not contacted</x:v>
      </x:c>
      <x:c r="AI2216" s="1" t="str">
        <x:f>IF(I2216=0,"No",IF(AND(COUNT(INDEX('Staff Review'!$D$8:$D$507,I2216))=1,INDEX('Staff Review'!$D$8:$D$507,I2216)&gt;=0,COUNT(INDEX('Staff Review'!$E$8:$E$507,I2216))=1,INDEX('Staff Review'!$E$8:$E$507,I2216)&gt;0,INDEX('Staff Review'!$E$8:$E$507,I2216)&lt;='Top 15'!$E$5,'Top 15'!$E$5-INDEX('Staff Review'!$E$8:$E$507,I2216)&lt;='Top 15'!$H$5,LEN(INDEX('Staff Review'!$H$8:$H$507,I2216))&gt;0),"Yes","No"))</x:f>
        <x:v>No</x:v>
      </x:c>
      <x:c r="AJ2216" s="1" t="str">
        <x:f>IF(I2216=0,"No",IF(COUNT(INDEX('Staff Review'!$F$8:$F$507,I2216))&lt;&gt;1,"No",IF(AND(INDEX('Staff Review'!$F$8:$F$507,I2216)&gt;=0,MOD(INDEX('Staff Review'!$F$8:$F$507,I2216),1)=0,COUNT(INDEX('Staff Review'!$G$8:$G$507,I2216))=1,INDEX('Staff Review'!$G$8:$G$507,I2216)&gt;0,INDEX('Staff Review'!$G$8:$G$507,I2216)&lt;='Top 15'!$E$5,'Top 15'!$E$5-INDEX('Staff Review'!$G$8:$G$507,I2216)&lt;='Top 15'!$H$5,LEN(INDEX('Staff Review'!$H$8:$H$507,I2216))&gt;0),"Yes","No")))</x:f>
        <x:v>No</x:v>
      </x:c>
      <x:c r="AK2216" s="1" t="n">
        <x:f>IF(A2216="",0,COUNTIFS($A$2:$A$501,A2216))</x:f>
        <x:v>1</x:v>
      </x:c>
      <x:c r="AL2216" s="1" t="n">
        <x:f>IF(V2216="Candidate",1,0)</x:f>
        <x:v>1</x:v>
      </x:c>
      <x:c r="AM2216" s="1" t="n">
        <x:f>IF(A2216="",0,VALUE(A2216))</x:f>
        <x:v>4320</x:v>
      </x:c>
      <x:c r="AN2216" s="1" t="n">
        <x:f>IF(OR(A2216="",COUNTIFS($T$41:$T$540,A2216)&lt;&gt;1),0,MATCH(A2216,$T$41:$T$540,0))</x:f>
        <x:v>166</x:v>
      </x:c>
      <x:c r="AO2216" t="n">
        <x:f>IF(ISNUMBER(W2216),W2216,10000+AM2216)</x:f>
        <x:v>8</x:v>
      </x:c>
    </x:row>
    <x:row r="2217" ht="22" customHeight="1">
      <x:c r="A2217" s="1" t="str">
        <x:f>IF(A168="","",A168)</x:f>
        <x:v>4350</x:v>
      </x:c>
      <x:c r="B2217" s="1" t="str">
        <x:f>IF(A2217="","",B168)</x:f>
        <x:v>E. Washington Rhodes School</x:v>
      </x:c>
      <x:c r="C2217" s="1" t="str">
        <x:f>IF(A2217="","",C168)</x:f>
        <x:v>District</x:v>
      </x:c>
      <x:c r="D2217" s="1" t="str">
        <x:f>IF(A2217="","",E168)</x:f>
        <x:v>Elementary-Middle</x:v>
      </x:c>
      <x:c r="E2217" s="1" t="str">
        <x:f>IF(A2217="","",H168)</x:f>
        <x:v>19132</x:v>
      </x:c>
      <x:c r="F2217" s="1" t="n">
        <x:f>IF(ISNUMBER(K168),K168,"")</x:f>
        <x:v>350</x:v>
      </x:c>
      <x:c r="G2217" s="1" t="n">
        <x:f>IF(ISNUMBER(L168),L168,"")</x:f>
        <x:v>0.9248</x:v>
      </x:c>
      <x:c r="H2217" s="1" t="str">
        <x:f>IF(A2217="","",IF(AND(UPPER(G168)="PHILADELPHIA",OR(C2217="District",AND(C2217="Charter",D168="Yes"))),"Yes","No"))</x:f>
        <x:v>Yes</x:v>
      </x:c>
      <x:c r="I2217" s="1" t="n">
        <x:f>IF(OR(A2217="",COUNTIFS('Staff Review'!$A$8:$A$507,A2217)&lt;&gt;1),0,MATCH(A2217,'Staff Review'!$A$8:$A$507,0))</x:f>
        <x:v>53</x:v>
      </x:c>
      <x:c r="J2217" s="1" t="str">
        <x:f>IF(I2217=0,"No",IF(INDEX('Staff Review'!$C$8:$C$507,I2217)="Yes","Yes","No"))</x:f>
        <x:v>No</x:v>
      </x:c>
      <x:c r="K2217" s="1" t="n">
        <x:f>IF(AI2217="Yes",INDEX('Staff Review'!$D$8:$D$507,I2217),IF(AB2217=0,"",IF(COUNT(INDEX($C$1531:$C$2030,AB2217))=1,INDEX($C$1531:$C$2030,AB2217),"")))</x:f>
        <x:v>0.5272856449124409</x:v>
      </x:c>
      <x:c r="L2217" s="1" t="n">
        <x:f>IF(AJ2217="Yes",INDEX('Staff Review'!$F$8:$F$507,I2217),IF(AB2217=0,"",IF(COUNT(INDEX($G$1531:$G$2030,AB2217))=1,INDEX($G$1531:$G$2030,AB2217),"")))</x:f>
        <x:v>9</x:v>
      </x:c>
      <x:c r="M2217" s="1" t="str">
        <x:f>IF(A2217="","",IF(AI2217="Yes","Verified","Listed"))</x:f>
        <x:v>Listed</x:v>
      </x:c>
      <x:c r="N2217" s="1" t="str">
        <x:f>IF(A2217="","",IF(AJ2217="Yes","Verified","Listed"))</x:f>
        <x:v>Listed</x:v>
      </x:c>
      <x:c r="O2217" s="1" t="n">
        <x:f>IF(AND(ISNUMBER(G2217),G2217&gt;=0,G2217&lt;=1),IF(G2217&gt;=0.9,30,IF(G2217&gt;=0.8,25,IF(G2217&gt;=0.7,20,IF(G2217&gt;=0.6,15,IF(G2217&gt;=0.5,10,IF(G2217&gt;=0.4,5,0)))))),"")</x:f>
        <x:v>30</x:v>
      </x:c>
      <x:c r="P2217" s="1" t="n">
        <x:f>IF(ISNUMBER(K2217),IF(K2217&lt;0,"",IF(K2217&gt;1,25,IF(K2217&gt;=0.75,20,IF(K2217&gt;=0.5,15,IF(K2217&gt;=0.25,10,5))))),"")</x:f>
        <x:v>15</x:v>
      </x:c>
      <x:c r="Q2217" s="1" t="n">
        <x:f>IF(NOT(ISNUMBER(L2217)),"",IF(AND(L2217&gt;=0,MOD(L2217,1)=0),MAX(0,25-5*L2217),""))</x:f>
        <x:v>0</x:v>
      </x:c>
      <x:c r="R2217" s="1" t="n">
        <x:f>IF(NOT(ISNUMBER(F2217)),"",IF(AND(F2217&gt;0,MOD(F2217,1)=0),IF(F2217&gt;=700,5,IF(F2217&gt;=500,4,IF(F2217&gt;=350,3,IF(F2217&gt;=200,2,1)))),""))</x:f>
        <x:v>3</x:v>
      </x:c>
      <x:c r="S2217" s="1" t="n">
        <x:f>IF(COUNT(O2217:R2217)=4,SUM(O2217:R2217),"")</x:f>
        <x:v>48</x:v>
      </x:c>
      <x:c r="T2217" s="1" t="n">
        <x:f>IF(OR(COUNT(O2217:R2217)&lt;&gt;4,COUNT('Top 15'!$B$35:$E$35)&lt;&gt;4,MIN('Top 15'!$B$35:$E$35)&lt;0,SUM('Top 15'!$B$35:$E$35)&lt;=0),"",ROUND(85*(O2217/30*'Top 15'!$B$35+P2217/25*'Top 15'!$C$35+Q2217/25*'Top 15'!$D$35+R2217/5*'Top 15'!$E$35)/SUM('Top 15'!$B$35:$E$35),6))</x:f>
        <x:v>48</x:v>
      </x:c>
      <x:c r="U2217" s="1" t="str">
        <x:f>IF(A2217="","",IF(AND(M2217="Verified",N2217="Verified"),"Verified",IF(AND(M2217="Listed",N2217="Listed"),"Listed","Mixed")))</x:f>
        <x:v>Listed</x:v>
      </x:c>
      <x:c r="V2217" s="1" t="str">
        <x:f>IF(A2217="","",IF(AK2217&lt;&gt;1,"Duplicate source ID",IF(COUNTIFS('Staff Review'!$A$8:$A$507,A2217)&gt;1,"Duplicate review ID",IF(H2217&lt;&gt;"Yes","Outside scope",IF(J2217="Yes","Already served",IF(NOT(ISNUMBER(T2217)),"Missing data","Candidate"))))))</x:f>
        <x:v>Candidate</x:v>
      </x:c>
      <x:c r="W2217" s="1" t="n">
        <x:f>IF(AL2217=0,"",1+COUNTIFS($AL$2051:$AL$2550,1,$T$2051:$T$2550,"&gt;"&amp;T2217)+COUNTIFS($AL$2051:$AL$2550,1,$T$2051:$T$2550,T2217,$G$2051:$G$2550,"&gt;"&amp;G2217)+COUNTIFS($AL$2051:$AL$2550,1,$T$2051:$T$2550,T2217,$G$2051:$G$2550,G2217,$F$2051:$F$2550,"&gt;"&amp;F2217)+COUNTIFS($AL$2051:$AL$2550,1,$T$2051:$T$2550,T2217,$G$2051:$G$2550,G2217,$F$2051:$F$2550,F2217,$AM$2051:$AM$2550,"&lt;"&amp;AM2217))</x:f>
        <x:v>57</x:v>
      </x:c>
      <x:c r="X2217" s="1" t="n">
        <x:f>IF(AL2217=0,"",1+COUNTIFS($AL$2051:$AL$2550,1,$T$2051:$T$2550,"&gt;"&amp;T2217))</x:f>
        <x:v>56</x:v>
      </x:c>
      <x:c r="Y2217" s="1" t="n">
        <x:f>IF(AND(H2217="Yes",OR(LEN('School Search'!$B$5)=0,ISNUMBER(SEARCH('School Search'!$B$5,B2217&amp;" "&amp;E2217&amp;" "&amp;A2217))),OR('School Search'!$D$5="All",C2217='School Search'!$D$5),OR('School Search'!$G$5="All eligible",AND('School Search'!$G$5="Not marked served",J2217&lt;&gt;"Yes"),AND('School Search'!$G$5="Missing data",V2217="Missing data"),AND('School Search'!$G$5="Marked served",J2217="Yes"))),1,0)</x:f>
        <x:v>1</x:v>
      </x:c>
      <x:c r="Z2217" s="1" t="n">
        <x:f>IF(Y2217=0,"",COUNTIFS($Y$2051:$Y$2550,1,$AO$2051:$AO$2550,"&lt;"&amp;AO2217)+COUNTIFS($Y$2051:Y2217,1,$AO$2051:AO2217,AO2217))</x:f>
        <x:v>57</x:v>
      </x:c>
      <x:c r="AA2217" s="1" t="str">
        <x:f>IF(NOT(ISNUMBER(S2217)),"Missing demographic or access input",TEXT(G2217,"0%")&amp;" economic need; "&amp;TEXT(K2217,"0.00")&amp;" mi fresh access; "&amp;L2217&amp;" nearby resources")</x:f>
        <x:v>92% economic need; 0.53 mi fresh access; 9 nearby resources</x:v>
      </x:c>
      <x:c r="AB2217" s="1" t="n">
        <x:f>IF(OR(A2217="",COUNTIFS($A$1531:$A$2030,A2217)&lt;&gt;1),0,MATCH(A2217,$A$1531:$A$2030,0))</x:f>
        <x:v>167</x:v>
      </x:c>
      <x:c r="AC2217" s="1" t="str">
        <x:f>IF(AB2217=0,"",INDEX($E$1531:$E$2030,AB2217))</x:f>
        <x:v>Shop Mark Supermarket</x:v>
      </x:c>
      <x:c r="AD2217" s="1" t="str">
        <x:f>IF(AB2217=0,"",INDEX($F$1531:$F$2030,AB2217))</x:f>
        <x:v>2522 W Lehigh Ave, Philadelphia, PA, 19132</x:v>
      </x:c>
      <x:c r="AE2217" s="1" t="str">
        <x:f>IF(A2217="","",F168)</x:f>
        <x:v>2900 W CLEARFIELD ST</x:v>
      </x:c>
      <x:c r="AF2217" s="1" t="n">
        <x:f>IF(ISNUMBER(I168),I168,"")</x:f>
        <x:v>40.00275594</x:v>
      </x:c>
      <x:c r="AG2217" s="1" t="n">
        <x:f>IF(ISNUMBER(J168),J168,"")</x:f>
        <x:v>-75.17812979</x:v>
      </x:c>
      <x:c r="AH2217" s="1" t="str">
        <x:f>IF(I2217=0,"Not contacted",IF(INDEX('Staff Review'!$J$8:$J$507,I2217)="","Not contacted",INDEX('Staff Review'!$J$8:$J$507,I2217)))</x:f>
        <x:v>Not contacted</x:v>
      </x:c>
      <x:c r="AI2217" s="1" t="str">
        <x:f>IF(I2217=0,"No",IF(AND(COUNT(INDEX('Staff Review'!$D$8:$D$507,I2217))=1,INDEX('Staff Review'!$D$8:$D$507,I2217)&gt;=0,COUNT(INDEX('Staff Review'!$E$8:$E$507,I2217))=1,INDEX('Staff Review'!$E$8:$E$507,I2217)&gt;0,INDEX('Staff Review'!$E$8:$E$507,I2217)&lt;='Top 15'!$E$5,'Top 15'!$E$5-INDEX('Staff Review'!$E$8:$E$507,I2217)&lt;='Top 15'!$H$5,LEN(INDEX('Staff Review'!$H$8:$H$507,I2217))&gt;0),"Yes","No"))</x:f>
        <x:v>No</x:v>
      </x:c>
      <x:c r="AJ2217" s="1" t="str">
        <x:f>IF(I2217=0,"No",IF(COUNT(INDEX('Staff Review'!$F$8:$F$507,I2217))&lt;&gt;1,"No",IF(AND(INDEX('Staff Review'!$F$8:$F$507,I2217)&gt;=0,MOD(INDEX('Staff Review'!$F$8:$F$507,I2217),1)=0,COUNT(INDEX('Staff Review'!$G$8:$G$507,I2217))=1,INDEX('Staff Review'!$G$8:$G$507,I2217)&gt;0,INDEX('Staff Review'!$G$8:$G$507,I2217)&lt;='Top 15'!$E$5,'Top 15'!$E$5-INDEX('Staff Review'!$G$8:$G$507,I2217)&lt;='Top 15'!$H$5,LEN(INDEX('Staff Review'!$H$8:$H$507,I2217))&gt;0),"Yes","No")))</x:f>
        <x:v>No</x:v>
      </x:c>
      <x:c r="AK2217" s="1" t="n">
        <x:f>IF(A2217="",0,COUNTIFS($A$2:$A$501,A2217))</x:f>
        <x:v>1</x:v>
      </x:c>
      <x:c r="AL2217" s="1" t="n">
        <x:f>IF(V2217="Candidate",1,0)</x:f>
        <x:v>1</x:v>
      </x:c>
      <x:c r="AM2217" s="1" t="n">
        <x:f>IF(A2217="",0,VALUE(A2217))</x:f>
        <x:v>4350</x:v>
      </x:c>
      <x:c r="AN2217" s="1" t="n">
        <x:f>IF(OR(A2217="",COUNTIFS($T$41:$T$540,A2217)&lt;&gt;1),0,MATCH(A2217,$T$41:$T$540,0))</x:f>
        <x:v>167</x:v>
      </x:c>
      <x:c r="AO2217" t="n">
        <x:f>IF(ISNUMBER(W2217),W2217,10000+AM2217)</x:f>
        <x:v>57</x:v>
      </x:c>
    </x:row>
    <x:row r="2218" ht="22" customHeight="1">
      <x:c r="A2218" s="1" t="str">
        <x:f>IF(A169="","",A169)</x:f>
        <x:v>4360</x:v>
      </x:c>
      <x:c r="B2218" s="1" t="str">
        <x:f>IF(A2218="","",B169)</x:f>
        <x:v>Kenderton School</x:v>
      </x:c>
      <x:c r="C2218" s="1" t="str">
        <x:f>IF(A2218="","",C169)</x:f>
        <x:v>District</x:v>
      </x:c>
      <x:c r="D2218" s="1" t="str">
        <x:f>IF(A2218="","",E169)</x:f>
        <x:v>Elementary-Middle</x:v>
      </x:c>
      <x:c r="E2218" s="1" t="str">
        <x:f>IF(A2218="","",H169)</x:f>
        <x:v>19140</x:v>
      </x:c>
      <x:c r="F2218" s="1" t="n">
        <x:f>IF(ISNUMBER(K169),K169,"")</x:f>
        <x:v>271</x:v>
      </x:c>
      <x:c r="G2218" s="1" t="n">
        <x:f>IF(ISNUMBER(L169),L169,"")</x:f>
        <x:v>0.9125</x:v>
      </x:c>
      <x:c r="H2218" s="1" t="str">
        <x:f>IF(A2218="","",IF(AND(UPPER(G169)="PHILADELPHIA",OR(C2218="District",AND(C2218="Charter",D169="Yes"))),"Yes","No"))</x:f>
        <x:v>Yes</x:v>
      </x:c>
      <x:c r="I2218" s="1" t="n">
        <x:f>IF(OR(A2218="",COUNTIFS('Staff Review'!$A$8:$A$507,A2218)&lt;&gt;1),0,MATCH(A2218,'Staff Review'!$A$8:$A$507,0))</x:f>
        <x:v>155</x:v>
      </x:c>
      <x:c r="J2218" s="1" t="str">
        <x:f>IF(I2218=0,"No",IF(INDEX('Staff Review'!$C$8:$C$507,I2218)="Yes","Yes","No"))</x:f>
        <x:v>No</x:v>
      </x:c>
      <x:c r="K2218" s="1" t="n">
        <x:f>IF(AI2218="Yes",INDEX('Staff Review'!$D$8:$D$507,I2218),IF(AB2218=0,"",IF(COUNT(INDEX($C$1531:$C$2030,AB2218))=1,INDEX($C$1531:$C$2030,AB2218),"")))</x:f>
        <x:v>0.9017672767855051</x:v>
      </x:c>
      <x:c r="L2218" s="1" t="n">
        <x:f>IF(AJ2218="Yes",INDEX('Staff Review'!$F$8:$F$507,I2218),IF(AB2218=0,"",IF(COUNT(INDEX($G$1531:$G$2030,AB2218))=1,INDEX($G$1531:$G$2030,AB2218),"")))</x:f>
        <x:v>10</x:v>
      </x:c>
      <x:c r="M2218" s="1" t="str">
        <x:f>IF(A2218="","",IF(AI2218="Yes","Verified","Listed"))</x:f>
        <x:v>Listed</x:v>
      </x:c>
      <x:c r="N2218" s="1" t="str">
        <x:f>IF(A2218="","",IF(AJ2218="Yes","Verified","Listed"))</x:f>
        <x:v>Listed</x:v>
      </x:c>
      <x:c r="O2218" s="1" t="n">
        <x:f>IF(AND(ISNUMBER(G2218),G2218&gt;=0,G2218&lt;=1),IF(G2218&gt;=0.9,30,IF(G2218&gt;=0.8,25,IF(G2218&gt;=0.7,20,IF(G2218&gt;=0.6,15,IF(G2218&gt;=0.5,10,IF(G2218&gt;=0.4,5,0)))))),"")</x:f>
        <x:v>30</x:v>
      </x:c>
      <x:c r="P2218" s="1" t="n">
        <x:f>IF(ISNUMBER(K2218),IF(K2218&lt;0,"",IF(K2218&gt;1,25,IF(K2218&gt;=0.75,20,IF(K2218&gt;=0.5,15,IF(K2218&gt;=0.25,10,5))))),"")</x:f>
        <x:v>20</x:v>
      </x:c>
      <x:c r="Q2218" s="1" t="n">
        <x:f>IF(NOT(ISNUMBER(L2218)),"",IF(AND(L2218&gt;=0,MOD(L2218,1)=0),MAX(0,25-5*L2218),""))</x:f>
        <x:v>0</x:v>
      </x:c>
      <x:c r="R2218" s="1" t="n">
        <x:f>IF(NOT(ISNUMBER(F2218)),"",IF(AND(F2218&gt;0,MOD(F2218,1)=0),IF(F2218&gt;=700,5,IF(F2218&gt;=500,4,IF(F2218&gt;=350,3,IF(F2218&gt;=200,2,1)))),""))</x:f>
        <x:v>2</x:v>
      </x:c>
      <x:c r="S2218" s="1" t="n">
        <x:f>IF(COUNT(O2218:R2218)=4,SUM(O2218:R2218),"")</x:f>
        <x:v>52</x:v>
      </x:c>
      <x:c r="T2218" s="1" t="n">
        <x:f>IF(OR(COUNT(O2218:R2218)&lt;&gt;4,COUNT('Top 15'!$B$35:$E$35)&lt;&gt;4,MIN('Top 15'!$B$35:$E$35)&lt;0,SUM('Top 15'!$B$35:$E$35)&lt;=0),"",ROUND(85*(O2218/30*'Top 15'!$B$35+P2218/25*'Top 15'!$C$35+Q2218/25*'Top 15'!$D$35+R2218/5*'Top 15'!$E$35)/SUM('Top 15'!$B$35:$E$35),6))</x:f>
        <x:v>52</x:v>
      </x:c>
      <x:c r="U2218" s="1" t="str">
        <x:f>IF(A2218="","",IF(AND(M2218="Verified",N2218="Verified"),"Verified",IF(AND(M2218="Listed",N2218="Listed"),"Listed","Mixed")))</x:f>
        <x:v>Listed</x:v>
      </x:c>
      <x:c r="V2218" s="1" t="str">
        <x:f>IF(A2218="","",IF(AK2218&lt;&gt;1,"Duplicate source ID",IF(COUNTIFS('Staff Review'!$A$8:$A$507,A2218)&gt;1,"Duplicate review ID",IF(H2218&lt;&gt;"Yes","Outside scope",IF(J2218="Yes","Already served",IF(NOT(ISNUMBER(T2218)),"Missing data","Candidate"))))))</x:f>
        <x:v>Candidate</x:v>
      </x:c>
      <x:c r="W2218" s="1" t="n">
        <x:f>IF(AL2218=0,"",1+COUNTIFS($AL$2051:$AL$2550,1,$T$2051:$T$2550,"&gt;"&amp;T2218)+COUNTIFS($AL$2051:$AL$2550,1,$T$2051:$T$2550,T2218,$G$2051:$G$2550,"&gt;"&amp;G2218)+COUNTIFS($AL$2051:$AL$2550,1,$T$2051:$T$2550,T2218,$G$2051:$G$2550,G2218,$F$2051:$F$2550,"&gt;"&amp;F2218)+COUNTIFS($AL$2051:$AL$2550,1,$T$2051:$T$2550,T2218,$G$2051:$G$2550,G2218,$F$2051:$F$2550,F2218,$AM$2051:$AM$2550,"&lt;"&amp;AM2218))</x:f>
        <x:v>36</x:v>
      </x:c>
      <x:c r="X2218" s="1" t="n">
        <x:f>IF(AL2218=0,"",1+COUNTIFS($AL$2051:$AL$2550,1,$T$2051:$T$2550,"&gt;"&amp;T2218))</x:f>
        <x:v>36</x:v>
      </x:c>
      <x:c r="Y2218" s="1" t="n">
        <x:f>IF(AND(H2218="Yes",OR(LEN('School Search'!$B$5)=0,ISNUMBER(SEARCH('School Search'!$B$5,B2218&amp;" "&amp;E2218&amp;" "&amp;A2218))),OR('School Search'!$D$5="All",C2218='School Search'!$D$5),OR('School Search'!$G$5="All eligible",AND('School Search'!$G$5="Not marked served",J2218&lt;&gt;"Yes"),AND('School Search'!$G$5="Missing data",V2218="Missing data"),AND('School Search'!$G$5="Marked served",J2218="Yes"))),1,0)</x:f>
        <x:v>1</x:v>
      </x:c>
      <x:c r="Z2218" s="1" t="n">
        <x:f>IF(Y2218=0,"",COUNTIFS($Y$2051:$Y$2550,1,$AO$2051:$AO$2550,"&lt;"&amp;AO2218)+COUNTIFS($Y$2051:Y2218,1,$AO$2051:AO2218,AO2218))</x:f>
        <x:v>36</x:v>
      </x:c>
      <x:c r="AA2218" s="1" t="str">
        <x:f>IF(NOT(ISNUMBER(S2218)),"Missing demographic or access input",TEXT(G2218,"0%")&amp;" economic need; "&amp;TEXT(K2218,"0.00")&amp;" mi fresh access; "&amp;L2218&amp;" nearby resources")</x:f>
        <x:v>91% economic need; 0.90 mi fresh access; 10 nearby resources</x:v>
      </x:c>
      <x:c r="AB2218" s="1" t="n">
        <x:f>IF(OR(A2218="",COUNTIFS($A$1531:$A$2030,A2218)&lt;&gt;1),0,MATCH(A2218,$A$1531:$A$2030,0))</x:f>
        <x:v>168</x:v>
      </x:c>
      <x:c r="AC2218" s="1" t="str">
        <x:f>IF(AB2218=0,"",INDEX($E$1531:$E$2030,AB2218))</x:f>
        <x:v>Save-A-Lot 60142</x:v>
      </x:c>
      <x:c r="AD2218" s="1" t="str">
        <x:f>IF(AB2218=0,"",INDEX($F$1531:$F$2030,AB2218))</x:f>
        <x:v>2101 W Lehigh Ave, Philadelphia, PA, 19132</x:v>
      </x:c>
      <x:c r="AE2218" s="1" t="str">
        <x:f>IF(A2218="","",F169)</x:f>
        <x:v>1500 W ONTARIO ST</x:v>
      </x:c>
      <x:c r="AF2218" s="1" t="n">
        <x:f>IF(ISNUMBER(I169),I169,"")</x:f>
        <x:v>40.00494</x:v>
      </x:c>
      <x:c r="AG2218" s="1" t="n">
        <x:f>IF(ISNUMBER(J169),J169,"")</x:f>
        <x:v>-75.154241</x:v>
      </x:c>
      <x:c r="AH2218" s="1" t="str">
        <x:f>IF(I2218=0,"Not contacted",IF(INDEX('Staff Review'!$J$8:$J$507,I2218)="","Not contacted",INDEX('Staff Review'!$J$8:$J$507,I2218)))</x:f>
        <x:v>Not contacted</x:v>
      </x:c>
      <x:c r="AI2218" s="1" t="str">
        <x:f>IF(I2218=0,"No",IF(AND(COUNT(INDEX('Staff Review'!$D$8:$D$507,I2218))=1,INDEX('Staff Review'!$D$8:$D$507,I2218)&gt;=0,COUNT(INDEX('Staff Review'!$E$8:$E$507,I2218))=1,INDEX('Staff Review'!$E$8:$E$507,I2218)&gt;0,INDEX('Staff Review'!$E$8:$E$507,I2218)&lt;='Top 15'!$E$5,'Top 15'!$E$5-INDEX('Staff Review'!$E$8:$E$507,I2218)&lt;='Top 15'!$H$5,LEN(INDEX('Staff Review'!$H$8:$H$507,I2218))&gt;0),"Yes","No"))</x:f>
        <x:v>No</x:v>
      </x:c>
      <x:c r="AJ2218" s="1" t="str">
        <x:f>IF(I2218=0,"No",IF(COUNT(INDEX('Staff Review'!$F$8:$F$507,I2218))&lt;&gt;1,"No",IF(AND(INDEX('Staff Review'!$F$8:$F$507,I2218)&gt;=0,MOD(INDEX('Staff Review'!$F$8:$F$507,I2218),1)=0,COUNT(INDEX('Staff Review'!$G$8:$G$507,I2218))=1,INDEX('Staff Review'!$G$8:$G$507,I2218)&gt;0,INDEX('Staff Review'!$G$8:$G$507,I2218)&lt;='Top 15'!$E$5,'Top 15'!$E$5-INDEX('Staff Review'!$G$8:$G$507,I2218)&lt;='Top 15'!$H$5,LEN(INDEX('Staff Review'!$H$8:$H$507,I2218))&gt;0),"Yes","No")))</x:f>
        <x:v>No</x:v>
      </x:c>
      <x:c r="AK2218" s="1" t="n">
        <x:f>IF(A2218="",0,COUNTIFS($A$2:$A$501,A2218))</x:f>
        <x:v>1</x:v>
      </x:c>
      <x:c r="AL2218" s="1" t="n">
        <x:f>IF(V2218="Candidate",1,0)</x:f>
        <x:v>1</x:v>
      </x:c>
      <x:c r="AM2218" s="1" t="n">
        <x:f>IF(A2218="",0,VALUE(A2218))</x:f>
        <x:v>4360</x:v>
      </x:c>
      <x:c r="AN2218" s="1" t="n">
        <x:f>IF(OR(A2218="",COUNTIFS($T$41:$T$540,A2218)&lt;&gt;1),0,MATCH(A2218,$T$41:$T$540,0))</x:f>
        <x:v>168</x:v>
      </x:c>
      <x:c r="AO2218" t="n">
        <x:f>IF(ISNUMBER(W2218),W2218,10000+AM2218)</x:f>
        <x:v>36</x:v>
      </x:c>
    </x:row>
    <x:row r="2219" ht="22" customHeight="1">
      <x:c r="A2219" s="1" t="str">
        <x:f>IF(A170="","",A170)</x:f>
        <x:v>4370</x:v>
      </x:c>
      <x:c r="B2219" s="1" t="str">
        <x:f>IF(A2219="","",B170)</x:f>
        <x:v>Overbrook Elementary School</x:v>
      </x:c>
      <x:c r="C2219" s="1" t="str">
        <x:f>IF(A2219="","",C170)</x:f>
        <x:v>District</x:v>
      </x:c>
      <x:c r="D2219" s="1" t="str">
        <x:f>IF(A2219="","",E170)</x:f>
        <x:v>Elementary-Middle</x:v>
      </x:c>
      <x:c r="E2219" s="1" t="str">
        <x:f>IF(A2219="","",H170)</x:f>
        <x:v>19151</x:v>
      </x:c>
      <x:c r="F2219" s="1" t="n">
        <x:f>IF(ISNUMBER(K170),K170,"")</x:f>
        <x:v>215</x:v>
      </x:c>
      <x:c r="G2219" s="1" t="n">
        <x:f>IF(ISNUMBER(L170),L170,"")</x:f>
        <x:v>0.8558</x:v>
      </x:c>
      <x:c r="H2219" s="1" t="str">
        <x:f>IF(A2219="","",IF(AND(UPPER(G170)="PHILADELPHIA",OR(C2219="District",AND(C2219="Charter",D170="Yes"))),"Yes","No"))</x:f>
        <x:v>Yes</x:v>
      </x:c>
      <x:c r="I2219" s="1" t="n">
        <x:f>IF(OR(A2219="",COUNTIFS('Staff Review'!$A$8:$A$507,A2219)&lt;&gt;1),0,MATCH(A2219,'Staff Review'!$A$8:$A$507,0))</x:f>
        <x:v>219</x:v>
      </x:c>
      <x:c r="J2219" s="1" t="str">
        <x:f>IF(I2219=0,"No",IF(INDEX('Staff Review'!$C$8:$C$507,I2219)="Yes","Yes","No"))</x:f>
        <x:v>No</x:v>
      </x:c>
      <x:c r="K2219" s="1" t="n">
        <x:f>IF(AI2219="Yes",INDEX('Staff Review'!$D$8:$D$507,I2219),IF(AB2219=0,"",IF(COUNT(INDEX($C$1531:$C$2030,AB2219))=1,INDEX($C$1531:$C$2030,AB2219),"")))</x:f>
        <x:v>1.124738261070969</x:v>
      </x:c>
      <x:c r="L2219" s="1" t="n">
        <x:f>IF(AJ2219="Yes",INDEX('Staff Review'!$F$8:$F$507,I2219),IF(AB2219=0,"",IF(COUNT(INDEX($G$1531:$G$2030,AB2219))=1,INDEX($G$1531:$G$2030,AB2219),"")))</x:f>
        <x:v>6</x:v>
      </x:c>
      <x:c r="M2219" s="1" t="str">
        <x:f>IF(A2219="","",IF(AI2219="Yes","Verified","Listed"))</x:f>
        <x:v>Listed</x:v>
      </x:c>
      <x:c r="N2219" s="1" t="str">
        <x:f>IF(A2219="","",IF(AJ2219="Yes","Verified","Listed"))</x:f>
        <x:v>Listed</x:v>
      </x:c>
      <x:c r="O2219" s="1" t="n">
        <x:f>IF(AND(ISNUMBER(G2219),G2219&gt;=0,G2219&lt;=1),IF(G2219&gt;=0.9,30,IF(G2219&gt;=0.8,25,IF(G2219&gt;=0.7,20,IF(G2219&gt;=0.6,15,IF(G2219&gt;=0.5,10,IF(G2219&gt;=0.4,5,0)))))),"")</x:f>
        <x:v>25</x:v>
      </x:c>
      <x:c r="P2219" s="1" t="n">
        <x:f>IF(ISNUMBER(K2219),IF(K2219&lt;0,"",IF(K2219&gt;1,25,IF(K2219&gt;=0.75,20,IF(K2219&gt;=0.5,15,IF(K2219&gt;=0.25,10,5))))),"")</x:f>
        <x:v>25</x:v>
      </x:c>
      <x:c r="Q2219" s="1" t="n">
        <x:f>IF(NOT(ISNUMBER(L2219)),"",IF(AND(L2219&gt;=0,MOD(L2219,1)=0),MAX(0,25-5*L2219),""))</x:f>
        <x:v>0</x:v>
      </x:c>
      <x:c r="R2219" s="1" t="n">
        <x:f>IF(NOT(ISNUMBER(F2219)),"",IF(AND(F2219&gt;0,MOD(F2219,1)=0),IF(F2219&gt;=700,5,IF(F2219&gt;=500,4,IF(F2219&gt;=350,3,IF(F2219&gt;=200,2,1)))),""))</x:f>
        <x:v>2</x:v>
      </x:c>
      <x:c r="S2219" s="1" t="n">
        <x:f>IF(COUNT(O2219:R2219)=4,SUM(O2219:R2219),"")</x:f>
        <x:v>52</x:v>
      </x:c>
      <x:c r="T2219" s="1" t="n">
        <x:f>IF(OR(COUNT(O2219:R2219)&lt;&gt;4,COUNT('Top 15'!$B$35:$E$35)&lt;&gt;4,MIN('Top 15'!$B$35:$E$35)&lt;0,SUM('Top 15'!$B$35:$E$35)&lt;=0),"",ROUND(85*(O2219/30*'Top 15'!$B$35+P2219/25*'Top 15'!$C$35+Q2219/25*'Top 15'!$D$35+R2219/5*'Top 15'!$E$35)/SUM('Top 15'!$B$35:$E$35),6))</x:f>
        <x:v>52</x:v>
      </x:c>
      <x:c r="U2219" s="1" t="str">
        <x:f>IF(A2219="","",IF(AND(M2219="Verified",N2219="Verified"),"Verified",IF(AND(M2219="Listed",N2219="Listed"),"Listed","Mixed")))</x:f>
        <x:v>Listed</x:v>
      </x:c>
      <x:c r="V2219" s="1" t="str">
        <x:f>IF(A2219="","",IF(AK2219&lt;&gt;1,"Duplicate source ID",IF(COUNTIFS('Staff Review'!$A$8:$A$507,A2219)&gt;1,"Duplicate review ID",IF(H2219&lt;&gt;"Yes","Outside scope",IF(J2219="Yes","Already served",IF(NOT(ISNUMBER(T2219)),"Missing data","Candidate"))))))</x:f>
        <x:v>Candidate</x:v>
      </x:c>
      <x:c r="W2219" s="1" t="n">
        <x:f>IF(AL2219=0,"",1+COUNTIFS($AL$2051:$AL$2550,1,$T$2051:$T$2550,"&gt;"&amp;T2219)+COUNTIFS($AL$2051:$AL$2550,1,$T$2051:$T$2550,T2219,$G$2051:$G$2550,"&gt;"&amp;G2219)+COUNTIFS($AL$2051:$AL$2550,1,$T$2051:$T$2550,T2219,$G$2051:$G$2550,G2219,$F$2051:$F$2550,"&gt;"&amp;F2219)+COUNTIFS($AL$2051:$AL$2550,1,$T$2051:$T$2550,T2219,$G$2051:$G$2550,G2219,$F$2051:$F$2550,F2219,$AM$2051:$AM$2550,"&lt;"&amp;AM2219))</x:f>
        <x:v>37</x:v>
      </x:c>
      <x:c r="X2219" s="1" t="n">
        <x:f>IF(AL2219=0,"",1+COUNTIFS($AL$2051:$AL$2550,1,$T$2051:$T$2550,"&gt;"&amp;T2219))</x:f>
        <x:v>36</x:v>
      </x:c>
      <x:c r="Y2219" s="1" t="n">
        <x:f>IF(AND(H2219="Yes",OR(LEN('School Search'!$B$5)=0,ISNUMBER(SEARCH('School Search'!$B$5,B2219&amp;" "&amp;E2219&amp;" "&amp;A2219))),OR('School Search'!$D$5="All",C2219='School Search'!$D$5),OR('School Search'!$G$5="All eligible",AND('School Search'!$G$5="Not marked served",J2219&lt;&gt;"Yes"),AND('School Search'!$G$5="Missing data",V2219="Missing data"),AND('School Search'!$G$5="Marked served",J2219="Yes"))),1,0)</x:f>
        <x:v>1</x:v>
      </x:c>
      <x:c r="Z2219" s="1" t="n">
        <x:f>IF(Y2219=0,"",COUNTIFS($Y$2051:$Y$2550,1,$AO$2051:$AO$2550,"&lt;"&amp;AO2219)+COUNTIFS($Y$2051:Y2219,1,$AO$2051:AO2219,AO2219))</x:f>
        <x:v>37</x:v>
      </x:c>
      <x:c r="AA2219" s="1" t="str">
        <x:f>IF(NOT(ISNUMBER(S2219)),"Missing demographic or access input",TEXT(G2219,"0%")&amp;" economic need; "&amp;TEXT(K2219,"0.00")&amp;" mi fresh access; "&amp;L2219&amp;" nearby resources")</x:f>
        <x:v>86% economic need; 1.12 mi fresh access; 6 nearby resources</x:v>
      </x:c>
      <x:c r="AB2219" s="1" t="n">
        <x:f>IF(OR(A2219="",COUNTIFS($A$1531:$A$2030,A2219)&lt;&gt;1),0,MATCH(A2219,$A$1531:$A$2030,0))</x:f>
        <x:v>169</x:v>
      </x:c>
      <x:c r="AC2219" s="1" t="str">
        <x:f>IF(AB2219=0,"",INDEX($E$1531:$E$2030,AB2219))</x:f>
        <x:v>Shoprite of Parkside 419</x:v>
      </x:c>
      <x:c r="AD2219" s="1" t="str">
        <x:f>IF(AB2219=0,"",INDEX($F$1531:$F$2030,AB2219))</x:f>
        <x:v>1575 N 52nd St, Philadelphia, PA, 19131</x:v>
      </x:c>
      <x:c r="AE2219" s="1" t="str">
        <x:f>IF(A2219="","",F170)</x:f>
        <x:v>2032 N 62ND ST</x:v>
      </x:c>
      <x:c r="AF2219" s="1" t="n">
        <x:f>IF(ISNUMBER(I170),I170,"")</x:f>
        <x:v>39.98225806</x:v>
      </x:c>
      <x:c r="AG2219" s="1" t="n">
        <x:f>IF(ISNUMBER(J170),J170,"")</x:f>
        <x:v>-75.24584611</x:v>
      </x:c>
      <x:c r="AH2219" s="1" t="str">
        <x:f>IF(I2219=0,"Not contacted",IF(INDEX('Staff Review'!$J$8:$J$507,I2219)="","Not contacted",INDEX('Staff Review'!$J$8:$J$507,I2219)))</x:f>
        <x:v>Not contacted</x:v>
      </x:c>
      <x:c r="AI2219" s="1" t="str">
        <x:f>IF(I2219=0,"No",IF(AND(COUNT(INDEX('Staff Review'!$D$8:$D$507,I2219))=1,INDEX('Staff Review'!$D$8:$D$507,I2219)&gt;=0,COUNT(INDEX('Staff Review'!$E$8:$E$507,I2219))=1,INDEX('Staff Review'!$E$8:$E$507,I2219)&gt;0,INDEX('Staff Review'!$E$8:$E$507,I2219)&lt;='Top 15'!$E$5,'Top 15'!$E$5-INDEX('Staff Review'!$E$8:$E$507,I2219)&lt;='Top 15'!$H$5,LEN(INDEX('Staff Review'!$H$8:$H$507,I2219))&gt;0),"Yes","No"))</x:f>
        <x:v>No</x:v>
      </x:c>
      <x:c r="AJ2219" s="1" t="str">
        <x:f>IF(I2219=0,"No",IF(COUNT(INDEX('Staff Review'!$F$8:$F$507,I2219))&lt;&gt;1,"No",IF(AND(INDEX('Staff Review'!$F$8:$F$507,I2219)&gt;=0,MOD(INDEX('Staff Review'!$F$8:$F$507,I2219),1)=0,COUNT(INDEX('Staff Review'!$G$8:$G$507,I2219))=1,INDEX('Staff Review'!$G$8:$G$507,I2219)&gt;0,INDEX('Staff Review'!$G$8:$G$507,I2219)&lt;='Top 15'!$E$5,'Top 15'!$E$5-INDEX('Staff Review'!$G$8:$G$507,I2219)&lt;='Top 15'!$H$5,LEN(INDEX('Staff Review'!$H$8:$H$507,I2219))&gt;0),"Yes","No")))</x:f>
        <x:v>No</x:v>
      </x:c>
      <x:c r="AK2219" s="1" t="n">
        <x:f>IF(A2219="",0,COUNTIFS($A$2:$A$501,A2219))</x:f>
        <x:v>1</x:v>
      </x:c>
      <x:c r="AL2219" s="1" t="n">
        <x:f>IF(V2219="Candidate",1,0)</x:f>
        <x:v>1</x:v>
      </x:c>
      <x:c r="AM2219" s="1" t="n">
        <x:f>IF(A2219="",0,VALUE(A2219))</x:f>
        <x:v>4370</x:v>
      </x:c>
      <x:c r="AN2219" s="1" t="n">
        <x:f>IF(OR(A2219="",COUNTIFS($T$41:$T$540,A2219)&lt;&gt;1),0,MATCH(A2219,$T$41:$T$540,0))</x:f>
        <x:v>169</x:v>
      </x:c>
      <x:c r="AO2219" t="n">
        <x:f>IF(ISNUMBER(W2219),W2219,10000+AM2219)</x:f>
        <x:v>37</x:v>
      </x:c>
    </x:row>
    <x:row r="2220" ht="22" customHeight="1">
      <x:c r="A2220" s="1" t="str">
        <x:f>IF(A171="","",A171)</x:f>
        <x:v>4380</x:v>
      </x:c>
      <x:c r="B2220" s="1" t="str">
        <x:f>IF(A2220="","",B171)</x:f>
        <x:v>Thomas M. Peirce School</x:v>
      </x:c>
      <x:c r="C2220" s="1" t="str">
        <x:f>IF(A2220="","",C171)</x:f>
        <x:v>District</x:v>
      </x:c>
      <x:c r="D2220" s="1" t="str">
        <x:f>IF(A2220="","",E171)</x:f>
        <x:v>Elementary</x:v>
      </x:c>
      <x:c r="E2220" s="1" t="str">
        <x:f>IF(A2220="","",H171)</x:f>
        <x:v>19132</x:v>
      </x:c>
      <x:c r="F2220" s="1" t="n">
        <x:f>IF(ISNUMBER(K171),K171,"")</x:f>
        <x:v>292</x:v>
      </x:c>
      <x:c r="G2220" s="1" t="n">
        <x:f>IF(ISNUMBER(L171),L171,"")</x:f>
        <x:v>0.9375</x:v>
      </x:c>
      <x:c r="H2220" s="1" t="str">
        <x:f>IF(A2220="","",IF(AND(UPPER(G171)="PHILADELPHIA",OR(C2220="District",AND(C2220="Charter",D171="Yes"))),"Yes","No"))</x:f>
        <x:v>Yes</x:v>
      </x:c>
      <x:c r="I2220" s="1" t="n">
        <x:f>IF(OR(A2220="",COUNTIFS('Staff Review'!$A$8:$A$507,A2220)&lt;&gt;1),0,MATCH(A2220,'Staff Review'!$A$8:$A$507,0))</x:f>
        <x:v>296</x:v>
      </x:c>
      <x:c r="J2220" s="1" t="str">
        <x:f>IF(I2220=0,"No",IF(INDEX('Staff Review'!$C$8:$C$507,I2220)="Yes","Yes","No"))</x:f>
        <x:v>No</x:v>
      </x:c>
      <x:c r="K2220" s="1" t="n">
        <x:f>IF(AI2220="Yes",INDEX('Staff Review'!$D$8:$D$507,I2220),IF(AB2220=0,"",IF(COUNT(INDEX($C$1531:$C$2030,AB2220))=1,INDEX($C$1531:$C$2030,AB2220),"")))</x:f>
        <x:v>0.2679426483721001</x:v>
      </x:c>
      <x:c r="L2220" s="1" t="n">
        <x:f>IF(AJ2220="Yes",INDEX('Staff Review'!$F$8:$F$507,I2220),IF(AB2220=0,"",IF(COUNT(INDEX($G$1531:$G$2030,AB2220))=1,INDEX($G$1531:$G$2030,AB2220),"")))</x:f>
        <x:v>12</x:v>
      </x:c>
      <x:c r="M2220" s="1" t="str">
        <x:f>IF(A2220="","",IF(AI2220="Yes","Verified","Listed"))</x:f>
        <x:v>Listed</x:v>
      </x:c>
      <x:c r="N2220" s="1" t="str">
        <x:f>IF(A2220="","",IF(AJ2220="Yes","Verified","Listed"))</x:f>
        <x:v>Listed</x:v>
      </x:c>
      <x:c r="O2220" s="1" t="n">
        <x:f>IF(AND(ISNUMBER(G2220),G2220&gt;=0,G2220&lt;=1),IF(G2220&gt;=0.9,30,IF(G2220&gt;=0.8,25,IF(G2220&gt;=0.7,20,IF(G2220&gt;=0.6,15,IF(G2220&gt;=0.5,10,IF(G2220&gt;=0.4,5,0)))))),"")</x:f>
        <x:v>30</x:v>
      </x:c>
      <x:c r="P2220" s="1" t="n">
        <x:f>IF(ISNUMBER(K2220),IF(K2220&lt;0,"",IF(K2220&gt;1,25,IF(K2220&gt;=0.75,20,IF(K2220&gt;=0.5,15,IF(K2220&gt;=0.25,10,5))))),"")</x:f>
        <x:v>10</x:v>
      </x:c>
      <x:c r="Q2220" s="1" t="n">
        <x:f>IF(NOT(ISNUMBER(L2220)),"",IF(AND(L2220&gt;=0,MOD(L2220,1)=0),MAX(0,25-5*L2220),""))</x:f>
        <x:v>0</x:v>
      </x:c>
      <x:c r="R2220" s="1" t="n">
        <x:f>IF(NOT(ISNUMBER(F2220)),"",IF(AND(F2220&gt;0,MOD(F2220,1)=0),IF(F2220&gt;=700,5,IF(F2220&gt;=500,4,IF(F2220&gt;=350,3,IF(F2220&gt;=200,2,1)))),""))</x:f>
        <x:v>2</x:v>
      </x:c>
      <x:c r="S2220" s="1" t="n">
        <x:f>IF(COUNT(O2220:R2220)=4,SUM(O2220:R2220),"")</x:f>
        <x:v>42</x:v>
      </x:c>
      <x:c r="T2220" s="1" t="n">
        <x:f>IF(OR(COUNT(O2220:R2220)&lt;&gt;4,COUNT('Top 15'!$B$35:$E$35)&lt;&gt;4,MIN('Top 15'!$B$35:$E$35)&lt;0,SUM('Top 15'!$B$35:$E$35)&lt;=0),"",ROUND(85*(O2220/30*'Top 15'!$B$35+P2220/25*'Top 15'!$C$35+Q2220/25*'Top 15'!$D$35+R2220/5*'Top 15'!$E$35)/SUM('Top 15'!$B$35:$E$35),6))</x:f>
        <x:v>42</x:v>
      </x:c>
      <x:c r="U2220" s="1" t="str">
        <x:f>IF(A2220="","",IF(AND(M2220="Verified",N2220="Verified"),"Verified",IF(AND(M2220="Listed",N2220="Listed"),"Listed","Mixed")))</x:f>
        <x:v>Listed</x:v>
      </x:c>
      <x:c r="V2220" s="1" t="str">
        <x:f>IF(A2220="","",IF(AK2220&lt;&gt;1,"Duplicate source ID",IF(COUNTIFS('Staff Review'!$A$8:$A$507,A2220)&gt;1,"Duplicate review ID",IF(H2220&lt;&gt;"Yes","Outside scope",IF(J2220="Yes","Already served",IF(NOT(ISNUMBER(T2220)),"Missing data","Candidate"))))))</x:f>
        <x:v>Candidate</x:v>
      </x:c>
      <x:c r="W2220" s="1" t="n">
        <x:f>IF(AL2220=0,"",1+COUNTIFS($AL$2051:$AL$2550,1,$T$2051:$T$2550,"&gt;"&amp;T2220)+COUNTIFS($AL$2051:$AL$2550,1,$T$2051:$T$2550,T2220,$G$2051:$G$2550,"&gt;"&amp;G2220)+COUNTIFS($AL$2051:$AL$2550,1,$T$2051:$T$2550,T2220,$G$2051:$G$2550,G2220,$F$2051:$F$2550,"&gt;"&amp;F2220)+COUNTIFS($AL$2051:$AL$2550,1,$T$2051:$T$2550,T2220,$G$2051:$G$2550,G2220,$F$2051:$F$2550,F2220,$AM$2051:$AM$2550,"&lt;"&amp;AM2220))</x:f>
        <x:v>103</x:v>
      </x:c>
      <x:c r="X2220" s="1" t="n">
        <x:f>IF(AL2220=0,"",1+COUNTIFS($AL$2051:$AL$2550,1,$T$2051:$T$2550,"&gt;"&amp;T2220))</x:f>
        <x:v>101</x:v>
      </x:c>
      <x:c r="Y2220" s="1" t="n">
        <x:f>IF(AND(H2220="Yes",OR(LEN('School Search'!$B$5)=0,ISNUMBER(SEARCH('School Search'!$B$5,B2220&amp;" "&amp;E2220&amp;" "&amp;A2220))),OR('School Search'!$D$5="All",C2220='School Search'!$D$5),OR('School Search'!$G$5="All eligible",AND('School Search'!$G$5="Not marked served",J2220&lt;&gt;"Yes"),AND('School Search'!$G$5="Missing data",V2220="Missing data"),AND('School Search'!$G$5="Marked served",J2220="Yes"))),1,0)</x:f>
        <x:v>1</x:v>
      </x:c>
      <x:c r="Z2220" s="1" t="n">
        <x:f>IF(Y2220=0,"",COUNTIFS($Y$2051:$Y$2550,1,$AO$2051:$AO$2550,"&lt;"&amp;AO2220)+COUNTIFS($Y$2051:Y2220,1,$AO$2051:AO2220,AO2220))</x:f>
        <x:v>103</x:v>
      </x:c>
      <x:c r="AA2220" s="1" t="str">
        <x:f>IF(NOT(ISNUMBER(S2220)),"Missing demographic or access input",TEXT(G2220,"0%")&amp;" economic need; "&amp;TEXT(K2220,"0.00")&amp;" mi fresh access; "&amp;L2220&amp;" nearby resources")</x:f>
        <x:v>94% economic need; 0.27 mi fresh access; 12 nearby resources</x:v>
      </x:c>
      <x:c r="AB2220" s="1" t="n">
        <x:f>IF(OR(A2220="",COUNTIFS($A$1531:$A$2030,A2220)&lt;&gt;1),0,MATCH(A2220,$A$1531:$A$2030,0))</x:f>
        <x:v>170</x:v>
      </x:c>
      <x:c r="AC2220" s="1" t="str">
        <x:f>IF(AB2220=0,"",INDEX($E$1531:$E$2030,AB2220))</x:f>
        <x:v>Save-A-Lot 60142</x:v>
      </x:c>
      <x:c r="AD2220" s="1" t="str">
        <x:f>IF(AB2220=0,"",INDEX($F$1531:$F$2030,AB2220))</x:f>
        <x:v>2101 W Lehigh Ave, Philadelphia, PA, 19132</x:v>
      </x:c>
      <x:c r="AE2220" s="1" t="str">
        <x:f>IF(A2220="","",F171)</x:f>
        <x:v>2300 W CAMBRIA ST</x:v>
      </x:c>
      <x:c r="AF2220" s="1" t="n">
        <x:f>IF(ISNUMBER(I171),I171,"")</x:f>
        <x:v>39.998839</x:v>
      </x:c>
      <x:c r="AG2220" s="1" t="n">
        <x:f>IF(ISNUMBER(J171),J171,"")</x:f>
        <x:v>-75.168424</x:v>
      </x:c>
      <x:c r="AH2220" s="1" t="str">
        <x:f>IF(I2220=0,"Not contacted",IF(INDEX('Staff Review'!$J$8:$J$507,I2220)="","Not contacted",INDEX('Staff Review'!$J$8:$J$507,I2220)))</x:f>
        <x:v>Not contacted</x:v>
      </x:c>
      <x:c r="AI2220" s="1" t="str">
        <x:f>IF(I2220=0,"No",IF(AND(COUNT(INDEX('Staff Review'!$D$8:$D$507,I2220))=1,INDEX('Staff Review'!$D$8:$D$507,I2220)&gt;=0,COUNT(INDEX('Staff Review'!$E$8:$E$507,I2220))=1,INDEX('Staff Review'!$E$8:$E$507,I2220)&gt;0,INDEX('Staff Review'!$E$8:$E$507,I2220)&lt;='Top 15'!$E$5,'Top 15'!$E$5-INDEX('Staff Review'!$E$8:$E$507,I2220)&lt;='Top 15'!$H$5,LEN(INDEX('Staff Review'!$H$8:$H$507,I2220))&gt;0),"Yes","No"))</x:f>
        <x:v>No</x:v>
      </x:c>
      <x:c r="AJ2220" s="1" t="str">
        <x:f>IF(I2220=0,"No",IF(COUNT(INDEX('Staff Review'!$F$8:$F$507,I2220))&lt;&gt;1,"No",IF(AND(INDEX('Staff Review'!$F$8:$F$507,I2220)&gt;=0,MOD(INDEX('Staff Review'!$F$8:$F$507,I2220),1)=0,COUNT(INDEX('Staff Review'!$G$8:$G$507,I2220))=1,INDEX('Staff Review'!$G$8:$G$507,I2220)&gt;0,INDEX('Staff Review'!$G$8:$G$507,I2220)&lt;='Top 15'!$E$5,'Top 15'!$E$5-INDEX('Staff Review'!$G$8:$G$507,I2220)&lt;='Top 15'!$H$5,LEN(INDEX('Staff Review'!$H$8:$H$507,I2220))&gt;0),"Yes","No")))</x:f>
        <x:v>No</x:v>
      </x:c>
      <x:c r="AK2220" s="1" t="n">
        <x:f>IF(A2220="",0,COUNTIFS($A$2:$A$501,A2220))</x:f>
        <x:v>1</x:v>
      </x:c>
      <x:c r="AL2220" s="1" t="n">
        <x:f>IF(V2220="Candidate",1,0)</x:f>
        <x:v>1</x:v>
      </x:c>
      <x:c r="AM2220" s="1" t="n">
        <x:f>IF(A2220="",0,VALUE(A2220))</x:f>
        <x:v>4380</x:v>
      </x:c>
      <x:c r="AN2220" s="1" t="n">
        <x:f>IF(OR(A2220="",COUNTIFS($T$41:$T$540,A2220)&lt;&gt;1),0,MATCH(A2220,$T$41:$T$540,0))</x:f>
        <x:v>170</x:v>
      </x:c>
      <x:c r="AO2220" t="n">
        <x:f>IF(ISNUMBER(W2220),W2220,10000+AM2220)</x:f>
        <x:v>103</x:v>
      </x:c>
    </x:row>
    <x:row r="2221" ht="22" customHeight="1">
      <x:c r="A2221" s="1" t="str">
        <x:f>IF(A172="","",A172)</x:f>
        <x:v>4440</x:v>
      </x:c>
      <x:c r="B2221" s="1" t="str">
        <x:f>IF(A2221="","",B172)</x:f>
        <x:v>Dr. Ethel Allen School</x:v>
      </x:c>
      <x:c r="C2221" s="1" t="str">
        <x:f>IF(A2221="","",C172)</x:f>
        <x:v>District</x:v>
      </x:c>
      <x:c r="D2221" s="1" t="str">
        <x:f>IF(A2221="","",E172)</x:f>
        <x:v>Elementary-Middle</x:v>
      </x:c>
      <x:c r="E2221" s="1" t="str">
        <x:f>IF(A2221="","",H172)</x:f>
        <x:v>19132</x:v>
      </x:c>
      <x:c r="F2221" s="1" t="n">
        <x:f>IF(ISNUMBER(K172),K172,"")</x:f>
        <x:v>274</x:v>
      </x:c>
      <x:c r="G2221" s="1" t="n">
        <x:f>IF(ISNUMBER(L172),L172,"")</x:f>
        <x:v>0.9062</x:v>
      </x:c>
      <x:c r="H2221" s="1" t="str">
        <x:f>IF(A2221="","",IF(AND(UPPER(G172)="PHILADELPHIA",OR(C2221="District",AND(C2221="Charter",D172="Yes"))),"Yes","No"))</x:f>
        <x:v>Yes</x:v>
      </x:c>
      <x:c r="I2221" s="1" t="n">
        <x:f>IF(OR(A2221="",COUNTIFS('Staff Review'!$A$8:$A$507,A2221)&lt;&gt;1),0,MATCH(A2221,'Staff Review'!$A$8:$A$507,0))</x:f>
        <x:v>52</x:v>
      </x:c>
      <x:c r="J2221" s="1" t="str">
        <x:f>IF(I2221=0,"No",IF(INDEX('Staff Review'!$C$8:$C$507,I2221)="Yes","Yes","No"))</x:f>
        <x:v>No</x:v>
      </x:c>
      <x:c r="K2221" s="1" t="n">
        <x:f>IF(AI2221="Yes",INDEX('Staff Review'!$D$8:$D$507,I2221),IF(AB2221=0,"",IF(COUNT(INDEX($C$1531:$C$2030,AB2221))=1,INDEX($C$1531:$C$2030,AB2221),"")))</x:f>
        <x:v>0.5517844174329641</x:v>
      </x:c>
      <x:c r="L2221" s="1" t="n">
        <x:f>IF(AJ2221="Yes",INDEX('Staff Review'!$F$8:$F$507,I2221),IF(AB2221=0,"",IF(COUNT(INDEX($G$1531:$G$2030,AB2221))=1,INDEX($G$1531:$G$2030,AB2221),"")))</x:f>
        <x:v>10</x:v>
      </x:c>
      <x:c r="M2221" s="1" t="str">
        <x:f>IF(A2221="","",IF(AI2221="Yes","Verified","Listed"))</x:f>
        <x:v>Listed</x:v>
      </x:c>
      <x:c r="N2221" s="1" t="str">
        <x:f>IF(A2221="","",IF(AJ2221="Yes","Verified","Listed"))</x:f>
        <x:v>Listed</x:v>
      </x:c>
      <x:c r="O2221" s="1" t="n">
        <x:f>IF(AND(ISNUMBER(G2221),G2221&gt;=0,G2221&lt;=1),IF(G2221&gt;=0.9,30,IF(G2221&gt;=0.8,25,IF(G2221&gt;=0.7,20,IF(G2221&gt;=0.6,15,IF(G2221&gt;=0.5,10,IF(G2221&gt;=0.4,5,0)))))),"")</x:f>
        <x:v>30</x:v>
      </x:c>
      <x:c r="P2221" s="1" t="n">
        <x:f>IF(ISNUMBER(K2221),IF(K2221&lt;0,"",IF(K2221&gt;1,25,IF(K2221&gt;=0.75,20,IF(K2221&gt;=0.5,15,IF(K2221&gt;=0.25,10,5))))),"")</x:f>
        <x:v>15</x:v>
      </x:c>
      <x:c r="Q2221" s="1" t="n">
        <x:f>IF(NOT(ISNUMBER(L2221)),"",IF(AND(L2221&gt;=0,MOD(L2221,1)=0),MAX(0,25-5*L2221),""))</x:f>
        <x:v>0</x:v>
      </x:c>
      <x:c r="R2221" s="1" t="n">
        <x:f>IF(NOT(ISNUMBER(F2221)),"",IF(AND(F2221&gt;0,MOD(F2221,1)=0),IF(F2221&gt;=700,5,IF(F2221&gt;=500,4,IF(F2221&gt;=350,3,IF(F2221&gt;=200,2,1)))),""))</x:f>
        <x:v>2</x:v>
      </x:c>
      <x:c r="S2221" s="1" t="n">
        <x:f>IF(COUNT(O2221:R2221)=4,SUM(O2221:R2221),"")</x:f>
        <x:v>47</x:v>
      </x:c>
      <x:c r="T2221" s="1" t="n">
        <x:f>IF(OR(COUNT(O2221:R2221)&lt;&gt;4,COUNT('Top 15'!$B$35:$E$35)&lt;&gt;4,MIN('Top 15'!$B$35:$E$35)&lt;0,SUM('Top 15'!$B$35:$E$35)&lt;=0),"",ROUND(85*(O2221/30*'Top 15'!$B$35+P2221/25*'Top 15'!$C$35+Q2221/25*'Top 15'!$D$35+R2221/5*'Top 15'!$E$35)/SUM('Top 15'!$B$35:$E$35),6))</x:f>
        <x:v>47</x:v>
      </x:c>
      <x:c r="U2221" s="1" t="str">
        <x:f>IF(A2221="","",IF(AND(M2221="Verified",N2221="Verified"),"Verified",IF(AND(M2221="Listed",N2221="Listed"),"Listed","Mixed")))</x:f>
        <x:v>Listed</x:v>
      </x:c>
      <x:c r="V2221" s="1" t="str">
        <x:f>IF(A2221="","",IF(AK2221&lt;&gt;1,"Duplicate source ID",IF(COUNTIFS('Staff Review'!$A$8:$A$507,A2221)&gt;1,"Duplicate review ID",IF(H2221&lt;&gt;"Yes","Outside scope",IF(J2221="Yes","Already served",IF(NOT(ISNUMBER(T2221)),"Missing data","Candidate"))))))</x:f>
        <x:v>Candidate</x:v>
      </x:c>
      <x:c r="W2221" s="1" t="n">
        <x:f>IF(AL2221=0,"",1+COUNTIFS($AL$2051:$AL$2550,1,$T$2051:$T$2550,"&gt;"&amp;T2221)+COUNTIFS($AL$2051:$AL$2550,1,$T$2051:$T$2550,T2221,$G$2051:$G$2550,"&gt;"&amp;G2221)+COUNTIFS($AL$2051:$AL$2550,1,$T$2051:$T$2550,T2221,$G$2051:$G$2550,G2221,$F$2051:$F$2550,"&gt;"&amp;F2221)+COUNTIFS($AL$2051:$AL$2550,1,$T$2051:$T$2550,T2221,$G$2051:$G$2550,G2221,$F$2051:$F$2550,F2221,$AM$2051:$AM$2550,"&lt;"&amp;AM2221))</x:f>
        <x:v>66</x:v>
      </x:c>
      <x:c r="X2221" s="1" t="n">
        <x:f>IF(AL2221=0,"",1+COUNTIFS($AL$2051:$AL$2550,1,$T$2051:$T$2550,"&gt;"&amp;T2221))</x:f>
        <x:v>64</x:v>
      </x:c>
      <x:c r="Y2221" s="1" t="n">
        <x:f>IF(AND(H2221="Yes",OR(LEN('School Search'!$B$5)=0,ISNUMBER(SEARCH('School Search'!$B$5,B2221&amp;" "&amp;E2221&amp;" "&amp;A2221))),OR('School Search'!$D$5="All",C2221='School Search'!$D$5),OR('School Search'!$G$5="All eligible",AND('School Search'!$G$5="Not marked served",J2221&lt;&gt;"Yes"),AND('School Search'!$G$5="Missing data",V2221="Missing data"),AND('School Search'!$G$5="Marked served",J2221="Yes"))),1,0)</x:f>
        <x:v>1</x:v>
      </x:c>
      <x:c r="Z2221" s="1" t="n">
        <x:f>IF(Y2221=0,"",COUNTIFS($Y$2051:$Y$2550,1,$AO$2051:$AO$2550,"&lt;"&amp;AO2221)+COUNTIFS($Y$2051:Y2221,1,$AO$2051:AO2221,AO2221))</x:f>
        <x:v>66</x:v>
      </x:c>
      <x:c r="AA2221" s="1" t="str">
        <x:f>IF(NOT(ISNUMBER(S2221)),"Missing demographic or access input",TEXT(G2221,"0%")&amp;" economic need; "&amp;TEXT(K2221,"0.00")&amp;" mi fresh access; "&amp;L2221&amp;" nearby resources")</x:f>
        <x:v>91% economic need; 0.55 mi fresh access; 10 nearby resources</x:v>
      </x:c>
      <x:c r="AB2221" s="1" t="n">
        <x:f>IF(OR(A2221="",COUNTIFS($A$1531:$A$2030,A2221)&lt;&gt;1),0,MATCH(A2221,$A$1531:$A$2030,0))</x:f>
        <x:v>171</x:v>
      </x:c>
      <x:c r="AC2221" s="1" t="str">
        <x:f>IF(AB2221=0,"",INDEX($E$1531:$E$2030,AB2221))</x:f>
        <x:v>Shop Mark Supermarket</x:v>
      </x:c>
      <x:c r="AD2221" s="1" t="str">
        <x:f>IF(AB2221=0,"",INDEX($F$1531:$F$2030,AB2221))</x:f>
        <x:v>2522 W Lehigh Ave, Philadelphia, PA, 19132</x:v>
      </x:c>
      <x:c r="AE2221" s="1" t="str">
        <x:f>IF(A2221="","",F172)</x:f>
        <x:v>3200 W LEHIGH AVE</x:v>
      </x:c>
      <x:c r="AF2221" s="1" t="n">
        <x:f>IF(ISNUMBER(I172),I172,"")</x:f>
        <x:v>39.99757697</x:v>
      </x:c>
      <x:c r="AG2221" s="1" t="n">
        <x:f>IF(ISNUMBER(J172),J172,"")</x:f>
        <x:v>-75.18345963</x:v>
      </x:c>
      <x:c r="AH2221" s="1" t="str">
        <x:f>IF(I2221=0,"Not contacted",IF(INDEX('Staff Review'!$J$8:$J$507,I2221)="","Not contacted",INDEX('Staff Review'!$J$8:$J$507,I2221)))</x:f>
        <x:v>Not contacted</x:v>
      </x:c>
      <x:c r="AI2221" s="1" t="str">
        <x:f>IF(I2221=0,"No",IF(AND(COUNT(INDEX('Staff Review'!$D$8:$D$507,I2221))=1,INDEX('Staff Review'!$D$8:$D$507,I2221)&gt;=0,COUNT(INDEX('Staff Review'!$E$8:$E$507,I2221))=1,INDEX('Staff Review'!$E$8:$E$507,I2221)&gt;0,INDEX('Staff Review'!$E$8:$E$507,I2221)&lt;='Top 15'!$E$5,'Top 15'!$E$5-INDEX('Staff Review'!$E$8:$E$507,I2221)&lt;='Top 15'!$H$5,LEN(INDEX('Staff Review'!$H$8:$H$507,I2221))&gt;0),"Yes","No"))</x:f>
        <x:v>No</x:v>
      </x:c>
      <x:c r="AJ2221" s="1" t="str">
        <x:f>IF(I2221=0,"No",IF(COUNT(INDEX('Staff Review'!$F$8:$F$507,I2221))&lt;&gt;1,"No",IF(AND(INDEX('Staff Review'!$F$8:$F$507,I2221)&gt;=0,MOD(INDEX('Staff Review'!$F$8:$F$507,I2221),1)=0,COUNT(INDEX('Staff Review'!$G$8:$G$507,I2221))=1,INDEX('Staff Review'!$G$8:$G$507,I2221)&gt;0,INDEX('Staff Review'!$G$8:$G$507,I2221)&lt;='Top 15'!$E$5,'Top 15'!$E$5-INDEX('Staff Review'!$G$8:$G$507,I2221)&lt;='Top 15'!$H$5,LEN(INDEX('Staff Review'!$H$8:$H$507,I2221))&gt;0),"Yes","No")))</x:f>
        <x:v>No</x:v>
      </x:c>
      <x:c r="AK2221" s="1" t="n">
        <x:f>IF(A2221="",0,COUNTIFS($A$2:$A$501,A2221))</x:f>
        <x:v>1</x:v>
      </x:c>
      <x:c r="AL2221" s="1" t="n">
        <x:f>IF(V2221="Candidate",1,0)</x:f>
        <x:v>1</x:v>
      </x:c>
      <x:c r="AM2221" s="1" t="n">
        <x:f>IF(A2221="",0,VALUE(A2221))</x:f>
        <x:v>4440</x:v>
      </x:c>
      <x:c r="AN2221" s="1" t="n">
        <x:f>IF(OR(A2221="",COUNTIFS($T$41:$T$540,A2221)&lt;&gt;1),0,MATCH(A2221,$T$41:$T$540,0))</x:f>
        <x:v>171</x:v>
      </x:c>
      <x:c r="AO2221" t="n">
        <x:f>IF(ISNUMBER(W2221),W2221,10000+AM2221)</x:f>
        <x:v>66</x:v>
      </x:c>
    </x:row>
    <x:row r="2222" ht="22" customHeight="1">
      <x:c r="A2222" s="1" t="str">
        <x:f>IF(A173="","",A173)</x:f>
        <x:v>4460</x:v>
      </x:c>
      <x:c r="B2222" s="1" t="str">
        <x:f>IF(A2222="","",B173)</x:f>
        <x:v>Tanner G. Duckrey School</x:v>
      </x:c>
      <x:c r="C2222" s="1" t="str">
        <x:f>IF(A2222="","",C173)</x:f>
        <x:v>District</x:v>
      </x:c>
      <x:c r="D2222" s="1" t="str">
        <x:f>IF(A2222="","",E173)</x:f>
        <x:v>Elementary-Middle</x:v>
      </x:c>
      <x:c r="E2222" s="1" t="str">
        <x:f>IF(A2222="","",H173)</x:f>
        <x:v>19121</x:v>
      </x:c>
      <x:c r="F2222" s="1" t="n">
        <x:f>IF(ISNUMBER(K173),K173,"")</x:f>
        <x:v>402</x:v>
      </x:c>
      <x:c r="G2222" s="1" t="n">
        <x:f>IF(ISNUMBER(L173),L173,"")</x:f>
        <x:v>0.9047</x:v>
      </x:c>
      <x:c r="H2222" s="1" t="str">
        <x:f>IF(A2222="","",IF(AND(UPPER(G173)="PHILADELPHIA",OR(C2222="District",AND(C2222="Charter",D173="Yes"))),"Yes","No"))</x:f>
        <x:v>Yes</x:v>
      </x:c>
      <x:c r="I2222" s="1" t="n">
        <x:f>IF(OR(A2222="",COUNTIFS('Staff Review'!$A$8:$A$507,A2222)&lt;&gt;1),0,MATCH(A2222,'Staff Review'!$A$8:$A$507,0))</x:f>
        <x:v>281</x:v>
      </x:c>
      <x:c r="J2222" s="1" t="str">
        <x:f>IF(I2222=0,"No",IF(INDEX('Staff Review'!$C$8:$C$507,I2222)="Yes","Yes","No"))</x:f>
        <x:v>No</x:v>
      </x:c>
      <x:c r="K2222" s="1" t="n">
        <x:f>IF(AI2222="Yes",INDEX('Staff Review'!$D$8:$D$507,I2222),IF(AB2222=0,"",IF(COUNT(INDEX($C$1531:$C$2030,AB2222))=1,INDEX($C$1531:$C$2030,AB2222),"")))</x:f>
        <x:v>0.5975436548193497</x:v>
      </x:c>
      <x:c r="L2222" s="1" t="n">
        <x:f>IF(AJ2222="Yes",INDEX('Staff Review'!$F$8:$F$507,I2222),IF(AB2222=0,"",IF(COUNT(INDEX($G$1531:$G$2030,AB2222))=1,INDEX($G$1531:$G$2030,AB2222),"")))</x:f>
        <x:v>14</x:v>
      </x:c>
      <x:c r="M2222" s="1" t="str">
        <x:f>IF(A2222="","",IF(AI2222="Yes","Verified","Listed"))</x:f>
        <x:v>Listed</x:v>
      </x:c>
      <x:c r="N2222" s="1" t="str">
        <x:f>IF(A2222="","",IF(AJ2222="Yes","Verified","Listed"))</x:f>
        <x:v>Listed</x:v>
      </x:c>
      <x:c r="O2222" s="1" t="n">
        <x:f>IF(AND(ISNUMBER(G2222),G2222&gt;=0,G2222&lt;=1),IF(G2222&gt;=0.9,30,IF(G2222&gt;=0.8,25,IF(G2222&gt;=0.7,20,IF(G2222&gt;=0.6,15,IF(G2222&gt;=0.5,10,IF(G2222&gt;=0.4,5,0)))))),"")</x:f>
        <x:v>30</x:v>
      </x:c>
      <x:c r="P2222" s="1" t="n">
        <x:f>IF(ISNUMBER(K2222),IF(K2222&lt;0,"",IF(K2222&gt;1,25,IF(K2222&gt;=0.75,20,IF(K2222&gt;=0.5,15,IF(K2222&gt;=0.25,10,5))))),"")</x:f>
        <x:v>15</x:v>
      </x:c>
      <x:c r="Q2222" s="1" t="n">
        <x:f>IF(NOT(ISNUMBER(L2222)),"",IF(AND(L2222&gt;=0,MOD(L2222,1)=0),MAX(0,25-5*L2222),""))</x:f>
        <x:v>0</x:v>
      </x:c>
      <x:c r="R2222" s="1" t="n">
        <x:f>IF(NOT(ISNUMBER(F2222)),"",IF(AND(F2222&gt;0,MOD(F2222,1)=0),IF(F2222&gt;=700,5,IF(F2222&gt;=500,4,IF(F2222&gt;=350,3,IF(F2222&gt;=200,2,1)))),""))</x:f>
        <x:v>3</x:v>
      </x:c>
      <x:c r="S2222" s="1" t="n">
        <x:f>IF(COUNT(O2222:R2222)=4,SUM(O2222:R2222),"")</x:f>
        <x:v>48</x:v>
      </x:c>
      <x:c r="T2222" s="1" t="n">
        <x:f>IF(OR(COUNT(O2222:R2222)&lt;&gt;4,COUNT('Top 15'!$B$35:$E$35)&lt;&gt;4,MIN('Top 15'!$B$35:$E$35)&lt;0,SUM('Top 15'!$B$35:$E$35)&lt;=0),"",ROUND(85*(O2222/30*'Top 15'!$B$35+P2222/25*'Top 15'!$C$35+Q2222/25*'Top 15'!$D$35+R2222/5*'Top 15'!$E$35)/SUM('Top 15'!$B$35:$E$35),6))</x:f>
        <x:v>48</x:v>
      </x:c>
      <x:c r="U2222" s="1" t="str">
        <x:f>IF(A2222="","",IF(AND(M2222="Verified",N2222="Verified"),"Verified",IF(AND(M2222="Listed",N2222="Listed"),"Listed","Mixed")))</x:f>
        <x:v>Listed</x:v>
      </x:c>
      <x:c r="V2222" s="1" t="str">
        <x:f>IF(A2222="","",IF(AK2222&lt;&gt;1,"Duplicate source ID",IF(COUNTIFS('Staff Review'!$A$8:$A$507,A2222)&gt;1,"Duplicate review ID",IF(H2222&lt;&gt;"Yes","Outside scope",IF(J2222="Yes","Already served",IF(NOT(ISNUMBER(T2222)),"Missing data","Candidate"))))))</x:f>
        <x:v>Candidate</x:v>
      </x:c>
      <x:c r="W2222" s="1" t="n">
        <x:f>IF(AL2222=0,"",1+COUNTIFS($AL$2051:$AL$2550,1,$T$2051:$T$2550,"&gt;"&amp;T2222)+COUNTIFS($AL$2051:$AL$2550,1,$T$2051:$T$2550,T2222,$G$2051:$G$2550,"&gt;"&amp;G2222)+COUNTIFS($AL$2051:$AL$2550,1,$T$2051:$T$2550,T2222,$G$2051:$G$2550,G2222,$F$2051:$F$2550,"&gt;"&amp;F2222)+COUNTIFS($AL$2051:$AL$2550,1,$T$2051:$T$2550,T2222,$G$2051:$G$2550,G2222,$F$2051:$F$2550,F2222,$AM$2051:$AM$2550,"&lt;"&amp;AM2222))</x:f>
        <x:v>59</x:v>
      </x:c>
      <x:c r="X2222" s="1" t="n">
        <x:f>IF(AL2222=0,"",1+COUNTIFS($AL$2051:$AL$2550,1,$T$2051:$T$2550,"&gt;"&amp;T2222))</x:f>
        <x:v>56</x:v>
      </x:c>
      <x:c r="Y2222" s="1" t="n">
        <x:f>IF(AND(H2222="Yes",OR(LEN('School Search'!$B$5)=0,ISNUMBER(SEARCH('School Search'!$B$5,B2222&amp;" "&amp;E2222&amp;" "&amp;A2222))),OR('School Search'!$D$5="All",C2222='School Search'!$D$5),OR('School Search'!$G$5="All eligible",AND('School Search'!$G$5="Not marked served",J2222&lt;&gt;"Yes"),AND('School Search'!$G$5="Missing data",V2222="Missing data"),AND('School Search'!$G$5="Marked served",J2222="Yes"))),1,0)</x:f>
        <x:v>1</x:v>
      </x:c>
      <x:c r="Z2222" s="1" t="n">
        <x:f>IF(Y2222=0,"",COUNTIFS($Y$2051:$Y$2550,1,$AO$2051:$AO$2550,"&lt;"&amp;AO2222)+COUNTIFS($Y$2051:Y2222,1,$AO$2051:AO2222,AO2222))</x:f>
        <x:v>59</x:v>
      </x:c>
      <x:c r="AA2222" s="1" t="str">
        <x:f>IF(NOT(ISNUMBER(S2222)),"Missing demographic or access input",TEXT(G2222,"0%")&amp;" economic need; "&amp;TEXT(K2222,"0.00")&amp;" mi fresh access; "&amp;L2222&amp;" nearby resources")</x:f>
        <x:v>90% economic need; 0.60 mi fresh access; 14 nearby resources</x:v>
      </x:c>
      <x:c r="AB2222" s="1" t="n">
        <x:f>IF(OR(A2222="",COUNTIFS($A$1531:$A$2030,A2222)&lt;&gt;1),0,MATCH(A2222,$A$1531:$A$2030,0))</x:f>
        <x:v>172</x:v>
      </x:c>
      <x:c r="AC2222" s="1" t="str">
        <x:f>IF(AB2222=0,"",INDEX($E$1531:$E$2030,AB2222))</x:f>
        <x:v>The Fresh Grocer</x:v>
      </x:c>
      <x:c r="AD2222" s="1" t="str">
        <x:f>IF(AB2222=0,"",INDEX($F$1531:$F$2030,AB2222))</x:f>
        <x:v>1501 N Broad St, Philadelphia, PA, 19122</x:v>
      </x:c>
      <x:c r="AE2222" s="1" t="str">
        <x:f>IF(A2222="","",F173)</x:f>
        <x:v>1501 W DIAMOND ST</x:v>
      </x:c>
      <x:c r="AF2222" s="1" t="n">
        <x:f>IF(ISNUMBER(I173),I173,"")</x:f>
        <x:v>39.98520302</x:v>
      </x:c>
      <x:c r="AG2222" s="1" t="n">
        <x:f>IF(ISNUMBER(J173),J173,"")</x:f>
        <x:v>-75.15830107</x:v>
      </x:c>
      <x:c r="AH2222" s="1" t="str">
        <x:f>IF(I2222=0,"Not contacted",IF(INDEX('Staff Review'!$J$8:$J$507,I2222)="","Not contacted",INDEX('Staff Review'!$J$8:$J$507,I2222)))</x:f>
        <x:v>Not contacted</x:v>
      </x:c>
      <x:c r="AI2222" s="1" t="str">
        <x:f>IF(I2222=0,"No",IF(AND(COUNT(INDEX('Staff Review'!$D$8:$D$507,I2222))=1,INDEX('Staff Review'!$D$8:$D$507,I2222)&gt;=0,COUNT(INDEX('Staff Review'!$E$8:$E$507,I2222))=1,INDEX('Staff Review'!$E$8:$E$507,I2222)&gt;0,INDEX('Staff Review'!$E$8:$E$507,I2222)&lt;='Top 15'!$E$5,'Top 15'!$E$5-INDEX('Staff Review'!$E$8:$E$507,I2222)&lt;='Top 15'!$H$5,LEN(INDEX('Staff Review'!$H$8:$H$507,I2222))&gt;0),"Yes","No"))</x:f>
        <x:v>No</x:v>
      </x:c>
      <x:c r="AJ2222" s="1" t="str">
        <x:f>IF(I2222=0,"No",IF(COUNT(INDEX('Staff Review'!$F$8:$F$507,I2222))&lt;&gt;1,"No",IF(AND(INDEX('Staff Review'!$F$8:$F$507,I2222)&gt;=0,MOD(INDEX('Staff Review'!$F$8:$F$507,I2222),1)=0,COUNT(INDEX('Staff Review'!$G$8:$G$507,I2222))=1,INDEX('Staff Review'!$G$8:$G$507,I2222)&gt;0,INDEX('Staff Review'!$G$8:$G$507,I2222)&lt;='Top 15'!$E$5,'Top 15'!$E$5-INDEX('Staff Review'!$G$8:$G$507,I2222)&lt;='Top 15'!$H$5,LEN(INDEX('Staff Review'!$H$8:$H$507,I2222))&gt;0),"Yes","No")))</x:f>
        <x:v>No</x:v>
      </x:c>
      <x:c r="AK2222" s="1" t="n">
        <x:f>IF(A2222="",0,COUNTIFS($A$2:$A$501,A2222))</x:f>
        <x:v>1</x:v>
      </x:c>
      <x:c r="AL2222" s="1" t="n">
        <x:f>IF(V2222="Candidate",1,0)</x:f>
        <x:v>1</x:v>
      </x:c>
      <x:c r="AM2222" s="1" t="n">
        <x:f>IF(A2222="",0,VALUE(A2222))</x:f>
        <x:v>4460</x:v>
      </x:c>
      <x:c r="AN2222" s="1" t="n">
        <x:f>IF(OR(A2222="",COUNTIFS($T$41:$T$540,A2222)&lt;&gt;1),0,MATCH(A2222,$T$41:$T$540,0))</x:f>
        <x:v>172</x:v>
      </x:c>
      <x:c r="AO2222" t="n">
        <x:f>IF(ISNUMBER(W2222),W2222,10000+AM2222)</x:f>
        <x:v>59</x:v>
      </x:c>
    </x:row>
    <x:row r="2223" ht="22" customHeight="1">
      <x:c r="A2223" s="1" t="str">
        <x:f>IF(A174="","",A174)</x:f>
        <x:v>4470</x:v>
      </x:c>
      <x:c r="B2223" s="1" t="str">
        <x:f>IF(A2223="","",B174)</x:f>
        <x:v>Richard R. Wright School</x:v>
      </x:c>
      <x:c r="C2223" s="1" t="str">
        <x:f>IF(A2223="","",C174)</x:f>
        <x:v>District</x:v>
      </x:c>
      <x:c r="D2223" s="1" t="str">
        <x:f>IF(A2223="","",E174)</x:f>
        <x:v>Elementary</x:v>
      </x:c>
      <x:c r="E2223" s="1" t="str">
        <x:f>IF(A2223="","",H174)</x:f>
        <x:v>19132</x:v>
      </x:c>
      <x:c r="F2223" s="1" t="n">
        <x:f>IF(ISNUMBER(K174),K174,"")</x:f>
        <x:v>201</x:v>
      </x:c>
      <x:c r="G2223" s="1" t="n">
        <x:f>IF(ISNUMBER(L174),L174,"")</x:f>
        <x:v>0.909</x:v>
      </x:c>
      <x:c r="H2223" s="1" t="str">
        <x:f>IF(A2223="","",IF(AND(UPPER(G174)="PHILADELPHIA",OR(C2223="District",AND(C2223="Charter",D174="Yes"))),"Yes","No"))</x:f>
        <x:v>Yes</x:v>
      </x:c>
      <x:c r="I2223" s="1" t="n">
        <x:f>IF(OR(A2223="",COUNTIFS('Staff Review'!$A$8:$A$507,A2223)&lt;&gt;1),0,MATCH(A2223,'Staff Review'!$A$8:$A$507,0))</x:f>
        <x:v>249</x:v>
      </x:c>
      <x:c r="J2223" s="1" t="str">
        <x:f>IF(I2223=0,"No",IF(INDEX('Staff Review'!$C$8:$C$507,I2223)="Yes","Yes","No"))</x:f>
        <x:v>No</x:v>
      </x:c>
      <x:c r="K2223" s="1" t="n">
        <x:f>IF(AI2223="Yes",INDEX('Staff Review'!$D$8:$D$507,I2223),IF(AB2223=0,"",IF(COUNT(INDEX($C$1531:$C$2030,AB2223))=1,INDEX($C$1531:$C$2030,AB2223),"")))</x:f>
        <x:v>0.05176963877650649</x:v>
      </x:c>
      <x:c r="L2223" s="1" t="n">
        <x:f>IF(AJ2223="Yes",INDEX('Staff Review'!$F$8:$F$507,I2223),IF(AB2223=0,"",IF(COUNT(INDEX($G$1531:$G$2030,AB2223))=1,INDEX($G$1531:$G$2030,AB2223),"")))</x:f>
        <x:v>16</x:v>
      </x:c>
      <x:c r="M2223" s="1" t="str">
        <x:f>IF(A2223="","",IF(AI2223="Yes","Verified","Listed"))</x:f>
        <x:v>Listed</x:v>
      </x:c>
      <x:c r="N2223" s="1" t="str">
        <x:f>IF(A2223="","",IF(AJ2223="Yes","Verified","Listed"))</x:f>
        <x:v>Listed</x:v>
      </x:c>
      <x:c r="O2223" s="1" t="n">
        <x:f>IF(AND(ISNUMBER(G2223),G2223&gt;=0,G2223&lt;=1),IF(G2223&gt;=0.9,30,IF(G2223&gt;=0.8,25,IF(G2223&gt;=0.7,20,IF(G2223&gt;=0.6,15,IF(G2223&gt;=0.5,10,IF(G2223&gt;=0.4,5,0)))))),"")</x:f>
        <x:v>30</x:v>
      </x:c>
      <x:c r="P2223" s="1" t="n">
        <x:f>IF(ISNUMBER(K2223),IF(K2223&lt;0,"",IF(K2223&gt;1,25,IF(K2223&gt;=0.75,20,IF(K2223&gt;=0.5,15,IF(K2223&gt;=0.25,10,5))))),"")</x:f>
        <x:v>5</x:v>
      </x:c>
      <x:c r="Q2223" s="1" t="n">
        <x:f>IF(NOT(ISNUMBER(L2223)),"",IF(AND(L2223&gt;=0,MOD(L2223,1)=0),MAX(0,25-5*L2223),""))</x:f>
        <x:v>0</x:v>
      </x:c>
      <x:c r="R2223" s="1" t="n">
        <x:f>IF(NOT(ISNUMBER(F2223)),"",IF(AND(F2223&gt;0,MOD(F2223,1)=0),IF(F2223&gt;=700,5,IF(F2223&gt;=500,4,IF(F2223&gt;=350,3,IF(F2223&gt;=200,2,1)))),""))</x:f>
        <x:v>2</x:v>
      </x:c>
      <x:c r="S2223" s="1" t="n">
        <x:f>IF(COUNT(O2223:R2223)=4,SUM(O2223:R2223),"")</x:f>
        <x:v>37</x:v>
      </x:c>
      <x:c r="T2223" s="1" t="n">
        <x:f>IF(OR(COUNT(O2223:R2223)&lt;&gt;4,COUNT('Top 15'!$B$35:$E$35)&lt;&gt;4,MIN('Top 15'!$B$35:$E$35)&lt;0,SUM('Top 15'!$B$35:$E$35)&lt;=0),"",ROUND(85*(O2223/30*'Top 15'!$B$35+P2223/25*'Top 15'!$C$35+Q2223/25*'Top 15'!$D$35+R2223/5*'Top 15'!$E$35)/SUM('Top 15'!$B$35:$E$35),6))</x:f>
        <x:v>37</x:v>
      </x:c>
      <x:c r="U2223" s="1" t="str">
        <x:f>IF(A2223="","",IF(AND(M2223="Verified",N2223="Verified"),"Verified",IF(AND(M2223="Listed",N2223="Listed"),"Listed","Mixed")))</x:f>
        <x:v>Listed</x:v>
      </x:c>
      <x:c r="V2223" s="1" t="str">
        <x:f>IF(A2223="","",IF(AK2223&lt;&gt;1,"Duplicate source ID",IF(COUNTIFS('Staff Review'!$A$8:$A$507,A2223)&gt;1,"Duplicate review ID",IF(H2223&lt;&gt;"Yes","Outside scope",IF(J2223="Yes","Already served",IF(NOT(ISNUMBER(T2223)),"Missing data","Candidate"))))))</x:f>
        <x:v>Candidate</x:v>
      </x:c>
      <x:c r="W2223" s="1" t="n">
        <x:f>IF(AL2223=0,"",1+COUNTIFS($AL$2051:$AL$2550,1,$T$2051:$T$2550,"&gt;"&amp;T2223)+COUNTIFS($AL$2051:$AL$2550,1,$T$2051:$T$2550,T2223,$G$2051:$G$2550,"&gt;"&amp;G2223)+COUNTIFS($AL$2051:$AL$2550,1,$T$2051:$T$2550,T2223,$G$2051:$G$2550,G2223,$F$2051:$F$2550,"&gt;"&amp;F2223)+COUNTIFS($AL$2051:$AL$2550,1,$T$2051:$T$2550,T2223,$G$2051:$G$2550,G2223,$F$2051:$F$2550,F2223,$AM$2051:$AM$2550,"&lt;"&amp;AM2223))</x:f>
        <x:v>182</x:v>
      </x:c>
      <x:c r="X2223" s="1" t="n">
        <x:f>IF(AL2223=0,"",1+COUNTIFS($AL$2051:$AL$2550,1,$T$2051:$T$2550,"&gt;"&amp;T2223))</x:f>
        <x:v>182</x:v>
      </x:c>
      <x:c r="Y2223" s="1" t="n">
        <x:f>IF(AND(H2223="Yes",OR(LEN('School Search'!$B$5)=0,ISNUMBER(SEARCH('School Search'!$B$5,B2223&amp;" "&amp;E2223&amp;" "&amp;A2223))),OR('School Search'!$D$5="All",C2223='School Search'!$D$5),OR('School Search'!$G$5="All eligible",AND('School Search'!$G$5="Not marked served",J2223&lt;&gt;"Yes"),AND('School Search'!$G$5="Missing data",V2223="Missing data"),AND('School Search'!$G$5="Marked served",J2223="Yes"))),1,0)</x:f>
        <x:v>1</x:v>
      </x:c>
      <x:c r="Z2223" s="1" t="n">
        <x:f>IF(Y2223=0,"",COUNTIFS($Y$2051:$Y$2550,1,$AO$2051:$AO$2550,"&lt;"&amp;AO2223)+COUNTIFS($Y$2051:Y2223,1,$AO$2051:AO2223,AO2223))</x:f>
        <x:v>182</x:v>
      </x:c>
      <x:c r="AA2223" s="1" t="str">
        <x:f>IF(NOT(ISNUMBER(S2223)),"Missing demographic or access input",TEXT(G2223,"0%")&amp;" economic need; "&amp;TEXT(K2223,"0.00")&amp;" mi fresh access; "&amp;L2223&amp;" nearby resources")</x:f>
        <x:v>91% economic need; 0.05 mi fresh access; 16 nearby resources</x:v>
      </x:c>
      <x:c r="AB2223" s="1" t="n">
        <x:f>IF(OR(A2223="",COUNTIFS($A$1531:$A$2030,A2223)&lt;&gt;1),0,MATCH(A2223,$A$1531:$A$2030,0))</x:f>
        <x:v>173</x:v>
      </x:c>
      <x:c r="AC2223" s="1" t="str">
        <x:f>IF(AB2223=0,"",INDEX($E$1531:$E$2030,AB2223))</x:f>
        <x:v>SAVE-A-LOT 60146</x:v>
      </x:c>
      <x:c r="AD2223" s="1" t="str">
        <x:f>IF(AB2223=0,"",INDEX($F$1531:$F$2030,AB2223))</x:f>
        <x:v>2801 W Dauphin St, Philadelphia, PA, 19132</x:v>
      </x:c>
      <x:c r="AE2223" s="1" t="str">
        <x:f>IF(A2223="","",F174)</x:f>
        <x:v>2201 N 28TH ST</x:v>
      </x:c>
      <x:c r="AF2223" s="1" t="n">
        <x:f>IF(ISNUMBER(I174),I174,"")</x:f>
        <x:v>39.99043963</x:v>
      </x:c>
      <x:c r="AG2223" s="1" t="n">
        <x:f>IF(ISNUMBER(J174),J174,"")</x:f>
        <x:v>-75.17699812</x:v>
      </x:c>
      <x:c r="AH2223" s="1" t="str">
        <x:f>IF(I2223=0,"Not contacted",IF(INDEX('Staff Review'!$J$8:$J$507,I2223)="","Not contacted",INDEX('Staff Review'!$J$8:$J$507,I2223)))</x:f>
        <x:v>Not contacted</x:v>
      </x:c>
      <x:c r="AI2223" s="1" t="str">
        <x:f>IF(I2223=0,"No",IF(AND(COUNT(INDEX('Staff Review'!$D$8:$D$507,I2223))=1,INDEX('Staff Review'!$D$8:$D$507,I2223)&gt;=0,COUNT(INDEX('Staff Review'!$E$8:$E$507,I2223))=1,INDEX('Staff Review'!$E$8:$E$507,I2223)&gt;0,INDEX('Staff Review'!$E$8:$E$507,I2223)&lt;='Top 15'!$E$5,'Top 15'!$E$5-INDEX('Staff Review'!$E$8:$E$507,I2223)&lt;='Top 15'!$H$5,LEN(INDEX('Staff Review'!$H$8:$H$507,I2223))&gt;0),"Yes","No"))</x:f>
        <x:v>No</x:v>
      </x:c>
      <x:c r="AJ2223" s="1" t="str">
        <x:f>IF(I2223=0,"No",IF(COUNT(INDEX('Staff Review'!$F$8:$F$507,I2223))&lt;&gt;1,"No",IF(AND(INDEX('Staff Review'!$F$8:$F$507,I2223)&gt;=0,MOD(INDEX('Staff Review'!$F$8:$F$507,I2223),1)=0,COUNT(INDEX('Staff Review'!$G$8:$G$507,I2223))=1,INDEX('Staff Review'!$G$8:$G$507,I2223)&gt;0,INDEX('Staff Review'!$G$8:$G$507,I2223)&lt;='Top 15'!$E$5,'Top 15'!$E$5-INDEX('Staff Review'!$G$8:$G$507,I2223)&lt;='Top 15'!$H$5,LEN(INDEX('Staff Review'!$H$8:$H$507,I2223))&gt;0),"Yes","No")))</x:f>
        <x:v>No</x:v>
      </x:c>
      <x:c r="AK2223" s="1" t="n">
        <x:f>IF(A2223="",0,COUNTIFS($A$2:$A$501,A2223))</x:f>
        <x:v>1</x:v>
      </x:c>
      <x:c r="AL2223" s="1" t="n">
        <x:f>IF(V2223="Candidate",1,0)</x:f>
        <x:v>1</x:v>
      </x:c>
      <x:c r="AM2223" s="1" t="n">
        <x:f>IF(A2223="",0,VALUE(A2223))</x:f>
        <x:v>4470</x:v>
      </x:c>
      <x:c r="AN2223" s="1" t="n">
        <x:f>IF(OR(A2223="",COUNTIFS($T$41:$T$540,A2223)&lt;&gt;1),0,MATCH(A2223,$T$41:$T$540,0))</x:f>
        <x:v>173</x:v>
      </x:c>
      <x:c r="AO2223" t="n">
        <x:f>IF(ISNUMBER(W2223),W2223,10000+AM2223)</x:f>
        <x:v>182</x:v>
      </x:c>
    </x:row>
    <x:row r="2224" ht="22" customHeight="1">
      <x:c r="A2224" s="1" t="str">
        <x:f>IF(A175="","",A175)</x:f>
        <x:v>4480</x:v>
      </x:c>
      <x:c r="B2224" s="1" t="str">
        <x:f>IF(A2224="","",B175)</x:f>
        <x:v>Overbrook Educational Center</x:v>
      </x:c>
      <x:c r="C2224" s="1" t="str">
        <x:f>IF(A2224="","",C175)</x:f>
        <x:v>District</x:v>
      </x:c>
      <x:c r="D2224" s="1" t="str">
        <x:f>IF(A2224="","",E175)</x:f>
        <x:v>Elementary-Middle</x:v>
      </x:c>
      <x:c r="E2224" s="1" t="str">
        <x:f>IF(A2224="","",H175)</x:f>
        <x:v>19151</x:v>
      </x:c>
      <x:c r="F2224" s="1" t="n">
        <x:f>IF(ISNUMBER(K175),K175,"")</x:f>
        <x:v>226</x:v>
      </x:c>
      <x:c r="G2224" s="1" t="n">
        <x:f>IF(ISNUMBER(L175),L175,"")</x:f>
        <x:v>0.7111</x:v>
      </x:c>
      <x:c r="H2224" s="1" t="str">
        <x:f>IF(A2224="","",IF(AND(UPPER(G175)="PHILADELPHIA",OR(C2224="District",AND(C2224="Charter",D175="Yes"))),"Yes","No"))</x:f>
        <x:v>Yes</x:v>
      </x:c>
      <x:c r="I2224" s="1" t="n">
        <x:f>IF(OR(A2224="",COUNTIFS('Staff Review'!$A$8:$A$507,A2224)&lt;&gt;1),0,MATCH(A2224,'Staff Review'!$A$8:$A$507,0))</x:f>
        <x:v>218</x:v>
      </x:c>
      <x:c r="J2224" s="1" t="str">
        <x:f>IF(I2224=0,"No",IF(INDEX('Staff Review'!$C$8:$C$507,I2224)="Yes","Yes","No"))</x:f>
        <x:v>No</x:v>
      </x:c>
      <x:c r="K2224" s="1" t="n">
        <x:f>IF(AI2224="Yes",INDEX('Staff Review'!$D$8:$D$507,I2224),IF(AB2224=0,"",IF(COUNT(INDEX($C$1531:$C$2030,AB2224))=1,INDEX($C$1531:$C$2030,AB2224),"")))</x:f>
        <x:v>0.7783570031125103</x:v>
      </x:c>
      <x:c r="L2224" s="1" t="n">
        <x:f>IF(AJ2224="Yes",INDEX('Staff Review'!$F$8:$F$507,I2224),IF(AB2224=0,"",IF(COUNT(INDEX($G$1531:$G$2030,AB2224))=1,INDEX($G$1531:$G$2030,AB2224),"")))</x:f>
        <x:v>6</x:v>
      </x:c>
      <x:c r="M2224" s="1" t="str">
        <x:f>IF(A2224="","",IF(AI2224="Yes","Verified","Listed"))</x:f>
        <x:v>Listed</x:v>
      </x:c>
      <x:c r="N2224" s="1" t="str">
        <x:f>IF(A2224="","",IF(AJ2224="Yes","Verified","Listed"))</x:f>
        <x:v>Listed</x:v>
      </x:c>
      <x:c r="O2224" s="1" t="n">
        <x:f>IF(AND(ISNUMBER(G2224),G2224&gt;=0,G2224&lt;=1),IF(G2224&gt;=0.9,30,IF(G2224&gt;=0.8,25,IF(G2224&gt;=0.7,20,IF(G2224&gt;=0.6,15,IF(G2224&gt;=0.5,10,IF(G2224&gt;=0.4,5,0)))))),"")</x:f>
        <x:v>20</x:v>
      </x:c>
      <x:c r="P2224" s="1" t="n">
        <x:f>IF(ISNUMBER(K2224),IF(K2224&lt;0,"",IF(K2224&gt;1,25,IF(K2224&gt;=0.75,20,IF(K2224&gt;=0.5,15,IF(K2224&gt;=0.25,10,5))))),"")</x:f>
        <x:v>20</x:v>
      </x:c>
      <x:c r="Q2224" s="1" t="n">
        <x:f>IF(NOT(ISNUMBER(L2224)),"",IF(AND(L2224&gt;=0,MOD(L2224,1)=0),MAX(0,25-5*L2224),""))</x:f>
        <x:v>0</x:v>
      </x:c>
      <x:c r="R2224" s="1" t="n">
        <x:f>IF(NOT(ISNUMBER(F2224)),"",IF(AND(F2224&gt;0,MOD(F2224,1)=0),IF(F2224&gt;=700,5,IF(F2224&gt;=500,4,IF(F2224&gt;=350,3,IF(F2224&gt;=200,2,1)))),""))</x:f>
        <x:v>2</x:v>
      </x:c>
      <x:c r="S2224" s="1" t="n">
        <x:f>IF(COUNT(O2224:R2224)=4,SUM(O2224:R2224),"")</x:f>
        <x:v>42</x:v>
      </x:c>
      <x:c r="T2224" s="1" t="n">
        <x:f>IF(OR(COUNT(O2224:R2224)&lt;&gt;4,COUNT('Top 15'!$B$35:$E$35)&lt;&gt;4,MIN('Top 15'!$B$35:$E$35)&lt;0,SUM('Top 15'!$B$35:$E$35)&lt;=0),"",ROUND(85*(O2224/30*'Top 15'!$B$35+P2224/25*'Top 15'!$C$35+Q2224/25*'Top 15'!$D$35+R2224/5*'Top 15'!$E$35)/SUM('Top 15'!$B$35:$E$35),6))</x:f>
        <x:v>42</x:v>
      </x:c>
      <x:c r="U2224" s="1" t="str">
        <x:f>IF(A2224="","",IF(AND(M2224="Verified",N2224="Verified"),"Verified",IF(AND(M2224="Listed",N2224="Listed"),"Listed","Mixed")))</x:f>
        <x:v>Listed</x:v>
      </x:c>
      <x:c r="V2224" s="1" t="str">
        <x:f>IF(A2224="","",IF(AK2224&lt;&gt;1,"Duplicate source ID",IF(COUNTIFS('Staff Review'!$A$8:$A$507,A2224)&gt;1,"Duplicate review ID",IF(H2224&lt;&gt;"Yes","Outside scope",IF(J2224="Yes","Already served",IF(NOT(ISNUMBER(T2224)),"Missing data","Candidate"))))))</x:f>
        <x:v>Candidate</x:v>
      </x:c>
      <x:c r="W2224" s="1" t="n">
        <x:f>IF(AL2224=0,"",1+COUNTIFS($AL$2051:$AL$2550,1,$T$2051:$T$2550,"&gt;"&amp;T2224)+COUNTIFS($AL$2051:$AL$2550,1,$T$2051:$T$2550,T2224,$G$2051:$G$2550,"&gt;"&amp;G2224)+COUNTIFS($AL$2051:$AL$2550,1,$T$2051:$T$2550,T2224,$G$2051:$G$2550,G2224,$F$2051:$F$2550,"&gt;"&amp;F2224)+COUNTIFS($AL$2051:$AL$2550,1,$T$2051:$T$2550,T2224,$G$2051:$G$2550,G2224,$F$2051:$F$2550,F2224,$AM$2051:$AM$2550,"&lt;"&amp;AM2224))</x:f>
        <x:v>127</x:v>
      </x:c>
      <x:c r="X2224" s="1" t="n">
        <x:f>IF(AL2224=0,"",1+COUNTIFS($AL$2051:$AL$2550,1,$T$2051:$T$2550,"&gt;"&amp;T2224))</x:f>
        <x:v>101</x:v>
      </x:c>
      <x:c r="Y2224" s="1" t="n">
        <x:f>IF(AND(H2224="Yes",OR(LEN('School Search'!$B$5)=0,ISNUMBER(SEARCH('School Search'!$B$5,B2224&amp;" "&amp;E2224&amp;" "&amp;A2224))),OR('School Search'!$D$5="All",C2224='School Search'!$D$5),OR('School Search'!$G$5="All eligible",AND('School Search'!$G$5="Not marked served",J2224&lt;&gt;"Yes"),AND('School Search'!$G$5="Missing data",V2224="Missing data"),AND('School Search'!$G$5="Marked served",J2224="Yes"))),1,0)</x:f>
        <x:v>1</x:v>
      </x:c>
      <x:c r="Z2224" s="1" t="n">
        <x:f>IF(Y2224=0,"",COUNTIFS($Y$2051:$Y$2550,1,$AO$2051:$AO$2550,"&lt;"&amp;AO2224)+COUNTIFS($Y$2051:Y2224,1,$AO$2051:AO2224,AO2224))</x:f>
        <x:v>127</x:v>
      </x:c>
      <x:c r="AA2224" s="1" t="str">
        <x:f>IF(NOT(ISNUMBER(S2224)),"Missing demographic or access input",TEXT(G2224,"0%")&amp;" economic need; "&amp;TEXT(K2224,"0.00")&amp;" mi fresh access; "&amp;L2224&amp;" nearby resources")</x:f>
        <x:v>71% economic need; 0.78 mi fresh access; 6 nearby resources</x:v>
      </x:c>
      <x:c r="AB2224" s="1" t="n">
        <x:f>IF(OR(A2224="",COUNTIFS($A$1531:$A$2030,A2224)&lt;&gt;1),0,MATCH(A2224,$A$1531:$A$2030,0))</x:f>
        <x:v>174</x:v>
      </x:c>
      <x:c r="AC2224" s="1" t="str">
        <x:f>IF(AB2224=0,"",INDEX($E$1531:$E$2030,AB2224))</x:f>
        <x:v>Al Aqsa Supermarket</x:v>
      </x:c>
      <x:c r="AD2224" s="1" t="str">
        <x:f>IF(AB2224=0,"",INDEX($F$1531:$F$2030,AB2224))</x:f>
        <x:v>6501 Market St, Upper Darby, PA, 19082</x:v>
      </x:c>
      <x:c r="AE2224" s="1" t="str">
        <x:f>IF(A2224="","",F175)</x:f>
        <x:v>6722 LANSDOWNE AVE</x:v>
      </x:c>
      <x:c r="AF2224" s="1" t="n">
        <x:f>IF(ISNUMBER(I175),I175,"")</x:f>
        <x:v>39.97429952</x:v>
      </x:c>
      <x:c r="AG2224" s="1" t="n">
        <x:f>IF(ISNUMBER(J175),J175,"")</x:f>
        <x:v>-75.25401239</x:v>
      </x:c>
      <x:c r="AH2224" s="1" t="str">
        <x:f>IF(I2224=0,"Not contacted",IF(INDEX('Staff Review'!$J$8:$J$507,I2224)="","Not contacted",INDEX('Staff Review'!$J$8:$J$507,I2224)))</x:f>
        <x:v>Not contacted</x:v>
      </x:c>
      <x:c r="AI2224" s="1" t="str">
        <x:f>IF(I2224=0,"No",IF(AND(COUNT(INDEX('Staff Review'!$D$8:$D$507,I2224))=1,INDEX('Staff Review'!$D$8:$D$507,I2224)&gt;=0,COUNT(INDEX('Staff Review'!$E$8:$E$507,I2224))=1,INDEX('Staff Review'!$E$8:$E$507,I2224)&gt;0,INDEX('Staff Review'!$E$8:$E$507,I2224)&lt;='Top 15'!$E$5,'Top 15'!$E$5-INDEX('Staff Review'!$E$8:$E$507,I2224)&lt;='Top 15'!$H$5,LEN(INDEX('Staff Review'!$H$8:$H$507,I2224))&gt;0),"Yes","No"))</x:f>
        <x:v>No</x:v>
      </x:c>
      <x:c r="AJ2224" s="1" t="str">
        <x:f>IF(I2224=0,"No",IF(COUNT(INDEX('Staff Review'!$F$8:$F$507,I2224))&lt;&gt;1,"No",IF(AND(INDEX('Staff Review'!$F$8:$F$507,I2224)&gt;=0,MOD(INDEX('Staff Review'!$F$8:$F$507,I2224),1)=0,COUNT(INDEX('Staff Review'!$G$8:$G$507,I2224))=1,INDEX('Staff Review'!$G$8:$G$507,I2224)&gt;0,INDEX('Staff Review'!$G$8:$G$507,I2224)&lt;='Top 15'!$E$5,'Top 15'!$E$5-INDEX('Staff Review'!$G$8:$G$507,I2224)&lt;='Top 15'!$H$5,LEN(INDEX('Staff Review'!$H$8:$H$507,I2224))&gt;0),"Yes","No")))</x:f>
        <x:v>No</x:v>
      </x:c>
      <x:c r="AK2224" s="1" t="n">
        <x:f>IF(A2224="",0,COUNTIFS($A$2:$A$501,A2224))</x:f>
        <x:v>1</x:v>
      </x:c>
      <x:c r="AL2224" s="1" t="n">
        <x:f>IF(V2224="Candidate",1,0)</x:f>
        <x:v>1</x:v>
      </x:c>
      <x:c r="AM2224" s="1" t="n">
        <x:f>IF(A2224="",0,VALUE(A2224))</x:f>
        <x:v>4480</x:v>
      </x:c>
      <x:c r="AN2224" s="1" t="n">
        <x:f>IF(OR(A2224="",COUNTIFS($T$41:$T$540,A2224)&lt;&gt;1),0,MATCH(A2224,$T$41:$T$540,0))</x:f>
        <x:v>174</x:v>
      </x:c>
      <x:c r="AO2224" t="n">
        <x:f>IF(ISNUMBER(W2224),W2224,10000+AM2224)</x:f>
        <x:v>127</x:v>
      </x:c>
    </x:row>
    <x:row r="2225" ht="22" customHeight="1">
      <x:c r="A2225" s="1" t="str">
        <x:f>IF(A176="","",A176)</x:f>
        <x:v>4520</x:v>
      </x:c>
      <x:c r="B2225" s="1" t="str">
        <x:f>IF(A2225="","",B176)</x:f>
        <x:v>Guion S. Bluford School</x:v>
      </x:c>
      <x:c r="C2225" s="1" t="str">
        <x:f>IF(A2225="","",C176)</x:f>
        <x:v>District</x:v>
      </x:c>
      <x:c r="D2225" s="1" t="str">
        <x:f>IF(A2225="","",E176)</x:f>
        <x:v>Elementary-Middle</x:v>
      </x:c>
      <x:c r="E2225" s="1" t="str">
        <x:f>IF(A2225="","",H176)</x:f>
        <x:v>19131</x:v>
      </x:c>
      <x:c r="F2225" s="1" t="n">
        <x:f>IF(ISNUMBER(K176),K176,"")</x:f>
        <x:v>490</x:v>
      </x:c>
      <x:c r="G2225" s="1" t="n">
        <x:f>IF(ISNUMBER(L176),L176,"")</x:f>
        <x:v>0.8989</x:v>
      </x:c>
      <x:c r="H2225" s="1" t="str">
        <x:f>IF(A2225="","",IF(AND(UPPER(G176)="PHILADELPHIA",OR(C2225="District",AND(C2225="Charter",D176="Yes"))),"Yes","No"))</x:f>
        <x:v>Yes</x:v>
      </x:c>
      <x:c r="I2225" s="1" t="n">
        <x:f>IF(OR(A2225="",COUNTIFS('Staff Review'!$A$8:$A$507,A2225)&lt;&gt;1),0,MATCH(A2225,'Staff Review'!$A$8:$A$507,0))</x:f>
        <x:v>105</x:v>
      </x:c>
      <x:c r="J2225" s="1" t="str">
        <x:f>IF(I2225=0,"No",IF(INDEX('Staff Review'!$C$8:$C$507,I2225)="Yes","Yes","No"))</x:f>
        <x:v>No</x:v>
      </x:c>
      <x:c r="K2225" s="1" t="n">
        <x:f>IF(AI2225="Yes",INDEX('Staff Review'!$D$8:$D$507,I2225),IF(AB2225=0,"",IF(COUNT(INDEX($C$1531:$C$2030,AB2225))=1,INDEX($C$1531:$C$2030,AB2225),"")))</x:f>
        <x:v>0.596825323128687</x:v>
      </x:c>
      <x:c r="L2225" s="1" t="n">
        <x:f>IF(AJ2225="Yes",INDEX('Staff Review'!$F$8:$F$507,I2225),IF(AB2225=0,"",IF(COUNT(INDEX($G$1531:$G$2030,AB2225))=1,INDEX($G$1531:$G$2030,AB2225),"")))</x:f>
        <x:v>12</x:v>
      </x:c>
      <x:c r="M2225" s="1" t="str">
        <x:f>IF(A2225="","",IF(AI2225="Yes","Verified","Listed"))</x:f>
        <x:v>Listed</x:v>
      </x:c>
      <x:c r="N2225" s="1" t="str">
        <x:f>IF(A2225="","",IF(AJ2225="Yes","Verified","Listed"))</x:f>
        <x:v>Listed</x:v>
      </x:c>
      <x:c r="O2225" s="1" t="n">
        <x:f>IF(AND(ISNUMBER(G2225),G2225&gt;=0,G2225&lt;=1),IF(G2225&gt;=0.9,30,IF(G2225&gt;=0.8,25,IF(G2225&gt;=0.7,20,IF(G2225&gt;=0.6,15,IF(G2225&gt;=0.5,10,IF(G2225&gt;=0.4,5,0)))))),"")</x:f>
        <x:v>25</x:v>
      </x:c>
      <x:c r="P2225" s="1" t="n">
        <x:f>IF(ISNUMBER(K2225),IF(K2225&lt;0,"",IF(K2225&gt;1,25,IF(K2225&gt;=0.75,20,IF(K2225&gt;=0.5,15,IF(K2225&gt;=0.25,10,5))))),"")</x:f>
        <x:v>15</x:v>
      </x:c>
      <x:c r="Q2225" s="1" t="n">
        <x:f>IF(NOT(ISNUMBER(L2225)),"",IF(AND(L2225&gt;=0,MOD(L2225,1)=0),MAX(0,25-5*L2225),""))</x:f>
        <x:v>0</x:v>
      </x:c>
      <x:c r="R2225" s="1" t="n">
        <x:f>IF(NOT(ISNUMBER(F2225)),"",IF(AND(F2225&gt;0,MOD(F2225,1)=0),IF(F2225&gt;=700,5,IF(F2225&gt;=500,4,IF(F2225&gt;=350,3,IF(F2225&gt;=200,2,1)))),""))</x:f>
        <x:v>3</x:v>
      </x:c>
      <x:c r="S2225" s="1" t="n">
        <x:f>IF(COUNT(O2225:R2225)=4,SUM(O2225:R2225),"")</x:f>
        <x:v>43</x:v>
      </x:c>
      <x:c r="T2225" s="1" t="n">
        <x:f>IF(OR(COUNT(O2225:R2225)&lt;&gt;4,COUNT('Top 15'!$B$35:$E$35)&lt;&gt;4,MIN('Top 15'!$B$35:$E$35)&lt;0,SUM('Top 15'!$B$35:$E$35)&lt;=0),"",ROUND(85*(O2225/30*'Top 15'!$B$35+P2225/25*'Top 15'!$C$35+Q2225/25*'Top 15'!$D$35+R2225/5*'Top 15'!$E$35)/SUM('Top 15'!$B$35:$E$35),6))</x:f>
        <x:v>43</x:v>
      </x:c>
      <x:c r="U2225" s="1" t="str">
        <x:f>IF(A2225="","",IF(AND(M2225="Verified",N2225="Verified"),"Verified",IF(AND(M2225="Listed",N2225="Listed"),"Listed","Mixed")))</x:f>
        <x:v>Listed</x:v>
      </x:c>
      <x:c r="V2225" s="1" t="str">
        <x:f>IF(A2225="","",IF(AK2225&lt;&gt;1,"Duplicate source ID",IF(COUNTIFS('Staff Review'!$A$8:$A$507,A2225)&gt;1,"Duplicate review ID",IF(H2225&lt;&gt;"Yes","Outside scope",IF(J2225="Yes","Already served",IF(NOT(ISNUMBER(T2225)),"Missing data","Candidate"))))))</x:f>
        <x:v>Candidate</x:v>
      </x:c>
      <x:c r="W2225" s="1" t="n">
        <x:f>IF(AL2225=0,"",1+COUNTIFS($AL$2051:$AL$2550,1,$T$2051:$T$2550,"&gt;"&amp;T2225)+COUNTIFS($AL$2051:$AL$2550,1,$T$2051:$T$2550,T2225,$G$2051:$G$2550,"&gt;"&amp;G2225)+COUNTIFS($AL$2051:$AL$2550,1,$T$2051:$T$2550,T2225,$G$2051:$G$2550,G2225,$F$2051:$F$2550,"&gt;"&amp;F2225)+COUNTIFS($AL$2051:$AL$2550,1,$T$2051:$T$2550,T2225,$G$2051:$G$2550,G2225,$F$2051:$F$2550,F2225,$AM$2051:$AM$2550,"&lt;"&amp;AM2225))</x:f>
        <x:v>96</x:v>
      </x:c>
      <x:c r="X2225" s="1" t="n">
        <x:f>IF(AL2225=0,"",1+COUNTIFS($AL$2051:$AL$2550,1,$T$2051:$T$2550,"&gt;"&amp;T2225))</x:f>
        <x:v>90</x:v>
      </x:c>
      <x:c r="Y2225" s="1" t="n">
        <x:f>IF(AND(H2225="Yes",OR(LEN('School Search'!$B$5)=0,ISNUMBER(SEARCH('School Search'!$B$5,B2225&amp;" "&amp;E2225&amp;" "&amp;A2225))),OR('School Search'!$D$5="All",C2225='School Search'!$D$5),OR('School Search'!$G$5="All eligible",AND('School Search'!$G$5="Not marked served",J2225&lt;&gt;"Yes"),AND('School Search'!$G$5="Missing data",V2225="Missing data"),AND('School Search'!$G$5="Marked served",J2225="Yes"))),1,0)</x:f>
        <x:v>1</x:v>
      </x:c>
      <x:c r="Z2225" s="1" t="n">
        <x:f>IF(Y2225=0,"",COUNTIFS($Y$2051:$Y$2550,1,$AO$2051:$AO$2550,"&lt;"&amp;AO2225)+COUNTIFS($Y$2051:Y2225,1,$AO$2051:AO2225,AO2225))</x:f>
        <x:v>96</x:v>
      </x:c>
      <x:c r="AA2225" s="1" t="str">
        <x:f>IF(NOT(ISNUMBER(S2225)),"Missing demographic or access input",TEXT(G2225,"0%")&amp;" economic need; "&amp;TEXT(K2225,"0.00")&amp;" mi fresh access; "&amp;L2225&amp;" nearby resources")</x:f>
        <x:v>90% economic need; 0.60 mi fresh access; 12 nearby resources</x:v>
      </x:c>
      <x:c r="AB2225" s="1" t="n">
        <x:f>IF(OR(A2225="",COUNTIFS($A$1531:$A$2030,A2225)&lt;&gt;1),0,MATCH(A2225,$A$1531:$A$2030,0))</x:f>
        <x:v>175</x:v>
      </x:c>
      <x:c r="AC2225" s="1" t="str">
        <x:f>IF(AB2225=0,"",INDEX($E$1531:$E$2030,AB2225))</x:f>
        <x:v>Save A Lot 24712</x:v>
      </x:c>
      <x:c r="AD2225" s="1" t="str">
        <x:f>IF(AB2225=0,"",INDEX($F$1531:$F$2030,AB2225))</x:f>
        <x:v>5601 Vine St, Philadelphia, PA, 19139</x:v>
      </x:c>
      <x:c r="AE2225" s="1" t="str">
        <x:f>IF(A2225="","",F176)</x:f>
        <x:v>5720 MEDIA ST</x:v>
      </x:c>
      <x:c r="AF2225" s="1" t="n">
        <x:f>IF(ISNUMBER(I176),I176,"")</x:f>
        <x:v>39.97381132</x:v>
      </x:c>
      <x:c r="AG2225" s="1" t="n">
        <x:f>IF(ISNUMBER(J176),J176,"")</x:f>
        <x:v>-75.23583173</x:v>
      </x:c>
      <x:c r="AH2225" s="1" t="str">
        <x:f>IF(I2225=0,"Not contacted",IF(INDEX('Staff Review'!$J$8:$J$507,I2225)="","Not contacted",INDEX('Staff Review'!$J$8:$J$507,I2225)))</x:f>
        <x:v>Not contacted</x:v>
      </x:c>
      <x:c r="AI2225" s="1" t="str">
        <x:f>IF(I2225=0,"No",IF(AND(COUNT(INDEX('Staff Review'!$D$8:$D$507,I2225))=1,INDEX('Staff Review'!$D$8:$D$507,I2225)&gt;=0,COUNT(INDEX('Staff Review'!$E$8:$E$507,I2225))=1,INDEX('Staff Review'!$E$8:$E$507,I2225)&gt;0,INDEX('Staff Review'!$E$8:$E$507,I2225)&lt;='Top 15'!$E$5,'Top 15'!$E$5-INDEX('Staff Review'!$E$8:$E$507,I2225)&lt;='Top 15'!$H$5,LEN(INDEX('Staff Review'!$H$8:$H$507,I2225))&gt;0),"Yes","No"))</x:f>
        <x:v>No</x:v>
      </x:c>
      <x:c r="AJ2225" s="1" t="str">
        <x:f>IF(I2225=0,"No",IF(COUNT(INDEX('Staff Review'!$F$8:$F$507,I2225))&lt;&gt;1,"No",IF(AND(INDEX('Staff Review'!$F$8:$F$507,I2225)&gt;=0,MOD(INDEX('Staff Review'!$F$8:$F$507,I2225),1)=0,COUNT(INDEX('Staff Review'!$G$8:$G$507,I2225))=1,INDEX('Staff Review'!$G$8:$G$507,I2225)&gt;0,INDEX('Staff Review'!$G$8:$G$507,I2225)&lt;='Top 15'!$E$5,'Top 15'!$E$5-INDEX('Staff Review'!$G$8:$G$507,I2225)&lt;='Top 15'!$H$5,LEN(INDEX('Staff Review'!$H$8:$H$507,I2225))&gt;0),"Yes","No")))</x:f>
        <x:v>No</x:v>
      </x:c>
      <x:c r="AK2225" s="1" t="n">
        <x:f>IF(A2225="",0,COUNTIFS($A$2:$A$501,A2225))</x:f>
        <x:v>1</x:v>
      </x:c>
      <x:c r="AL2225" s="1" t="n">
        <x:f>IF(V2225="Candidate",1,0)</x:f>
        <x:v>1</x:v>
      </x:c>
      <x:c r="AM2225" s="1" t="n">
        <x:f>IF(A2225="",0,VALUE(A2225))</x:f>
        <x:v>4520</x:v>
      </x:c>
      <x:c r="AN2225" s="1" t="n">
        <x:f>IF(OR(A2225="",COUNTIFS($T$41:$T$540,A2225)&lt;&gt;1),0,MATCH(A2225,$T$41:$T$540,0))</x:f>
        <x:v>175</x:v>
      </x:c>
      <x:c r="AO2225" t="n">
        <x:f>IF(ISNUMBER(W2225),W2225,10000+AM2225)</x:f>
        <x:v>96</x:v>
      </x:c>
    </x:row>
    <x:row r="2226" ht="22" customHeight="1">
      <x:c r="A2226" s="1" t="str">
        <x:f>IF(A177="","",A177)</x:f>
        <x:v>4530</x:v>
      </x:c>
      <x:c r="B2226" s="1" t="str">
        <x:f>IF(A2226="","",B177)</x:f>
        <x:v>Edward Gideon School</x:v>
      </x:c>
      <x:c r="C2226" s="1" t="str">
        <x:f>IF(A2226="","",C177)</x:f>
        <x:v>District</x:v>
      </x:c>
      <x:c r="D2226" s="1" t="str">
        <x:f>IF(A2226="","",E177)</x:f>
        <x:v>Elementary-Middle</x:v>
      </x:c>
      <x:c r="E2226" s="1" t="str">
        <x:f>IF(A2226="","",H177)</x:f>
        <x:v>19121</x:v>
      </x:c>
      <x:c r="F2226" s="1" t="n">
        <x:f>IF(ISNUMBER(K177),K177,"")</x:f>
        <x:v>184</x:v>
      </x:c>
      <x:c r="G2226" s="1" t="n">
        <x:f>IF(ISNUMBER(L177),L177,"")</x:f>
        <x:v>0.9423</x:v>
      </x:c>
      <x:c r="H2226" s="1" t="str">
        <x:f>IF(A2226="","",IF(AND(UPPER(G177)="PHILADELPHIA",OR(C2226="District",AND(C2226="Charter",D177="Yes"))),"Yes","No"))</x:f>
        <x:v>Yes</x:v>
      </x:c>
      <x:c r="I2226" s="1" t="n">
        <x:f>IF(OR(A2226="",COUNTIFS('Staff Review'!$A$8:$A$507,A2226)&lt;&gt;1),0,MATCH(A2226,'Staff Review'!$A$8:$A$507,0))</x:f>
        <x:v>55</x:v>
      </x:c>
      <x:c r="J2226" s="1" t="str">
        <x:f>IF(I2226=0,"No",IF(INDEX('Staff Review'!$C$8:$C$507,I2226)="Yes","Yes","No"))</x:f>
        <x:v>No</x:v>
      </x:c>
      <x:c r="K2226" s="1" t="n">
        <x:f>IF(AI2226="Yes",INDEX('Staff Review'!$D$8:$D$507,I2226),IF(AB2226=0,"",IF(COUNT(INDEX($C$1531:$C$2030,AB2226))=1,INDEX($C$1531:$C$2030,AB2226),"")))</x:f>
        <x:v>0.4518948476896475</x:v>
      </x:c>
      <x:c r="L2226" s="1" t="n">
        <x:f>IF(AJ2226="Yes",INDEX('Staff Review'!$F$8:$F$507,I2226),IF(AB2226=0,"",IF(COUNT(INDEX($G$1531:$G$2030,AB2226))=1,INDEX($G$1531:$G$2030,AB2226),"")))</x:f>
        <x:v>14</x:v>
      </x:c>
      <x:c r="M2226" s="1" t="str">
        <x:f>IF(A2226="","",IF(AI2226="Yes","Verified","Listed"))</x:f>
        <x:v>Listed</x:v>
      </x:c>
      <x:c r="N2226" s="1" t="str">
        <x:f>IF(A2226="","",IF(AJ2226="Yes","Verified","Listed"))</x:f>
        <x:v>Listed</x:v>
      </x:c>
      <x:c r="O2226" s="1" t="n">
        <x:f>IF(AND(ISNUMBER(G2226),G2226&gt;=0,G2226&lt;=1),IF(G2226&gt;=0.9,30,IF(G2226&gt;=0.8,25,IF(G2226&gt;=0.7,20,IF(G2226&gt;=0.6,15,IF(G2226&gt;=0.5,10,IF(G2226&gt;=0.4,5,0)))))),"")</x:f>
        <x:v>30</x:v>
      </x:c>
      <x:c r="P2226" s="1" t="n">
        <x:f>IF(ISNUMBER(K2226),IF(K2226&lt;0,"",IF(K2226&gt;1,25,IF(K2226&gt;=0.75,20,IF(K2226&gt;=0.5,15,IF(K2226&gt;=0.25,10,5))))),"")</x:f>
        <x:v>10</x:v>
      </x:c>
      <x:c r="Q2226" s="1" t="n">
        <x:f>IF(NOT(ISNUMBER(L2226)),"",IF(AND(L2226&gt;=0,MOD(L2226,1)=0),MAX(0,25-5*L2226),""))</x:f>
        <x:v>0</x:v>
      </x:c>
      <x:c r="R2226" s="1" t="n">
        <x:f>IF(NOT(ISNUMBER(F2226)),"",IF(AND(F2226&gt;0,MOD(F2226,1)=0),IF(F2226&gt;=700,5,IF(F2226&gt;=500,4,IF(F2226&gt;=350,3,IF(F2226&gt;=200,2,1)))),""))</x:f>
        <x:v>1</x:v>
      </x:c>
      <x:c r="S2226" s="1" t="n">
        <x:f>IF(COUNT(O2226:R2226)=4,SUM(O2226:R2226),"")</x:f>
        <x:v>41</x:v>
      </x:c>
      <x:c r="T2226" s="1" t="n">
        <x:f>IF(OR(COUNT(O2226:R2226)&lt;&gt;4,COUNT('Top 15'!$B$35:$E$35)&lt;&gt;4,MIN('Top 15'!$B$35:$E$35)&lt;0,SUM('Top 15'!$B$35:$E$35)&lt;=0),"",ROUND(85*(O2226/30*'Top 15'!$B$35+P2226/25*'Top 15'!$C$35+Q2226/25*'Top 15'!$D$35+R2226/5*'Top 15'!$E$35)/SUM('Top 15'!$B$35:$E$35),6))</x:f>
        <x:v>41</x:v>
      </x:c>
      <x:c r="U2226" s="1" t="str">
        <x:f>IF(A2226="","",IF(AND(M2226="Verified",N2226="Verified"),"Verified",IF(AND(M2226="Listed",N2226="Listed"),"Listed","Mixed")))</x:f>
        <x:v>Listed</x:v>
      </x:c>
      <x:c r="V2226" s="1" t="str">
        <x:f>IF(A2226="","",IF(AK2226&lt;&gt;1,"Duplicate source ID",IF(COUNTIFS('Staff Review'!$A$8:$A$507,A2226)&gt;1,"Duplicate review ID",IF(H2226&lt;&gt;"Yes","Outside scope",IF(J2226="Yes","Already served",IF(NOT(ISNUMBER(T2226)),"Missing data","Candidate"))))))</x:f>
        <x:v>Candidate</x:v>
      </x:c>
      <x:c r="W2226" s="1" t="n">
        <x:f>IF(AL2226=0,"",1+COUNTIFS($AL$2051:$AL$2550,1,$T$2051:$T$2550,"&gt;"&amp;T2226)+COUNTIFS($AL$2051:$AL$2550,1,$T$2051:$T$2550,T2226,$G$2051:$G$2550,"&gt;"&amp;G2226)+COUNTIFS($AL$2051:$AL$2550,1,$T$2051:$T$2550,T2226,$G$2051:$G$2550,G2226,$F$2051:$F$2550,"&gt;"&amp;F2226)+COUNTIFS($AL$2051:$AL$2550,1,$T$2051:$T$2550,T2226,$G$2051:$G$2550,G2226,$F$2051:$F$2550,F2226,$AM$2051:$AM$2550,"&lt;"&amp;AM2226))</x:f>
        <x:v>128</x:v>
      </x:c>
      <x:c r="X2226" s="1" t="n">
        <x:f>IF(AL2226=0,"",1+COUNTIFS($AL$2051:$AL$2550,1,$T$2051:$T$2550,"&gt;"&amp;T2226))</x:f>
        <x:v>128</x:v>
      </x:c>
      <x:c r="Y2226" s="1" t="n">
        <x:f>IF(AND(H2226="Yes",OR(LEN('School Search'!$B$5)=0,ISNUMBER(SEARCH('School Search'!$B$5,B2226&amp;" "&amp;E2226&amp;" "&amp;A2226))),OR('School Search'!$D$5="All",C2226='School Search'!$D$5),OR('School Search'!$G$5="All eligible",AND('School Search'!$G$5="Not marked served",J2226&lt;&gt;"Yes"),AND('School Search'!$G$5="Missing data",V2226="Missing data"),AND('School Search'!$G$5="Marked served",J2226="Yes"))),1,0)</x:f>
        <x:v>1</x:v>
      </x:c>
      <x:c r="Z2226" s="1" t="n">
        <x:f>IF(Y2226=0,"",COUNTIFS($Y$2051:$Y$2550,1,$AO$2051:$AO$2550,"&lt;"&amp;AO2226)+COUNTIFS($Y$2051:Y2226,1,$AO$2051:AO2226,AO2226))</x:f>
        <x:v>128</x:v>
      </x:c>
      <x:c r="AA2226" s="1" t="str">
        <x:f>IF(NOT(ISNUMBER(S2226)),"Missing demographic or access input",TEXT(G2226,"0%")&amp;" economic need; "&amp;TEXT(K2226,"0.00")&amp;" mi fresh access; "&amp;L2226&amp;" nearby resources")</x:f>
        <x:v>94% economic need; 0.45 mi fresh access; 14 nearby resources</x:v>
      </x:c>
      <x:c r="AB2226" s="1" t="n">
        <x:f>IF(OR(A2226="",COUNTIFS($A$1531:$A$2030,A2226)&lt;&gt;1),0,MATCH(A2226,$A$1531:$A$2030,0))</x:f>
        <x:v>176</x:v>
      </x:c>
      <x:c r="AC2226" s="1" t="str">
        <x:f>IF(AB2226=0,"",INDEX($E$1531:$E$2030,AB2226))</x:f>
        <x:v>SAVE-A-LOT 60146</x:v>
      </x:c>
      <x:c r="AD2226" s="1" t="str">
        <x:f>IF(AB2226=0,"",INDEX($F$1531:$F$2030,AB2226))</x:f>
        <x:v>2801 W Dauphin St, Philadelphia, PA, 19132</x:v>
      </x:c>
      <x:c r="AE2226" s="1" t="str">
        <x:f>IF(A2226="","",F177)</x:f>
        <x:v>2817 W GLENWOOD AVE</x:v>
      </x:c>
      <x:c r="AF2226" s="1" t="n">
        <x:f>IF(ISNUMBER(I177),I177,"")</x:f>
        <x:v>39.98447594</x:v>
      </x:c>
      <x:c r="AG2226" s="1" t="n">
        <x:f>IF(ISNUMBER(J177),J177,"")</x:f>
        <x:v>-75.18016456</x:v>
      </x:c>
      <x:c r="AH2226" s="1" t="str">
        <x:f>IF(I2226=0,"Not contacted",IF(INDEX('Staff Review'!$J$8:$J$507,I2226)="","Not contacted",INDEX('Staff Review'!$J$8:$J$507,I2226)))</x:f>
        <x:v>Not contacted</x:v>
      </x:c>
      <x:c r="AI2226" s="1" t="str">
        <x:f>IF(I2226=0,"No",IF(AND(COUNT(INDEX('Staff Review'!$D$8:$D$507,I2226))=1,INDEX('Staff Review'!$D$8:$D$507,I2226)&gt;=0,COUNT(INDEX('Staff Review'!$E$8:$E$507,I2226))=1,INDEX('Staff Review'!$E$8:$E$507,I2226)&gt;0,INDEX('Staff Review'!$E$8:$E$507,I2226)&lt;='Top 15'!$E$5,'Top 15'!$E$5-INDEX('Staff Review'!$E$8:$E$507,I2226)&lt;='Top 15'!$H$5,LEN(INDEX('Staff Review'!$H$8:$H$507,I2226))&gt;0),"Yes","No"))</x:f>
        <x:v>No</x:v>
      </x:c>
      <x:c r="AJ2226" s="1" t="str">
        <x:f>IF(I2226=0,"No",IF(COUNT(INDEX('Staff Review'!$F$8:$F$507,I2226))&lt;&gt;1,"No",IF(AND(INDEX('Staff Review'!$F$8:$F$507,I2226)&gt;=0,MOD(INDEX('Staff Review'!$F$8:$F$507,I2226),1)=0,COUNT(INDEX('Staff Review'!$G$8:$G$507,I2226))=1,INDEX('Staff Review'!$G$8:$G$507,I2226)&gt;0,INDEX('Staff Review'!$G$8:$G$507,I2226)&lt;='Top 15'!$E$5,'Top 15'!$E$5-INDEX('Staff Review'!$G$8:$G$507,I2226)&lt;='Top 15'!$H$5,LEN(INDEX('Staff Review'!$H$8:$H$507,I2226))&gt;0),"Yes","No")))</x:f>
        <x:v>No</x:v>
      </x:c>
      <x:c r="AK2226" s="1" t="n">
        <x:f>IF(A2226="",0,COUNTIFS($A$2:$A$501,A2226))</x:f>
        <x:v>1</x:v>
      </x:c>
      <x:c r="AL2226" s="1" t="n">
        <x:f>IF(V2226="Candidate",1,0)</x:f>
        <x:v>1</x:v>
      </x:c>
      <x:c r="AM2226" s="1" t="n">
        <x:f>IF(A2226="",0,VALUE(A2226))</x:f>
        <x:v>4530</x:v>
      </x:c>
      <x:c r="AN2226" s="1" t="n">
        <x:f>IF(OR(A2226="",COUNTIFS($T$41:$T$540,A2226)&lt;&gt;1),0,MATCH(A2226,$T$41:$T$540,0))</x:f>
        <x:v>176</x:v>
      </x:c>
      <x:c r="AO2226" t="n">
        <x:f>IF(ISNUMBER(W2226),W2226,10000+AM2226)</x:f>
        <x:v>128</x:v>
      </x:c>
    </x:row>
    <x:row r="2227" ht="22" customHeight="1">
      <x:c r="A2227" s="1" t="str">
        <x:f>IF(A178="","",A178)</x:f>
        <x:v>4560</x:v>
      </x:c>
      <x:c r="B2227" s="1" t="str">
        <x:f>IF(A2227="","",B178)</x:f>
        <x:v>William D. Kelley School</x:v>
      </x:c>
      <x:c r="C2227" s="1" t="str">
        <x:f>IF(A2227="","",C178)</x:f>
        <x:v>District</x:v>
      </x:c>
      <x:c r="D2227" s="1" t="str">
        <x:f>IF(A2227="","",E178)</x:f>
        <x:v>Elementary-Middle</x:v>
      </x:c>
      <x:c r="E2227" s="1" t="str">
        <x:f>IF(A2227="","",H178)</x:f>
        <x:v>19121</x:v>
      </x:c>
      <x:c r="F2227" s="1" t="n">
        <x:f>IF(ISNUMBER(K178),K178,"")</x:f>
        <x:v>205</x:v>
      </x:c>
      <x:c r="G2227" s="1" t="n">
        <x:f>IF(ISNUMBER(L178),L178,"")</x:f>
        <x:v>0.9115</x:v>
      </x:c>
      <x:c r="H2227" s="1" t="str">
        <x:f>IF(A2227="","",IF(AND(UPPER(G178)="PHILADELPHIA",OR(C2227="District",AND(C2227="Charter",D178="Yes"))),"Yes","No"))</x:f>
        <x:v>Yes</x:v>
      </x:c>
      <x:c r="I2227" s="1" t="n">
        <x:f>IF(OR(A2227="",COUNTIFS('Staff Review'!$A$8:$A$507,A2227)&lt;&gt;1),0,MATCH(A2227,'Staff Review'!$A$8:$A$507,0))</x:f>
        <x:v>315</x:v>
      </x:c>
      <x:c r="J2227" s="1" t="str">
        <x:f>IF(I2227=0,"No",IF(INDEX('Staff Review'!$C$8:$C$507,I2227)="Yes","Yes","No"))</x:f>
        <x:v>No</x:v>
      </x:c>
      <x:c r="K2227" s="1" t="n">
        <x:f>IF(AI2227="Yes",INDEX('Staff Review'!$D$8:$D$507,I2227),IF(AB2227=0,"",IF(COUNT(INDEX($C$1531:$C$2030,AB2227))=1,INDEX($C$1531:$C$2030,AB2227),"")))</x:f>
        <x:v>0.5182431993336692</x:v>
      </x:c>
      <x:c r="L2227" s="1" t="n">
        <x:f>IF(AJ2227="Yes",INDEX('Staff Review'!$F$8:$F$507,I2227),IF(AB2227=0,"",IF(COUNT(INDEX($G$1531:$G$2030,AB2227))=1,INDEX($G$1531:$G$2030,AB2227),"")))</x:f>
        <x:v>11</x:v>
      </x:c>
      <x:c r="M2227" s="1" t="str">
        <x:f>IF(A2227="","",IF(AI2227="Yes","Verified","Listed"))</x:f>
        <x:v>Listed</x:v>
      </x:c>
      <x:c r="N2227" s="1" t="str">
        <x:f>IF(A2227="","",IF(AJ2227="Yes","Verified","Listed"))</x:f>
        <x:v>Listed</x:v>
      </x:c>
      <x:c r="O2227" s="1" t="n">
        <x:f>IF(AND(ISNUMBER(G2227),G2227&gt;=0,G2227&lt;=1),IF(G2227&gt;=0.9,30,IF(G2227&gt;=0.8,25,IF(G2227&gt;=0.7,20,IF(G2227&gt;=0.6,15,IF(G2227&gt;=0.5,10,IF(G2227&gt;=0.4,5,0)))))),"")</x:f>
        <x:v>30</x:v>
      </x:c>
      <x:c r="P2227" s="1" t="n">
        <x:f>IF(ISNUMBER(K2227),IF(K2227&lt;0,"",IF(K2227&gt;1,25,IF(K2227&gt;=0.75,20,IF(K2227&gt;=0.5,15,IF(K2227&gt;=0.25,10,5))))),"")</x:f>
        <x:v>15</x:v>
      </x:c>
      <x:c r="Q2227" s="1" t="n">
        <x:f>IF(NOT(ISNUMBER(L2227)),"",IF(AND(L2227&gt;=0,MOD(L2227,1)=0),MAX(0,25-5*L2227),""))</x:f>
        <x:v>0</x:v>
      </x:c>
      <x:c r="R2227" s="1" t="n">
        <x:f>IF(NOT(ISNUMBER(F2227)),"",IF(AND(F2227&gt;0,MOD(F2227,1)=0),IF(F2227&gt;=700,5,IF(F2227&gt;=500,4,IF(F2227&gt;=350,3,IF(F2227&gt;=200,2,1)))),""))</x:f>
        <x:v>2</x:v>
      </x:c>
      <x:c r="S2227" s="1" t="n">
        <x:f>IF(COUNT(O2227:R2227)=4,SUM(O2227:R2227),"")</x:f>
        <x:v>47</x:v>
      </x:c>
      <x:c r="T2227" s="1" t="n">
        <x:f>IF(OR(COUNT(O2227:R2227)&lt;&gt;4,COUNT('Top 15'!$B$35:$E$35)&lt;&gt;4,MIN('Top 15'!$B$35:$E$35)&lt;0,SUM('Top 15'!$B$35:$E$35)&lt;=0),"",ROUND(85*(O2227/30*'Top 15'!$B$35+P2227/25*'Top 15'!$C$35+Q2227/25*'Top 15'!$D$35+R2227/5*'Top 15'!$E$35)/SUM('Top 15'!$B$35:$E$35),6))</x:f>
        <x:v>47</x:v>
      </x:c>
      <x:c r="U2227" s="1" t="str">
        <x:f>IF(A2227="","",IF(AND(M2227="Verified",N2227="Verified"),"Verified",IF(AND(M2227="Listed",N2227="Listed"),"Listed","Mixed")))</x:f>
        <x:v>Listed</x:v>
      </x:c>
      <x:c r="V2227" s="1" t="str">
        <x:f>IF(A2227="","",IF(AK2227&lt;&gt;1,"Duplicate source ID",IF(COUNTIFS('Staff Review'!$A$8:$A$507,A2227)&gt;1,"Duplicate review ID",IF(H2227&lt;&gt;"Yes","Outside scope",IF(J2227="Yes","Already served",IF(NOT(ISNUMBER(T2227)),"Missing data","Candidate"))))))</x:f>
        <x:v>Candidate</x:v>
      </x:c>
      <x:c r="W2227" s="1" t="n">
        <x:f>IF(AL2227=0,"",1+COUNTIFS($AL$2051:$AL$2550,1,$T$2051:$T$2550,"&gt;"&amp;T2227)+COUNTIFS($AL$2051:$AL$2550,1,$T$2051:$T$2550,T2227,$G$2051:$G$2550,"&gt;"&amp;G2227)+COUNTIFS($AL$2051:$AL$2550,1,$T$2051:$T$2550,T2227,$G$2051:$G$2550,G2227,$F$2051:$F$2550,"&gt;"&amp;F2227)+COUNTIFS($AL$2051:$AL$2550,1,$T$2051:$T$2550,T2227,$G$2051:$G$2550,G2227,$F$2051:$F$2550,F2227,$AM$2051:$AM$2550,"&lt;"&amp;AM2227))</x:f>
        <x:v>65</x:v>
      </x:c>
      <x:c r="X2227" s="1" t="n">
        <x:f>IF(AL2227=0,"",1+COUNTIFS($AL$2051:$AL$2550,1,$T$2051:$T$2550,"&gt;"&amp;T2227))</x:f>
        <x:v>64</x:v>
      </x:c>
      <x:c r="Y2227" s="1" t="n">
        <x:f>IF(AND(H2227="Yes",OR(LEN('School Search'!$B$5)=0,ISNUMBER(SEARCH('School Search'!$B$5,B2227&amp;" "&amp;E2227&amp;" "&amp;A2227))),OR('School Search'!$D$5="All",C2227='School Search'!$D$5),OR('School Search'!$G$5="All eligible",AND('School Search'!$G$5="Not marked served",J2227&lt;&gt;"Yes"),AND('School Search'!$G$5="Missing data",V2227="Missing data"),AND('School Search'!$G$5="Marked served",J2227="Yes"))),1,0)</x:f>
        <x:v>1</x:v>
      </x:c>
      <x:c r="Z2227" s="1" t="n">
        <x:f>IF(Y2227=0,"",COUNTIFS($Y$2051:$Y$2550,1,$AO$2051:$AO$2550,"&lt;"&amp;AO2227)+COUNTIFS($Y$2051:Y2227,1,$AO$2051:AO2227,AO2227))</x:f>
        <x:v>65</x:v>
      </x:c>
      <x:c r="AA2227" s="1" t="str">
        <x:f>IF(NOT(ISNUMBER(S2227)),"Missing demographic or access input",TEXT(G2227,"0%")&amp;" economic need; "&amp;TEXT(K2227,"0.00")&amp;" mi fresh access; "&amp;L2227&amp;" nearby resources")</x:f>
        <x:v>91% economic need; 0.52 mi fresh access; 11 nearby resources</x:v>
      </x:c>
      <x:c r="AB2227" s="1" t="n">
        <x:f>IF(OR(A2227="",COUNTIFS($A$1531:$A$2030,A2227)&lt;&gt;1),0,MATCH(A2227,$A$1531:$A$2030,0))</x:f>
        <x:v>177</x:v>
      </x:c>
      <x:c r="AC2227" s="1" t="str">
        <x:f>IF(AB2227=0,"",INDEX($E$1531:$E$2030,AB2227))</x:f>
        <x:v>Aldi 43</x:v>
      </x:c>
      <x:c r="AD2227" s="1" t="str">
        <x:f>IF(AB2227=0,"",INDEX($F$1531:$F$2030,AB2227))</x:f>
        <x:v>3101 W Girard Ave, Philadelphia, PA, 19130</x:v>
      </x:c>
      <x:c r="AE2227" s="1" t="str">
        <x:f>IF(A2227="","",F178)</x:f>
        <x:v>1601 N 28TH ST</x:v>
      </x:c>
      <x:c r="AF2227" s="1" t="n">
        <x:f>IF(ISNUMBER(I178),I178,"")</x:f>
        <x:v>39.98039173</x:v>
      </x:c>
      <x:c r="AG2227" s="1" t="n">
        <x:f>IF(ISNUMBER(J178),J178,"")</x:f>
        <x:v>-75.18032689</x:v>
      </x:c>
      <x:c r="AH2227" s="1" t="str">
        <x:f>IF(I2227=0,"Not contacted",IF(INDEX('Staff Review'!$J$8:$J$507,I2227)="","Not contacted",INDEX('Staff Review'!$J$8:$J$507,I2227)))</x:f>
        <x:v>Not contacted</x:v>
      </x:c>
      <x:c r="AI2227" s="1" t="str">
        <x:f>IF(I2227=0,"No",IF(AND(COUNT(INDEX('Staff Review'!$D$8:$D$507,I2227))=1,INDEX('Staff Review'!$D$8:$D$507,I2227)&gt;=0,COUNT(INDEX('Staff Review'!$E$8:$E$507,I2227))=1,INDEX('Staff Review'!$E$8:$E$507,I2227)&gt;0,INDEX('Staff Review'!$E$8:$E$507,I2227)&lt;='Top 15'!$E$5,'Top 15'!$E$5-INDEX('Staff Review'!$E$8:$E$507,I2227)&lt;='Top 15'!$H$5,LEN(INDEX('Staff Review'!$H$8:$H$507,I2227))&gt;0),"Yes","No"))</x:f>
        <x:v>No</x:v>
      </x:c>
      <x:c r="AJ2227" s="1" t="str">
        <x:f>IF(I2227=0,"No",IF(COUNT(INDEX('Staff Review'!$F$8:$F$507,I2227))&lt;&gt;1,"No",IF(AND(INDEX('Staff Review'!$F$8:$F$507,I2227)&gt;=0,MOD(INDEX('Staff Review'!$F$8:$F$507,I2227),1)=0,COUNT(INDEX('Staff Review'!$G$8:$G$507,I2227))=1,INDEX('Staff Review'!$G$8:$G$507,I2227)&gt;0,INDEX('Staff Review'!$G$8:$G$507,I2227)&lt;='Top 15'!$E$5,'Top 15'!$E$5-INDEX('Staff Review'!$G$8:$G$507,I2227)&lt;='Top 15'!$H$5,LEN(INDEX('Staff Review'!$H$8:$H$507,I2227))&gt;0),"Yes","No")))</x:f>
        <x:v>No</x:v>
      </x:c>
      <x:c r="AK2227" s="1" t="n">
        <x:f>IF(A2227="",0,COUNTIFS($A$2:$A$501,A2227))</x:f>
        <x:v>1</x:v>
      </x:c>
      <x:c r="AL2227" s="1" t="n">
        <x:f>IF(V2227="Candidate",1,0)</x:f>
        <x:v>1</x:v>
      </x:c>
      <x:c r="AM2227" s="1" t="n">
        <x:f>IF(A2227="",0,VALUE(A2227))</x:f>
        <x:v>4560</x:v>
      </x:c>
      <x:c r="AN2227" s="1" t="n">
        <x:f>IF(OR(A2227="",COUNTIFS($T$41:$T$540,A2227)&lt;&gt;1),0,MATCH(A2227,$T$41:$T$540,0))</x:f>
        <x:v>177</x:v>
      </x:c>
      <x:c r="AO2227" t="n">
        <x:f>IF(ISNUMBER(W2227),W2227,10000+AM2227)</x:f>
        <x:v>65</x:v>
      </x:c>
    </x:row>
    <x:row r="2228" ht="22" customHeight="1">
      <x:c r="A2228" s="1" t="str">
        <x:f>IF(A179="","",A179)</x:f>
        <x:v>4570</x:v>
      </x:c>
      <x:c r="B2228" s="1" t="str">
        <x:f>IF(A2228="","",B179)</x:f>
        <x:v>General George G. Meade School</x:v>
      </x:c>
      <x:c r="C2228" s="1" t="str">
        <x:f>IF(A2228="","",C179)</x:f>
        <x:v>District</x:v>
      </x:c>
      <x:c r="D2228" s="1" t="str">
        <x:f>IF(A2228="","",E179)</x:f>
        <x:v>Elementary-Middle</x:v>
      </x:c>
      <x:c r="E2228" s="1" t="str">
        <x:f>IF(A2228="","",H179)</x:f>
        <x:v>19121</x:v>
      </x:c>
      <x:c r="F2228" s="1" t="n">
        <x:f>IF(ISNUMBER(K179),K179,"")</x:f>
        <x:v>256</x:v>
      </x:c>
      <x:c r="G2228" s="1" t="n">
        <x:f>IF(ISNUMBER(L179),L179,"")</x:f>
        <x:v>0.8989</x:v>
      </x:c>
      <x:c r="H2228" s="1" t="str">
        <x:f>IF(A2228="","",IF(AND(UPPER(G179)="PHILADELPHIA",OR(C2228="District",AND(C2228="Charter",D179="Yes"))),"Yes","No"))</x:f>
        <x:v>Yes</x:v>
      </x:c>
      <x:c r="I2228" s="1" t="n">
        <x:f>IF(OR(A2228="",COUNTIFS('Staff Review'!$A$8:$A$507,A2228)&lt;&gt;1),0,MATCH(A2228,'Staff Review'!$A$8:$A$507,0))</x:f>
        <x:v>91</x:v>
      </x:c>
      <x:c r="J2228" s="1" t="str">
        <x:f>IF(I2228=0,"No",IF(INDEX('Staff Review'!$C$8:$C$507,I2228)="Yes","Yes","No"))</x:f>
        <x:v>No</x:v>
      </x:c>
      <x:c r="K2228" s="1" t="n">
        <x:f>IF(AI2228="Yes",INDEX('Staff Review'!$D$8:$D$507,I2228),IF(AB2228=0,"",IF(COUNT(INDEX($C$1531:$C$2030,AB2228))=1,INDEX($C$1531:$C$2030,AB2228),"")))</x:f>
        <x:v>0.21564962660321715</x:v>
      </x:c>
      <x:c r="L2228" s="1" t="n">
        <x:f>IF(AJ2228="Yes",INDEX('Staff Review'!$F$8:$F$507,I2228),IF(AB2228=0,"",IF(COUNT(INDEX($G$1531:$G$2030,AB2228))=1,INDEX($G$1531:$G$2030,AB2228),"")))</x:f>
        <x:v>15</x:v>
      </x:c>
      <x:c r="M2228" s="1" t="str">
        <x:f>IF(A2228="","",IF(AI2228="Yes","Verified","Listed"))</x:f>
        <x:v>Listed</x:v>
      </x:c>
      <x:c r="N2228" s="1" t="str">
        <x:f>IF(A2228="","",IF(AJ2228="Yes","Verified","Listed"))</x:f>
        <x:v>Listed</x:v>
      </x:c>
      <x:c r="O2228" s="1" t="n">
        <x:f>IF(AND(ISNUMBER(G2228),G2228&gt;=0,G2228&lt;=1),IF(G2228&gt;=0.9,30,IF(G2228&gt;=0.8,25,IF(G2228&gt;=0.7,20,IF(G2228&gt;=0.6,15,IF(G2228&gt;=0.5,10,IF(G2228&gt;=0.4,5,0)))))),"")</x:f>
        <x:v>25</x:v>
      </x:c>
      <x:c r="P2228" s="1" t="n">
        <x:f>IF(ISNUMBER(K2228),IF(K2228&lt;0,"",IF(K2228&gt;1,25,IF(K2228&gt;=0.75,20,IF(K2228&gt;=0.5,15,IF(K2228&gt;=0.25,10,5))))),"")</x:f>
        <x:v>5</x:v>
      </x:c>
      <x:c r="Q2228" s="1" t="n">
        <x:f>IF(NOT(ISNUMBER(L2228)),"",IF(AND(L2228&gt;=0,MOD(L2228,1)=0),MAX(0,25-5*L2228),""))</x:f>
        <x:v>0</x:v>
      </x:c>
      <x:c r="R2228" s="1" t="n">
        <x:f>IF(NOT(ISNUMBER(F2228)),"",IF(AND(F2228&gt;0,MOD(F2228,1)=0),IF(F2228&gt;=700,5,IF(F2228&gt;=500,4,IF(F2228&gt;=350,3,IF(F2228&gt;=200,2,1)))),""))</x:f>
        <x:v>2</x:v>
      </x:c>
      <x:c r="S2228" s="1" t="n">
        <x:f>IF(COUNT(O2228:R2228)=4,SUM(O2228:R2228),"")</x:f>
        <x:v>32</x:v>
      </x:c>
      <x:c r="T2228" s="1" t="n">
        <x:f>IF(OR(COUNT(O2228:R2228)&lt;&gt;4,COUNT('Top 15'!$B$35:$E$35)&lt;&gt;4,MIN('Top 15'!$B$35:$E$35)&lt;0,SUM('Top 15'!$B$35:$E$35)&lt;=0),"",ROUND(85*(O2228/30*'Top 15'!$B$35+P2228/25*'Top 15'!$C$35+Q2228/25*'Top 15'!$D$35+R2228/5*'Top 15'!$E$35)/SUM('Top 15'!$B$35:$E$35),6))</x:f>
        <x:v>32</x:v>
      </x:c>
      <x:c r="U2228" s="1" t="str">
        <x:f>IF(A2228="","",IF(AND(M2228="Verified",N2228="Verified"),"Verified",IF(AND(M2228="Listed",N2228="Listed"),"Listed","Mixed")))</x:f>
        <x:v>Listed</x:v>
      </x:c>
      <x:c r="V2228" s="1" t="str">
        <x:f>IF(A2228="","",IF(AK2228&lt;&gt;1,"Duplicate source ID",IF(COUNTIFS('Staff Review'!$A$8:$A$507,A2228)&gt;1,"Duplicate review ID",IF(H2228&lt;&gt;"Yes","Outside scope",IF(J2228="Yes","Already served",IF(NOT(ISNUMBER(T2228)),"Missing data","Candidate"))))))</x:f>
        <x:v>Candidate</x:v>
      </x:c>
      <x:c r="W2228" s="1" t="n">
        <x:f>IF(AL2228=0,"",1+COUNTIFS($AL$2051:$AL$2550,1,$T$2051:$T$2550,"&gt;"&amp;T2228)+COUNTIFS($AL$2051:$AL$2550,1,$T$2051:$T$2550,T2228,$G$2051:$G$2550,"&gt;"&amp;G2228)+COUNTIFS($AL$2051:$AL$2550,1,$T$2051:$T$2550,T2228,$G$2051:$G$2550,G2228,$F$2051:$F$2550,"&gt;"&amp;F2228)+COUNTIFS($AL$2051:$AL$2550,1,$T$2051:$T$2550,T2228,$G$2051:$G$2550,G2228,$F$2051:$F$2550,F2228,$AM$2051:$AM$2550,"&lt;"&amp;AM2228))</x:f>
        <x:v>243</x:v>
      </x:c>
      <x:c r="X2228" s="1" t="n">
        <x:f>IF(AL2228=0,"",1+COUNTIFS($AL$2051:$AL$2550,1,$T$2051:$T$2550,"&gt;"&amp;T2228))</x:f>
        <x:v>243</x:v>
      </x:c>
      <x:c r="Y2228" s="1" t="n">
        <x:f>IF(AND(H2228="Yes",OR(LEN('School Search'!$B$5)=0,ISNUMBER(SEARCH('School Search'!$B$5,B2228&amp;" "&amp;E2228&amp;" "&amp;A2228))),OR('School Search'!$D$5="All",C2228='School Search'!$D$5),OR('School Search'!$G$5="All eligible",AND('School Search'!$G$5="Not marked served",J2228&lt;&gt;"Yes"),AND('School Search'!$G$5="Missing data",V2228="Missing data"),AND('School Search'!$G$5="Marked served",J2228="Yes"))),1,0)</x:f>
        <x:v>1</x:v>
      </x:c>
      <x:c r="Z2228" s="1" t="n">
        <x:f>IF(Y2228=0,"",COUNTIFS($Y$2051:$Y$2550,1,$AO$2051:$AO$2550,"&lt;"&amp;AO2228)+COUNTIFS($Y$2051:Y2228,1,$AO$2051:AO2228,AO2228))</x:f>
        <x:v>243</x:v>
      </x:c>
      <x:c r="AA2228" s="1" t="str">
        <x:f>IF(NOT(ISNUMBER(S2228)),"Missing demographic or access input",TEXT(G2228,"0%")&amp;" economic need; "&amp;TEXT(K2228,"0.00")&amp;" mi fresh access; "&amp;L2228&amp;" nearby resources")</x:f>
        <x:v>90% economic need; 0.22 mi fresh access; 15 nearby resources</x:v>
      </x:c>
      <x:c r="AB2228" s="1" t="n">
        <x:f>IF(OR(A2228="",COUNTIFS($A$1531:$A$2030,A2228)&lt;&gt;1),0,MATCH(A2228,$A$1531:$A$2030,0))</x:f>
        <x:v>178</x:v>
      </x:c>
      <x:c r="AC2228" s="1" t="str">
        <x:f>IF(AB2228=0,"",INDEX($E$1531:$E$2030,AB2228))</x:f>
        <x:v>Grocery Outlet</x:v>
      </x:c>
      <x:c r="AD2228" s="1" t="str">
        <x:f>IF(AB2228=0,"",INDEX($F$1531:$F$2030,AB2228))</x:f>
        <x:v>2077 Ridge Ave, Philadelphia, PA, 19121</x:v>
      </x:c>
      <x:c r="AE2228" s="1" t="str">
        <x:f>IF(A2228="","",F179)</x:f>
        <x:v>1600 N 18TH ST</x:v>
      </x:c>
      <x:c r="AF2228" s="1" t="n">
        <x:f>IF(ISNUMBER(I179),I179,"")</x:f>
        <x:v>39.978587</x:v>
      </x:c>
      <x:c r="AG2228" s="1" t="n">
        <x:f>IF(ISNUMBER(J179),J179,"")</x:f>
        <x:v>-75.164718</x:v>
      </x:c>
      <x:c r="AH2228" s="1" t="str">
        <x:f>IF(I2228=0,"Not contacted",IF(INDEX('Staff Review'!$J$8:$J$507,I2228)="","Not contacted",INDEX('Staff Review'!$J$8:$J$507,I2228)))</x:f>
        <x:v>Not contacted</x:v>
      </x:c>
      <x:c r="AI2228" s="1" t="str">
        <x:f>IF(I2228=0,"No",IF(AND(COUNT(INDEX('Staff Review'!$D$8:$D$507,I2228))=1,INDEX('Staff Review'!$D$8:$D$507,I2228)&gt;=0,COUNT(INDEX('Staff Review'!$E$8:$E$507,I2228))=1,INDEX('Staff Review'!$E$8:$E$507,I2228)&gt;0,INDEX('Staff Review'!$E$8:$E$507,I2228)&lt;='Top 15'!$E$5,'Top 15'!$E$5-INDEX('Staff Review'!$E$8:$E$507,I2228)&lt;='Top 15'!$H$5,LEN(INDEX('Staff Review'!$H$8:$H$507,I2228))&gt;0),"Yes","No"))</x:f>
        <x:v>No</x:v>
      </x:c>
      <x:c r="AJ2228" s="1" t="str">
        <x:f>IF(I2228=0,"No",IF(COUNT(INDEX('Staff Review'!$F$8:$F$507,I2228))&lt;&gt;1,"No",IF(AND(INDEX('Staff Review'!$F$8:$F$507,I2228)&gt;=0,MOD(INDEX('Staff Review'!$F$8:$F$507,I2228),1)=0,COUNT(INDEX('Staff Review'!$G$8:$G$507,I2228))=1,INDEX('Staff Review'!$G$8:$G$507,I2228)&gt;0,INDEX('Staff Review'!$G$8:$G$507,I2228)&lt;='Top 15'!$E$5,'Top 15'!$E$5-INDEX('Staff Review'!$G$8:$G$507,I2228)&lt;='Top 15'!$H$5,LEN(INDEX('Staff Review'!$H$8:$H$507,I2228))&gt;0),"Yes","No")))</x:f>
        <x:v>No</x:v>
      </x:c>
      <x:c r="AK2228" s="1" t="n">
        <x:f>IF(A2228="",0,COUNTIFS($A$2:$A$501,A2228))</x:f>
        <x:v>1</x:v>
      </x:c>
      <x:c r="AL2228" s="1" t="n">
        <x:f>IF(V2228="Candidate",1,0)</x:f>
        <x:v>1</x:v>
      </x:c>
      <x:c r="AM2228" s="1" t="n">
        <x:f>IF(A2228="",0,VALUE(A2228))</x:f>
        <x:v>4570</x:v>
      </x:c>
      <x:c r="AN2228" s="1" t="n">
        <x:f>IF(OR(A2228="",COUNTIFS($T$41:$T$540,A2228)&lt;&gt;1),0,MATCH(A2228,$T$41:$T$540,0))</x:f>
        <x:v>178</x:v>
      </x:c>
      <x:c r="AO2228" t="n">
        <x:f>IF(ISNUMBER(W2228),W2228,10000+AM2228)</x:f>
        <x:v>243</x:v>
      </x:c>
    </x:row>
    <x:row r="2229" ht="22" customHeight="1">
      <x:c r="A2229" s="1" t="str">
        <x:f>IF(A180="","",A180)</x:f>
        <x:v>5020</x:v>
      </x:c>
      <x:c r="B2229" s="1" t="str">
        <x:f>IF(A2229="","",B180)</x:f>
        <x:v>Thomas A. Edison High School</x:v>
      </x:c>
      <x:c r="C2229" s="1" t="str">
        <x:f>IF(A2229="","",C180)</x:f>
        <x:v>District</x:v>
      </x:c>
      <x:c r="D2229" s="1" t="str">
        <x:f>IF(A2229="","",E180)</x:f>
        <x:v>High</x:v>
      </x:c>
      <x:c r="E2229" s="1" t="str">
        <x:f>IF(A2229="","",H180)</x:f>
        <x:v>19140</x:v>
      </x:c>
      <x:c r="F2229" s="1" t="n">
        <x:f>IF(ISNUMBER(K180),K180,"")</x:f>
        <x:v>1022</x:v>
      </x:c>
      <x:c r="G2229" s="1" t="n">
        <x:f>IF(ISNUMBER(L180),L180,"")</x:f>
        <x:v>0.8418</x:v>
      </x:c>
      <x:c r="H2229" s="1" t="str">
        <x:f>IF(A2229="","",IF(AND(UPPER(G180)="PHILADELPHIA",OR(C2229="District",AND(C2229="Charter",D180="Yes"))),"Yes","No"))</x:f>
        <x:v>Yes</x:v>
      </x:c>
      <x:c r="I2229" s="1" t="n">
        <x:f>IF(OR(A2229="",COUNTIFS('Staff Review'!$A$8:$A$507,A2229)&lt;&gt;1),0,MATCH(A2229,'Staff Review'!$A$8:$A$507,0))</x:f>
        <x:v>292</x:v>
      </x:c>
      <x:c r="J2229" s="1" t="str">
        <x:f>IF(I2229=0,"No",IF(INDEX('Staff Review'!$C$8:$C$507,I2229)="Yes","Yes","No"))</x:f>
        <x:v>No</x:v>
      </x:c>
      <x:c r="K2229" s="1" t="n">
        <x:f>IF(AI2229="Yes",INDEX('Staff Review'!$D$8:$D$507,I2229),IF(AB2229=0,"",IF(COUNT(INDEX($C$1531:$C$2030,AB2229))=1,INDEX($C$1531:$C$2030,AB2229),"")))</x:f>
        <x:v>0.38478756667770925</x:v>
      </x:c>
      <x:c r="L2229" s="1" t="n">
        <x:f>IF(AJ2229="Yes",INDEX('Staff Review'!$F$8:$F$507,I2229),IF(AB2229=0,"",IF(COUNT(INDEX($G$1531:$G$2030,AB2229))=1,INDEX($G$1531:$G$2030,AB2229),"")))</x:f>
        <x:v>11</x:v>
      </x:c>
      <x:c r="M2229" s="1" t="str">
        <x:f>IF(A2229="","",IF(AI2229="Yes","Verified","Listed"))</x:f>
        <x:v>Listed</x:v>
      </x:c>
      <x:c r="N2229" s="1" t="str">
        <x:f>IF(A2229="","",IF(AJ2229="Yes","Verified","Listed"))</x:f>
        <x:v>Listed</x:v>
      </x:c>
      <x:c r="O2229" s="1" t="n">
        <x:f>IF(AND(ISNUMBER(G2229),G2229&gt;=0,G2229&lt;=1),IF(G2229&gt;=0.9,30,IF(G2229&gt;=0.8,25,IF(G2229&gt;=0.7,20,IF(G2229&gt;=0.6,15,IF(G2229&gt;=0.5,10,IF(G2229&gt;=0.4,5,0)))))),"")</x:f>
        <x:v>25</x:v>
      </x:c>
      <x:c r="P2229" s="1" t="n">
        <x:f>IF(ISNUMBER(K2229),IF(K2229&lt;0,"",IF(K2229&gt;1,25,IF(K2229&gt;=0.75,20,IF(K2229&gt;=0.5,15,IF(K2229&gt;=0.25,10,5))))),"")</x:f>
        <x:v>10</x:v>
      </x:c>
      <x:c r="Q2229" s="1" t="n">
        <x:f>IF(NOT(ISNUMBER(L2229)),"",IF(AND(L2229&gt;=0,MOD(L2229,1)=0),MAX(0,25-5*L2229),""))</x:f>
        <x:v>0</x:v>
      </x:c>
      <x:c r="R2229" s="1" t="n">
        <x:f>IF(NOT(ISNUMBER(F2229)),"",IF(AND(F2229&gt;0,MOD(F2229,1)=0),IF(F2229&gt;=700,5,IF(F2229&gt;=500,4,IF(F2229&gt;=350,3,IF(F2229&gt;=200,2,1)))),""))</x:f>
        <x:v>5</x:v>
      </x:c>
      <x:c r="S2229" s="1" t="n">
        <x:f>IF(COUNT(O2229:R2229)=4,SUM(O2229:R2229),"")</x:f>
        <x:v>40</x:v>
      </x:c>
      <x:c r="T2229" s="1" t="n">
        <x:f>IF(OR(COUNT(O2229:R2229)&lt;&gt;4,COUNT('Top 15'!$B$35:$E$35)&lt;&gt;4,MIN('Top 15'!$B$35:$E$35)&lt;0,SUM('Top 15'!$B$35:$E$35)&lt;=0),"",ROUND(85*(O2229/30*'Top 15'!$B$35+P2229/25*'Top 15'!$C$35+Q2229/25*'Top 15'!$D$35+R2229/5*'Top 15'!$E$35)/SUM('Top 15'!$B$35:$E$35),6))</x:f>
        <x:v>40</x:v>
      </x:c>
      <x:c r="U2229" s="1" t="str">
        <x:f>IF(A2229="","",IF(AND(M2229="Verified",N2229="Verified"),"Verified",IF(AND(M2229="Listed",N2229="Listed"),"Listed","Mixed")))</x:f>
        <x:v>Listed</x:v>
      </x:c>
      <x:c r="V2229" s="1" t="str">
        <x:f>IF(A2229="","",IF(AK2229&lt;&gt;1,"Duplicate source ID",IF(COUNTIFS('Staff Review'!$A$8:$A$507,A2229)&gt;1,"Duplicate review ID",IF(H2229&lt;&gt;"Yes","Outside scope",IF(J2229="Yes","Already served",IF(NOT(ISNUMBER(T2229)),"Missing data","Candidate"))))))</x:f>
        <x:v>Candidate</x:v>
      </x:c>
      <x:c r="W2229" s="1" t="n">
        <x:f>IF(AL2229=0,"",1+COUNTIFS($AL$2051:$AL$2550,1,$T$2051:$T$2550,"&gt;"&amp;T2229)+COUNTIFS($AL$2051:$AL$2550,1,$T$2051:$T$2550,T2229,$G$2051:$G$2550,"&gt;"&amp;G2229)+COUNTIFS($AL$2051:$AL$2550,1,$T$2051:$T$2550,T2229,$G$2051:$G$2550,G2229,$F$2051:$F$2550,"&gt;"&amp;F2229)+COUNTIFS($AL$2051:$AL$2550,1,$T$2051:$T$2550,T2229,$G$2051:$G$2550,G2229,$F$2051:$F$2550,F2229,$AM$2051:$AM$2550,"&lt;"&amp;AM2229))</x:f>
        <x:v>140</x:v>
      </x:c>
      <x:c r="X2229" s="1" t="n">
        <x:f>IF(AL2229=0,"",1+COUNTIFS($AL$2051:$AL$2550,1,$T$2051:$T$2550,"&gt;"&amp;T2229))</x:f>
        <x:v>133</x:v>
      </x:c>
      <x:c r="Y2229" s="1" t="n">
        <x:f>IF(AND(H2229="Yes",OR(LEN('School Search'!$B$5)=0,ISNUMBER(SEARCH('School Search'!$B$5,B2229&amp;" "&amp;E2229&amp;" "&amp;A2229))),OR('School Search'!$D$5="All",C2229='School Search'!$D$5),OR('School Search'!$G$5="All eligible",AND('School Search'!$G$5="Not marked served",J2229&lt;&gt;"Yes"),AND('School Search'!$G$5="Missing data",V2229="Missing data"),AND('School Search'!$G$5="Marked served",J2229="Yes"))),1,0)</x:f>
        <x:v>1</x:v>
      </x:c>
      <x:c r="Z2229" s="1" t="n">
        <x:f>IF(Y2229=0,"",COUNTIFS($Y$2051:$Y$2550,1,$AO$2051:$AO$2550,"&lt;"&amp;AO2229)+COUNTIFS($Y$2051:Y2229,1,$AO$2051:AO2229,AO2229))</x:f>
        <x:v>140</x:v>
      </x:c>
      <x:c r="AA2229" s="1" t="str">
        <x:f>IF(NOT(ISNUMBER(S2229)),"Missing demographic or access input",TEXT(G2229,"0%")&amp;" economic need; "&amp;TEXT(K2229,"0.00")&amp;" mi fresh access; "&amp;L2229&amp;" nearby resources")</x:f>
        <x:v>84% economic need; 0.38 mi fresh access; 11 nearby resources</x:v>
      </x:c>
      <x:c r="AB2229" s="1" t="n">
        <x:f>IF(OR(A2229="",COUNTIFS($A$1531:$A$2030,A2229)&lt;&gt;1),0,MATCH(A2229,$A$1531:$A$2030,0))</x:f>
        <x:v>179</x:v>
      </x:c>
      <x:c r="AC2229" s="1" t="str">
        <x:f>IF(AB2229=0,"",INDEX($E$1531:$E$2030,AB2229))</x:f>
        <x:v>COUSINS SUPERMARKET INC. #2</x:v>
      </x:c>
      <x:c r="AD2229" s="1" t="str">
        <x:f>IF(AB2229=0,"",INDEX($F$1531:$F$2030,AB2229))</x:f>
        <x:v>4037 N 5th St, Philadelphia, PA, 19140</x:v>
      </x:c>
      <x:c r="AE2229" s="1" t="str">
        <x:f>IF(A2229="","",F180)</x:f>
        <x:v>151 W LUZERNE ST</x:v>
      </x:c>
      <x:c r="AF2229" s="1" t="n">
        <x:f>IF(ISNUMBER(I180),I180,"")</x:f>
        <x:v>40.01116485</x:v>
      </x:c>
      <x:c r="AG2229" s="1" t="n">
        <x:f>IF(ISNUMBER(J180),J180,"")</x:f>
        <x:v>-75.12863791</x:v>
      </x:c>
      <x:c r="AH2229" s="1" t="str">
        <x:f>IF(I2229=0,"Not contacted",IF(INDEX('Staff Review'!$J$8:$J$507,I2229)="","Not contacted",INDEX('Staff Review'!$J$8:$J$507,I2229)))</x:f>
        <x:v>Not contacted</x:v>
      </x:c>
      <x:c r="AI2229" s="1" t="str">
        <x:f>IF(I2229=0,"No",IF(AND(COUNT(INDEX('Staff Review'!$D$8:$D$507,I2229))=1,INDEX('Staff Review'!$D$8:$D$507,I2229)&gt;=0,COUNT(INDEX('Staff Review'!$E$8:$E$507,I2229))=1,INDEX('Staff Review'!$E$8:$E$507,I2229)&gt;0,INDEX('Staff Review'!$E$8:$E$507,I2229)&lt;='Top 15'!$E$5,'Top 15'!$E$5-INDEX('Staff Review'!$E$8:$E$507,I2229)&lt;='Top 15'!$H$5,LEN(INDEX('Staff Review'!$H$8:$H$507,I2229))&gt;0),"Yes","No"))</x:f>
        <x:v>No</x:v>
      </x:c>
      <x:c r="AJ2229" s="1" t="str">
        <x:f>IF(I2229=0,"No",IF(COUNT(INDEX('Staff Review'!$F$8:$F$507,I2229))&lt;&gt;1,"No",IF(AND(INDEX('Staff Review'!$F$8:$F$507,I2229)&gt;=0,MOD(INDEX('Staff Review'!$F$8:$F$507,I2229),1)=0,COUNT(INDEX('Staff Review'!$G$8:$G$507,I2229))=1,INDEX('Staff Review'!$G$8:$G$507,I2229)&gt;0,INDEX('Staff Review'!$G$8:$G$507,I2229)&lt;='Top 15'!$E$5,'Top 15'!$E$5-INDEX('Staff Review'!$G$8:$G$507,I2229)&lt;='Top 15'!$H$5,LEN(INDEX('Staff Review'!$H$8:$H$507,I2229))&gt;0),"Yes","No")))</x:f>
        <x:v>No</x:v>
      </x:c>
      <x:c r="AK2229" s="1" t="n">
        <x:f>IF(A2229="",0,COUNTIFS($A$2:$A$501,A2229))</x:f>
        <x:v>1</x:v>
      </x:c>
      <x:c r="AL2229" s="1" t="n">
        <x:f>IF(V2229="Candidate",1,0)</x:f>
        <x:v>1</x:v>
      </x:c>
      <x:c r="AM2229" s="1" t="n">
        <x:f>IF(A2229="",0,VALUE(A2229))</x:f>
        <x:v>5020</x:v>
      </x:c>
      <x:c r="AN2229" s="1" t="n">
        <x:f>IF(OR(A2229="",COUNTIFS($T$41:$T$540,A2229)&lt;&gt;1),0,MATCH(A2229,$T$41:$T$540,0))</x:f>
        <x:v>179</x:v>
      </x:c>
      <x:c r="AO2229" t="n">
        <x:f>IF(ISNUMBER(W2229),W2229,10000+AM2229)</x:f>
        <x:v>140</x:v>
      </x:c>
    </x:row>
    <x:row r="2230" ht="22" customHeight="1">
      <x:c r="A2230" s="1" t="str">
        <x:f>IF(A181="","",A181)</x:f>
        <x:v>5050</x:v>
      </x:c>
      <x:c r="B2230" s="1" t="str">
        <x:f>IF(A2230="","",B181)</x:f>
        <x:v>Philadelphia Military Academy</x:v>
      </x:c>
      <x:c r="C2230" s="1" t="str">
        <x:f>IF(A2230="","",C181)</x:f>
        <x:v>District</x:v>
      </x:c>
      <x:c r="D2230" s="1" t="str">
        <x:f>IF(A2230="","",E181)</x:f>
        <x:v>High</x:v>
      </x:c>
      <x:c r="E2230" s="1" t="str">
        <x:f>IF(A2230="","",H181)</x:f>
        <x:v>19122</x:v>
      </x:c>
      <x:c r="F2230" s="1" t="n">
        <x:f>IF(ISNUMBER(K181),K181,"")</x:f>
        <x:v>264</x:v>
      </x:c>
      <x:c r="G2230" s="1" t="n">
        <x:f>IF(ISNUMBER(L181),L181,"")</x:f>
        <x:v>0.8972</x:v>
      </x:c>
      <x:c r="H2230" s="1" t="str">
        <x:f>IF(A2230="","",IF(AND(UPPER(G181)="PHILADELPHIA",OR(C2230="District",AND(C2230="Charter",D181="Yes"))),"Yes","No"))</x:f>
        <x:v>Yes</x:v>
      </x:c>
      <x:c r="I2230" s="1" t="n">
        <x:f>IF(OR(A2230="",COUNTIFS('Staff Review'!$A$8:$A$507,A2230)&lt;&gt;1),0,MATCH(A2230,'Staff Review'!$A$8:$A$507,0))</x:f>
        <x:v>239</x:v>
      </x:c>
      <x:c r="J2230" s="1" t="str">
        <x:f>IF(I2230=0,"No",IF(INDEX('Staff Review'!$C$8:$C$507,I2230)="Yes","Yes","No"))</x:f>
        <x:v>No</x:v>
      </x:c>
      <x:c r="K2230" s="1" t="n">
        <x:f>IF(AI2230="Yes",INDEX('Staff Review'!$D$8:$D$507,I2230),IF(AB2230=0,"",IF(COUNT(INDEX($C$1531:$C$2030,AB2230))=1,INDEX($C$1531:$C$2030,AB2230),"")))</x:f>
        <x:v>0.5857793237601087</x:v>
      </x:c>
      <x:c r="L2230" s="1" t="n">
        <x:f>IF(AJ2230="Yes",INDEX('Staff Review'!$F$8:$F$507,I2230),IF(AB2230=0,"",IF(COUNT(INDEX($G$1531:$G$2030,AB2230))=1,INDEX($G$1531:$G$2030,AB2230),"")))</x:f>
        <x:v>14</x:v>
      </x:c>
      <x:c r="M2230" s="1" t="str">
        <x:f>IF(A2230="","",IF(AI2230="Yes","Verified","Listed"))</x:f>
        <x:v>Listed</x:v>
      </x:c>
      <x:c r="N2230" s="1" t="str">
        <x:f>IF(A2230="","",IF(AJ2230="Yes","Verified","Listed"))</x:f>
        <x:v>Listed</x:v>
      </x:c>
      <x:c r="O2230" s="1" t="n">
        <x:f>IF(AND(ISNUMBER(G2230),G2230&gt;=0,G2230&lt;=1),IF(G2230&gt;=0.9,30,IF(G2230&gt;=0.8,25,IF(G2230&gt;=0.7,20,IF(G2230&gt;=0.6,15,IF(G2230&gt;=0.5,10,IF(G2230&gt;=0.4,5,0)))))),"")</x:f>
        <x:v>25</x:v>
      </x:c>
      <x:c r="P2230" s="1" t="n">
        <x:f>IF(ISNUMBER(K2230),IF(K2230&lt;0,"",IF(K2230&gt;1,25,IF(K2230&gt;=0.75,20,IF(K2230&gt;=0.5,15,IF(K2230&gt;=0.25,10,5))))),"")</x:f>
        <x:v>15</x:v>
      </x:c>
      <x:c r="Q2230" s="1" t="n">
        <x:f>IF(NOT(ISNUMBER(L2230)),"",IF(AND(L2230&gt;=0,MOD(L2230,1)=0),MAX(0,25-5*L2230),""))</x:f>
        <x:v>0</x:v>
      </x:c>
      <x:c r="R2230" s="1" t="n">
        <x:f>IF(NOT(ISNUMBER(F2230)),"",IF(AND(F2230&gt;0,MOD(F2230,1)=0),IF(F2230&gt;=700,5,IF(F2230&gt;=500,4,IF(F2230&gt;=350,3,IF(F2230&gt;=200,2,1)))),""))</x:f>
        <x:v>2</x:v>
      </x:c>
      <x:c r="S2230" s="1" t="n">
        <x:f>IF(COUNT(O2230:R2230)=4,SUM(O2230:R2230),"")</x:f>
        <x:v>42</x:v>
      </x:c>
      <x:c r="T2230" s="1" t="n">
        <x:f>IF(OR(COUNT(O2230:R2230)&lt;&gt;4,COUNT('Top 15'!$B$35:$E$35)&lt;&gt;4,MIN('Top 15'!$B$35:$E$35)&lt;0,SUM('Top 15'!$B$35:$E$35)&lt;=0),"",ROUND(85*(O2230/30*'Top 15'!$B$35+P2230/25*'Top 15'!$C$35+Q2230/25*'Top 15'!$D$35+R2230/5*'Top 15'!$E$35)/SUM('Top 15'!$B$35:$E$35),6))</x:f>
        <x:v>42</x:v>
      </x:c>
      <x:c r="U2230" s="1" t="str">
        <x:f>IF(A2230="","",IF(AND(M2230="Verified",N2230="Verified"),"Verified",IF(AND(M2230="Listed",N2230="Listed"),"Listed","Mixed")))</x:f>
        <x:v>Listed</x:v>
      </x:c>
      <x:c r="V2230" s="1" t="str">
        <x:f>IF(A2230="","",IF(AK2230&lt;&gt;1,"Duplicate source ID",IF(COUNTIFS('Staff Review'!$A$8:$A$507,A2230)&gt;1,"Duplicate review ID",IF(H2230&lt;&gt;"Yes","Outside scope",IF(J2230="Yes","Already served",IF(NOT(ISNUMBER(T2230)),"Missing data","Candidate"))))))</x:f>
        <x:v>Candidate</x:v>
      </x:c>
      <x:c r="W2230" s="1" t="n">
        <x:f>IF(AL2230=0,"",1+COUNTIFS($AL$2051:$AL$2550,1,$T$2051:$T$2550,"&gt;"&amp;T2230)+COUNTIFS($AL$2051:$AL$2550,1,$T$2051:$T$2550,T2230,$G$2051:$G$2550,"&gt;"&amp;G2230)+COUNTIFS($AL$2051:$AL$2550,1,$T$2051:$T$2550,T2230,$G$2051:$G$2550,G2230,$F$2051:$F$2550,"&gt;"&amp;F2230)+COUNTIFS($AL$2051:$AL$2550,1,$T$2051:$T$2550,T2230,$G$2051:$G$2550,G2230,$F$2051:$F$2550,F2230,$AM$2051:$AM$2550,"&lt;"&amp;AM2230))</x:f>
        <x:v>113</x:v>
      </x:c>
      <x:c r="X2230" s="1" t="n">
        <x:f>IF(AL2230=0,"",1+COUNTIFS($AL$2051:$AL$2550,1,$T$2051:$T$2550,"&gt;"&amp;T2230))</x:f>
        <x:v>101</x:v>
      </x:c>
      <x:c r="Y2230" s="1" t="n">
        <x:f>IF(AND(H2230="Yes",OR(LEN('School Search'!$B$5)=0,ISNUMBER(SEARCH('School Search'!$B$5,B2230&amp;" "&amp;E2230&amp;" "&amp;A2230))),OR('School Search'!$D$5="All",C2230='School Search'!$D$5),OR('School Search'!$G$5="All eligible",AND('School Search'!$G$5="Not marked served",J2230&lt;&gt;"Yes"),AND('School Search'!$G$5="Missing data",V2230="Missing data"),AND('School Search'!$G$5="Marked served",J2230="Yes"))),1,0)</x:f>
        <x:v>1</x:v>
      </x:c>
      <x:c r="Z2230" s="1" t="n">
        <x:f>IF(Y2230=0,"",COUNTIFS($Y$2051:$Y$2550,1,$AO$2051:$AO$2550,"&lt;"&amp;AO2230)+COUNTIFS($Y$2051:Y2230,1,$AO$2051:AO2230,AO2230))</x:f>
        <x:v>113</x:v>
      </x:c>
      <x:c r="AA2230" s="1" t="str">
        <x:f>IF(NOT(ISNUMBER(S2230)),"Missing demographic or access input",TEXT(G2230,"0%")&amp;" economic need; "&amp;TEXT(K2230,"0.00")&amp;" mi fresh access; "&amp;L2230&amp;" nearby resources")</x:f>
        <x:v>90% economic need; 0.59 mi fresh access; 14 nearby resources</x:v>
      </x:c>
      <x:c r="AB2230" s="1" t="n">
        <x:f>IF(OR(A2230="",COUNTIFS($A$1531:$A$2030,A2230)&lt;&gt;1),0,MATCH(A2230,$A$1531:$A$2030,0))</x:f>
        <x:v>180</x:v>
      </x:c>
      <x:c r="AC2230" s="1" t="str">
        <x:f>IF(AB2230=0,"",INDEX($E$1531:$E$2030,AB2230))</x:f>
        <x:v>The Fresh Grocer</x:v>
      </x:c>
      <x:c r="AD2230" s="1" t="str">
        <x:f>IF(AB2230=0,"",INDEX($F$1531:$F$2030,AB2230))</x:f>
        <x:v>1501 N Broad St, Philadelphia, PA, 19122</x:v>
      </x:c>
      <x:c r="AE2230" s="1" t="str">
        <x:f>IF(A2230="","",F181)</x:f>
        <x:v>2118 N. 13TH ST.</x:v>
      </x:c>
      <x:c r="AF2230" s="1" t="n">
        <x:f>IF(ISNUMBER(I181),I181,"")</x:f>
        <x:v>39.98470959</x:v>
      </x:c>
      <x:c r="AG2230" s="1" t="n">
        <x:f>IF(ISNUMBER(J181),J181,"")</x:f>
        <x:v>-75.15443401</x:v>
      </x:c>
      <x:c r="AH2230" s="1" t="str">
        <x:f>IF(I2230=0,"Not contacted",IF(INDEX('Staff Review'!$J$8:$J$507,I2230)="","Not contacted",INDEX('Staff Review'!$J$8:$J$507,I2230)))</x:f>
        <x:v>Not contacted</x:v>
      </x:c>
      <x:c r="AI2230" s="1" t="str">
        <x:f>IF(I2230=0,"No",IF(AND(COUNT(INDEX('Staff Review'!$D$8:$D$507,I2230))=1,INDEX('Staff Review'!$D$8:$D$507,I2230)&gt;=0,COUNT(INDEX('Staff Review'!$E$8:$E$507,I2230))=1,INDEX('Staff Review'!$E$8:$E$507,I2230)&gt;0,INDEX('Staff Review'!$E$8:$E$507,I2230)&lt;='Top 15'!$E$5,'Top 15'!$E$5-INDEX('Staff Review'!$E$8:$E$507,I2230)&lt;='Top 15'!$H$5,LEN(INDEX('Staff Review'!$H$8:$H$507,I2230))&gt;0),"Yes","No"))</x:f>
        <x:v>No</x:v>
      </x:c>
      <x:c r="AJ2230" s="1" t="str">
        <x:f>IF(I2230=0,"No",IF(COUNT(INDEX('Staff Review'!$F$8:$F$507,I2230))&lt;&gt;1,"No",IF(AND(INDEX('Staff Review'!$F$8:$F$507,I2230)&gt;=0,MOD(INDEX('Staff Review'!$F$8:$F$507,I2230),1)=0,COUNT(INDEX('Staff Review'!$G$8:$G$507,I2230))=1,INDEX('Staff Review'!$G$8:$G$507,I2230)&gt;0,INDEX('Staff Review'!$G$8:$G$507,I2230)&lt;='Top 15'!$E$5,'Top 15'!$E$5-INDEX('Staff Review'!$G$8:$G$507,I2230)&lt;='Top 15'!$H$5,LEN(INDEX('Staff Review'!$H$8:$H$507,I2230))&gt;0),"Yes","No")))</x:f>
        <x:v>No</x:v>
      </x:c>
      <x:c r="AK2230" s="1" t="n">
        <x:f>IF(A2230="",0,COUNTIFS($A$2:$A$501,A2230))</x:f>
        <x:v>1</x:v>
      </x:c>
      <x:c r="AL2230" s="1" t="n">
        <x:f>IF(V2230="Candidate",1,0)</x:f>
        <x:v>1</x:v>
      </x:c>
      <x:c r="AM2230" s="1" t="n">
        <x:f>IF(A2230="",0,VALUE(A2230))</x:f>
        <x:v>5050</x:v>
      </x:c>
      <x:c r="AN2230" s="1" t="n">
        <x:f>IF(OR(A2230="",COUNTIFS($T$41:$T$540,A2230)&lt;&gt;1),0,MATCH(A2230,$T$41:$T$540,0))</x:f>
        <x:v>180</x:v>
      </x:c>
      <x:c r="AO2230" t="n">
        <x:f>IF(ISNUMBER(W2230),W2230,10000+AM2230)</x:f>
        <x:v>113</x:v>
      </x:c>
    </x:row>
    <x:row r="2231" ht="22" customHeight="1">
      <x:c r="A2231" s="1" t="str">
        <x:f>IF(A182="","",A182)</x:f>
        <x:v>5060</x:v>
      </x:c>
      <x:c r="B2231" s="1" t="str">
        <x:f>IF(A2231="","",B182)</x:f>
        <x:v>Jules E. Mastbaum Area Vocational Technical High School</x:v>
      </x:c>
      <x:c r="C2231" s="1" t="str">
        <x:f>IF(A2231="","",C182)</x:f>
        <x:v>District</x:v>
      </x:c>
      <x:c r="D2231" s="1" t="str">
        <x:f>IF(A2231="","",E182)</x:f>
        <x:v>High</x:v>
      </x:c>
      <x:c r="E2231" s="1" t="str">
        <x:f>IF(A2231="","",H182)</x:f>
        <x:v>19134</x:v>
      </x:c>
      <x:c r="F2231" s="1" t="n">
        <x:f>IF(ISNUMBER(K182),K182,"")</x:f>
        <x:v>676</x:v>
      </x:c>
      <x:c r="G2231" s="1" t="n">
        <x:f>IF(ISNUMBER(L182),L182,"")</x:f>
        <x:v>0.8795</x:v>
      </x:c>
      <x:c r="H2231" s="1" t="str">
        <x:f>IF(A2231="","",IF(AND(UPPER(G182)="PHILADELPHIA",OR(C2231="District",AND(C2231="Charter",D182="Yes"))),"Yes","No"))</x:f>
        <x:v>Yes</x:v>
      </x:c>
      <x:c r="I2231" s="1" t="n">
        <x:f>IF(OR(A2231="",COUNTIFS('Staff Review'!$A$8:$A$507,A2231)&lt;&gt;1),0,MATCH(A2231,'Staff Review'!$A$8:$A$507,0))</x:f>
        <x:v>150</x:v>
      </x:c>
      <x:c r="J2231" s="1" t="str">
        <x:f>IF(I2231=0,"No",IF(INDEX('Staff Review'!$C$8:$C$507,I2231)="Yes","Yes","No"))</x:f>
        <x:v>No</x:v>
      </x:c>
      <x:c r="K2231" s="1" t="n">
        <x:f>IF(AI2231="Yes",INDEX('Staff Review'!$D$8:$D$507,I2231),IF(AB2231=0,"",IF(COUNT(INDEX($C$1531:$C$2030,AB2231))=1,INDEX($C$1531:$C$2030,AB2231),"")))</x:f>
        <x:v>0.7012719972909999</x:v>
      </x:c>
      <x:c r="L2231" s="1" t="n">
        <x:f>IF(AJ2231="Yes",INDEX('Staff Review'!$F$8:$F$507,I2231),IF(AB2231=0,"",IF(COUNT(INDEX($G$1531:$G$2030,AB2231))=1,INDEX($G$1531:$G$2030,AB2231),"")))</x:f>
        <x:v>9</x:v>
      </x:c>
      <x:c r="M2231" s="1" t="str">
        <x:f>IF(A2231="","",IF(AI2231="Yes","Verified","Listed"))</x:f>
        <x:v>Listed</x:v>
      </x:c>
      <x:c r="N2231" s="1" t="str">
        <x:f>IF(A2231="","",IF(AJ2231="Yes","Verified","Listed"))</x:f>
        <x:v>Listed</x:v>
      </x:c>
      <x:c r="O2231" s="1" t="n">
        <x:f>IF(AND(ISNUMBER(G2231),G2231&gt;=0,G2231&lt;=1),IF(G2231&gt;=0.9,30,IF(G2231&gt;=0.8,25,IF(G2231&gt;=0.7,20,IF(G2231&gt;=0.6,15,IF(G2231&gt;=0.5,10,IF(G2231&gt;=0.4,5,0)))))),"")</x:f>
        <x:v>25</x:v>
      </x:c>
      <x:c r="P2231" s="1" t="n">
        <x:f>IF(ISNUMBER(K2231),IF(K2231&lt;0,"",IF(K2231&gt;1,25,IF(K2231&gt;=0.75,20,IF(K2231&gt;=0.5,15,IF(K2231&gt;=0.25,10,5))))),"")</x:f>
        <x:v>15</x:v>
      </x:c>
      <x:c r="Q2231" s="1" t="n">
        <x:f>IF(NOT(ISNUMBER(L2231)),"",IF(AND(L2231&gt;=0,MOD(L2231,1)=0),MAX(0,25-5*L2231),""))</x:f>
        <x:v>0</x:v>
      </x:c>
      <x:c r="R2231" s="1" t="n">
        <x:f>IF(NOT(ISNUMBER(F2231)),"",IF(AND(F2231&gt;0,MOD(F2231,1)=0),IF(F2231&gt;=700,5,IF(F2231&gt;=500,4,IF(F2231&gt;=350,3,IF(F2231&gt;=200,2,1)))),""))</x:f>
        <x:v>4</x:v>
      </x:c>
      <x:c r="S2231" s="1" t="n">
        <x:f>IF(COUNT(O2231:R2231)=4,SUM(O2231:R2231),"")</x:f>
        <x:v>44</x:v>
      </x:c>
      <x:c r="T2231" s="1" t="n">
        <x:f>IF(OR(COUNT(O2231:R2231)&lt;&gt;4,COUNT('Top 15'!$B$35:$E$35)&lt;&gt;4,MIN('Top 15'!$B$35:$E$35)&lt;0,SUM('Top 15'!$B$35:$E$35)&lt;=0),"",ROUND(85*(O2231/30*'Top 15'!$B$35+P2231/25*'Top 15'!$C$35+Q2231/25*'Top 15'!$D$35+R2231/5*'Top 15'!$E$35)/SUM('Top 15'!$B$35:$E$35),6))</x:f>
        <x:v>44</x:v>
      </x:c>
      <x:c r="U2231" s="1" t="str">
        <x:f>IF(A2231="","",IF(AND(M2231="Verified",N2231="Verified"),"Verified",IF(AND(M2231="Listed",N2231="Listed"),"Listed","Mixed")))</x:f>
        <x:v>Listed</x:v>
      </x:c>
      <x:c r="V2231" s="1" t="str">
        <x:f>IF(A2231="","",IF(AK2231&lt;&gt;1,"Duplicate source ID",IF(COUNTIFS('Staff Review'!$A$8:$A$507,A2231)&gt;1,"Duplicate review ID",IF(H2231&lt;&gt;"Yes","Outside scope",IF(J2231="Yes","Already served",IF(NOT(ISNUMBER(T2231)),"Missing data","Candidate"))))))</x:f>
        <x:v>Candidate</x:v>
      </x:c>
      <x:c r="W2231" s="1" t="n">
        <x:f>IF(AL2231=0,"",1+COUNTIFS($AL$2051:$AL$2550,1,$T$2051:$T$2550,"&gt;"&amp;T2231)+COUNTIFS($AL$2051:$AL$2550,1,$T$2051:$T$2550,T2231,$G$2051:$G$2550,"&gt;"&amp;G2231)+COUNTIFS($AL$2051:$AL$2550,1,$T$2051:$T$2550,T2231,$G$2051:$G$2550,G2231,$F$2051:$F$2550,"&gt;"&amp;F2231)+COUNTIFS($AL$2051:$AL$2550,1,$T$2051:$T$2550,T2231,$G$2051:$G$2550,G2231,$F$2051:$F$2550,F2231,$AM$2051:$AM$2550,"&lt;"&amp;AM2231))</x:f>
        <x:v>86</x:v>
      </x:c>
      <x:c r="X2231" s="1" t="n">
        <x:f>IF(AL2231=0,"",1+COUNTIFS($AL$2051:$AL$2550,1,$T$2051:$T$2550,"&gt;"&amp;T2231))</x:f>
        <x:v>81</x:v>
      </x:c>
      <x:c r="Y2231" s="1" t="n">
        <x:f>IF(AND(H2231="Yes",OR(LEN('School Search'!$B$5)=0,ISNUMBER(SEARCH('School Search'!$B$5,B2231&amp;" "&amp;E2231&amp;" "&amp;A2231))),OR('School Search'!$D$5="All",C2231='School Search'!$D$5),OR('School Search'!$G$5="All eligible",AND('School Search'!$G$5="Not marked served",J2231&lt;&gt;"Yes"),AND('School Search'!$G$5="Missing data",V2231="Missing data"),AND('School Search'!$G$5="Marked served",J2231="Yes"))),1,0)</x:f>
        <x:v>1</x:v>
      </x:c>
      <x:c r="Z2231" s="1" t="n">
        <x:f>IF(Y2231=0,"",COUNTIFS($Y$2051:$Y$2550,1,$AO$2051:$AO$2550,"&lt;"&amp;AO2231)+COUNTIFS($Y$2051:Y2231,1,$AO$2051:AO2231,AO2231))</x:f>
        <x:v>86</x:v>
      </x:c>
      <x:c r="AA2231" s="1" t="str">
        <x:f>IF(NOT(ISNUMBER(S2231)),"Missing demographic or access input",TEXT(G2231,"0%")&amp;" economic need; "&amp;TEXT(K2231,"0.00")&amp;" mi fresh access; "&amp;L2231&amp;" nearby resources")</x:f>
        <x:v>88% economic need; 0.70 mi fresh access; 9 nearby resources</x:v>
      </x:c>
      <x:c r="AB2231" s="1" t="n">
        <x:f>IF(OR(A2231="",COUNTIFS($A$1531:$A$2030,A2231)&lt;&gt;1),0,MATCH(A2231,$A$1531:$A$2030,0))</x:f>
        <x:v>181</x:v>
      </x:c>
      <x:c r="AC2231" s="1" t="str">
        <x:f>IF(AB2231=0,"",INDEX($E$1531:$E$2030,AB2231))</x:f>
        <x:v>Save A Lot 30224</x:v>
      </x:c>
      <x:c r="AD2231" s="1" t="str">
        <x:f>IF(AB2231=0,"",INDEX($F$1531:$F$2030,AB2231))</x:f>
        <x:v>2132 E Lehigh Ave, Philadelphia, PA, 19125</x:v>
      </x:c>
      <x:c r="AE2231" s="1" t="str">
        <x:f>IF(A2231="","",F182)</x:f>
        <x:v>3116 FRANKFORD AVE</x:v>
      </x:c>
      <x:c r="AF2231" s="1" t="n">
        <x:f>IF(ISNUMBER(I182),I182,"")</x:f>
        <x:v>39.99214686</x:v>
      </x:c>
      <x:c r="AG2231" s="1" t="n">
        <x:f>IF(ISNUMBER(J182),J182,"")</x:f>
        <x:v>-75.11213573</x:v>
      </x:c>
      <x:c r="AH2231" s="1" t="str">
        <x:f>IF(I2231=0,"Not contacted",IF(INDEX('Staff Review'!$J$8:$J$507,I2231)="","Not contacted",INDEX('Staff Review'!$J$8:$J$507,I2231)))</x:f>
        <x:v>Not contacted</x:v>
      </x:c>
      <x:c r="AI2231" s="1" t="str">
        <x:f>IF(I2231=0,"No",IF(AND(COUNT(INDEX('Staff Review'!$D$8:$D$507,I2231))=1,INDEX('Staff Review'!$D$8:$D$507,I2231)&gt;=0,COUNT(INDEX('Staff Review'!$E$8:$E$507,I2231))=1,INDEX('Staff Review'!$E$8:$E$507,I2231)&gt;0,INDEX('Staff Review'!$E$8:$E$507,I2231)&lt;='Top 15'!$E$5,'Top 15'!$E$5-INDEX('Staff Review'!$E$8:$E$507,I2231)&lt;='Top 15'!$H$5,LEN(INDEX('Staff Review'!$H$8:$H$507,I2231))&gt;0),"Yes","No"))</x:f>
        <x:v>No</x:v>
      </x:c>
      <x:c r="AJ2231" s="1" t="str">
        <x:f>IF(I2231=0,"No",IF(COUNT(INDEX('Staff Review'!$F$8:$F$507,I2231))&lt;&gt;1,"No",IF(AND(INDEX('Staff Review'!$F$8:$F$507,I2231)&gt;=0,MOD(INDEX('Staff Review'!$F$8:$F$507,I2231),1)=0,COUNT(INDEX('Staff Review'!$G$8:$G$507,I2231))=1,INDEX('Staff Review'!$G$8:$G$507,I2231)&gt;0,INDEX('Staff Review'!$G$8:$G$507,I2231)&lt;='Top 15'!$E$5,'Top 15'!$E$5-INDEX('Staff Review'!$G$8:$G$507,I2231)&lt;='Top 15'!$H$5,LEN(INDEX('Staff Review'!$H$8:$H$507,I2231))&gt;0),"Yes","No")))</x:f>
        <x:v>No</x:v>
      </x:c>
      <x:c r="AK2231" s="1" t="n">
        <x:f>IF(A2231="",0,COUNTIFS($A$2:$A$501,A2231))</x:f>
        <x:v>1</x:v>
      </x:c>
      <x:c r="AL2231" s="1" t="n">
        <x:f>IF(V2231="Candidate",1,0)</x:f>
        <x:v>1</x:v>
      </x:c>
      <x:c r="AM2231" s="1" t="n">
        <x:f>IF(A2231="",0,VALUE(A2231))</x:f>
        <x:v>5060</x:v>
      </x:c>
      <x:c r="AN2231" s="1" t="n">
        <x:f>IF(OR(A2231="",COUNTIFS($T$41:$T$540,A2231)&lt;&gt;1),0,MATCH(A2231,$T$41:$T$540,0))</x:f>
        <x:v>181</x:v>
      </x:c>
      <x:c r="AO2231" t="n">
        <x:f>IF(ISNUMBER(W2231),W2231,10000+AM2231)</x:f>
        <x:v>86</x:v>
      </x:c>
    </x:row>
    <x:row r="2232" ht="22" customHeight="1">
      <x:c r="A2232" s="1" t="str">
        <x:f>IF(A183="","",A183)</x:f>
        <x:v>5070</x:v>
      </x:c>
      <x:c r="B2232" s="1" t="str">
        <x:f>IF(A2232="","",B183)</x:f>
        <x:v>Parkway Northwest High School</x:v>
      </x:c>
      <x:c r="C2232" s="1" t="str">
        <x:f>IF(A2232="","",C183)</x:f>
        <x:v>District</x:v>
      </x:c>
      <x:c r="D2232" s="1" t="str">
        <x:f>IF(A2232="","",E183)</x:f>
        <x:v>High</x:v>
      </x:c>
      <x:c r="E2232" s="1" t="str">
        <x:f>IF(A2232="","",H183)</x:f>
        <x:v>19138</x:v>
      </x:c>
      <x:c r="F2232" s="1" t="n">
        <x:f>IF(ISNUMBER(K183),K183,"")</x:f>
        <x:v>248</x:v>
      </x:c>
      <x:c r="G2232" s="1" t="n">
        <x:f>IF(ISNUMBER(L183),L183,"")</x:f>
        <x:v>0.7375</x:v>
      </x:c>
      <x:c r="H2232" s="1" t="str">
        <x:f>IF(A2232="","",IF(AND(UPPER(G183)="PHILADELPHIA",OR(C2232="District",AND(C2232="Charter",D183="Yes"))),"Yes","No"))</x:f>
        <x:v>Yes</x:v>
      </x:c>
      <x:c r="I2232" s="1" t="n">
        <x:f>IF(OR(A2232="",COUNTIFS('Staff Review'!$A$8:$A$507,A2232)&lt;&gt;1),0,MATCH(A2232,'Staff Review'!$A$8:$A$507,0))</x:f>
        <x:v>223</x:v>
      </x:c>
      <x:c r="J2232" s="1" t="str">
        <x:f>IF(I2232=0,"No",IF(INDEX('Staff Review'!$C$8:$C$507,I2232)="Yes","Yes","No"))</x:f>
        <x:v>No</x:v>
      </x:c>
      <x:c r="K2232" s="1" t="n">
        <x:f>IF(AI2232="Yes",INDEX('Staff Review'!$D$8:$D$507,I2232),IF(AB2232=0,"",IF(COUNT(INDEX($C$1531:$C$2030,AB2232))=1,INDEX($C$1531:$C$2030,AB2232),"")))</x:f>
        <x:v>0.6204256696521764</x:v>
      </x:c>
      <x:c r="L2232" s="1" t="n">
        <x:f>IF(AJ2232="Yes",INDEX('Staff Review'!$F$8:$F$507,I2232),IF(AB2232=0,"",IF(COUNT(INDEX($G$1531:$G$2030,AB2232))=1,INDEX($G$1531:$G$2030,AB2232),"")))</x:f>
        <x:v>12</x:v>
      </x:c>
      <x:c r="M2232" s="1" t="str">
        <x:f>IF(A2232="","",IF(AI2232="Yes","Verified","Listed"))</x:f>
        <x:v>Listed</x:v>
      </x:c>
      <x:c r="N2232" s="1" t="str">
        <x:f>IF(A2232="","",IF(AJ2232="Yes","Verified","Listed"))</x:f>
        <x:v>Listed</x:v>
      </x:c>
      <x:c r="O2232" s="1" t="n">
        <x:f>IF(AND(ISNUMBER(G2232),G2232&gt;=0,G2232&lt;=1),IF(G2232&gt;=0.9,30,IF(G2232&gt;=0.8,25,IF(G2232&gt;=0.7,20,IF(G2232&gt;=0.6,15,IF(G2232&gt;=0.5,10,IF(G2232&gt;=0.4,5,0)))))),"")</x:f>
        <x:v>20</x:v>
      </x:c>
      <x:c r="P2232" s="1" t="n">
        <x:f>IF(ISNUMBER(K2232),IF(K2232&lt;0,"",IF(K2232&gt;1,25,IF(K2232&gt;=0.75,20,IF(K2232&gt;=0.5,15,IF(K2232&gt;=0.25,10,5))))),"")</x:f>
        <x:v>15</x:v>
      </x:c>
      <x:c r="Q2232" s="1" t="n">
        <x:f>IF(NOT(ISNUMBER(L2232)),"",IF(AND(L2232&gt;=0,MOD(L2232,1)=0),MAX(0,25-5*L2232),""))</x:f>
        <x:v>0</x:v>
      </x:c>
      <x:c r="R2232" s="1" t="n">
        <x:f>IF(NOT(ISNUMBER(F2232)),"",IF(AND(F2232&gt;0,MOD(F2232,1)=0),IF(F2232&gt;=700,5,IF(F2232&gt;=500,4,IF(F2232&gt;=350,3,IF(F2232&gt;=200,2,1)))),""))</x:f>
        <x:v>2</x:v>
      </x:c>
      <x:c r="S2232" s="1" t="n">
        <x:f>IF(COUNT(O2232:R2232)=4,SUM(O2232:R2232),"")</x:f>
        <x:v>37</x:v>
      </x:c>
      <x:c r="T2232" s="1" t="n">
        <x:f>IF(OR(COUNT(O2232:R2232)&lt;&gt;4,COUNT('Top 15'!$B$35:$E$35)&lt;&gt;4,MIN('Top 15'!$B$35:$E$35)&lt;0,SUM('Top 15'!$B$35:$E$35)&lt;=0),"",ROUND(85*(O2232/30*'Top 15'!$B$35+P2232/25*'Top 15'!$C$35+Q2232/25*'Top 15'!$D$35+R2232/5*'Top 15'!$E$35)/SUM('Top 15'!$B$35:$E$35),6))</x:f>
        <x:v>37</x:v>
      </x:c>
      <x:c r="U2232" s="1" t="str">
        <x:f>IF(A2232="","",IF(AND(M2232="Verified",N2232="Verified"),"Verified",IF(AND(M2232="Listed",N2232="Listed"),"Listed","Mixed")))</x:f>
        <x:v>Listed</x:v>
      </x:c>
      <x:c r="V2232" s="1" t="str">
        <x:f>IF(A2232="","",IF(AK2232&lt;&gt;1,"Duplicate source ID",IF(COUNTIFS('Staff Review'!$A$8:$A$507,A2232)&gt;1,"Duplicate review ID",IF(H2232&lt;&gt;"Yes","Outside scope",IF(J2232="Yes","Already served",IF(NOT(ISNUMBER(T2232)),"Missing data","Candidate"))))))</x:f>
        <x:v>Candidate</x:v>
      </x:c>
      <x:c r="W2232" s="1" t="n">
        <x:f>IF(AL2232=0,"",1+COUNTIFS($AL$2051:$AL$2550,1,$T$2051:$T$2550,"&gt;"&amp;T2232)+COUNTIFS($AL$2051:$AL$2550,1,$T$2051:$T$2550,T2232,$G$2051:$G$2550,"&gt;"&amp;G2232)+COUNTIFS($AL$2051:$AL$2550,1,$T$2051:$T$2550,T2232,$G$2051:$G$2550,G2232,$F$2051:$F$2550,"&gt;"&amp;F2232)+COUNTIFS($AL$2051:$AL$2550,1,$T$2051:$T$2550,T2232,$G$2051:$G$2550,G2232,$F$2051:$F$2550,F2232,$AM$2051:$AM$2550,"&lt;"&amp;AM2232))</x:f>
        <x:v>204</x:v>
      </x:c>
      <x:c r="X2232" s="1" t="n">
        <x:f>IF(AL2232=0,"",1+COUNTIFS($AL$2051:$AL$2550,1,$T$2051:$T$2550,"&gt;"&amp;T2232))</x:f>
        <x:v>182</x:v>
      </x:c>
      <x:c r="Y2232" s="1" t="n">
        <x:f>IF(AND(H2232="Yes",OR(LEN('School Search'!$B$5)=0,ISNUMBER(SEARCH('School Search'!$B$5,B2232&amp;" "&amp;E2232&amp;" "&amp;A2232))),OR('School Search'!$D$5="All",C2232='School Search'!$D$5),OR('School Search'!$G$5="All eligible",AND('School Search'!$G$5="Not marked served",J2232&lt;&gt;"Yes"),AND('School Search'!$G$5="Missing data",V2232="Missing data"),AND('School Search'!$G$5="Marked served",J2232="Yes"))),1,0)</x:f>
        <x:v>1</x:v>
      </x:c>
      <x:c r="Z2232" s="1" t="n">
        <x:f>IF(Y2232=0,"",COUNTIFS($Y$2051:$Y$2550,1,$AO$2051:$AO$2550,"&lt;"&amp;AO2232)+COUNTIFS($Y$2051:Y2232,1,$AO$2051:AO2232,AO2232))</x:f>
        <x:v>204</x:v>
      </x:c>
      <x:c r="AA2232" s="1" t="str">
        <x:f>IF(NOT(ISNUMBER(S2232)),"Missing demographic or access input",TEXT(G2232,"0%")&amp;" economic need; "&amp;TEXT(K2232,"0.00")&amp;" mi fresh access; "&amp;L2232&amp;" nearby resources")</x:f>
        <x:v>74% economic need; 0.62 mi fresh access; 12 nearby resources</x:v>
      </x:c>
      <x:c r="AB2232" s="1" t="n">
        <x:f>IF(OR(A2232="",COUNTIFS($A$1531:$A$2030,A2232)&lt;&gt;1),0,MATCH(A2232,$A$1531:$A$2030,0))</x:f>
        <x:v>182</x:v>
      </x:c>
      <x:c r="AC2232" s="1" t="str">
        <x:f>IF(AB2232=0,"",INDEX($E$1531:$E$2030,AB2232))</x:f>
        <x:v>Save A Lot 45141</x:v>
      </x:c>
      <x:c r="AD2232" s="1" t="str">
        <x:f>IF(AB2232=0,"",INDEX($F$1531:$F$2030,AB2232))</x:f>
        <x:v>6301 Chew Ave, Philadelphia, PA, 19138</x:v>
      </x:c>
      <x:c r="AE2232" s="1" t="str">
        <x:f>IF(A2232="","",F183)</x:f>
        <x:v>6200 CRITTENDEN ST</x:v>
      </x:c>
      <x:c r="AF2232" s="1" t="n">
        <x:f>IF(ISNUMBER(I183),I183,"")</x:f>
        <x:v>40.05664074</x:v>
      </x:c>
      <x:c r="AG2232" s="1" t="n">
        <x:f>IF(ISNUMBER(J183),J183,"")</x:f>
        <x:v>-75.16457453</x:v>
      </x:c>
      <x:c r="AH2232" s="1" t="str">
        <x:f>IF(I2232=0,"Not contacted",IF(INDEX('Staff Review'!$J$8:$J$507,I2232)="","Not contacted",INDEX('Staff Review'!$J$8:$J$507,I2232)))</x:f>
        <x:v>Not contacted</x:v>
      </x:c>
      <x:c r="AI2232" s="1" t="str">
        <x:f>IF(I2232=0,"No",IF(AND(COUNT(INDEX('Staff Review'!$D$8:$D$507,I2232))=1,INDEX('Staff Review'!$D$8:$D$507,I2232)&gt;=0,COUNT(INDEX('Staff Review'!$E$8:$E$507,I2232))=1,INDEX('Staff Review'!$E$8:$E$507,I2232)&gt;0,INDEX('Staff Review'!$E$8:$E$507,I2232)&lt;='Top 15'!$E$5,'Top 15'!$E$5-INDEX('Staff Review'!$E$8:$E$507,I2232)&lt;='Top 15'!$H$5,LEN(INDEX('Staff Review'!$H$8:$H$507,I2232))&gt;0),"Yes","No"))</x:f>
        <x:v>No</x:v>
      </x:c>
      <x:c r="AJ2232" s="1" t="str">
        <x:f>IF(I2232=0,"No",IF(COUNT(INDEX('Staff Review'!$F$8:$F$507,I2232))&lt;&gt;1,"No",IF(AND(INDEX('Staff Review'!$F$8:$F$507,I2232)&gt;=0,MOD(INDEX('Staff Review'!$F$8:$F$507,I2232),1)=0,COUNT(INDEX('Staff Review'!$G$8:$G$507,I2232))=1,INDEX('Staff Review'!$G$8:$G$507,I2232)&gt;0,INDEX('Staff Review'!$G$8:$G$507,I2232)&lt;='Top 15'!$E$5,'Top 15'!$E$5-INDEX('Staff Review'!$G$8:$G$507,I2232)&lt;='Top 15'!$H$5,LEN(INDEX('Staff Review'!$H$8:$H$507,I2232))&gt;0),"Yes","No")))</x:f>
        <x:v>No</x:v>
      </x:c>
      <x:c r="AK2232" s="1" t="n">
        <x:f>IF(A2232="",0,COUNTIFS($A$2:$A$501,A2232))</x:f>
        <x:v>1</x:v>
      </x:c>
      <x:c r="AL2232" s="1" t="n">
        <x:f>IF(V2232="Candidate",1,0)</x:f>
        <x:v>1</x:v>
      </x:c>
      <x:c r="AM2232" s="1" t="n">
        <x:f>IF(A2232="",0,VALUE(A2232))</x:f>
        <x:v>5070</x:v>
      </x:c>
      <x:c r="AN2232" s="1" t="n">
        <x:f>IF(OR(A2232="",COUNTIFS($T$41:$T$540,A2232)&lt;&gt;1),0,MATCH(A2232,$T$41:$T$540,0))</x:f>
        <x:v>182</x:v>
      </x:c>
      <x:c r="AO2232" t="n">
        <x:f>IF(ISNUMBER(W2232),W2232,10000+AM2232)</x:f>
        <x:v>204</x:v>
      </x:c>
    </x:row>
    <x:row r="2233" ht="22" customHeight="1">
      <x:c r="A2233" s="1" t="str">
        <x:f>IF(A184="","",A184)</x:f>
        <x:v>5080</x:v>
      </x:c>
      <x:c r="B2233" s="1" t="str">
        <x:f>IF(A2233="","",B184)</x:f>
        <x:v>Parkway Center City Middle College High School</x:v>
      </x:c>
      <x:c r="C2233" s="1" t="str">
        <x:f>IF(A2233="","",C184)</x:f>
        <x:v>District</x:v>
      </x:c>
      <x:c r="D2233" s="1" t="str">
        <x:f>IF(A2233="","",E184)</x:f>
        <x:v>High</x:v>
      </x:c>
      <x:c r="E2233" s="1" t="str">
        <x:f>IF(A2233="","",H184)</x:f>
        <x:v>19123</x:v>
      </x:c>
      <x:c r="F2233" s="1" t="n">
        <x:f>IF(ISNUMBER(K184),K184,"")</x:f>
        <x:v>449</x:v>
      </x:c>
      <x:c r="G2233" s="1" t="n">
        <x:f>IF(ISNUMBER(L184),L184,"")</x:f>
        <x:v>0.6808</x:v>
      </x:c>
      <x:c r="H2233" s="1" t="str">
        <x:f>IF(A2233="","",IF(AND(UPPER(G184)="PHILADELPHIA",OR(C2233="District",AND(C2233="Charter",D184="Yes"))),"Yes","No"))</x:f>
        <x:v>Yes</x:v>
      </x:c>
      <x:c r="I2233" s="1" t="n">
        <x:f>IF(OR(A2233="",COUNTIFS('Staff Review'!$A$8:$A$507,A2233)&lt;&gt;1),0,MATCH(A2233,'Staff Review'!$A$8:$A$507,0))</x:f>
        <x:v>222</x:v>
      </x:c>
      <x:c r="J2233" s="1" t="str">
        <x:f>IF(I2233=0,"No",IF(INDEX('Staff Review'!$C$8:$C$507,I2233)="Yes","Yes","No"))</x:f>
        <x:v>No</x:v>
      </x:c>
      <x:c r="K2233" s="1" t="n">
        <x:f>IF(AI2233="Yes",INDEX('Staff Review'!$D$8:$D$507,I2233),IF(AB2233=0,"",IF(COUNT(INDEX($C$1531:$C$2030,AB2233))=1,INDEX($C$1531:$C$2030,AB2233),"")))</x:f>
        <x:v>0.1555798399436579</x:v>
      </x:c>
      <x:c r="L2233" s="1" t="n">
        <x:f>IF(AJ2233="Yes",INDEX('Staff Review'!$F$8:$F$507,I2233),IF(AB2233=0,"",IF(COUNT(INDEX($G$1531:$G$2030,AB2233))=1,INDEX($G$1531:$G$2030,AB2233),"")))</x:f>
        <x:v>10</x:v>
      </x:c>
      <x:c r="M2233" s="1" t="str">
        <x:f>IF(A2233="","",IF(AI2233="Yes","Verified","Listed"))</x:f>
        <x:v>Listed</x:v>
      </x:c>
      <x:c r="N2233" s="1" t="str">
        <x:f>IF(A2233="","",IF(AJ2233="Yes","Verified","Listed"))</x:f>
        <x:v>Listed</x:v>
      </x:c>
      <x:c r="O2233" s="1" t="n">
        <x:f>IF(AND(ISNUMBER(G2233),G2233&gt;=0,G2233&lt;=1),IF(G2233&gt;=0.9,30,IF(G2233&gt;=0.8,25,IF(G2233&gt;=0.7,20,IF(G2233&gt;=0.6,15,IF(G2233&gt;=0.5,10,IF(G2233&gt;=0.4,5,0)))))),"")</x:f>
        <x:v>15</x:v>
      </x:c>
      <x:c r="P2233" s="1" t="n">
        <x:f>IF(ISNUMBER(K2233),IF(K2233&lt;0,"",IF(K2233&gt;1,25,IF(K2233&gt;=0.75,20,IF(K2233&gt;=0.5,15,IF(K2233&gt;=0.25,10,5))))),"")</x:f>
        <x:v>5</x:v>
      </x:c>
      <x:c r="Q2233" s="1" t="n">
        <x:f>IF(NOT(ISNUMBER(L2233)),"",IF(AND(L2233&gt;=0,MOD(L2233,1)=0),MAX(0,25-5*L2233),""))</x:f>
        <x:v>0</x:v>
      </x:c>
      <x:c r="R2233" s="1" t="n">
        <x:f>IF(NOT(ISNUMBER(F2233)),"",IF(AND(F2233&gt;0,MOD(F2233,1)=0),IF(F2233&gt;=700,5,IF(F2233&gt;=500,4,IF(F2233&gt;=350,3,IF(F2233&gt;=200,2,1)))),""))</x:f>
        <x:v>3</x:v>
      </x:c>
      <x:c r="S2233" s="1" t="n">
        <x:f>IF(COUNT(O2233:R2233)=4,SUM(O2233:R2233),"")</x:f>
        <x:v>23</x:v>
      </x:c>
      <x:c r="T2233" s="1" t="n">
        <x:f>IF(OR(COUNT(O2233:R2233)&lt;&gt;4,COUNT('Top 15'!$B$35:$E$35)&lt;&gt;4,MIN('Top 15'!$B$35:$E$35)&lt;0,SUM('Top 15'!$B$35:$E$35)&lt;=0),"",ROUND(85*(O2233/30*'Top 15'!$B$35+P2233/25*'Top 15'!$C$35+Q2233/25*'Top 15'!$D$35+R2233/5*'Top 15'!$E$35)/SUM('Top 15'!$B$35:$E$35),6))</x:f>
        <x:v>23</x:v>
      </x:c>
      <x:c r="U2233" s="1" t="str">
        <x:f>IF(A2233="","",IF(AND(M2233="Verified",N2233="Verified"),"Verified",IF(AND(M2233="Listed",N2233="Listed"),"Listed","Mixed")))</x:f>
        <x:v>Listed</x:v>
      </x:c>
      <x:c r="V2233" s="1" t="str">
        <x:f>IF(A2233="","",IF(AK2233&lt;&gt;1,"Duplicate source ID",IF(COUNTIFS('Staff Review'!$A$8:$A$507,A2233)&gt;1,"Duplicate review ID",IF(H2233&lt;&gt;"Yes","Outside scope",IF(J2233="Yes","Already served",IF(NOT(ISNUMBER(T2233)),"Missing data","Candidate"))))))</x:f>
        <x:v>Candidate</x:v>
      </x:c>
      <x:c r="W2233" s="1" t="n">
        <x:f>IF(AL2233=0,"",1+COUNTIFS($AL$2051:$AL$2550,1,$T$2051:$T$2550,"&gt;"&amp;T2233)+COUNTIFS($AL$2051:$AL$2550,1,$T$2051:$T$2550,T2233,$G$2051:$G$2550,"&gt;"&amp;G2233)+COUNTIFS($AL$2051:$AL$2550,1,$T$2051:$T$2550,T2233,$G$2051:$G$2550,G2233,$F$2051:$F$2550,"&gt;"&amp;F2233)+COUNTIFS($AL$2051:$AL$2550,1,$T$2051:$T$2550,T2233,$G$2051:$G$2550,G2233,$F$2051:$F$2550,F2233,$AM$2051:$AM$2550,"&lt;"&amp;AM2233))</x:f>
        <x:v>275</x:v>
      </x:c>
      <x:c r="X2233" s="1" t="n">
        <x:f>IF(AL2233=0,"",1+COUNTIFS($AL$2051:$AL$2550,1,$T$2051:$T$2550,"&gt;"&amp;T2233))</x:f>
        <x:v>274</x:v>
      </x:c>
      <x:c r="Y2233" s="1" t="n">
        <x:f>IF(AND(H2233="Yes",OR(LEN('School Search'!$B$5)=0,ISNUMBER(SEARCH('School Search'!$B$5,B2233&amp;" "&amp;E2233&amp;" "&amp;A2233))),OR('School Search'!$D$5="All",C2233='School Search'!$D$5),OR('School Search'!$G$5="All eligible",AND('School Search'!$G$5="Not marked served",J2233&lt;&gt;"Yes"),AND('School Search'!$G$5="Missing data",V2233="Missing data"),AND('School Search'!$G$5="Marked served",J2233="Yes"))),1,0)</x:f>
        <x:v>1</x:v>
      </x:c>
      <x:c r="Z2233" s="1" t="n">
        <x:f>IF(Y2233=0,"",COUNTIFS($Y$2051:$Y$2550,1,$AO$2051:$AO$2550,"&lt;"&amp;AO2233)+COUNTIFS($Y$2051:Y2233,1,$AO$2051:AO2233,AO2233))</x:f>
        <x:v>275</x:v>
      </x:c>
      <x:c r="AA2233" s="1" t="str">
        <x:f>IF(NOT(ISNUMBER(S2233)),"Missing demographic or access input",TEXT(G2233,"0%")&amp;" economic need; "&amp;TEXT(K2233,"0.00")&amp;" mi fresh access; "&amp;L2233&amp;" nearby resources")</x:f>
        <x:v>68% economic need; 0.16 mi fresh access; 10 nearby resources</x:v>
      </x:c>
      <x:c r="AB2233" s="1" t="n">
        <x:f>IF(OR(A2233="",COUNTIFS($A$1531:$A$2030,A2233)&lt;&gt;1),0,MATCH(A2233,$A$1531:$A$2030,0))</x:f>
        <x:v>183</x:v>
      </x:c>
      <x:c r="AC2233" s="1" t="str">
        <x:f>IF(AB2233=0,"",INDEX($E$1531:$E$2030,AB2233))</x:f>
        <x:v>Giant Food Store 6573</x:v>
      </x:c>
      <x:c r="AD2233" s="1" t="str">
        <x:f>IF(AB2233=0,"",INDEX($F$1531:$F$2030,AB2233))</x:f>
        <x:v>510 N Broad St, Philadelphia, PA, 19130</x:v>
      </x:c>
      <x:c r="AE2233" s="1" t="str">
        <x:f>IF(A2233="","",F184)</x:f>
        <x:v>540 N 13TH ST</x:v>
      </x:c>
      <x:c r="AF2233" s="1" t="n">
        <x:f>IF(ISNUMBER(I184),I184,"")</x:f>
        <x:v>39.96300501</x:v>
      </x:c>
      <x:c r="AG2233" s="1" t="n">
        <x:f>IF(ISNUMBER(J184),J184,"")</x:f>
        <x:v>-75.1592865</x:v>
      </x:c>
      <x:c r="AH2233" s="1" t="str">
        <x:f>IF(I2233=0,"Not contacted",IF(INDEX('Staff Review'!$J$8:$J$507,I2233)="","Not contacted",INDEX('Staff Review'!$J$8:$J$507,I2233)))</x:f>
        <x:v>Not contacted</x:v>
      </x:c>
      <x:c r="AI2233" s="1" t="str">
        <x:f>IF(I2233=0,"No",IF(AND(COUNT(INDEX('Staff Review'!$D$8:$D$507,I2233))=1,INDEX('Staff Review'!$D$8:$D$507,I2233)&gt;=0,COUNT(INDEX('Staff Review'!$E$8:$E$507,I2233))=1,INDEX('Staff Review'!$E$8:$E$507,I2233)&gt;0,INDEX('Staff Review'!$E$8:$E$507,I2233)&lt;='Top 15'!$E$5,'Top 15'!$E$5-INDEX('Staff Review'!$E$8:$E$507,I2233)&lt;='Top 15'!$H$5,LEN(INDEX('Staff Review'!$H$8:$H$507,I2233))&gt;0),"Yes","No"))</x:f>
        <x:v>No</x:v>
      </x:c>
      <x:c r="AJ2233" s="1" t="str">
        <x:f>IF(I2233=0,"No",IF(COUNT(INDEX('Staff Review'!$F$8:$F$507,I2233))&lt;&gt;1,"No",IF(AND(INDEX('Staff Review'!$F$8:$F$507,I2233)&gt;=0,MOD(INDEX('Staff Review'!$F$8:$F$507,I2233),1)=0,COUNT(INDEX('Staff Review'!$G$8:$G$507,I2233))=1,INDEX('Staff Review'!$G$8:$G$507,I2233)&gt;0,INDEX('Staff Review'!$G$8:$G$507,I2233)&lt;='Top 15'!$E$5,'Top 15'!$E$5-INDEX('Staff Review'!$G$8:$G$507,I2233)&lt;='Top 15'!$H$5,LEN(INDEX('Staff Review'!$H$8:$H$507,I2233))&gt;0),"Yes","No")))</x:f>
        <x:v>No</x:v>
      </x:c>
      <x:c r="AK2233" s="1" t="n">
        <x:f>IF(A2233="",0,COUNTIFS($A$2:$A$501,A2233))</x:f>
        <x:v>1</x:v>
      </x:c>
      <x:c r="AL2233" s="1" t="n">
        <x:f>IF(V2233="Candidate",1,0)</x:f>
        <x:v>1</x:v>
      </x:c>
      <x:c r="AM2233" s="1" t="n">
        <x:f>IF(A2233="",0,VALUE(A2233))</x:f>
        <x:v>5080</x:v>
      </x:c>
      <x:c r="AN2233" s="1" t="n">
        <x:f>IF(OR(A2233="",COUNTIFS($T$41:$T$540,A2233)&lt;&gt;1),0,MATCH(A2233,$T$41:$T$540,0))</x:f>
        <x:v>183</x:v>
      </x:c>
      <x:c r="AO2233" t="n">
        <x:f>IF(ISNUMBER(W2233),W2233,10000+AM2233)</x:f>
        <x:v>275</x:v>
      </x:c>
    </x:row>
    <x:row r="2234" ht="22" customHeight="1">
      <x:c r="A2234" s="1" t="str">
        <x:f>IF(A185="","",A185)</x:f>
        <x:v>5090</x:v>
      </x:c>
      <x:c r="B2234" s="1" t="str">
        <x:f>IF(A2234="","",B185)</x:f>
        <x:v>Parkway West High School</x:v>
      </x:c>
      <x:c r="C2234" s="1" t="str">
        <x:f>IF(A2234="","",C185)</x:f>
        <x:v>District</x:v>
      </x:c>
      <x:c r="D2234" s="1" t="str">
        <x:f>IF(A2234="","",E185)</x:f>
        <x:v>High</x:v>
      </x:c>
      <x:c r="E2234" s="1" t="str">
        <x:f>IF(A2234="","",H185)</x:f>
        <x:v>19139</x:v>
      </x:c>
      <x:c r="F2234" s="1" t="n">
        <x:f>IF(ISNUMBER(K185),K185,"")</x:f>
        <x:v>140</x:v>
      </x:c>
      <x:c r="G2234" s="1" t="n">
        <x:f>IF(ISNUMBER(L185),L185,"")</x:f>
        <x:v>0.7642</x:v>
      </x:c>
      <x:c r="H2234" s="1" t="str">
        <x:f>IF(A2234="","",IF(AND(UPPER(G185)="PHILADELPHIA",OR(C2234="District",AND(C2234="Charter",D185="Yes"))),"Yes","No"))</x:f>
        <x:v>Yes</x:v>
      </x:c>
      <x:c r="I2234" s="1" t="n">
        <x:f>IF(OR(A2234="",COUNTIFS('Staff Review'!$A$8:$A$507,A2234)&lt;&gt;1),0,MATCH(A2234,'Staff Review'!$A$8:$A$507,0))</x:f>
        <x:v>224</x:v>
      </x:c>
      <x:c r="J2234" s="1" t="str">
        <x:f>IF(I2234=0,"No",IF(INDEX('Staff Review'!$C$8:$C$507,I2234)="Yes","Yes","No"))</x:f>
        <x:v>No</x:v>
      </x:c>
      <x:c r="K2234" s="1" t="n">
        <x:f>IF(AI2234="Yes",INDEX('Staff Review'!$D$8:$D$507,I2234),IF(AB2234=0,"",IF(COUNT(INDEX($C$1531:$C$2030,AB2234))=1,INDEX($C$1531:$C$2030,AB2234),"")))</x:f>
        <x:v>0.36728004506671763</x:v>
      </x:c>
      <x:c r="L2234" s="1" t="n">
        <x:f>IF(AJ2234="Yes",INDEX('Staff Review'!$F$8:$F$507,I2234),IF(AB2234=0,"",IF(COUNT(INDEX($G$1531:$G$2030,AB2234))=1,INDEX($G$1531:$G$2030,AB2234),"")))</x:f>
        <x:v>14</x:v>
      </x:c>
      <x:c r="M2234" s="1" t="str">
        <x:f>IF(A2234="","",IF(AI2234="Yes","Verified","Listed"))</x:f>
        <x:v>Listed</x:v>
      </x:c>
      <x:c r="N2234" s="1" t="str">
        <x:f>IF(A2234="","",IF(AJ2234="Yes","Verified","Listed"))</x:f>
        <x:v>Listed</x:v>
      </x:c>
      <x:c r="O2234" s="1" t="n">
        <x:f>IF(AND(ISNUMBER(G2234),G2234&gt;=0,G2234&lt;=1),IF(G2234&gt;=0.9,30,IF(G2234&gt;=0.8,25,IF(G2234&gt;=0.7,20,IF(G2234&gt;=0.6,15,IF(G2234&gt;=0.5,10,IF(G2234&gt;=0.4,5,0)))))),"")</x:f>
        <x:v>20</x:v>
      </x:c>
      <x:c r="P2234" s="1" t="n">
        <x:f>IF(ISNUMBER(K2234),IF(K2234&lt;0,"",IF(K2234&gt;1,25,IF(K2234&gt;=0.75,20,IF(K2234&gt;=0.5,15,IF(K2234&gt;=0.25,10,5))))),"")</x:f>
        <x:v>10</x:v>
      </x:c>
      <x:c r="Q2234" s="1" t="n">
        <x:f>IF(NOT(ISNUMBER(L2234)),"",IF(AND(L2234&gt;=0,MOD(L2234,1)=0),MAX(0,25-5*L2234),""))</x:f>
        <x:v>0</x:v>
      </x:c>
      <x:c r="R2234" s="1" t="n">
        <x:f>IF(NOT(ISNUMBER(F2234)),"",IF(AND(F2234&gt;0,MOD(F2234,1)=0),IF(F2234&gt;=700,5,IF(F2234&gt;=500,4,IF(F2234&gt;=350,3,IF(F2234&gt;=200,2,1)))),""))</x:f>
        <x:v>1</x:v>
      </x:c>
      <x:c r="S2234" s="1" t="n">
        <x:f>IF(COUNT(O2234:R2234)=4,SUM(O2234:R2234),"")</x:f>
        <x:v>31</x:v>
      </x:c>
      <x:c r="T2234" s="1" t="n">
        <x:f>IF(OR(COUNT(O2234:R2234)&lt;&gt;4,COUNT('Top 15'!$B$35:$E$35)&lt;&gt;4,MIN('Top 15'!$B$35:$E$35)&lt;0,SUM('Top 15'!$B$35:$E$35)&lt;=0),"",ROUND(85*(O2234/30*'Top 15'!$B$35+P2234/25*'Top 15'!$C$35+Q2234/25*'Top 15'!$D$35+R2234/5*'Top 15'!$E$35)/SUM('Top 15'!$B$35:$E$35),6))</x:f>
        <x:v>31</x:v>
      </x:c>
      <x:c r="U2234" s="1" t="str">
        <x:f>IF(A2234="","",IF(AND(M2234="Verified",N2234="Verified"),"Verified",IF(AND(M2234="Listed",N2234="Listed"),"Listed","Mixed")))</x:f>
        <x:v>Listed</x:v>
      </x:c>
      <x:c r="V2234" s="1" t="str">
        <x:f>IF(A2234="","",IF(AK2234&lt;&gt;1,"Duplicate source ID",IF(COUNTIFS('Staff Review'!$A$8:$A$507,A2234)&gt;1,"Duplicate review ID",IF(H2234&lt;&gt;"Yes","Outside scope",IF(J2234="Yes","Already served",IF(NOT(ISNUMBER(T2234)),"Missing data","Candidate"))))))</x:f>
        <x:v>Candidate</x:v>
      </x:c>
      <x:c r="W2234" s="1" t="n">
        <x:f>IF(AL2234=0,"",1+COUNTIFS($AL$2051:$AL$2550,1,$T$2051:$T$2550,"&gt;"&amp;T2234)+COUNTIFS($AL$2051:$AL$2550,1,$T$2051:$T$2550,T2234,$G$2051:$G$2550,"&gt;"&amp;G2234)+COUNTIFS($AL$2051:$AL$2550,1,$T$2051:$T$2550,T2234,$G$2051:$G$2550,G2234,$F$2051:$F$2550,"&gt;"&amp;F2234)+COUNTIFS($AL$2051:$AL$2550,1,$T$2051:$T$2550,T2234,$G$2051:$G$2550,G2234,$F$2051:$F$2550,F2234,$AM$2051:$AM$2550,"&lt;"&amp;AM2234))</x:f>
        <x:v>252</x:v>
      </x:c>
      <x:c r="X2234" s="1" t="n">
        <x:f>IF(AL2234=0,"",1+COUNTIFS($AL$2051:$AL$2550,1,$T$2051:$T$2550,"&gt;"&amp;T2234))</x:f>
        <x:v>251</x:v>
      </x:c>
      <x:c r="Y2234" s="1" t="n">
        <x:f>IF(AND(H2234="Yes",OR(LEN('School Search'!$B$5)=0,ISNUMBER(SEARCH('School Search'!$B$5,B2234&amp;" "&amp;E2234&amp;" "&amp;A2234))),OR('School Search'!$D$5="All",C2234='School Search'!$D$5),OR('School Search'!$G$5="All eligible",AND('School Search'!$G$5="Not marked served",J2234&lt;&gt;"Yes"),AND('School Search'!$G$5="Missing data",V2234="Missing data"),AND('School Search'!$G$5="Marked served",J2234="Yes"))),1,0)</x:f>
        <x:v>1</x:v>
      </x:c>
      <x:c r="Z2234" s="1" t="n">
        <x:f>IF(Y2234=0,"",COUNTIFS($Y$2051:$Y$2550,1,$AO$2051:$AO$2550,"&lt;"&amp;AO2234)+COUNTIFS($Y$2051:Y2234,1,$AO$2051:AO2234,AO2234))</x:f>
        <x:v>252</x:v>
      </x:c>
      <x:c r="AA2234" s="1" t="str">
        <x:f>IF(NOT(ISNUMBER(S2234)),"Missing demographic or access input",TEXT(G2234,"0%")&amp;" economic need; "&amp;TEXT(K2234,"0.00")&amp;" mi fresh access; "&amp;L2234&amp;" nearby resources")</x:f>
        <x:v>76% economic need; 0.37 mi fresh access; 14 nearby resources</x:v>
      </x:c>
      <x:c r="AB2234" s="1" t="n">
        <x:f>IF(OR(A2234="",COUNTIFS($A$1531:$A$2030,A2234)&lt;&gt;1),0,MATCH(A2234,$A$1531:$A$2030,0))</x:f>
        <x:v>184</x:v>
      </x:c>
      <x:c r="AC2234" s="1" t="str">
        <x:f>IF(AB2234=0,"",INDEX($E$1531:$E$2030,AB2234))</x:f>
        <x:v>ALDI 54</x:v>
      </x:c>
      <x:c r="AD2234" s="1" t="str">
        <x:f>IF(AB2234=0,"",INDEX($F$1531:$F$2030,AB2234))</x:f>
        <x:v>4421 Market St, Philadelphia, PA, 19104</x:v>
      </x:c>
      <x:c r="AE2234" s="1" t="str">
        <x:f>IF(A2234="","",F185)</x:f>
        <x:v>4725 FAIRMOUNT AVE</x:v>
      </x:c>
      <x:c r="AF2234" s="1" t="n">
        <x:f>IF(ISNUMBER(I185),I185,"")</x:f>
        <x:v>39.96425379</x:v>
      </x:c>
      <x:c r="AG2234" s="1" t="n">
        <x:f>IF(ISNUMBER(J185),J185,"")</x:f>
        <x:v>-75.21546704</x:v>
      </x:c>
      <x:c r="AH2234" s="1" t="str">
        <x:f>IF(I2234=0,"Not contacted",IF(INDEX('Staff Review'!$J$8:$J$507,I2234)="","Not contacted",INDEX('Staff Review'!$J$8:$J$507,I2234)))</x:f>
        <x:v>Not contacted</x:v>
      </x:c>
      <x:c r="AI2234" s="1" t="str">
        <x:f>IF(I2234=0,"No",IF(AND(COUNT(INDEX('Staff Review'!$D$8:$D$507,I2234))=1,INDEX('Staff Review'!$D$8:$D$507,I2234)&gt;=0,COUNT(INDEX('Staff Review'!$E$8:$E$507,I2234))=1,INDEX('Staff Review'!$E$8:$E$507,I2234)&gt;0,INDEX('Staff Review'!$E$8:$E$507,I2234)&lt;='Top 15'!$E$5,'Top 15'!$E$5-INDEX('Staff Review'!$E$8:$E$507,I2234)&lt;='Top 15'!$H$5,LEN(INDEX('Staff Review'!$H$8:$H$507,I2234))&gt;0),"Yes","No"))</x:f>
        <x:v>No</x:v>
      </x:c>
      <x:c r="AJ2234" s="1" t="str">
        <x:f>IF(I2234=0,"No",IF(COUNT(INDEX('Staff Review'!$F$8:$F$507,I2234))&lt;&gt;1,"No",IF(AND(INDEX('Staff Review'!$F$8:$F$507,I2234)&gt;=0,MOD(INDEX('Staff Review'!$F$8:$F$507,I2234),1)=0,COUNT(INDEX('Staff Review'!$G$8:$G$507,I2234))=1,INDEX('Staff Review'!$G$8:$G$507,I2234)&gt;0,INDEX('Staff Review'!$G$8:$G$507,I2234)&lt;='Top 15'!$E$5,'Top 15'!$E$5-INDEX('Staff Review'!$G$8:$G$507,I2234)&lt;='Top 15'!$H$5,LEN(INDEX('Staff Review'!$H$8:$H$507,I2234))&gt;0),"Yes","No")))</x:f>
        <x:v>No</x:v>
      </x:c>
      <x:c r="AK2234" s="1" t="n">
        <x:f>IF(A2234="",0,COUNTIFS($A$2:$A$501,A2234))</x:f>
        <x:v>1</x:v>
      </x:c>
      <x:c r="AL2234" s="1" t="n">
        <x:f>IF(V2234="Candidate",1,0)</x:f>
        <x:v>1</x:v>
      </x:c>
      <x:c r="AM2234" s="1" t="n">
        <x:f>IF(A2234="",0,VALUE(A2234))</x:f>
        <x:v>5090</x:v>
      </x:c>
      <x:c r="AN2234" s="1" t="n">
        <x:f>IF(OR(A2234="",COUNTIFS($T$41:$T$540,A2234)&lt;&gt;1),0,MATCH(A2234,$T$41:$T$540,0))</x:f>
        <x:v>184</x:v>
      </x:c>
      <x:c r="AO2234" t="n">
        <x:f>IF(ISNUMBER(W2234),W2234,10000+AM2234)</x:f>
        <x:v>252</x:v>
      </x:c>
    </x:row>
    <x:row r="2235" ht="22" customHeight="1">
      <x:c r="A2235" s="1" t="str">
        <x:f>IF(A186="","",A186)</x:f>
        <x:v>5150</x:v>
      </x:c>
      <x:c r="B2235" s="1" t="str">
        <x:f>IF(A2235="","",B186)</x:f>
        <x:v>William W. Bodine High School</x:v>
      </x:c>
      <x:c r="C2235" s="1" t="str">
        <x:f>IF(A2235="","",C186)</x:f>
        <x:v>District</x:v>
      </x:c>
      <x:c r="D2235" s="1" t="str">
        <x:f>IF(A2235="","",E186)</x:f>
        <x:v>High</x:v>
      </x:c>
      <x:c r="E2235" s="1" t="str">
        <x:f>IF(A2235="","",H186)</x:f>
        <x:v>19123</x:v>
      </x:c>
      <x:c r="F2235" s="1" t="n">
        <x:f>IF(ISNUMBER(K186),K186,"")</x:f>
        <x:v>523</x:v>
      </x:c>
      <x:c r="G2235" s="1" t="n">
        <x:f>IF(ISNUMBER(L186),L186,"")</x:f>
        <x:v>0.7068</x:v>
      </x:c>
      <x:c r="H2235" s="1" t="str">
        <x:f>IF(A2235="","",IF(AND(UPPER(G186)="PHILADELPHIA",OR(C2235="District",AND(C2235="Charter",D186="Yes"))),"Yes","No"))</x:f>
        <x:v>Yes</x:v>
      </x:c>
      <x:c r="I2235" s="1" t="n">
        <x:f>IF(OR(A2235="",COUNTIFS('Staff Review'!$A$8:$A$507,A2235)&lt;&gt;1),0,MATCH(A2235,'Staff Review'!$A$8:$A$507,0))</x:f>
        <x:v>325</x:v>
      </x:c>
      <x:c r="J2235" s="1" t="str">
        <x:f>IF(I2235=0,"No",IF(INDEX('Staff Review'!$C$8:$C$507,I2235)="Yes","Yes","No"))</x:f>
        <x:v>No</x:v>
      </x:c>
      <x:c r="K2235" s="1" t="n">
        <x:f>IF(AI2235="Yes",INDEX('Staff Review'!$D$8:$D$507,I2235),IF(AB2235=0,"",IF(COUNT(INDEX($C$1531:$C$2030,AB2235))=1,INDEX($C$1531:$C$2030,AB2235),"")))</x:f>
        <x:v>0.18327217006672497</x:v>
      </x:c>
      <x:c r="L2235" s="1" t="n">
        <x:f>IF(AJ2235="Yes",INDEX('Staff Review'!$F$8:$F$507,I2235),IF(AB2235=0,"",IF(COUNT(INDEX($G$1531:$G$2030,AB2235))=1,INDEX($G$1531:$G$2030,AB2235),"")))</x:f>
        <x:v>10</x:v>
      </x:c>
      <x:c r="M2235" s="1" t="str">
        <x:f>IF(A2235="","",IF(AI2235="Yes","Verified","Listed"))</x:f>
        <x:v>Listed</x:v>
      </x:c>
      <x:c r="N2235" s="1" t="str">
        <x:f>IF(A2235="","",IF(AJ2235="Yes","Verified","Listed"))</x:f>
        <x:v>Listed</x:v>
      </x:c>
      <x:c r="O2235" s="1" t="n">
        <x:f>IF(AND(ISNUMBER(G2235),G2235&gt;=0,G2235&lt;=1),IF(G2235&gt;=0.9,30,IF(G2235&gt;=0.8,25,IF(G2235&gt;=0.7,20,IF(G2235&gt;=0.6,15,IF(G2235&gt;=0.5,10,IF(G2235&gt;=0.4,5,0)))))),"")</x:f>
        <x:v>20</x:v>
      </x:c>
      <x:c r="P2235" s="1" t="n">
        <x:f>IF(ISNUMBER(K2235),IF(K2235&lt;0,"",IF(K2235&gt;1,25,IF(K2235&gt;=0.75,20,IF(K2235&gt;=0.5,15,IF(K2235&gt;=0.25,10,5))))),"")</x:f>
        <x:v>5</x:v>
      </x:c>
      <x:c r="Q2235" s="1" t="n">
        <x:f>IF(NOT(ISNUMBER(L2235)),"",IF(AND(L2235&gt;=0,MOD(L2235,1)=0),MAX(0,25-5*L2235),""))</x:f>
        <x:v>0</x:v>
      </x:c>
      <x:c r="R2235" s="1" t="n">
        <x:f>IF(NOT(ISNUMBER(F2235)),"",IF(AND(F2235&gt;0,MOD(F2235,1)=0),IF(F2235&gt;=700,5,IF(F2235&gt;=500,4,IF(F2235&gt;=350,3,IF(F2235&gt;=200,2,1)))),""))</x:f>
        <x:v>4</x:v>
      </x:c>
      <x:c r="S2235" s="1" t="n">
        <x:f>IF(COUNT(O2235:R2235)=4,SUM(O2235:R2235),"")</x:f>
        <x:v>29</x:v>
      </x:c>
      <x:c r="T2235" s="1" t="n">
        <x:f>IF(OR(COUNT(O2235:R2235)&lt;&gt;4,COUNT('Top 15'!$B$35:$E$35)&lt;&gt;4,MIN('Top 15'!$B$35:$E$35)&lt;0,SUM('Top 15'!$B$35:$E$35)&lt;=0),"",ROUND(85*(O2235/30*'Top 15'!$B$35+P2235/25*'Top 15'!$C$35+Q2235/25*'Top 15'!$D$35+R2235/5*'Top 15'!$E$35)/SUM('Top 15'!$B$35:$E$35),6))</x:f>
        <x:v>29</x:v>
      </x:c>
      <x:c r="U2235" s="1" t="str">
        <x:f>IF(A2235="","",IF(AND(M2235="Verified",N2235="Verified"),"Verified",IF(AND(M2235="Listed",N2235="Listed"),"Listed","Mixed")))</x:f>
        <x:v>Listed</x:v>
      </x:c>
      <x:c r="V2235" s="1" t="str">
        <x:f>IF(A2235="","",IF(AK2235&lt;&gt;1,"Duplicate source ID",IF(COUNTIFS('Staff Review'!$A$8:$A$507,A2235)&gt;1,"Duplicate review ID",IF(H2235&lt;&gt;"Yes","Outside scope",IF(J2235="Yes","Already served",IF(NOT(ISNUMBER(T2235)),"Missing data","Candidate"))))))</x:f>
        <x:v>Candidate</x:v>
      </x:c>
      <x:c r="W2235" s="1" t="n">
        <x:f>IF(AL2235=0,"",1+COUNTIFS($AL$2051:$AL$2550,1,$T$2051:$T$2550,"&gt;"&amp;T2235)+COUNTIFS($AL$2051:$AL$2550,1,$T$2051:$T$2550,T2235,$G$2051:$G$2550,"&gt;"&amp;G2235)+COUNTIFS($AL$2051:$AL$2550,1,$T$2051:$T$2550,T2235,$G$2051:$G$2550,G2235,$F$2051:$F$2550,"&gt;"&amp;F2235)+COUNTIFS($AL$2051:$AL$2550,1,$T$2051:$T$2550,T2235,$G$2051:$G$2550,G2235,$F$2051:$F$2550,F2235,$AM$2051:$AM$2550,"&lt;"&amp;AM2235))</x:f>
        <x:v>264</x:v>
      </x:c>
      <x:c r="X2235" s="1" t="n">
        <x:f>IF(AL2235=0,"",1+COUNTIFS($AL$2051:$AL$2550,1,$T$2051:$T$2550,"&gt;"&amp;T2235))</x:f>
        <x:v>263</x:v>
      </x:c>
      <x:c r="Y2235" s="1" t="n">
        <x:f>IF(AND(H2235="Yes",OR(LEN('School Search'!$B$5)=0,ISNUMBER(SEARCH('School Search'!$B$5,B2235&amp;" "&amp;E2235&amp;" "&amp;A2235))),OR('School Search'!$D$5="All",C2235='School Search'!$D$5),OR('School Search'!$G$5="All eligible",AND('School Search'!$G$5="Not marked served",J2235&lt;&gt;"Yes"),AND('School Search'!$G$5="Missing data",V2235="Missing data"),AND('School Search'!$G$5="Marked served",J2235="Yes"))),1,0)</x:f>
        <x:v>1</x:v>
      </x:c>
      <x:c r="Z2235" s="1" t="n">
        <x:f>IF(Y2235=0,"",COUNTIFS($Y$2051:$Y$2550,1,$AO$2051:$AO$2550,"&lt;"&amp;AO2235)+COUNTIFS($Y$2051:Y2235,1,$AO$2051:AO2235,AO2235))</x:f>
        <x:v>264</x:v>
      </x:c>
      <x:c r="AA2235" s="1" t="str">
        <x:f>IF(NOT(ISNUMBER(S2235)),"Missing demographic or access input",TEXT(G2235,"0%")&amp;" economic need; "&amp;TEXT(K2235,"0.00")&amp;" mi fresh access; "&amp;L2235&amp;" nearby resources")</x:f>
        <x:v>71% economic need; 0.18 mi fresh access; 10 nearby resources</x:v>
      </x:c>
      <x:c r="AB2235" s="1" t="n">
        <x:f>IF(OR(A2235="",COUNTIFS($A$1531:$A$2030,A2235)&lt;&gt;1),0,MATCH(A2235,$A$1531:$A$2030,0))</x:f>
        <x:v>185</x:v>
      </x:c>
      <x:c r="AC2235" s="1" t="str">
        <x:f>IF(AB2235=0,"",INDEX($E$1531:$E$2030,AB2235))</x:f>
        <x:v>Giant Heirloom Market 6552</x:v>
      </x:c>
      <x:c r="AD2235" s="1" t="str">
        <x:f>IF(AB2235=0,"",INDEX($F$1531:$F$2030,AB2235))</x:f>
        <x:v>1004 N 2nd St, Philadelphia, PA, 19123</x:v>
      </x:c>
      <x:c r="AE2235" s="1" t="str">
        <x:f>IF(A2235="","",F186)</x:f>
        <x:v>1101 N 4TH ST</x:v>
      </x:c>
      <x:c r="AF2235" s="1" t="n">
        <x:f>IF(ISNUMBER(I186),I186,"")</x:f>
        <x:v>39.96793026</x:v>
      </x:c>
      <x:c r="AG2235" s="1" t="n">
        <x:f>IF(ISNUMBER(J186),J186,"")</x:f>
        <x:v>-75.14343443</x:v>
      </x:c>
      <x:c r="AH2235" s="1" t="str">
        <x:f>IF(I2235=0,"Not contacted",IF(INDEX('Staff Review'!$J$8:$J$507,I2235)="","Not contacted",INDEX('Staff Review'!$J$8:$J$507,I2235)))</x:f>
        <x:v>Not contacted</x:v>
      </x:c>
      <x:c r="AI2235" s="1" t="str">
        <x:f>IF(I2235=0,"No",IF(AND(COUNT(INDEX('Staff Review'!$D$8:$D$507,I2235))=1,INDEX('Staff Review'!$D$8:$D$507,I2235)&gt;=0,COUNT(INDEX('Staff Review'!$E$8:$E$507,I2235))=1,INDEX('Staff Review'!$E$8:$E$507,I2235)&gt;0,INDEX('Staff Review'!$E$8:$E$507,I2235)&lt;='Top 15'!$E$5,'Top 15'!$E$5-INDEX('Staff Review'!$E$8:$E$507,I2235)&lt;='Top 15'!$H$5,LEN(INDEX('Staff Review'!$H$8:$H$507,I2235))&gt;0),"Yes","No"))</x:f>
        <x:v>No</x:v>
      </x:c>
      <x:c r="AJ2235" s="1" t="str">
        <x:f>IF(I2235=0,"No",IF(COUNT(INDEX('Staff Review'!$F$8:$F$507,I2235))&lt;&gt;1,"No",IF(AND(INDEX('Staff Review'!$F$8:$F$507,I2235)&gt;=0,MOD(INDEX('Staff Review'!$F$8:$F$507,I2235),1)=0,COUNT(INDEX('Staff Review'!$G$8:$G$507,I2235))=1,INDEX('Staff Review'!$G$8:$G$507,I2235)&gt;0,INDEX('Staff Review'!$G$8:$G$507,I2235)&lt;='Top 15'!$E$5,'Top 15'!$E$5-INDEX('Staff Review'!$G$8:$G$507,I2235)&lt;='Top 15'!$H$5,LEN(INDEX('Staff Review'!$H$8:$H$507,I2235))&gt;0),"Yes","No")))</x:f>
        <x:v>No</x:v>
      </x:c>
      <x:c r="AK2235" s="1" t="n">
        <x:f>IF(A2235="",0,COUNTIFS($A$2:$A$501,A2235))</x:f>
        <x:v>1</x:v>
      </x:c>
      <x:c r="AL2235" s="1" t="n">
        <x:f>IF(V2235="Candidate",1,0)</x:f>
        <x:v>1</x:v>
      </x:c>
      <x:c r="AM2235" s="1" t="n">
        <x:f>IF(A2235="",0,VALUE(A2235))</x:f>
        <x:v>5150</x:v>
      </x:c>
      <x:c r="AN2235" s="1" t="n">
        <x:f>IF(OR(A2235="",COUNTIFS($T$41:$T$540,A2235)&lt;&gt;1),0,MATCH(A2235,$T$41:$T$540,0))</x:f>
        <x:v>185</x:v>
      </x:c>
      <x:c r="AO2235" t="n">
        <x:f>IF(ISNUMBER(W2235),W2235,10000+AM2235)</x:f>
        <x:v>264</x:v>
      </x:c>
    </x:row>
    <x:row r="2236" ht="22" customHeight="1">
      <x:c r="A2236" s="1" t="str">
        <x:f>IF(A187="","",A187)</x:f>
        <x:v>5160</x:v>
      </x:c>
      <x:c r="B2236" s="1" t="str">
        <x:f>IF(A2236="","",B187)</x:f>
        <x:v>Penn Treaty School</x:v>
      </x:c>
      <x:c r="C2236" s="1" t="str">
        <x:f>IF(A2236="","",C187)</x:f>
        <x:v>District</x:v>
      </x:c>
      <x:c r="D2236" s="1" t="str">
        <x:f>IF(A2236="","",E187)</x:f>
        <x:v>Middle-High</x:v>
      </x:c>
      <x:c r="E2236" s="1" t="str">
        <x:f>IF(A2236="","",H187)</x:f>
        <x:v>19125</x:v>
      </x:c>
      <x:c r="F2236" s="1" t="n">
        <x:f>IF(ISNUMBER(K187),K187,"")</x:f>
        <x:v>345</x:v>
      </x:c>
      <x:c r="G2236" s="1" t="n">
        <x:f>IF(ISNUMBER(L187),L187,"")</x:f>
        <x:v>0.7915</x:v>
      </x:c>
      <x:c r="H2236" s="1" t="str">
        <x:f>IF(A2236="","",IF(AND(UPPER(G187)="PHILADELPHIA",OR(C2236="District",AND(C2236="Charter",D187="Yes"))),"Yes","No"))</x:f>
        <x:v>Yes</x:v>
      </x:c>
      <x:c r="I2236" s="1" t="n">
        <x:f>IF(OR(A2236="",COUNTIFS('Staff Review'!$A$8:$A$507,A2236)&lt;&gt;1),0,MATCH(A2236,'Staff Review'!$A$8:$A$507,0))</x:f>
        <x:v>227</x:v>
      </x:c>
      <x:c r="J2236" s="1" t="str">
        <x:f>IF(I2236=0,"No",IF(INDEX('Staff Review'!$C$8:$C$507,I2236)="Yes","Yes","No"))</x:f>
        <x:v>No</x:v>
      </x:c>
      <x:c r="K2236" s="1" t="n">
        <x:f>IF(AI2236="Yes",INDEX('Staff Review'!$D$8:$D$507,I2236),IF(AB2236=0,"",IF(COUNT(INDEX($C$1531:$C$2030,AB2236))=1,INDEX($C$1531:$C$2030,AB2236),"")))</x:f>
        <x:v>0.49568608739377595</x:v>
      </x:c>
      <x:c r="L2236" s="1" t="n">
        <x:f>IF(AJ2236="Yes",INDEX('Staff Review'!$F$8:$F$507,I2236),IF(AB2236=0,"",IF(COUNT(INDEX($G$1531:$G$2030,AB2236))=1,INDEX($G$1531:$G$2030,AB2236),"")))</x:f>
        <x:v>4</x:v>
      </x:c>
      <x:c r="M2236" s="1" t="str">
        <x:f>IF(A2236="","",IF(AI2236="Yes","Verified","Listed"))</x:f>
        <x:v>Listed</x:v>
      </x:c>
      <x:c r="N2236" s="1" t="str">
        <x:f>IF(A2236="","",IF(AJ2236="Yes","Verified","Listed"))</x:f>
        <x:v>Listed</x:v>
      </x:c>
      <x:c r="O2236" s="1" t="n">
        <x:f>IF(AND(ISNUMBER(G2236),G2236&gt;=0,G2236&lt;=1),IF(G2236&gt;=0.9,30,IF(G2236&gt;=0.8,25,IF(G2236&gt;=0.7,20,IF(G2236&gt;=0.6,15,IF(G2236&gt;=0.5,10,IF(G2236&gt;=0.4,5,0)))))),"")</x:f>
        <x:v>20</x:v>
      </x:c>
      <x:c r="P2236" s="1" t="n">
        <x:f>IF(ISNUMBER(K2236),IF(K2236&lt;0,"",IF(K2236&gt;1,25,IF(K2236&gt;=0.75,20,IF(K2236&gt;=0.5,15,IF(K2236&gt;=0.25,10,5))))),"")</x:f>
        <x:v>10</x:v>
      </x:c>
      <x:c r="Q2236" s="1" t="n">
        <x:f>IF(NOT(ISNUMBER(L2236)),"",IF(AND(L2236&gt;=0,MOD(L2236,1)=0),MAX(0,25-5*L2236),""))</x:f>
        <x:v>5</x:v>
      </x:c>
      <x:c r="R2236" s="1" t="n">
        <x:f>IF(NOT(ISNUMBER(F2236)),"",IF(AND(F2236&gt;0,MOD(F2236,1)=0),IF(F2236&gt;=700,5,IF(F2236&gt;=500,4,IF(F2236&gt;=350,3,IF(F2236&gt;=200,2,1)))),""))</x:f>
        <x:v>2</x:v>
      </x:c>
      <x:c r="S2236" s="1" t="n">
        <x:f>IF(COUNT(O2236:R2236)=4,SUM(O2236:R2236),"")</x:f>
        <x:v>37</x:v>
      </x:c>
      <x:c r="T2236" s="1" t="n">
        <x:f>IF(OR(COUNT(O2236:R2236)&lt;&gt;4,COUNT('Top 15'!$B$35:$E$35)&lt;&gt;4,MIN('Top 15'!$B$35:$E$35)&lt;0,SUM('Top 15'!$B$35:$E$35)&lt;=0),"",ROUND(85*(O2236/30*'Top 15'!$B$35+P2236/25*'Top 15'!$C$35+Q2236/25*'Top 15'!$D$35+R2236/5*'Top 15'!$E$35)/SUM('Top 15'!$B$35:$E$35),6))</x:f>
        <x:v>37</x:v>
      </x:c>
      <x:c r="U2236" s="1" t="str">
        <x:f>IF(A2236="","",IF(AND(M2236="Verified",N2236="Verified"),"Verified",IF(AND(M2236="Listed",N2236="Listed"),"Listed","Mixed")))</x:f>
        <x:v>Listed</x:v>
      </x:c>
      <x:c r="V2236" s="1" t="str">
        <x:f>IF(A2236="","",IF(AK2236&lt;&gt;1,"Duplicate source ID",IF(COUNTIFS('Staff Review'!$A$8:$A$507,A2236)&gt;1,"Duplicate review ID",IF(H2236&lt;&gt;"Yes","Outside scope",IF(J2236="Yes","Already served",IF(NOT(ISNUMBER(T2236)),"Missing data","Candidate"))))))</x:f>
        <x:v>Candidate</x:v>
      </x:c>
      <x:c r="W2236" s="1" t="n">
        <x:f>IF(AL2236=0,"",1+COUNTIFS($AL$2051:$AL$2550,1,$T$2051:$T$2550,"&gt;"&amp;T2236)+COUNTIFS($AL$2051:$AL$2550,1,$T$2051:$T$2550,T2236,$G$2051:$G$2550,"&gt;"&amp;G2236)+COUNTIFS($AL$2051:$AL$2550,1,$T$2051:$T$2550,T2236,$G$2051:$G$2550,G2236,$F$2051:$F$2550,"&gt;"&amp;F2236)+COUNTIFS($AL$2051:$AL$2550,1,$T$2051:$T$2550,T2236,$G$2051:$G$2550,G2236,$F$2051:$F$2550,F2236,$AM$2051:$AM$2550,"&lt;"&amp;AM2236))</x:f>
        <x:v>203</x:v>
      </x:c>
      <x:c r="X2236" s="1" t="n">
        <x:f>IF(AL2236=0,"",1+COUNTIFS($AL$2051:$AL$2550,1,$T$2051:$T$2550,"&gt;"&amp;T2236))</x:f>
        <x:v>182</x:v>
      </x:c>
      <x:c r="Y2236" s="1" t="n">
        <x:f>IF(AND(H2236="Yes",OR(LEN('School Search'!$B$5)=0,ISNUMBER(SEARCH('School Search'!$B$5,B2236&amp;" "&amp;E2236&amp;" "&amp;A2236))),OR('School Search'!$D$5="All",C2236='School Search'!$D$5),OR('School Search'!$G$5="All eligible",AND('School Search'!$G$5="Not marked served",J2236&lt;&gt;"Yes"),AND('School Search'!$G$5="Missing data",V2236="Missing data"),AND('School Search'!$G$5="Marked served",J2236="Yes"))),1,0)</x:f>
        <x:v>1</x:v>
      </x:c>
      <x:c r="Z2236" s="1" t="n">
        <x:f>IF(Y2236=0,"",COUNTIFS($Y$2051:$Y$2550,1,$AO$2051:$AO$2550,"&lt;"&amp;AO2236)+COUNTIFS($Y$2051:Y2236,1,$AO$2051:AO2236,AO2236))</x:f>
        <x:v>203</x:v>
      </x:c>
      <x:c r="AA2236" s="1" t="str">
        <x:f>IF(NOT(ISNUMBER(S2236)),"Missing demographic or access input",TEXT(G2236,"0%")&amp;" economic need; "&amp;TEXT(K2236,"0.00")&amp;" mi fresh access; "&amp;L2236&amp;" nearby resources")</x:f>
        <x:v>79% economic need; 0.50 mi fresh access; 4 nearby resources</x:v>
      </x:c>
      <x:c r="AB2236" s="1" t="n">
        <x:f>IF(OR(A2236="",COUNTIFS($A$1531:$A$2030,A2236)&lt;&gt;1),0,MATCH(A2236,$A$1531:$A$2030,0))</x:f>
        <x:v>186</x:v>
      </x:c>
      <x:c r="AC2236" s="1" t="str">
        <x:f>IF(AB2236=0,"",INDEX($E$1531:$E$2030,AB2236))</x:f>
        <x:v>PORT RICHMOND THRIFTWAY</x:v>
      </x:c>
      <x:c r="AD2236" s="1" t="str">
        <x:f>IF(AB2236=0,"",INDEX($F$1531:$F$2030,AB2236))</x:f>
        <x:v>2497 Aramingo Ave, Philadelphia, PA, 19125</x:v>
      </x:c>
      <x:c r="AE2236" s="1" t="str">
        <x:f>IF(A2236="","",F187)</x:f>
        <x:v>600 E THOMPSON ST</x:v>
      </x:c>
      <x:c r="AF2236" s="1" t="n">
        <x:f>IF(ISNUMBER(I187),I187,"")</x:f>
        <x:v>39.97272711</x:v>
      </x:c>
      <x:c r="AG2236" s="1" t="n">
        <x:f>IF(ISNUMBER(J187),J187,"")</x:f>
        <x:v>-75.12787008</x:v>
      </x:c>
      <x:c r="AH2236" s="1" t="str">
        <x:f>IF(I2236=0,"Not contacted",IF(INDEX('Staff Review'!$J$8:$J$507,I2236)="","Not contacted",INDEX('Staff Review'!$J$8:$J$507,I2236)))</x:f>
        <x:v>Not contacted</x:v>
      </x:c>
      <x:c r="AI2236" s="1" t="str">
        <x:f>IF(I2236=0,"No",IF(AND(COUNT(INDEX('Staff Review'!$D$8:$D$507,I2236))=1,INDEX('Staff Review'!$D$8:$D$507,I2236)&gt;=0,COUNT(INDEX('Staff Review'!$E$8:$E$507,I2236))=1,INDEX('Staff Review'!$E$8:$E$507,I2236)&gt;0,INDEX('Staff Review'!$E$8:$E$507,I2236)&lt;='Top 15'!$E$5,'Top 15'!$E$5-INDEX('Staff Review'!$E$8:$E$507,I2236)&lt;='Top 15'!$H$5,LEN(INDEX('Staff Review'!$H$8:$H$507,I2236))&gt;0),"Yes","No"))</x:f>
        <x:v>No</x:v>
      </x:c>
      <x:c r="AJ2236" s="1" t="str">
        <x:f>IF(I2236=0,"No",IF(COUNT(INDEX('Staff Review'!$F$8:$F$507,I2236))&lt;&gt;1,"No",IF(AND(INDEX('Staff Review'!$F$8:$F$507,I2236)&gt;=0,MOD(INDEX('Staff Review'!$F$8:$F$507,I2236),1)=0,COUNT(INDEX('Staff Review'!$G$8:$G$507,I2236))=1,INDEX('Staff Review'!$G$8:$G$507,I2236)&gt;0,INDEX('Staff Review'!$G$8:$G$507,I2236)&lt;='Top 15'!$E$5,'Top 15'!$E$5-INDEX('Staff Review'!$G$8:$G$507,I2236)&lt;='Top 15'!$H$5,LEN(INDEX('Staff Review'!$H$8:$H$507,I2236))&gt;0),"Yes","No")))</x:f>
        <x:v>No</x:v>
      </x:c>
      <x:c r="AK2236" s="1" t="n">
        <x:f>IF(A2236="",0,COUNTIFS($A$2:$A$501,A2236))</x:f>
        <x:v>1</x:v>
      </x:c>
      <x:c r="AL2236" s="1" t="n">
        <x:f>IF(V2236="Candidate",1,0)</x:f>
        <x:v>1</x:v>
      </x:c>
      <x:c r="AM2236" s="1" t="n">
        <x:f>IF(A2236="",0,VALUE(A2236))</x:f>
        <x:v>5160</x:v>
      </x:c>
      <x:c r="AN2236" s="1" t="n">
        <x:f>IF(OR(A2236="",COUNTIFS($T$41:$T$540,A2236)&lt;&gt;1),0,MATCH(A2236,$T$41:$T$540,0))</x:f>
        <x:v>186</x:v>
      </x:c>
      <x:c r="AO2236" t="n">
        <x:f>IF(ISNUMBER(W2236),W2236,10000+AM2236)</x:f>
        <x:v>203</x:v>
      </x:c>
    </x:row>
    <x:row r="2237" ht="22" customHeight="1">
      <x:c r="A2237" s="1" t="str">
        <x:f>IF(A188="","",A188)</x:f>
        <x:v>5170</x:v>
      </x:c>
      <x:c r="B2237" s="1" t="str">
        <x:f>IF(A2237="","",B188)</x:f>
        <x:v>Julia de Burgos School</x:v>
      </x:c>
      <x:c r="C2237" s="1" t="str">
        <x:f>IF(A2237="","",C188)</x:f>
        <x:v>District</x:v>
      </x:c>
      <x:c r="D2237" s="1" t="str">
        <x:f>IF(A2237="","",E188)</x:f>
        <x:v>Elementary-Middle</x:v>
      </x:c>
      <x:c r="E2237" s="1" t="str">
        <x:f>IF(A2237="","",H188)</x:f>
        <x:v>19133</x:v>
      </x:c>
      <x:c r="F2237" s="1" t="n">
        <x:f>IF(ISNUMBER(K188),K188,"")</x:f>
        <x:v>512</x:v>
      </x:c>
      <x:c r="G2237" s="1" t="n">
        <x:f>IF(ISNUMBER(L188),L188,"")</x:f>
        <x:v>0.9003</x:v>
      </x:c>
      <x:c r="H2237" s="1" t="str">
        <x:f>IF(A2237="","",IF(AND(UPPER(G188)="PHILADELPHIA",OR(C2237="District",AND(C2237="Charter",D188="Yes"))),"Yes","No"))</x:f>
        <x:v>Yes</x:v>
      </x:c>
      <x:c r="I2237" s="1" t="n">
        <x:f>IF(OR(A2237="",COUNTIFS('Staff Review'!$A$8:$A$507,A2237)&lt;&gt;1),0,MATCH(A2237,'Staff Review'!$A$8:$A$507,0))</x:f>
        <x:v>151</x:v>
      </x:c>
      <x:c r="J2237" s="1" t="str">
        <x:f>IF(I2237=0,"No",IF(INDEX('Staff Review'!$C$8:$C$507,I2237)="Yes","Yes","No"))</x:f>
        <x:v>No</x:v>
      </x:c>
      <x:c r="K2237" s="1" t="n">
        <x:f>IF(AI2237="Yes",INDEX('Staff Review'!$D$8:$D$507,I2237),IF(AB2237=0,"",IF(COUNT(INDEX($C$1531:$C$2030,AB2237))=1,INDEX($C$1531:$C$2030,AB2237),"")))</x:f>
        <x:v>0.2885884773092359</x:v>
      </x:c>
      <x:c r="L2237" s="1" t="n">
        <x:f>IF(AJ2237="Yes",INDEX('Staff Review'!$F$8:$F$507,I2237),IF(AB2237=0,"",IF(COUNT(INDEX($G$1531:$G$2030,AB2237))=1,INDEX($G$1531:$G$2030,AB2237),"")))</x:f>
        <x:v>14</x:v>
      </x:c>
      <x:c r="M2237" s="1" t="str">
        <x:f>IF(A2237="","",IF(AI2237="Yes","Verified","Listed"))</x:f>
        <x:v>Listed</x:v>
      </x:c>
      <x:c r="N2237" s="1" t="str">
        <x:f>IF(A2237="","",IF(AJ2237="Yes","Verified","Listed"))</x:f>
        <x:v>Listed</x:v>
      </x:c>
      <x:c r="O2237" s="1" t="n">
        <x:f>IF(AND(ISNUMBER(G2237),G2237&gt;=0,G2237&lt;=1),IF(G2237&gt;=0.9,30,IF(G2237&gt;=0.8,25,IF(G2237&gt;=0.7,20,IF(G2237&gt;=0.6,15,IF(G2237&gt;=0.5,10,IF(G2237&gt;=0.4,5,0)))))),"")</x:f>
        <x:v>30</x:v>
      </x:c>
      <x:c r="P2237" s="1" t="n">
        <x:f>IF(ISNUMBER(K2237),IF(K2237&lt;0,"",IF(K2237&gt;1,25,IF(K2237&gt;=0.75,20,IF(K2237&gt;=0.5,15,IF(K2237&gt;=0.25,10,5))))),"")</x:f>
        <x:v>10</x:v>
      </x:c>
      <x:c r="Q2237" s="1" t="n">
        <x:f>IF(NOT(ISNUMBER(L2237)),"",IF(AND(L2237&gt;=0,MOD(L2237,1)=0),MAX(0,25-5*L2237),""))</x:f>
        <x:v>0</x:v>
      </x:c>
      <x:c r="R2237" s="1" t="n">
        <x:f>IF(NOT(ISNUMBER(F2237)),"",IF(AND(F2237&gt;0,MOD(F2237,1)=0),IF(F2237&gt;=700,5,IF(F2237&gt;=500,4,IF(F2237&gt;=350,3,IF(F2237&gt;=200,2,1)))),""))</x:f>
        <x:v>4</x:v>
      </x:c>
      <x:c r="S2237" s="1" t="n">
        <x:f>IF(COUNT(O2237:R2237)=4,SUM(O2237:R2237),"")</x:f>
        <x:v>44</x:v>
      </x:c>
      <x:c r="T2237" s="1" t="n">
        <x:f>IF(OR(COUNT(O2237:R2237)&lt;&gt;4,COUNT('Top 15'!$B$35:$E$35)&lt;&gt;4,MIN('Top 15'!$B$35:$E$35)&lt;0,SUM('Top 15'!$B$35:$E$35)&lt;=0),"",ROUND(85*(O2237/30*'Top 15'!$B$35+P2237/25*'Top 15'!$C$35+Q2237/25*'Top 15'!$D$35+R2237/5*'Top 15'!$E$35)/SUM('Top 15'!$B$35:$E$35),6))</x:f>
        <x:v>44</x:v>
      </x:c>
      <x:c r="U2237" s="1" t="str">
        <x:f>IF(A2237="","",IF(AND(M2237="Verified",N2237="Verified"),"Verified",IF(AND(M2237="Listed",N2237="Listed"),"Listed","Mixed")))</x:f>
        <x:v>Listed</x:v>
      </x:c>
      <x:c r="V2237" s="1" t="str">
        <x:f>IF(A2237="","",IF(AK2237&lt;&gt;1,"Duplicate source ID",IF(COUNTIFS('Staff Review'!$A$8:$A$507,A2237)&gt;1,"Duplicate review ID",IF(H2237&lt;&gt;"Yes","Outside scope",IF(J2237="Yes","Already served",IF(NOT(ISNUMBER(T2237)),"Missing data","Candidate"))))))</x:f>
        <x:v>Candidate</x:v>
      </x:c>
      <x:c r="W2237" s="1" t="n">
        <x:f>IF(AL2237=0,"",1+COUNTIFS($AL$2051:$AL$2550,1,$T$2051:$T$2550,"&gt;"&amp;T2237)+COUNTIFS($AL$2051:$AL$2550,1,$T$2051:$T$2550,T2237,$G$2051:$G$2550,"&gt;"&amp;G2237)+COUNTIFS($AL$2051:$AL$2550,1,$T$2051:$T$2550,T2237,$G$2051:$G$2550,G2237,$F$2051:$F$2550,"&gt;"&amp;F2237)+COUNTIFS($AL$2051:$AL$2550,1,$T$2051:$T$2550,T2237,$G$2051:$G$2550,G2237,$F$2051:$F$2550,F2237,$AM$2051:$AM$2550,"&lt;"&amp;AM2237))</x:f>
        <x:v>84</x:v>
      </x:c>
      <x:c r="X2237" s="1" t="n">
        <x:f>IF(AL2237=0,"",1+COUNTIFS($AL$2051:$AL$2550,1,$T$2051:$T$2550,"&gt;"&amp;T2237))</x:f>
        <x:v>81</x:v>
      </x:c>
      <x:c r="Y2237" s="1" t="n">
        <x:f>IF(AND(H2237="Yes",OR(LEN('School Search'!$B$5)=0,ISNUMBER(SEARCH('School Search'!$B$5,B2237&amp;" "&amp;E2237&amp;" "&amp;A2237))),OR('School Search'!$D$5="All",C2237='School Search'!$D$5),OR('School Search'!$G$5="All eligible",AND('School Search'!$G$5="Not marked served",J2237&lt;&gt;"Yes"),AND('School Search'!$G$5="Missing data",V2237="Missing data"),AND('School Search'!$G$5="Marked served",J2237="Yes"))),1,0)</x:f>
        <x:v>1</x:v>
      </x:c>
      <x:c r="Z2237" s="1" t="n">
        <x:f>IF(Y2237=0,"",COUNTIFS($Y$2051:$Y$2550,1,$AO$2051:$AO$2550,"&lt;"&amp;AO2237)+COUNTIFS($Y$2051:Y2237,1,$AO$2051:AO2237,AO2237))</x:f>
        <x:v>84</x:v>
      </x:c>
      <x:c r="AA2237" s="1" t="str">
        <x:f>IF(NOT(ISNUMBER(S2237)),"Missing demographic or access input",TEXT(G2237,"0%")&amp;" economic need; "&amp;TEXT(K2237,"0.00")&amp;" mi fresh access; "&amp;L2237&amp;" nearby resources")</x:f>
        <x:v>90% economic need; 0.29 mi fresh access; 14 nearby resources</x:v>
      </x:c>
      <x:c r="AB2237" s="1" t="n">
        <x:f>IF(OR(A2237="",COUNTIFS($A$1531:$A$2030,A2237)&lt;&gt;1),0,MATCH(A2237,$A$1531:$A$2030,0))</x:f>
        <x:v>187</x:v>
      </x:c>
      <x:c r="AC2237" s="1" t="str">
        <x:f>IF(AB2237=0,"",INDEX($E$1531:$E$2030,AB2237))</x:f>
        <x:v>Save A Lot 60139</x:v>
      </x:c>
      <x:c r="AD2237" s="1" t="str">
        <x:f>IF(AB2237=0,"",INDEX($F$1531:$F$2030,AB2237))</x:f>
        <x:v>701 W Lehigh Ave, Philadelphia, PA, 19133</x:v>
      </x:c>
      <x:c r="AE2237" s="1" t="str">
        <x:f>IF(A2237="","",F188)</x:f>
        <x:v>401 W LEHIGH AVE</x:v>
      </x:c>
      <x:c r="AF2237" s="1" t="n">
        <x:f>IF(ISNUMBER(I188),I188,"")</x:f>
        <x:v>39.99275164</x:v>
      </x:c>
      <x:c r="AG2237" s="1" t="n">
        <x:f>IF(ISNUMBER(J188),J188,"")</x:f>
        <x:v>-75.13862743</x:v>
      </x:c>
      <x:c r="AH2237" s="1" t="str">
        <x:f>IF(I2237=0,"Not contacted",IF(INDEX('Staff Review'!$J$8:$J$507,I2237)="","Not contacted",INDEX('Staff Review'!$J$8:$J$507,I2237)))</x:f>
        <x:v>Not contacted</x:v>
      </x:c>
      <x:c r="AI2237" s="1" t="str">
        <x:f>IF(I2237=0,"No",IF(AND(COUNT(INDEX('Staff Review'!$D$8:$D$507,I2237))=1,INDEX('Staff Review'!$D$8:$D$507,I2237)&gt;=0,COUNT(INDEX('Staff Review'!$E$8:$E$507,I2237))=1,INDEX('Staff Review'!$E$8:$E$507,I2237)&gt;0,INDEX('Staff Review'!$E$8:$E$507,I2237)&lt;='Top 15'!$E$5,'Top 15'!$E$5-INDEX('Staff Review'!$E$8:$E$507,I2237)&lt;='Top 15'!$H$5,LEN(INDEX('Staff Review'!$H$8:$H$507,I2237))&gt;0),"Yes","No"))</x:f>
        <x:v>No</x:v>
      </x:c>
      <x:c r="AJ2237" s="1" t="str">
        <x:f>IF(I2237=0,"No",IF(COUNT(INDEX('Staff Review'!$F$8:$F$507,I2237))&lt;&gt;1,"No",IF(AND(INDEX('Staff Review'!$F$8:$F$507,I2237)&gt;=0,MOD(INDEX('Staff Review'!$F$8:$F$507,I2237),1)=0,COUNT(INDEX('Staff Review'!$G$8:$G$507,I2237))=1,INDEX('Staff Review'!$G$8:$G$507,I2237)&gt;0,INDEX('Staff Review'!$G$8:$G$507,I2237)&lt;='Top 15'!$E$5,'Top 15'!$E$5-INDEX('Staff Review'!$G$8:$G$507,I2237)&lt;='Top 15'!$H$5,LEN(INDEX('Staff Review'!$H$8:$H$507,I2237))&gt;0),"Yes","No")))</x:f>
        <x:v>No</x:v>
      </x:c>
      <x:c r="AK2237" s="1" t="n">
        <x:f>IF(A2237="",0,COUNTIFS($A$2:$A$501,A2237))</x:f>
        <x:v>1</x:v>
      </x:c>
      <x:c r="AL2237" s="1" t="n">
        <x:f>IF(V2237="Candidate",1,0)</x:f>
        <x:v>1</x:v>
      </x:c>
      <x:c r="AM2237" s="1" t="n">
        <x:f>IF(A2237="",0,VALUE(A2237))</x:f>
        <x:v>5170</x:v>
      </x:c>
      <x:c r="AN2237" s="1" t="n">
        <x:f>IF(OR(A2237="",COUNTIFS($T$41:$T$540,A2237)&lt;&gt;1),0,MATCH(A2237,$T$41:$T$540,0))</x:f>
        <x:v>187</x:v>
      </x:c>
      <x:c r="AO2237" t="n">
        <x:f>IF(ISNUMBER(W2237),W2237,10000+AM2237)</x:f>
        <x:v>84</x:v>
      </x:c>
    </x:row>
    <x:row r="2238" ht="22" customHeight="1">
      <x:c r="A2238" s="1" t="str">
        <x:f>IF(A189="","",A189)</x:f>
        <x:v>5180</x:v>
      </x:c>
      <x:c r="B2238" s="1" t="str">
        <x:f>IF(A2238="","",B189)</x:f>
        <x:v>Vaux High School</x:v>
      </x:c>
      <x:c r="C2238" s="1" t="str">
        <x:f>IF(A2238="","",C189)</x:f>
        <x:v>District</x:v>
      </x:c>
      <x:c r="D2238" s="1" t="str">
        <x:f>IF(A2238="","",E189)</x:f>
        <x:v>High</x:v>
      </x:c>
      <x:c r="E2238" s="1" t="str">
        <x:f>IF(A2238="","",H189)</x:f>
        <x:v>19121</x:v>
      </x:c>
      <x:c r="F2238" s="1" t="n">
        <x:f>IF(ISNUMBER(K189),K189,"")</x:f>
        <x:v>335</x:v>
      </x:c>
      <x:c r="G2238" s="1" t="n">
        <x:f>IF(ISNUMBER(L189),L189,"")</x:f>
        <x:v>0.8606</x:v>
      </x:c>
      <x:c r="H2238" s="1" t="str">
        <x:f>IF(A2238="","",IF(AND(UPPER(G189)="PHILADELPHIA",OR(C2238="District",AND(C2238="Charter",D189="Yes"))),"Yes","No"))</x:f>
        <x:v>Yes</x:v>
      </x:c>
      <x:c r="I2238" s="1" t="n">
        <x:f>IF(OR(A2238="",COUNTIFS('Staff Review'!$A$8:$A$507,A2238)&lt;&gt;1),0,MATCH(A2238,'Staff Review'!$A$8:$A$507,0))</x:f>
        <x:v>304</x:v>
      </x:c>
      <x:c r="J2238" s="1" t="str">
        <x:f>IF(I2238=0,"No",IF(INDEX('Staff Review'!$C$8:$C$507,I2238)="Yes","Yes","No"))</x:f>
        <x:v>No</x:v>
      </x:c>
      <x:c r="K2238" s="1" t="n">
        <x:f>IF(AI2238="Yes",INDEX('Staff Review'!$D$8:$D$507,I2238),IF(AB2238=0,"",IF(COUNT(INDEX($C$1531:$C$2030,AB2238))=1,INDEX($C$1531:$C$2030,AB2238),"")))</x:f>
        <x:v>0.27094219653936186</x:v>
      </x:c>
      <x:c r="L2238" s="1" t="n">
        <x:f>IF(AJ2238="Yes",INDEX('Staff Review'!$F$8:$F$507,I2238),IF(AB2238=0,"",IF(COUNT(INDEX($G$1531:$G$2030,AB2238))=1,INDEX($G$1531:$G$2030,AB2238),"")))</x:f>
        <x:v>11</x:v>
      </x:c>
      <x:c r="M2238" s="1" t="str">
        <x:f>IF(A2238="","",IF(AI2238="Yes","Verified","Listed"))</x:f>
        <x:v>Listed</x:v>
      </x:c>
      <x:c r="N2238" s="1" t="str">
        <x:f>IF(A2238="","",IF(AJ2238="Yes","Verified","Listed"))</x:f>
        <x:v>Listed</x:v>
      </x:c>
      <x:c r="O2238" s="1" t="n">
        <x:f>IF(AND(ISNUMBER(G2238),G2238&gt;=0,G2238&lt;=1),IF(G2238&gt;=0.9,30,IF(G2238&gt;=0.8,25,IF(G2238&gt;=0.7,20,IF(G2238&gt;=0.6,15,IF(G2238&gt;=0.5,10,IF(G2238&gt;=0.4,5,0)))))),"")</x:f>
        <x:v>25</x:v>
      </x:c>
      <x:c r="P2238" s="1" t="n">
        <x:f>IF(ISNUMBER(K2238),IF(K2238&lt;0,"",IF(K2238&gt;1,25,IF(K2238&gt;=0.75,20,IF(K2238&gt;=0.5,15,IF(K2238&gt;=0.25,10,5))))),"")</x:f>
        <x:v>10</x:v>
      </x:c>
      <x:c r="Q2238" s="1" t="n">
        <x:f>IF(NOT(ISNUMBER(L2238)),"",IF(AND(L2238&gt;=0,MOD(L2238,1)=0),MAX(0,25-5*L2238),""))</x:f>
        <x:v>0</x:v>
      </x:c>
      <x:c r="R2238" s="1" t="n">
        <x:f>IF(NOT(ISNUMBER(F2238)),"",IF(AND(F2238&gt;0,MOD(F2238,1)=0),IF(F2238&gt;=700,5,IF(F2238&gt;=500,4,IF(F2238&gt;=350,3,IF(F2238&gt;=200,2,1)))),""))</x:f>
        <x:v>2</x:v>
      </x:c>
      <x:c r="S2238" s="1" t="n">
        <x:f>IF(COUNT(O2238:R2238)=4,SUM(O2238:R2238),"")</x:f>
        <x:v>37</x:v>
      </x:c>
      <x:c r="T2238" s="1" t="n">
        <x:f>IF(OR(COUNT(O2238:R2238)&lt;&gt;4,COUNT('Top 15'!$B$35:$E$35)&lt;&gt;4,MIN('Top 15'!$B$35:$E$35)&lt;0,SUM('Top 15'!$B$35:$E$35)&lt;=0),"",ROUND(85*(O2238/30*'Top 15'!$B$35+P2238/25*'Top 15'!$C$35+Q2238/25*'Top 15'!$D$35+R2238/5*'Top 15'!$E$35)/SUM('Top 15'!$B$35:$E$35),6))</x:f>
        <x:v>37</x:v>
      </x:c>
      <x:c r="U2238" s="1" t="str">
        <x:f>IF(A2238="","",IF(AND(M2238="Verified",N2238="Verified"),"Verified",IF(AND(M2238="Listed",N2238="Listed"),"Listed","Mixed")))</x:f>
        <x:v>Listed</x:v>
      </x:c>
      <x:c r="V2238" s="1" t="str">
        <x:f>IF(A2238="","",IF(AK2238&lt;&gt;1,"Duplicate source ID",IF(COUNTIFS('Staff Review'!$A$8:$A$507,A2238)&gt;1,"Duplicate review ID",IF(H2238&lt;&gt;"Yes","Outside scope",IF(J2238="Yes","Already served",IF(NOT(ISNUMBER(T2238)),"Missing data","Candidate"))))))</x:f>
        <x:v>Candidate</x:v>
      </x:c>
      <x:c r="W2238" s="1" t="n">
        <x:f>IF(AL2238=0,"",1+COUNTIFS($AL$2051:$AL$2550,1,$T$2051:$T$2550,"&gt;"&amp;T2238)+COUNTIFS($AL$2051:$AL$2550,1,$T$2051:$T$2550,T2238,$G$2051:$G$2550,"&gt;"&amp;G2238)+COUNTIFS($AL$2051:$AL$2550,1,$T$2051:$T$2550,T2238,$G$2051:$G$2550,G2238,$F$2051:$F$2550,"&gt;"&amp;F2238)+COUNTIFS($AL$2051:$AL$2550,1,$T$2051:$T$2550,T2238,$G$2051:$G$2550,G2238,$F$2051:$F$2550,F2238,$AM$2051:$AM$2550,"&lt;"&amp;AM2238))</x:f>
        <x:v>196</x:v>
      </x:c>
      <x:c r="X2238" s="1" t="n">
        <x:f>IF(AL2238=0,"",1+COUNTIFS($AL$2051:$AL$2550,1,$T$2051:$T$2550,"&gt;"&amp;T2238))</x:f>
        <x:v>182</x:v>
      </x:c>
      <x:c r="Y2238" s="1" t="n">
        <x:f>IF(AND(H2238="Yes",OR(LEN('School Search'!$B$5)=0,ISNUMBER(SEARCH('School Search'!$B$5,B2238&amp;" "&amp;E2238&amp;" "&amp;A2238))),OR('School Search'!$D$5="All",C2238='School Search'!$D$5),OR('School Search'!$G$5="All eligible",AND('School Search'!$G$5="Not marked served",J2238&lt;&gt;"Yes"),AND('School Search'!$G$5="Missing data",V2238="Missing data"),AND('School Search'!$G$5="Marked served",J2238="Yes"))),1,0)</x:f>
        <x:v>1</x:v>
      </x:c>
      <x:c r="Z2238" s="1" t="n">
        <x:f>IF(Y2238=0,"",COUNTIFS($Y$2051:$Y$2550,1,$AO$2051:$AO$2550,"&lt;"&amp;AO2238)+COUNTIFS($Y$2051:Y2238,1,$AO$2051:AO2238,AO2238))</x:f>
        <x:v>196</x:v>
      </x:c>
      <x:c r="AA2238" s="1" t="str">
        <x:f>IF(NOT(ISNUMBER(S2238)),"Missing demographic or access input",TEXT(G2238,"0%")&amp;" economic need; "&amp;TEXT(K2238,"0.00")&amp;" mi fresh access; "&amp;L2238&amp;" nearby resources")</x:f>
        <x:v>86% economic need; 0.27 mi fresh access; 11 nearby resources</x:v>
      </x:c>
      <x:c r="AB2238" s="1" t="n">
        <x:f>IF(OR(A2238="",COUNTIFS($A$1531:$A$2030,A2238)&lt;&gt;1),0,MATCH(A2238,$A$1531:$A$2030,0))</x:f>
        <x:v>188</x:v>
      </x:c>
      <x:c r="AC2238" s="1" t="str">
        <x:f>IF(AB2238=0,"",INDEX($E$1531:$E$2030,AB2238))</x:f>
        <x:v>Sharswood Grocery Outlet 731</x:v>
      </x:c>
      <x:c r="AD2238" s="1" t="str">
        <x:f>IF(AB2238=0,"",INDEX($F$1531:$F$2030,AB2238))</x:f>
        <x:v>2077 Ridge Ave, Philadelphia, PA, 19121</x:v>
      </x:c>
      <x:c r="AE2238" s="1" t="str">
        <x:f>IF(A2238="","",F189)</x:f>
        <x:v>2300 W MASTER ST</x:v>
      </x:c>
      <x:c r="AF2238" s="1" t="n">
        <x:f>IF(ISNUMBER(I189),I189,"")</x:f>
        <x:v>39.976325</x:v>
      </x:c>
      <x:c r="AG2238" s="1" t="n">
        <x:f>IF(ISNUMBER(J189),J189,"")</x:f>
        <x:v>-75.174186</x:v>
      </x:c>
      <x:c r="AH2238" s="1" t="str">
        <x:f>IF(I2238=0,"Not contacted",IF(INDEX('Staff Review'!$J$8:$J$507,I2238)="","Not contacted",INDEX('Staff Review'!$J$8:$J$507,I2238)))</x:f>
        <x:v>Not contacted</x:v>
      </x:c>
      <x:c r="AI2238" s="1" t="str">
        <x:f>IF(I2238=0,"No",IF(AND(COUNT(INDEX('Staff Review'!$D$8:$D$507,I2238))=1,INDEX('Staff Review'!$D$8:$D$507,I2238)&gt;=0,COUNT(INDEX('Staff Review'!$E$8:$E$507,I2238))=1,INDEX('Staff Review'!$E$8:$E$507,I2238)&gt;0,INDEX('Staff Review'!$E$8:$E$507,I2238)&lt;='Top 15'!$E$5,'Top 15'!$E$5-INDEX('Staff Review'!$E$8:$E$507,I2238)&lt;='Top 15'!$H$5,LEN(INDEX('Staff Review'!$H$8:$H$507,I2238))&gt;0),"Yes","No"))</x:f>
        <x:v>No</x:v>
      </x:c>
      <x:c r="AJ2238" s="1" t="str">
        <x:f>IF(I2238=0,"No",IF(COUNT(INDEX('Staff Review'!$F$8:$F$507,I2238))&lt;&gt;1,"No",IF(AND(INDEX('Staff Review'!$F$8:$F$507,I2238)&gt;=0,MOD(INDEX('Staff Review'!$F$8:$F$507,I2238),1)=0,COUNT(INDEX('Staff Review'!$G$8:$G$507,I2238))=1,INDEX('Staff Review'!$G$8:$G$507,I2238)&gt;0,INDEX('Staff Review'!$G$8:$G$507,I2238)&lt;='Top 15'!$E$5,'Top 15'!$E$5-INDEX('Staff Review'!$G$8:$G$507,I2238)&lt;='Top 15'!$H$5,LEN(INDEX('Staff Review'!$H$8:$H$507,I2238))&gt;0),"Yes","No")))</x:f>
        <x:v>No</x:v>
      </x:c>
      <x:c r="AK2238" s="1" t="n">
        <x:f>IF(A2238="",0,COUNTIFS($A$2:$A$501,A2238))</x:f>
        <x:v>1</x:v>
      </x:c>
      <x:c r="AL2238" s="1" t="n">
        <x:f>IF(V2238="Candidate",1,0)</x:f>
        <x:v>1</x:v>
      </x:c>
      <x:c r="AM2238" s="1" t="n">
        <x:f>IF(A2238="",0,VALUE(A2238))</x:f>
        <x:v>5180</x:v>
      </x:c>
      <x:c r="AN2238" s="1" t="n">
        <x:f>IF(OR(A2238="",COUNTIFS($T$41:$T$540,A2238)&lt;&gt;1),0,MATCH(A2238,$T$41:$T$540,0))</x:f>
        <x:v>188</x:v>
      </x:c>
      <x:c r="AO2238" t="n">
        <x:f>IF(ISNUMBER(W2238),W2238,10000+AM2238)</x:f>
        <x:v>196</x:v>
      </x:c>
    </x:row>
    <x:row r="2239" ht="22" customHeight="1">
      <x:c r="A2239" s="1" t="str">
        <x:f>IF(A190="","",A190)</x:f>
        <x:v>5200</x:v>
      </x:c>
      <x:c r="B2239" s="1" t="str">
        <x:f>IF(A2239="","",B190)</x:f>
        <x:v>Alexander Adaire School</x:v>
      </x:c>
      <x:c r="C2239" s="1" t="str">
        <x:f>IF(A2239="","",C190)</x:f>
        <x:v>District</x:v>
      </x:c>
      <x:c r="D2239" s="1" t="str">
        <x:f>IF(A2239="","",E190)</x:f>
        <x:v>Elementary-Middle</x:v>
      </x:c>
      <x:c r="E2239" s="1" t="str">
        <x:f>IF(A2239="","",H190)</x:f>
        <x:v>19125</x:v>
      </x:c>
      <x:c r="F2239" s="1" t="n">
        <x:f>IF(ISNUMBER(K190),K190,"")</x:f>
        <x:v>451</x:v>
      </x:c>
      <x:c r="G2239" s="1" t="n">
        <x:f>IF(ISNUMBER(L190),L190,"")</x:f>
        <x:v>0.3126</x:v>
      </x:c>
      <x:c r="H2239" s="1" t="str">
        <x:f>IF(A2239="","",IF(AND(UPPER(G190)="PHILADELPHIA",OR(C2239="District",AND(C2239="Charter",D190="Yes"))),"Yes","No"))</x:f>
        <x:v>Yes</x:v>
      </x:c>
      <x:c r="I2239" s="1" t="n">
        <x:f>IF(OR(A2239="",COUNTIFS('Staff Review'!$A$8:$A$507,A2239)&lt;&gt;1),0,MATCH(A2239,'Staff Review'!$A$8:$A$507,0))</x:f>
        <x:v>12</x:v>
      </x:c>
      <x:c r="J2239" s="1" t="str">
        <x:f>IF(I2239=0,"No",IF(INDEX('Staff Review'!$C$8:$C$507,I2239)="Yes","Yes","No"))</x:f>
        <x:v>No</x:v>
      </x:c>
      <x:c r="K2239" s="1" t="n">
        <x:f>IF(AI2239="Yes",INDEX('Staff Review'!$D$8:$D$507,I2239),IF(AB2239=0,"",IF(COUNT(INDEX($C$1531:$C$2030,AB2239))=1,INDEX($C$1531:$C$2030,AB2239),"")))</x:f>
        <x:v>0.5613250972304338</x:v>
      </x:c>
      <x:c r="L2239" s="1" t="n">
        <x:f>IF(AJ2239="Yes",INDEX('Staff Review'!$F$8:$F$507,I2239),IF(AB2239=0,"",IF(COUNT(INDEX($G$1531:$G$2030,AB2239))=1,INDEX($G$1531:$G$2030,AB2239),"")))</x:f>
        <x:v>3</x:v>
      </x:c>
      <x:c r="M2239" s="1" t="str">
        <x:f>IF(A2239="","",IF(AI2239="Yes","Verified","Listed"))</x:f>
        <x:v>Listed</x:v>
      </x:c>
      <x:c r="N2239" s="1" t="str">
        <x:f>IF(A2239="","",IF(AJ2239="Yes","Verified","Listed"))</x:f>
        <x:v>Listed</x:v>
      </x:c>
      <x:c r="O2239" s="1" t="n">
        <x:f>IF(AND(ISNUMBER(G2239),G2239&gt;=0,G2239&lt;=1),IF(G2239&gt;=0.9,30,IF(G2239&gt;=0.8,25,IF(G2239&gt;=0.7,20,IF(G2239&gt;=0.6,15,IF(G2239&gt;=0.5,10,IF(G2239&gt;=0.4,5,0)))))),"")</x:f>
        <x:v>0</x:v>
      </x:c>
      <x:c r="P2239" s="1" t="n">
        <x:f>IF(ISNUMBER(K2239),IF(K2239&lt;0,"",IF(K2239&gt;1,25,IF(K2239&gt;=0.75,20,IF(K2239&gt;=0.5,15,IF(K2239&gt;=0.25,10,5))))),"")</x:f>
        <x:v>15</x:v>
      </x:c>
      <x:c r="Q2239" s="1" t="n">
        <x:f>IF(NOT(ISNUMBER(L2239)),"",IF(AND(L2239&gt;=0,MOD(L2239,1)=0),MAX(0,25-5*L2239),""))</x:f>
        <x:v>10</x:v>
      </x:c>
      <x:c r="R2239" s="1" t="n">
        <x:f>IF(NOT(ISNUMBER(F2239)),"",IF(AND(F2239&gt;0,MOD(F2239,1)=0),IF(F2239&gt;=700,5,IF(F2239&gt;=500,4,IF(F2239&gt;=350,3,IF(F2239&gt;=200,2,1)))),""))</x:f>
        <x:v>3</x:v>
      </x:c>
      <x:c r="S2239" s="1" t="n">
        <x:f>IF(COUNT(O2239:R2239)=4,SUM(O2239:R2239),"")</x:f>
        <x:v>28</x:v>
      </x:c>
      <x:c r="T2239" s="1" t="n">
        <x:f>IF(OR(COUNT(O2239:R2239)&lt;&gt;4,COUNT('Top 15'!$B$35:$E$35)&lt;&gt;4,MIN('Top 15'!$B$35:$E$35)&lt;0,SUM('Top 15'!$B$35:$E$35)&lt;=0),"",ROUND(85*(O2239/30*'Top 15'!$B$35+P2239/25*'Top 15'!$C$35+Q2239/25*'Top 15'!$D$35+R2239/5*'Top 15'!$E$35)/SUM('Top 15'!$B$35:$E$35),6))</x:f>
        <x:v>28</x:v>
      </x:c>
      <x:c r="U2239" s="1" t="str">
        <x:f>IF(A2239="","",IF(AND(M2239="Verified",N2239="Verified"),"Verified",IF(AND(M2239="Listed",N2239="Listed"),"Listed","Mixed")))</x:f>
        <x:v>Listed</x:v>
      </x:c>
      <x:c r="V2239" s="1" t="str">
        <x:f>IF(A2239="","",IF(AK2239&lt;&gt;1,"Duplicate source ID",IF(COUNTIFS('Staff Review'!$A$8:$A$507,A2239)&gt;1,"Duplicate review ID",IF(H2239&lt;&gt;"Yes","Outside scope",IF(J2239="Yes","Already served",IF(NOT(ISNUMBER(T2239)),"Missing data","Candidate"))))))</x:f>
        <x:v>Candidate</x:v>
      </x:c>
      <x:c r="W2239" s="1" t="n">
        <x:f>IF(AL2239=0,"",1+COUNTIFS($AL$2051:$AL$2550,1,$T$2051:$T$2550,"&gt;"&amp;T2239)+COUNTIFS($AL$2051:$AL$2550,1,$T$2051:$T$2550,T2239,$G$2051:$G$2550,"&gt;"&amp;G2239)+COUNTIFS($AL$2051:$AL$2550,1,$T$2051:$T$2550,T2239,$G$2051:$G$2550,G2239,$F$2051:$F$2550,"&gt;"&amp;F2239)+COUNTIFS($AL$2051:$AL$2550,1,$T$2051:$T$2550,T2239,$G$2051:$G$2550,G2239,$F$2051:$F$2550,F2239,$AM$2051:$AM$2550,"&lt;"&amp;AM2239))</x:f>
        <x:v>265</x:v>
      </x:c>
      <x:c r="X2239" s="1" t="n">
        <x:f>IF(AL2239=0,"",1+COUNTIFS($AL$2051:$AL$2550,1,$T$2051:$T$2550,"&gt;"&amp;T2239))</x:f>
        <x:v>265</x:v>
      </x:c>
      <x:c r="Y2239" s="1" t="n">
        <x:f>IF(AND(H2239="Yes",OR(LEN('School Search'!$B$5)=0,ISNUMBER(SEARCH('School Search'!$B$5,B2239&amp;" "&amp;E2239&amp;" "&amp;A2239))),OR('School Search'!$D$5="All",C2239='School Search'!$D$5),OR('School Search'!$G$5="All eligible",AND('School Search'!$G$5="Not marked served",J2239&lt;&gt;"Yes"),AND('School Search'!$G$5="Missing data",V2239="Missing data"),AND('School Search'!$G$5="Marked served",J2239="Yes"))),1,0)</x:f>
        <x:v>1</x:v>
      </x:c>
      <x:c r="Z2239" s="1" t="n">
        <x:f>IF(Y2239=0,"",COUNTIFS($Y$2051:$Y$2550,1,$AO$2051:$AO$2550,"&lt;"&amp;AO2239)+COUNTIFS($Y$2051:Y2239,1,$AO$2051:AO2239,AO2239))</x:f>
        <x:v>265</x:v>
      </x:c>
      <x:c r="AA2239" s="1" t="str">
        <x:f>IF(NOT(ISNUMBER(S2239)),"Missing demographic or access input",TEXT(G2239,"0%")&amp;" economic need; "&amp;TEXT(K2239,"0.00")&amp;" mi fresh access; "&amp;L2239&amp;" nearby resources")</x:f>
        <x:v>31% economic need; 0.56 mi fresh access; 3 nearby resources</x:v>
      </x:c>
      <x:c r="AB2239" s="1" t="n">
        <x:f>IF(OR(A2239="",COUNTIFS($A$1531:$A$2030,A2239)&lt;&gt;1),0,MATCH(A2239,$A$1531:$A$2030,0))</x:f>
        <x:v>189</x:v>
      </x:c>
      <x:c r="AC2239" s="1" t="str">
        <x:f>IF(AB2239=0,"",INDEX($E$1531:$E$2030,AB2239))</x:f>
        <x:v>Acme 0291</x:v>
      </x:c>
      <x:c r="AD2239" s="1" t="str">
        <x:f>IF(AB2239=0,"",INDEX($F$1531:$F$2030,AB2239))</x:f>
        <x:v>180 W Girard Ave, Philadelphia, PA, 19123</x:v>
      </x:c>
      <x:c r="AE2239" s="1" t="str">
        <x:f>IF(A2239="","",F190)</x:f>
        <x:v>1300 E PALMER ST</x:v>
      </x:c>
      <x:c r="AF2239" s="1" t="n">
        <x:f>IF(ISNUMBER(I190),I190,"")</x:f>
        <x:v>39.97232661</x:v>
      </x:c>
      <x:c r="AG2239" s="1" t="n">
        <x:f>IF(ISNUMBER(J190),J190,"")</x:f>
        <x:v>-75.12930989</x:v>
      </x:c>
      <x:c r="AH2239" s="1" t="str">
        <x:f>IF(I2239=0,"Not contacted",IF(INDEX('Staff Review'!$J$8:$J$507,I2239)="","Not contacted",INDEX('Staff Review'!$J$8:$J$507,I2239)))</x:f>
        <x:v>Not contacted</x:v>
      </x:c>
      <x:c r="AI2239" s="1" t="str">
        <x:f>IF(I2239=0,"No",IF(AND(COUNT(INDEX('Staff Review'!$D$8:$D$507,I2239))=1,INDEX('Staff Review'!$D$8:$D$507,I2239)&gt;=0,COUNT(INDEX('Staff Review'!$E$8:$E$507,I2239))=1,INDEX('Staff Review'!$E$8:$E$507,I2239)&gt;0,INDEX('Staff Review'!$E$8:$E$507,I2239)&lt;='Top 15'!$E$5,'Top 15'!$E$5-INDEX('Staff Review'!$E$8:$E$507,I2239)&lt;='Top 15'!$H$5,LEN(INDEX('Staff Review'!$H$8:$H$507,I2239))&gt;0),"Yes","No"))</x:f>
        <x:v>No</x:v>
      </x:c>
      <x:c r="AJ2239" s="1" t="str">
        <x:f>IF(I2239=0,"No",IF(COUNT(INDEX('Staff Review'!$F$8:$F$507,I2239))&lt;&gt;1,"No",IF(AND(INDEX('Staff Review'!$F$8:$F$507,I2239)&gt;=0,MOD(INDEX('Staff Review'!$F$8:$F$507,I2239),1)=0,COUNT(INDEX('Staff Review'!$G$8:$G$507,I2239))=1,INDEX('Staff Review'!$G$8:$G$507,I2239)&gt;0,INDEX('Staff Review'!$G$8:$G$507,I2239)&lt;='Top 15'!$E$5,'Top 15'!$E$5-INDEX('Staff Review'!$G$8:$G$507,I2239)&lt;='Top 15'!$H$5,LEN(INDEX('Staff Review'!$H$8:$H$507,I2239))&gt;0),"Yes","No")))</x:f>
        <x:v>No</x:v>
      </x:c>
      <x:c r="AK2239" s="1" t="n">
        <x:f>IF(A2239="",0,COUNTIFS($A$2:$A$501,A2239))</x:f>
        <x:v>1</x:v>
      </x:c>
      <x:c r="AL2239" s="1" t="n">
        <x:f>IF(V2239="Candidate",1,0)</x:f>
        <x:v>1</x:v>
      </x:c>
      <x:c r="AM2239" s="1" t="n">
        <x:f>IF(A2239="",0,VALUE(A2239))</x:f>
        <x:v>5200</x:v>
      </x:c>
      <x:c r="AN2239" s="1" t="n">
        <x:f>IF(OR(A2239="",COUNTIFS($T$41:$T$540,A2239)&lt;&gt;1),0,MATCH(A2239,$T$41:$T$540,0))</x:f>
        <x:v>189</x:v>
      </x:c>
      <x:c r="AO2239" t="n">
        <x:f>IF(ISNUMBER(W2239),W2239,10000+AM2239)</x:f>
        <x:v>265</x:v>
      </x:c>
    </x:row>
    <x:row r="2240" ht="22" customHeight="1">
      <x:c r="A2240" s="1" t="str">
        <x:f>IF(A191="","",A191)</x:f>
        <x:v>5210</x:v>
      </x:c>
      <x:c r="B2240" s="1" t="str">
        <x:f>IF(A2240="","",B191)</x:f>
        <x:v>Henry A. Brown School</x:v>
      </x:c>
      <x:c r="C2240" s="1" t="str">
        <x:f>IF(A2240="","",C191)</x:f>
        <x:v>District</x:v>
      </x:c>
      <x:c r="D2240" s="1" t="str">
        <x:f>IF(A2240="","",E191)</x:f>
        <x:v>Elementary-Middle</x:v>
      </x:c>
      <x:c r="E2240" s="1" t="str">
        <x:f>IF(A2240="","",H191)</x:f>
        <x:v>19125</x:v>
      </x:c>
      <x:c r="F2240" s="1" t="n">
        <x:f>IF(ISNUMBER(K191),K191,"")</x:f>
        <x:v>319</x:v>
      </x:c>
      <x:c r="G2240" s="1" t="n">
        <x:f>IF(ISNUMBER(L191),L191,"")</x:f>
        <x:v>0.8275</x:v>
      </x:c>
      <x:c r="H2240" s="1" t="str">
        <x:f>IF(A2240="","",IF(AND(UPPER(G191)="PHILADELPHIA",OR(C2240="District",AND(C2240="Charter",D191="Yes"))),"Yes","No"))</x:f>
        <x:v>Yes</x:v>
      </x:c>
      <x:c r="I2240" s="1" t="n">
        <x:f>IF(OR(A2240="",COUNTIFS('Staff Review'!$A$8:$A$507,A2240)&lt;&gt;1),0,MATCH(A2240,'Staff Review'!$A$8:$A$507,0))</x:f>
        <x:v>109</x:v>
      </x:c>
      <x:c r="J2240" s="1" t="str">
        <x:f>IF(I2240=0,"No",IF(INDEX('Staff Review'!$C$8:$C$507,I2240)="Yes","Yes","No"))</x:f>
        <x:v>No</x:v>
      </x:c>
      <x:c r="K2240" s="1" t="n">
        <x:f>IF(AI2240="Yes",INDEX('Staff Review'!$D$8:$D$507,I2240),IF(AB2240=0,"",IF(COUNT(INDEX($C$1531:$C$2030,AB2240))=1,INDEX($C$1531:$C$2030,AB2240),"")))</x:f>
        <x:v>0.3483244341674434</x:v>
      </x:c>
      <x:c r="L2240" s="1" t="n">
        <x:f>IF(AJ2240="Yes",INDEX('Staff Review'!$F$8:$F$507,I2240),IF(AB2240=0,"",IF(COUNT(INDEX($G$1531:$G$2030,AB2240))=1,INDEX($G$1531:$G$2030,AB2240),"")))</x:f>
        <x:v>10</x:v>
      </x:c>
      <x:c r="M2240" s="1" t="str">
        <x:f>IF(A2240="","",IF(AI2240="Yes","Verified","Listed"))</x:f>
        <x:v>Listed</x:v>
      </x:c>
      <x:c r="N2240" s="1" t="str">
        <x:f>IF(A2240="","",IF(AJ2240="Yes","Verified","Listed"))</x:f>
        <x:v>Listed</x:v>
      </x:c>
      <x:c r="O2240" s="1" t="n">
        <x:f>IF(AND(ISNUMBER(G2240),G2240&gt;=0,G2240&lt;=1),IF(G2240&gt;=0.9,30,IF(G2240&gt;=0.8,25,IF(G2240&gt;=0.7,20,IF(G2240&gt;=0.6,15,IF(G2240&gt;=0.5,10,IF(G2240&gt;=0.4,5,0)))))),"")</x:f>
        <x:v>25</x:v>
      </x:c>
      <x:c r="P2240" s="1" t="n">
        <x:f>IF(ISNUMBER(K2240),IF(K2240&lt;0,"",IF(K2240&gt;1,25,IF(K2240&gt;=0.75,20,IF(K2240&gt;=0.5,15,IF(K2240&gt;=0.25,10,5))))),"")</x:f>
        <x:v>10</x:v>
      </x:c>
      <x:c r="Q2240" s="1" t="n">
        <x:f>IF(NOT(ISNUMBER(L2240)),"",IF(AND(L2240&gt;=0,MOD(L2240,1)=0),MAX(0,25-5*L2240),""))</x:f>
        <x:v>0</x:v>
      </x:c>
      <x:c r="R2240" s="1" t="n">
        <x:f>IF(NOT(ISNUMBER(F2240)),"",IF(AND(F2240&gt;0,MOD(F2240,1)=0),IF(F2240&gt;=700,5,IF(F2240&gt;=500,4,IF(F2240&gt;=350,3,IF(F2240&gt;=200,2,1)))),""))</x:f>
        <x:v>2</x:v>
      </x:c>
      <x:c r="S2240" s="1" t="n">
        <x:f>IF(COUNT(O2240:R2240)=4,SUM(O2240:R2240),"")</x:f>
        <x:v>37</x:v>
      </x:c>
      <x:c r="T2240" s="1" t="n">
        <x:f>IF(OR(COUNT(O2240:R2240)&lt;&gt;4,COUNT('Top 15'!$B$35:$E$35)&lt;&gt;4,MIN('Top 15'!$B$35:$E$35)&lt;0,SUM('Top 15'!$B$35:$E$35)&lt;=0),"",ROUND(85*(O2240/30*'Top 15'!$B$35+P2240/25*'Top 15'!$C$35+Q2240/25*'Top 15'!$D$35+R2240/5*'Top 15'!$E$35)/SUM('Top 15'!$B$35:$E$35),6))</x:f>
        <x:v>37</x:v>
      </x:c>
      <x:c r="U2240" s="1" t="str">
        <x:f>IF(A2240="","",IF(AND(M2240="Verified",N2240="Verified"),"Verified",IF(AND(M2240="Listed",N2240="Listed"),"Listed","Mixed")))</x:f>
        <x:v>Listed</x:v>
      </x:c>
      <x:c r="V2240" s="1" t="str">
        <x:f>IF(A2240="","",IF(AK2240&lt;&gt;1,"Duplicate source ID",IF(COUNTIFS('Staff Review'!$A$8:$A$507,A2240)&gt;1,"Duplicate review ID",IF(H2240&lt;&gt;"Yes","Outside scope",IF(J2240="Yes","Already served",IF(NOT(ISNUMBER(T2240)),"Missing data","Candidate"))))))</x:f>
        <x:v>Candidate</x:v>
      </x:c>
      <x:c r="W2240" s="1" t="n">
        <x:f>IF(AL2240=0,"",1+COUNTIFS($AL$2051:$AL$2550,1,$T$2051:$T$2550,"&gt;"&amp;T2240)+COUNTIFS($AL$2051:$AL$2550,1,$T$2051:$T$2550,T2240,$G$2051:$G$2550,"&gt;"&amp;G2240)+COUNTIFS($AL$2051:$AL$2550,1,$T$2051:$T$2550,T2240,$G$2051:$G$2550,G2240,$F$2051:$F$2550,"&gt;"&amp;F2240)+COUNTIFS($AL$2051:$AL$2550,1,$T$2051:$T$2550,T2240,$G$2051:$G$2550,G2240,$F$2051:$F$2550,F2240,$AM$2051:$AM$2550,"&lt;"&amp;AM2240))</x:f>
        <x:v>200</x:v>
      </x:c>
      <x:c r="X2240" s="1" t="n">
        <x:f>IF(AL2240=0,"",1+COUNTIFS($AL$2051:$AL$2550,1,$T$2051:$T$2550,"&gt;"&amp;T2240))</x:f>
        <x:v>182</x:v>
      </x:c>
      <x:c r="Y2240" s="1" t="n">
        <x:f>IF(AND(H2240="Yes",OR(LEN('School Search'!$B$5)=0,ISNUMBER(SEARCH('School Search'!$B$5,B2240&amp;" "&amp;E2240&amp;" "&amp;A2240))),OR('School Search'!$D$5="All",C2240='School Search'!$D$5),OR('School Search'!$G$5="All eligible",AND('School Search'!$G$5="Not marked served",J2240&lt;&gt;"Yes"),AND('School Search'!$G$5="Missing data",V2240="Missing data"),AND('School Search'!$G$5="Marked served",J2240="Yes"))),1,0)</x:f>
        <x:v>1</x:v>
      </x:c>
      <x:c r="Z2240" s="1" t="n">
        <x:f>IF(Y2240=0,"",COUNTIFS($Y$2051:$Y$2550,1,$AO$2051:$AO$2550,"&lt;"&amp;AO2240)+COUNTIFS($Y$2051:Y2240,1,$AO$2051:AO2240,AO2240))</x:f>
        <x:v>200</x:v>
      </x:c>
      <x:c r="AA2240" s="1" t="str">
        <x:f>IF(NOT(ISNUMBER(S2240)),"Missing demographic or access input",TEXT(G2240,"0%")&amp;" economic need; "&amp;TEXT(K2240,"0.00")&amp;" mi fresh access; "&amp;L2240&amp;" nearby resources")</x:f>
        <x:v>83% economic need; 0.35 mi fresh access; 10 nearby resources</x:v>
      </x:c>
      <x:c r="AB2240" s="1" t="n">
        <x:f>IF(OR(A2240="",COUNTIFS($A$1531:$A$2030,A2240)&lt;&gt;1),0,MATCH(A2240,$A$1531:$A$2030,0))</x:f>
        <x:v>190</x:v>
      </x:c>
      <x:c r="AC2240" s="1" t="str">
        <x:f>IF(AB2240=0,"",INDEX($E$1531:$E$2030,AB2240))</x:f>
        <x:v>Save A Lot 30224</x:v>
      </x:c>
      <x:c r="AD2240" s="1" t="str">
        <x:f>IF(AB2240=0,"",INDEX($F$1531:$F$2030,AB2240))</x:f>
        <x:v>2132 E Lehigh Ave, Philadelphia, PA, 19125</x:v>
      </x:c>
      <x:c r="AE2240" s="1" t="str">
        <x:f>IF(A2240="","",F191)</x:f>
        <x:v>1946 E SERGEANT ST</x:v>
      </x:c>
      <x:c r="AF2240" s="1" t="n">
        <x:f>IF(ISNUMBER(I191),I191,"")</x:f>
        <x:v>39.98661748</x:v>
      </x:c>
      <x:c r="AG2240" s="1" t="n">
        <x:f>IF(ISNUMBER(J191),J191,"")</x:f>
        <x:v>-75.12725674</x:v>
      </x:c>
      <x:c r="AH2240" s="1" t="str">
        <x:f>IF(I2240=0,"Not contacted",IF(INDEX('Staff Review'!$J$8:$J$507,I2240)="","Not contacted",INDEX('Staff Review'!$J$8:$J$507,I2240)))</x:f>
        <x:v>Not contacted</x:v>
      </x:c>
      <x:c r="AI2240" s="1" t="str">
        <x:f>IF(I2240=0,"No",IF(AND(COUNT(INDEX('Staff Review'!$D$8:$D$507,I2240))=1,INDEX('Staff Review'!$D$8:$D$507,I2240)&gt;=0,COUNT(INDEX('Staff Review'!$E$8:$E$507,I2240))=1,INDEX('Staff Review'!$E$8:$E$507,I2240)&gt;0,INDEX('Staff Review'!$E$8:$E$507,I2240)&lt;='Top 15'!$E$5,'Top 15'!$E$5-INDEX('Staff Review'!$E$8:$E$507,I2240)&lt;='Top 15'!$H$5,LEN(INDEX('Staff Review'!$H$8:$H$507,I2240))&gt;0),"Yes","No"))</x:f>
        <x:v>No</x:v>
      </x:c>
      <x:c r="AJ2240" s="1" t="str">
        <x:f>IF(I2240=0,"No",IF(COUNT(INDEX('Staff Review'!$F$8:$F$507,I2240))&lt;&gt;1,"No",IF(AND(INDEX('Staff Review'!$F$8:$F$507,I2240)&gt;=0,MOD(INDEX('Staff Review'!$F$8:$F$507,I2240),1)=0,COUNT(INDEX('Staff Review'!$G$8:$G$507,I2240))=1,INDEX('Staff Review'!$G$8:$G$507,I2240)&gt;0,INDEX('Staff Review'!$G$8:$G$507,I2240)&lt;='Top 15'!$E$5,'Top 15'!$E$5-INDEX('Staff Review'!$G$8:$G$507,I2240)&lt;='Top 15'!$H$5,LEN(INDEX('Staff Review'!$H$8:$H$507,I2240))&gt;0),"Yes","No")))</x:f>
        <x:v>No</x:v>
      </x:c>
      <x:c r="AK2240" s="1" t="n">
        <x:f>IF(A2240="",0,COUNTIFS($A$2:$A$501,A2240))</x:f>
        <x:v>1</x:v>
      </x:c>
      <x:c r="AL2240" s="1" t="n">
        <x:f>IF(V2240="Candidate",1,0)</x:f>
        <x:v>1</x:v>
      </x:c>
      <x:c r="AM2240" s="1" t="n">
        <x:f>IF(A2240="",0,VALUE(A2240))</x:f>
        <x:v>5210</x:v>
      </x:c>
      <x:c r="AN2240" s="1" t="n">
        <x:f>IF(OR(A2240="",COUNTIFS($T$41:$T$540,A2240)&lt;&gt;1),0,MATCH(A2240,$T$41:$T$540,0))</x:f>
        <x:v>190</x:v>
      </x:c>
      <x:c r="AO2240" t="n">
        <x:f>IF(ISNUMBER(W2240),W2240,10000+AM2240)</x:f>
        <x:v>200</x:v>
      </x:c>
    </x:row>
    <x:row r="2241" ht="22" customHeight="1">
      <x:c r="A2241" s="1" t="str">
        <x:f>IF(A192="","",A192)</x:f>
        <x:v>5230</x:v>
      </x:c>
      <x:c r="B2241" s="1" t="str">
        <x:f>IF(A2241="","",B192)</x:f>
        <x:v>Russell H. Conwell School</x:v>
      </x:c>
      <x:c r="C2241" s="1" t="str">
        <x:f>IF(A2241="","",C192)</x:f>
        <x:v>District</x:v>
      </x:c>
      <x:c r="D2241" s="1" t="str">
        <x:f>IF(A2241="","",E192)</x:f>
        <x:v>Middle</x:v>
      </x:c>
      <x:c r="E2241" s="1" t="str">
        <x:f>IF(A2241="","",H192)</x:f>
        <x:v>19134</x:v>
      </x:c>
      <x:c r="F2241" s="1" t="n">
        <x:f>IF(ISNUMBER(K192),K192,"")</x:f>
        <x:v>109</x:v>
      </x:c>
      <x:c r="G2241" s="1" t="n">
        <x:f>IF(ISNUMBER(L192),L192,"")</x:f>
        <x:v>0.8691</x:v>
      </x:c>
      <x:c r="H2241" s="1" t="str">
        <x:f>IF(A2241="","",IF(AND(UPPER(G192)="PHILADELPHIA",OR(C2241="District",AND(C2241="Charter",D192="Yes"))),"Yes","No"))</x:f>
        <x:v>Yes</x:v>
      </x:c>
      <x:c r="I2241" s="1" t="n">
        <x:f>IF(OR(A2241="",COUNTIFS('Staff Review'!$A$8:$A$507,A2241)&lt;&gt;1),0,MATCH(A2241,'Staff Review'!$A$8:$A$507,0))</x:f>
        <x:v>258</x:v>
      </x:c>
      <x:c r="J2241" s="1" t="str">
        <x:f>IF(I2241=0,"No",IF(INDEX('Staff Review'!$C$8:$C$507,I2241)="Yes","Yes","No"))</x:f>
        <x:v>No</x:v>
      </x:c>
      <x:c r="K2241" s="1" t="n">
        <x:f>IF(AI2241="Yes",INDEX('Staff Review'!$D$8:$D$507,I2241),IF(AB2241=0,"",IF(COUNT(INDEX($C$1531:$C$2030,AB2241))=1,INDEX($C$1531:$C$2030,AB2241),"")))</x:f>
        <x:v>0.5899308591075006</x:v>
      </x:c>
      <x:c r="L2241" s="1" t="n">
        <x:f>IF(AJ2241="Yes",INDEX('Staff Review'!$F$8:$F$507,I2241),IF(AB2241=0,"",IF(COUNT(INDEX($G$1531:$G$2030,AB2241))=1,INDEX($G$1531:$G$2030,AB2241),"")))</x:f>
        <x:v>12</x:v>
      </x:c>
      <x:c r="M2241" s="1" t="str">
        <x:f>IF(A2241="","",IF(AI2241="Yes","Verified","Listed"))</x:f>
        <x:v>Listed</x:v>
      </x:c>
      <x:c r="N2241" s="1" t="str">
        <x:f>IF(A2241="","",IF(AJ2241="Yes","Verified","Listed"))</x:f>
        <x:v>Listed</x:v>
      </x:c>
      <x:c r="O2241" s="1" t="n">
        <x:f>IF(AND(ISNUMBER(G2241),G2241&gt;=0,G2241&lt;=1),IF(G2241&gt;=0.9,30,IF(G2241&gt;=0.8,25,IF(G2241&gt;=0.7,20,IF(G2241&gt;=0.6,15,IF(G2241&gt;=0.5,10,IF(G2241&gt;=0.4,5,0)))))),"")</x:f>
        <x:v>25</x:v>
      </x:c>
      <x:c r="P2241" s="1" t="n">
        <x:f>IF(ISNUMBER(K2241),IF(K2241&lt;0,"",IF(K2241&gt;1,25,IF(K2241&gt;=0.75,20,IF(K2241&gt;=0.5,15,IF(K2241&gt;=0.25,10,5))))),"")</x:f>
        <x:v>15</x:v>
      </x:c>
      <x:c r="Q2241" s="1" t="n">
        <x:f>IF(NOT(ISNUMBER(L2241)),"",IF(AND(L2241&gt;=0,MOD(L2241,1)=0),MAX(0,25-5*L2241),""))</x:f>
        <x:v>0</x:v>
      </x:c>
      <x:c r="R2241" s="1" t="n">
        <x:f>IF(NOT(ISNUMBER(F2241)),"",IF(AND(F2241&gt;0,MOD(F2241,1)=0),IF(F2241&gt;=700,5,IF(F2241&gt;=500,4,IF(F2241&gt;=350,3,IF(F2241&gt;=200,2,1)))),""))</x:f>
        <x:v>1</x:v>
      </x:c>
      <x:c r="S2241" s="1" t="n">
        <x:f>IF(COUNT(O2241:R2241)=4,SUM(O2241:R2241),"")</x:f>
        <x:v>41</x:v>
      </x:c>
      <x:c r="T2241" s="1" t="n">
        <x:f>IF(OR(COUNT(O2241:R2241)&lt;&gt;4,COUNT('Top 15'!$B$35:$E$35)&lt;&gt;4,MIN('Top 15'!$B$35:$E$35)&lt;0,SUM('Top 15'!$B$35:$E$35)&lt;=0),"",ROUND(85*(O2241/30*'Top 15'!$B$35+P2241/25*'Top 15'!$C$35+Q2241/25*'Top 15'!$D$35+R2241/5*'Top 15'!$E$35)/SUM('Top 15'!$B$35:$E$35),6))</x:f>
        <x:v>41</x:v>
      </x:c>
      <x:c r="U2241" s="1" t="str">
        <x:f>IF(A2241="","",IF(AND(M2241="Verified",N2241="Verified"),"Verified",IF(AND(M2241="Listed",N2241="Listed"),"Listed","Mixed")))</x:f>
        <x:v>Listed</x:v>
      </x:c>
      <x:c r="V2241" s="1" t="str">
        <x:f>IF(A2241="","",IF(AK2241&lt;&gt;1,"Duplicate source ID",IF(COUNTIFS('Staff Review'!$A$8:$A$507,A2241)&gt;1,"Duplicate review ID",IF(H2241&lt;&gt;"Yes","Outside scope",IF(J2241="Yes","Already served",IF(NOT(ISNUMBER(T2241)),"Missing data","Candidate"))))))</x:f>
        <x:v>Candidate</x:v>
      </x:c>
      <x:c r="W2241" s="1" t="n">
        <x:f>IF(AL2241=0,"",1+COUNTIFS($AL$2051:$AL$2550,1,$T$2051:$T$2550,"&gt;"&amp;T2241)+COUNTIFS($AL$2051:$AL$2550,1,$T$2051:$T$2550,T2241,$G$2051:$G$2550,"&gt;"&amp;G2241)+COUNTIFS($AL$2051:$AL$2550,1,$T$2051:$T$2550,T2241,$G$2051:$G$2550,G2241,$F$2051:$F$2550,"&gt;"&amp;F2241)+COUNTIFS($AL$2051:$AL$2550,1,$T$2051:$T$2550,T2241,$G$2051:$G$2550,G2241,$F$2051:$F$2550,F2241,$AM$2051:$AM$2550,"&lt;"&amp;AM2241))</x:f>
        <x:v>132</x:v>
      </x:c>
      <x:c r="X2241" s="1" t="n">
        <x:f>IF(AL2241=0,"",1+COUNTIFS($AL$2051:$AL$2550,1,$T$2051:$T$2550,"&gt;"&amp;T2241))</x:f>
        <x:v>128</x:v>
      </x:c>
      <x:c r="Y2241" s="1" t="n">
        <x:f>IF(AND(H2241="Yes",OR(LEN('School Search'!$B$5)=0,ISNUMBER(SEARCH('School Search'!$B$5,B2241&amp;" "&amp;E2241&amp;" "&amp;A2241))),OR('School Search'!$D$5="All",C2241='School Search'!$D$5),OR('School Search'!$G$5="All eligible",AND('School Search'!$G$5="Not marked served",J2241&lt;&gt;"Yes"),AND('School Search'!$G$5="Missing data",V2241="Missing data"),AND('School Search'!$G$5="Marked served",J2241="Yes"))),1,0)</x:f>
        <x:v>1</x:v>
      </x:c>
      <x:c r="Z2241" s="1" t="n">
        <x:f>IF(Y2241=0,"",COUNTIFS($Y$2051:$Y$2550,1,$AO$2051:$AO$2550,"&lt;"&amp;AO2241)+COUNTIFS($Y$2051:Y2241,1,$AO$2051:AO2241,AO2241))</x:f>
        <x:v>132</x:v>
      </x:c>
      <x:c r="AA2241" s="1" t="str">
        <x:f>IF(NOT(ISNUMBER(S2241)),"Missing demographic or access input",TEXT(G2241,"0%")&amp;" economic need; "&amp;TEXT(K2241,"0.00")&amp;" mi fresh access; "&amp;L2241&amp;" nearby resources")</x:f>
        <x:v>87% economic need; 0.59 mi fresh access; 12 nearby resources</x:v>
      </x:c>
      <x:c r="AB2241" s="1" t="n">
        <x:f>IF(OR(A2241="",COUNTIFS($A$1531:$A$2030,A2241)&lt;&gt;1),0,MATCH(A2241,$A$1531:$A$2030,0))</x:f>
        <x:v>191</x:v>
      </x:c>
      <x:c r="AC2241" s="1" t="str">
        <x:f>IF(AB2241=0,"",INDEX($E$1531:$E$2030,AB2241))</x:f>
        <x:v>Super Foodtown 705</x:v>
      </x:c>
      <x:c r="AD2241" s="1" t="str">
        <x:f>IF(AB2241=0,"",INDEX($F$1531:$F$2030,AB2241))</x:f>
        <x:v>3528 I St, Philadelphia, PA, 19134</x:v>
      </x:c>
      <x:c r="AE2241" s="1" t="str">
        <x:f>IF(A2241="","",F192)</x:f>
        <x:v>1849 E CLEARFIELD ST</x:v>
      </x:c>
      <x:c r="AF2241" s="1" t="n">
        <x:f>IF(ISNUMBER(I192),I192,"")</x:f>
        <x:v>39.99471406</x:v>
      </x:c>
      <x:c r="AG2241" s="1" t="n">
        <x:f>IF(ISNUMBER(J192),J192,"")</x:f>
        <x:v>-75.11527383</x:v>
      </x:c>
      <x:c r="AH2241" s="1" t="str">
        <x:f>IF(I2241=0,"Not contacted",IF(INDEX('Staff Review'!$J$8:$J$507,I2241)="","Not contacted",INDEX('Staff Review'!$J$8:$J$507,I2241)))</x:f>
        <x:v>Not contacted</x:v>
      </x:c>
      <x:c r="AI2241" s="1" t="str">
        <x:f>IF(I2241=0,"No",IF(AND(COUNT(INDEX('Staff Review'!$D$8:$D$507,I2241))=1,INDEX('Staff Review'!$D$8:$D$507,I2241)&gt;=0,COUNT(INDEX('Staff Review'!$E$8:$E$507,I2241))=1,INDEX('Staff Review'!$E$8:$E$507,I2241)&gt;0,INDEX('Staff Review'!$E$8:$E$507,I2241)&lt;='Top 15'!$E$5,'Top 15'!$E$5-INDEX('Staff Review'!$E$8:$E$507,I2241)&lt;='Top 15'!$H$5,LEN(INDEX('Staff Review'!$H$8:$H$507,I2241))&gt;0),"Yes","No"))</x:f>
        <x:v>No</x:v>
      </x:c>
      <x:c r="AJ2241" s="1" t="str">
        <x:f>IF(I2241=0,"No",IF(COUNT(INDEX('Staff Review'!$F$8:$F$507,I2241))&lt;&gt;1,"No",IF(AND(INDEX('Staff Review'!$F$8:$F$507,I2241)&gt;=0,MOD(INDEX('Staff Review'!$F$8:$F$507,I2241),1)=0,COUNT(INDEX('Staff Review'!$G$8:$G$507,I2241))=1,INDEX('Staff Review'!$G$8:$G$507,I2241)&gt;0,INDEX('Staff Review'!$G$8:$G$507,I2241)&lt;='Top 15'!$E$5,'Top 15'!$E$5-INDEX('Staff Review'!$G$8:$G$507,I2241)&lt;='Top 15'!$H$5,LEN(INDEX('Staff Review'!$H$8:$H$507,I2241))&gt;0),"Yes","No")))</x:f>
        <x:v>No</x:v>
      </x:c>
      <x:c r="AK2241" s="1" t="n">
        <x:f>IF(A2241="",0,COUNTIFS($A$2:$A$501,A2241))</x:f>
        <x:v>1</x:v>
      </x:c>
      <x:c r="AL2241" s="1" t="n">
        <x:f>IF(V2241="Candidate",1,0)</x:f>
        <x:v>1</x:v>
      </x:c>
      <x:c r="AM2241" s="1" t="n">
        <x:f>IF(A2241="",0,VALUE(A2241))</x:f>
        <x:v>5230</x:v>
      </x:c>
      <x:c r="AN2241" s="1" t="n">
        <x:f>IF(OR(A2241="",COUNTIFS($T$41:$T$540,A2241)&lt;&gt;1),0,MATCH(A2241,$T$41:$T$540,0))</x:f>
        <x:v>191</x:v>
      </x:c>
      <x:c r="AO2241" t="n">
        <x:f>IF(ISNUMBER(W2241),W2241,10000+AM2241)</x:f>
        <x:v>132</x:v>
      </x:c>
    </x:row>
    <x:row r="2242" ht="22" customHeight="1">
      <x:c r="A2242" s="1" t="str">
        <x:f>IF(A193="","",A193)</x:f>
        <x:v>5250</x:v>
      </x:c>
      <x:c r="B2242" s="1" t="str">
        <x:f>IF(A2242="","",B193)</x:f>
        <x:v>Paul L. Dunbar School</x:v>
      </x:c>
      <x:c r="C2242" s="1" t="str">
        <x:f>IF(A2242="","",C193)</x:f>
        <x:v>District</x:v>
      </x:c>
      <x:c r="D2242" s="1" t="str">
        <x:f>IF(A2242="","",E193)</x:f>
        <x:v>Elementary-Middle</x:v>
      </x:c>
      <x:c r="E2242" s="1" t="str">
        <x:f>IF(A2242="","",H193)</x:f>
        <x:v>19122</x:v>
      </x:c>
      <x:c r="F2242" s="1" t="n">
        <x:f>IF(ISNUMBER(K193),K193,"")</x:f>
        <x:v>223</x:v>
      </x:c>
      <x:c r="G2242" s="1" t="n">
        <x:f>IF(ISNUMBER(L193),L193,"")</x:f>
        <x:v>0.8973</x:v>
      </x:c>
      <x:c r="H2242" s="1" t="str">
        <x:f>IF(A2242="","",IF(AND(UPPER(G193)="PHILADELPHIA",OR(C2242="District",AND(C2242="Charter",D193="Yes"))),"Yes","No"))</x:f>
        <x:v>Yes</x:v>
      </x:c>
      <x:c r="I2242" s="1" t="n">
        <x:f>IF(OR(A2242="",COUNTIFS('Staff Review'!$A$8:$A$507,A2242)&lt;&gt;1),0,MATCH(A2242,'Staff Review'!$A$8:$A$507,0))</x:f>
        <x:v>225</x:v>
      </x:c>
      <x:c r="J2242" s="1" t="str">
        <x:f>IF(I2242=0,"No",IF(INDEX('Staff Review'!$C$8:$C$507,I2242)="Yes","Yes","No"))</x:f>
        <x:v>No</x:v>
      </x:c>
      <x:c r="K2242" s="1" t="n">
        <x:f>IF(AI2242="Yes",INDEX('Staff Review'!$D$8:$D$507,I2242),IF(AB2242=0,"",IF(COUNT(INDEX($C$1531:$C$2030,AB2242))=1,INDEX($C$1531:$C$2030,AB2242),"")))</x:f>
        <x:v>0.26926386473880953</x:v>
      </x:c>
      <x:c r="L2242" s="1" t="n">
        <x:f>IF(AJ2242="Yes",INDEX('Staff Review'!$F$8:$F$507,I2242),IF(AB2242=0,"",IF(COUNT(INDEX($G$1531:$G$2030,AB2242))=1,INDEX($G$1531:$G$2030,AB2242),"")))</x:f>
        <x:v>17</x:v>
      </x:c>
      <x:c r="M2242" s="1" t="str">
        <x:f>IF(A2242="","",IF(AI2242="Yes","Verified","Listed"))</x:f>
        <x:v>Listed</x:v>
      </x:c>
      <x:c r="N2242" s="1" t="str">
        <x:f>IF(A2242="","",IF(AJ2242="Yes","Verified","Listed"))</x:f>
        <x:v>Listed</x:v>
      </x:c>
      <x:c r="O2242" s="1" t="n">
        <x:f>IF(AND(ISNUMBER(G2242),G2242&gt;=0,G2242&lt;=1),IF(G2242&gt;=0.9,30,IF(G2242&gt;=0.8,25,IF(G2242&gt;=0.7,20,IF(G2242&gt;=0.6,15,IF(G2242&gt;=0.5,10,IF(G2242&gt;=0.4,5,0)))))),"")</x:f>
        <x:v>25</x:v>
      </x:c>
      <x:c r="P2242" s="1" t="n">
        <x:f>IF(ISNUMBER(K2242),IF(K2242&lt;0,"",IF(K2242&gt;1,25,IF(K2242&gt;=0.75,20,IF(K2242&gt;=0.5,15,IF(K2242&gt;=0.25,10,5))))),"")</x:f>
        <x:v>10</x:v>
      </x:c>
      <x:c r="Q2242" s="1" t="n">
        <x:f>IF(NOT(ISNUMBER(L2242)),"",IF(AND(L2242&gt;=0,MOD(L2242,1)=0),MAX(0,25-5*L2242),""))</x:f>
        <x:v>0</x:v>
      </x:c>
      <x:c r="R2242" s="1" t="n">
        <x:f>IF(NOT(ISNUMBER(F2242)),"",IF(AND(F2242&gt;0,MOD(F2242,1)=0),IF(F2242&gt;=700,5,IF(F2242&gt;=500,4,IF(F2242&gt;=350,3,IF(F2242&gt;=200,2,1)))),""))</x:f>
        <x:v>2</x:v>
      </x:c>
      <x:c r="S2242" s="1" t="n">
        <x:f>IF(COUNT(O2242:R2242)=4,SUM(O2242:R2242),"")</x:f>
        <x:v>37</x:v>
      </x:c>
      <x:c r="T2242" s="1" t="n">
        <x:f>IF(OR(COUNT(O2242:R2242)&lt;&gt;4,COUNT('Top 15'!$B$35:$E$35)&lt;&gt;4,MIN('Top 15'!$B$35:$E$35)&lt;0,SUM('Top 15'!$B$35:$E$35)&lt;=0),"",ROUND(85*(O2242/30*'Top 15'!$B$35+P2242/25*'Top 15'!$C$35+Q2242/25*'Top 15'!$D$35+R2242/5*'Top 15'!$E$35)/SUM('Top 15'!$B$35:$E$35),6))</x:f>
        <x:v>37</x:v>
      </x:c>
      <x:c r="U2242" s="1" t="str">
        <x:f>IF(A2242="","",IF(AND(M2242="Verified",N2242="Verified"),"Verified",IF(AND(M2242="Listed",N2242="Listed"),"Listed","Mixed")))</x:f>
        <x:v>Listed</x:v>
      </x:c>
      <x:c r="V2242" s="1" t="str">
        <x:f>IF(A2242="","",IF(AK2242&lt;&gt;1,"Duplicate source ID",IF(COUNTIFS('Staff Review'!$A$8:$A$507,A2242)&gt;1,"Duplicate review ID",IF(H2242&lt;&gt;"Yes","Outside scope",IF(J2242="Yes","Already served",IF(NOT(ISNUMBER(T2242)),"Missing data","Candidate"))))))</x:f>
        <x:v>Candidate</x:v>
      </x:c>
      <x:c r="W2242" s="1" t="n">
        <x:f>IF(AL2242=0,"",1+COUNTIFS($AL$2051:$AL$2550,1,$T$2051:$T$2550,"&gt;"&amp;T2242)+COUNTIFS($AL$2051:$AL$2550,1,$T$2051:$T$2550,T2242,$G$2051:$G$2550,"&gt;"&amp;G2242)+COUNTIFS($AL$2051:$AL$2550,1,$T$2051:$T$2550,T2242,$G$2051:$G$2550,G2242,$F$2051:$F$2550,"&gt;"&amp;F2242)+COUNTIFS($AL$2051:$AL$2550,1,$T$2051:$T$2550,T2242,$G$2051:$G$2550,G2242,$F$2051:$F$2550,F2242,$AM$2051:$AM$2550,"&lt;"&amp;AM2242))</x:f>
        <x:v>184</x:v>
      </x:c>
      <x:c r="X2242" s="1" t="n">
        <x:f>IF(AL2242=0,"",1+COUNTIFS($AL$2051:$AL$2550,1,$T$2051:$T$2550,"&gt;"&amp;T2242))</x:f>
        <x:v>182</x:v>
      </x:c>
      <x:c r="Y2242" s="1" t="n">
        <x:f>IF(AND(H2242="Yes",OR(LEN('School Search'!$B$5)=0,ISNUMBER(SEARCH('School Search'!$B$5,B2242&amp;" "&amp;E2242&amp;" "&amp;A2242))),OR('School Search'!$D$5="All",C2242='School Search'!$D$5),OR('School Search'!$G$5="All eligible",AND('School Search'!$G$5="Not marked served",J2242&lt;&gt;"Yes"),AND('School Search'!$G$5="Missing data",V2242="Missing data"),AND('School Search'!$G$5="Marked served",J2242="Yes"))),1,0)</x:f>
        <x:v>1</x:v>
      </x:c>
      <x:c r="Z2242" s="1" t="n">
        <x:f>IF(Y2242=0,"",COUNTIFS($Y$2051:$Y$2550,1,$AO$2051:$AO$2550,"&lt;"&amp;AO2242)+COUNTIFS($Y$2051:Y2242,1,$AO$2051:AO2242,AO2242))</x:f>
        <x:v>184</x:v>
      </x:c>
      <x:c r="AA2242" s="1" t="str">
        <x:f>IF(NOT(ISNUMBER(S2242)),"Missing demographic or access input",TEXT(G2242,"0%")&amp;" economic need; "&amp;TEXT(K2242,"0.00")&amp;" mi fresh access; "&amp;L2242&amp;" nearby resources")</x:f>
        <x:v>90% economic need; 0.27 mi fresh access; 17 nearby resources</x:v>
      </x:c>
      <x:c r="AB2242" s="1" t="n">
        <x:f>IF(OR(A2242="",COUNTIFS($A$1531:$A$2030,A2242)&lt;&gt;1),0,MATCH(A2242,$A$1531:$A$2030,0))</x:f>
        <x:v>192</x:v>
      </x:c>
      <x:c r="AC2242" s="1" t="str">
        <x:f>IF(AB2242=0,"",INDEX($E$1531:$E$2030,AB2242))</x:f>
        <x:v>The Fresh Grocer</x:v>
      </x:c>
      <x:c r="AD2242" s="1" t="str">
        <x:f>IF(AB2242=0,"",INDEX($F$1531:$F$2030,AB2242))</x:f>
        <x:v>1501 N Broad St, Philadelphia, PA, 19122</x:v>
      </x:c>
      <x:c r="AE2242" s="1" t="str">
        <x:f>IF(A2242="","",F193)</x:f>
        <x:v>1750 N 12TH ST</x:v>
      </x:c>
      <x:c r="AF2242" s="1" t="n">
        <x:f>IF(ISNUMBER(I193),I193,"")</x:f>
        <x:v>39.97948773</x:v>
      </x:c>
      <x:c r="AG2242" s="1" t="n">
        <x:f>IF(ISNUMBER(J193),J193,"")</x:f>
        <x:v>-75.15416974</x:v>
      </x:c>
      <x:c r="AH2242" s="1" t="str">
        <x:f>IF(I2242=0,"Not contacted",IF(INDEX('Staff Review'!$J$8:$J$507,I2242)="","Not contacted",INDEX('Staff Review'!$J$8:$J$507,I2242)))</x:f>
        <x:v>Not contacted</x:v>
      </x:c>
      <x:c r="AI2242" s="1" t="str">
        <x:f>IF(I2242=0,"No",IF(AND(COUNT(INDEX('Staff Review'!$D$8:$D$507,I2242))=1,INDEX('Staff Review'!$D$8:$D$507,I2242)&gt;=0,COUNT(INDEX('Staff Review'!$E$8:$E$507,I2242))=1,INDEX('Staff Review'!$E$8:$E$507,I2242)&gt;0,INDEX('Staff Review'!$E$8:$E$507,I2242)&lt;='Top 15'!$E$5,'Top 15'!$E$5-INDEX('Staff Review'!$E$8:$E$507,I2242)&lt;='Top 15'!$H$5,LEN(INDEX('Staff Review'!$H$8:$H$507,I2242))&gt;0),"Yes","No"))</x:f>
        <x:v>No</x:v>
      </x:c>
      <x:c r="AJ2242" s="1" t="str">
        <x:f>IF(I2242=0,"No",IF(COUNT(INDEX('Staff Review'!$F$8:$F$507,I2242))&lt;&gt;1,"No",IF(AND(INDEX('Staff Review'!$F$8:$F$507,I2242)&gt;=0,MOD(INDEX('Staff Review'!$F$8:$F$507,I2242),1)=0,COUNT(INDEX('Staff Review'!$G$8:$G$507,I2242))=1,INDEX('Staff Review'!$G$8:$G$507,I2242)&gt;0,INDEX('Staff Review'!$G$8:$G$507,I2242)&lt;='Top 15'!$E$5,'Top 15'!$E$5-INDEX('Staff Review'!$G$8:$G$507,I2242)&lt;='Top 15'!$H$5,LEN(INDEX('Staff Review'!$H$8:$H$507,I2242))&gt;0),"Yes","No")))</x:f>
        <x:v>No</x:v>
      </x:c>
      <x:c r="AK2242" s="1" t="n">
        <x:f>IF(A2242="",0,COUNTIFS($A$2:$A$501,A2242))</x:f>
        <x:v>1</x:v>
      </x:c>
      <x:c r="AL2242" s="1" t="n">
        <x:f>IF(V2242="Candidate",1,0)</x:f>
        <x:v>1</x:v>
      </x:c>
      <x:c r="AM2242" s="1" t="n">
        <x:f>IF(A2242="",0,VALUE(A2242))</x:f>
        <x:v>5250</x:v>
      </x:c>
      <x:c r="AN2242" s="1" t="n">
        <x:f>IF(OR(A2242="",COUNTIFS($T$41:$T$540,A2242)&lt;&gt;1),0,MATCH(A2242,$T$41:$T$540,0))</x:f>
        <x:v>192</x:v>
      </x:c>
      <x:c r="AO2242" t="n">
        <x:f>IF(ISNUMBER(W2242),W2242,10000+AM2242)</x:f>
        <x:v>184</x:v>
      </x:c>
    </x:row>
    <x:row r="2243" ht="22" customHeight="1">
      <x:c r="A2243" s="1" t="str">
        <x:f>IF(A194="","",A194)</x:f>
        <x:v>5260</x:v>
      </x:c>
      <x:c r="B2243" s="1" t="str">
        <x:f>IF(A2243="","",B194)</x:f>
        <x:v>Lewis Elkin School</x:v>
      </x:c>
      <x:c r="C2243" s="1" t="str">
        <x:f>IF(A2243="","",C194)</x:f>
        <x:v>District</x:v>
      </x:c>
      <x:c r="D2243" s="1" t="str">
        <x:f>IF(A2243="","",E194)</x:f>
        <x:v>Elementary</x:v>
      </x:c>
      <x:c r="E2243" s="1" t="str">
        <x:f>IF(A2243="","",H194)</x:f>
        <x:v>19134</x:v>
      </x:c>
      <x:c r="F2243" s="1" t="n">
        <x:f>IF(ISNUMBER(K194),K194,"")</x:f>
        <x:v>431</x:v>
      </x:c>
      <x:c r="G2243" s="1" t="n">
        <x:f>IF(ISNUMBER(L194),L194,"")</x:f>
        <x:v>0.9069</x:v>
      </x:c>
      <x:c r="H2243" s="1" t="str">
        <x:f>IF(A2243="","",IF(AND(UPPER(G194)="PHILADELPHIA",OR(C2243="District",AND(C2243="Charter",D194="Yes"))),"Yes","No"))</x:f>
        <x:v>Yes</x:v>
      </x:c>
      <x:c r="I2243" s="1" t="n">
        <x:f>IF(OR(A2243="",COUNTIFS('Staff Review'!$A$8:$A$507,A2243)&lt;&gt;1),0,MATCH(A2243,'Staff Review'!$A$8:$A$507,0))</x:f>
        <x:v>171</x:v>
      </x:c>
      <x:c r="J2243" s="1" t="str">
        <x:f>IF(I2243=0,"No",IF(INDEX('Staff Review'!$C$8:$C$507,I2243)="Yes","Yes","No"))</x:f>
        <x:v>No</x:v>
      </x:c>
      <x:c r="K2243" s="1" t="n">
        <x:f>IF(AI2243="Yes",INDEX('Staff Review'!$D$8:$D$507,I2243),IF(AB2243=0,"",IF(COUNT(INDEX($C$1531:$C$2030,AB2243))=1,INDEX($C$1531:$C$2030,AB2243),"")))</x:f>
        <x:v>0.32714422014659533</x:v>
      </x:c>
      <x:c r="L2243" s="1" t="n">
        <x:f>IF(AJ2243="Yes",INDEX('Staff Review'!$F$8:$F$507,I2243),IF(AB2243=0,"",IF(COUNT(INDEX($G$1531:$G$2030,AB2243))=1,INDEX($G$1531:$G$2030,AB2243),"")))</x:f>
        <x:v>10</x:v>
      </x:c>
      <x:c r="M2243" s="1" t="str">
        <x:f>IF(A2243="","",IF(AI2243="Yes","Verified","Listed"))</x:f>
        <x:v>Listed</x:v>
      </x:c>
      <x:c r="N2243" s="1" t="str">
        <x:f>IF(A2243="","",IF(AJ2243="Yes","Verified","Listed"))</x:f>
        <x:v>Listed</x:v>
      </x:c>
      <x:c r="O2243" s="1" t="n">
        <x:f>IF(AND(ISNUMBER(G2243),G2243&gt;=0,G2243&lt;=1),IF(G2243&gt;=0.9,30,IF(G2243&gt;=0.8,25,IF(G2243&gt;=0.7,20,IF(G2243&gt;=0.6,15,IF(G2243&gt;=0.5,10,IF(G2243&gt;=0.4,5,0)))))),"")</x:f>
        <x:v>30</x:v>
      </x:c>
      <x:c r="P2243" s="1" t="n">
        <x:f>IF(ISNUMBER(K2243),IF(K2243&lt;0,"",IF(K2243&gt;1,25,IF(K2243&gt;=0.75,20,IF(K2243&gt;=0.5,15,IF(K2243&gt;=0.25,10,5))))),"")</x:f>
        <x:v>10</x:v>
      </x:c>
      <x:c r="Q2243" s="1" t="n">
        <x:f>IF(NOT(ISNUMBER(L2243)),"",IF(AND(L2243&gt;=0,MOD(L2243,1)=0),MAX(0,25-5*L2243),""))</x:f>
        <x:v>0</x:v>
      </x:c>
      <x:c r="R2243" s="1" t="n">
        <x:f>IF(NOT(ISNUMBER(F2243)),"",IF(AND(F2243&gt;0,MOD(F2243,1)=0),IF(F2243&gt;=700,5,IF(F2243&gt;=500,4,IF(F2243&gt;=350,3,IF(F2243&gt;=200,2,1)))),""))</x:f>
        <x:v>3</x:v>
      </x:c>
      <x:c r="S2243" s="1" t="n">
        <x:f>IF(COUNT(O2243:R2243)=4,SUM(O2243:R2243),"")</x:f>
        <x:v>43</x:v>
      </x:c>
      <x:c r="T2243" s="1" t="n">
        <x:f>IF(OR(COUNT(O2243:R2243)&lt;&gt;4,COUNT('Top 15'!$B$35:$E$35)&lt;&gt;4,MIN('Top 15'!$B$35:$E$35)&lt;0,SUM('Top 15'!$B$35:$E$35)&lt;=0),"",ROUND(85*(O2243/30*'Top 15'!$B$35+P2243/25*'Top 15'!$C$35+Q2243/25*'Top 15'!$D$35+R2243/5*'Top 15'!$E$35)/SUM('Top 15'!$B$35:$E$35),6))</x:f>
        <x:v>43</x:v>
      </x:c>
      <x:c r="U2243" s="1" t="str">
        <x:f>IF(A2243="","",IF(AND(M2243="Verified",N2243="Verified"),"Verified",IF(AND(M2243="Listed",N2243="Listed"),"Listed","Mixed")))</x:f>
        <x:v>Listed</x:v>
      </x:c>
      <x:c r="V2243" s="1" t="str">
        <x:f>IF(A2243="","",IF(AK2243&lt;&gt;1,"Duplicate source ID",IF(COUNTIFS('Staff Review'!$A$8:$A$507,A2243)&gt;1,"Duplicate review ID",IF(H2243&lt;&gt;"Yes","Outside scope",IF(J2243="Yes","Already served",IF(NOT(ISNUMBER(T2243)),"Missing data","Candidate"))))))</x:f>
        <x:v>Candidate</x:v>
      </x:c>
      <x:c r="W2243" s="1" t="n">
        <x:f>IF(AL2243=0,"",1+COUNTIFS($AL$2051:$AL$2550,1,$T$2051:$T$2550,"&gt;"&amp;T2243)+COUNTIFS($AL$2051:$AL$2550,1,$T$2051:$T$2550,T2243,$G$2051:$G$2550,"&gt;"&amp;G2243)+COUNTIFS($AL$2051:$AL$2550,1,$T$2051:$T$2550,T2243,$G$2051:$G$2550,G2243,$F$2051:$F$2550,"&gt;"&amp;F2243)+COUNTIFS($AL$2051:$AL$2550,1,$T$2051:$T$2550,T2243,$G$2051:$G$2550,G2243,$F$2051:$F$2550,F2243,$AM$2051:$AM$2550,"&lt;"&amp;AM2243))</x:f>
        <x:v>93</x:v>
      </x:c>
      <x:c r="X2243" s="1" t="n">
        <x:f>IF(AL2243=0,"",1+COUNTIFS($AL$2051:$AL$2550,1,$T$2051:$T$2550,"&gt;"&amp;T2243))</x:f>
        <x:v>90</x:v>
      </x:c>
      <x:c r="Y2243" s="1" t="n">
        <x:f>IF(AND(H2243="Yes",OR(LEN('School Search'!$B$5)=0,ISNUMBER(SEARCH('School Search'!$B$5,B2243&amp;" "&amp;E2243&amp;" "&amp;A2243))),OR('School Search'!$D$5="All",C2243='School Search'!$D$5),OR('School Search'!$G$5="All eligible",AND('School Search'!$G$5="Not marked served",J2243&lt;&gt;"Yes"),AND('School Search'!$G$5="Missing data",V2243="Missing data"),AND('School Search'!$G$5="Marked served",J2243="Yes"))),1,0)</x:f>
        <x:v>1</x:v>
      </x:c>
      <x:c r="Z2243" s="1" t="n">
        <x:f>IF(Y2243=0,"",COUNTIFS($Y$2051:$Y$2550,1,$AO$2051:$AO$2550,"&lt;"&amp;AO2243)+COUNTIFS($Y$2051:Y2243,1,$AO$2051:AO2243,AO2243))</x:f>
        <x:v>93</x:v>
      </x:c>
      <x:c r="AA2243" s="1" t="str">
        <x:f>IF(NOT(ISNUMBER(S2243)),"Missing demographic or access input",TEXT(G2243,"0%")&amp;" economic need; "&amp;TEXT(K2243,"0.00")&amp;" mi fresh access; "&amp;L2243&amp;" nearby resources")</x:f>
        <x:v>91% economic need; 0.33 mi fresh access; 10 nearby resources</x:v>
      </x:c>
      <x:c r="AB2243" s="1" t="n">
        <x:f>IF(OR(A2243="",COUNTIFS($A$1531:$A$2030,A2243)&lt;&gt;1),0,MATCH(A2243,$A$1531:$A$2030,0))</x:f>
        <x:v>193</x:v>
      </x:c>
      <x:c r="AC2243" s="1" t="str">
        <x:f>IF(AB2243=0,"",INDEX($E$1531:$E$2030,AB2243))</x:f>
        <x:v>Fresh Supermarket Inc/ Cousins Family Market</x:v>
      </x:c>
      <x:c r="AD2243" s="1" t="str">
        <x:f>IF(AB2243=0,"",INDEX($F$1531:$F$2030,AB2243))</x:f>
        <x:v>203 E Allegheny Ave, Philadelphia, PA, 19134</x:v>
      </x:c>
      <x:c r="AE2243" s="1" t="str">
        <x:f>IF(A2243="","",F194)</x:f>
        <x:v>3199 D ST</x:v>
      </x:c>
      <x:c r="AF2243" s="1" t="n">
        <x:f>IF(ISNUMBER(I194),I194,"")</x:f>
        <x:v>39.997018</x:v>
      </x:c>
      <x:c r="AG2243" s="1" t="n">
        <x:f>IF(ISNUMBER(J194),J194,"")</x:f>
        <x:v>-75.121274</x:v>
      </x:c>
      <x:c r="AH2243" s="1" t="str">
        <x:f>IF(I2243=0,"Not contacted",IF(INDEX('Staff Review'!$J$8:$J$507,I2243)="","Not contacted",INDEX('Staff Review'!$J$8:$J$507,I2243)))</x:f>
        <x:v>Not contacted</x:v>
      </x:c>
      <x:c r="AI2243" s="1" t="str">
        <x:f>IF(I2243=0,"No",IF(AND(COUNT(INDEX('Staff Review'!$D$8:$D$507,I2243))=1,INDEX('Staff Review'!$D$8:$D$507,I2243)&gt;=0,COUNT(INDEX('Staff Review'!$E$8:$E$507,I2243))=1,INDEX('Staff Review'!$E$8:$E$507,I2243)&gt;0,INDEX('Staff Review'!$E$8:$E$507,I2243)&lt;='Top 15'!$E$5,'Top 15'!$E$5-INDEX('Staff Review'!$E$8:$E$507,I2243)&lt;='Top 15'!$H$5,LEN(INDEX('Staff Review'!$H$8:$H$507,I2243))&gt;0),"Yes","No"))</x:f>
        <x:v>No</x:v>
      </x:c>
      <x:c r="AJ2243" s="1" t="str">
        <x:f>IF(I2243=0,"No",IF(COUNT(INDEX('Staff Review'!$F$8:$F$507,I2243))&lt;&gt;1,"No",IF(AND(INDEX('Staff Review'!$F$8:$F$507,I2243)&gt;=0,MOD(INDEX('Staff Review'!$F$8:$F$507,I2243),1)=0,COUNT(INDEX('Staff Review'!$G$8:$G$507,I2243))=1,INDEX('Staff Review'!$G$8:$G$507,I2243)&gt;0,INDEX('Staff Review'!$G$8:$G$507,I2243)&lt;='Top 15'!$E$5,'Top 15'!$E$5-INDEX('Staff Review'!$G$8:$G$507,I2243)&lt;='Top 15'!$H$5,LEN(INDEX('Staff Review'!$H$8:$H$507,I2243))&gt;0),"Yes","No")))</x:f>
        <x:v>No</x:v>
      </x:c>
      <x:c r="AK2243" s="1" t="n">
        <x:f>IF(A2243="",0,COUNTIFS($A$2:$A$501,A2243))</x:f>
        <x:v>1</x:v>
      </x:c>
      <x:c r="AL2243" s="1" t="n">
        <x:f>IF(V2243="Candidate",1,0)</x:f>
        <x:v>1</x:v>
      </x:c>
      <x:c r="AM2243" s="1" t="n">
        <x:f>IF(A2243="",0,VALUE(A2243))</x:f>
        <x:v>5260</x:v>
      </x:c>
      <x:c r="AN2243" s="1" t="n">
        <x:f>IF(OR(A2243="",COUNTIFS($T$41:$T$540,A2243)&lt;&gt;1),0,MATCH(A2243,$T$41:$T$540,0))</x:f>
        <x:v>193</x:v>
      </x:c>
      <x:c r="AO2243" t="n">
        <x:f>IF(ISNUMBER(W2243),W2243,10000+AM2243)</x:f>
        <x:v>93</x:v>
      </x:c>
    </x:row>
    <x:row r="2244" ht="22" customHeight="1">
      <x:c r="A2244" s="1" t="str">
        <x:f>IF(A195="","",A195)</x:f>
        <x:v>5300</x:v>
      </x:c>
      <x:c r="B2244" s="1" t="str">
        <x:f>IF(A2244="","",B195)</x:f>
        <x:v>Horatio B. Hackett School</x:v>
      </x:c>
      <x:c r="C2244" s="1" t="str">
        <x:f>IF(A2244="","",C195)</x:f>
        <x:v>District</x:v>
      </x:c>
      <x:c r="D2244" s="1" t="str">
        <x:f>IF(A2244="","",E195)</x:f>
        <x:v>Elementary</x:v>
      </x:c>
      <x:c r="E2244" s="1" t="str">
        <x:f>IF(A2244="","",H195)</x:f>
        <x:v>19125</x:v>
      </x:c>
      <x:c r="F2244" s="1" t="n">
        <x:f>IF(ISNUMBER(K195),K195,"")</x:f>
        <x:v>372</x:v>
      </x:c>
      <x:c r="G2244" s="1" t="n">
        <x:f>IF(ISNUMBER(L195),L195,"")</x:f>
        <x:v>0.5768</x:v>
      </x:c>
      <x:c r="H2244" s="1" t="str">
        <x:f>IF(A2244="","",IF(AND(UPPER(G195)="PHILADELPHIA",OR(C2244="District",AND(C2244="Charter",D195="Yes"))),"Yes","No"))</x:f>
        <x:v>Yes</x:v>
      </x:c>
      <x:c r="I2244" s="1" t="n">
        <x:f>IF(OR(A2244="",COUNTIFS('Staff Review'!$A$8:$A$507,A2244)&lt;&gt;1),0,MATCH(A2244,'Staff Review'!$A$8:$A$507,0))</x:f>
        <x:v>118</x:v>
      </x:c>
      <x:c r="J2244" s="1" t="str">
        <x:f>IF(I2244=0,"No",IF(INDEX('Staff Review'!$C$8:$C$507,I2244)="Yes","Yes","No"))</x:f>
        <x:v>No</x:v>
      </x:c>
      <x:c r="K2244" s="1" t="n">
        <x:f>IF(AI2244="Yes",INDEX('Staff Review'!$D$8:$D$507,I2244),IF(AB2244=0,"",IF(COUNT(INDEX($C$1531:$C$2030,AB2244))=1,INDEX($C$1531:$C$2030,AB2244),"")))</x:f>
        <x:v>0.3976557467983952</x:v>
      </x:c>
      <x:c r="L2244" s="1" t="n">
        <x:f>IF(AJ2244="Yes",INDEX('Staff Review'!$F$8:$F$507,I2244),IF(AB2244=0,"",IF(COUNT(INDEX($G$1531:$G$2030,AB2244))=1,INDEX($G$1531:$G$2030,AB2244),"")))</x:f>
        <x:v>5</x:v>
      </x:c>
      <x:c r="M2244" s="1" t="str">
        <x:f>IF(A2244="","",IF(AI2244="Yes","Verified","Listed"))</x:f>
        <x:v>Listed</x:v>
      </x:c>
      <x:c r="N2244" s="1" t="str">
        <x:f>IF(A2244="","",IF(AJ2244="Yes","Verified","Listed"))</x:f>
        <x:v>Listed</x:v>
      </x:c>
      <x:c r="O2244" s="1" t="n">
        <x:f>IF(AND(ISNUMBER(G2244),G2244&gt;=0,G2244&lt;=1),IF(G2244&gt;=0.9,30,IF(G2244&gt;=0.8,25,IF(G2244&gt;=0.7,20,IF(G2244&gt;=0.6,15,IF(G2244&gt;=0.5,10,IF(G2244&gt;=0.4,5,0)))))),"")</x:f>
        <x:v>10</x:v>
      </x:c>
      <x:c r="P2244" s="1" t="n">
        <x:f>IF(ISNUMBER(K2244),IF(K2244&lt;0,"",IF(K2244&gt;1,25,IF(K2244&gt;=0.75,20,IF(K2244&gt;=0.5,15,IF(K2244&gt;=0.25,10,5))))),"")</x:f>
        <x:v>10</x:v>
      </x:c>
      <x:c r="Q2244" s="1" t="n">
        <x:f>IF(NOT(ISNUMBER(L2244)),"",IF(AND(L2244&gt;=0,MOD(L2244,1)=0),MAX(0,25-5*L2244),""))</x:f>
        <x:v>0</x:v>
      </x:c>
      <x:c r="R2244" s="1" t="n">
        <x:f>IF(NOT(ISNUMBER(F2244)),"",IF(AND(F2244&gt;0,MOD(F2244,1)=0),IF(F2244&gt;=700,5,IF(F2244&gt;=500,4,IF(F2244&gt;=350,3,IF(F2244&gt;=200,2,1)))),""))</x:f>
        <x:v>3</x:v>
      </x:c>
      <x:c r="S2244" s="1" t="n">
        <x:f>IF(COUNT(O2244:R2244)=4,SUM(O2244:R2244),"")</x:f>
        <x:v>23</x:v>
      </x:c>
      <x:c r="T2244" s="1" t="n">
        <x:f>IF(OR(COUNT(O2244:R2244)&lt;&gt;4,COUNT('Top 15'!$B$35:$E$35)&lt;&gt;4,MIN('Top 15'!$B$35:$E$35)&lt;0,SUM('Top 15'!$B$35:$E$35)&lt;=0),"",ROUND(85*(O2244/30*'Top 15'!$B$35+P2244/25*'Top 15'!$C$35+Q2244/25*'Top 15'!$D$35+R2244/5*'Top 15'!$E$35)/SUM('Top 15'!$B$35:$E$35),6))</x:f>
        <x:v>23</x:v>
      </x:c>
      <x:c r="U2244" s="1" t="str">
        <x:f>IF(A2244="","",IF(AND(M2244="Verified",N2244="Verified"),"Verified",IF(AND(M2244="Listed",N2244="Listed"),"Listed","Mixed")))</x:f>
        <x:v>Listed</x:v>
      </x:c>
      <x:c r="V2244" s="1" t="str">
        <x:f>IF(A2244="","",IF(AK2244&lt;&gt;1,"Duplicate source ID",IF(COUNTIFS('Staff Review'!$A$8:$A$507,A2244)&gt;1,"Duplicate review ID",IF(H2244&lt;&gt;"Yes","Outside scope",IF(J2244="Yes","Already served",IF(NOT(ISNUMBER(T2244)),"Missing data","Candidate"))))))</x:f>
        <x:v>Candidate</x:v>
      </x:c>
      <x:c r="W2244" s="1" t="n">
        <x:f>IF(AL2244=0,"",1+COUNTIFS($AL$2051:$AL$2550,1,$T$2051:$T$2550,"&gt;"&amp;T2244)+COUNTIFS($AL$2051:$AL$2550,1,$T$2051:$T$2550,T2244,$G$2051:$G$2550,"&gt;"&amp;G2244)+COUNTIFS($AL$2051:$AL$2550,1,$T$2051:$T$2550,T2244,$G$2051:$G$2550,G2244,$F$2051:$F$2550,"&gt;"&amp;F2244)+COUNTIFS($AL$2051:$AL$2550,1,$T$2051:$T$2550,T2244,$G$2051:$G$2550,G2244,$F$2051:$F$2550,F2244,$AM$2051:$AM$2550,"&lt;"&amp;AM2244))</x:f>
        <x:v>277</x:v>
      </x:c>
      <x:c r="X2244" s="1" t="n">
        <x:f>IF(AL2244=0,"",1+COUNTIFS($AL$2051:$AL$2550,1,$T$2051:$T$2550,"&gt;"&amp;T2244))</x:f>
        <x:v>274</x:v>
      </x:c>
      <x:c r="Y2244" s="1" t="n">
        <x:f>IF(AND(H2244="Yes",OR(LEN('School Search'!$B$5)=0,ISNUMBER(SEARCH('School Search'!$B$5,B2244&amp;" "&amp;E2244&amp;" "&amp;A2244))),OR('School Search'!$D$5="All",C2244='School Search'!$D$5),OR('School Search'!$G$5="All eligible",AND('School Search'!$G$5="Not marked served",J2244&lt;&gt;"Yes"),AND('School Search'!$G$5="Missing data",V2244="Missing data"),AND('School Search'!$G$5="Marked served",J2244="Yes"))),1,0)</x:f>
        <x:v>1</x:v>
      </x:c>
      <x:c r="Z2244" s="1" t="n">
        <x:f>IF(Y2244=0,"",COUNTIFS($Y$2051:$Y$2550,1,$AO$2051:$AO$2550,"&lt;"&amp;AO2244)+COUNTIFS($Y$2051:Y2244,1,$AO$2051:AO2244,AO2244))</x:f>
        <x:v>277</x:v>
      </x:c>
      <x:c r="AA2244" s="1" t="str">
        <x:f>IF(NOT(ISNUMBER(S2244)),"Missing demographic or access input",TEXT(G2244,"0%")&amp;" economic need; "&amp;TEXT(K2244,"0.00")&amp;" mi fresh access; "&amp;L2244&amp;" nearby resources")</x:f>
        <x:v>58% economic need; 0.40 mi fresh access; 5 nearby resources</x:v>
      </x:c>
      <x:c r="AB2244" s="1" t="n">
        <x:f>IF(OR(A2244="",COUNTIFS($A$1531:$A$2030,A2244)&lt;&gt;1),0,MATCH(A2244,$A$1531:$A$2030,0))</x:f>
        <x:v>194</x:v>
      </x:c>
      <x:c r="AC2244" s="1" t="str">
        <x:f>IF(AB2244=0,"",INDEX($E$1531:$E$2030,AB2244))</x:f>
        <x:v>Save A Lot 30224</x:v>
      </x:c>
      <x:c r="AD2244" s="1" t="str">
        <x:f>IF(AB2244=0,"",INDEX($F$1531:$F$2030,AB2244))</x:f>
        <x:v>2132 E Lehigh Ave, Philadelphia, PA, 19125</x:v>
      </x:c>
      <x:c r="AE2244" s="1" t="str">
        <x:f>IF(A2244="","",F195)</x:f>
        <x:v>2161 E YORK ST</x:v>
      </x:c>
      <x:c r="AF2244" s="1" t="n">
        <x:f>IF(ISNUMBER(I195),I195,"")</x:f>
        <x:v>39.98096374</x:v>
      </x:c>
      <x:c r="AG2244" s="1" t="n">
        <x:f>IF(ISNUMBER(J195),J195,"")</x:f>
        <x:v>-75.12685511</x:v>
      </x:c>
      <x:c r="AH2244" s="1" t="str">
        <x:f>IF(I2244=0,"Not contacted",IF(INDEX('Staff Review'!$J$8:$J$507,I2244)="","Not contacted",INDEX('Staff Review'!$J$8:$J$507,I2244)))</x:f>
        <x:v>Not contacted</x:v>
      </x:c>
      <x:c r="AI2244" s="1" t="str">
        <x:f>IF(I2244=0,"No",IF(AND(COUNT(INDEX('Staff Review'!$D$8:$D$507,I2244))=1,INDEX('Staff Review'!$D$8:$D$507,I2244)&gt;=0,COUNT(INDEX('Staff Review'!$E$8:$E$507,I2244))=1,INDEX('Staff Review'!$E$8:$E$507,I2244)&gt;0,INDEX('Staff Review'!$E$8:$E$507,I2244)&lt;='Top 15'!$E$5,'Top 15'!$E$5-INDEX('Staff Review'!$E$8:$E$507,I2244)&lt;='Top 15'!$H$5,LEN(INDEX('Staff Review'!$H$8:$H$507,I2244))&gt;0),"Yes","No"))</x:f>
        <x:v>No</x:v>
      </x:c>
      <x:c r="AJ2244" s="1" t="str">
        <x:f>IF(I2244=0,"No",IF(COUNT(INDEX('Staff Review'!$F$8:$F$507,I2244))&lt;&gt;1,"No",IF(AND(INDEX('Staff Review'!$F$8:$F$507,I2244)&gt;=0,MOD(INDEX('Staff Review'!$F$8:$F$507,I2244),1)=0,COUNT(INDEX('Staff Review'!$G$8:$G$507,I2244))=1,INDEX('Staff Review'!$G$8:$G$507,I2244)&gt;0,INDEX('Staff Review'!$G$8:$G$507,I2244)&lt;='Top 15'!$E$5,'Top 15'!$E$5-INDEX('Staff Review'!$G$8:$G$507,I2244)&lt;='Top 15'!$H$5,LEN(INDEX('Staff Review'!$H$8:$H$507,I2244))&gt;0),"Yes","No")))</x:f>
        <x:v>No</x:v>
      </x:c>
      <x:c r="AK2244" s="1" t="n">
        <x:f>IF(A2244="",0,COUNTIFS($A$2:$A$501,A2244))</x:f>
        <x:v>1</x:v>
      </x:c>
      <x:c r="AL2244" s="1" t="n">
        <x:f>IF(V2244="Candidate",1,0)</x:f>
        <x:v>1</x:v>
      </x:c>
      <x:c r="AM2244" s="1" t="n">
        <x:f>IF(A2244="",0,VALUE(A2244))</x:f>
        <x:v>5300</x:v>
      </x:c>
      <x:c r="AN2244" s="1" t="n">
        <x:f>IF(OR(A2244="",COUNTIFS($T$41:$T$540,A2244)&lt;&gt;1),0,MATCH(A2244,$T$41:$T$540,0))</x:f>
        <x:v>194</x:v>
      </x:c>
      <x:c r="AO2244" t="n">
        <x:f>IF(ISNUMBER(W2244),W2244,10000+AM2244)</x:f>
        <x:v>277</x:v>
      </x:c>
    </x:row>
    <x:row r="2245" ht="22" customHeight="1">
      <x:c r="A2245" s="1" t="str">
        <x:f>IF(A196="","",A196)</x:f>
        <x:v>5320</x:v>
      </x:c>
      <x:c r="B2245" s="1" t="str">
        <x:f>IF(A2245="","",B196)</x:f>
        <x:v>John F. Hartranft School</x:v>
      </x:c>
      <x:c r="C2245" s="1" t="str">
        <x:f>IF(A2245="","",C196)</x:f>
        <x:v>District</x:v>
      </x:c>
      <x:c r="D2245" s="1" t="str">
        <x:f>IF(A2245="","",E196)</x:f>
        <x:v>Elementary-Middle</x:v>
      </x:c>
      <x:c r="E2245" s="1" t="str">
        <x:f>IF(A2245="","",H196)</x:f>
        <x:v>19133</x:v>
      </x:c>
      <x:c r="F2245" s="1" t="n">
        <x:f>IF(ISNUMBER(K196),K196,"")</x:f>
        <x:v>337</x:v>
      </x:c>
      <x:c r="G2245" s="1" t="n">
        <x:f>IF(ISNUMBER(L196),L196,"")</x:f>
        <x:v>0.8865</x:v>
      </x:c>
      <x:c r="H2245" s="1" t="str">
        <x:f>IF(A2245="","",IF(AND(UPPER(G196)="PHILADELPHIA",OR(C2245="District",AND(C2245="Charter",D196="Yes"))),"Yes","No"))</x:f>
        <x:v>Yes</x:v>
      </x:c>
      <x:c r="I2245" s="1" t="n">
        <x:f>IF(OR(A2245="",COUNTIFS('Staff Review'!$A$8:$A$507,A2245)&lt;&gt;1),0,MATCH(A2245,'Staff Review'!$A$8:$A$507,0))</x:f>
        <x:v>137</x:v>
      </x:c>
      <x:c r="J2245" s="1" t="str">
        <x:f>IF(I2245=0,"No",IF(INDEX('Staff Review'!$C$8:$C$507,I2245)="Yes","Yes","No"))</x:f>
        <x:v>No</x:v>
      </x:c>
      <x:c r="K2245" s="1" t="n">
        <x:f>IF(AI2245="Yes",INDEX('Staff Review'!$D$8:$D$507,I2245),IF(AB2245=0,"",IF(COUNT(INDEX($C$1531:$C$2030,AB2245))=1,INDEX($C$1531:$C$2030,AB2245),"")))</x:f>
        <x:v>0.2914816511825649</x:v>
      </x:c>
      <x:c r="L2245" s="1" t="n">
        <x:f>IF(AJ2245="Yes",INDEX('Staff Review'!$F$8:$F$507,I2245),IF(AB2245=0,"",IF(COUNT(INDEX($G$1531:$G$2030,AB2245))=1,INDEX($G$1531:$G$2030,AB2245),"")))</x:f>
        <x:v>15</x:v>
      </x:c>
      <x:c r="M2245" s="1" t="str">
        <x:f>IF(A2245="","",IF(AI2245="Yes","Verified","Listed"))</x:f>
        <x:v>Listed</x:v>
      </x:c>
      <x:c r="N2245" s="1" t="str">
        <x:f>IF(A2245="","",IF(AJ2245="Yes","Verified","Listed"))</x:f>
        <x:v>Listed</x:v>
      </x:c>
      <x:c r="O2245" s="1" t="n">
        <x:f>IF(AND(ISNUMBER(G2245),G2245&gt;=0,G2245&lt;=1),IF(G2245&gt;=0.9,30,IF(G2245&gt;=0.8,25,IF(G2245&gt;=0.7,20,IF(G2245&gt;=0.6,15,IF(G2245&gt;=0.5,10,IF(G2245&gt;=0.4,5,0)))))),"")</x:f>
        <x:v>25</x:v>
      </x:c>
      <x:c r="P2245" s="1" t="n">
        <x:f>IF(ISNUMBER(K2245),IF(K2245&lt;0,"",IF(K2245&gt;1,25,IF(K2245&gt;=0.75,20,IF(K2245&gt;=0.5,15,IF(K2245&gt;=0.25,10,5))))),"")</x:f>
        <x:v>10</x:v>
      </x:c>
      <x:c r="Q2245" s="1" t="n">
        <x:f>IF(NOT(ISNUMBER(L2245)),"",IF(AND(L2245&gt;=0,MOD(L2245,1)=0),MAX(0,25-5*L2245),""))</x:f>
        <x:v>0</x:v>
      </x:c>
      <x:c r="R2245" s="1" t="n">
        <x:f>IF(NOT(ISNUMBER(F2245)),"",IF(AND(F2245&gt;0,MOD(F2245,1)=0),IF(F2245&gt;=700,5,IF(F2245&gt;=500,4,IF(F2245&gt;=350,3,IF(F2245&gt;=200,2,1)))),""))</x:f>
        <x:v>2</x:v>
      </x:c>
      <x:c r="S2245" s="1" t="n">
        <x:f>IF(COUNT(O2245:R2245)=4,SUM(O2245:R2245),"")</x:f>
        <x:v>37</x:v>
      </x:c>
      <x:c r="T2245" s="1" t="n">
        <x:f>IF(OR(COUNT(O2245:R2245)&lt;&gt;4,COUNT('Top 15'!$B$35:$E$35)&lt;&gt;4,MIN('Top 15'!$B$35:$E$35)&lt;0,SUM('Top 15'!$B$35:$E$35)&lt;=0),"",ROUND(85*(O2245/30*'Top 15'!$B$35+P2245/25*'Top 15'!$C$35+Q2245/25*'Top 15'!$D$35+R2245/5*'Top 15'!$E$35)/SUM('Top 15'!$B$35:$E$35),6))</x:f>
        <x:v>37</x:v>
      </x:c>
      <x:c r="U2245" s="1" t="str">
        <x:f>IF(A2245="","",IF(AND(M2245="Verified",N2245="Verified"),"Verified",IF(AND(M2245="Listed",N2245="Listed"),"Listed","Mixed")))</x:f>
        <x:v>Listed</x:v>
      </x:c>
      <x:c r="V2245" s="1" t="str">
        <x:f>IF(A2245="","",IF(AK2245&lt;&gt;1,"Duplicate source ID",IF(COUNTIFS('Staff Review'!$A$8:$A$507,A2245)&gt;1,"Duplicate review ID",IF(H2245&lt;&gt;"Yes","Outside scope",IF(J2245="Yes","Already served",IF(NOT(ISNUMBER(T2245)),"Missing data","Candidate"))))))</x:f>
        <x:v>Candidate</x:v>
      </x:c>
      <x:c r="W2245" s="1" t="n">
        <x:f>IF(AL2245=0,"",1+COUNTIFS($AL$2051:$AL$2550,1,$T$2051:$T$2550,"&gt;"&amp;T2245)+COUNTIFS($AL$2051:$AL$2550,1,$T$2051:$T$2550,T2245,$G$2051:$G$2550,"&gt;"&amp;G2245)+COUNTIFS($AL$2051:$AL$2550,1,$T$2051:$T$2550,T2245,$G$2051:$G$2550,G2245,$F$2051:$F$2550,"&gt;"&amp;F2245)+COUNTIFS($AL$2051:$AL$2550,1,$T$2051:$T$2550,T2245,$G$2051:$G$2550,G2245,$F$2051:$F$2550,F2245,$AM$2051:$AM$2550,"&lt;"&amp;AM2245))</x:f>
        <x:v>187</x:v>
      </x:c>
      <x:c r="X2245" s="1" t="n">
        <x:f>IF(AL2245=0,"",1+COUNTIFS($AL$2051:$AL$2550,1,$T$2051:$T$2550,"&gt;"&amp;T2245))</x:f>
        <x:v>182</x:v>
      </x:c>
      <x:c r="Y2245" s="1" t="n">
        <x:f>IF(AND(H2245="Yes",OR(LEN('School Search'!$B$5)=0,ISNUMBER(SEARCH('School Search'!$B$5,B2245&amp;" "&amp;E2245&amp;" "&amp;A2245))),OR('School Search'!$D$5="All",C2245='School Search'!$D$5),OR('School Search'!$G$5="All eligible",AND('School Search'!$G$5="Not marked served",J2245&lt;&gt;"Yes"),AND('School Search'!$G$5="Missing data",V2245="Missing data"),AND('School Search'!$G$5="Marked served",J2245="Yes"))),1,0)</x:f>
        <x:v>1</x:v>
      </x:c>
      <x:c r="Z2245" s="1" t="n">
        <x:f>IF(Y2245=0,"",COUNTIFS($Y$2051:$Y$2550,1,$AO$2051:$AO$2550,"&lt;"&amp;AO2245)+COUNTIFS($Y$2051:Y2245,1,$AO$2051:AO2245,AO2245))</x:f>
        <x:v>187</x:v>
      </x:c>
      <x:c r="AA2245" s="1" t="str">
        <x:f>IF(NOT(ISNUMBER(S2245)),"Missing demographic or access input",TEXT(G2245,"0%")&amp;" economic need; "&amp;TEXT(K2245,"0.00")&amp;" mi fresh access; "&amp;L2245&amp;" nearby resources")</x:f>
        <x:v>89% economic need; 0.29 mi fresh access; 15 nearby resources</x:v>
      </x:c>
      <x:c r="AB2245" s="1" t="n">
        <x:f>IF(OR(A2245="",COUNTIFS($A$1531:$A$2030,A2245)&lt;&gt;1),0,MATCH(A2245,$A$1531:$A$2030,0))</x:f>
        <x:v>195</x:v>
      </x:c>
      <x:c r="AC2245" s="1" t="str">
        <x:f>IF(AB2245=0,"",INDEX($E$1531:$E$2030,AB2245))</x:f>
        <x:v>Save A Lot 60139</x:v>
      </x:c>
      <x:c r="AD2245" s="1" t="str">
        <x:f>IF(AB2245=0,"",INDEX($F$1531:$F$2030,AB2245))</x:f>
        <x:v>701 W Lehigh Ave, Philadelphia, PA, 19133</x:v>
      </x:c>
      <x:c r="AE2245" s="1" t="str">
        <x:f>IF(A2245="","",F196)</x:f>
        <x:v>720 W CUMBERLAND ST</x:v>
      </x:c>
      <x:c r="AF2245" s="1" t="n">
        <x:f>IF(ISNUMBER(I196),I196,"")</x:f>
        <x:v>39.98942228</x:v>
      </x:c>
      <x:c r="AG2245" s="1" t="n">
        <x:f>IF(ISNUMBER(J196),J196,"")</x:f>
        <x:v>-75.14477741</x:v>
      </x:c>
      <x:c r="AH2245" s="1" t="str">
        <x:f>IF(I2245=0,"Not contacted",IF(INDEX('Staff Review'!$J$8:$J$507,I2245)="","Not contacted",INDEX('Staff Review'!$J$8:$J$507,I2245)))</x:f>
        <x:v>Not contacted</x:v>
      </x:c>
      <x:c r="AI2245" s="1" t="str">
        <x:f>IF(I2245=0,"No",IF(AND(COUNT(INDEX('Staff Review'!$D$8:$D$507,I2245))=1,INDEX('Staff Review'!$D$8:$D$507,I2245)&gt;=0,COUNT(INDEX('Staff Review'!$E$8:$E$507,I2245))=1,INDEX('Staff Review'!$E$8:$E$507,I2245)&gt;0,INDEX('Staff Review'!$E$8:$E$507,I2245)&lt;='Top 15'!$E$5,'Top 15'!$E$5-INDEX('Staff Review'!$E$8:$E$507,I2245)&lt;='Top 15'!$H$5,LEN(INDEX('Staff Review'!$H$8:$H$507,I2245))&gt;0),"Yes","No"))</x:f>
        <x:v>No</x:v>
      </x:c>
      <x:c r="AJ2245" s="1" t="str">
        <x:f>IF(I2245=0,"No",IF(COUNT(INDEX('Staff Review'!$F$8:$F$507,I2245))&lt;&gt;1,"No",IF(AND(INDEX('Staff Review'!$F$8:$F$507,I2245)&gt;=0,MOD(INDEX('Staff Review'!$F$8:$F$507,I2245),1)=0,COUNT(INDEX('Staff Review'!$G$8:$G$507,I2245))=1,INDEX('Staff Review'!$G$8:$G$507,I2245)&gt;0,INDEX('Staff Review'!$G$8:$G$507,I2245)&lt;='Top 15'!$E$5,'Top 15'!$E$5-INDEX('Staff Review'!$G$8:$G$507,I2245)&lt;='Top 15'!$H$5,LEN(INDEX('Staff Review'!$H$8:$H$507,I2245))&gt;0),"Yes","No")))</x:f>
        <x:v>No</x:v>
      </x:c>
      <x:c r="AK2245" s="1" t="n">
        <x:f>IF(A2245="",0,COUNTIFS($A$2:$A$501,A2245))</x:f>
        <x:v>1</x:v>
      </x:c>
      <x:c r="AL2245" s="1" t="n">
        <x:f>IF(V2245="Candidate",1,0)</x:f>
        <x:v>1</x:v>
      </x:c>
      <x:c r="AM2245" s="1" t="n">
        <x:f>IF(A2245="",0,VALUE(A2245))</x:f>
        <x:v>5320</x:v>
      </x:c>
      <x:c r="AN2245" s="1" t="n">
        <x:f>IF(OR(A2245="",COUNTIFS($T$41:$T$540,A2245)&lt;&gt;1),0,MATCH(A2245,$T$41:$T$540,0))</x:f>
        <x:v>195</x:v>
      </x:c>
      <x:c r="AO2245" t="n">
        <x:f>IF(ISNUMBER(W2245),W2245,10000+AM2245)</x:f>
        <x:v>187</x:v>
      </x:c>
    </x:row>
    <x:row r="2246" ht="22" customHeight="1">
      <x:c r="A2246" s="1" t="str">
        <x:f>IF(A197="","",A197)</x:f>
        <x:v>5330</x:v>
      </x:c>
      <x:c r="B2246" s="1" t="str">
        <x:f>IF(A2246="","",B197)</x:f>
        <x:v>William H. Hunter School</x:v>
      </x:c>
      <x:c r="C2246" s="1" t="str">
        <x:f>IF(A2246="","",C197)</x:f>
        <x:v>District</x:v>
      </x:c>
      <x:c r="D2246" s="1" t="str">
        <x:f>IF(A2246="","",E197)</x:f>
        <x:v>Elementary-Middle</x:v>
      </x:c>
      <x:c r="E2246" s="1" t="str">
        <x:f>IF(A2246="","",H197)</x:f>
        <x:v>19133</x:v>
      </x:c>
      <x:c r="F2246" s="1" t="n">
        <x:f>IF(ISNUMBER(K197),K197,"")</x:f>
        <x:v>357</x:v>
      </x:c>
      <x:c r="G2246" s="1" t="n">
        <x:f>IF(ISNUMBER(L197),L197,"")</x:f>
        <x:v>0.9031</x:v>
      </x:c>
      <x:c r="H2246" s="1" t="str">
        <x:f>IF(A2246="","",IF(AND(UPPER(G197)="PHILADELPHIA",OR(C2246="District",AND(C2246="Charter",D197="Yes"))),"Yes","No"))</x:f>
        <x:v>Yes</x:v>
      </x:c>
      <x:c r="I2246" s="1" t="n">
        <x:f>IF(OR(A2246="",COUNTIFS('Staff Review'!$A$8:$A$507,A2246)&lt;&gt;1),0,MATCH(A2246,'Staff Review'!$A$8:$A$507,0))</x:f>
        <x:v>317</x:v>
      </x:c>
      <x:c r="J2246" s="1" t="str">
        <x:f>IF(I2246=0,"No",IF(INDEX('Staff Review'!$C$8:$C$507,I2246)="Yes","Yes","No"))</x:f>
        <x:v>No</x:v>
      </x:c>
      <x:c r="K2246" s="1" t="n">
        <x:f>IF(AI2246="Yes",INDEX('Staff Review'!$D$8:$D$507,I2246),IF(AB2246=0,"",IF(COUNT(INDEX($C$1531:$C$2030,AB2246))=1,INDEX($C$1531:$C$2030,AB2246),"")))</x:f>
        <x:v>0.2651550494653938</x:v>
      </x:c>
      <x:c r="L2246" s="1" t="n">
        <x:f>IF(AJ2246="Yes",INDEX('Staff Review'!$F$8:$F$507,I2246),IF(AB2246=0,"",IF(COUNT(INDEX($G$1531:$G$2030,AB2246))=1,INDEX($G$1531:$G$2030,AB2246),"")))</x:f>
        <x:v>12</x:v>
      </x:c>
      <x:c r="M2246" s="1" t="str">
        <x:f>IF(A2246="","",IF(AI2246="Yes","Verified","Listed"))</x:f>
        <x:v>Listed</x:v>
      </x:c>
      <x:c r="N2246" s="1" t="str">
        <x:f>IF(A2246="","",IF(AJ2246="Yes","Verified","Listed"))</x:f>
        <x:v>Listed</x:v>
      </x:c>
      <x:c r="O2246" s="1" t="n">
        <x:f>IF(AND(ISNUMBER(G2246),G2246&gt;=0,G2246&lt;=1),IF(G2246&gt;=0.9,30,IF(G2246&gt;=0.8,25,IF(G2246&gt;=0.7,20,IF(G2246&gt;=0.6,15,IF(G2246&gt;=0.5,10,IF(G2246&gt;=0.4,5,0)))))),"")</x:f>
        <x:v>30</x:v>
      </x:c>
      <x:c r="P2246" s="1" t="n">
        <x:f>IF(ISNUMBER(K2246),IF(K2246&lt;0,"",IF(K2246&gt;1,25,IF(K2246&gt;=0.75,20,IF(K2246&gt;=0.5,15,IF(K2246&gt;=0.25,10,5))))),"")</x:f>
        <x:v>10</x:v>
      </x:c>
      <x:c r="Q2246" s="1" t="n">
        <x:f>IF(NOT(ISNUMBER(L2246)),"",IF(AND(L2246&gt;=0,MOD(L2246,1)=0),MAX(0,25-5*L2246),""))</x:f>
        <x:v>0</x:v>
      </x:c>
      <x:c r="R2246" s="1" t="n">
        <x:f>IF(NOT(ISNUMBER(F2246)),"",IF(AND(F2246&gt;0,MOD(F2246,1)=0),IF(F2246&gt;=700,5,IF(F2246&gt;=500,4,IF(F2246&gt;=350,3,IF(F2246&gt;=200,2,1)))),""))</x:f>
        <x:v>3</x:v>
      </x:c>
      <x:c r="S2246" s="1" t="n">
        <x:f>IF(COUNT(O2246:R2246)=4,SUM(O2246:R2246),"")</x:f>
        <x:v>43</x:v>
      </x:c>
      <x:c r="T2246" s="1" t="n">
        <x:f>IF(OR(COUNT(O2246:R2246)&lt;&gt;4,COUNT('Top 15'!$B$35:$E$35)&lt;&gt;4,MIN('Top 15'!$B$35:$E$35)&lt;0,SUM('Top 15'!$B$35:$E$35)&lt;=0),"",ROUND(85*(O2246/30*'Top 15'!$B$35+P2246/25*'Top 15'!$C$35+Q2246/25*'Top 15'!$D$35+R2246/5*'Top 15'!$E$35)/SUM('Top 15'!$B$35:$E$35),6))</x:f>
        <x:v>43</x:v>
      </x:c>
      <x:c r="U2246" s="1" t="str">
        <x:f>IF(A2246="","",IF(AND(M2246="Verified",N2246="Verified"),"Verified",IF(AND(M2246="Listed",N2246="Listed"),"Listed","Mixed")))</x:f>
        <x:v>Listed</x:v>
      </x:c>
      <x:c r="V2246" s="1" t="str">
        <x:f>IF(A2246="","",IF(AK2246&lt;&gt;1,"Duplicate source ID",IF(COUNTIFS('Staff Review'!$A$8:$A$507,A2246)&gt;1,"Duplicate review ID",IF(H2246&lt;&gt;"Yes","Outside scope",IF(J2246="Yes","Already served",IF(NOT(ISNUMBER(T2246)),"Missing data","Candidate"))))))</x:f>
        <x:v>Candidate</x:v>
      </x:c>
      <x:c r="W2246" s="1" t="n">
        <x:f>IF(AL2246=0,"",1+COUNTIFS($AL$2051:$AL$2550,1,$T$2051:$T$2550,"&gt;"&amp;T2246)+COUNTIFS($AL$2051:$AL$2550,1,$T$2051:$T$2550,T2246,$G$2051:$G$2550,"&gt;"&amp;G2246)+COUNTIFS($AL$2051:$AL$2550,1,$T$2051:$T$2550,T2246,$G$2051:$G$2550,G2246,$F$2051:$F$2550,"&gt;"&amp;F2246)+COUNTIFS($AL$2051:$AL$2550,1,$T$2051:$T$2550,T2246,$G$2051:$G$2550,G2246,$F$2051:$F$2550,F2246,$AM$2051:$AM$2550,"&lt;"&amp;AM2246))</x:f>
        <x:v>94</x:v>
      </x:c>
      <x:c r="X2246" s="1" t="n">
        <x:f>IF(AL2246=0,"",1+COUNTIFS($AL$2051:$AL$2550,1,$T$2051:$T$2550,"&gt;"&amp;T2246))</x:f>
        <x:v>90</x:v>
      </x:c>
      <x:c r="Y2246" s="1" t="n">
        <x:f>IF(AND(H2246="Yes",OR(LEN('School Search'!$B$5)=0,ISNUMBER(SEARCH('School Search'!$B$5,B2246&amp;" "&amp;E2246&amp;" "&amp;A2246))),OR('School Search'!$D$5="All",C2246='School Search'!$D$5),OR('School Search'!$G$5="All eligible",AND('School Search'!$G$5="Not marked served",J2246&lt;&gt;"Yes"),AND('School Search'!$G$5="Missing data",V2246="Missing data"),AND('School Search'!$G$5="Marked served",J2246="Yes"))),1,0)</x:f>
        <x:v>1</x:v>
      </x:c>
      <x:c r="Z2246" s="1" t="n">
        <x:f>IF(Y2246=0,"",COUNTIFS($Y$2051:$Y$2550,1,$AO$2051:$AO$2550,"&lt;"&amp;AO2246)+COUNTIFS($Y$2051:Y2246,1,$AO$2051:AO2246,AO2246))</x:f>
        <x:v>94</x:v>
      </x:c>
      <x:c r="AA2246" s="1" t="str">
        <x:f>IF(NOT(ISNUMBER(S2246)),"Missing demographic or access input",TEXT(G2246,"0%")&amp;" economic need; "&amp;TEXT(K2246,"0.00")&amp;" mi fresh access; "&amp;L2246&amp;" nearby resources")</x:f>
        <x:v>90% economic need; 0.27 mi fresh access; 12 nearby resources</x:v>
      </x:c>
      <x:c r="AB2246" s="1" t="n">
        <x:f>IF(OR(A2246="",COUNTIFS($A$1531:$A$2030,A2246)&lt;&gt;1),0,MATCH(A2246,$A$1531:$A$2030,0))</x:f>
        <x:v>196</x:v>
      </x:c>
      <x:c r="AC2246" s="1" t="str">
        <x:f>IF(AB2246=0,"",INDEX($E$1531:$E$2030,AB2246))</x:f>
        <x:v>JC 131 West Corp/Fine Fare</x:v>
      </x:c>
      <x:c r="AD2246" s="1" t="str">
        <x:f>IF(AB2246=0,"",INDEX($F$1531:$F$2030,AB2246))</x:f>
        <x:v>131 W Lehigh Ave, Philadelphia, PA, 19133</x:v>
      </x:c>
      <x:c r="AE2246" s="1" t="str">
        <x:f>IF(A2246="","",F197)</x:f>
        <x:v>2400 N FRONT ST</x:v>
      </x:c>
      <x:c r="AF2246" s="1" t="n">
        <x:f>IF(ISNUMBER(I197),I197,"")</x:f>
        <x:v>39.98725028</x:v>
      </x:c>
      <x:c r="AG2246" s="1" t="n">
        <x:f>IF(ISNUMBER(J197),J197,"")</x:f>
        <x:v>-75.13176356</x:v>
      </x:c>
      <x:c r="AH2246" s="1" t="str">
        <x:f>IF(I2246=0,"Not contacted",IF(INDEX('Staff Review'!$J$8:$J$507,I2246)="","Not contacted",INDEX('Staff Review'!$J$8:$J$507,I2246)))</x:f>
        <x:v>Not contacted</x:v>
      </x:c>
      <x:c r="AI2246" s="1" t="str">
        <x:f>IF(I2246=0,"No",IF(AND(COUNT(INDEX('Staff Review'!$D$8:$D$507,I2246))=1,INDEX('Staff Review'!$D$8:$D$507,I2246)&gt;=0,COUNT(INDEX('Staff Review'!$E$8:$E$507,I2246))=1,INDEX('Staff Review'!$E$8:$E$507,I2246)&gt;0,INDEX('Staff Review'!$E$8:$E$507,I2246)&lt;='Top 15'!$E$5,'Top 15'!$E$5-INDEX('Staff Review'!$E$8:$E$507,I2246)&lt;='Top 15'!$H$5,LEN(INDEX('Staff Review'!$H$8:$H$507,I2246))&gt;0),"Yes","No"))</x:f>
        <x:v>No</x:v>
      </x:c>
      <x:c r="AJ2246" s="1" t="str">
        <x:f>IF(I2246=0,"No",IF(COUNT(INDEX('Staff Review'!$F$8:$F$507,I2246))&lt;&gt;1,"No",IF(AND(INDEX('Staff Review'!$F$8:$F$507,I2246)&gt;=0,MOD(INDEX('Staff Review'!$F$8:$F$507,I2246),1)=0,COUNT(INDEX('Staff Review'!$G$8:$G$507,I2246))=1,INDEX('Staff Review'!$G$8:$G$507,I2246)&gt;0,INDEX('Staff Review'!$G$8:$G$507,I2246)&lt;='Top 15'!$E$5,'Top 15'!$E$5-INDEX('Staff Review'!$G$8:$G$507,I2246)&lt;='Top 15'!$H$5,LEN(INDEX('Staff Review'!$H$8:$H$507,I2246))&gt;0),"Yes","No")))</x:f>
        <x:v>No</x:v>
      </x:c>
      <x:c r="AK2246" s="1" t="n">
        <x:f>IF(A2246="",0,COUNTIFS($A$2:$A$501,A2246))</x:f>
        <x:v>1</x:v>
      </x:c>
      <x:c r="AL2246" s="1" t="n">
        <x:f>IF(V2246="Candidate",1,0)</x:f>
        <x:v>1</x:v>
      </x:c>
      <x:c r="AM2246" s="1" t="n">
        <x:f>IF(A2246="",0,VALUE(A2246))</x:f>
        <x:v>5330</x:v>
      </x:c>
      <x:c r="AN2246" s="1" t="n">
        <x:f>IF(OR(A2246="",COUNTIFS($T$41:$T$540,A2246)&lt;&gt;1),0,MATCH(A2246,$T$41:$T$540,0))</x:f>
        <x:v>196</x:v>
      </x:c>
      <x:c r="AO2246" t="n">
        <x:f>IF(ISNUMBER(W2246),W2246,10000+AM2246)</x:f>
        <x:v>94</x:v>
      </x:c>
    </x:row>
    <x:row r="2247" ht="22" customHeight="1">
      <x:c r="A2247" s="1" t="str">
        <x:f>IF(A198="","",A198)</x:f>
        <x:v>5340</x:v>
      </x:c>
      <x:c r="B2247" s="1" t="str">
        <x:f>IF(A2247="","",B198)</x:f>
        <x:v>James R. Ludlow School</x:v>
      </x:c>
      <x:c r="C2247" s="1" t="str">
        <x:f>IF(A2247="","",C198)</x:f>
        <x:v>District</x:v>
      </x:c>
      <x:c r="D2247" s="1" t="str">
        <x:f>IF(A2247="","",E198)</x:f>
        <x:v>Elementary-Middle</x:v>
      </x:c>
      <x:c r="E2247" s="1" t="str">
        <x:f>IF(A2247="","",H198)</x:f>
        <x:v>19122</x:v>
      </x:c>
      <x:c r="F2247" s="1" t="n">
        <x:f>IF(ISNUMBER(K198),K198,"")</x:f>
        <x:v>237</x:v>
      </x:c>
      <x:c r="G2247" s="1" t="n">
        <x:f>IF(ISNUMBER(L198),L198,"")</x:f>
        <x:v>0.8649</x:v>
      </x:c>
      <x:c r="H2247" s="1" t="str">
        <x:f>IF(A2247="","",IF(AND(UPPER(G198)="PHILADELPHIA",OR(C2247="District",AND(C2247="Charter",D198="Yes"))),"Yes","No"))</x:f>
        <x:v>Yes</x:v>
      </x:c>
      <x:c r="I2247" s="1" t="n">
        <x:f>IF(OR(A2247="",COUNTIFS('Staff Review'!$A$8:$A$507,A2247)&lt;&gt;1),0,MATCH(A2247,'Staff Review'!$A$8:$A$507,0))</x:f>
        <x:v>130</x:v>
      </x:c>
      <x:c r="J2247" s="1" t="str">
        <x:f>IF(I2247=0,"No",IF(INDEX('Staff Review'!$C$8:$C$507,I2247)="Yes","Yes","No"))</x:f>
        <x:v>No</x:v>
      </x:c>
      <x:c r="K2247" s="1" t="n">
        <x:f>IF(AI2247="Yes",INDEX('Staff Review'!$D$8:$D$507,I2247),IF(AB2247=0,"",IF(COUNT(INDEX($C$1531:$C$2030,AB2247))=1,INDEX($C$1531:$C$2030,AB2247),"")))</x:f>
        <x:v>0.419786143017218</x:v>
      </x:c>
      <x:c r="L2247" s="1" t="n">
        <x:f>IF(AJ2247="Yes",INDEX('Staff Review'!$F$8:$F$507,I2247),IF(AB2247=0,"",IF(COUNT(INDEX($G$1531:$G$2030,AB2247))=1,INDEX($G$1531:$G$2030,AB2247),"")))</x:f>
        <x:v>13</x:v>
      </x:c>
      <x:c r="M2247" s="1" t="str">
        <x:f>IF(A2247="","",IF(AI2247="Yes","Verified","Listed"))</x:f>
        <x:v>Listed</x:v>
      </x:c>
      <x:c r="N2247" s="1" t="str">
        <x:f>IF(A2247="","",IF(AJ2247="Yes","Verified","Listed"))</x:f>
        <x:v>Listed</x:v>
      </x:c>
      <x:c r="O2247" s="1" t="n">
        <x:f>IF(AND(ISNUMBER(G2247),G2247&gt;=0,G2247&lt;=1),IF(G2247&gt;=0.9,30,IF(G2247&gt;=0.8,25,IF(G2247&gt;=0.7,20,IF(G2247&gt;=0.6,15,IF(G2247&gt;=0.5,10,IF(G2247&gt;=0.4,5,0)))))),"")</x:f>
        <x:v>25</x:v>
      </x:c>
      <x:c r="P2247" s="1" t="n">
        <x:f>IF(ISNUMBER(K2247),IF(K2247&lt;0,"",IF(K2247&gt;1,25,IF(K2247&gt;=0.75,20,IF(K2247&gt;=0.5,15,IF(K2247&gt;=0.25,10,5))))),"")</x:f>
        <x:v>10</x:v>
      </x:c>
      <x:c r="Q2247" s="1" t="n">
        <x:f>IF(NOT(ISNUMBER(L2247)),"",IF(AND(L2247&gt;=0,MOD(L2247,1)=0),MAX(0,25-5*L2247),""))</x:f>
        <x:v>0</x:v>
      </x:c>
      <x:c r="R2247" s="1" t="n">
        <x:f>IF(NOT(ISNUMBER(F2247)),"",IF(AND(F2247&gt;0,MOD(F2247,1)=0),IF(F2247&gt;=700,5,IF(F2247&gt;=500,4,IF(F2247&gt;=350,3,IF(F2247&gt;=200,2,1)))),""))</x:f>
        <x:v>2</x:v>
      </x:c>
      <x:c r="S2247" s="1" t="n">
        <x:f>IF(COUNT(O2247:R2247)=4,SUM(O2247:R2247),"")</x:f>
        <x:v>37</x:v>
      </x:c>
      <x:c r="T2247" s="1" t="n">
        <x:f>IF(OR(COUNT(O2247:R2247)&lt;&gt;4,COUNT('Top 15'!$B$35:$E$35)&lt;&gt;4,MIN('Top 15'!$B$35:$E$35)&lt;0,SUM('Top 15'!$B$35:$E$35)&lt;=0),"",ROUND(85*(O2247/30*'Top 15'!$B$35+P2247/25*'Top 15'!$C$35+Q2247/25*'Top 15'!$D$35+R2247/5*'Top 15'!$E$35)/SUM('Top 15'!$B$35:$E$35),6))</x:f>
        <x:v>37</x:v>
      </x:c>
      <x:c r="U2247" s="1" t="str">
        <x:f>IF(A2247="","",IF(AND(M2247="Verified",N2247="Verified"),"Verified",IF(AND(M2247="Listed",N2247="Listed"),"Listed","Mixed")))</x:f>
        <x:v>Listed</x:v>
      </x:c>
      <x:c r="V2247" s="1" t="str">
        <x:f>IF(A2247="","",IF(AK2247&lt;&gt;1,"Duplicate source ID",IF(COUNTIFS('Staff Review'!$A$8:$A$507,A2247)&gt;1,"Duplicate review ID",IF(H2247&lt;&gt;"Yes","Outside scope",IF(J2247="Yes","Already served",IF(NOT(ISNUMBER(T2247)),"Missing data","Candidate"))))))</x:f>
        <x:v>Candidate</x:v>
      </x:c>
      <x:c r="W2247" s="1" t="n">
        <x:f>IF(AL2247=0,"",1+COUNTIFS($AL$2051:$AL$2550,1,$T$2051:$T$2550,"&gt;"&amp;T2247)+COUNTIFS($AL$2051:$AL$2550,1,$T$2051:$T$2550,T2247,$G$2051:$G$2550,"&gt;"&amp;G2247)+COUNTIFS($AL$2051:$AL$2550,1,$T$2051:$T$2550,T2247,$G$2051:$G$2550,G2247,$F$2051:$F$2550,"&gt;"&amp;F2247)+COUNTIFS($AL$2051:$AL$2550,1,$T$2051:$T$2550,T2247,$G$2051:$G$2550,G2247,$F$2051:$F$2550,F2247,$AM$2051:$AM$2550,"&lt;"&amp;AM2247))</x:f>
        <x:v>194</x:v>
      </x:c>
      <x:c r="X2247" s="1" t="n">
        <x:f>IF(AL2247=0,"",1+COUNTIFS($AL$2051:$AL$2550,1,$T$2051:$T$2550,"&gt;"&amp;T2247))</x:f>
        <x:v>182</x:v>
      </x:c>
      <x:c r="Y2247" s="1" t="n">
        <x:f>IF(AND(H2247="Yes",OR(LEN('School Search'!$B$5)=0,ISNUMBER(SEARCH('School Search'!$B$5,B2247&amp;" "&amp;E2247&amp;" "&amp;A2247))),OR('School Search'!$D$5="All",C2247='School Search'!$D$5),OR('School Search'!$G$5="All eligible",AND('School Search'!$G$5="Not marked served",J2247&lt;&gt;"Yes"),AND('School Search'!$G$5="Missing data",V2247="Missing data"),AND('School Search'!$G$5="Marked served",J2247="Yes"))),1,0)</x:f>
        <x:v>1</x:v>
      </x:c>
      <x:c r="Z2247" s="1" t="n">
        <x:f>IF(Y2247=0,"",COUNTIFS($Y$2051:$Y$2550,1,$AO$2051:$AO$2550,"&lt;"&amp;AO2247)+COUNTIFS($Y$2051:Y2247,1,$AO$2051:AO2247,AO2247))</x:f>
        <x:v>194</x:v>
      </x:c>
      <x:c r="AA2247" s="1" t="str">
        <x:f>IF(NOT(ISNUMBER(S2247)),"Missing demographic or access input",TEXT(G2247,"0%")&amp;" economic need; "&amp;TEXT(K2247,"0.00")&amp;" mi fresh access; "&amp;L2247&amp;" nearby resources")</x:f>
        <x:v>86% economic need; 0.42 mi fresh access; 13 nearby resources</x:v>
      </x:c>
      <x:c r="AB2247" s="1" t="n">
        <x:f>IF(OR(A2247="",COUNTIFS($A$1531:$A$2030,A2247)&lt;&gt;1),0,MATCH(A2247,$A$1531:$A$2030,0))</x:f>
        <x:v>197</x:v>
      </x:c>
      <x:c r="AC2247" s="1" t="str">
        <x:f>IF(AB2247=0,"",INDEX($E$1531:$E$2030,AB2247))</x:f>
        <x:v>Acme 0291</x:v>
      </x:c>
      <x:c r="AD2247" s="1" t="str">
        <x:f>IF(AB2247=0,"",INDEX($F$1531:$F$2030,AB2247))</x:f>
        <x:v>180 W Girard Ave, Philadelphia, PA, 19123</x:v>
      </x:c>
      <x:c r="AE2247" s="1" t="str">
        <x:f>IF(A2247="","",F198)</x:f>
        <x:v>550 W MASTER ST</x:v>
      </x:c>
      <x:c r="AF2247" s="1" t="n">
        <x:f>IF(ISNUMBER(I198),I198,"")</x:f>
        <x:v>39.972724</x:v>
      </x:c>
      <x:c r="AG2247" s="1" t="n">
        <x:f>IF(ISNUMBER(J198),J198,"")</x:f>
        <x:v>-75.145854</x:v>
      </x:c>
      <x:c r="AH2247" s="1" t="str">
        <x:f>IF(I2247=0,"Not contacted",IF(INDEX('Staff Review'!$J$8:$J$507,I2247)="","Not contacted",INDEX('Staff Review'!$J$8:$J$507,I2247)))</x:f>
        <x:v>Not contacted</x:v>
      </x:c>
      <x:c r="AI2247" s="1" t="str">
        <x:f>IF(I2247=0,"No",IF(AND(COUNT(INDEX('Staff Review'!$D$8:$D$507,I2247))=1,INDEX('Staff Review'!$D$8:$D$507,I2247)&gt;=0,COUNT(INDEX('Staff Review'!$E$8:$E$507,I2247))=1,INDEX('Staff Review'!$E$8:$E$507,I2247)&gt;0,INDEX('Staff Review'!$E$8:$E$507,I2247)&lt;='Top 15'!$E$5,'Top 15'!$E$5-INDEX('Staff Review'!$E$8:$E$507,I2247)&lt;='Top 15'!$H$5,LEN(INDEX('Staff Review'!$H$8:$H$507,I2247))&gt;0),"Yes","No"))</x:f>
        <x:v>No</x:v>
      </x:c>
      <x:c r="AJ2247" s="1" t="str">
        <x:f>IF(I2247=0,"No",IF(COUNT(INDEX('Staff Review'!$F$8:$F$507,I2247))&lt;&gt;1,"No",IF(AND(INDEX('Staff Review'!$F$8:$F$507,I2247)&gt;=0,MOD(INDEX('Staff Review'!$F$8:$F$507,I2247),1)=0,COUNT(INDEX('Staff Review'!$G$8:$G$507,I2247))=1,INDEX('Staff Review'!$G$8:$G$507,I2247)&gt;0,INDEX('Staff Review'!$G$8:$G$507,I2247)&lt;='Top 15'!$E$5,'Top 15'!$E$5-INDEX('Staff Review'!$G$8:$G$507,I2247)&lt;='Top 15'!$H$5,LEN(INDEX('Staff Review'!$H$8:$H$507,I2247))&gt;0),"Yes","No")))</x:f>
        <x:v>No</x:v>
      </x:c>
      <x:c r="AK2247" s="1" t="n">
        <x:f>IF(A2247="",0,COUNTIFS($A$2:$A$501,A2247))</x:f>
        <x:v>1</x:v>
      </x:c>
      <x:c r="AL2247" s="1" t="n">
        <x:f>IF(V2247="Candidate",1,0)</x:f>
        <x:v>1</x:v>
      </x:c>
      <x:c r="AM2247" s="1" t="n">
        <x:f>IF(A2247="",0,VALUE(A2247))</x:f>
        <x:v>5340</x:v>
      </x:c>
      <x:c r="AN2247" s="1" t="n">
        <x:f>IF(OR(A2247="",COUNTIFS($T$41:$T$540,A2247)&lt;&gt;1),0,MATCH(A2247,$T$41:$T$540,0))</x:f>
        <x:v>197</x:v>
      </x:c>
      <x:c r="AO2247" t="n">
        <x:f>IF(ISNUMBER(W2247),W2247,10000+AM2247)</x:f>
        <x:v>194</x:v>
      </x:c>
    </x:row>
    <x:row r="2248" ht="22" customHeight="1">
      <x:c r="A2248" s="1" t="str">
        <x:f>IF(A199="","",A199)</x:f>
        <x:v>5350</x:v>
      </x:c>
      <x:c r="B2248" s="1" t="str">
        <x:f>IF(A2248="","",B199)</x:f>
        <x:v>William McKinley School</x:v>
      </x:c>
      <x:c r="C2248" s="1" t="str">
        <x:f>IF(A2248="","",C199)</x:f>
        <x:v>District</x:v>
      </x:c>
      <x:c r="D2248" s="1" t="str">
        <x:f>IF(A2248="","",E199)</x:f>
        <x:v>Elementary-Middle</x:v>
      </x:c>
      <x:c r="E2248" s="1" t="str">
        <x:f>IF(A2248="","",H199)</x:f>
        <x:v>19122</x:v>
      </x:c>
      <x:c r="F2248" s="1" t="n">
        <x:f>IF(ISNUMBER(K199),K199,"")</x:f>
        <x:v>275</x:v>
      </x:c>
      <x:c r="G2248" s="1" t="n">
        <x:f>IF(ISNUMBER(L199),L199,"")</x:f>
        <x:v>0.8885</x:v>
      </x:c>
      <x:c r="H2248" s="1" t="str">
        <x:f>IF(A2248="","",IF(AND(UPPER(G199)="PHILADELPHIA",OR(C2248="District",AND(C2248="Charter",D199="Yes"))),"Yes","No"))</x:f>
        <x:v>Yes</x:v>
      </x:c>
      <x:c r="I2248" s="1" t="n">
        <x:f>IF(OR(A2248="",COUNTIFS('Staff Review'!$A$8:$A$507,A2248)&lt;&gt;1),0,MATCH(A2248,'Staff Review'!$A$8:$A$507,0))</x:f>
        <x:v>322</x:v>
      </x:c>
      <x:c r="J2248" s="1" t="str">
        <x:f>IF(I2248=0,"No",IF(INDEX('Staff Review'!$C$8:$C$507,I2248)="Yes","Yes","No"))</x:f>
        <x:v>No</x:v>
      </x:c>
      <x:c r="K2248" s="1" t="n">
        <x:f>IF(AI2248="Yes",INDEX('Staff Review'!$D$8:$D$507,I2248),IF(AB2248=0,"",IF(COUNT(INDEX($C$1531:$C$2030,AB2248))=1,INDEX($C$1531:$C$2030,AB2248),"")))</x:f>
        <x:v>0.17660905495101062</x:v>
      </x:c>
      <x:c r="L2248" s="1" t="n">
        <x:f>IF(AJ2248="Yes",INDEX('Staff Review'!$F$8:$F$507,I2248),IF(AB2248=0,"",IF(COUNT(INDEX($G$1531:$G$2030,AB2248))=1,INDEX($G$1531:$G$2030,AB2248),"")))</x:f>
        <x:v>14</x:v>
      </x:c>
      <x:c r="M2248" s="1" t="str">
        <x:f>IF(A2248="","",IF(AI2248="Yes","Verified","Listed"))</x:f>
        <x:v>Listed</x:v>
      </x:c>
      <x:c r="N2248" s="1" t="str">
        <x:f>IF(A2248="","",IF(AJ2248="Yes","Verified","Listed"))</x:f>
        <x:v>Listed</x:v>
      </x:c>
      <x:c r="O2248" s="1" t="n">
        <x:f>IF(AND(ISNUMBER(G2248),G2248&gt;=0,G2248&lt;=1),IF(G2248&gt;=0.9,30,IF(G2248&gt;=0.8,25,IF(G2248&gt;=0.7,20,IF(G2248&gt;=0.6,15,IF(G2248&gt;=0.5,10,IF(G2248&gt;=0.4,5,0)))))),"")</x:f>
        <x:v>25</x:v>
      </x:c>
      <x:c r="P2248" s="1" t="n">
        <x:f>IF(ISNUMBER(K2248),IF(K2248&lt;0,"",IF(K2248&gt;1,25,IF(K2248&gt;=0.75,20,IF(K2248&gt;=0.5,15,IF(K2248&gt;=0.25,10,5))))),"")</x:f>
        <x:v>5</x:v>
      </x:c>
      <x:c r="Q2248" s="1" t="n">
        <x:f>IF(NOT(ISNUMBER(L2248)),"",IF(AND(L2248&gt;=0,MOD(L2248,1)=0),MAX(0,25-5*L2248),""))</x:f>
        <x:v>0</x:v>
      </x:c>
      <x:c r="R2248" s="1" t="n">
        <x:f>IF(NOT(ISNUMBER(F2248)),"",IF(AND(F2248&gt;0,MOD(F2248,1)=0),IF(F2248&gt;=700,5,IF(F2248&gt;=500,4,IF(F2248&gt;=350,3,IF(F2248&gt;=200,2,1)))),""))</x:f>
        <x:v>2</x:v>
      </x:c>
      <x:c r="S2248" s="1" t="n">
        <x:f>IF(COUNT(O2248:R2248)=4,SUM(O2248:R2248),"")</x:f>
        <x:v>32</x:v>
      </x:c>
      <x:c r="T2248" s="1" t="n">
        <x:f>IF(OR(COUNT(O2248:R2248)&lt;&gt;4,COUNT('Top 15'!$B$35:$E$35)&lt;&gt;4,MIN('Top 15'!$B$35:$E$35)&lt;0,SUM('Top 15'!$B$35:$E$35)&lt;=0),"",ROUND(85*(O2248/30*'Top 15'!$B$35+P2248/25*'Top 15'!$C$35+Q2248/25*'Top 15'!$D$35+R2248/5*'Top 15'!$E$35)/SUM('Top 15'!$B$35:$E$35),6))</x:f>
        <x:v>32</x:v>
      </x:c>
      <x:c r="U2248" s="1" t="str">
        <x:f>IF(A2248="","",IF(AND(M2248="Verified",N2248="Verified"),"Verified",IF(AND(M2248="Listed",N2248="Listed"),"Listed","Mixed")))</x:f>
        <x:v>Listed</x:v>
      </x:c>
      <x:c r="V2248" s="1" t="str">
        <x:f>IF(A2248="","",IF(AK2248&lt;&gt;1,"Duplicate source ID",IF(COUNTIFS('Staff Review'!$A$8:$A$507,A2248)&gt;1,"Duplicate review ID",IF(H2248&lt;&gt;"Yes","Outside scope",IF(J2248="Yes","Already served",IF(NOT(ISNUMBER(T2248)),"Missing data","Candidate"))))))</x:f>
        <x:v>Candidate</x:v>
      </x:c>
      <x:c r="W2248" s="1" t="n">
        <x:f>IF(AL2248=0,"",1+COUNTIFS($AL$2051:$AL$2550,1,$T$2051:$T$2550,"&gt;"&amp;T2248)+COUNTIFS($AL$2051:$AL$2550,1,$T$2051:$T$2550,T2248,$G$2051:$G$2550,"&gt;"&amp;G2248)+COUNTIFS($AL$2051:$AL$2550,1,$T$2051:$T$2550,T2248,$G$2051:$G$2550,G2248,$F$2051:$F$2550,"&gt;"&amp;F2248)+COUNTIFS($AL$2051:$AL$2550,1,$T$2051:$T$2550,T2248,$G$2051:$G$2550,G2248,$F$2051:$F$2550,F2248,$AM$2051:$AM$2550,"&lt;"&amp;AM2248))</x:f>
        <x:v>244</x:v>
      </x:c>
      <x:c r="X2248" s="1" t="n">
        <x:f>IF(AL2248=0,"",1+COUNTIFS($AL$2051:$AL$2550,1,$T$2051:$T$2550,"&gt;"&amp;T2248))</x:f>
        <x:v>243</x:v>
      </x:c>
      <x:c r="Y2248" s="1" t="n">
        <x:f>IF(AND(H2248="Yes",OR(LEN('School Search'!$B$5)=0,ISNUMBER(SEARCH('School Search'!$B$5,B2248&amp;" "&amp;E2248&amp;" "&amp;A2248))),OR('School Search'!$D$5="All",C2248='School Search'!$D$5),OR('School Search'!$G$5="All eligible",AND('School Search'!$G$5="Not marked served",J2248&lt;&gt;"Yes"),AND('School Search'!$G$5="Missing data",V2248="Missing data"),AND('School Search'!$G$5="Marked served",J2248="Yes"))),1,0)</x:f>
        <x:v>1</x:v>
      </x:c>
      <x:c r="Z2248" s="1" t="n">
        <x:f>IF(Y2248=0,"",COUNTIFS($Y$2051:$Y$2550,1,$AO$2051:$AO$2550,"&lt;"&amp;AO2248)+COUNTIFS($Y$2051:Y2248,1,$AO$2051:AO2248,AO2248))</x:f>
        <x:v>244</x:v>
      </x:c>
      <x:c r="AA2248" s="1" t="str">
        <x:f>IF(NOT(ISNUMBER(S2248)),"Missing demographic or access input",TEXT(G2248,"0%")&amp;" economic need; "&amp;TEXT(K2248,"0.00")&amp;" mi fresh access; "&amp;L2248&amp;" nearby resources")</x:f>
        <x:v>89% economic need; 0.18 mi fresh access; 14 nearby resources</x:v>
      </x:c>
      <x:c r="AB2248" s="1" t="n">
        <x:f>IF(OR(A2248="",COUNTIFS($A$1531:$A$2030,A2248)&lt;&gt;1),0,MATCH(A2248,$A$1531:$A$2030,0))</x:f>
        <x:v>198</x:v>
      </x:c>
      <x:c r="AC2248" s="1" t="str">
        <x:f>IF(AB2248=0,"",INDEX($E$1531:$E$2030,AB2248))</x:f>
        <x:v>Cousins Supermarket Inc 1</x:v>
      </x:c>
      <x:c r="AD2248" s="1" t="str">
        <x:f>IF(AB2248=0,"",INDEX($F$1531:$F$2030,AB2248))</x:f>
        <x:v>1943 N 6th St, Philadelphia, PA, 19122</x:v>
      </x:c>
      <x:c r="AE2248" s="1" t="str">
        <x:f>IF(A2248="","",F199)</x:f>
        <x:v>2101 N ORKNEY ST</x:v>
      </x:c>
      <x:c r="AF2248" s="1" t="n">
        <x:f>IF(ISNUMBER(I199),I199,"")</x:f>
        <x:v>39.9827686</x:v>
      </x:c>
      <x:c r="AG2248" s="1" t="n">
        <x:f>IF(ISNUMBER(J199),J199,"")</x:f>
        <x:v>-75.14165528</x:v>
      </x:c>
      <x:c r="AH2248" s="1" t="str">
        <x:f>IF(I2248=0,"Not contacted",IF(INDEX('Staff Review'!$J$8:$J$507,I2248)="","Not contacted",INDEX('Staff Review'!$J$8:$J$507,I2248)))</x:f>
        <x:v>Not contacted</x:v>
      </x:c>
      <x:c r="AI2248" s="1" t="str">
        <x:f>IF(I2248=0,"No",IF(AND(COUNT(INDEX('Staff Review'!$D$8:$D$507,I2248))=1,INDEX('Staff Review'!$D$8:$D$507,I2248)&gt;=0,COUNT(INDEX('Staff Review'!$E$8:$E$507,I2248))=1,INDEX('Staff Review'!$E$8:$E$507,I2248)&gt;0,INDEX('Staff Review'!$E$8:$E$507,I2248)&lt;='Top 15'!$E$5,'Top 15'!$E$5-INDEX('Staff Review'!$E$8:$E$507,I2248)&lt;='Top 15'!$H$5,LEN(INDEX('Staff Review'!$H$8:$H$507,I2248))&gt;0),"Yes","No"))</x:f>
        <x:v>No</x:v>
      </x:c>
      <x:c r="AJ2248" s="1" t="str">
        <x:f>IF(I2248=0,"No",IF(COUNT(INDEX('Staff Review'!$F$8:$F$507,I2248))&lt;&gt;1,"No",IF(AND(INDEX('Staff Review'!$F$8:$F$507,I2248)&gt;=0,MOD(INDEX('Staff Review'!$F$8:$F$507,I2248),1)=0,COUNT(INDEX('Staff Review'!$G$8:$G$507,I2248))=1,INDEX('Staff Review'!$G$8:$G$507,I2248)&gt;0,INDEX('Staff Review'!$G$8:$G$507,I2248)&lt;='Top 15'!$E$5,'Top 15'!$E$5-INDEX('Staff Review'!$G$8:$G$507,I2248)&lt;='Top 15'!$H$5,LEN(INDEX('Staff Review'!$H$8:$H$507,I2248))&gt;0),"Yes","No")))</x:f>
        <x:v>No</x:v>
      </x:c>
      <x:c r="AK2248" s="1" t="n">
        <x:f>IF(A2248="",0,COUNTIFS($A$2:$A$501,A2248))</x:f>
        <x:v>1</x:v>
      </x:c>
      <x:c r="AL2248" s="1" t="n">
        <x:f>IF(V2248="Candidate",1,0)</x:f>
        <x:v>1</x:v>
      </x:c>
      <x:c r="AM2248" s="1" t="n">
        <x:f>IF(A2248="",0,VALUE(A2248))</x:f>
        <x:v>5350</x:v>
      </x:c>
      <x:c r="AN2248" s="1" t="n">
        <x:f>IF(OR(A2248="",COUNTIFS($T$41:$T$540,A2248)&lt;&gt;1),0,MATCH(A2248,$T$41:$T$540,0))</x:f>
        <x:v>198</x:v>
      </x:c>
      <x:c r="AO2248" t="n">
        <x:f>IF(ISNUMBER(W2248),W2248,10000+AM2248)</x:f>
        <x:v>244</x:v>
      </x:c>
    </x:row>
    <x:row r="2249" ht="22" customHeight="1">
      <x:c r="A2249" s="1" t="str">
        <x:f>IF(A200="","",A200)</x:f>
        <x:v>5370</x:v>
      </x:c>
      <x:c r="B2249" s="1" t="str">
        <x:f>IF(A2249="","",B200)</x:f>
        <x:v>John Moffet School</x:v>
      </x:c>
      <x:c r="C2249" s="1" t="str">
        <x:f>IF(A2249="","",C200)</x:f>
        <x:v>District</x:v>
      </x:c>
      <x:c r="D2249" s="1" t="str">
        <x:f>IF(A2249="","",E200)</x:f>
        <x:v>Elementary</x:v>
      </x:c>
      <x:c r="E2249" s="1" t="str">
        <x:f>IF(A2249="","",H200)</x:f>
        <x:v>19122</x:v>
      </x:c>
      <x:c r="F2249" s="1" t="n">
        <x:f>IF(ISNUMBER(K200),K200,"")</x:f>
        <x:v>212</x:v>
      </x:c>
      <x:c r="G2249" s="1" t="n">
        <x:f>IF(ISNUMBER(L200),L200,"")</x:f>
        <x:v>0.5781</x:v>
      </x:c>
      <x:c r="H2249" s="1" t="str">
        <x:f>IF(A2249="","",IF(AND(UPPER(G200)="PHILADELPHIA",OR(C2249="District",AND(C2249="Charter",D200="Yes"))),"Yes","No"))</x:f>
        <x:v>Yes</x:v>
      </x:c>
      <x:c r="I2249" s="1" t="n">
        <x:f>IF(OR(A2249="",COUNTIFS('Staff Review'!$A$8:$A$507,A2249)&lt;&gt;1),0,MATCH(A2249,'Staff Review'!$A$8:$A$507,0))</x:f>
        <x:v>143</x:v>
      </x:c>
      <x:c r="J2249" s="1" t="str">
        <x:f>IF(I2249=0,"No",IF(INDEX('Staff Review'!$C$8:$C$507,I2249)="Yes","Yes","No"))</x:f>
        <x:v>No</x:v>
      </x:c>
      <x:c r="K2249" s="1" t="n">
        <x:f>IF(AI2249="Yes",INDEX('Staff Review'!$D$8:$D$507,I2249),IF(AB2249=0,"",IF(COUNT(INDEX($C$1531:$C$2030,AB2249))=1,INDEX($C$1531:$C$2030,AB2249),"")))</x:f>
        <x:v>0.3328580538926092</x:v>
      </x:c>
      <x:c r="L2249" s="1" t="n">
        <x:f>IF(AJ2249="Yes",INDEX('Staff Review'!$F$8:$F$507,I2249),IF(AB2249=0,"",IF(COUNT(INDEX($G$1531:$G$2030,AB2249))=1,INDEX($G$1531:$G$2030,AB2249),"")))</x:f>
        <x:v>7</x:v>
      </x:c>
      <x:c r="M2249" s="1" t="str">
        <x:f>IF(A2249="","",IF(AI2249="Yes","Verified","Listed"))</x:f>
        <x:v>Listed</x:v>
      </x:c>
      <x:c r="N2249" s="1" t="str">
        <x:f>IF(A2249="","",IF(AJ2249="Yes","Verified","Listed"))</x:f>
        <x:v>Listed</x:v>
      </x:c>
      <x:c r="O2249" s="1" t="n">
        <x:f>IF(AND(ISNUMBER(G2249),G2249&gt;=0,G2249&lt;=1),IF(G2249&gt;=0.9,30,IF(G2249&gt;=0.8,25,IF(G2249&gt;=0.7,20,IF(G2249&gt;=0.6,15,IF(G2249&gt;=0.5,10,IF(G2249&gt;=0.4,5,0)))))),"")</x:f>
        <x:v>10</x:v>
      </x:c>
      <x:c r="P2249" s="1" t="n">
        <x:f>IF(ISNUMBER(K2249),IF(K2249&lt;0,"",IF(K2249&gt;1,25,IF(K2249&gt;=0.75,20,IF(K2249&gt;=0.5,15,IF(K2249&gt;=0.25,10,5))))),"")</x:f>
        <x:v>10</x:v>
      </x:c>
      <x:c r="Q2249" s="1" t="n">
        <x:f>IF(NOT(ISNUMBER(L2249)),"",IF(AND(L2249&gt;=0,MOD(L2249,1)=0),MAX(0,25-5*L2249),""))</x:f>
        <x:v>0</x:v>
      </x:c>
      <x:c r="R2249" s="1" t="n">
        <x:f>IF(NOT(ISNUMBER(F2249)),"",IF(AND(F2249&gt;0,MOD(F2249,1)=0),IF(F2249&gt;=700,5,IF(F2249&gt;=500,4,IF(F2249&gt;=350,3,IF(F2249&gt;=200,2,1)))),""))</x:f>
        <x:v>2</x:v>
      </x:c>
      <x:c r="S2249" s="1" t="n">
        <x:f>IF(COUNT(O2249:R2249)=4,SUM(O2249:R2249),"")</x:f>
        <x:v>22</x:v>
      </x:c>
      <x:c r="T2249" s="1" t="n">
        <x:f>IF(OR(COUNT(O2249:R2249)&lt;&gt;4,COUNT('Top 15'!$B$35:$E$35)&lt;&gt;4,MIN('Top 15'!$B$35:$E$35)&lt;0,SUM('Top 15'!$B$35:$E$35)&lt;=0),"",ROUND(85*(O2249/30*'Top 15'!$B$35+P2249/25*'Top 15'!$C$35+Q2249/25*'Top 15'!$D$35+R2249/5*'Top 15'!$E$35)/SUM('Top 15'!$B$35:$E$35),6))</x:f>
        <x:v>22</x:v>
      </x:c>
      <x:c r="U2249" s="1" t="str">
        <x:f>IF(A2249="","",IF(AND(M2249="Verified",N2249="Verified"),"Verified",IF(AND(M2249="Listed",N2249="Listed"),"Listed","Mixed")))</x:f>
        <x:v>Listed</x:v>
      </x:c>
      <x:c r="V2249" s="1" t="str">
        <x:f>IF(A2249="","",IF(AK2249&lt;&gt;1,"Duplicate source ID",IF(COUNTIFS('Staff Review'!$A$8:$A$507,A2249)&gt;1,"Duplicate review ID",IF(H2249&lt;&gt;"Yes","Outside scope",IF(J2249="Yes","Already served",IF(NOT(ISNUMBER(T2249)),"Missing data","Candidate"))))))</x:f>
        <x:v>Candidate</x:v>
      </x:c>
      <x:c r="W2249" s="1" t="n">
        <x:f>IF(AL2249=0,"",1+COUNTIFS($AL$2051:$AL$2550,1,$T$2051:$T$2550,"&gt;"&amp;T2249)+COUNTIFS($AL$2051:$AL$2550,1,$T$2051:$T$2550,T2249,$G$2051:$G$2550,"&gt;"&amp;G2249)+COUNTIFS($AL$2051:$AL$2550,1,$T$2051:$T$2550,T2249,$G$2051:$G$2550,G2249,$F$2051:$F$2550,"&gt;"&amp;F2249)+COUNTIFS($AL$2051:$AL$2550,1,$T$2051:$T$2550,T2249,$G$2051:$G$2550,G2249,$F$2051:$F$2550,F2249,$AM$2051:$AM$2550,"&lt;"&amp;AM2249))</x:f>
        <x:v>278</x:v>
      </x:c>
      <x:c r="X2249" s="1" t="n">
        <x:f>IF(AL2249=0,"",1+COUNTIFS($AL$2051:$AL$2550,1,$T$2051:$T$2550,"&gt;"&amp;T2249))</x:f>
        <x:v>278</x:v>
      </x:c>
      <x:c r="Y2249" s="1" t="n">
        <x:f>IF(AND(H2249="Yes",OR(LEN('School Search'!$B$5)=0,ISNUMBER(SEARCH('School Search'!$B$5,B2249&amp;" "&amp;E2249&amp;" "&amp;A2249))),OR('School Search'!$D$5="All",C2249='School Search'!$D$5),OR('School Search'!$G$5="All eligible",AND('School Search'!$G$5="Not marked served",J2249&lt;&gt;"Yes"),AND('School Search'!$G$5="Missing data",V2249="Missing data"),AND('School Search'!$G$5="Marked served",J2249="Yes"))),1,0)</x:f>
        <x:v>1</x:v>
      </x:c>
      <x:c r="Z2249" s="1" t="n">
        <x:f>IF(Y2249=0,"",COUNTIFS($Y$2051:$Y$2550,1,$AO$2051:$AO$2550,"&lt;"&amp;AO2249)+COUNTIFS($Y$2051:Y2249,1,$AO$2051:AO2249,AO2249))</x:f>
        <x:v>278</x:v>
      </x:c>
      <x:c r="AA2249" s="1" t="str">
        <x:f>IF(NOT(ISNUMBER(S2249)),"Missing demographic or access input",TEXT(G2249,"0%")&amp;" economic need; "&amp;TEXT(K2249,"0.00")&amp;" mi fresh access; "&amp;L2249&amp;" nearby resources")</x:f>
        <x:v>58% economic need; 0.33 mi fresh access; 7 nearby resources</x:v>
      </x:c>
      <x:c r="AB2249" s="1" t="n">
        <x:f>IF(OR(A2249="",COUNTIFS($A$1531:$A$2030,A2249)&lt;&gt;1),0,MATCH(A2249,$A$1531:$A$2030,0))</x:f>
        <x:v>199</x:v>
      </x:c>
      <x:c r="AC2249" s="1" t="str">
        <x:f>IF(AB2249=0,"",INDEX($E$1531:$E$2030,AB2249))</x:f>
        <x:v>Grocery Outlet of Fishtown 738</x:v>
      </x:c>
      <x:c r="AD2249" s="1" t="str">
        <x:f>IF(AB2249=0,"",INDEX($F$1531:$F$2030,AB2249))</x:f>
        <x:v>1801 N American St, Philadelphia, PA, 19122</x:v>
      </x:c>
      <x:c r="AE2249" s="1" t="str">
        <x:f>IF(A2249="","",F200)</x:f>
        <x:v>127 W OXFORD ST</x:v>
      </x:c>
      <x:c r="AF2249" s="1" t="n">
        <x:f>IF(ISNUMBER(I200),I200,"")</x:f>
        <x:v>39.97439362</x:v>
      </x:c>
      <x:c r="AG2249" s="1" t="n">
        <x:f>IF(ISNUMBER(J200),J200,"")</x:f>
        <x:v>-75.13498462</x:v>
      </x:c>
      <x:c r="AH2249" s="1" t="str">
        <x:f>IF(I2249=0,"Not contacted",IF(INDEX('Staff Review'!$J$8:$J$507,I2249)="","Not contacted",INDEX('Staff Review'!$J$8:$J$507,I2249)))</x:f>
        <x:v>Not contacted</x:v>
      </x:c>
      <x:c r="AI2249" s="1" t="str">
        <x:f>IF(I2249=0,"No",IF(AND(COUNT(INDEX('Staff Review'!$D$8:$D$507,I2249))=1,INDEX('Staff Review'!$D$8:$D$507,I2249)&gt;=0,COUNT(INDEX('Staff Review'!$E$8:$E$507,I2249))=1,INDEX('Staff Review'!$E$8:$E$507,I2249)&gt;0,INDEX('Staff Review'!$E$8:$E$507,I2249)&lt;='Top 15'!$E$5,'Top 15'!$E$5-INDEX('Staff Review'!$E$8:$E$507,I2249)&lt;='Top 15'!$H$5,LEN(INDEX('Staff Review'!$H$8:$H$507,I2249))&gt;0),"Yes","No"))</x:f>
        <x:v>No</x:v>
      </x:c>
      <x:c r="AJ2249" s="1" t="str">
        <x:f>IF(I2249=0,"No",IF(COUNT(INDEX('Staff Review'!$F$8:$F$507,I2249))&lt;&gt;1,"No",IF(AND(INDEX('Staff Review'!$F$8:$F$507,I2249)&gt;=0,MOD(INDEX('Staff Review'!$F$8:$F$507,I2249),1)=0,COUNT(INDEX('Staff Review'!$G$8:$G$507,I2249))=1,INDEX('Staff Review'!$G$8:$G$507,I2249)&gt;0,INDEX('Staff Review'!$G$8:$G$507,I2249)&lt;='Top 15'!$E$5,'Top 15'!$E$5-INDEX('Staff Review'!$G$8:$G$507,I2249)&lt;='Top 15'!$H$5,LEN(INDEX('Staff Review'!$H$8:$H$507,I2249))&gt;0),"Yes","No")))</x:f>
        <x:v>No</x:v>
      </x:c>
      <x:c r="AK2249" s="1" t="n">
        <x:f>IF(A2249="",0,COUNTIFS($A$2:$A$501,A2249))</x:f>
        <x:v>1</x:v>
      </x:c>
      <x:c r="AL2249" s="1" t="n">
        <x:f>IF(V2249="Candidate",1,0)</x:f>
        <x:v>1</x:v>
      </x:c>
      <x:c r="AM2249" s="1" t="n">
        <x:f>IF(A2249="",0,VALUE(A2249))</x:f>
        <x:v>5370</x:v>
      </x:c>
      <x:c r="AN2249" s="1" t="n">
        <x:f>IF(OR(A2249="",COUNTIFS($T$41:$T$540,A2249)&lt;&gt;1),0,MATCH(A2249,$T$41:$T$540,0))</x:f>
        <x:v>199</x:v>
      </x:c>
      <x:c r="AO2249" t="n">
        <x:f>IF(ISNUMBER(W2249),W2249,10000+AM2249)</x:f>
        <x:v>278</x:v>
      </x:c>
    </x:row>
    <x:row r="2250" ht="22" customHeight="1">
      <x:c r="A2250" s="1" t="str">
        <x:f>IF(A201="","",A201)</x:f>
        <x:v>5390</x:v>
      </x:c>
      <x:c r="B2250" s="1" t="str">
        <x:f>IF(A2250="","",B201)</x:f>
        <x:v>Potter-Thomas School</x:v>
      </x:c>
      <x:c r="C2250" s="1" t="str">
        <x:f>IF(A2250="","",C201)</x:f>
        <x:v>District</x:v>
      </x:c>
      <x:c r="D2250" s="1" t="str">
        <x:f>IF(A2250="","",E201)</x:f>
        <x:v>Elementary-Middle</x:v>
      </x:c>
      <x:c r="E2250" s="1" t="str">
        <x:f>IF(A2250="","",H201)</x:f>
        <x:v>19133</x:v>
      </x:c>
      <x:c r="F2250" s="1" t="n">
        <x:f>IF(ISNUMBER(K201),K201,"")</x:f>
        <x:v>341</x:v>
      </x:c>
      <x:c r="G2250" s="1" t="n">
        <x:f>IF(ISNUMBER(L201),L201,"")</x:f>
        <x:v>0.9026</x:v>
      </x:c>
      <x:c r="H2250" s="1" t="str">
        <x:f>IF(A2250="","",IF(AND(UPPER(G201)="PHILADELPHIA",OR(C2250="District",AND(C2250="Charter",D201="Yes"))),"Yes","No"))</x:f>
        <x:v>Yes</x:v>
      </x:c>
      <x:c r="I2250" s="1" t="n">
        <x:f>IF(OR(A2250="",COUNTIFS('Staff Review'!$A$8:$A$507,A2250)&lt;&gt;1),0,MATCH(A2250,'Staff Review'!$A$8:$A$507,0))</x:f>
        <x:v>243</x:v>
      </x:c>
      <x:c r="J2250" s="1" t="str">
        <x:f>IF(I2250=0,"No",IF(INDEX('Staff Review'!$C$8:$C$507,I2250)="Yes","Yes","No"))</x:f>
        <x:v>No</x:v>
      </x:c>
      <x:c r="K2250" s="1" t="n">
        <x:f>IF(AI2250="Yes",INDEX('Staff Review'!$D$8:$D$507,I2250),IF(AB2250=0,"",IF(COUNT(INDEX($C$1531:$C$2030,AB2250))=1,INDEX($C$1531:$C$2030,AB2250),"")))</x:f>
        <x:v>0.2697738859457044</x:v>
      </x:c>
      <x:c r="L2250" s="1" t="n">
        <x:f>IF(AJ2250="Yes",INDEX('Staff Review'!$F$8:$F$507,I2250),IF(AB2250=0,"",IF(COUNT(INDEX($G$1531:$G$2030,AB2250))=1,INDEX($G$1531:$G$2030,AB2250),"")))</x:f>
        <x:v>13</x:v>
      </x:c>
      <x:c r="M2250" s="1" t="str">
        <x:f>IF(A2250="","",IF(AI2250="Yes","Verified","Listed"))</x:f>
        <x:v>Listed</x:v>
      </x:c>
      <x:c r="N2250" s="1" t="str">
        <x:f>IF(A2250="","",IF(AJ2250="Yes","Verified","Listed"))</x:f>
        <x:v>Listed</x:v>
      </x:c>
      <x:c r="O2250" s="1" t="n">
        <x:f>IF(AND(ISNUMBER(G2250),G2250&gt;=0,G2250&lt;=1),IF(G2250&gt;=0.9,30,IF(G2250&gt;=0.8,25,IF(G2250&gt;=0.7,20,IF(G2250&gt;=0.6,15,IF(G2250&gt;=0.5,10,IF(G2250&gt;=0.4,5,0)))))),"")</x:f>
        <x:v>30</x:v>
      </x:c>
      <x:c r="P2250" s="1" t="n">
        <x:f>IF(ISNUMBER(K2250),IF(K2250&lt;0,"",IF(K2250&gt;1,25,IF(K2250&gt;=0.75,20,IF(K2250&gt;=0.5,15,IF(K2250&gt;=0.25,10,5))))),"")</x:f>
        <x:v>10</x:v>
      </x:c>
      <x:c r="Q2250" s="1" t="n">
        <x:f>IF(NOT(ISNUMBER(L2250)),"",IF(AND(L2250&gt;=0,MOD(L2250,1)=0),MAX(0,25-5*L2250),""))</x:f>
        <x:v>0</x:v>
      </x:c>
      <x:c r="R2250" s="1" t="n">
        <x:f>IF(NOT(ISNUMBER(F2250)),"",IF(AND(F2250&gt;0,MOD(F2250,1)=0),IF(F2250&gt;=700,5,IF(F2250&gt;=500,4,IF(F2250&gt;=350,3,IF(F2250&gt;=200,2,1)))),""))</x:f>
        <x:v>2</x:v>
      </x:c>
      <x:c r="S2250" s="1" t="n">
        <x:f>IF(COUNT(O2250:R2250)=4,SUM(O2250:R2250),"")</x:f>
        <x:v>42</x:v>
      </x:c>
      <x:c r="T2250" s="1" t="n">
        <x:f>IF(OR(COUNT(O2250:R2250)&lt;&gt;4,COUNT('Top 15'!$B$35:$E$35)&lt;&gt;4,MIN('Top 15'!$B$35:$E$35)&lt;0,SUM('Top 15'!$B$35:$E$35)&lt;=0),"",ROUND(85*(O2250/30*'Top 15'!$B$35+P2250/25*'Top 15'!$C$35+Q2250/25*'Top 15'!$D$35+R2250/5*'Top 15'!$E$35)/SUM('Top 15'!$B$35:$E$35),6))</x:f>
        <x:v>42</x:v>
      </x:c>
      <x:c r="U2250" s="1" t="str">
        <x:f>IF(A2250="","",IF(AND(M2250="Verified",N2250="Verified"),"Verified",IF(AND(M2250="Listed",N2250="Listed"),"Listed","Mixed")))</x:f>
        <x:v>Listed</x:v>
      </x:c>
      <x:c r="V2250" s="1" t="str">
        <x:f>IF(A2250="","",IF(AK2250&lt;&gt;1,"Duplicate source ID",IF(COUNTIFS('Staff Review'!$A$8:$A$507,A2250)&gt;1,"Duplicate review ID",IF(H2250&lt;&gt;"Yes","Outside scope",IF(J2250="Yes","Already served",IF(NOT(ISNUMBER(T2250)),"Missing data","Candidate"))))))</x:f>
        <x:v>Candidate</x:v>
      </x:c>
      <x:c r="W2250" s="1" t="n">
        <x:f>IF(AL2250=0,"",1+COUNTIFS($AL$2051:$AL$2550,1,$T$2051:$T$2550,"&gt;"&amp;T2250)+COUNTIFS($AL$2051:$AL$2550,1,$T$2051:$T$2550,T2250,$G$2051:$G$2550,"&gt;"&amp;G2250)+COUNTIFS($AL$2051:$AL$2550,1,$T$2051:$T$2550,T2250,$G$2051:$G$2550,G2250,$F$2051:$F$2550,"&gt;"&amp;F2250)+COUNTIFS($AL$2051:$AL$2550,1,$T$2051:$T$2550,T2250,$G$2051:$G$2550,G2250,$F$2051:$F$2550,F2250,$AM$2051:$AM$2550,"&lt;"&amp;AM2250))</x:f>
        <x:v>110</x:v>
      </x:c>
      <x:c r="X2250" s="1" t="n">
        <x:f>IF(AL2250=0,"",1+COUNTIFS($AL$2051:$AL$2550,1,$T$2051:$T$2550,"&gt;"&amp;T2250))</x:f>
        <x:v>101</x:v>
      </x:c>
      <x:c r="Y2250" s="1" t="n">
        <x:f>IF(AND(H2250="Yes",OR(LEN('School Search'!$B$5)=0,ISNUMBER(SEARCH('School Search'!$B$5,B2250&amp;" "&amp;E2250&amp;" "&amp;A2250))),OR('School Search'!$D$5="All",C2250='School Search'!$D$5),OR('School Search'!$G$5="All eligible",AND('School Search'!$G$5="Not marked served",J2250&lt;&gt;"Yes"),AND('School Search'!$G$5="Missing data",V2250="Missing data"),AND('School Search'!$G$5="Marked served",J2250="Yes"))),1,0)</x:f>
        <x:v>1</x:v>
      </x:c>
      <x:c r="Z2250" s="1" t="n">
        <x:f>IF(Y2250=0,"",COUNTIFS($Y$2051:$Y$2550,1,$AO$2051:$AO$2550,"&lt;"&amp;AO2250)+COUNTIFS($Y$2051:Y2250,1,$AO$2051:AO2250,AO2250))</x:f>
        <x:v>110</x:v>
      </x:c>
      <x:c r="AA2250" s="1" t="str">
        <x:f>IF(NOT(ISNUMBER(S2250)),"Missing demographic or access input",TEXT(G2250,"0%")&amp;" economic need; "&amp;TEXT(K2250,"0.00")&amp;" mi fresh access; "&amp;L2250&amp;" nearby resources")</x:f>
        <x:v>90% economic need; 0.27 mi fresh access; 13 nearby resources</x:v>
      </x:c>
      <x:c r="AB2250" s="1" t="n">
        <x:f>IF(OR(A2250="",COUNTIFS($A$1531:$A$2030,A2250)&lt;&gt;1),0,MATCH(A2250,$A$1531:$A$2030,0))</x:f>
        <x:v>200</x:v>
      </x:c>
      <x:c r="AC2250" s="1" t="str">
        <x:f>IF(AB2250=0,"",INDEX($E$1531:$E$2030,AB2250))</x:f>
        <x:v>Save A Lot 60136</x:v>
      </x:c>
      <x:c r="AD2250" s="1" t="str">
        <x:f>IF(AB2250=0,"",INDEX($F$1531:$F$2030,AB2250))</x:f>
        <x:v>400 W Allegheny Ave, Philadelphia, PA, 19133</x:v>
      </x:c>
      <x:c r="AE2250" s="1" t="str">
        <x:f>IF(A2250="","",F201)</x:f>
        <x:v>3001 N 6TH ST</x:v>
      </x:c>
      <x:c r="AF2250" s="1" t="n">
        <x:f>IF(ISNUMBER(I201),I201,"")</x:f>
        <x:v>39.99690701</x:v>
      </x:c>
      <x:c r="AG2250" s="1" t="n">
        <x:f>IF(ISNUMBER(J201),J201,"")</x:f>
        <x:v>-75.14107646</x:v>
      </x:c>
      <x:c r="AH2250" s="1" t="str">
        <x:f>IF(I2250=0,"Not contacted",IF(INDEX('Staff Review'!$J$8:$J$507,I2250)="","Not contacted",INDEX('Staff Review'!$J$8:$J$507,I2250)))</x:f>
        <x:v>Not contacted</x:v>
      </x:c>
      <x:c r="AI2250" s="1" t="str">
        <x:f>IF(I2250=0,"No",IF(AND(COUNT(INDEX('Staff Review'!$D$8:$D$507,I2250))=1,INDEX('Staff Review'!$D$8:$D$507,I2250)&gt;=0,COUNT(INDEX('Staff Review'!$E$8:$E$507,I2250))=1,INDEX('Staff Review'!$E$8:$E$507,I2250)&gt;0,INDEX('Staff Review'!$E$8:$E$507,I2250)&lt;='Top 15'!$E$5,'Top 15'!$E$5-INDEX('Staff Review'!$E$8:$E$507,I2250)&lt;='Top 15'!$H$5,LEN(INDEX('Staff Review'!$H$8:$H$507,I2250))&gt;0),"Yes","No"))</x:f>
        <x:v>No</x:v>
      </x:c>
      <x:c r="AJ2250" s="1" t="str">
        <x:f>IF(I2250=0,"No",IF(COUNT(INDEX('Staff Review'!$F$8:$F$507,I2250))&lt;&gt;1,"No",IF(AND(INDEX('Staff Review'!$F$8:$F$507,I2250)&gt;=0,MOD(INDEX('Staff Review'!$F$8:$F$507,I2250),1)=0,COUNT(INDEX('Staff Review'!$G$8:$G$507,I2250))=1,INDEX('Staff Review'!$G$8:$G$507,I2250)&gt;0,INDEX('Staff Review'!$G$8:$G$507,I2250)&lt;='Top 15'!$E$5,'Top 15'!$E$5-INDEX('Staff Review'!$G$8:$G$507,I2250)&lt;='Top 15'!$H$5,LEN(INDEX('Staff Review'!$H$8:$H$507,I2250))&gt;0),"Yes","No")))</x:f>
        <x:v>No</x:v>
      </x:c>
      <x:c r="AK2250" s="1" t="n">
        <x:f>IF(A2250="",0,COUNTIFS($A$2:$A$501,A2250))</x:f>
        <x:v>1</x:v>
      </x:c>
      <x:c r="AL2250" s="1" t="n">
        <x:f>IF(V2250="Candidate",1,0)</x:f>
        <x:v>1</x:v>
      </x:c>
      <x:c r="AM2250" s="1" t="n">
        <x:f>IF(A2250="",0,VALUE(A2250))</x:f>
        <x:v>5390</x:v>
      </x:c>
      <x:c r="AN2250" s="1" t="n">
        <x:f>IF(OR(A2250="",COUNTIFS($T$41:$T$540,A2250)&lt;&gt;1),0,MATCH(A2250,$T$41:$T$540,0))</x:f>
        <x:v>200</x:v>
      </x:c>
      <x:c r="AO2250" t="n">
        <x:f>IF(ISNUMBER(W2250),W2250,10000+AM2250)</x:f>
        <x:v>110</x:v>
      </x:c>
    </x:row>
    <x:row r="2251" ht="22" customHeight="1">
      <x:c r="A2251" s="1" t="str">
        <x:f>IF(A202="","",A202)</x:f>
        <x:v>5400</x:v>
      </x:c>
      <x:c r="B2251" s="1" t="str">
        <x:f>IF(A2251="","",B202)</x:f>
        <x:v>Richmond School</x:v>
      </x:c>
      <x:c r="C2251" s="1" t="str">
        <x:f>IF(A2251="","",C202)</x:f>
        <x:v>District</x:v>
      </x:c>
      <x:c r="D2251" s="1" t="str">
        <x:f>IF(A2251="","",E202)</x:f>
        <x:v>Elementary</x:v>
      </x:c>
      <x:c r="E2251" s="1" t="str">
        <x:f>IF(A2251="","",H202)</x:f>
        <x:v>19134</x:v>
      </x:c>
      <x:c r="F2251" s="1" t="n">
        <x:f>IF(ISNUMBER(K202),K202,"")</x:f>
        <x:v>332</x:v>
      </x:c>
      <x:c r="G2251" s="1" t="n">
        <x:f>IF(ISNUMBER(L202),L202,"")</x:f>
        <x:v>0.8192</x:v>
      </x:c>
      <x:c r="H2251" s="1" t="str">
        <x:f>IF(A2251="","",IF(AND(UPPER(G202)="PHILADELPHIA",OR(C2251="District",AND(C2251="Charter",D202="Yes"))),"Yes","No"))</x:f>
        <x:v>Yes</x:v>
      </x:c>
      <x:c r="I2251" s="1" t="n">
        <x:f>IF(OR(A2251="",COUNTIFS('Staff Review'!$A$8:$A$507,A2251)&lt;&gt;1),0,MATCH(A2251,'Staff Review'!$A$8:$A$507,0))</x:f>
        <x:v>250</x:v>
      </x:c>
      <x:c r="J2251" s="1" t="str">
        <x:f>IF(I2251=0,"No",IF(INDEX('Staff Review'!$C$8:$C$507,I2251)="Yes","Yes","No"))</x:f>
        <x:v>No</x:v>
      </x:c>
      <x:c r="K2251" s="1" t="n">
        <x:f>IF(AI2251="Yes",INDEX('Staff Review'!$D$8:$D$507,I2251),IF(AB2251=0,"",IF(COUNT(INDEX($C$1531:$C$2030,AB2251))=1,INDEX($C$1531:$C$2030,AB2251),"")))</x:f>
        <x:v>0.5712074127824155</x:v>
      </x:c>
      <x:c r="L2251" s="1" t="n">
        <x:f>IF(AJ2251="Yes",INDEX('Staff Review'!$F$8:$F$507,I2251),IF(AB2251=0,"",IF(COUNT(INDEX($G$1531:$G$2030,AB2251))=1,INDEX($G$1531:$G$2030,AB2251),"")))</x:f>
        <x:v>6</x:v>
      </x:c>
      <x:c r="M2251" s="1" t="str">
        <x:f>IF(A2251="","",IF(AI2251="Yes","Verified","Listed"))</x:f>
        <x:v>Listed</x:v>
      </x:c>
      <x:c r="N2251" s="1" t="str">
        <x:f>IF(A2251="","",IF(AJ2251="Yes","Verified","Listed"))</x:f>
        <x:v>Listed</x:v>
      </x:c>
      <x:c r="O2251" s="1" t="n">
        <x:f>IF(AND(ISNUMBER(G2251),G2251&gt;=0,G2251&lt;=1),IF(G2251&gt;=0.9,30,IF(G2251&gt;=0.8,25,IF(G2251&gt;=0.7,20,IF(G2251&gt;=0.6,15,IF(G2251&gt;=0.5,10,IF(G2251&gt;=0.4,5,0)))))),"")</x:f>
        <x:v>25</x:v>
      </x:c>
      <x:c r="P2251" s="1" t="n">
        <x:f>IF(ISNUMBER(K2251),IF(K2251&lt;0,"",IF(K2251&gt;1,25,IF(K2251&gt;=0.75,20,IF(K2251&gt;=0.5,15,IF(K2251&gt;=0.25,10,5))))),"")</x:f>
        <x:v>15</x:v>
      </x:c>
      <x:c r="Q2251" s="1" t="n">
        <x:f>IF(NOT(ISNUMBER(L2251)),"",IF(AND(L2251&gt;=0,MOD(L2251,1)=0),MAX(0,25-5*L2251),""))</x:f>
        <x:v>0</x:v>
      </x:c>
      <x:c r="R2251" s="1" t="n">
        <x:f>IF(NOT(ISNUMBER(F2251)),"",IF(AND(F2251&gt;0,MOD(F2251,1)=0),IF(F2251&gt;=700,5,IF(F2251&gt;=500,4,IF(F2251&gt;=350,3,IF(F2251&gt;=200,2,1)))),""))</x:f>
        <x:v>2</x:v>
      </x:c>
      <x:c r="S2251" s="1" t="n">
        <x:f>IF(COUNT(O2251:R2251)=4,SUM(O2251:R2251),"")</x:f>
        <x:v>42</x:v>
      </x:c>
      <x:c r="T2251" s="1" t="n">
        <x:f>IF(OR(COUNT(O2251:R2251)&lt;&gt;4,COUNT('Top 15'!$B$35:$E$35)&lt;&gt;4,MIN('Top 15'!$B$35:$E$35)&lt;0,SUM('Top 15'!$B$35:$E$35)&lt;=0),"",ROUND(85*(O2251/30*'Top 15'!$B$35+P2251/25*'Top 15'!$C$35+Q2251/25*'Top 15'!$D$35+R2251/5*'Top 15'!$E$35)/SUM('Top 15'!$B$35:$E$35),6))</x:f>
        <x:v>42</x:v>
      </x:c>
      <x:c r="U2251" s="1" t="str">
        <x:f>IF(A2251="","",IF(AND(M2251="Verified",N2251="Verified"),"Verified",IF(AND(M2251="Listed",N2251="Listed"),"Listed","Mixed")))</x:f>
        <x:v>Listed</x:v>
      </x:c>
      <x:c r="V2251" s="1" t="str">
        <x:f>IF(A2251="","",IF(AK2251&lt;&gt;1,"Duplicate source ID",IF(COUNTIFS('Staff Review'!$A$8:$A$507,A2251)&gt;1,"Duplicate review ID",IF(H2251&lt;&gt;"Yes","Outside scope",IF(J2251="Yes","Already served",IF(NOT(ISNUMBER(T2251)),"Missing data","Candidate"))))))</x:f>
        <x:v>Candidate</x:v>
      </x:c>
      <x:c r="W2251" s="1" t="n">
        <x:f>IF(AL2251=0,"",1+COUNTIFS($AL$2051:$AL$2550,1,$T$2051:$T$2550,"&gt;"&amp;T2251)+COUNTIFS($AL$2051:$AL$2550,1,$T$2051:$T$2550,T2251,$G$2051:$G$2550,"&gt;"&amp;G2251)+COUNTIFS($AL$2051:$AL$2550,1,$T$2051:$T$2550,T2251,$G$2051:$G$2550,G2251,$F$2051:$F$2550,"&gt;"&amp;F2251)+COUNTIFS($AL$2051:$AL$2550,1,$T$2051:$T$2550,T2251,$G$2051:$G$2550,G2251,$F$2051:$F$2550,F2251,$AM$2051:$AM$2550,"&lt;"&amp;AM2251))</x:f>
        <x:v>125</x:v>
      </x:c>
      <x:c r="X2251" s="1" t="n">
        <x:f>IF(AL2251=0,"",1+COUNTIFS($AL$2051:$AL$2550,1,$T$2051:$T$2550,"&gt;"&amp;T2251))</x:f>
        <x:v>101</x:v>
      </x:c>
      <x:c r="Y2251" s="1" t="n">
        <x:f>IF(AND(H2251="Yes",OR(LEN('School Search'!$B$5)=0,ISNUMBER(SEARCH('School Search'!$B$5,B2251&amp;" "&amp;E2251&amp;" "&amp;A2251))),OR('School Search'!$D$5="All",C2251='School Search'!$D$5),OR('School Search'!$G$5="All eligible",AND('School Search'!$G$5="Not marked served",J2251&lt;&gt;"Yes"),AND('School Search'!$G$5="Missing data",V2251="Missing data"),AND('School Search'!$G$5="Marked served",J2251="Yes"))),1,0)</x:f>
        <x:v>1</x:v>
      </x:c>
      <x:c r="Z2251" s="1" t="n">
        <x:f>IF(Y2251=0,"",COUNTIFS($Y$2051:$Y$2550,1,$AO$2051:$AO$2550,"&lt;"&amp;AO2251)+COUNTIFS($Y$2051:Y2251,1,$AO$2051:AO2251,AO2251))</x:f>
        <x:v>125</x:v>
      </x:c>
      <x:c r="AA2251" s="1" t="str">
        <x:f>IF(NOT(ISNUMBER(S2251)),"Missing demographic or access input",TEXT(G2251,"0%")&amp;" economic need; "&amp;TEXT(K2251,"0.00")&amp;" mi fresh access; "&amp;L2251&amp;" nearby resources")</x:f>
        <x:v>82% economic need; 0.57 mi fresh access; 6 nearby resources</x:v>
      </x:c>
      <x:c r="AB2251" s="1" t="n">
        <x:f>IF(OR(A2251="",COUNTIFS($A$1531:$A$2030,A2251)&lt;&gt;1),0,MATCH(A2251,$A$1531:$A$2030,0))</x:f>
        <x:v>201</x:v>
      </x:c>
      <x:c r="AC2251" s="1" t="str">
        <x:f>IF(AB2251=0,"",INDEX($E$1531:$E$2030,AB2251))</x:f>
        <x:v>Save A Lot 30224</x:v>
      </x:c>
      <x:c r="AD2251" s="1" t="str">
        <x:f>IF(AB2251=0,"",INDEX($F$1531:$F$2030,AB2251))</x:f>
        <x:v>2132 E Lehigh Ave, Philadelphia, PA, 19125</x:v>
      </x:c>
      <x:c r="AE2251" s="1" t="str">
        <x:f>IF(A2251="","",F202)</x:f>
        <x:v>2944 BELGRADE ST</x:v>
      </x:c>
      <x:c r="AF2251" s="1" t="n">
        <x:f>IF(ISNUMBER(I202),I202,"")</x:f>
        <x:v>39.983496</x:v>
      </x:c>
      <x:c r="AG2251" s="1" t="n">
        <x:f>IF(ISNUMBER(J202),J202,"")</x:f>
        <x:v>-75.110491</x:v>
      </x:c>
      <x:c r="AH2251" s="1" t="str">
        <x:f>IF(I2251=0,"Not contacted",IF(INDEX('Staff Review'!$J$8:$J$507,I2251)="","Not contacted",INDEX('Staff Review'!$J$8:$J$507,I2251)))</x:f>
        <x:v>Not contacted</x:v>
      </x:c>
      <x:c r="AI2251" s="1" t="str">
        <x:f>IF(I2251=0,"No",IF(AND(COUNT(INDEX('Staff Review'!$D$8:$D$507,I2251))=1,INDEX('Staff Review'!$D$8:$D$507,I2251)&gt;=0,COUNT(INDEX('Staff Review'!$E$8:$E$507,I2251))=1,INDEX('Staff Review'!$E$8:$E$507,I2251)&gt;0,INDEX('Staff Review'!$E$8:$E$507,I2251)&lt;='Top 15'!$E$5,'Top 15'!$E$5-INDEX('Staff Review'!$E$8:$E$507,I2251)&lt;='Top 15'!$H$5,LEN(INDEX('Staff Review'!$H$8:$H$507,I2251))&gt;0),"Yes","No"))</x:f>
        <x:v>No</x:v>
      </x:c>
      <x:c r="AJ2251" s="1" t="str">
        <x:f>IF(I2251=0,"No",IF(COUNT(INDEX('Staff Review'!$F$8:$F$507,I2251))&lt;&gt;1,"No",IF(AND(INDEX('Staff Review'!$F$8:$F$507,I2251)&gt;=0,MOD(INDEX('Staff Review'!$F$8:$F$507,I2251),1)=0,COUNT(INDEX('Staff Review'!$G$8:$G$507,I2251))=1,INDEX('Staff Review'!$G$8:$G$507,I2251)&gt;0,INDEX('Staff Review'!$G$8:$G$507,I2251)&lt;='Top 15'!$E$5,'Top 15'!$E$5-INDEX('Staff Review'!$G$8:$G$507,I2251)&lt;='Top 15'!$H$5,LEN(INDEX('Staff Review'!$H$8:$H$507,I2251))&gt;0),"Yes","No")))</x:f>
        <x:v>No</x:v>
      </x:c>
      <x:c r="AK2251" s="1" t="n">
        <x:f>IF(A2251="",0,COUNTIFS($A$2:$A$501,A2251))</x:f>
        <x:v>1</x:v>
      </x:c>
      <x:c r="AL2251" s="1" t="n">
        <x:f>IF(V2251="Candidate",1,0)</x:f>
        <x:v>1</x:v>
      </x:c>
      <x:c r="AM2251" s="1" t="n">
        <x:f>IF(A2251="",0,VALUE(A2251))</x:f>
        <x:v>5400</x:v>
      </x:c>
      <x:c r="AN2251" s="1" t="n">
        <x:f>IF(OR(A2251="",COUNTIFS($T$41:$T$540,A2251)&lt;&gt;1),0,MATCH(A2251,$T$41:$T$540,0))</x:f>
        <x:v>201</x:v>
      </x:c>
      <x:c r="AO2251" t="n">
        <x:f>IF(ISNUMBER(W2251),W2251,10000+AM2251)</x:f>
        <x:v>125</x:v>
      </x:c>
    </x:row>
    <x:row r="2252" ht="22" customHeight="1">
      <x:c r="A2252" s="1" t="str">
        <x:f>IF(A203="","",A203)</x:f>
        <x:v>5410</x:v>
      </x:c>
      <x:c r="B2252" s="1" t="str">
        <x:f>IF(A2252="","",B203)</x:f>
        <x:v>Isaac A. Sheppard School</x:v>
      </x:c>
      <x:c r="C2252" s="1" t="str">
        <x:f>IF(A2252="","",C203)</x:f>
        <x:v>District</x:v>
      </x:c>
      <x:c r="D2252" s="1" t="str">
        <x:f>IF(A2252="","",E203)</x:f>
        <x:v>Elementary</x:v>
      </x:c>
      <x:c r="E2252" s="1" t="str">
        <x:f>IF(A2252="","",H203)</x:f>
        <x:v>19133</x:v>
      </x:c>
      <x:c r="F2252" s="1" t="n">
        <x:f>IF(ISNUMBER(K203),K203,"")</x:f>
        <x:v>107</x:v>
      </x:c>
      <x:c r="G2252" s="1" t="n">
        <x:f>IF(ISNUMBER(L203),L203,"")</x:f>
        <x:v>0.9532</x:v>
      </x:c>
      <x:c r="H2252" s="1" t="str">
        <x:f>IF(A2252="","",IF(AND(UPPER(G203)="PHILADELPHIA",OR(C2252="District",AND(C2252="Charter",D203="Yes"))),"Yes","No"))</x:f>
        <x:v>Yes</x:v>
      </x:c>
      <x:c r="I2252" s="1" t="n">
        <x:f>IF(OR(A2252="",COUNTIFS('Staff Review'!$A$8:$A$507,A2252)&lt;&gt;1),0,MATCH(A2252,'Staff Review'!$A$8:$A$507,0))</x:f>
        <x:v>123</x:v>
      </x:c>
      <x:c r="J2252" s="1" t="str">
        <x:f>IF(I2252=0,"No",IF(INDEX('Staff Review'!$C$8:$C$507,I2252)="Yes","Yes","No"))</x:f>
        <x:v>No</x:v>
      </x:c>
      <x:c r="K2252" s="1" t="n">
        <x:f>IF(AI2252="Yes",INDEX('Staff Review'!$D$8:$D$507,I2252),IF(AB2252=0,"",IF(COUNT(INDEX($C$1531:$C$2030,AB2252))=1,INDEX($C$1531:$C$2030,AB2252),"")))</x:f>
        <x:v>0.17989175044806002</x:v>
      </x:c>
      <x:c r="L2252" s="1" t="n">
        <x:f>IF(AJ2252="Yes",INDEX('Staff Review'!$F$8:$F$507,I2252),IF(AB2252=0,"",IF(COUNT(INDEX($G$1531:$G$2030,AB2252))=1,INDEX($G$1531:$G$2030,AB2252),"")))</x:f>
        <x:v>12</x:v>
      </x:c>
      <x:c r="M2252" s="1" t="str">
        <x:f>IF(A2252="","",IF(AI2252="Yes","Verified","Listed"))</x:f>
        <x:v>Listed</x:v>
      </x:c>
      <x:c r="N2252" s="1" t="str">
        <x:f>IF(A2252="","",IF(AJ2252="Yes","Verified","Listed"))</x:f>
        <x:v>Listed</x:v>
      </x:c>
      <x:c r="O2252" s="1" t="n">
        <x:f>IF(AND(ISNUMBER(G2252),G2252&gt;=0,G2252&lt;=1),IF(G2252&gt;=0.9,30,IF(G2252&gt;=0.8,25,IF(G2252&gt;=0.7,20,IF(G2252&gt;=0.6,15,IF(G2252&gt;=0.5,10,IF(G2252&gt;=0.4,5,0)))))),"")</x:f>
        <x:v>30</x:v>
      </x:c>
      <x:c r="P2252" s="1" t="n">
        <x:f>IF(ISNUMBER(K2252),IF(K2252&lt;0,"",IF(K2252&gt;1,25,IF(K2252&gt;=0.75,20,IF(K2252&gt;=0.5,15,IF(K2252&gt;=0.25,10,5))))),"")</x:f>
        <x:v>5</x:v>
      </x:c>
      <x:c r="Q2252" s="1" t="n">
        <x:f>IF(NOT(ISNUMBER(L2252)),"",IF(AND(L2252&gt;=0,MOD(L2252,1)=0),MAX(0,25-5*L2252),""))</x:f>
        <x:v>0</x:v>
      </x:c>
      <x:c r="R2252" s="1" t="n">
        <x:f>IF(NOT(ISNUMBER(F2252)),"",IF(AND(F2252&gt;0,MOD(F2252,1)=0),IF(F2252&gt;=700,5,IF(F2252&gt;=500,4,IF(F2252&gt;=350,3,IF(F2252&gt;=200,2,1)))),""))</x:f>
        <x:v>1</x:v>
      </x:c>
      <x:c r="S2252" s="1" t="n">
        <x:f>IF(COUNT(O2252:R2252)=4,SUM(O2252:R2252),"")</x:f>
        <x:v>36</x:v>
      </x:c>
      <x:c r="T2252" s="1" t="n">
        <x:f>IF(OR(COUNT(O2252:R2252)&lt;&gt;4,COUNT('Top 15'!$B$35:$E$35)&lt;&gt;4,MIN('Top 15'!$B$35:$E$35)&lt;0,SUM('Top 15'!$B$35:$E$35)&lt;=0),"",ROUND(85*(O2252/30*'Top 15'!$B$35+P2252/25*'Top 15'!$C$35+Q2252/25*'Top 15'!$D$35+R2252/5*'Top 15'!$E$35)/SUM('Top 15'!$B$35:$E$35),6))</x:f>
        <x:v>36</x:v>
      </x:c>
      <x:c r="U2252" s="1" t="str">
        <x:f>IF(A2252="","",IF(AND(M2252="Verified",N2252="Verified"),"Verified",IF(AND(M2252="Listed",N2252="Listed"),"Listed","Mixed")))</x:f>
        <x:v>Listed</x:v>
      </x:c>
      <x:c r="V2252" s="1" t="str">
        <x:f>IF(A2252="","",IF(AK2252&lt;&gt;1,"Duplicate source ID",IF(COUNTIFS('Staff Review'!$A$8:$A$507,A2252)&gt;1,"Duplicate review ID",IF(H2252&lt;&gt;"Yes","Outside scope",IF(J2252="Yes","Already served",IF(NOT(ISNUMBER(T2252)),"Missing data","Candidate"))))))</x:f>
        <x:v>Candidate</x:v>
      </x:c>
      <x:c r="W2252" s="1" t="n">
        <x:f>IF(AL2252=0,"",1+COUNTIFS($AL$2051:$AL$2550,1,$T$2051:$T$2550,"&gt;"&amp;T2252)+COUNTIFS($AL$2051:$AL$2550,1,$T$2051:$T$2550,T2252,$G$2051:$G$2550,"&gt;"&amp;G2252)+COUNTIFS($AL$2051:$AL$2550,1,$T$2051:$T$2550,T2252,$G$2051:$G$2550,G2252,$F$2051:$F$2550,"&gt;"&amp;F2252)+COUNTIFS($AL$2051:$AL$2550,1,$T$2051:$T$2550,T2252,$G$2051:$G$2550,G2252,$F$2051:$F$2550,F2252,$AM$2051:$AM$2550,"&lt;"&amp;AM2252))</x:f>
        <x:v>205</x:v>
      </x:c>
      <x:c r="X2252" s="1" t="n">
        <x:f>IF(AL2252=0,"",1+COUNTIFS($AL$2051:$AL$2550,1,$T$2051:$T$2550,"&gt;"&amp;T2252))</x:f>
        <x:v>205</x:v>
      </x:c>
      <x:c r="Y2252" s="1" t="n">
        <x:f>IF(AND(H2252="Yes",OR(LEN('School Search'!$B$5)=0,ISNUMBER(SEARCH('School Search'!$B$5,B2252&amp;" "&amp;E2252&amp;" "&amp;A2252))),OR('School Search'!$D$5="All",C2252='School Search'!$D$5),OR('School Search'!$G$5="All eligible",AND('School Search'!$G$5="Not marked served",J2252&lt;&gt;"Yes"),AND('School Search'!$G$5="Missing data",V2252="Missing data"),AND('School Search'!$G$5="Marked served",J2252="Yes"))),1,0)</x:f>
        <x:v>1</x:v>
      </x:c>
      <x:c r="Z2252" s="1" t="n">
        <x:f>IF(Y2252=0,"",COUNTIFS($Y$2051:$Y$2550,1,$AO$2051:$AO$2550,"&lt;"&amp;AO2252)+COUNTIFS($Y$2051:Y2252,1,$AO$2051:AO2252,AO2252))</x:f>
        <x:v>205</x:v>
      </x:c>
      <x:c r="AA2252" s="1" t="str">
        <x:f>IF(NOT(ISNUMBER(S2252)),"Missing demographic or access input",TEXT(G2252,"0%")&amp;" economic need; "&amp;TEXT(K2252,"0.00")&amp;" mi fresh access; "&amp;L2252&amp;" nearby resources")</x:f>
        <x:v>95% economic need; 0.18 mi fresh access; 12 nearby resources</x:v>
      </x:c>
      <x:c r="AB2252" s="1" t="n">
        <x:f>IF(OR(A2252="",COUNTIFS($A$1531:$A$2030,A2252)&lt;&gt;1),0,MATCH(A2252,$A$1531:$A$2030,0))</x:f>
        <x:v>202</x:v>
      </x:c>
      <x:c r="AC2252" s="1" t="str">
        <x:f>IF(AB2252=0,"",INDEX($E$1531:$E$2030,AB2252))</x:f>
        <x:v>JC 131 West Corp/Fine Fare</x:v>
      </x:c>
      <x:c r="AD2252" s="1" t="str">
        <x:f>IF(AB2252=0,"",INDEX($F$1531:$F$2030,AB2252))</x:f>
        <x:v>131 W Lehigh Ave, Philadelphia, PA, 19133</x:v>
      </x:c>
      <x:c r="AE2252" s="1" t="str">
        <x:f>IF(A2252="","",F203)</x:f>
        <x:v>120 W CAMBRIA ST</x:v>
      </x:c>
      <x:c r="AF2252" s="1" t="n">
        <x:f>IF(ISNUMBER(I203),I203,"")</x:f>
        <x:v>39.993651</x:v>
      </x:c>
      <x:c r="AG2252" s="1" t="n">
        <x:f>IF(ISNUMBER(J203),J203,"")</x:f>
        <x:v>-75.13163</x:v>
      </x:c>
      <x:c r="AH2252" s="1" t="str">
        <x:f>IF(I2252=0,"Not contacted",IF(INDEX('Staff Review'!$J$8:$J$507,I2252)="","Not contacted",INDEX('Staff Review'!$J$8:$J$507,I2252)))</x:f>
        <x:v>Not contacted</x:v>
      </x:c>
      <x:c r="AI2252" s="1" t="str">
        <x:f>IF(I2252=0,"No",IF(AND(COUNT(INDEX('Staff Review'!$D$8:$D$507,I2252))=1,INDEX('Staff Review'!$D$8:$D$507,I2252)&gt;=0,COUNT(INDEX('Staff Review'!$E$8:$E$507,I2252))=1,INDEX('Staff Review'!$E$8:$E$507,I2252)&gt;0,INDEX('Staff Review'!$E$8:$E$507,I2252)&lt;='Top 15'!$E$5,'Top 15'!$E$5-INDEX('Staff Review'!$E$8:$E$507,I2252)&lt;='Top 15'!$H$5,LEN(INDEX('Staff Review'!$H$8:$H$507,I2252))&gt;0),"Yes","No"))</x:f>
        <x:v>No</x:v>
      </x:c>
      <x:c r="AJ2252" s="1" t="str">
        <x:f>IF(I2252=0,"No",IF(COUNT(INDEX('Staff Review'!$F$8:$F$507,I2252))&lt;&gt;1,"No",IF(AND(INDEX('Staff Review'!$F$8:$F$507,I2252)&gt;=0,MOD(INDEX('Staff Review'!$F$8:$F$507,I2252),1)=0,COUNT(INDEX('Staff Review'!$G$8:$G$507,I2252))=1,INDEX('Staff Review'!$G$8:$G$507,I2252)&gt;0,INDEX('Staff Review'!$G$8:$G$507,I2252)&lt;='Top 15'!$E$5,'Top 15'!$E$5-INDEX('Staff Review'!$G$8:$G$507,I2252)&lt;='Top 15'!$H$5,LEN(INDEX('Staff Review'!$H$8:$H$507,I2252))&gt;0),"Yes","No")))</x:f>
        <x:v>No</x:v>
      </x:c>
      <x:c r="AK2252" s="1" t="n">
        <x:f>IF(A2252="",0,COUNTIFS($A$2:$A$501,A2252))</x:f>
        <x:v>1</x:v>
      </x:c>
      <x:c r="AL2252" s="1" t="n">
        <x:f>IF(V2252="Candidate",1,0)</x:f>
        <x:v>1</x:v>
      </x:c>
      <x:c r="AM2252" s="1" t="n">
        <x:f>IF(A2252="",0,VALUE(A2252))</x:f>
        <x:v>5410</x:v>
      </x:c>
      <x:c r="AN2252" s="1" t="n">
        <x:f>IF(OR(A2252="",COUNTIFS($T$41:$T$540,A2252)&lt;&gt;1),0,MATCH(A2252,$T$41:$T$540,0))</x:f>
        <x:v>202</x:v>
      </x:c>
      <x:c r="AO2252" t="n">
        <x:f>IF(ISNUMBER(W2252),W2252,10000+AM2252)</x:f>
        <x:v>205</x:v>
      </x:c>
    </x:row>
    <x:row r="2253" ht="22" customHeight="1">
      <x:c r="A2253" s="1" t="str">
        <x:f>IF(A204="","",A204)</x:f>
        <x:v>5420</x:v>
      </x:c>
      <x:c r="B2253" s="1" t="str">
        <x:f>IF(A2253="","",B204)</x:f>
        <x:v>John Welsh School</x:v>
      </x:c>
      <x:c r="C2253" s="1" t="str">
        <x:f>IF(A2253="","",C204)</x:f>
        <x:v>District</x:v>
      </x:c>
      <x:c r="D2253" s="1" t="str">
        <x:f>IF(A2253="","",E204)</x:f>
        <x:v>Elementary-Middle</x:v>
      </x:c>
      <x:c r="E2253" s="1" t="str">
        <x:f>IF(A2253="","",H204)</x:f>
        <x:v>19133</x:v>
      </x:c>
      <x:c r="F2253" s="1" t="n">
        <x:f>IF(ISNUMBER(K204),K204,"")</x:f>
        <x:v>185</x:v>
      </x:c>
      <x:c r="G2253" s="1" t="n">
        <x:f>IF(ISNUMBER(L204),L204,"")</x:f>
        <x:v>0.9027</x:v>
      </x:c>
      <x:c r="H2253" s="1" t="str">
        <x:f>IF(A2253="","",IF(AND(UPPER(G204)="PHILADELPHIA",OR(C2253="District",AND(C2253="Charter",D204="Yes"))),"Yes","No"))</x:f>
        <x:v>Yes</x:v>
      </x:c>
      <x:c r="I2253" s="1" t="n">
        <x:f>IF(OR(A2253="",COUNTIFS('Staff Review'!$A$8:$A$507,A2253)&lt;&gt;1),0,MATCH(A2253,'Staff Review'!$A$8:$A$507,0))</x:f>
        <x:v>145</x:v>
      </x:c>
      <x:c r="J2253" s="1" t="str">
        <x:f>IF(I2253=0,"No",IF(INDEX('Staff Review'!$C$8:$C$507,I2253)="Yes","Yes","No"))</x:f>
        <x:v>No</x:v>
      </x:c>
      <x:c r="K2253" s="1" t="n">
        <x:f>IF(AI2253="Yes",INDEX('Staff Review'!$D$8:$D$507,I2253),IF(AB2253=0,"",IF(COUNT(INDEX($C$1531:$C$2030,AB2253))=1,INDEX($C$1531:$C$2030,AB2253),"")))</x:f>
        <x:v>0.4488704125797472</x:v>
      </x:c>
      <x:c r="L2253" s="1" t="n">
        <x:f>IF(AJ2253="Yes",INDEX('Staff Review'!$F$8:$F$507,I2253),IF(AB2253=0,"",IF(COUNT(INDEX($G$1531:$G$2030,AB2253))=1,INDEX($G$1531:$G$2030,AB2253),"")))</x:f>
        <x:v>13</x:v>
      </x:c>
      <x:c r="M2253" s="1" t="str">
        <x:f>IF(A2253="","",IF(AI2253="Yes","Verified","Listed"))</x:f>
        <x:v>Listed</x:v>
      </x:c>
      <x:c r="N2253" s="1" t="str">
        <x:f>IF(A2253="","",IF(AJ2253="Yes","Verified","Listed"))</x:f>
        <x:v>Listed</x:v>
      </x:c>
      <x:c r="O2253" s="1" t="n">
        <x:f>IF(AND(ISNUMBER(G2253),G2253&gt;=0,G2253&lt;=1),IF(G2253&gt;=0.9,30,IF(G2253&gt;=0.8,25,IF(G2253&gt;=0.7,20,IF(G2253&gt;=0.6,15,IF(G2253&gt;=0.5,10,IF(G2253&gt;=0.4,5,0)))))),"")</x:f>
        <x:v>30</x:v>
      </x:c>
      <x:c r="P2253" s="1" t="n">
        <x:f>IF(ISNUMBER(K2253),IF(K2253&lt;0,"",IF(K2253&gt;1,25,IF(K2253&gt;=0.75,20,IF(K2253&gt;=0.5,15,IF(K2253&gt;=0.25,10,5))))),"")</x:f>
        <x:v>10</x:v>
      </x:c>
      <x:c r="Q2253" s="1" t="n">
        <x:f>IF(NOT(ISNUMBER(L2253)),"",IF(AND(L2253&gt;=0,MOD(L2253,1)=0),MAX(0,25-5*L2253),""))</x:f>
        <x:v>0</x:v>
      </x:c>
      <x:c r="R2253" s="1" t="n">
        <x:f>IF(NOT(ISNUMBER(F2253)),"",IF(AND(F2253&gt;0,MOD(F2253,1)=0),IF(F2253&gt;=700,5,IF(F2253&gt;=500,4,IF(F2253&gt;=350,3,IF(F2253&gt;=200,2,1)))),""))</x:f>
        <x:v>1</x:v>
      </x:c>
      <x:c r="S2253" s="1" t="n">
        <x:f>IF(COUNT(O2253:R2253)=4,SUM(O2253:R2253),"")</x:f>
        <x:v>41</x:v>
      </x:c>
      <x:c r="T2253" s="1" t="n">
        <x:f>IF(OR(COUNT(O2253:R2253)&lt;&gt;4,COUNT('Top 15'!$B$35:$E$35)&lt;&gt;4,MIN('Top 15'!$B$35:$E$35)&lt;0,SUM('Top 15'!$B$35:$E$35)&lt;=0),"",ROUND(85*(O2253/30*'Top 15'!$B$35+P2253/25*'Top 15'!$C$35+Q2253/25*'Top 15'!$D$35+R2253/5*'Top 15'!$E$35)/SUM('Top 15'!$B$35:$E$35),6))</x:f>
        <x:v>41</x:v>
      </x:c>
      <x:c r="U2253" s="1" t="str">
        <x:f>IF(A2253="","",IF(AND(M2253="Verified",N2253="Verified"),"Verified",IF(AND(M2253="Listed",N2253="Listed"),"Listed","Mixed")))</x:f>
        <x:v>Listed</x:v>
      </x:c>
      <x:c r="V2253" s="1" t="str">
        <x:f>IF(A2253="","",IF(AK2253&lt;&gt;1,"Duplicate source ID",IF(COUNTIFS('Staff Review'!$A$8:$A$507,A2253)&gt;1,"Duplicate review ID",IF(H2253&lt;&gt;"Yes","Outside scope",IF(J2253="Yes","Already served",IF(NOT(ISNUMBER(T2253)),"Missing data","Candidate"))))))</x:f>
        <x:v>Candidate</x:v>
      </x:c>
      <x:c r="W2253" s="1" t="n">
        <x:f>IF(AL2253=0,"",1+COUNTIFS($AL$2051:$AL$2550,1,$T$2051:$T$2550,"&gt;"&amp;T2253)+COUNTIFS($AL$2051:$AL$2550,1,$T$2051:$T$2550,T2253,$G$2051:$G$2550,"&gt;"&amp;G2253)+COUNTIFS($AL$2051:$AL$2550,1,$T$2051:$T$2550,T2253,$G$2051:$G$2550,G2253,$F$2051:$F$2550,"&gt;"&amp;F2253)+COUNTIFS($AL$2051:$AL$2550,1,$T$2051:$T$2550,T2253,$G$2051:$G$2550,G2253,$F$2051:$F$2550,F2253,$AM$2051:$AM$2550,"&lt;"&amp;AM2253))</x:f>
        <x:v>130</x:v>
      </x:c>
      <x:c r="X2253" s="1" t="n">
        <x:f>IF(AL2253=0,"",1+COUNTIFS($AL$2051:$AL$2550,1,$T$2051:$T$2550,"&gt;"&amp;T2253))</x:f>
        <x:v>128</x:v>
      </x:c>
      <x:c r="Y2253" s="1" t="n">
        <x:f>IF(AND(H2253="Yes",OR(LEN('School Search'!$B$5)=0,ISNUMBER(SEARCH('School Search'!$B$5,B2253&amp;" "&amp;E2253&amp;" "&amp;A2253))),OR('School Search'!$D$5="All",C2253='School Search'!$D$5),OR('School Search'!$G$5="All eligible",AND('School Search'!$G$5="Not marked served",J2253&lt;&gt;"Yes"),AND('School Search'!$G$5="Missing data",V2253="Missing data"),AND('School Search'!$G$5="Marked served",J2253="Yes"))),1,0)</x:f>
        <x:v>1</x:v>
      </x:c>
      <x:c r="Z2253" s="1" t="n">
        <x:f>IF(Y2253=0,"",COUNTIFS($Y$2051:$Y$2550,1,$AO$2051:$AO$2550,"&lt;"&amp;AO2253)+COUNTIFS($Y$2051:Y2253,1,$AO$2051:AO2253,AO2253))</x:f>
        <x:v>130</x:v>
      </x:c>
      <x:c r="AA2253" s="1" t="str">
        <x:f>IF(NOT(ISNUMBER(S2253)),"Missing demographic or access input",TEXT(G2253,"0%")&amp;" economic need; "&amp;TEXT(K2253,"0.00")&amp;" mi fresh access; "&amp;L2253&amp;" nearby resources")</x:f>
        <x:v>90% economic need; 0.45 mi fresh access; 13 nearby resources</x:v>
      </x:c>
      <x:c r="AB2253" s="1" t="n">
        <x:f>IF(OR(A2253="",COUNTIFS($A$1531:$A$2030,A2253)&lt;&gt;1),0,MATCH(A2253,$A$1531:$A$2030,0))</x:f>
        <x:v>203</x:v>
      </x:c>
      <x:c r="AC2253" s="1" t="str">
        <x:f>IF(AB2253=0,"",INDEX($E$1531:$E$2030,AB2253))</x:f>
        <x:v>Cousins Supermarket Inc 1</x:v>
      </x:c>
      <x:c r="AD2253" s="1" t="str">
        <x:f>IF(AB2253=0,"",INDEX($F$1531:$F$2030,AB2253))</x:f>
        <x:v>1943 N 6th St, Philadelphia, PA, 19122</x:v>
      </x:c>
      <x:c r="AE2253" s="1" t="str">
        <x:f>IF(A2253="","",F204)</x:f>
        <x:v>2331 N 4TH ST</x:v>
      </x:c>
      <x:c r="AF2253" s="1" t="n">
        <x:f>IF(ISNUMBER(I204),I204,"")</x:f>
        <x:v>39.98653438</x:v>
      </x:c>
      <x:c r="AG2253" s="1" t="n">
        <x:f>IF(ISNUMBER(J204),J204,"")</x:f>
        <x:v>-75.13941869</x:v>
      </x:c>
      <x:c r="AH2253" s="1" t="str">
        <x:f>IF(I2253=0,"Not contacted",IF(INDEX('Staff Review'!$J$8:$J$507,I2253)="","Not contacted",INDEX('Staff Review'!$J$8:$J$507,I2253)))</x:f>
        <x:v>Not contacted</x:v>
      </x:c>
      <x:c r="AI2253" s="1" t="str">
        <x:f>IF(I2253=0,"No",IF(AND(COUNT(INDEX('Staff Review'!$D$8:$D$507,I2253))=1,INDEX('Staff Review'!$D$8:$D$507,I2253)&gt;=0,COUNT(INDEX('Staff Review'!$E$8:$E$507,I2253))=1,INDEX('Staff Review'!$E$8:$E$507,I2253)&gt;0,INDEX('Staff Review'!$E$8:$E$507,I2253)&lt;='Top 15'!$E$5,'Top 15'!$E$5-INDEX('Staff Review'!$E$8:$E$507,I2253)&lt;='Top 15'!$H$5,LEN(INDEX('Staff Review'!$H$8:$H$507,I2253))&gt;0),"Yes","No"))</x:f>
        <x:v>No</x:v>
      </x:c>
      <x:c r="AJ2253" s="1" t="str">
        <x:f>IF(I2253=0,"No",IF(COUNT(INDEX('Staff Review'!$F$8:$F$507,I2253))&lt;&gt;1,"No",IF(AND(INDEX('Staff Review'!$F$8:$F$507,I2253)&gt;=0,MOD(INDEX('Staff Review'!$F$8:$F$507,I2253),1)=0,COUNT(INDEX('Staff Review'!$G$8:$G$507,I2253))=1,INDEX('Staff Review'!$G$8:$G$507,I2253)&gt;0,INDEX('Staff Review'!$G$8:$G$507,I2253)&lt;='Top 15'!$E$5,'Top 15'!$E$5-INDEX('Staff Review'!$G$8:$G$507,I2253)&lt;='Top 15'!$H$5,LEN(INDEX('Staff Review'!$H$8:$H$507,I2253))&gt;0),"Yes","No")))</x:f>
        <x:v>No</x:v>
      </x:c>
      <x:c r="AK2253" s="1" t="n">
        <x:f>IF(A2253="",0,COUNTIFS($A$2:$A$501,A2253))</x:f>
        <x:v>1</x:v>
      </x:c>
      <x:c r="AL2253" s="1" t="n">
        <x:f>IF(V2253="Candidate",1,0)</x:f>
        <x:v>1</x:v>
      </x:c>
      <x:c r="AM2253" s="1" t="n">
        <x:f>IF(A2253="",0,VALUE(A2253))</x:f>
        <x:v>5420</x:v>
      </x:c>
      <x:c r="AN2253" s="1" t="n">
        <x:f>IF(OR(A2253="",COUNTIFS($T$41:$T$540,A2253)&lt;&gt;1),0,MATCH(A2253,$T$41:$T$540,0))</x:f>
        <x:v>203</x:v>
      </x:c>
      <x:c r="AO2253" t="n">
        <x:f>IF(ISNUMBER(W2253),W2253,10000+AM2253)</x:f>
        <x:v>130</x:v>
      </x:c>
    </x:row>
    <x:row r="2254" ht="22" customHeight="1">
      <x:c r="A2254" s="1" t="str">
        <x:f>IF(A205="","",A205)</x:f>
        <x:v>5430</x:v>
      </x:c>
      <x:c r="B2254" s="1" t="str">
        <x:f>IF(A2254="","",B205)</x:f>
        <x:v>Alternative Middle Years at James Martin</x:v>
      </x:c>
      <x:c r="C2254" s="1" t="str">
        <x:f>IF(A2254="","",C205)</x:f>
        <x:v>District</x:v>
      </x:c>
      <x:c r="D2254" s="1" t="str">
        <x:f>IF(A2254="","",E205)</x:f>
        <x:v>Middle</x:v>
      </x:c>
      <x:c r="E2254" s="1" t="str">
        <x:f>IF(A2254="","",H205)</x:f>
        <x:v>19134</x:v>
      </x:c>
      <x:c r="F2254" s="1" t="n">
        <x:f>IF(ISNUMBER(K205),K205,"")</x:f>
        <x:v>208</x:v>
      </x:c>
      <x:c r="G2254" s="1" t="n">
        <x:f>IF(ISNUMBER(L205),L205,"")</x:f>
        <x:v>0.8634</x:v>
      </x:c>
      <x:c r="H2254" s="1" t="str">
        <x:f>IF(A2254="","",IF(AND(UPPER(G205)="PHILADELPHIA",OR(C2254="District",AND(C2254="Charter",D205="Yes"))),"Yes","No"))</x:f>
        <x:v>Yes</x:v>
      </x:c>
      <x:c r="I2254" s="1" t="n">
        <x:f>IF(OR(A2254="",COUNTIFS('Staff Review'!$A$8:$A$507,A2254)&lt;&gt;1),0,MATCH(A2254,'Staff Review'!$A$8:$A$507,0))</x:f>
        <x:v>17</x:v>
      </x:c>
      <x:c r="J2254" s="1" t="str">
        <x:f>IF(I2254=0,"No",IF(INDEX('Staff Review'!$C$8:$C$507,I2254)="Yes","Yes","No"))</x:f>
        <x:v>No</x:v>
      </x:c>
      <x:c r="K2254" s="1" t="n">
        <x:f>IF(AI2254="Yes",INDEX('Staff Review'!$D$8:$D$507,I2254),IF(AB2254=0,"",IF(COUNT(INDEX($C$1531:$C$2030,AB2254))=1,INDEX($C$1531:$C$2030,AB2254),"")))</x:f>
        <x:v>0.4846753577767704</x:v>
      </x:c>
      <x:c r="L2254" s="1" t="n">
        <x:f>IF(AJ2254="Yes",INDEX('Staff Review'!$F$8:$F$507,I2254),IF(AB2254=0,"",IF(COUNT(INDEX($G$1531:$G$2030,AB2254))=1,INDEX($G$1531:$G$2030,AB2254),"")))</x:f>
        <x:v>4</x:v>
      </x:c>
      <x:c r="M2254" s="1" t="str">
        <x:f>IF(A2254="","",IF(AI2254="Yes","Verified","Listed"))</x:f>
        <x:v>Listed</x:v>
      </x:c>
      <x:c r="N2254" s="1" t="str">
        <x:f>IF(A2254="","",IF(AJ2254="Yes","Verified","Listed"))</x:f>
        <x:v>Listed</x:v>
      </x:c>
      <x:c r="O2254" s="1" t="n">
        <x:f>IF(AND(ISNUMBER(G2254),G2254&gt;=0,G2254&lt;=1),IF(G2254&gt;=0.9,30,IF(G2254&gt;=0.8,25,IF(G2254&gt;=0.7,20,IF(G2254&gt;=0.6,15,IF(G2254&gt;=0.5,10,IF(G2254&gt;=0.4,5,0)))))),"")</x:f>
        <x:v>25</x:v>
      </x:c>
      <x:c r="P2254" s="1" t="n">
        <x:f>IF(ISNUMBER(K2254),IF(K2254&lt;0,"",IF(K2254&gt;1,25,IF(K2254&gt;=0.75,20,IF(K2254&gt;=0.5,15,IF(K2254&gt;=0.25,10,5))))),"")</x:f>
        <x:v>10</x:v>
      </x:c>
      <x:c r="Q2254" s="1" t="n">
        <x:f>IF(NOT(ISNUMBER(L2254)),"",IF(AND(L2254&gt;=0,MOD(L2254,1)=0),MAX(0,25-5*L2254),""))</x:f>
        <x:v>5</x:v>
      </x:c>
      <x:c r="R2254" s="1" t="n">
        <x:f>IF(NOT(ISNUMBER(F2254)),"",IF(AND(F2254&gt;0,MOD(F2254,1)=0),IF(F2254&gt;=700,5,IF(F2254&gt;=500,4,IF(F2254&gt;=350,3,IF(F2254&gt;=200,2,1)))),""))</x:f>
        <x:v>2</x:v>
      </x:c>
      <x:c r="S2254" s="1" t="n">
        <x:f>IF(COUNT(O2254:R2254)=4,SUM(O2254:R2254),"")</x:f>
        <x:v>42</x:v>
      </x:c>
      <x:c r="T2254" s="1" t="n">
        <x:f>IF(OR(COUNT(O2254:R2254)&lt;&gt;4,COUNT('Top 15'!$B$35:$E$35)&lt;&gt;4,MIN('Top 15'!$B$35:$E$35)&lt;0,SUM('Top 15'!$B$35:$E$35)&lt;=0),"",ROUND(85*(O2254/30*'Top 15'!$B$35+P2254/25*'Top 15'!$C$35+Q2254/25*'Top 15'!$D$35+R2254/5*'Top 15'!$E$35)/SUM('Top 15'!$B$35:$E$35),6))</x:f>
        <x:v>42</x:v>
      </x:c>
      <x:c r="U2254" s="1" t="str">
        <x:f>IF(A2254="","",IF(AND(M2254="Verified",N2254="Verified"),"Verified",IF(AND(M2254="Listed",N2254="Listed"),"Listed","Mixed")))</x:f>
        <x:v>Listed</x:v>
      </x:c>
      <x:c r="V2254" s="1" t="str">
        <x:f>IF(A2254="","",IF(AK2254&lt;&gt;1,"Duplicate source ID",IF(COUNTIFS('Staff Review'!$A$8:$A$507,A2254)&gt;1,"Duplicate review ID",IF(H2254&lt;&gt;"Yes","Outside scope",IF(J2254="Yes","Already served",IF(NOT(ISNUMBER(T2254)),"Missing data","Candidate"))))))</x:f>
        <x:v>Candidate</x:v>
      </x:c>
      <x:c r="W2254" s="1" t="n">
        <x:f>IF(AL2254=0,"",1+COUNTIFS($AL$2051:$AL$2550,1,$T$2051:$T$2550,"&gt;"&amp;T2254)+COUNTIFS($AL$2051:$AL$2550,1,$T$2051:$T$2550,T2254,$G$2051:$G$2550,"&gt;"&amp;G2254)+COUNTIFS($AL$2051:$AL$2550,1,$T$2051:$T$2550,T2254,$G$2051:$G$2550,G2254,$F$2051:$F$2550,"&gt;"&amp;F2254)+COUNTIFS($AL$2051:$AL$2550,1,$T$2051:$T$2550,T2254,$G$2051:$G$2550,G2254,$F$2051:$F$2550,F2254,$AM$2051:$AM$2550,"&lt;"&amp;AM2254))</x:f>
        <x:v>119</x:v>
      </x:c>
      <x:c r="X2254" s="1" t="n">
        <x:f>IF(AL2254=0,"",1+COUNTIFS($AL$2051:$AL$2550,1,$T$2051:$T$2550,"&gt;"&amp;T2254))</x:f>
        <x:v>101</x:v>
      </x:c>
      <x:c r="Y2254" s="1" t="n">
        <x:f>IF(AND(H2254="Yes",OR(LEN('School Search'!$B$5)=0,ISNUMBER(SEARCH('School Search'!$B$5,B2254&amp;" "&amp;E2254&amp;" "&amp;A2254))),OR('School Search'!$D$5="All",C2254='School Search'!$D$5),OR('School Search'!$G$5="All eligible",AND('School Search'!$G$5="Not marked served",J2254&lt;&gt;"Yes"),AND('School Search'!$G$5="Missing data",V2254="Missing data"),AND('School Search'!$G$5="Marked served",J2254="Yes"))),1,0)</x:f>
        <x:v>1</x:v>
      </x:c>
      <x:c r="Z2254" s="1" t="n">
        <x:f>IF(Y2254=0,"",COUNTIFS($Y$2051:$Y$2550,1,$AO$2051:$AO$2550,"&lt;"&amp;AO2254)+COUNTIFS($Y$2051:Y2254,1,$AO$2051:AO2254,AO2254))</x:f>
        <x:v>119</x:v>
      </x:c>
      <x:c r="AA2254" s="1" t="str">
        <x:f>IF(NOT(ISNUMBER(S2254)),"Missing demographic or access input",TEXT(G2254,"0%")&amp;" economic need; "&amp;TEXT(K2254,"0.00")&amp;" mi fresh access; "&amp;L2254&amp;" nearby resources")</x:f>
        <x:v>86% economic need; 0.48 mi fresh access; 4 nearby resources</x:v>
      </x:c>
      <x:c r="AB2254" s="1" t="n">
        <x:f>IF(OR(A2254="",COUNTIFS($A$1531:$A$2030,A2254)&lt;&gt;1),0,MATCH(A2254,$A$1531:$A$2030,0))</x:f>
        <x:v>204</x:v>
      </x:c>
      <x:c r="AC2254" s="1" t="str">
        <x:f>IF(AB2254=0,"",INDEX($E$1531:$E$2030,AB2254))</x:f>
        <x:v>Target 2075</x:v>
      </x:c>
      <x:c r="AD2254" s="1" t="str">
        <x:f>IF(AB2254=0,"",INDEX($F$1531:$F$2030,AB2254))</x:f>
        <x:v>2701 Castor Ave, Philadelphia, PA, 19134</x:v>
      </x:c>
      <x:c r="AE2254" s="1" t="str">
        <x:f>IF(A2254="","",F205)</x:f>
        <x:v>3380 RICHMOND ST</x:v>
      </x:c>
      <x:c r="AF2254" s="1" t="n">
        <x:f>IF(ISNUMBER(I205),I205,"")</x:f>
        <x:v>39.98529996</x:v>
      </x:c>
      <x:c r="AG2254" s="1" t="n">
        <x:f>IF(ISNUMBER(J205),J205,"")</x:f>
        <x:v>-75.09718185</x:v>
      </x:c>
      <x:c r="AH2254" s="1" t="str">
        <x:f>IF(I2254=0,"Not contacted",IF(INDEX('Staff Review'!$J$8:$J$507,I2254)="","Not contacted",INDEX('Staff Review'!$J$8:$J$507,I2254)))</x:f>
        <x:v>Not contacted</x:v>
      </x:c>
      <x:c r="AI2254" s="1" t="str">
        <x:f>IF(I2254=0,"No",IF(AND(COUNT(INDEX('Staff Review'!$D$8:$D$507,I2254))=1,INDEX('Staff Review'!$D$8:$D$507,I2254)&gt;=0,COUNT(INDEX('Staff Review'!$E$8:$E$507,I2254))=1,INDEX('Staff Review'!$E$8:$E$507,I2254)&gt;0,INDEX('Staff Review'!$E$8:$E$507,I2254)&lt;='Top 15'!$E$5,'Top 15'!$E$5-INDEX('Staff Review'!$E$8:$E$507,I2254)&lt;='Top 15'!$H$5,LEN(INDEX('Staff Review'!$H$8:$H$507,I2254))&gt;0),"Yes","No"))</x:f>
        <x:v>No</x:v>
      </x:c>
      <x:c r="AJ2254" s="1" t="str">
        <x:f>IF(I2254=0,"No",IF(COUNT(INDEX('Staff Review'!$F$8:$F$507,I2254))&lt;&gt;1,"No",IF(AND(INDEX('Staff Review'!$F$8:$F$507,I2254)&gt;=0,MOD(INDEX('Staff Review'!$F$8:$F$507,I2254),1)=0,COUNT(INDEX('Staff Review'!$G$8:$G$507,I2254))=1,INDEX('Staff Review'!$G$8:$G$507,I2254)&gt;0,INDEX('Staff Review'!$G$8:$G$507,I2254)&lt;='Top 15'!$E$5,'Top 15'!$E$5-INDEX('Staff Review'!$G$8:$G$507,I2254)&lt;='Top 15'!$H$5,LEN(INDEX('Staff Review'!$H$8:$H$507,I2254))&gt;0),"Yes","No")))</x:f>
        <x:v>No</x:v>
      </x:c>
      <x:c r="AK2254" s="1" t="n">
        <x:f>IF(A2254="",0,COUNTIFS($A$2:$A$501,A2254))</x:f>
        <x:v>1</x:v>
      </x:c>
      <x:c r="AL2254" s="1" t="n">
        <x:f>IF(V2254="Candidate",1,0)</x:f>
        <x:v>1</x:v>
      </x:c>
      <x:c r="AM2254" s="1" t="n">
        <x:f>IF(A2254="",0,VALUE(A2254))</x:f>
        <x:v>5430</x:v>
      </x:c>
      <x:c r="AN2254" s="1" t="n">
        <x:f>IF(OR(A2254="",COUNTIFS($T$41:$T$540,A2254)&lt;&gt;1),0,MATCH(A2254,$T$41:$T$540,0))</x:f>
        <x:v>204</x:v>
      </x:c>
      <x:c r="AO2254" t="n">
        <x:f>IF(ISNUMBER(W2254),W2254,10000+AM2254)</x:f>
        <x:v>119</x:v>
      </x:c>
    </x:row>
    <x:row r="2255" ht="22" customHeight="1">
      <x:c r="A2255" s="1" t="str">
        <x:f>IF(A206="","",A206)</x:f>
        <x:v>5440</x:v>
      </x:c>
      <x:c r="B2255" s="1" t="str">
        <x:f>IF(A2255="","",B206)</x:f>
        <x:v>Frances E. Willard School</x:v>
      </x:c>
      <x:c r="C2255" s="1" t="str">
        <x:f>IF(A2255="","",C206)</x:f>
        <x:v>District</x:v>
      </x:c>
      <x:c r="D2255" s="1" t="str">
        <x:f>IF(A2255="","",E206)</x:f>
        <x:v>Elementary</x:v>
      </x:c>
      <x:c r="E2255" s="1" t="str">
        <x:f>IF(A2255="","",H206)</x:f>
        <x:v>19134</x:v>
      </x:c>
      <x:c r="F2255" s="1" t="n">
        <x:f>IF(ISNUMBER(K206),K206,"")</x:f>
        <x:v>352</x:v>
      </x:c>
      <x:c r="G2255" s="1" t="n">
        <x:f>IF(ISNUMBER(L206),L206,"")</x:f>
        <x:v>0.9342</x:v>
      </x:c>
      <x:c r="H2255" s="1" t="str">
        <x:f>IF(A2255="","",IF(AND(UPPER(G206)="PHILADELPHIA",OR(C2255="District",AND(C2255="Charter",D206="Yes"))),"Yes","No"))</x:f>
        <x:v>Yes</x:v>
      </x:c>
      <x:c r="I2255" s="1" t="n">
        <x:f>IF(OR(A2255="",COUNTIFS('Staff Review'!$A$8:$A$507,A2255)&lt;&gt;1),0,MATCH(A2255,'Staff Review'!$A$8:$A$507,0))</x:f>
        <x:v>79</x:v>
      </x:c>
      <x:c r="J2255" s="1" t="str">
        <x:f>IF(I2255=0,"No",IF(INDEX('Staff Review'!$C$8:$C$507,I2255)="Yes","Yes","No"))</x:f>
        <x:v>No</x:v>
      </x:c>
      <x:c r="K2255" s="1" t="n">
        <x:f>IF(AI2255="Yes",INDEX('Staff Review'!$D$8:$D$507,I2255),IF(AB2255=0,"",IF(COUNT(INDEX($C$1531:$C$2030,AB2255))=1,INDEX($C$1531:$C$2030,AB2255),"")))</x:f>
        <x:v>0.6403094193174473</x:v>
      </x:c>
      <x:c r="L2255" s="1" t="n">
        <x:f>IF(AJ2255="Yes",INDEX('Staff Review'!$F$8:$F$507,I2255),IF(AB2255=0,"",IF(COUNT(INDEX($G$1531:$G$2030,AB2255))=1,INDEX($G$1531:$G$2030,AB2255),"")))</x:f>
        <x:v>12</x:v>
      </x:c>
      <x:c r="M2255" s="1" t="str">
        <x:f>IF(A2255="","",IF(AI2255="Yes","Verified","Listed"))</x:f>
        <x:v>Listed</x:v>
      </x:c>
      <x:c r="N2255" s="1" t="str">
        <x:f>IF(A2255="","",IF(AJ2255="Yes","Verified","Listed"))</x:f>
        <x:v>Listed</x:v>
      </x:c>
      <x:c r="O2255" s="1" t="n">
        <x:f>IF(AND(ISNUMBER(G2255),G2255&gt;=0,G2255&lt;=1),IF(G2255&gt;=0.9,30,IF(G2255&gt;=0.8,25,IF(G2255&gt;=0.7,20,IF(G2255&gt;=0.6,15,IF(G2255&gt;=0.5,10,IF(G2255&gt;=0.4,5,0)))))),"")</x:f>
        <x:v>30</x:v>
      </x:c>
      <x:c r="P2255" s="1" t="n">
        <x:f>IF(ISNUMBER(K2255),IF(K2255&lt;0,"",IF(K2255&gt;1,25,IF(K2255&gt;=0.75,20,IF(K2255&gt;=0.5,15,IF(K2255&gt;=0.25,10,5))))),"")</x:f>
        <x:v>15</x:v>
      </x:c>
      <x:c r="Q2255" s="1" t="n">
        <x:f>IF(NOT(ISNUMBER(L2255)),"",IF(AND(L2255&gt;=0,MOD(L2255,1)=0),MAX(0,25-5*L2255),""))</x:f>
        <x:v>0</x:v>
      </x:c>
      <x:c r="R2255" s="1" t="n">
        <x:f>IF(NOT(ISNUMBER(F2255)),"",IF(AND(F2255&gt;0,MOD(F2255,1)=0),IF(F2255&gt;=700,5,IF(F2255&gt;=500,4,IF(F2255&gt;=350,3,IF(F2255&gt;=200,2,1)))),""))</x:f>
        <x:v>3</x:v>
      </x:c>
      <x:c r="S2255" s="1" t="n">
        <x:f>IF(COUNT(O2255:R2255)=4,SUM(O2255:R2255),"")</x:f>
        <x:v>48</x:v>
      </x:c>
      <x:c r="T2255" s="1" t="n">
        <x:f>IF(OR(COUNT(O2255:R2255)&lt;&gt;4,COUNT('Top 15'!$B$35:$E$35)&lt;&gt;4,MIN('Top 15'!$B$35:$E$35)&lt;0,SUM('Top 15'!$B$35:$E$35)&lt;=0),"",ROUND(85*(O2255/30*'Top 15'!$B$35+P2255/25*'Top 15'!$C$35+Q2255/25*'Top 15'!$D$35+R2255/5*'Top 15'!$E$35)/SUM('Top 15'!$B$35:$E$35),6))</x:f>
        <x:v>48</x:v>
      </x:c>
      <x:c r="U2255" s="1" t="str">
        <x:f>IF(A2255="","",IF(AND(M2255="Verified",N2255="Verified"),"Verified",IF(AND(M2255="Listed",N2255="Listed"),"Listed","Mixed")))</x:f>
        <x:v>Listed</x:v>
      </x:c>
      <x:c r="V2255" s="1" t="str">
        <x:f>IF(A2255="","",IF(AK2255&lt;&gt;1,"Duplicate source ID",IF(COUNTIFS('Staff Review'!$A$8:$A$507,A2255)&gt;1,"Duplicate review ID",IF(H2255&lt;&gt;"Yes","Outside scope",IF(J2255="Yes","Already served",IF(NOT(ISNUMBER(T2255)),"Missing data","Candidate"))))))</x:f>
        <x:v>Candidate</x:v>
      </x:c>
      <x:c r="W2255" s="1" t="n">
        <x:f>IF(AL2255=0,"",1+COUNTIFS($AL$2051:$AL$2550,1,$T$2051:$T$2550,"&gt;"&amp;T2255)+COUNTIFS($AL$2051:$AL$2550,1,$T$2051:$T$2550,T2255,$G$2051:$G$2550,"&gt;"&amp;G2255)+COUNTIFS($AL$2051:$AL$2550,1,$T$2051:$T$2550,T2255,$G$2051:$G$2550,G2255,$F$2051:$F$2550,"&gt;"&amp;F2255)+COUNTIFS($AL$2051:$AL$2550,1,$T$2051:$T$2550,T2255,$G$2051:$G$2550,G2255,$F$2051:$F$2550,F2255,$AM$2051:$AM$2550,"&lt;"&amp;AM2255))</x:f>
        <x:v>56</x:v>
      </x:c>
      <x:c r="X2255" s="1" t="n">
        <x:f>IF(AL2255=0,"",1+COUNTIFS($AL$2051:$AL$2550,1,$T$2051:$T$2550,"&gt;"&amp;T2255))</x:f>
        <x:v>56</x:v>
      </x:c>
      <x:c r="Y2255" s="1" t="n">
        <x:f>IF(AND(H2255="Yes",OR(LEN('School Search'!$B$5)=0,ISNUMBER(SEARCH('School Search'!$B$5,B2255&amp;" "&amp;E2255&amp;" "&amp;A2255))),OR('School Search'!$D$5="All",C2255='School Search'!$D$5),OR('School Search'!$G$5="All eligible",AND('School Search'!$G$5="Not marked served",J2255&lt;&gt;"Yes"),AND('School Search'!$G$5="Missing data",V2255="Missing data"),AND('School Search'!$G$5="Marked served",J2255="Yes"))),1,0)</x:f>
        <x:v>1</x:v>
      </x:c>
      <x:c r="Z2255" s="1" t="n">
        <x:f>IF(Y2255=0,"",COUNTIFS($Y$2051:$Y$2550,1,$AO$2051:$AO$2550,"&lt;"&amp;AO2255)+COUNTIFS($Y$2051:Y2255,1,$AO$2051:AO2255,AO2255))</x:f>
        <x:v>56</x:v>
      </x:c>
      <x:c r="AA2255" s="1" t="str">
        <x:f>IF(NOT(ISNUMBER(S2255)),"Missing demographic or access input",TEXT(G2255,"0%")&amp;" economic need; "&amp;TEXT(K2255,"0.00")&amp;" mi fresh access; "&amp;L2255&amp;" nearby resources")</x:f>
        <x:v>93% economic need; 0.64 mi fresh access; 12 nearby resources</x:v>
      </x:c>
      <x:c r="AB2255" s="1" t="n">
        <x:f>IF(OR(A2255="",COUNTIFS($A$1531:$A$2030,A2255)&lt;&gt;1),0,MATCH(A2255,$A$1531:$A$2030,0))</x:f>
        <x:v>205</x:v>
      </x:c>
      <x:c r="AC2255" s="1" t="str">
        <x:f>IF(AB2255=0,"",INDEX($E$1531:$E$2030,AB2255))</x:f>
        <x:v>Save A Lot 30224</x:v>
      </x:c>
      <x:c r="AD2255" s="1" t="str">
        <x:f>IF(AB2255=0,"",INDEX($F$1531:$F$2030,AB2255))</x:f>
        <x:v>2132 E Lehigh Ave, Philadelphia, PA, 19125</x:v>
      </x:c>
      <x:c r="AE2255" s="1" t="str">
        <x:f>IF(A2255="","",F206)</x:f>
        <x:v>1930 E ELKHART ST</x:v>
      </x:c>
      <x:c r="AF2255" s="1" t="n">
        <x:f>IF(ISNUMBER(I206),I206,"")</x:f>
        <x:v>39.993065</x:v>
      </x:c>
      <x:c r="AG2255" s="1" t="n">
        <x:f>IF(ISNUMBER(J206),J206,"")</x:f>
        <x:v>-75.115907</x:v>
      </x:c>
      <x:c r="AH2255" s="1" t="str">
        <x:f>IF(I2255=0,"Not contacted",IF(INDEX('Staff Review'!$J$8:$J$507,I2255)="","Not contacted",INDEX('Staff Review'!$J$8:$J$507,I2255)))</x:f>
        <x:v>Not contacted</x:v>
      </x:c>
      <x:c r="AI2255" s="1" t="str">
        <x:f>IF(I2255=0,"No",IF(AND(COUNT(INDEX('Staff Review'!$D$8:$D$507,I2255))=1,INDEX('Staff Review'!$D$8:$D$507,I2255)&gt;=0,COUNT(INDEX('Staff Review'!$E$8:$E$507,I2255))=1,INDEX('Staff Review'!$E$8:$E$507,I2255)&gt;0,INDEX('Staff Review'!$E$8:$E$507,I2255)&lt;='Top 15'!$E$5,'Top 15'!$E$5-INDEX('Staff Review'!$E$8:$E$507,I2255)&lt;='Top 15'!$H$5,LEN(INDEX('Staff Review'!$H$8:$H$507,I2255))&gt;0),"Yes","No"))</x:f>
        <x:v>No</x:v>
      </x:c>
      <x:c r="AJ2255" s="1" t="str">
        <x:f>IF(I2255=0,"No",IF(COUNT(INDEX('Staff Review'!$F$8:$F$507,I2255))&lt;&gt;1,"No",IF(AND(INDEX('Staff Review'!$F$8:$F$507,I2255)&gt;=0,MOD(INDEX('Staff Review'!$F$8:$F$507,I2255),1)=0,COUNT(INDEX('Staff Review'!$G$8:$G$507,I2255))=1,INDEX('Staff Review'!$G$8:$G$507,I2255)&gt;0,INDEX('Staff Review'!$G$8:$G$507,I2255)&lt;='Top 15'!$E$5,'Top 15'!$E$5-INDEX('Staff Review'!$G$8:$G$507,I2255)&lt;='Top 15'!$H$5,LEN(INDEX('Staff Review'!$H$8:$H$507,I2255))&gt;0),"Yes","No")))</x:f>
        <x:v>No</x:v>
      </x:c>
      <x:c r="AK2255" s="1" t="n">
        <x:f>IF(A2255="",0,COUNTIFS($A$2:$A$501,A2255))</x:f>
        <x:v>1</x:v>
      </x:c>
      <x:c r="AL2255" s="1" t="n">
        <x:f>IF(V2255="Candidate",1,0)</x:f>
        <x:v>1</x:v>
      </x:c>
      <x:c r="AM2255" s="1" t="n">
        <x:f>IF(A2255="",0,VALUE(A2255))</x:f>
        <x:v>5440</x:v>
      </x:c>
      <x:c r="AN2255" s="1" t="n">
        <x:f>IF(OR(A2255="",COUNTIFS($T$41:$T$540,A2255)&lt;&gt;1),0,MATCH(A2255,$T$41:$T$540,0))</x:f>
        <x:v>205</x:v>
      </x:c>
      <x:c r="AO2255" t="n">
        <x:f>IF(ISNUMBER(W2255),W2255,10000+AM2255)</x:f>
        <x:v>56</x:v>
      </x:c>
    </x:row>
    <x:row r="2256" ht="22" customHeight="1">
      <x:c r="A2256" s="1" t="str">
        <x:f>IF(A207="","",A207)</x:f>
        <x:v>5470</x:v>
      </x:c>
      <x:c r="B2256" s="1" t="str">
        <x:f>IF(A2256="","",B207)</x:f>
        <x:v>William Cramp School</x:v>
      </x:c>
      <x:c r="C2256" s="1" t="str">
        <x:f>IF(A2256="","",C207)</x:f>
        <x:v>District</x:v>
      </x:c>
      <x:c r="D2256" s="1" t="str">
        <x:f>IF(A2256="","",E207)</x:f>
        <x:v>Elementary</x:v>
      </x:c>
      <x:c r="E2256" s="1" t="str">
        <x:f>IF(A2256="","",H207)</x:f>
        <x:v>19140</x:v>
      </x:c>
      <x:c r="F2256" s="1" t="n">
        <x:f>IF(ISNUMBER(K207),K207,"")</x:f>
        <x:v>317</x:v>
      </x:c>
      <x:c r="G2256" s="1" t="n">
        <x:f>IF(ISNUMBER(L207),L207,"")</x:f>
        <x:v>0.9028</x:v>
      </x:c>
      <x:c r="H2256" s="1" t="str">
        <x:f>IF(A2256="","",IF(AND(UPPER(G207)="PHILADELPHIA",OR(C2256="District",AND(C2256="Charter",D207="Yes"))),"Yes","No"))</x:f>
        <x:v>Yes</x:v>
      </x:c>
      <x:c r="I2256" s="1" t="n">
        <x:f>IF(OR(A2256="",COUNTIFS('Staff Review'!$A$8:$A$507,A2256)&lt;&gt;1),0,MATCH(A2256,'Staff Review'!$A$8:$A$507,0))</x:f>
        <x:v>314</x:v>
      </x:c>
      <x:c r="J2256" s="1" t="str">
        <x:f>IF(I2256=0,"No",IF(INDEX('Staff Review'!$C$8:$C$507,I2256)="Yes","Yes","No"))</x:f>
        <x:v>No</x:v>
      </x:c>
      <x:c r="K2256" s="1" t="n">
        <x:f>IF(AI2256="Yes",INDEX('Staff Review'!$D$8:$D$507,I2256),IF(AB2256=0,"",IF(COUNT(INDEX($C$1531:$C$2030,AB2256))=1,INDEX($C$1531:$C$2030,AB2256),"")))</x:f>
        <x:v>0.3393336462114892</x:v>
      </x:c>
      <x:c r="L2256" s="1" t="n">
        <x:f>IF(AJ2256="Yes",INDEX('Staff Review'!$F$8:$F$507,I2256),IF(AB2256=0,"",IF(COUNT(INDEX($G$1531:$G$2030,AB2256))=1,INDEX($G$1531:$G$2030,AB2256),"")))</x:f>
        <x:v>13</x:v>
      </x:c>
      <x:c r="M2256" s="1" t="str">
        <x:f>IF(A2256="","",IF(AI2256="Yes","Verified","Listed"))</x:f>
        <x:v>Listed</x:v>
      </x:c>
      <x:c r="N2256" s="1" t="str">
        <x:f>IF(A2256="","",IF(AJ2256="Yes","Verified","Listed"))</x:f>
        <x:v>Listed</x:v>
      </x:c>
      <x:c r="O2256" s="1" t="n">
        <x:f>IF(AND(ISNUMBER(G2256),G2256&gt;=0,G2256&lt;=1),IF(G2256&gt;=0.9,30,IF(G2256&gt;=0.8,25,IF(G2256&gt;=0.7,20,IF(G2256&gt;=0.6,15,IF(G2256&gt;=0.5,10,IF(G2256&gt;=0.4,5,0)))))),"")</x:f>
        <x:v>30</x:v>
      </x:c>
      <x:c r="P2256" s="1" t="n">
        <x:f>IF(ISNUMBER(K2256),IF(K2256&lt;0,"",IF(K2256&gt;1,25,IF(K2256&gt;=0.75,20,IF(K2256&gt;=0.5,15,IF(K2256&gt;=0.25,10,5))))),"")</x:f>
        <x:v>10</x:v>
      </x:c>
      <x:c r="Q2256" s="1" t="n">
        <x:f>IF(NOT(ISNUMBER(L2256)),"",IF(AND(L2256&gt;=0,MOD(L2256,1)=0),MAX(0,25-5*L2256),""))</x:f>
        <x:v>0</x:v>
      </x:c>
      <x:c r="R2256" s="1" t="n">
        <x:f>IF(NOT(ISNUMBER(F2256)),"",IF(AND(F2256&gt;0,MOD(F2256,1)=0),IF(F2256&gt;=700,5,IF(F2256&gt;=500,4,IF(F2256&gt;=350,3,IF(F2256&gt;=200,2,1)))),""))</x:f>
        <x:v>2</x:v>
      </x:c>
      <x:c r="S2256" s="1" t="n">
        <x:f>IF(COUNT(O2256:R2256)=4,SUM(O2256:R2256),"")</x:f>
        <x:v>42</x:v>
      </x:c>
      <x:c r="T2256" s="1" t="n">
        <x:f>IF(OR(COUNT(O2256:R2256)&lt;&gt;4,COUNT('Top 15'!$B$35:$E$35)&lt;&gt;4,MIN('Top 15'!$B$35:$E$35)&lt;0,SUM('Top 15'!$B$35:$E$35)&lt;=0),"",ROUND(85*(O2256/30*'Top 15'!$B$35+P2256/25*'Top 15'!$C$35+Q2256/25*'Top 15'!$D$35+R2256/5*'Top 15'!$E$35)/SUM('Top 15'!$B$35:$E$35),6))</x:f>
        <x:v>42</x:v>
      </x:c>
      <x:c r="U2256" s="1" t="str">
        <x:f>IF(A2256="","",IF(AND(M2256="Verified",N2256="Verified"),"Verified",IF(AND(M2256="Listed",N2256="Listed"),"Listed","Mixed")))</x:f>
        <x:v>Listed</x:v>
      </x:c>
      <x:c r="V2256" s="1" t="str">
        <x:f>IF(A2256="","",IF(AK2256&lt;&gt;1,"Duplicate source ID",IF(COUNTIFS('Staff Review'!$A$8:$A$507,A2256)&gt;1,"Duplicate review ID",IF(H2256&lt;&gt;"Yes","Outside scope",IF(J2256="Yes","Already served",IF(NOT(ISNUMBER(T2256)),"Missing data","Candidate"))))))</x:f>
        <x:v>Candidate</x:v>
      </x:c>
      <x:c r="W2256" s="1" t="n">
        <x:f>IF(AL2256=0,"",1+COUNTIFS($AL$2051:$AL$2550,1,$T$2051:$T$2550,"&gt;"&amp;T2256)+COUNTIFS($AL$2051:$AL$2550,1,$T$2051:$T$2550,T2256,$G$2051:$G$2550,"&gt;"&amp;G2256)+COUNTIFS($AL$2051:$AL$2550,1,$T$2051:$T$2550,T2256,$G$2051:$G$2550,G2256,$F$2051:$F$2550,"&gt;"&amp;F2256)+COUNTIFS($AL$2051:$AL$2550,1,$T$2051:$T$2550,T2256,$G$2051:$G$2550,G2256,$F$2051:$F$2550,F2256,$AM$2051:$AM$2550,"&lt;"&amp;AM2256))</x:f>
        <x:v>109</x:v>
      </x:c>
      <x:c r="X2256" s="1" t="n">
        <x:f>IF(AL2256=0,"",1+COUNTIFS($AL$2051:$AL$2550,1,$T$2051:$T$2550,"&gt;"&amp;T2256))</x:f>
        <x:v>101</x:v>
      </x:c>
      <x:c r="Y2256" s="1" t="n">
        <x:f>IF(AND(H2256="Yes",OR(LEN('School Search'!$B$5)=0,ISNUMBER(SEARCH('School Search'!$B$5,B2256&amp;" "&amp;E2256&amp;" "&amp;A2256))),OR('School Search'!$D$5="All",C2256='School Search'!$D$5),OR('School Search'!$G$5="All eligible",AND('School Search'!$G$5="Not marked served",J2256&lt;&gt;"Yes"),AND('School Search'!$G$5="Missing data",V2256="Missing data"),AND('School Search'!$G$5="Marked served",J2256="Yes"))),1,0)</x:f>
        <x:v>1</x:v>
      </x:c>
      <x:c r="Z2256" s="1" t="n">
        <x:f>IF(Y2256=0,"",COUNTIFS($Y$2051:$Y$2550,1,$AO$2051:$AO$2550,"&lt;"&amp;AO2256)+COUNTIFS($Y$2051:Y2256,1,$AO$2051:AO2256,AO2256))</x:f>
        <x:v>109</x:v>
      </x:c>
      <x:c r="AA2256" s="1" t="str">
        <x:f>IF(NOT(ISNUMBER(S2256)),"Missing demographic or access input",TEXT(G2256,"0%")&amp;" economic need; "&amp;TEXT(K2256,"0.00")&amp;" mi fresh access; "&amp;L2256&amp;" nearby resources")</x:f>
        <x:v>90% economic need; 0.34 mi fresh access; 13 nearby resources</x:v>
      </x:c>
      <x:c r="AB2256" s="1" t="n">
        <x:f>IF(OR(A2256="",COUNTIFS($A$1531:$A$2030,A2256)&lt;&gt;1),0,MATCH(A2256,$A$1531:$A$2030,0))</x:f>
        <x:v>206</x:v>
      </x:c>
      <x:c r="AC2256" s="1" t="str">
        <x:f>IF(AB2256=0,"",INDEX($E$1531:$E$2030,AB2256))</x:f>
        <x:v>Fresh Supermarket Inc/ Cousins Family Market</x:v>
      </x:c>
      <x:c r="AD2256" s="1" t="str">
        <x:f>IF(AB2256=0,"",INDEX($F$1531:$F$2030,AB2256))</x:f>
        <x:v>203 E Allegheny Ave, Philadelphia, PA, 19134</x:v>
      </x:c>
      <x:c r="AE2256" s="1" t="str">
        <x:f>IF(A2256="","",F207)</x:f>
        <x:v>3449 N MASCHER ST</x:v>
      </x:c>
      <x:c r="AF2256" s="1" t="n">
        <x:f>IF(ISNUMBER(I207),I207,"")</x:f>
        <x:v>40.00260657</x:v>
      </x:c>
      <x:c r="AG2256" s="1" t="n">
        <x:f>IF(ISNUMBER(J207),J207,"")</x:f>
        <x:v>-75.13036297</x:v>
      </x:c>
      <x:c r="AH2256" s="1" t="str">
        <x:f>IF(I2256=0,"Not contacted",IF(INDEX('Staff Review'!$J$8:$J$507,I2256)="","Not contacted",INDEX('Staff Review'!$J$8:$J$507,I2256)))</x:f>
        <x:v>Not contacted</x:v>
      </x:c>
      <x:c r="AI2256" s="1" t="str">
        <x:f>IF(I2256=0,"No",IF(AND(COUNT(INDEX('Staff Review'!$D$8:$D$507,I2256))=1,INDEX('Staff Review'!$D$8:$D$507,I2256)&gt;=0,COUNT(INDEX('Staff Review'!$E$8:$E$507,I2256))=1,INDEX('Staff Review'!$E$8:$E$507,I2256)&gt;0,INDEX('Staff Review'!$E$8:$E$507,I2256)&lt;='Top 15'!$E$5,'Top 15'!$E$5-INDEX('Staff Review'!$E$8:$E$507,I2256)&lt;='Top 15'!$H$5,LEN(INDEX('Staff Review'!$H$8:$H$507,I2256))&gt;0),"Yes","No"))</x:f>
        <x:v>No</x:v>
      </x:c>
      <x:c r="AJ2256" s="1" t="str">
        <x:f>IF(I2256=0,"No",IF(COUNT(INDEX('Staff Review'!$F$8:$F$507,I2256))&lt;&gt;1,"No",IF(AND(INDEX('Staff Review'!$F$8:$F$507,I2256)&gt;=0,MOD(INDEX('Staff Review'!$F$8:$F$507,I2256),1)=0,COUNT(INDEX('Staff Review'!$G$8:$G$507,I2256))=1,INDEX('Staff Review'!$G$8:$G$507,I2256)&gt;0,INDEX('Staff Review'!$G$8:$G$507,I2256)&lt;='Top 15'!$E$5,'Top 15'!$E$5-INDEX('Staff Review'!$G$8:$G$507,I2256)&lt;='Top 15'!$H$5,LEN(INDEX('Staff Review'!$H$8:$H$507,I2256))&gt;0),"Yes","No")))</x:f>
        <x:v>No</x:v>
      </x:c>
      <x:c r="AK2256" s="1" t="n">
        <x:f>IF(A2256="",0,COUNTIFS($A$2:$A$501,A2256))</x:f>
        <x:v>1</x:v>
      </x:c>
      <x:c r="AL2256" s="1" t="n">
        <x:f>IF(V2256="Candidate",1,0)</x:f>
        <x:v>1</x:v>
      </x:c>
      <x:c r="AM2256" s="1" t="n">
        <x:f>IF(A2256="",0,VALUE(A2256))</x:f>
        <x:v>5470</x:v>
      </x:c>
      <x:c r="AN2256" s="1" t="n">
        <x:f>IF(OR(A2256="",COUNTIFS($T$41:$T$540,A2256)&lt;&gt;1),0,MATCH(A2256,$T$41:$T$540,0))</x:f>
        <x:v>206</x:v>
      </x:c>
      <x:c r="AO2256" t="n">
        <x:f>IF(ISNUMBER(W2256),W2256,10000+AM2256)</x:f>
        <x:v>109</x:v>
      </x:c>
    </x:row>
    <x:row r="2257" ht="22" customHeight="1">
      <x:c r="A2257" s="1" t="str">
        <x:f>IF(A208="","",A208)</x:f>
        <x:v>5480</x:v>
      </x:c>
      <x:c r="B2257" s="1" t="str">
        <x:f>IF(A2257="","",B208)</x:f>
        <x:v>General Philip Kearny School</x:v>
      </x:c>
      <x:c r="C2257" s="1" t="str">
        <x:f>IF(A2257="","",C208)</x:f>
        <x:v>District</x:v>
      </x:c>
      <x:c r="D2257" s="1" t="str">
        <x:f>IF(A2257="","",E208)</x:f>
        <x:v>Elementary-Middle</x:v>
      </x:c>
      <x:c r="E2257" s="1" t="str">
        <x:f>IF(A2257="","",H208)</x:f>
        <x:v>19123</x:v>
      </x:c>
      <x:c r="F2257" s="1" t="n">
        <x:f>IF(ISNUMBER(K208),K208,"")</x:f>
        <x:v>193</x:v>
      </x:c>
      <x:c r="G2257" s="1" t="n">
        <x:f>IF(ISNUMBER(L208),L208,"")</x:f>
        <x:v>0.9067</x:v>
      </x:c>
      <x:c r="H2257" s="1" t="str">
        <x:f>IF(A2257="","",IF(AND(UPPER(G208)="PHILADELPHIA",OR(C2257="District",AND(C2257="Charter",D208="Yes"))),"Yes","No"))</x:f>
        <x:v>Yes</x:v>
      </x:c>
      <x:c r="I2257" s="1" t="n">
        <x:f>IF(OR(A2257="",COUNTIFS('Staff Review'!$A$8:$A$507,A2257)&lt;&gt;1),0,MATCH(A2257,'Staff Review'!$A$8:$A$507,0))</x:f>
        <x:v>93</x:v>
      </x:c>
      <x:c r="J2257" s="1" t="str">
        <x:f>IF(I2257=0,"No",IF(INDEX('Staff Review'!$C$8:$C$507,I2257)="Yes","Yes","No"))</x:f>
        <x:v>No</x:v>
      </x:c>
      <x:c r="K2257" s="1" t="n">
        <x:f>IF(AI2257="Yes",INDEX('Staff Review'!$D$8:$D$507,I2257),IF(AB2257=0,"",IF(COUNT(INDEX($C$1531:$C$2030,AB2257))=1,INDEX($C$1531:$C$2030,AB2257),"")))</x:f>
        <x:v>0.2886359029761578</x:v>
      </x:c>
      <x:c r="L2257" s="1" t="n">
        <x:f>IF(AJ2257="Yes",INDEX('Staff Review'!$F$8:$F$507,I2257),IF(AB2257=0,"",IF(COUNT(INDEX($G$1531:$G$2030,AB2257))=1,INDEX($G$1531:$G$2030,AB2257),"")))</x:f>
        <x:v>11</x:v>
      </x:c>
      <x:c r="M2257" s="1" t="str">
        <x:f>IF(A2257="","",IF(AI2257="Yes","Verified","Listed"))</x:f>
        <x:v>Listed</x:v>
      </x:c>
      <x:c r="N2257" s="1" t="str">
        <x:f>IF(A2257="","",IF(AJ2257="Yes","Verified","Listed"))</x:f>
        <x:v>Listed</x:v>
      </x:c>
      <x:c r="O2257" s="1" t="n">
        <x:f>IF(AND(ISNUMBER(G2257),G2257&gt;=0,G2257&lt;=1),IF(G2257&gt;=0.9,30,IF(G2257&gt;=0.8,25,IF(G2257&gt;=0.7,20,IF(G2257&gt;=0.6,15,IF(G2257&gt;=0.5,10,IF(G2257&gt;=0.4,5,0)))))),"")</x:f>
        <x:v>30</x:v>
      </x:c>
      <x:c r="P2257" s="1" t="n">
        <x:f>IF(ISNUMBER(K2257),IF(K2257&lt;0,"",IF(K2257&gt;1,25,IF(K2257&gt;=0.75,20,IF(K2257&gt;=0.5,15,IF(K2257&gt;=0.25,10,5))))),"")</x:f>
        <x:v>10</x:v>
      </x:c>
      <x:c r="Q2257" s="1" t="n">
        <x:f>IF(NOT(ISNUMBER(L2257)),"",IF(AND(L2257&gt;=0,MOD(L2257,1)=0),MAX(0,25-5*L2257),""))</x:f>
        <x:v>0</x:v>
      </x:c>
      <x:c r="R2257" s="1" t="n">
        <x:f>IF(NOT(ISNUMBER(F2257)),"",IF(AND(F2257&gt;0,MOD(F2257,1)=0),IF(F2257&gt;=700,5,IF(F2257&gt;=500,4,IF(F2257&gt;=350,3,IF(F2257&gt;=200,2,1)))),""))</x:f>
        <x:v>1</x:v>
      </x:c>
      <x:c r="S2257" s="1" t="n">
        <x:f>IF(COUNT(O2257:R2257)=4,SUM(O2257:R2257),"")</x:f>
        <x:v>41</x:v>
      </x:c>
      <x:c r="T2257" s="1" t="n">
        <x:f>IF(OR(COUNT(O2257:R2257)&lt;&gt;4,COUNT('Top 15'!$B$35:$E$35)&lt;&gt;4,MIN('Top 15'!$B$35:$E$35)&lt;0,SUM('Top 15'!$B$35:$E$35)&lt;=0),"",ROUND(85*(O2257/30*'Top 15'!$B$35+P2257/25*'Top 15'!$C$35+Q2257/25*'Top 15'!$D$35+R2257/5*'Top 15'!$E$35)/SUM('Top 15'!$B$35:$E$35),6))</x:f>
        <x:v>41</x:v>
      </x:c>
      <x:c r="U2257" s="1" t="str">
        <x:f>IF(A2257="","",IF(AND(M2257="Verified",N2257="Verified"),"Verified",IF(AND(M2257="Listed",N2257="Listed"),"Listed","Mixed")))</x:f>
        <x:v>Listed</x:v>
      </x:c>
      <x:c r="V2257" s="1" t="str">
        <x:f>IF(A2257="","",IF(AK2257&lt;&gt;1,"Duplicate source ID",IF(COUNTIFS('Staff Review'!$A$8:$A$507,A2257)&gt;1,"Duplicate review ID",IF(H2257&lt;&gt;"Yes","Outside scope",IF(J2257="Yes","Already served",IF(NOT(ISNUMBER(T2257)),"Missing data","Candidate"))))))</x:f>
        <x:v>Candidate</x:v>
      </x:c>
      <x:c r="W2257" s="1" t="n">
        <x:f>IF(AL2257=0,"",1+COUNTIFS($AL$2051:$AL$2550,1,$T$2051:$T$2550,"&gt;"&amp;T2257)+COUNTIFS($AL$2051:$AL$2550,1,$T$2051:$T$2550,T2257,$G$2051:$G$2550,"&gt;"&amp;G2257)+COUNTIFS($AL$2051:$AL$2550,1,$T$2051:$T$2550,T2257,$G$2051:$G$2550,G2257,$F$2051:$F$2550,"&gt;"&amp;F2257)+COUNTIFS($AL$2051:$AL$2550,1,$T$2051:$T$2550,T2257,$G$2051:$G$2550,G2257,$F$2051:$F$2550,F2257,$AM$2051:$AM$2550,"&lt;"&amp;AM2257))</x:f>
        <x:v>129</x:v>
      </x:c>
      <x:c r="X2257" s="1" t="n">
        <x:f>IF(AL2257=0,"",1+COUNTIFS($AL$2051:$AL$2550,1,$T$2051:$T$2550,"&gt;"&amp;T2257))</x:f>
        <x:v>128</x:v>
      </x:c>
      <x:c r="Y2257" s="1" t="n">
        <x:f>IF(AND(H2257="Yes",OR(LEN('School Search'!$B$5)=0,ISNUMBER(SEARCH('School Search'!$B$5,B2257&amp;" "&amp;E2257&amp;" "&amp;A2257))),OR('School Search'!$D$5="All",C2257='School Search'!$D$5),OR('School Search'!$G$5="All eligible",AND('School Search'!$G$5="Not marked served",J2257&lt;&gt;"Yes"),AND('School Search'!$G$5="Missing data",V2257="Missing data"),AND('School Search'!$G$5="Marked served",J2257="Yes"))),1,0)</x:f>
        <x:v>1</x:v>
      </x:c>
      <x:c r="Z2257" s="1" t="n">
        <x:f>IF(Y2257=0,"",COUNTIFS($Y$2051:$Y$2550,1,$AO$2051:$AO$2550,"&lt;"&amp;AO2257)+COUNTIFS($Y$2051:Y2257,1,$AO$2051:AO2257,AO2257))</x:f>
        <x:v>129</x:v>
      </x:c>
      <x:c r="AA2257" s="1" t="str">
        <x:f>IF(NOT(ISNUMBER(S2257)),"Missing demographic or access input",TEXT(G2257,"0%")&amp;" economic need; "&amp;TEXT(K2257,"0.00")&amp;" mi fresh access; "&amp;L2257&amp;" nearby resources")</x:f>
        <x:v>91% economic need; 0.29 mi fresh access; 11 nearby resources</x:v>
      </x:c>
      <x:c r="AB2257" s="1" t="n">
        <x:f>IF(OR(A2257="",COUNTIFS($A$1531:$A$2030,A2257)&lt;&gt;1),0,MATCH(A2257,$A$1531:$A$2030,0))</x:f>
        <x:v>207</x:v>
      </x:c>
      <x:c r="AC2257" s="1" t="str">
        <x:f>IF(AB2257=0,"",INDEX($E$1531:$E$2030,AB2257))</x:f>
        <x:v>Target T3285</x:v>
      </x:c>
      <x:c r="AD2257" s="1" t="str">
        <x:f>IF(AB2257=0,"",INDEX($F$1531:$F$2030,AB2257))</x:f>
        <x:v>456 N 5th St, Philadelphia, PA, 19123</x:v>
      </x:c>
      <x:c r="AE2257" s="1" t="str">
        <x:f>IF(A2257="","",F208)</x:f>
        <x:v>601 FAIRMOUNT AVE</x:v>
      </x:c>
      <x:c r="AF2257" s="1" t="n">
        <x:f>IF(ISNUMBER(I208),I208,"")</x:f>
        <x:v>39.96385753</x:v>
      </x:c>
      <x:c r="AG2257" s="1" t="n">
        <x:f>IF(ISNUMBER(J208),J208,"")</x:f>
        <x:v>-75.14812935</x:v>
      </x:c>
      <x:c r="AH2257" s="1" t="str">
        <x:f>IF(I2257=0,"Not contacted",IF(INDEX('Staff Review'!$J$8:$J$507,I2257)="","Not contacted",INDEX('Staff Review'!$J$8:$J$507,I2257)))</x:f>
        <x:v>Not contacted</x:v>
      </x:c>
      <x:c r="AI2257" s="1" t="str">
        <x:f>IF(I2257=0,"No",IF(AND(COUNT(INDEX('Staff Review'!$D$8:$D$507,I2257))=1,INDEX('Staff Review'!$D$8:$D$507,I2257)&gt;=0,COUNT(INDEX('Staff Review'!$E$8:$E$507,I2257))=1,INDEX('Staff Review'!$E$8:$E$507,I2257)&gt;0,INDEX('Staff Review'!$E$8:$E$507,I2257)&lt;='Top 15'!$E$5,'Top 15'!$E$5-INDEX('Staff Review'!$E$8:$E$507,I2257)&lt;='Top 15'!$H$5,LEN(INDEX('Staff Review'!$H$8:$H$507,I2257))&gt;0),"Yes","No"))</x:f>
        <x:v>No</x:v>
      </x:c>
      <x:c r="AJ2257" s="1" t="str">
        <x:f>IF(I2257=0,"No",IF(COUNT(INDEX('Staff Review'!$F$8:$F$507,I2257))&lt;&gt;1,"No",IF(AND(INDEX('Staff Review'!$F$8:$F$507,I2257)&gt;=0,MOD(INDEX('Staff Review'!$F$8:$F$507,I2257),1)=0,COUNT(INDEX('Staff Review'!$G$8:$G$507,I2257))=1,INDEX('Staff Review'!$G$8:$G$507,I2257)&gt;0,INDEX('Staff Review'!$G$8:$G$507,I2257)&lt;='Top 15'!$E$5,'Top 15'!$E$5-INDEX('Staff Review'!$G$8:$G$507,I2257)&lt;='Top 15'!$H$5,LEN(INDEX('Staff Review'!$H$8:$H$507,I2257))&gt;0),"Yes","No")))</x:f>
        <x:v>No</x:v>
      </x:c>
      <x:c r="AK2257" s="1" t="n">
        <x:f>IF(A2257="",0,COUNTIFS($A$2:$A$501,A2257))</x:f>
        <x:v>1</x:v>
      </x:c>
      <x:c r="AL2257" s="1" t="n">
        <x:f>IF(V2257="Candidate",1,0)</x:f>
        <x:v>1</x:v>
      </x:c>
      <x:c r="AM2257" s="1" t="n">
        <x:f>IF(A2257="",0,VALUE(A2257))</x:f>
        <x:v>5480</x:v>
      </x:c>
      <x:c r="AN2257" s="1" t="n">
        <x:f>IF(OR(A2257="",COUNTIFS($T$41:$T$540,A2257)&lt;&gt;1),0,MATCH(A2257,$T$41:$T$540,0))</x:f>
        <x:v>207</x:v>
      </x:c>
      <x:c r="AO2257" t="n">
        <x:f>IF(ISNUMBER(W2257),W2257,10000+AM2257)</x:f>
        <x:v>129</x:v>
      </x:c>
    </x:row>
    <x:row r="2258" ht="22" customHeight="1">
      <x:c r="A2258" s="1" t="str">
        <x:f>IF(A209="","",A209)</x:f>
        <x:v>5490</x:v>
      </x:c>
      <x:c r="B2258" s="1" t="str">
        <x:f>IF(A2258="","",B209)</x:f>
        <x:v>Cayuga School</x:v>
      </x:c>
      <x:c r="C2258" s="1" t="str">
        <x:f>IF(A2258="","",C209)</x:f>
        <x:v>District</x:v>
      </x:c>
      <x:c r="D2258" s="1" t="str">
        <x:f>IF(A2258="","",E209)</x:f>
        <x:v>Elementary</x:v>
      </x:c>
      <x:c r="E2258" s="1" t="str">
        <x:f>IF(A2258="","",H209)</x:f>
        <x:v>19140</x:v>
      </x:c>
      <x:c r="F2258" s="1" t="n">
        <x:f>IF(ISNUMBER(K209),K209,"")</x:f>
        <x:v>250</x:v>
      </x:c>
      <x:c r="G2258" s="1" t="n">
        <x:f>IF(ISNUMBER(L209),L209,"")</x:f>
        <x:v>0.84</x:v>
      </x:c>
      <x:c r="H2258" s="1" t="str">
        <x:f>IF(A2258="","",IF(AND(UPPER(G209)="PHILADELPHIA",OR(C2258="District",AND(C2258="Charter",D209="Yes"))),"Yes","No"))</x:f>
        <x:v>Yes</x:v>
      </x:c>
      <x:c r="I2258" s="1" t="n">
        <x:f>IF(OR(A2258="",COUNTIFS('Staff Review'!$A$8:$A$507,A2258)&lt;&gt;1),0,MATCH(A2258,'Staff Review'!$A$8:$A$507,0))</x:f>
        <x:v>38</x:v>
      </x:c>
      <x:c r="J2258" s="1" t="str">
        <x:f>IF(I2258=0,"No",IF(INDEX('Staff Review'!$C$8:$C$507,I2258)="Yes","Yes","No"))</x:f>
        <x:v>No</x:v>
      </x:c>
      <x:c r="K2258" s="1" t="n">
        <x:f>IF(AI2258="Yes",INDEX('Staff Review'!$D$8:$D$507,I2258),IF(AB2258=0,"",IF(COUNT(INDEX($C$1531:$C$2030,AB2258))=1,INDEX($C$1531:$C$2030,AB2258),"")))</x:f>
        <x:v>0.3492087885016649</x:v>
      </x:c>
      <x:c r="L2258" s="1" t="n">
        <x:f>IF(AJ2258="Yes",INDEX('Staff Review'!$F$8:$F$507,I2258),IF(AB2258=0,"",IF(COUNT(INDEX($G$1531:$G$2030,AB2258))=1,INDEX($G$1531:$G$2030,AB2258),"")))</x:f>
        <x:v>12</x:v>
      </x:c>
      <x:c r="M2258" s="1" t="str">
        <x:f>IF(A2258="","",IF(AI2258="Yes","Verified","Listed"))</x:f>
        <x:v>Listed</x:v>
      </x:c>
      <x:c r="N2258" s="1" t="str">
        <x:f>IF(A2258="","",IF(AJ2258="Yes","Verified","Listed"))</x:f>
        <x:v>Listed</x:v>
      </x:c>
      <x:c r="O2258" s="1" t="n">
        <x:f>IF(AND(ISNUMBER(G2258),G2258&gt;=0,G2258&lt;=1),IF(G2258&gt;=0.9,30,IF(G2258&gt;=0.8,25,IF(G2258&gt;=0.7,20,IF(G2258&gt;=0.6,15,IF(G2258&gt;=0.5,10,IF(G2258&gt;=0.4,5,0)))))),"")</x:f>
        <x:v>25</x:v>
      </x:c>
      <x:c r="P2258" s="1" t="n">
        <x:f>IF(ISNUMBER(K2258),IF(K2258&lt;0,"",IF(K2258&gt;1,25,IF(K2258&gt;=0.75,20,IF(K2258&gt;=0.5,15,IF(K2258&gt;=0.25,10,5))))),"")</x:f>
        <x:v>10</x:v>
      </x:c>
      <x:c r="Q2258" s="1" t="n">
        <x:f>IF(NOT(ISNUMBER(L2258)),"",IF(AND(L2258&gt;=0,MOD(L2258,1)=0),MAX(0,25-5*L2258),""))</x:f>
        <x:v>0</x:v>
      </x:c>
      <x:c r="R2258" s="1" t="n">
        <x:f>IF(NOT(ISNUMBER(F2258)),"",IF(AND(F2258&gt;0,MOD(F2258,1)=0),IF(F2258&gt;=700,5,IF(F2258&gt;=500,4,IF(F2258&gt;=350,3,IF(F2258&gt;=200,2,1)))),""))</x:f>
        <x:v>2</x:v>
      </x:c>
      <x:c r="S2258" s="1" t="n">
        <x:f>IF(COUNT(O2258:R2258)=4,SUM(O2258:R2258),"")</x:f>
        <x:v>37</x:v>
      </x:c>
      <x:c r="T2258" s="1" t="n">
        <x:f>IF(OR(COUNT(O2258:R2258)&lt;&gt;4,COUNT('Top 15'!$B$35:$E$35)&lt;&gt;4,MIN('Top 15'!$B$35:$E$35)&lt;0,SUM('Top 15'!$B$35:$E$35)&lt;=0),"",ROUND(85*(O2258/30*'Top 15'!$B$35+P2258/25*'Top 15'!$C$35+Q2258/25*'Top 15'!$D$35+R2258/5*'Top 15'!$E$35)/SUM('Top 15'!$B$35:$E$35),6))</x:f>
        <x:v>37</x:v>
      </x:c>
      <x:c r="U2258" s="1" t="str">
        <x:f>IF(A2258="","",IF(AND(M2258="Verified",N2258="Verified"),"Verified",IF(AND(M2258="Listed",N2258="Listed"),"Listed","Mixed")))</x:f>
        <x:v>Listed</x:v>
      </x:c>
      <x:c r="V2258" s="1" t="str">
        <x:f>IF(A2258="","",IF(AK2258&lt;&gt;1,"Duplicate source ID",IF(COUNTIFS('Staff Review'!$A$8:$A$507,A2258)&gt;1,"Duplicate review ID",IF(H2258&lt;&gt;"Yes","Outside scope",IF(J2258="Yes","Already served",IF(NOT(ISNUMBER(T2258)),"Missing data","Candidate"))))))</x:f>
        <x:v>Candidate</x:v>
      </x:c>
      <x:c r="W2258" s="1" t="n">
        <x:f>IF(AL2258=0,"",1+COUNTIFS($AL$2051:$AL$2550,1,$T$2051:$T$2550,"&gt;"&amp;T2258)+COUNTIFS($AL$2051:$AL$2550,1,$T$2051:$T$2550,T2258,$G$2051:$G$2550,"&gt;"&amp;G2258)+COUNTIFS($AL$2051:$AL$2550,1,$T$2051:$T$2550,T2258,$G$2051:$G$2550,G2258,$F$2051:$F$2550,"&gt;"&amp;F2258)+COUNTIFS($AL$2051:$AL$2550,1,$T$2051:$T$2550,T2258,$G$2051:$G$2550,G2258,$F$2051:$F$2550,F2258,$AM$2051:$AM$2550,"&lt;"&amp;AM2258))</x:f>
        <x:v>199</x:v>
      </x:c>
      <x:c r="X2258" s="1" t="n">
        <x:f>IF(AL2258=0,"",1+COUNTIFS($AL$2051:$AL$2550,1,$T$2051:$T$2550,"&gt;"&amp;T2258))</x:f>
        <x:v>182</x:v>
      </x:c>
      <x:c r="Y2258" s="1" t="n">
        <x:f>IF(AND(H2258="Yes",OR(LEN('School Search'!$B$5)=0,ISNUMBER(SEARCH('School Search'!$B$5,B2258&amp;" "&amp;E2258&amp;" "&amp;A2258))),OR('School Search'!$D$5="All",C2258='School Search'!$D$5),OR('School Search'!$G$5="All eligible",AND('School Search'!$G$5="Not marked served",J2258&lt;&gt;"Yes"),AND('School Search'!$G$5="Missing data",V2258="Missing data"),AND('School Search'!$G$5="Marked served",J2258="Yes"))),1,0)</x:f>
        <x:v>1</x:v>
      </x:c>
      <x:c r="Z2258" s="1" t="n">
        <x:f>IF(Y2258=0,"",COUNTIFS($Y$2051:$Y$2550,1,$AO$2051:$AO$2550,"&lt;"&amp;AO2258)+COUNTIFS($Y$2051:Y2258,1,$AO$2051:AO2258,AO2258))</x:f>
        <x:v>199</x:v>
      </x:c>
      <x:c r="AA2258" s="1" t="str">
        <x:f>IF(NOT(ISNUMBER(S2258)),"Missing demographic or access input",TEXT(G2258,"0%")&amp;" economic need; "&amp;TEXT(K2258,"0.00")&amp;" mi fresh access; "&amp;L2258&amp;" nearby resources")</x:f>
        <x:v>84% economic need; 0.35 mi fresh access; 12 nearby resources</x:v>
      </x:c>
      <x:c r="AB2258" s="1" t="n">
        <x:f>IF(OR(A2258="",COUNTIFS($A$1531:$A$2030,A2258)&lt;&gt;1),0,MATCH(A2258,$A$1531:$A$2030,0))</x:f>
        <x:v>208</x:v>
      </x:c>
      <x:c r="AC2258" s="1" t="str">
        <x:f>IF(AB2258=0,"",INDEX($E$1531:$E$2030,AB2258))</x:f>
        <x:v>COUSINS SUPERMARKET INC. #2</x:v>
      </x:c>
      <x:c r="AD2258" s="1" t="str">
        <x:f>IF(AB2258=0,"",INDEX($F$1531:$F$2030,AB2258))</x:f>
        <x:v>4037 N 5th St, Philadelphia, PA, 19140</x:v>
      </x:c>
      <x:c r="AE2258" s="1" t="str">
        <x:f>IF(A2258="","",F209)</x:f>
        <x:v>4344 N 5TH ST</x:v>
      </x:c>
      <x:c r="AF2258" s="1" t="n">
        <x:f>IF(ISNUMBER(I209),I209,"")</x:f>
        <x:v>40.017826</x:v>
      </x:c>
      <x:c r="AG2258" s="1" t="n">
        <x:f>IF(ISNUMBER(J209),J209,"")</x:f>
        <x:v>-75.135246</x:v>
      </x:c>
      <x:c r="AH2258" s="1" t="str">
        <x:f>IF(I2258=0,"Not contacted",IF(INDEX('Staff Review'!$J$8:$J$507,I2258)="","Not contacted",INDEX('Staff Review'!$J$8:$J$507,I2258)))</x:f>
        <x:v>Not contacted</x:v>
      </x:c>
      <x:c r="AI2258" s="1" t="str">
        <x:f>IF(I2258=0,"No",IF(AND(COUNT(INDEX('Staff Review'!$D$8:$D$507,I2258))=1,INDEX('Staff Review'!$D$8:$D$507,I2258)&gt;=0,COUNT(INDEX('Staff Review'!$E$8:$E$507,I2258))=1,INDEX('Staff Review'!$E$8:$E$507,I2258)&gt;0,INDEX('Staff Review'!$E$8:$E$507,I2258)&lt;='Top 15'!$E$5,'Top 15'!$E$5-INDEX('Staff Review'!$E$8:$E$507,I2258)&lt;='Top 15'!$H$5,LEN(INDEX('Staff Review'!$H$8:$H$507,I2258))&gt;0),"Yes","No"))</x:f>
        <x:v>No</x:v>
      </x:c>
      <x:c r="AJ2258" s="1" t="str">
        <x:f>IF(I2258=0,"No",IF(COUNT(INDEX('Staff Review'!$F$8:$F$507,I2258))&lt;&gt;1,"No",IF(AND(INDEX('Staff Review'!$F$8:$F$507,I2258)&gt;=0,MOD(INDEX('Staff Review'!$F$8:$F$507,I2258),1)=0,COUNT(INDEX('Staff Review'!$G$8:$G$507,I2258))=1,INDEX('Staff Review'!$G$8:$G$507,I2258)&gt;0,INDEX('Staff Review'!$G$8:$G$507,I2258)&lt;='Top 15'!$E$5,'Top 15'!$E$5-INDEX('Staff Review'!$G$8:$G$507,I2258)&lt;='Top 15'!$H$5,LEN(INDEX('Staff Review'!$H$8:$H$507,I2258))&gt;0),"Yes","No")))</x:f>
        <x:v>No</x:v>
      </x:c>
      <x:c r="AK2258" s="1" t="n">
        <x:f>IF(A2258="",0,COUNTIFS($A$2:$A$501,A2258))</x:f>
        <x:v>1</x:v>
      </x:c>
      <x:c r="AL2258" s="1" t="n">
        <x:f>IF(V2258="Candidate",1,0)</x:f>
        <x:v>1</x:v>
      </x:c>
      <x:c r="AM2258" s="1" t="n">
        <x:f>IF(A2258="",0,VALUE(A2258))</x:f>
        <x:v>5490</x:v>
      </x:c>
      <x:c r="AN2258" s="1" t="n">
        <x:f>IF(OR(A2258="",COUNTIFS($T$41:$T$540,A2258)&lt;&gt;1),0,MATCH(A2258,$T$41:$T$540,0))</x:f>
        <x:v>208</x:v>
      </x:c>
      <x:c r="AO2258" t="n">
        <x:f>IF(ISNUMBER(W2258),W2258,10000+AM2258)</x:f>
        <x:v>199</x:v>
      </x:c>
    </x:row>
    <x:row r="2259" ht="22" customHeight="1">
      <x:c r="A2259" s="1" t="str">
        <x:f>IF(A210="","",A210)</x:f>
        <x:v>5500</x:v>
      </x:c>
      <x:c r="B2259" s="1" t="str">
        <x:f>IF(A2259="","",B210)</x:f>
        <x:v>Thurgood Marshall School</x:v>
      </x:c>
      <x:c r="C2259" s="1" t="str">
        <x:f>IF(A2259="","",C210)</x:f>
        <x:v>District</x:v>
      </x:c>
      <x:c r="D2259" s="1" t="str">
        <x:f>IF(A2259="","",E210)</x:f>
        <x:v>Elementary-Middle</x:v>
      </x:c>
      <x:c r="E2259" s="1" t="str">
        <x:f>IF(A2259="","",H210)</x:f>
        <x:v>19120</x:v>
      </x:c>
      <x:c r="F2259" s="1" t="n">
        <x:f>IF(ISNUMBER(K210),K210,"")</x:f>
        <x:v>551</x:v>
      </x:c>
      <x:c r="G2259" s="1" t="n">
        <x:f>IF(ISNUMBER(L210),L210,"")</x:f>
        <x:v>0.8588</x:v>
      </x:c>
      <x:c r="H2259" s="1" t="str">
        <x:f>IF(A2259="","",IF(AND(UPPER(G210)="PHILADELPHIA",OR(C2259="District",AND(C2259="Charter",D210="Yes"))),"Yes","No"))</x:f>
        <x:v>Yes</x:v>
      </x:c>
      <x:c r="I2259" s="1" t="n">
        <x:f>IF(OR(A2259="",COUNTIFS('Staff Review'!$A$8:$A$507,A2259)&lt;&gt;1),0,MATCH(A2259,'Staff Review'!$A$8:$A$507,0))</x:f>
        <x:v>298</x:v>
      </x:c>
      <x:c r="J2259" s="1" t="str">
        <x:f>IF(I2259=0,"No",IF(INDEX('Staff Review'!$C$8:$C$507,I2259)="Yes","Yes","No"))</x:f>
        <x:v>No</x:v>
      </x:c>
      <x:c r="K2259" s="1" t="n">
        <x:f>IF(AI2259="Yes",INDEX('Staff Review'!$D$8:$D$507,I2259),IF(AB2259=0,"",IF(COUNT(INDEX($C$1531:$C$2030,AB2259))=1,INDEX($C$1531:$C$2030,AB2259),"")))</x:f>
        <x:v>0.45193134419384995</x:v>
      </x:c>
      <x:c r="L2259" s="1" t="n">
        <x:f>IF(AJ2259="Yes",INDEX('Staff Review'!$F$8:$F$507,I2259),IF(AB2259=0,"",IF(COUNT(INDEX($G$1531:$G$2030,AB2259))=1,INDEX($G$1531:$G$2030,AB2259),"")))</x:f>
        <x:v>12</x:v>
      </x:c>
      <x:c r="M2259" s="1" t="str">
        <x:f>IF(A2259="","",IF(AI2259="Yes","Verified","Listed"))</x:f>
        <x:v>Listed</x:v>
      </x:c>
      <x:c r="N2259" s="1" t="str">
        <x:f>IF(A2259="","",IF(AJ2259="Yes","Verified","Listed"))</x:f>
        <x:v>Listed</x:v>
      </x:c>
      <x:c r="O2259" s="1" t="n">
        <x:f>IF(AND(ISNUMBER(G2259),G2259&gt;=0,G2259&lt;=1),IF(G2259&gt;=0.9,30,IF(G2259&gt;=0.8,25,IF(G2259&gt;=0.7,20,IF(G2259&gt;=0.6,15,IF(G2259&gt;=0.5,10,IF(G2259&gt;=0.4,5,0)))))),"")</x:f>
        <x:v>25</x:v>
      </x:c>
      <x:c r="P2259" s="1" t="n">
        <x:f>IF(ISNUMBER(K2259),IF(K2259&lt;0,"",IF(K2259&gt;1,25,IF(K2259&gt;=0.75,20,IF(K2259&gt;=0.5,15,IF(K2259&gt;=0.25,10,5))))),"")</x:f>
        <x:v>10</x:v>
      </x:c>
      <x:c r="Q2259" s="1" t="n">
        <x:f>IF(NOT(ISNUMBER(L2259)),"",IF(AND(L2259&gt;=0,MOD(L2259,1)=0),MAX(0,25-5*L2259),""))</x:f>
        <x:v>0</x:v>
      </x:c>
      <x:c r="R2259" s="1" t="n">
        <x:f>IF(NOT(ISNUMBER(F2259)),"",IF(AND(F2259&gt;0,MOD(F2259,1)=0),IF(F2259&gt;=700,5,IF(F2259&gt;=500,4,IF(F2259&gt;=350,3,IF(F2259&gt;=200,2,1)))),""))</x:f>
        <x:v>4</x:v>
      </x:c>
      <x:c r="S2259" s="1" t="n">
        <x:f>IF(COUNT(O2259:R2259)=4,SUM(O2259:R2259),"")</x:f>
        <x:v>39</x:v>
      </x:c>
      <x:c r="T2259" s="1" t="n">
        <x:f>IF(OR(COUNT(O2259:R2259)&lt;&gt;4,COUNT('Top 15'!$B$35:$E$35)&lt;&gt;4,MIN('Top 15'!$B$35:$E$35)&lt;0,SUM('Top 15'!$B$35:$E$35)&lt;=0),"",ROUND(85*(O2259/30*'Top 15'!$B$35+P2259/25*'Top 15'!$C$35+Q2259/25*'Top 15'!$D$35+R2259/5*'Top 15'!$E$35)/SUM('Top 15'!$B$35:$E$35),6))</x:f>
        <x:v>39</x:v>
      </x:c>
      <x:c r="U2259" s="1" t="str">
        <x:f>IF(A2259="","",IF(AND(M2259="Verified",N2259="Verified"),"Verified",IF(AND(M2259="Listed",N2259="Listed"),"Listed","Mixed")))</x:f>
        <x:v>Listed</x:v>
      </x:c>
      <x:c r="V2259" s="1" t="str">
        <x:f>IF(A2259="","",IF(AK2259&lt;&gt;1,"Duplicate source ID",IF(COUNTIFS('Staff Review'!$A$8:$A$507,A2259)&gt;1,"Duplicate review ID",IF(H2259&lt;&gt;"Yes","Outside scope",IF(J2259="Yes","Already served",IF(NOT(ISNUMBER(T2259)),"Missing data","Candidate"))))))</x:f>
        <x:v>Candidate</x:v>
      </x:c>
      <x:c r="W2259" s="1" t="n">
        <x:f>IF(AL2259=0,"",1+COUNTIFS($AL$2051:$AL$2550,1,$T$2051:$T$2550,"&gt;"&amp;T2259)+COUNTIFS($AL$2051:$AL$2550,1,$T$2051:$T$2550,T2259,$G$2051:$G$2550,"&gt;"&amp;G2259)+COUNTIFS($AL$2051:$AL$2550,1,$T$2051:$T$2550,T2259,$G$2051:$G$2550,G2259,$F$2051:$F$2550,"&gt;"&amp;F2259)+COUNTIFS($AL$2051:$AL$2550,1,$T$2051:$T$2550,T2259,$G$2051:$G$2550,G2259,$F$2051:$F$2550,F2259,$AM$2051:$AM$2550,"&lt;"&amp;AM2259))</x:f>
        <x:v>153</x:v>
      </x:c>
      <x:c r="X2259" s="1" t="n">
        <x:f>IF(AL2259=0,"",1+COUNTIFS($AL$2051:$AL$2550,1,$T$2051:$T$2550,"&gt;"&amp;T2259))</x:f>
        <x:v>148</x:v>
      </x:c>
      <x:c r="Y2259" s="1" t="n">
        <x:f>IF(AND(H2259="Yes",OR(LEN('School Search'!$B$5)=0,ISNUMBER(SEARCH('School Search'!$B$5,B2259&amp;" "&amp;E2259&amp;" "&amp;A2259))),OR('School Search'!$D$5="All",C2259='School Search'!$D$5),OR('School Search'!$G$5="All eligible",AND('School Search'!$G$5="Not marked served",J2259&lt;&gt;"Yes"),AND('School Search'!$G$5="Missing data",V2259="Missing data"),AND('School Search'!$G$5="Marked served",J2259="Yes"))),1,0)</x:f>
        <x:v>1</x:v>
      </x:c>
      <x:c r="Z2259" s="1" t="n">
        <x:f>IF(Y2259=0,"",COUNTIFS($Y$2051:$Y$2550,1,$AO$2051:$AO$2550,"&lt;"&amp;AO2259)+COUNTIFS($Y$2051:Y2259,1,$AO$2051:AO2259,AO2259))</x:f>
        <x:v>153</x:v>
      </x:c>
      <x:c r="AA2259" s="1" t="str">
        <x:f>IF(NOT(ISNUMBER(S2259)),"Missing demographic or access input",TEXT(G2259,"0%")&amp;" economic need; "&amp;TEXT(K2259,"0.00")&amp;" mi fresh access; "&amp;L2259&amp;" nearby resources")</x:f>
        <x:v>86% economic need; 0.45 mi fresh access; 12 nearby resources</x:v>
      </x:c>
      <x:c r="AB2259" s="1" t="n">
        <x:f>IF(OR(A2259="",COUNTIFS($A$1531:$A$2030,A2259)&lt;&gt;1),0,MATCH(A2259,$A$1531:$A$2030,0))</x:f>
        <x:v>209</x:v>
      </x:c>
      <x:c r="AC2259" s="1" t="str">
        <x:f>IF(AB2259=0,"",INDEX($E$1531:$E$2030,AB2259))</x:f>
        <x:v>GFM Food Corporation</x:v>
      </x:c>
      <x:c r="AD2259" s="1" t="str">
        <x:f>IF(AB2259=0,"",INDEX($F$1531:$F$2030,AB2259))</x:f>
        <x:v>180 W Duncannon Ave, Philadelphia, PA, 19120</x:v>
      </x:c>
      <x:c r="AE2259" s="1" t="str">
        <x:f>IF(A2259="","",F210)</x:f>
        <x:v>5120 N 6TH ST</x:v>
      </x:c>
      <x:c r="AF2259" s="1" t="n">
        <x:f>IF(ISNUMBER(I210),I210,"")</x:f>
        <x:v>40.02938155</x:v>
      </x:c>
      <x:c r="AG2259" s="1" t="n">
        <x:f>IF(ISNUMBER(J210),J210,"")</x:f>
        <x:v>-75.13416332</x:v>
      </x:c>
      <x:c r="AH2259" s="1" t="str">
        <x:f>IF(I2259=0,"Not contacted",IF(INDEX('Staff Review'!$J$8:$J$507,I2259)="","Not contacted",INDEX('Staff Review'!$J$8:$J$507,I2259)))</x:f>
        <x:v>Not contacted</x:v>
      </x:c>
      <x:c r="AI2259" s="1" t="str">
        <x:f>IF(I2259=0,"No",IF(AND(COUNT(INDEX('Staff Review'!$D$8:$D$507,I2259))=1,INDEX('Staff Review'!$D$8:$D$507,I2259)&gt;=0,COUNT(INDEX('Staff Review'!$E$8:$E$507,I2259))=1,INDEX('Staff Review'!$E$8:$E$507,I2259)&gt;0,INDEX('Staff Review'!$E$8:$E$507,I2259)&lt;='Top 15'!$E$5,'Top 15'!$E$5-INDEX('Staff Review'!$E$8:$E$507,I2259)&lt;='Top 15'!$H$5,LEN(INDEX('Staff Review'!$H$8:$H$507,I2259))&gt;0),"Yes","No"))</x:f>
        <x:v>No</x:v>
      </x:c>
      <x:c r="AJ2259" s="1" t="str">
        <x:f>IF(I2259=0,"No",IF(COUNT(INDEX('Staff Review'!$F$8:$F$507,I2259))&lt;&gt;1,"No",IF(AND(INDEX('Staff Review'!$F$8:$F$507,I2259)&gt;=0,MOD(INDEX('Staff Review'!$F$8:$F$507,I2259),1)=0,COUNT(INDEX('Staff Review'!$G$8:$G$507,I2259))=1,INDEX('Staff Review'!$G$8:$G$507,I2259)&gt;0,INDEX('Staff Review'!$G$8:$G$507,I2259)&lt;='Top 15'!$E$5,'Top 15'!$E$5-INDEX('Staff Review'!$G$8:$G$507,I2259)&lt;='Top 15'!$H$5,LEN(INDEX('Staff Review'!$H$8:$H$507,I2259))&gt;0),"Yes","No")))</x:f>
        <x:v>No</x:v>
      </x:c>
      <x:c r="AK2259" s="1" t="n">
        <x:f>IF(A2259="",0,COUNTIFS($A$2:$A$501,A2259))</x:f>
        <x:v>1</x:v>
      </x:c>
      <x:c r="AL2259" s="1" t="n">
        <x:f>IF(V2259="Candidate",1,0)</x:f>
        <x:v>1</x:v>
      </x:c>
      <x:c r="AM2259" s="1" t="n">
        <x:f>IF(A2259="",0,VALUE(A2259))</x:f>
        <x:v>5500</x:v>
      </x:c>
      <x:c r="AN2259" s="1" t="n">
        <x:f>IF(OR(A2259="",COUNTIFS($T$41:$T$540,A2259)&lt;&gt;1),0,MATCH(A2259,$T$41:$T$540,0))</x:f>
        <x:v>209</x:v>
      </x:c>
      <x:c r="AO2259" t="n">
        <x:f>IF(ISNUMBER(W2259),W2259,10000+AM2259)</x:f>
        <x:v>153</x:v>
      </x:c>
    </x:row>
    <x:row r="2260" ht="22" customHeight="1">
      <x:c r="A2260" s="1" t="str">
        <x:f>IF(A211="","",A211)</x:f>
        <x:v>5520</x:v>
      </x:c>
      <x:c r="B2260" s="1" t="str">
        <x:f>IF(A2260="","",B211)</x:f>
        <x:v>Kensington High School for Creative and Performing Arts</x:v>
      </x:c>
      <x:c r="C2260" s="1" t="str">
        <x:f>IF(A2260="","",C211)</x:f>
        <x:v>District</x:v>
      </x:c>
      <x:c r="D2260" s="1" t="str">
        <x:f>IF(A2260="","",E211)</x:f>
        <x:v>High</x:v>
      </x:c>
      <x:c r="E2260" s="1" t="str">
        <x:f>IF(A2260="","",H211)</x:f>
        <x:v>19122</x:v>
      </x:c>
      <x:c r="F2260" s="1" t="n">
        <x:f>IF(ISNUMBER(K211),K211,"")</x:f>
        <x:v>504</x:v>
      </x:c>
      <x:c r="G2260" s="1" t="n">
        <x:f>IF(ISNUMBER(L211),L211,"")</x:f>
        <x:v>0.8433</x:v>
      </x:c>
      <x:c r="H2260" s="1" t="str">
        <x:f>IF(A2260="","",IF(AND(UPPER(G211)="PHILADELPHIA",OR(C2260="District",AND(C2260="Charter",D211="Yes"))),"Yes","No"))</x:f>
        <x:v>Yes</x:v>
      </x:c>
      <x:c r="I2260" s="1" t="n">
        <x:f>IF(OR(A2260="",COUNTIFS('Staff Review'!$A$8:$A$507,A2260)&lt;&gt;1),0,MATCH(A2260,'Staff Review'!$A$8:$A$507,0))</x:f>
        <x:v>159</x:v>
      </x:c>
      <x:c r="J2260" s="1" t="str">
        <x:f>IF(I2260=0,"No",IF(INDEX('Staff Review'!$C$8:$C$507,I2260)="Yes","Yes","No"))</x:f>
        <x:v>No</x:v>
      </x:c>
      <x:c r="K2260" s="1" t="n">
        <x:f>IF(AI2260="Yes",INDEX('Staff Review'!$D$8:$D$507,I2260),IF(AB2260=0,"",IF(COUNT(INDEX($C$1531:$C$2030,AB2260))=1,INDEX($C$1531:$C$2030,AB2260),"")))</x:f>
        <x:v>0.2696204651098893</x:v>
      </x:c>
      <x:c r="L2260" s="1" t="n">
        <x:f>IF(AJ2260="Yes",INDEX('Staff Review'!$F$8:$F$507,I2260),IF(AB2260=0,"",IF(COUNT(INDEX($G$1531:$G$2030,AB2260))=1,INDEX($G$1531:$G$2030,AB2260),"")))</x:f>
        <x:v>8</x:v>
      </x:c>
      <x:c r="M2260" s="1" t="str">
        <x:f>IF(A2260="","",IF(AI2260="Yes","Verified","Listed"))</x:f>
        <x:v>Listed</x:v>
      </x:c>
      <x:c r="N2260" s="1" t="str">
        <x:f>IF(A2260="","",IF(AJ2260="Yes","Verified","Listed"))</x:f>
        <x:v>Listed</x:v>
      </x:c>
      <x:c r="O2260" s="1" t="n">
        <x:f>IF(AND(ISNUMBER(G2260),G2260&gt;=0,G2260&lt;=1),IF(G2260&gt;=0.9,30,IF(G2260&gt;=0.8,25,IF(G2260&gt;=0.7,20,IF(G2260&gt;=0.6,15,IF(G2260&gt;=0.5,10,IF(G2260&gt;=0.4,5,0)))))),"")</x:f>
        <x:v>25</x:v>
      </x:c>
      <x:c r="P2260" s="1" t="n">
        <x:f>IF(ISNUMBER(K2260),IF(K2260&lt;0,"",IF(K2260&gt;1,25,IF(K2260&gt;=0.75,20,IF(K2260&gt;=0.5,15,IF(K2260&gt;=0.25,10,5))))),"")</x:f>
        <x:v>10</x:v>
      </x:c>
      <x:c r="Q2260" s="1" t="n">
        <x:f>IF(NOT(ISNUMBER(L2260)),"",IF(AND(L2260&gt;=0,MOD(L2260,1)=0),MAX(0,25-5*L2260),""))</x:f>
        <x:v>0</x:v>
      </x:c>
      <x:c r="R2260" s="1" t="n">
        <x:f>IF(NOT(ISNUMBER(F2260)),"",IF(AND(F2260&gt;0,MOD(F2260,1)=0),IF(F2260&gt;=700,5,IF(F2260&gt;=500,4,IF(F2260&gt;=350,3,IF(F2260&gt;=200,2,1)))),""))</x:f>
        <x:v>4</x:v>
      </x:c>
      <x:c r="S2260" s="1" t="n">
        <x:f>IF(COUNT(O2260:R2260)=4,SUM(O2260:R2260),"")</x:f>
        <x:v>39</x:v>
      </x:c>
      <x:c r="T2260" s="1" t="n">
        <x:f>IF(OR(COUNT(O2260:R2260)&lt;&gt;4,COUNT('Top 15'!$B$35:$E$35)&lt;&gt;4,MIN('Top 15'!$B$35:$E$35)&lt;0,SUM('Top 15'!$B$35:$E$35)&lt;=0),"",ROUND(85*(O2260/30*'Top 15'!$B$35+P2260/25*'Top 15'!$C$35+Q2260/25*'Top 15'!$D$35+R2260/5*'Top 15'!$E$35)/SUM('Top 15'!$B$35:$E$35),6))</x:f>
        <x:v>39</x:v>
      </x:c>
      <x:c r="U2260" s="1" t="str">
        <x:f>IF(A2260="","",IF(AND(M2260="Verified",N2260="Verified"),"Verified",IF(AND(M2260="Listed",N2260="Listed"),"Listed","Mixed")))</x:f>
        <x:v>Listed</x:v>
      </x:c>
      <x:c r="V2260" s="1" t="str">
        <x:f>IF(A2260="","",IF(AK2260&lt;&gt;1,"Duplicate source ID",IF(COUNTIFS('Staff Review'!$A$8:$A$507,A2260)&gt;1,"Duplicate review ID",IF(H2260&lt;&gt;"Yes","Outside scope",IF(J2260="Yes","Already served",IF(NOT(ISNUMBER(T2260)),"Missing data","Candidate"))))))</x:f>
        <x:v>Candidate</x:v>
      </x:c>
      <x:c r="W2260" s="1" t="n">
        <x:f>IF(AL2260=0,"",1+COUNTIFS($AL$2051:$AL$2550,1,$T$2051:$T$2550,"&gt;"&amp;T2260)+COUNTIFS($AL$2051:$AL$2550,1,$T$2051:$T$2550,T2260,$G$2051:$G$2550,"&gt;"&amp;G2260)+COUNTIFS($AL$2051:$AL$2550,1,$T$2051:$T$2550,T2260,$G$2051:$G$2550,G2260,$F$2051:$F$2550,"&gt;"&amp;F2260)+COUNTIFS($AL$2051:$AL$2550,1,$T$2051:$T$2550,T2260,$G$2051:$G$2550,G2260,$F$2051:$F$2550,F2260,$AM$2051:$AM$2550,"&lt;"&amp;AM2260))</x:f>
        <x:v>154</x:v>
      </x:c>
      <x:c r="X2260" s="1" t="n">
        <x:f>IF(AL2260=0,"",1+COUNTIFS($AL$2051:$AL$2550,1,$T$2051:$T$2550,"&gt;"&amp;T2260))</x:f>
        <x:v>148</x:v>
      </x:c>
      <x:c r="Y2260" s="1" t="n">
        <x:f>IF(AND(H2260="Yes",OR(LEN('School Search'!$B$5)=0,ISNUMBER(SEARCH('School Search'!$B$5,B2260&amp;" "&amp;E2260&amp;" "&amp;A2260))),OR('School Search'!$D$5="All",C2260='School Search'!$D$5),OR('School Search'!$G$5="All eligible",AND('School Search'!$G$5="Not marked served",J2260&lt;&gt;"Yes"),AND('School Search'!$G$5="Missing data",V2260="Missing data"),AND('School Search'!$G$5="Marked served",J2260="Yes"))),1,0)</x:f>
        <x:v>1</x:v>
      </x:c>
      <x:c r="Z2260" s="1" t="n">
        <x:f>IF(Y2260=0,"",COUNTIFS($Y$2051:$Y$2550,1,$AO$2051:$AO$2550,"&lt;"&amp;AO2260)+COUNTIFS($Y$2051:Y2260,1,$AO$2051:AO2260,AO2260))</x:f>
        <x:v>154</x:v>
      </x:c>
      <x:c r="AA2260" s="1" t="str">
        <x:f>IF(NOT(ISNUMBER(S2260)),"Missing demographic or access input",TEXT(G2260,"0%")&amp;" economic need; "&amp;TEXT(K2260,"0.00")&amp;" mi fresh access; "&amp;L2260&amp;" nearby resources")</x:f>
        <x:v>84% economic need; 0.27 mi fresh access; 8 nearby resources</x:v>
      </x:c>
      <x:c r="AB2260" s="1" t="n">
        <x:f>IF(OR(A2260="",COUNTIFS($A$1531:$A$2030,A2260)&lt;&gt;1),0,MATCH(A2260,$A$1531:$A$2030,0))</x:f>
        <x:v>210</x:v>
      </x:c>
      <x:c r="AC2260" s="1" t="str">
        <x:f>IF(AB2260=0,"",INDEX($E$1531:$E$2030,AB2260))</x:f>
        <x:v>Grocery Outlet of Fishtown 738</x:v>
      </x:c>
      <x:c r="AD2260" s="1" t="str">
        <x:f>IF(AB2260=0,"",INDEX($F$1531:$F$2030,AB2260))</x:f>
        <x:v>1801 N American St, Philadelphia, PA, 19122</x:v>
      </x:c>
      <x:c r="AE2260" s="1" t="str">
        <x:f>IF(A2260="","",F211)</x:f>
        <x:v>1901 N FRONT ST</x:v>
      </x:c>
      <x:c r="AF2260" s="1" t="n">
        <x:f>IF(ISNUMBER(I211),I211,"")</x:f>
        <x:v>39.97794956</x:v>
      </x:c>
      <x:c r="AG2260" s="1" t="n">
        <x:f>IF(ISNUMBER(J211),J211,"")</x:f>
        <x:v>-75.1330532</x:v>
      </x:c>
      <x:c r="AH2260" s="1" t="str">
        <x:f>IF(I2260=0,"Not contacted",IF(INDEX('Staff Review'!$J$8:$J$507,I2260)="","Not contacted",INDEX('Staff Review'!$J$8:$J$507,I2260)))</x:f>
        <x:v>Not contacted</x:v>
      </x:c>
      <x:c r="AI2260" s="1" t="str">
        <x:f>IF(I2260=0,"No",IF(AND(COUNT(INDEX('Staff Review'!$D$8:$D$507,I2260))=1,INDEX('Staff Review'!$D$8:$D$507,I2260)&gt;=0,COUNT(INDEX('Staff Review'!$E$8:$E$507,I2260))=1,INDEX('Staff Review'!$E$8:$E$507,I2260)&gt;0,INDEX('Staff Review'!$E$8:$E$507,I2260)&lt;='Top 15'!$E$5,'Top 15'!$E$5-INDEX('Staff Review'!$E$8:$E$507,I2260)&lt;='Top 15'!$H$5,LEN(INDEX('Staff Review'!$H$8:$H$507,I2260))&gt;0),"Yes","No"))</x:f>
        <x:v>No</x:v>
      </x:c>
      <x:c r="AJ2260" s="1" t="str">
        <x:f>IF(I2260=0,"No",IF(COUNT(INDEX('Staff Review'!$F$8:$F$507,I2260))&lt;&gt;1,"No",IF(AND(INDEX('Staff Review'!$F$8:$F$507,I2260)&gt;=0,MOD(INDEX('Staff Review'!$F$8:$F$507,I2260),1)=0,COUNT(INDEX('Staff Review'!$G$8:$G$507,I2260))=1,INDEX('Staff Review'!$G$8:$G$507,I2260)&gt;0,INDEX('Staff Review'!$G$8:$G$507,I2260)&lt;='Top 15'!$E$5,'Top 15'!$E$5-INDEX('Staff Review'!$G$8:$G$507,I2260)&lt;='Top 15'!$H$5,LEN(INDEX('Staff Review'!$H$8:$H$507,I2260))&gt;0),"Yes","No")))</x:f>
        <x:v>No</x:v>
      </x:c>
      <x:c r="AK2260" s="1" t="n">
        <x:f>IF(A2260="",0,COUNTIFS($A$2:$A$501,A2260))</x:f>
        <x:v>1</x:v>
      </x:c>
      <x:c r="AL2260" s="1" t="n">
        <x:f>IF(V2260="Candidate",1,0)</x:f>
        <x:v>1</x:v>
      </x:c>
      <x:c r="AM2260" s="1" t="n">
        <x:f>IF(A2260="",0,VALUE(A2260))</x:f>
        <x:v>5520</x:v>
      </x:c>
      <x:c r="AN2260" s="1" t="n">
        <x:f>IF(OR(A2260="",COUNTIFS($T$41:$T$540,A2260)&lt;&gt;1),0,MATCH(A2260,$T$41:$T$540,0))</x:f>
        <x:v>210</x:v>
      </x:c>
      <x:c r="AO2260" t="n">
        <x:f>IF(ISNUMBER(W2260),W2260,10000+AM2260)</x:f>
        <x:v>154</x:v>
      </x:c>
    </x:row>
    <x:row r="2261" ht="22" customHeight="1">
      <x:c r="A2261" s="1" t="str">
        <x:f>IF(A212="","",A212)</x:f>
        <x:v>5530</x:v>
      </x:c>
      <x:c r="B2261" s="1" t="str">
        <x:f>IF(A2261="","",B212)</x:f>
        <x:v>Gloria Casarez School</x:v>
      </x:c>
      <x:c r="C2261" s="1" t="str">
        <x:f>IF(A2261="","",C212)</x:f>
        <x:v>District</x:v>
      </x:c>
      <x:c r="D2261" s="1" t="str">
        <x:f>IF(A2261="","",E212)</x:f>
        <x:v>Elementary</x:v>
      </x:c>
      <x:c r="E2261" s="1" t="str">
        <x:f>IF(A2261="","",H212)</x:f>
        <x:v>19134</x:v>
      </x:c>
      <x:c r="F2261" s="1" t="n">
        <x:f>IF(ISNUMBER(K212),K212,"")</x:f>
        <x:v>438</x:v>
      </x:c>
      <x:c r="G2261" s="1" t="n">
        <x:f>IF(ISNUMBER(L212),L212,"")</x:f>
        <x:v>0.8949</x:v>
      </x:c>
      <x:c r="H2261" s="1" t="str">
        <x:f>IF(A2261="","",IF(AND(UPPER(G212)="PHILADELPHIA",OR(C2261="District",AND(C2261="Charter",D212="Yes"))),"Yes","No"))</x:f>
        <x:v>Yes</x:v>
      </x:c>
      <x:c r="I2261" s="1" t="n">
        <x:f>IF(OR(A2261="",COUNTIFS('Staff Review'!$A$8:$A$507,A2261)&lt;&gt;1),0,MATCH(A2261,'Staff Review'!$A$8:$A$507,0))</x:f>
        <x:v>102</x:v>
      </x:c>
      <x:c r="J2261" s="1" t="str">
        <x:f>IF(I2261=0,"No",IF(INDEX('Staff Review'!$C$8:$C$507,I2261)="Yes","Yes","No"))</x:f>
        <x:v>No</x:v>
      </x:c>
      <x:c r="K2261" s="1" t="n">
        <x:f>IF(AI2261="Yes",INDEX('Staff Review'!$D$8:$D$507,I2261),IF(AB2261=0,"",IF(COUNT(INDEX($C$1531:$C$2030,AB2261))=1,INDEX($C$1531:$C$2030,AB2261),"")))</x:f>
        <x:v>0.2674992589582508</x:v>
      </x:c>
      <x:c r="L2261" s="1" t="n">
        <x:f>IF(AJ2261="Yes",INDEX('Staff Review'!$F$8:$F$507,I2261),IF(AB2261=0,"",IF(COUNT(INDEX($G$1531:$G$2030,AB2261))=1,INDEX($G$1531:$G$2030,AB2261),"")))</x:f>
        <x:v>10</x:v>
      </x:c>
      <x:c r="M2261" s="1" t="str">
        <x:f>IF(A2261="","",IF(AI2261="Yes","Verified","Listed"))</x:f>
        <x:v>Listed</x:v>
      </x:c>
      <x:c r="N2261" s="1" t="str">
        <x:f>IF(A2261="","",IF(AJ2261="Yes","Verified","Listed"))</x:f>
        <x:v>Listed</x:v>
      </x:c>
      <x:c r="O2261" s="1" t="n">
        <x:f>IF(AND(ISNUMBER(G2261),G2261&gt;=0,G2261&lt;=1),IF(G2261&gt;=0.9,30,IF(G2261&gt;=0.8,25,IF(G2261&gt;=0.7,20,IF(G2261&gt;=0.6,15,IF(G2261&gt;=0.5,10,IF(G2261&gt;=0.4,5,0)))))),"")</x:f>
        <x:v>25</x:v>
      </x:c>
      <x:c r="P2261" s="1" t="n">
        <x:f>IF(ISNUMBER(K2261),IF(K2261&lt;0,"",IF(K2261&gt;1,25,IF(K2261&gt;=0.75,20,IF(K2261&gt;=0.5,15,IF(K2261&gt;=0.25,10,5))))),"")</x:f>
        <x:v>10</x:v>
      </x:c>
      <x:c r="Q2261" s="1" t="n">
        <x:f>IF(NOT(ISNUMBER(L2261)),"",IF(AND(L2261&gt;=0,MOD(L2261,1)=0),MAX(0,25-5*L2261),""))</x:f>
        <x:v>0</x:v>
      </x:c>
      <x:c r="R2261" s="1" t="n">
        <x:f>IF(NOT(ISNUMBER(F2261)),"",IF(AND(F2261&gt;0,MOD(F2261,1)=0),IF(F2261&gt;=700,5,IF(F2261&gt;=500,4,IF(F2261&gt;=350,3,IF(F2261&gt;=200,2,1)))),""))</x:f>
        <x:v>3</x:v>
      </x:c>
      <x:c r="S2261" s="1" t="n">
        <x:f>IF(COUNT(O2261:R2261)=4,SUM(O2261:R2261),"")</x:f>
        <x:v>38</x:v>
      </x:c>
      <x:c r="T2261" s="1" t="n">
        <x:f>IF(OR(COUNT(O2261:R2261)&lt;&gt;4,COUNT('Top 15'!$B$35:$E$35)&lt;&gt;4,MIN('Top 15'!$B$35:$E$35)&lt;0,SUM('Top 15'!$B$35:$E$35)&lt;=0),"",ROUND(85*(O2261/30*'Top 15'!$B$35+P2261/25*'Top 15'!$C$35+Q2261/25*'Top 15'!$D$35+R2261/5*'Top 15'!$E$35)/SUM('Top 15'!$B$35:$E$35),6))</x:f>
        <x:v>38</x:v>
      </x:c>
      <x:c r="U2261" s="1" t="str">
        <x:f>IF(A2261="","",IF(AND(M2261="Verified",N2261="Verified"),"Verified",IF(AND(M2261="Listed",N2261="Listed"),"Listed","Mixed")))</x:f>
        <x:v>Listed</x:v>
      </x:c>
      <x:c r="V2261" s="1" t="str">
        <x:f>IF(A2261="","",IF(AK2261&lt;&gt;1,"Duplicate source ID",IF(COUNTIFS('Staff Review'!$A$8:$A$507,A2261)&gt;1,"Duplicate review ID",IF(H2261&lt;&gt;"Yes","Outside scope",IF(J2261="Yes","Already served",IF(NOT(ISNUMBER(T2261)),"Missing data","Candidate"))))))</x:f>
        <x:v>Candidate</x:v>
      </x:c>
      <x:c r="W2261" s="1" t="n">
        <x:f>IF(AL2261=0,"",1+COUNTIFS($AL$2051:$AL$2550,1,$T$2051:$T$2550,"&gt;"&amp;T2261)+COUNTIFS($AL$2051:$AL$2550,1,$T$2051:$T$2550,T2261,$G$2051:$G$2550,"&gt;"&amp;G2261)+COUNTIFS($AL$2051:$AL$2550,1,$T$2051:$T$2550,T2261,$G$2051:$G$2550,G2261,$F$2051:$F$2550,"&gt;"&amp;F2261)+COUNTIFS($AL$2051:$AL$2550,1,$T$2051:$T$2550,T2261,$G$2051:$G$2550,G2261,$F$2051:$F$2550,F2261,$AM$2051:$AM$2550,"&lt;"&amp;AM2261))</x:f>
        <x:v>169</x:v>
      </x:c>
      <x:c r="X2261" s="1" t="n">
        <x:f>IF(AL2261=0,"",1+COUNTIFS($AL$2051:$AL$2550,1,$T$2051:$T$2550,"&gt;"&amp;T2261))</x:f>
        <x:v>166</x:v>
      </x:c>
      <x:c r="Y2261" s="1" t="n">
        <x:f>IF(AND(H2261="Yes",OR(LEN('School Search'!$B$5)=0,ISNUMBER(SEARCH('School Search'!$B$5,B2261&amp;" "&amp;E2261&amp;" "&amp;A2261))),OR('School Search'!$D$5="All",C2261='School Search'!$D$5),OR('School Search'!$G$5="All eligible",AND('School Search'!$G$5="Not marked served",J2261&lt;&gt;"Yes"),AND('School Search'!$G$5="Missing data",V2261="Missing data"),AND('School Search'!$G$5="Marked served",J2261="Yes"))),1,0)</x:f>
        <x:v>1</x:v>
      </x:c>
      <x:c r="Z2261" s="1" t="n">
        <x:f>IF(Y2261=0,"",COUNTIFS($Y$2051:$Y$2550,1,$AO$2051:$AO$2550,"&lt;"&amp;AO2261)+COUNTIFS($Y$2051:Y2261,1,$AO$2051:AO2261,AO2261))</x:f>
        <x:v>169</x:v>
      </x:c>
      <x:c r="AA2261" s="1" t="str">
        <x:f>IF(NOT(ISNUMBER(S2261)),"Missing demographic or access input",TEXT(G2261,"0%")&amp;" economic need; "&amp;TEXT(K2261,"0.00")&amp;" mi fresh access; "&amp;L2261&amp;" nearby resources")</x:f>
        <x:v>89% economic need; 0.27 mi fresh access; 10 nearby resources</x:v>
      </x:c>
      <x:c r="AB2261" s="1" t="n">
        <x:f>IF(OR(A2261="",COUNTIFS($A$1531:$A$2030,A2261)&lt;&gt;1),0,MATCH(A2261,$A$1531:$A$2030,0))</x:f>
        <x:v>211</x:v>
      </x:c>
      <x:c r="AC2261" s="1" t="str">
        <x:f>IF(AB2261=0,"",INDEX($E$1531:$E$2030,AB2261))</x:f>
        <x:v>Super Foodtown 705</x:v>
      </x:c>
      <x:c r="AD2261" s="1" t="str">
        <x:f>IF(AB2261=0,"",INDEX($F$1531:$F$2030,AB2261))</x:f>
        <x:v>3528 I St, Philadelphia, PA, 19134</x:v>
      </x:c>
      <x:c r="AE2261" s="1" t="str">
        <x:f>IF(A2261="","",F212)</x:f>
        <x:v>800 E ONTARIO ST</x:v>
      </x:c>
      <x:c r="AF2261" s="1" t="n">
        <x:f>IF(ISNUMBER(I212),I212,"")</x:f>
        <x:v>39.99974725</x:v>
      </x:c>
      <x:c r="AG2261" s="1" t="n">
        <x:f>IF(ISNUMBER(J212),J212,"")</x:f>
        <x:v>-75.11478572</x:v>
      </x:c>
      <x:c r="AH2261" s="1" t="str">
        <x:f>IF(I2261=0,"Not contacted",IF(INDEX('Staff Review'!$J$8:$J$507,I2261)="","Not contacted",INDEX('Staff Review'!$J$8:$J$507,I2261)))</x:f>
        <x:v>Not contacted</x:v>
      </x:c>
      <x:c r="AI2261" s="1" t="str">
        <x:f>IF(I2261=0,"No",IF(AND(COUNT(INDEX('Staff Review'!$D$8:$D$507,I2261))=1,INDEX('Staff Review'!$D$8:$D$507,I2261)&gt;=0,COUNT(INDEX('Staff Review'!$E$8:$E$507,I2261))=1,INDEX('Staff Review'!$E$8:$E$507,I2261)&gt;0,INDEX('Staff Review'!$E$8:$E$507,I2261)&lt;='Top 15'!$E$5,'Top 15'!$E$5-INDEX('Staff Review'!$E$8:$E$507,I2261)&lt;='Top 15'!$H$5,LEN(INDEX('Staff Review'!$H$8:$H$507,I2261))&gt;0),"Yes","No"))</x:f>
        <x:v>No</x:v>
      </x:c>
      <x:c r="AJ2261" s="1" t="str">
        <x:f>IF(I2261=0,"No",IF(COUNT(INDEX('Staff Review'!$F$8:$F$507,I2261))&lt;&gt;1,"No",IF(AND(INDEX('Staff Review'!$F$8:$F$507,I2261)&gt;=0,MOD(INDEX('Staff Review'!$F$8:$F$507,I2261),1)=0,COUNT(INDEX('Staff Review'!$G$8:$G$507,I2261))=1,INDEX('Staff Review'!$G$8:$G$507,I2261)&gt;0,INDEX('Staff Review'!$G$8:$G$507,I2261)&lt;='Top 15'!$E$5,'Top 15'!$E$5-INDEX('Staff Review'!$G$8:$G$507,I2261)&lt;='Top 15'!$H$5,LEN(INDEX('Staff Review'!$H$8:$H$507,I2261))&gt;0),"Yes","No")))</x:f>
        <x:v>No</x:v>
      </x:c>
      <x:c r="AK2261" s="1" t="n">
        <x:f>IF(A2261="",0,COUNTIFS($A$2:$A$501,A2261))</x:f>
        <x:v>1</x:v>
      </x:c>
      <x:c r="AL2261" s="1" t="n">
        <x:f>IF(V2261="Candidate",1,0)</x:f>
        <x:v>1</x:v>
      </x:c>
      <x:c r="AM2261" s="1" t="n">
        <x:f>IF(A2261="",0,VALUE(A2261))</x:f>
        <x:v>5530</x:v>
      </x:c>
      <x:c r="AN2261" s="1" t="n">
        <x:f>IF(OR(A2261="",COUNTIFS($T$41:$T$540,A2261)&lt;&gt;1),0,MATCH(A2261,$T$41:$T$540,0))</x:f>
        <x:v>211</x:v>
      </x:c>
      <x:c r="AO2261" t="n">
        <x:f>IF(ISNUMBER(W2261),W2261,10000+AM2261)</x:f>
        <x:v>169</x:v>
      </x:c>
    </x:row>
    <x:row r="2262" ht="22" customHeight="1">
      <x:c r="A2262" s="1" t="str">
        <x:f>IF(A213="","",A213)</x:f>
        <x:v>5550</x:v>
      </x:c>
      <x:c r="B2262" s="1" t="str">
        <x:f>IF(A2262="","",B213)</x:f>
        <x:v>Kensington Health Sciences Academy</x:v>
      </x:c>
      <x:c r="C2262" s="1" t="str">
        <x:f>IF(A2262="","",C213)</x:f>
        <x:v>District</x:v>
      </x:c>
      <x:c r="D2262" s="1" t="str">
        <x:f>IF(A2262="","",E213)</x:f>
        <x:v>High</x:v>
      </x:c>
      <x:c r="E2262" s="1" t="str">
        <x:f>IF(A2262="","",H213)</x:f>
        <x:v>19125</x:v>
      </x:c>
      <x:c r="F2262" s="1" t="n">
        <x:f>IF(ISNUMBER(K213),K213,"")</x:f>
        <x:v>461</x:v>
      </x:c>
      <x:c r="G2262" s="1" t="n">
        <x:f>IF(ISNUMBER(L213),L213,"")</x:f>
        <x:v>0.8694</x:v>
      </x:c>
      <x:c r="H2262" s="1" t="str">
        <x:f>IF(A2262="","",IF(AND(UPPER(G213)="PHILADELPHIA",OR(C2262="District",AND(C2262="Charter",D213="Yes"))),"Yes","No"))</x:f>
        <x:v>Yes</x:v>
      </x:c>
      <x:c r="I2262" s="1" t="n">
        <x:f>IF(OR(A2262="",COUNTIFS('Staff Review'!$A$8:$A$507,A2262)&lt;&gt;1),0,MATCH(A2262,'Staff Review'!$A$8:$A$507,0))</x:f>
        <x:v>157</x:v>
      </x:c>
      <x:c r="J2262" s="1" t="str">
        <x:f>IF(I2262=0,"No",IF(INDEX('Staff Review'!$C$8:$C$507,I2262)="Yes","Yes","No"))</x:f>
        <x:v>No</x:v>
      </x:c>
      <x:c r="K2262" s="1" t="n">
        <x:f>IF(AI2262="Yes",INDEX('Staff Review'!$D$8:$D$507,I2262),IF(AB2262=0,"",IF(COUNT(INDEX($C$1531:$C$2030,AB2262))=1,INDEX($C$1531:$C$2030,AB2262),"")))</x:f>
        <x:v>0.3988384268381208</x:v>
      </x:c>
      <x:c r="L2262" s="1" t="n">
        <x:f>IF(AJ2262="Yes",INDEX('Staff Review'!$F$8:$F$507,I2262),IF(AB2262=0,"",IF(COUNT(INDEX($G$1531:$G$2030,AB2262))=1,INDEX($G$1531:$G$2030,AB2262),"")))</x:f>
        <x:v>9</x:v>
      </x:c>
      <x:c r="M2262" s="1" t="str">
        <x:f>IF(A2262="","",IF(AI2262="Yes","Verified","Listed"))</x:f>
        <x:v>Listed</x:v>
      </x:c>
      <x:c r="N2262" s="1" t="str">
        <x:f>IF(A2262="","",IF(AJ2262="Yes","Verified","Listed"))</x:f>
        <x:v>Listed</x:v>
      </x:c>
      <x:c r="O2262" s="1" t="n">
        <x:f>IF(AND(ISNUMBER(G2262),G2262&gt;=0,G2262&lt;=1),IF(G2262&gt;=0.9,30,IF(G2262&gt;=0.8,25,IF(G2262&gt;=0.7,20,IF(G2262&gt;=0.6,15,IF(G2262&gt;=0.5,10,IF(G2262&gt;=0.4,5,0)))))),"")</x:f>
        <x:v>25</x:v>
      </x:c>
      <x:c r="P2262" s="1" t="n">
        <x:f>IF(ISNUMBER(K2262),IF(K2262&lt;0,"",IF(K2262&gt;1,25,IF(K2262&gt;=0.75,20,IF(K2262&gt;=0.5,15,IF(K2262&gt;=0.25,10,5))))),"")</x:f>
        <x:v>10</x:v>
      </x:c>
      <x:c r="Q2262" s="1" t="n">
        <x:f>IF(NOT(ISNUMBER(L2262)),"",IF(AND(L2262&gt;=0,MOD(L2262,1)=0),MAX(0,25-5*L2262),""))</x:f>
        <x:v>0</x:v>
      </x:c>
      <x:c r="R2262" s="1" t="n">
        <x:f>IF(NOT(ISNUMBER(F2262)),"",IF(AND(F2262&gt;0,MOD(F2262,1)=0),IF(F2262&gt;=700,5,IF(F2262&gt;=500,4,IF(F2262&gt;=350,3,IF(F2262&gt;=200,2,1)))),""))</x:f>
        <x:v>3</x:v>
      </x:c>
      <x:c r="S2262" s="1" t="n">
        <x:f>IF(COUNT(O2262:R2262)=4,SUM(O2262:R2262),"")</x:f>
        <x:v>38</x:v>
      </x:c>
      <x:c r="T2262" s="1" t="n">
        <x:f>IF(OR(COUNT(O2262:R2262)&lt;&gt;4,COUNT('Top 15'!$B$35:$E$35)&lt;&gt;4,MIN('Top 15'!$B$35:$E$35)&lt;0,SUM('Top 15'!$B$35:$E$35)&lt;=0),"",ROUND(85*(O2262/30*'Top 15'!$B$35+P2262/25*'Top 15'!$C$35+Q2262/25*'Top 15'!$D$35+R2262/5*'Top 15'!$E$35)/SUM('Top 15'!$B$35:$E$35),6))</x:f>
        <x:v>38</x:v>
      </x:c>
      <x:c r="U2262" s="1" t="str">
        <x:f>IF(A2262="","",IF(AND(M2262="Verified",N2262="Verified"),"Verified",IF(AND(M2262="Listed",N2262="Listed"),"Listed","Mixed")))</x:f>
        <x:v>Listed</x:v>
      </x:c>
      <x:c r="V2262" s="1" t="str">
        <x:f>IF(A2262="","",IF(AK2262&lt;&gt;1,"Duplicate source ID",IF(COUNTIFS('Staff Review'!$A$8:$A$507,A2262)&gt;1,"Duplicate review ID",IF(H2262&lt;&gt;"Yes","Outside scope",IF(J2262="Yes","Already served",IF(NOT(ISNUMBER(T2262)),"Missing data","Candidate"))))))</x:f>
        <x:v>Candidate</x:v>
      </x:c>
      <x:c r="W2262" s="1" t="n">
        <x:f>IF(AL2262=0,"",1+COUNTIFS($AL$2051:$AL$2550,1,$T$2051:$T$2550,"&gt;"&amp;T2262)+COUNTIFS($AL$2051:$AL$2550,1,$T$2051:$T$2550,T2262,$G$2051:$G$2550,"&gt;"&amp;G2262)+COUNTIFS($AL$2051:$AL$2550,1,$T$2051:$T$2550,T2262,$G$2051:$G$2550,G2262,$F$2051:$F$2550,"&gt;"&amp;F2262)+COUNTIFS($AL$2051:$AL$2550,1,$T$2051:$T$2550,T2262,$G$2051:$G$2550,G2262,$F$2051:$F$2550,F2262,$AM$2051:$AM$2550,"&lt;"&amp;AM2262))</x:f>
        <x:v>172</x:v>
      </x:c>
      <x:c r="X2262" s="1" t="n">
        <x:f>IF(AL2262=0,"",1+COUNTIFS($AL$2051:$AL$2550,1,$T$2051:$T$2550,"&gt;"&amp;T2262))</x:f>
        <x:v>166</x:v>
      </x:c>
      <x:c r="Y2262" s="1" t="n">
        <x:f>IF(AND(H2262="Yes",OR(LEN('School Search'!$B$5)=0,ISNUMBER(SEARCH('School Search'!$B$5,B2262&amp;" "&amp;E2262&amp;" "&amp;A2262))),OR('School Search'!$D$5="All",C2262='School Search'!$D$5),OR('School Search'!$G$5="All eligible",AND('School Search'!$G$5="Not marked served",J2262&lt;&gt;"Yes"),AND('School Search'!$G$5="Missing data",V2262="Missing data"),AND('School Search'!$G$5="Marked served",J2262="Yes"))),1,0)</x:f>
        <x:v>1</x:v>
      </x:c>
      <x:c r="Z2262" s="1" t="n">
        <x:f>IF(Y2262=0,"",COUNTIFS($Y$2051:$Y$2550,1,$AO$2051:$AO$2550,"&lt;"&amp;AO2262)+COUNTIFS($Y$2051:Y2262,1,$AO$2051:AO2262,AO2262))</x:f>
        <x:v>172</x:v>
      </x:c>
      <x:c r="AA2262" s="1" t="str">
        <x:f>IF(NOT(ISNUMBER(S2262)),"Missing demographic or access input",TEXT(G2262,"0%")&amp;" economic need; "&amp;TEXT(K2262,"0.00")&amp;" mi fresh access; "&amp;L2262&amp;" nearby resources")</x:f>
        <x:v>87% economic need; 0.40 mi fresh access; 9 nearby resources</x:v>
      </x:c>
      <x:c r="AB2262" s="1" t="n">
        <x:f>IF(OR(A2262="",COUNTIFS($A$1531:$A$2030,A2262)&lt;&gt;1),0,MATCH(A2262,$A$1531:$A$2030,0))</x:f>
        <x:v>212</x:v>
      </x:c>
      <x:c r="AC2262" s="1" t="str">
        <x:f>IF(AB2262=0,"",INDEX($E$1531:$E$2030,AB2262))</x:f>
        <x:v>Save A Lot 30224</x:v>
      </x:c>
      <x:c r="AD2262" s="1" t="str">
        <x:f>IF(AB2262=0,"",INDEX($F$1531:$F$2030,AB2262))</x:f>
        <x:v>2132 E Lehigh Ave, Philadelphia, PA, 19125</x:v>
      </x:c>
      <x:c r="AE2262" s="1" t="str">
        <x:f>IF(A2262="","",F213)</x:f>
        <x:v>2463 EMERALD ST</x:v>
      </x:c>
      <x:c r="AF2262" s="1" t="n">
        <x:f>IF(ISNUMBER(I213),I213,"")</x:f>
        <x:v>39.985026</x:v>
      </x:c>
      <x:c r="AG2262" s="1" t="n">
        <x:f>IF(ISNUMBER(J213),J213,"")</x:f>
        <x:v>-75.128685</x:v>
      </x:c>
      <x:c r="AH2262" s="1" t="str">
        <x:f>IF(I2262=0,"Not contacted",IF(INDEX('Staff Review'!$J$8:$J$507,I2262)="","Not contacted",INDEX('Staff Review'!$J$8:$J$507,I2262)))</x:f>
        <x:v>Not contacted</x:v>
      </x:c>
      <x:c r="AI2262" s="1" t="str">
        <x:f>IF(I2262=0,"No",IF(AND(COUNT(INDEX('Staff Review'!$D$8:$D$507,I2262))=1,INDEX('Staff Review'!$D$8:$D$507,I2262)&gt;=0,COUNT(INDEX('Staff Review'!$E$8:$E$507,I2262))=1,INDEX('Staff Review'!$E$8:$E$507,I2262)&gt;0,INDEX('Staff Review'!$E$8:$E$507,I2262)&lt;='Top 15'!$E$5,'Top 15'!$E$5-INDEX('Staff Review'!$E$8:$E$507,I2262)&lt;='Top 15'!$H$5,LEN(INDEX('Staff Review'!$H$8:$H$507,I2262))&gt;0),"Yes","No"))</x:f>
        <x:v>No</x:v>
      </x:c>
      <x:c r="AJ2262" s="1" t="str">
        <x:f>IF(I2262=0,"No",IF(COUNT(INDEX('Staff Review'!$F$8:$F$507,I2262))&lt;&gt;1,"No",IF(AND(INDEX('Staff Review'!$F$8:$F$507,I2262)&gt;=0,MOD(INDEX('Staff Review'!$F$8:$F$507,I2262),1)=0,COUNT(INDEX('Staff Review'!$G$8:$G$507,I2262))=1,INDEX('Staff Review'!$G$8:$G$507,I2262)&gt;0,INDEX('Staff Review'!$G$8:$G$507,I2262)&lt;='Top 15'!$E$5,'Top 15'!$E$5-INDEX('Staff Review'!$G$8:$G$507,I2262)&lt;='Top 15'!$H$5,LEN(INDEX('Staff Review'!$H$8:$H$507,I2262))&gt;0),"Yes","No")))</x:f>
        <x:v>No</x:v>
      </x:c>
      <x:c r="AK2262" s="1" t="n">
        <x:f>IF(A2262="",0,COUNTIFS($A$2:$A$501,A2262))</x:f>
        <x:v>1</x:v>
      </x:c>
      <x:c r="AL2262" s="1" t="n">
        <x:f>IF(V2262="Candidate",1,0)</x:f>
        <x:v>1</x:v>
      </x:c>
      <x:c r="AM2262" s="1" t="n">
        <x:f>IF(A2262="",0,VALUE(A2262))</x:f>
        <x:v>5550</x:v>
      </x:c>
      <x:c r="AN2262" s="1" t="n">
        <x:f>IF(OR(A2262="",COUNTIFS($T$41:$T$540,A2262)&lt;&gt;1),0,MATCH(A2262,$T$41:$T$540,0))</x:f>
        <x:v>212</x:v>
      </x:c>
      <x:c r="AO2262" t="n">
        <x:f>IF(ISNUMBER(W2262),W2262,10000+AM2262)</x:f>
        <x:v>172</x:v>
      </x:c>
    </x:row>
    <x:row r="2263" ht="22" customHeight="1">
      <x:c r="A2263" s="1" t="str">
        <x:f>IF(A214="","",A214)</x:f>
        <x:v>5560</x:v>
      </x:c>
      <x:c r="B2263" s="1" t="str">
        <x:f>IF(A2263="","",B214)</x:f>
        <x:v>Spring Garden School</x:v>
      </x:c>
      <x:c r="C2263" s="1" t="str">
        <x:f>IF(A2263="","",C214)</x:f>
        <x:v>District</x:v>
      </x:c>
      <x:c r="D2263" s="1" t="str">
        <x:f>IF(A2263="","",E214)</x:f>
        <x:v>Elementary-Middle</x:v>
      </x:c>
      <x:c r="E2263" s="1" t="str">
        <x:f>IF(A2263="","",H214)</x:f>
        <x:v>19123</x:v>
      </x:c>
      <x:c r="F2263" s="1" t="n">
        <x:f>IF(ISNUMBER(K214),K214,"")</x:f>
        <x:v>247</x:v>
      </x:c>
      <x:c r="G2263" s="1" t="n">
        <x:f>IF(ISNUMBER(L214),L214,"")</x:f>
        <x:v>0.8577</x:v>
      </x:c>
      <x:c r="H2263" s="1" t="str">
        <x:f>IF(A2263="","",IF(AND(UPPER(G214)="PHILADELPHIA",OR(C2263="District",AND(C2263="Charter",D214="Yes"))),"Yes","No"))</x:f>
        <x:v>Yes</x:v>
      </x:c>
      <x:c r="I2263" s="1" t="n">
        <x:f>IF(OR(A2263="",COUNTIFS('Staff Review'!$A$8:$A$507,A2263)&lt;&gt;1),0,MATCH(A2263,'Staff Review'!$A$8:$A$507,0))</x:f>
        <x:v>274</x:v>
      </x:c>
      <x:c r="J2263" s="1" t="str">
        <x:f>IF(I2263=0,"No",IF(INDEX('Staff Review'!$C$8:$C$507,I2263)="Yes","Yes","No"))</x:f>
        <x:v>No</x:v>
      </x:c>
      <x:c r="K2263" s="1" t="n">
        <x:f>IF(AI2263="Yes",INDEX('Staff Review'!$D$8:$D$507,I2263),IF(AB2263=0,"",IF(COUNT(INDEX($C$1531:$C$2030,AB2263))=1,INDEX($C$1531:$C$2030,AB2263),"")))</x:f>
        <x:v>0.18757831963817834</x:v>
      </x:c>
      <x:c r="L2263" s="1" t="n">
        <x:f>IF(AJ2263="Yes",INDEX('Staff Review'!$F$8:$F$507,I2263),IF(AB2263=0,"",IF(COUNT(INDEX($G$1531:$G$2030,AB2263))=1,INDEX($G$1531:$G$2030,AB2263),"")))</x:f>
        <x:v>10</x:v>
      </x:c>
      <x:c r="M2263" s="1" t="str">
        <x:f>IF(A2263="","",IF(AI2263="Yes","Verified","Listed"))</x:f>
        <x:v>Listed</x:v>
      </x:c>
      <x:c r="N2263" s="1" t="str">
        <x:f>IF(A2263="","",IF(AJ2263="Yes","Verified","Listed"))</x:f>
        <x:v>Listed</x:v>
      </x:c>
      <x:c r="O2263" s="1" t="n">
        <x:f>IF(AND(ISNUMBER(G2263),G2263&gt;=0,G2263&lt;=1),IF(G2263&gt;=0.9,30,IF(G2263&gt;=0.8,25,IF(G2263&gt;=0.7,20,IF(G2263&gt;=0.6,15,IF(G2263&gt;=0.5,10,IF(G2263&gt;=0.4,5,0)))))),"")</x:f>
        <x:v>25</x:v>
      </x:c>
      <x:c r="P2263" s="1" t="n">
        <x:f>IF(ISNUMBER(K2263),IF(K2263&lt;0,"",IF(K2263&gt;1,25,IF(K2263&gt;=0.75,20,IF(K2263&gt;=0.5,15,IF(K2263&gt;=0.25,10,5))))),"")</x:f>
        <x:v>5</x:v>
      </x:c>
      <x:c r="Q2263" s="1" t="n">
        <x:f>IF(NOT(ISNUMBER(L2263)),"",IF(AND(L2263&gt;=0,MOD(L2263,1)=0),MAX(0,25-5*L2263),""))</x:f>
        <x:v>0</x:v>
      </x:c>
      <x:c r="R2263" s="1" t="n">
        <x:f>IF(NOT(ISNUMBER(F2263)),"",IF(AND(F2263&gt;0,MOD(F2263,1)=0),IF(F2263&gt;=700,5,IF(F2263&gt;=500,4,IF(F2263&gt;=350,3,IF(F2263&gt;=200,2,1)))),""))</x:f>
        <x:v>2</x:v>
      </x:c>
      <x:c r="S2263" s="1" t="n">
        <x:f>IF(COUNT(O2263:R2263)=4,SUM(O2263:R2263),"")</x:f>
        <x:v>32</x:v>
      </x:c>
      <x:c r="T2263" s="1" t="n">
        <x:f>IF(OR(COUNT(O2263:R2263)&lt;&gt;4,COUNT('Top 15'!$B$35:$E$35)&lt;&gt;4,MIN('Top 15'!$B$35:$E$35)&lt;0,SUM('Top 15'!$B$35:$E$35)&lt;=0),"",ROUND(85*(O2263/30*'Top 15'!$B$35+P2263/25*'Top 15'!$C$35+Q2263/25*'Top 15'!$D$35+R2263/5*'Top 15'!$E$35)/SUM('Top 15'!$B$35:$E$35),6))</x:f>
        <x:v>32</x:v>
      </x:c>
      <x:c r="U2263" s="1" t="str">
        <x:f>IF(A2263="","",IF(AND(M2263="Verified",N2263="Verified"),"Verified",IF(AND(M2263="Listed",N2263="Listed"),"Listed","Mixed")))</x:f>
        <x:v>Listed</x:v>
      </x:c>
      <x:c r="V2263" s="1" t="str">
        <x:f>IF(A2263="","",IF(AK2263&lt;&gt;1,"Duplicate source ID",IF(COUNTIFS('Staff Review'!$A$8:$A$507,A2263)&gt;1,"Duplicate review ID",IF(H2263&lt;&gt;"Yes","Outside scope",IF(J2263="Yes","Already served",IF(NOT(ISNUMBER(T2263)),"Missing data","Candidate"))))))</x:f>
        <x:v>Candidate</x:v>
      </x:c>
      <x:c r="W2263" s="1" t="n">
        <x:f>IF(AL2263=0,"",1+COUNTIFS($AL$2051:$AL$2550,1,$T$2051:$T$2550,"&gt;"&amp;T2263)+COUNTIFS($AL$2051:$AL$2550,1,$T$2051:$T$2550,T2263,$G$2051:$G$2550,"&gt;"&amp;G2263)+COUNTIFS($AL$2051:$AL$2550,1,$T$2051:$T$2550,T2263,$G$2051:$G$2550,G2263,$F$2051:$F$2550,"&gt;"&amp;F2263)+COUNTIFS($AL$2051:$AL$2550,1,$T$2051:$T$2550,T2263,$G$2051:$G$2550,G2263,$F$2051:$F$2550,F2263,$AM$2051:$AM$2550,"&lt;"&amp;AM2263))</x:f>
        <x:v>246</x:v>
      </x:c>
      <x:c r="X2263" s="1" t="n">
        <x:f>IF(AL2263=0,"",1+COUNTIFS($AL$2051:$AL$2550,1,$T$2051:$T$2550,"&gt;"&amp;T2263))</x:f>
        <x:v>243</x:v>
      </x:c>
      <x:c r="Y2263" s="1" t="n">
        <x:f>IF(AND(H2263="Yes",OR(LEN('School Search'!$B$5)=0,ISNUMBER(SEARCH('School Search'!$B$5,B2263&amp;" "&amp;E2263&amp;" "&amp;A2263))),OR('School Search'!$D$5="All",C2263='School Search'!$D$5),OR('School Search'!$G$5="All eligible",AND('School Search'!$G$5="Not marked served",J2263&lt;&gt;"Yes"),AND('School Search'!$G$5="Missing data",V2263="Missing data"),AND('School Search'!$G$5="Marked served",J2263="Yes"))),1,0)</x:f>
        <x:v>1</x:v>
      </x:c>
      <x:c r="Z2263" s="1" t="n">
        <x:f>IF(Y2263=0,"",COUNTIFS($Y$2051:$Y$2550,1,$AO$2051:$AO$2550,"&lt;"&amp;AO2263)+COUNTIFS($Y$2051:Y2263,1,$AO$2051:AO2263,AO2263))</x:f>
        <x:v>246</x:v>
      </x:c>
      <x:c r="AA2263" s="1" t="str">
        <x:f>IF(NOT(ISNUMBER(S2263)),"Missing demographic or access input",TEXT(G2263,"0%")&amp;" economic need; "&amp;TEXT(K2263,"0.00")&amp;" mi fresh access; "&amp;L2263&amp;" nearby resources")</x:f>
        <x:v>86% economic need; 0.19 mi fresh access; 10 nearby resources</x:v>
      </x:c>
      <x:c r="AB2263" s="1" t="n">
        <x:f>IF(OR(A2263="",COUNTIFS($A$1531:$A$2030,A2263)&lt;&gt;1),0,MATCH(A2263,$A$1531:$A$2030,0))</x:f>
        <x:v>213</x:v>
      </x:c>
      <x:c r="AC2263" s="1" t="str">
        <x:f>IF(AB2263=0,"",INDEX($E$1531:$E$2030,AB2263))</x:f>
        <x:v>Aldi 60169</x:v>
      </x:c>
      <x:c r="AD2263" s="1" t="str">
        <x:f>IF(AB2263=0,"",INDEX($F$1531:$F$2030,AB2263))</x:f>
        <x:v>1300 Fairmount Ave, Philadelphia, PA, 19123</x:v>
      </x:c>
      <x:c r="AE2263" s="1" t="str">
        <x:f>IF(A2263="","",F214)</x:f>
        <x:v>1146 MELON ST</x:v>
      </x:c>
      <x:c r="AF2263" s="1" t="n">
        <x:f>IF(ISNUMBER(I214),I214,"")</x:f>
        <x:v>39.96516155</x:v>
      </x:c>
      <x:c r="AG2263" s="1" t="n">
        <x:f>IF(ISNUMBER(J214),J214,"")</x:f>
        <x:v>-75.15614042</x:v>
      </x:c>
      <x:c r="AH2263" s="1" t="str">
        <x:f>IF(I2263=0,"Not contacted",IF(INDEX('Staff Review'!$J$8:$J$507,I2263)="","Not contacted",INDEX('Staff Review'!$J$8:$J$507,I2263)))</x:f>
        <x:v>Not contacted</x:v>
      </x:c>
      <x:c r="AI2263" s="1" t="str">
        <x:f>IF(I2263=0,"No",IF(AND(COUNT(INDEX('Staff Review'!$D$8:$D$507,I2263))=1,INDEX('Staff Review'!$D$8:$D$507,I2263)&gt;=0,COUNT(INDEX('Staff Review'!$E$8:$E$507,I2263))=1,INDEX('Staff Review'!$E$8:$E$507,I2263)&gt;0,INDEX('Staff Review'!$E$8:$E$507,I2263)&lt;='Top 15'!$E$5,'Top 15'!$E$5-INDEX('Staff Review'!$E$8:$E$507,I2263)&lt;='Top 15'!$H$5,LEN(INDEX('Staff Review'!$H$8:$H$507,I2263))&gt;0),"Yes","No"))</x:f>
        <x:v>No</x:v>
      </x:c>
      <x:c r="AJ2263" s="1" t="str">
        <x:f>IF(I2263=0,"No",IF(COUNT(INDEX('Staff Review'!$F$8:$F$507,I2263))&lt;&gt;1,"No",IF(AND(INDEX('Staff Review'!$F$8:$F$507,I2263)&gt;=0,MOD(INDEX('Staff Review'!$F$8:$F$507,I2263),1)=0,COUNT(INDEX('Staff Review'!$G$8:$G$507,I2263))=1,INDEX('Staff Review'!$G$8:$G$507,I2263)&gt;0,INDEX('Staff Review'!$G$8:$G$507,I2263)&lt;='Top 15'!$E$5,'Top 15'!$E$5-INDEX('Staff Review'!$G$8:$G$507,I2263)&lt;='Top 15'!$H$5,LEN(INDEX('Staff Review'!$H$8:$H$507,I2263))&gt;0),"Yes","No")))</x:f>
        <x:v>No</x:v>
      </x:c>
      <x:c r="AK2263" s="1" t="n">
        <x:f>IF(A2263="",0,COUNTIFS($A$2:$A$501,A2263))</x:f>
        <x:v>1</x:v>
      </x:c>
      <x:c r="AL2263" s="1" t="n">
        <x:f>IF(V2263="Candidate",1,0)</x:f>
        <x:v>1</x:v>
      </x:c>
      <x:c r="AM2263" s="1" t="n">
        <x:f>IF(A2263="",0,VALUE(A2263))</x:f>
        <x:v>5560</x:v>
      </x:c>
      <x:c r="AN2263" s="1" t="n">
        <x:f>IF(OR(A2263="",COUNTIFS($T$41:$T$540,A2263)&lt;&gt;1),0,MATCH(A2263,$T$41:$T$540,0))</x:f>
        <x:v>213</x:v>
      </x:c>
      <x:c r="AO2263" t="n">
        <x:f>IF(ISNUMBER(W2263),W2263,10000+AM2263)</x:f>
        <x:v>246</x:v>
      </x:c>
    </x:row>
    <x:row r="2264" ht="22" customHeight="1">
      <x:c r="A2264" s="1" t="str">
        <x:f>IF(A215="","",A215)</x:f>
        <x:v>5580</x:v>
      </x:c>
      <x:c r="B2264" s="1" t="str">
        <x:f>IF(A2264="","",B215)</x:f>
        <x:v>John B. Stetson Middle School</x:v>
      </x:c>
      <x:c r="C2264" s="1" t="str">
        <x:f>IF(A2264="","",C215)</x:f>
        <x:v>District</x:v>
      </x:c>
      <x:c r="D2264" s="1" t="str">
        <x:f>IF(A2264="","",E215)</x:f>
        <x:v>Middle</x:v>
      </x:c>
      <x:c r="E2264" s="1" t="str">
        <x:f>IF(A2264="","",H215)</x:f>
        <x:v>19134</x:v>
      </x:c>
      <x:c r="F2264" s="1" t="n">
        <x:f>IF(ISNUMBER(K215),K215,"")</x:f>
        <x:v>511</x:v>
      </x:c>
      <x:c r="G2264" s="1" t="n">
        <x:f>IF(ISNUMBER(L215),L215,"")</x:f>
        <x:v>0.8874</x:v>
      </x:c>
      <x:c r="H2264" s="1" t="str">
        <x:f>IF(A2264="","",IF(AND(UPPER(G215)="PHILADELPHIA",OR(C2264="District",AND(C2264="Charter",D215="Yes"))),"Yes","No"))</x:f>
        <x:v>Yes</x:v>
      </x:c>
      <x:c r="I2264" s="1" t="n">
        <x:f>IF(OR(A2264="",COUNTIFS('Staff Review'!$A$8:$A$507,A2264)&lt;&gt;1),0,MATCH(A2264,'Staff Review'!$A$8:$A$507,0))</x:f>
        <x:v>134</x:v>
      </x:c>
      <x:c r="J2264" s="1" t="str">
        <x:f>IF(I2264=0,"No",IF(INDEX('Staff Review'!$C$8:$C$507,I2264)="Yes","Yes","No"))</x:f>
        <x:v>No</x:v>
      </x:c>
      <x:c r="K2264" s="1" t="n">
        <x:f>IF(AI2264="Yes",INDEX('Staff Review'!$D$8:$D$507,I2264),IF(AB2264=0,"",IF(COUNT(INDEX($C$1531:$C$2030,AB2264))=1,INDEX($C$1531:$C$2030,AB2264),"")))</x:f>
        <x:v>0.09416564911185431</x:v>
      </x:c>
      <x:c r="L2264" s="1" t="n">
        <x:f>IF(AJ2264="Yes",INDEX('Staff Review'!$F$8:$F$507,I2264),IF(AB2264=0,"",IF(COUNT(INDEX($G$1531:$G$2030,AB2264))=1,INDEX($G$1531:$G$2030,AB2264),"")))</x:f>
        <x:v>12</x:v>
      </x:c>
      <x:c r="M2264" s="1" t="str">
        <x:f>IF(A2264="","",IF(AI2264="Yes","Verified","Listed"))</x:f>
        <x:v>Listed</x:v>
      </x:c>
      <x:c r="N2264" s="1" t="str">
        <x:f>IF(A2264="","",IF(AJ2264="Yes","Verified","Listed"))</x:f>
        <x:v>Listed</x:v>
      </x:c>
      <x:c r="O2264" s="1" t="n">
        <x:f>IF(AND(ISNUMBER(G2264),G2264&gt;=0,G2264&lt;=1),IF(G2264&gt;=0.9,30,IF(G2264&gt;=0.8,25,IF(G2264&gt;=0.7,20,IF(G2264&gt;=0.6,15,IF(G2264&gt;=0.5,10,IF(G2264&gt;=0.4,5,0)))))),"")</x:f>
        <x:v>25</x:v>
      </x:c>
      <x:c r="P2264" s="1" t="n">
        <x:f>IF(ISNUMBER(K2264),IF(K2264&lt;0,"",IF(K2264&gt;1,25,IF(K2264&gt;=0.75,20,IF(K2264&gt;=0.5,15,IF(K2264&gt;=0.25,10,5))))),"")</x:f>
        <x:v>5</x:v>
      </x:c>
      <x:c r="Q2264" s="1" t="n">
        <x:f>IF(NOT(ISNUMBER(L2264)),"",IF(AND(L2264&gt;=0,MOD(L2264,1)=0),MAX(0,25-5*L2264),""))</x:f>
        <x:v>0</x:v>
      </x:c>
      <x:c r="R2264" s="1" t="n">
        <x:f>IF(NOT(ISNUMBER(F2264)),"",IF(AND(F2264&gt;0,MOD(F2264,1)=0),IF(F2264&gt;=700,5,IF(F2264&gt;=500,4,IF(F2264&gt;=350,3,IF(F2264&gt;=200,2,1)))),""))</x:f>
        <x:v>4</x:v>
      </x:c>
      <x:c r="S2264" s="1" t="n">
        <x:f>IF(COUNT(O2264:R2264)=4,SUM(O2264:R2264),"")</x:f>
        <x:v>34</x:v>
      </x:c>
      <x:c r="T2264" s="1" t="n">
        <x:f>IF(OR(COUNT(O2264:R2264)&lt;&gt;4,COUNT('Top 15'!$B$35:$E$35)&lt;&gt;4,MIN('Top 15'!$B$35:$E$35)&lt;0,SUM('Top 15'!$B$35:$E$35)&lt;=0),"",ROUND(85*(O2264/30*'Top 15'!$B$35+P2264/25*'Top 15'!$C$35+Q2264/25*'Top 15'!$D$35+R2264/5*'Top 15'!$E$35)/SUM('Top 15'!$B$35:$E$35),6))</x:f>
        <x:v>34</x:v>
      </x:c>
      <x:c r="U2264" s="1" t="str">
        <x:f>IF(A2264="","",IF(AND(M2264="Verified",N2264="Verified"),"Verified",IF(AND(M2264="Listed",N2264="Listed"),"Listed","Mixed")))</x:f>
        <x:v>Listed</x:v>
      </x:c>
      <x:c r="V2264" s="1" t="str">
        <x:f>IF(A2264="","",IF(AK2264&lt;&gt;1,"Duplicate source ID",IF(COUNTIFS('Staff Review'!$A$8:$A$507,A2264)&gt;1,"Duplicate review ID",IF(H2264&lt;&gt;"Yes","Outside scope",IF(J2264="Yes","Already served",IF(NOT(ISNUMBER(T2264)),"Missing data","Candidate"))))))</x:f>
        <x:v>Candidate</x:v>
      </x:c>
      <x:c r="W2264" s="1" t="n">
        <x:f>IF(AL2264=0,"",1+COUNTIFS($AL$2051:$AL$2550,1,$T$2051:$T$2550,"&gt;"&amp;T2264)+COUNTIFS($AL$2051:$AL$2550,1,$T$2051:$T$2550,T2264,$G$2051:$G$2550,"&gt;"&amp;G2264)+COUNTIFS($AL$2051:$AL$2550,1,$T$2051:$T$2550,T2264,$G$2051:$G$2550,G2264,$F$2051:$F$2550,"&gt;"&amp;F2264)+COUNTIFS($AL$2051:$AL$2550,1,$T$2051:$T$2550,T2264,$G$2051:$G$2550,G2264,$F$2051:$F$2550,F2264,$AM$2051:$AM$2550,"&lt;"&amp;AM2264))</x:f>
        <x:v>221</x:v>
      </x:c>
      <x:c r="X2264" s="1" t="n">
        <x:f>IF(AL2264=0,"",1+COUNTIFS($AL$2051:$AL$2550,1,$T$2051:$T$2550,"&gt;"&amp;T2264))</x:f>
        <x:v>221</x:v>
      </x:c>
      <x:c r="Y2264" s="1" t="n">
        <x:f>IF(AND(H2264="Yes",OR(LEN('School Search'!$B$5)=0,ISNUMBER(SEARCH('School Search'!$B$5,B2264&amp;" "&amp;E2264&amp;" "&amp;A2264))),OR('School Search'!$D$5="All",C2264='School Search'!$D$5),OR('School Search'!$G$5="All eligible",AND('School Search'!$G$5="Not marked served",J2264&lt;&gt;"Yes"),AND('School Search'!$G$5="Missing data",V2264="Missing data"),AND('School Search'!$G$5="Marked served",J2264="Yes"))),1,0)</x:f>
        <x:v>1</x:v>
      </x:c>
      <x:c r="Z2264" s="1" t="n">
        <x:f>IF(Y2264=0,"",COUNTIFS($Y$2051:$Y$2550,1,$AO$2051:$AO$2550,"&lt;"&amp;AO2264)+COUNTIFS($Y$2051:Y2264,1,$AO$2051:AO2264,AO2264))</x:f>
        <x:v>221</x:v>
      </x:c>
      <x:c r="AA2264" s="1" t="str">
        <x:f>IF(NOT(ISNUMBER(S2264)),"Missing demographic or access input",TEXT(G2264,"0%")&amp;" economic need; "&amp;TEXT(K2264,"0.00")&amp;" mi fresh access; "&amp;L2264&amp;" nearby resources")</x:f>
        <x:v>89% economic need; 0.09 mi fresh access; 12 nearby resources</x:v>
      </x:c>
      <x:c r="AB2264" s="1" t="n">
        <x:f>IF(OR(A2264="",COUNTIFS($A$1531:$A$2030,A2264)&lt;&gt;1),0,MATCH(A2264,$A$1531:$A$2030,0))</x:f>
        <x:v>214</x:v>
      </x:c>
      <x:c r="AC2264" s="1" t="str">
        <x:f>IF(AB2264=0,"",INDEX($E$1531:$E$2030,AB2264))</x:f>
        <x:v>Fresh Supermarket Inc/ Cousins Family Market</x:v>
      </x:c>
      <x:c r="AD2264" s="1" t="str">
        <x:f>IF(AB2264=0,"",INDEX($F$1531:$F$2030,AB2264))</x:f>
        <x:v>203 E Allegheny Ave, Philadelphia, PA, 19134</x:v>
      </x:c>
      <x:c r="AE2264" s="1" t="str">
        <x:f>IF(A2264="","",F215)</x:f>
        <x:v>3200 B ST</x:v>
      </x:c>
      <x:c r="AF2264" s="1" t="n">
        <x:f>IF(ISNUMBER(I215),I215,"")</x:f>
        <x:v>39.99806894</x:v>
      </x:c>
      <x:c r="AG2264" s="1" t="n">
        <x:f>IF(ISNUMBER(J215),J215,"")</x:f>
        <x:v>-75.12546663</x:v>
      </x:c>
      <x:c r="AH2264" s="1" t="str">
        <x:f>IF(I2264=0,"Not contacted",IF(INDEX('Staff Review'!$J$8:$J$507,I2264)="","Not contacted",INDEX('Staff Review'!$J$8:$J$507,I2264)))</x:f>
        <x:v>Not contacted</x:v>
      </x:c>
      <x:c r="AI2264" s="1" t="str">
        <x:f>IF(I2264=0,"No",IF(AND(COUNT(INDEX('Staff Review'!$D$8:$D$507,I2264))=1,INDEX('Staff Review'!$D$8:$D$507,I2264)&gt;=0,COUNT(INDEX('Staff Review'!$E$8:$E$507,I2264))=1,INDEX('Staff Review'!$E$8:$E$507,I2264)&gt;0,INDEX('Staff Review'!$E$8:$E$507,I2264)&lt;='Top 15'!$E$5,'Top 15'!$E$5-INDEX('Staff Review'!$E$8:$E$507,I2264)&lt;='Top 15'!$H$5,LEN(INDEX('Staff Review'!$H$8:$H$507,I2264))&gt;0),"Yes","No"))</x:f>
        <x:v>No</x:v>
      </x:c>
      <x:c r="AJ2264" s="1" t="str">
        <x:f>IF(I2264=0,"No",IF(COUNT(INDEX('Staff Review'!$F$8:$F$507,I2264))&lt;&gt;1,"No",IF(AND(INDEX('Staff Review'!$F$8:$F$507,I2264)&gt;=0,MOD(INDEX('Staff Review'!$F$8:$F$507,I2264),1)=0,COUNT(INDEX('Staff Review'!$G$8:$G$507,I2264))=1,INDEX('Staff Review'!$G$8:$G$507,I2264)&gt;0,INDEX('Staff Review'!$G$8:$G$507,I2264)&lt;='Top 15'!$E$5,'Top 15'!$E$5-INDEX('Staff Review'!$G$8:$G$507,I2264)&lt;='Top 15'!$H$5,LEN(INDEX('Staff Review'!$H$8:$H$507,I2264))&gt;0),"Yes","No")))</x:f>
        <x:v>No</x:v>
      </x:c>
      <x:c r="AK2264" s="1" t="n">
        <x:f>IF(A2264="",0,COUNTIFS($A$2:$A$501,A2264))</x:f>
        <x:v>1</x:v>
      </x:c>
      <x:c r="AL2264" s="1" t="n">
        <x:f>IF(V2264="Candidate",1,0)</x:f>
        <x:v>1</x:v>
      </x:c>
      <x:c r="AM2264" s="1" t="n">
        <x:f>IF(A2264="",0,VALUE(A2264))</x:f>
        <x:v>5580</x:v>
      </x:c>
      <x:c r="AN2264" s="1" t="n">
        <x:f>IF(OR(A2264="",COUNTIFS($T$41:$T$540,A2264)&lt;&gt;1),0,MATCH(A2264,$T$41:$T$540,0))</x:f>
        <x:v>214</x:v>
      </x:c>
      <x:c r="AO2264" t="n">
        <x:f>IF(ISNUMBER(W2264),W2264,10000+AM2264)</x:f>
        <x:v>221</x:v>
      </x:c>
    </x:row>
    <x:row r="2265" ht="22" customHeight="1">
      <x:c r="A2265" s="1" t="str">
        <x:f>IF(A216="","",A216)</x:f>
        <x:v>5581</x:v>
      </x:c>
      <x:c r="B2265" s="1" t="str">
        <x:f>IF(A2265="","",B216)</x:f>
        <x:v>Stetson Middle School Continuation Academy</x:v>
      </x:c>
      <x:c r="C2265" s="1" t="str">
        <x:f>IF(A2265="","",C216)</x:f>
        <x:v>Contracted</x:v>
      </x:c>
      <x:c r="D2265" s="1" t="str">
        <x:f>IF(A2265="","",E216)</x:f>
        <x:v>Transition/Overage School</x:v>
      </x:c>
      <x:c r="E2265" s="1" t="str">
        <x:f>IF(A2265="","",H216)</x:f>
        <x:v>19134</x:v>
      </x:c>
      <x:c r="F2265" s="1" t="n">
        <x:f>IF(ISNUMBER(K216),K216,"")</x:f>
        <x:v>13</x:v>
      </x:c>
      <x:c r="G2265" s="1" t="n">
        <x:f>IF(ISNUMBER(L216),L216,"")</x:f>
        <x:v>0.8874</x:v>
      </x:c>
      <x:c r="H2265" s="1" t="str">
        <x:f>IF(A2265="","",IF(AND(UPPER(G216)="PHILADELPHIA",OR(C2265="District",AND(C2265="Charter",D216="Yes"))),"Yes","No"))</x:f>
        <x:v>No</x:v>
      </x:c>
      <x:c r="I2265" s="1" t="n">
        <x:f>IF(OR(A2265="",COUNTIFS('Staff Review'!$A$8:$A$507,A2265)&lt;&gt;1),0,MATCH(A2265,'Staff Review'!$A$8:$A$507,0))</x:f>
        <x:v>277</x:v>
      </x:c>
      <x:c r="J2265" s="1" t="str">
        <x:f>IF(I2265=0,"No",IF(INDEX('Staff Review'!$C$8:$C$507,I2265)="Yes","Yes","No"))</x:f>
        <x:v>No</x:v>
      </x:c>
      <x:c r="K2265" s="1" t="n">
        <x:f>IF(AI2265="Yes",INDEX('Staff Review'!$D$8:$D$507,I2265),IF(AB2265=0,"",IF(COUNT(INDEX($C$1531:$C$2030,AB2265))=1,INDEX($C$1531:$C$2030,AB2265),"")))</x:f>
        <x:v>0.10724705243360236</x:v>
      </x:c>
      <x:c r="L2265" s="1" t="n">
        <x:f>IF(AJ2265="Yes",INDEX('Staff Review'!$F$8:$F$507,I2265),IF(AB2265=0,"",IF(COUNT(INDEX($G$1531:$G$2030,AB2265))=1,INDEX($G$1531:$G$2030,AB2265),"")))</x:f>
        <x:v>12</x:v>
      </x:c>
      <x:c r="M2265" s="1" t="str">
        <x:f>IF(A2265="","",IF(AI2265="Yes","Verified","Listed"))</x:f>
        <x:v>Listed</x:v>
      </x:c>
      <x:c r="N2265" s="1" t="str">
        <x:f>IF(A2265="","",IF(AJ2265="Yes","Verified","Listed"))</x:f>
        <x:v>Listed</x:v>
      </x:c>
      <x:c r="O2265" s="1" t="n">
        <x:f>IF(AND(ISNUMBER(G2265),G2265&gt;=0,G2265&lt;=1),IF(G2265&gt;=0.9,30,IF(G2265&gt;=0.8,25,IF(G2265&gt;=0.7,20,IF(G2265&gt;=0.6,15,IF(G2265&gt;=0.5,10,IF(G2265&gt;=0.4,5,0)))))),"")</x:f>
        <x:v>25</x:v>
      </x:c>
      <x:c r="P2265" s="1" t="n">
        <x:f>IF(ISNUMBER(K2265),IF(K2265&lt;0,"",IF(K2265&gt;1,25,IF(K2265&gt;=0.75,20,IF(K2265&gt;=0.5,15,IF(K2265&gt;=0.25,10,5))))),"")</x:f>
        <x:v>5</x:v>
      </x:c>
      <x:c r="Q2265" s="1" t="n">
        <x:f>IF(NOT(ISNUMBER(L2265)),"",IF(AND(L2265&gt;=0,MOD(L2265,1)=0),MAX(0,25-5*L2265),""))</x:f>
        <x:v>0</x:v>
      </x:c>
      <x:c r="R2265" s="1" t="n">
        <x:f>IF(NOT(ISNUMBER(F2265)),"",IF(AND(F2265&gt;0,MOD(F2265,1)=0),IF(F2265&gt;=700,5,IF(F2265&gt;=500,4,IF(F2265&gt;=350,3,IF(F2265&gt;=200,2,1)))),""))</x:f>
        <x:v>1</x:v>
      </x:c>
      <x:c r="S2265" s="1" t="n">
        <x:f>IF(COUNT(O2265:R2265)=4,SUM(O2265:R2265),"")</x:f>
        <x:v>31</x:v>
      </x:c>
      <x:c r="T2265" s="1" t="n">
        <x:f>IF(OR(COUNT(O2265:R2265)&lt;&gt;4,COUNT('Top 15'!$B$35:$E$35)&lt;&gt;4,MIN('Top 15'!$B$35:$E$35)&lt;0,SUM('Top 15'!$B$35:$E$35)&lt;=0),"",ROUND(85*(O2265/30*'Top 15'!$B$35+P2265/25*'Top 15'!$C$35+Q2265/25*'Top 15'!$D$35+R2265/5*'Top 15'!$E$35)/SUM('Top 15'!$B$35:$E$35),6))</x:f>
        <x:v>31</x:v>
      </x:c>
      <x:c r="U2265" s="1" t="str">
        <x:f>IF(A2265="","",IF(AND(M2265="Verified",N2265="Verified"),"Verified",IF(AND(M2265="Listed",N2265="Listed"),"Listed","Mixed")))</x:f>
        <x:v>Listed</x:v>
      </x:c>
      <x:c r="V2265" s="1" t="str">
        <x:f>IF(A2265="","",IF(AK2265&lt;&gt;1,"Duplicate source ID",IF(COUNTIFS('Staff Review'!$A$8:$A$507,A2265)&gt;1,"Duplicate review ID",IF(H2265&lt;&gt;"Yes","Outside scope",IF(J2265="Yes","Already served",IF(NOT(ISNUMBER(T2265)),"Missing data","Candidate"))))))</x:f>
        <x:v>Outside scope</x:v>
      </x:c>
      <x:c r="W2265" s="1" t="str">
        <x:f>IF(AL2265=0,"",1+COUNTIFS($AL$2051:$AL$2550,1,$T$2051:$T$2550,"&gt;"&amp;T2265)+COUNTIFS($AL$2051:$AL$2550,1,$T$2051:$T$2550,T2265,$G$2051:$G$2550,"&gt;"&amp;G2265)+COUNTIFS($AL$2051:$AL$2550,1,$T$2051:$T$2550,T2265,$G$2051:$G$2550,G2265,$F$2051:$F$2550,"&gt;"&amp;F2265)+COUNTIFS($AL$2051:$AL$2550,1,$T$2051:$T$2550,T2265,$G$2051:$G$2550,G2265,$F$2051:$F$2550,F2265,$AM$2051:$AM$2550,"&lt;"&amp;AM2265))</x:f>
      </x:c>
      <x:c r="X2265" s="1" t="str">
        <x:f>IF(AL2265=0,"",1+COUNTIFS($AL$2051:$AL$2550,1,$T$2051:$T$2550,"&gt;"&amp;T2265))</x:f>
      </x:c>
      <x:c r="Y2265" s="1" t="n">
        <x:f>IF(AND(H2265="Yes",OR(LEN('School Search'!$B$5)=0,ISNUMBER(SEARCH('School Search'!$B$5,B2265&amp;" "&amp;E2265&amp;" "&amp;A2265))),OR('School Search'!$D$5="All",C2265='School Search'!$D$5),OR('School Search'!$G$5="All eligible",AND('School Search'!$G$5="Not marked served",J2265&lt;&gt;"Yes"),AND('School Search'!$G$5="Missing data",V2265="Missing data"),AND('School Search'!$G$5="Marked served",J2265="Yes"))),1,0)</x:f>
        <x:v>0</x:v>
      </x:c>
      <x:c r="Z2265" s="1" t="str">
        <x:f>IF(Y2265=0,"",COUNTIFS($Y$2051:$Y$2550,1,$AO$2051:$AO$2550,"&lt;"&amp;AO2265)+COUNTIFS($Y$2051:Y2265,1,$AO$2051:AO2265,AO2265))</x:f>
      </x:c>
      <x:c r="AA2265" s="1" t="str">
        <x:f>IF(NOT(ISNUMBER(S2265)),"Missing demographic or access input",TEXT(G2265,"0%")&amp;" economic need; "&amp;TEXT(K2265,"0.00")&amp;" mi fresh access; "&amp;L2265&amp;" nearby resources")</x:f>
        <x:v>89% economic need; 0.11 mi fresh access; 12 nearby resources</x:v>
      </x:c>
      <x:c r="AB2265" s="1" t="n">
        <x:f>IF(OR(A2265="",COUNTIFS($A$1531:$A$2030,A2265)&lt;&gt;1),0,MATCH(A2265,$A$1531:$A$2030,0))</x:f>
        <x:v>215</x:v>
      </x:c>
      <x:c r="AC2265" s="1" t="str">
        <x:f>IF(AB2265=0,"",INDEX($E$1531:$E$2030,AB2265))</x:f>
        <x:v>Fresh Supermarket Inc/ Cousins Family Market</x:v>
      </x:c>
      <x:c r="AD2265" s="1" t="str">
        <x:f>IF(AB2265=0,"",INDEX($F$1531:$F$2030,AB2265))</x:f>
        <x:v>203 E Allegheny Ave, Philadelphia, PA, 19134</x:v>
      </x:c>
      <x:c r="AE2265" s="1" t="str">
        <x:f>IF(A2265="","",F216)</x:f>
        <x:v>3200 B ST</x:v>
      </x:c>
      <x:c r="AF2265" s="1" t="n">
        <x:f>IF(ISNUMBER(I216),I216,"")</x:f>
        <x:v>39.99899564</x:v>
      </x:c>
      <x:c r="AG2265" s="1" t="n">
        <x:f>IF(ISNUMBER(J216),J216,"")</x:f>
        <x:v>-75.12538317</x:v>
      </x:c>
      <x:c r="AH2265" s="1" t="str">
        <x:f>IF(I2265=0,"Not contacted",IF(INDEX('Staff Review'!$J$8:$J$507,I2265)="","Not contacted",INDEX('Staff Review'!$J$8:$J$507,I2265)))</x:f>
        <x:v>Not contacted</x:v>
      </x:c>
      <x:c r="AI2265" s="1" t="str">
        <x:f>IF(I2265=0,"No",IF(AND(COUNT(INDEX('Staff Review'!$D$8:$D$507,I2265))=1,INDEX('Staff Review'!$D$8:$D$507,I2265)&gt;=0,COUNT(INDEX('Staff Review'!$E$8:$E$507,I2265))=1,INDEX('Staff Review'!$E$8:$E$507,I2265)&gt;0,INDEX('Staff Review'!$E$8:$E$507,I2265)&lt;='Top 15'!$E$5,'Top 15'!$E$5-INDEX('Staff Review'!$E$8:$E$507,I2265)&lt;='Top 15'!$H$5,LEN(INDEX('Staff Review'!$H$8:$H$507,I2265))&gt;0),"Yes","No"))</x:f>
        <x:v>No</x:v>
      </x:c>
      <x:c r="AJ2265" s="1" t="str">
        <x:f>IF(I2265=0,"No",IF(COUNT(INDEX('Staff Review'!$F$8:$F$507,I2265))&lt;&gt;1,"No",IF(AND(INDEX('Staff Review'!$F$8:$F$507,I2265)&gt;=0,MOD(INDEX('Staff Review'!$F$8:$F$507,I2265),1)=0,COUNT(INDEX('Staff Review'!$G$8:$G$507,I2265))=1,INDEX('Staff Review'!$G$8:$G$507,I2265)&gt;0,INDEX('Staff Review'!$G$8:$G$507,I2265)&lt;='Top 15'!$E$5,'Top 15'!$E$5-INDEX('Staff Review'!$G$8:$G$507,I2265)&lt;='Top 15'!$H$5,LEN(INDEX('Staff Review'!$H$8:$H$507,I2265))&gt;0),"Yes","No")))</x:f>
        <x:v>No</x:v>
      </x:c>
      <x:c r="AK2265" s="1" t="n">
        <x:f>IF(A2265="",0,COUNTIFS($A$2:$A$501,A2265))</x:f>
        <x:v>1</x:v>
      </x:c>
      <x:c r="AL2265" s="1" t="n">
        <x:f>IF(V2265="Candidate",1,0)</x:f>
        <x:v>0</x:v>
      </x:c>
      <x:c r="AM2265" s="1" t="n">
        <x:f>IF(A2265="",0,VALUE(A2265))</x:f>
        <x:v>5581</x:v>
      </x:c>
      <x:c r="AN2265" s="1" t="n">
        <x:f>IF(OR(A2265="",COUNTIFS($T$41:$T$540,A2265)&lt;&gt;1),0,MATCH(A2265,$T$41:$T$540,0))</x:f>
        <x:v>215</x:v>
      </x:c>
      <x:c r="AO2265" t="n">
        <x:f>IF(ISNUMBER(W2265),W2265,10000+AM2265)</x:f>
        <x:v>15581</x:v>
      </x:c>
    </x:row>
    <x:row r="2266" ht="22" customHeight="1">
      <x:c r="A2266" s="1" t="str">
        <x:f>IF(A217="","",A217)</x:f>
        <x:v>5590</x:v>
      </x:c>
      <x:c r="B2266" s="1" t="str">
        <x:f>IF(A2266="","",B217)</x:f>
        <x:v>John H. Webster School</x:v>
      </x:c>
      <x:c r="C2266" s="1" t="str">
        <x:f>IF(A2266="","",C217)</x:f>
        <x:v>District</x:v>
      </x:c>
      <x:c r="D2266" s="1" t="str">
        <x:f>IF(A2266="","",E217)</x:f>
        <x:v>Elementary</x:v>
      </x:c>
      <x:c r="E2266" s="1" t="str">
        <x:f>IF(A2266="","",H217)</x:f>
        <x:v>19134</x:v>
      </x:c>
      <x:c r="F2266" s="1" t="n">
        <x:f>IF(ISNUMBER(K217),K217,"")</x:f>
        <x:v>413</x:v>
      </x:c>
      <x:c r="G2266" s="1" t="n">
        <x:f>IF(ISNUMBER(L217),L217,"")</x:f>
        <x:v>0.8997</x:v>
      </x:c>
      <x:c r="H2266" s="1" t="str">
        <x:f>IF(A2266="","",IF(AND(UPPER(G217)="PHILADELPHIA",OR(C2266="District",AND(C2266="Charter",D217="Yes"))),"Yes","No"))</x:f>
        <x:v>Yes</x:v>
      </x:c>
      <x:c r="I2266" s="1" t="n">
        <x:f>IF(OR(A2266="",COUNTIFS('Staff Review'!$A$8:$A$507,A2266)&lt;&gt;1),0,MATCH(A2266,'Staff Review'!$A$8:$A$507,0))</x:f>
        <x:v>140</x:v>
      </x:c>
      <x:c r="J2266" s="1" t="str">
        <x:f>IF(I2266=0,"No",IF(INDEX('Staff Review'!$C$8:$C$507,I2266)="Yes","Yes","No"))</x:f>
        <x:v>No</x:v>
      </x:c>
      <x:c r="K2266" s="1" t="n">
        <x:f>IF(AI2266="Yes",INDEX('Staff Review'!$D$8:$D$507,I2266),IF(AB2266=0,"",IF(COUNT(INDEX($C$1531:$C$2030,AB2266))=1,INDEX($C$1531:$C$2030,AB2266),"")))</x:f>
        <x:v>0.3756157409384929</x:v>
      </x:c>
      <x:c r="L2266" s="1" t="n">
        <x:f>IF(AJ2266="Yes",INDEX('Staff Review'!$F$8:$F$507,I2266),IF(AB2266=0,"",IF(COUNT(INDEX($G$1531:$G$2030,AB2266))=1,INDEX($G$1531:$G$2030,AB2266),"")))</x:f>
        <x:v>7</x:v>
      </x:c>
      <x:c r="M2266" s="1" t="str">
        <x:f>IF(A2266="","",IF(AI2266="Yes","Verified","Listed"))</x:f>
        <x:v>Listed</x:v>
      </x:c>
      <x:c r="N2266" s="1" t="str">
        <x:f>IF(A2266="","",IF(AJ2266="Yes","Verified","Listed"))</x:f>
        <x:v>Listed</x:v>
      </x:c>
      <x:c r="O2266" s="1" t="n">
        <x:f>IF(AND(ISNUMBER(G2266),G2266&gt;=0,G2266&lt;=1),IF(G2266&gt;=0.9,30,IF(G2266&gt;=0.8,25,IF(G2266&gt;=0.7,20,IF(G2266&gt;=0.6,15,IF(G2266&gt;=0.5,10,IF(G2266&gt;=0.4,5,0)))))),"")</x:f>
        <x:v>25</x:v>
      </x:c>
      <x:c r="P2266" s="1" t="n">
        <x:f>IF(ISNUMBER(K2266),IF(K2266&lt;0,"",IF(K2266&gt;1,25,IF(K2266&gt;=0.75,20,IF(K2266&gt;=0.5,15,IF(K2266&gt;=0.25,10,5))))),"")</x:f>
        <x:v>10</x:v>
      </x:c>
      <x:c r="Q2266" s="1" t="n">
        <x:f>IF(NOT(ISNUMBER(L2266)),"",IF(AND(L2266&gt;=0,MOD(L2266,1)=0),MAX(0,25-5*L2266),""))</x:f>
        <x:v>0</x:v>
      </x:c>
      <x:c r="R2266" s="1" t="n">
        <x:f>IF(NOT(ISNUMBER(F2266)),"",IF(AND(F2266&gt;0,MOD(F2266,1)=0),IF(F2266&gt;=700,5,IF(F2266&gt;=500,4,IF(F2266&gt;=350,3,IF(F2266&gt;=200,2,1)))),""))</x:f>
        <x:v>3</x:v>
      </x:c>
      <x:c r="S2266" s="1" t="n">
        <x:f>IF(COUNT(O2266:R2266)=4,SUM(O2266:R2266),"")</x:f>
        <x:v>38</x:v>
      </x:c>
      <x:c r="T2266" s="1" t="n">
        <x:f>IF(OR(COUNT(O2266:R2266)&lt;&gt;4,COUNT('Top 15'!$B$35:$E$35)&lt;&gt;4,MIN('Top 15'!$B$35:$E$35)&lt;0,SUM('Top 15'!$B$35:$E$35)&lt;=0),"",ROUND(85*(O2266/30*'Top 15'!$B$35+P2266/25*'Top 15'!$C$35+Q2266/25*'Top 15'!$D$35+R2266/5*'Top 15'!$E$35)/SUM('Top 15'!$B$35:$E$35),6))</x:f>
        <x:v>38</x:v>
      </x:c>
      <x:c r="U2266" s="1" t="str">
        <x:f>IF(A2266="","",IF(AND(M2266="Verified",N2266="Verified"),"Verified",IF(AND(M2266="Listed",N2266="Listed"),"Listed","Mixed")))</x:f>
        <x:v>Listed</x:v>
      </x:c>
      <x:c r="V2266" s="1" t="str">
        <x:f>IF(A2266="","",IF(AK2266&lt;&gt;1,"Duplicate source ID",IF(COUNTIFS('Staff Review'!$A$8:$A$507,A2266)&gt;1,"Duplicate review ID",IF(H2266&lt;&gt;"Yes","Outside scope",IF(J2266="Yes","Already served",IF(NOT(ISNUMBER(T2266)),"Missing data","Candidate"))))))</x:f>
        <x:v>Candidate</x:v>
      </x:c>
      <x:c r="W2266" s="1" t="n">
        <x:f>IF(AL2266=0,"",1+COUNTIFS($AL$2051:$AL$2550,1,$T$2051:$T$2550,"&gt;"&amp;T2266)+COUNTIFS($AL$2051:$AL$2550,1,$T$2051:$T$2550,T2266,$G$2051:$G$2550,"&gt;"&amp;G2266)+COUNTIFS($AL$2051:$AL$2550,1,$T$2051:$T$2550,T2266,$G$2051:$G$2550,G2266,$F$2051:$F$2550,"&gt;"&amp;F2266)+COUNTIFS($AL$2051:$AL$2550,1,$T$2051:$T$2550,T2266,$G$2051:$G$2550,G2266,$F$2051:$F$2550,F2266,$AM$2051:$AM$2550,"&lt;"&amp;AM2266))</x:f>
        <x:v>168</x:v>
      </x:c>
      <x:c r="X2266" s="1" t="n">
        <x:f>IF(AL2266=0,"",1+COUNTIFS($AL$2051:$AL$2550,1,$T$2051:$T$2550,"&gt;"&amp;T2266))</x:f>
        <x:v>166</x:v>
      </x:c>
      <x:c r="Y2266" s="1" t="n">
        <x:f>IF(AND(H2266="Yes",OR(LEN('School Search'!$B$5)=0,ISNUMBER(SEARCH('School Search'!$B$5,B2266&amp;" "&amp;E2266&amp;" "&amp;A2266))),OR('School Search'!$D$5="All",C2266='School Search'!$D$5),OR('School Search'!$G$5="All eligible",AND('School Search'!$G$5="Not marked served",J2266&lt;&gt;"Yes"),AND('School Search'!$G$5="Missing data",V2266="Missing data"),AND('School Search'!$G$5="Marked served",J2266="Yes"))),1,0)</x:f>
        <x:v>1</x:v>
      </x:c>
      <x:c r="Z2266" s="1" t="n">
        <x:f>IF(Y2266=0,"",COUNTIFS($Y$2051:$Y$2550,1,$AO$2051:$AO$2550,"&lt;"&amp;AO2266)+COUNTIFS($Y$2051:Y2266,1,$AO$2051:AO2266,AO2266))</x:f>
        <x:v>168</x:v>
      </x:c>
      <x:c r="AA2266" s="1" t="str">
        <x:f>IF(NOT(ISNUMBER(S2266)),"Missing demographic or access input",TEXT(G2266,"0%")&amp;" economic need; "&amp;TEXT(K2266,"0.00")&amp;" mi fresh access; "&amp;L2266&amp;" nearby resources")</x:f>
        <x:v>90% economic need; 0.38 mi fresh access; 7 nearby resources</x:v>
      </x:c>
      <x:c r="AB2266" s="1" t="n">
        <x:f>IF(OR(A2266="",COUNTIFS($A$1531:$A$2030,A2266)&lt;&gt;1),0,MATCH(A2266,$A$1531:$A$2030,0))</x:f>
        <x:v>216</x:v>
      </x:c>
      <x:c r="AC2266" s="1" t="str">
        <x:f>IF(AB2266=0,"",INDEX($E$1531:$E$2030,AB2266))</x:f>
        <x:v>ALDI 60205</x:v>
      </x:c>
      <x:c r="AD2266" s="1" t="str">
        <x:f>IF(AB2266=0,"",INDEX($F$1531:$F$2030,AB2266))</x:f>
        <x:v>3500 Aramingo Ave, Philadelphia, PA, 19134</x:v>
      </x:c>
      <x:c r="AE2266" s="1" t="str">
        <x:f>IF(A2266="","",F217)</x:f>
        <x:v>3400 FRANKFORD AVE</x:v>
      </x:c>
      <x:c r="AF2266" s="1" t="n">
        <x:f>IF(ISNUMBER(I217),I217,"")</x:f>
        <x:v>39.996199</x:v>
      </x:c>
      <x:c r="AG2266" s="1" t="n">
        <x:f>IF(ISNUMBER(J217),J217,"")</x:f>
        <x:v>-75.104516</x:v>
      </x:c>
      <x:c r="AH2266" s="1" t="str">
        <x:f>IF(I2266=0,"Not contacted",IF(INDEX('Staff Review'!$J$8:$J$507,I2266)="","Not contacted",INDEX('Staff Review'!$J$8:$J$507,I2266)))</x:f>
        <x:v>Not contacted</x:v>
      </x:c>
      <x:c r="AI2266" s="1" t="str">
        <x:f>IF(I2266=0,"No",IF(AND(COUNT(INDEX('Staff Review'!$D$8:$D$507,I2266))=1,INDEX('Staff Review'!$D$8:$D$507,I2266)&gt;=0,COUNT(INDEX('Staff Review'!$E$8:$E$507,I2266))=1,INDEX('Staff Review'!$E$8:$E$507,I2266)&gt;0,INDEX('Staff Review'!$E$8:$E$507,I2266)&lt;='Top 15'!$E$5,'Top 15'!$E$5-INDEX('Staff Review'!$E$8:$E$507,I2266)&lt;='Top 15'!$H$5,LEN(INDEX('Staff Review'!$H$8:$H$507,I2266))&gt;0),"Yes","No"))</x:f>
        <x:v>No</x:v>
      </x:c>
      <x:c r="AJ2266" s="1" t="str">
        <x:f>IF(I2266=0,"No",IF(COUNT(INDEX('Staff Review'!$F$8:$F$507,I2266))&lt;&gt;1,"No",IF(AND(INDEX('Staff Review'!$F$8:$F$507,I2266)&gt;=0,MOD(INDEX('Staff Review'!$F$8:$F$507,I2266),1)=0,COUNT(INDEX('Staff Review'!$G$8:$G$507,I2266))=1,INDEX('Staff Review'!$G$8:$G$507,I2266)&gt;0,INDEX('Staff Review'!$G$8:$G$507,I2266)&lt;='Top 15'!$E$5,'Top 15'!$E$5-INDEX('Staff Review'!$G$8:$G$507,I2266)&lt;='Top 15'!$H$5,LEN(INDEX('Staff Review'!$H$8:$H$507,I2266))&gt;0),"Yes","No")))</x:f>
        <x:v>No</x:v>
      </x:c>
      <x:c r="AK2266" s="1" t="n">
        <x:f>IF(A2266="",0,COUNTIFS($A$2:$A$501,A2266))</x:f>
        <x:v>1</x:v>
      </x:c>
      <x:c r="AL2266" s="1" t="n">
        <x:f>IF(V2266="Candidate",1,0)</x:f>
        <x:v>1</x:v>
      </x:c>
      <x:c r="AM2266" s="1" t="n">
        <x:f>IF(A2266="",0,VALUE(A2266))</x:f>
        <x:v>5590</x:v>
      </x:c>
      <x:c r="AN2266" s="1" t="n">
        <x:f>IF(OR(A2266="",COUNTIFS($T$41:$T$540,A2266)&lt;&gt;1),0,MATCH(A2266,$T$41:$T$540,0))</x:f>
        <x:v>216</x:v>
      </x:c>
      <x:c r="AO2266" t="n">
        <x:f>IF(ISNUMBER(W2266),W2266,10000+AM2266)</x:f>
        <x:v>168</x:v>
      </x:c>
    </x:row>
    <x:row r="2267" ht="22" customHeight="1">
      <x:c r="A2267" s="1" t="str">
        <x:f>IF(A218="","",A218)</x:f>
        <x:v>5610</x:v>
      </x:c>
      <x:c r="B2267" s="1" t="str">
        <x:f>IF(A2267="","",B218)</x:f>
        <x:v>Building 21</x:v>
      </x:c>
      <x:c r="C2267" s="1" t="str">
        <x:f>IF(A2267="","",C218)</x:f>
        <x:v>District</x:v>
      </x:c>
      <x:c r="D2267" s="1" t="str">
        <x:f>IF(A2267="","",E218)</x:f>
        <x:v>High</x:v>
      </x:c>
      <x:c r="E2267" s="1" t="str">
        <x:f>IF(A2267="","",H218)</x:f>
        <x:v>19138</x:v>
      </x:c>
      <x:c r="F2267" s="1" t="n">
        <x:f>IF(ISNUMBER(K218),K218,"")</x:f>
        <x:v>344</x:v>
      </x:c>
      <x:c r="G2267" s="1" t="n">
        <x:f>IF(ISNUMBER(L218),L218,"")</x:f>
        <x:v>0.8459</x:v>
      </x:c>
      <x:c r="H2267" s="1" t="str">
        <x:f>IF(A2267="","",IF(AND(UPPER(G218)="PHILADELPHIA",OR(C2267="District",AND(C2267="Charter",D218="Yes"))),"Yes","No"))</x:f>
        <x:v>Yes</x:v>
      </x:c>
      <x:c r="I2267" s="1" t="n">
        <x:f>IF(OR(A2267="",COUNTIFS('Staff Review'!$A$8:$A$507,A2267)&lt;&gt;1),0,MATCH(A2267,'Staff Review'!$A$8:$A$507,0))</x:f>
        <x:v>35</x:v>
      </x:c>
      <x:c r="J2267" s="1" t="str">
        <x:f>IF(I2267=0,"No",IF(INDEX('Staff Review'!$C$8:$C$507,I2267)="Yes","Yes","No"))</x:f>
        <x:v>No</x:v>
      </x:c>
      <x:c r="K2267" s="1" t="n">
        <x:f>IF(AI2267="Yes",INDEX('Staff Review'!$D$8:$D$507,I2267),IF(AB2267=0,"",IF(COUNT(INDEX($C$1531:$C$2030,AB2267))=1,INDEX($C$1531:$C$2030,AB2267),"")))</x:f>
        <x:v>0.6862631003414704</x:v>
      </x:c>
      <x:c r="L2267" s="1" t="n">
        <x:f>IF(AJ2267="Yes",INDEX('Staff Review'!$F$8:$F$507,I2267),IF(AB2267=0,"",IF(COUNT(INDEX($G$1531:$G$2030,AB2267))=1,INDEX($G$1531:$G$2030,AB2267),"")))</x:f>
        <x:v>13</x:v>
      </x:c>
      <x:c r="M2267" s="1" t="str">
        <x:f>IF(A2267="","",IF(AI2267="Yes","Verified","Listed"))</x:f>
        <x:v>Listed</x:v>
      </x:c>
      <x:c r="N2267" s="1" t="str">
        <x:f>IF(A2267="","",IF(AJ2267="Yes","Verified","Listed"))</x:f>
        <x:v>Listed</x:v>
      </x:c>
      <x:c r="O2267" s="1" t="n">
        <x:f>IF(AND(ISNUMBER(G2267),G2267&gt;=0,G2267&lt;=1),IF(G2267&gt;=0.9,30,IF(G2267&gt;=0.8,25,IF(G2267&gt;=0.7,20,IF(G2267&gt;=0.6,15,IF(G2267&gt;=0.5,10,IF(G2267&gt;=0.4,5,0)))))),"")</x:f>
        <x:v>25</x:v>
      </x:c>
      <x:c r="P2267" s="1" t="n">
        <x:f>IF(ISNUMBER(K2267),IF(K2267&lt;0,"",IF(K2267&gt;1,25,IF(K2267&gt;=0.75,20,IF(K2267&gt;=0.5,15,IF(K2267&gt;=0.25,10,5))))),"")</x:f>
        <x:v>15</x:v>
      </x:c>
      <x:c r="Q2267" s="1" t="n">
        <x:f>IF(NOT(ISNUMBER(L2267)),"",IF(AND(L2267&gt;=0,MOD(L2267,1)=0),MAX(0,25-5*L2267),""))</x:f>
        <x:v>0</x:v>
      </x:c>
      <x:c r="R2267" s="1" t="n">
        <x:f>IF(NOT(ISNUMBER(F2267)),"",IF(AND(F2267&gt;0,MOD(F2267,1)=0),IF(F2267&gt;=700,5,IF(F2267&gt;=500,4,IF(F2267&gt;=350,3,IF(F2267&gt;=200,2,1)))),""))</x:f>
        <x:v>2</x:v>
      </x:c>
      <x:c r="S2267" s="1" t="n">
        <x:f>IF(COUNT(O2267:R2267)=4,SUM(O2267:R2267),"")</x:f>
        <x:v>42</x:v>
      </x:c>
      <x:c r="T2267" s="1" t="n">
        <x:f>IF(OR(COUNT(O2267:R2267)&lt;&gt;4,COUNT('Top 15'!$B$35:$E$35)&lt;&gt;4,MIN('Top 15'!$B$35:$E$35)&lt;0,SUM('Top 15'!$B$35:$E$35)&lt;=0),"",ROUND(85*(O2267/30*'Top 15'!$B$35+P2267/25*'Top 15'!$C$35+Q2267/25*'Top 15'!$D$35+R2267/5*'Top 15'!$E$35)/SUM('Top 15'!$B$35:$E$35),6))</x:f>
        <x:v>42</x:v>
      </x:c>
      <x:c r="U2267" s="1" t="str">
        <x:f>IF(A2267="","",IF(AND(M2267="Verified",N2267="Verified"),"Verified",IF(AND(M2267="Listed",N2267="Listed"),"Listed","Mixed")))</x:f>
        <x:v>Listed</x:v>
      </x:c>
      <x:c r="V2267" s="1" t="str">
        <x:f>IF(A2267="","",IF(AK2267&lt;&gt;1,"Duplicate source ID",IF(COUNTIFS('Staff Review'!$A$8:$A$507,A2267)&gt;1,"Duplicate review ID",IF(H2267&lt;&gt;"Yes","Outside scope",IF(J2267="Yes","Already served",IF(NOT(ISNUMBER(T2267)),"Missing data","Candidate"))))))</x:f>
        <x:v>Candidate</x:v>
      </x:c>
      <x:c r="W2267" s="1" t="n">
        <x:f>IF(AL2267=0,"",1+COUNTIFS($AL$2051:$AL$2550,1,$T$2051:$T$2550,"&gt;"&amp;T2267)+COUNTIFS($AL$2051:$AL$2550,1,$T$2051:$T$2550,T2267,$G$2051:$G$2550,"&gt;"&amp;G2267)+COUNTIFS($AL$2051:$AL$2550,1,$T$2051:$T$2550,T2267,$G$2051:$G$2550,G2267,$F$2051:$F$2550,"&gt;"&amp;F2267)+COUNTIFS($AL$2051:$AL$2550,1,$T$2051:$T$2550,T2267,$G$2051:$G$2550,G2267,$F$2051:$F$2550,F2267,$AM$2051:$AM$2550,"&lt;"&amp;AM2267))</x:f>
        <x:v>121</x:v>
      </x:c>
      <x:c r="X2267" s="1" t="n">
        <x:f>IF(AL2267=0,"",1+COUNTIFS($AL$2051:$AL$2550,1,$T$2051:$T$2550,"&gt;"&amp;T2267))</x:f>
        <x:v>101</x:v>
      </x:c>
      <x:c r="Y2267" s="1" t="n">
        <x:f>IF(AND(H2267="Yes",OR(LEN('School Search'!$B$5)=0,ISNUMBER(SEARCH('School Search'!$B$5,B2267&amp;" "&amp;E2267&amp;" "&amp;A2267))),OR('School Search'!$D$5="All",C2267='School Search'!$D$5),OR('School Search'!$G$5="All eligible",AND('School Search'!$G$5="Not marked served",J2267&lt;&gt;"Yes"),AND('School Search'!$G$5="Missing data",V2267="Missing data"),AND('School Search'!$G$5="Marked served",J2267="Yes"))),1,0)</x:f>
        <x:v>1</x:v>
      </x:c>
      <x:c r="Z2267" s="1" t="n">
        <x:f>IF(Y2267=0,"",COUNTIFS($Y$2051:$Y$2550,1,$AO$2051:$AO$2550,"&lt;"&amp;AO2267)+COUNTIFS($Y$2051:Y2267,1,$AO$2051:AO2267,AO2267))</x:f>
        <x:v>121</x:v>
      </x:c>
      <x:c r="AA2267" s="1" t="str">
        <x:f>IF(NOT(ISNUMBER(S2267)),"Missing demographic or access input",TEXT(G2267,"0%")&amp;" economic need; "&amp;TEXT(K2267,"0.00")&amp;" mi fresh access; "&amp;L2267&amp;" nearby resources")</x:f>
        <x:v>85% economic need; 0.69 mi fresh access; 13 nearby resources</x:v>
      </x:c>
      <x:c r="AB2267" s="1" t="n">
        <x:f>IF(OR(A2267="",COUNTIFS($A$1531:$A$2030,A2267)&lt;&gt;1),0,MATCH(A2267,$A$1531:$A$2030,0))</x:f>
        <x:v>217</x:v>
      </x:c>
      <x:c r="AC2267" s="1" t="str">
        <x:f>IF(AB2267=0,"",INDEX($E$1531:$E$2030,AB2267))</x:f>
        <x:v>ALDI 60011 60011</x:v>
      </x:c>
      <x:c r="AD2267" s="1" t="str">
        <x:f>IF(AB2267=0,"",INDEX($F$1531:$F$2030,AB2267))</x:f>
        <x:v>6119 N Broad St, Philadelphia, PA, 19141</x:v>
      </x:c>
      <x:c r="AE2267" s="1" t="str">
        <x:f>IF(A2267="","",F218)</x:f>
        <x:v>6501 LIMEKILN PIKE</x:v>
      </x:c>
      <x:c r="AF2267" s="1" t="n">
        <x:f>IF(ISNUMBER(I218),I218,"")</x:f>
        <x:v>40.053631</x:v>
      </x:c>
      <x:c r="AG2267" s="1" t="n">
        <x:f>IF(ISNUMBER(J218),J218,"")</x:f>
        <x:v>-75.152481</x:v>
      </x:c>
      <x:c r="AH2267" s="1" t="str">
        <x:f>IF(I2267=0,"Not contacted",IF(INDEX('Staff Review'!$J$8:$J$507,I2267)="","Not contacted",INDEX('Staff Review'!$J$8:$J$507,I2267)))</x:f>
        <x:v>Not contacted</x:v>
      </x:c>
      <x:c r="AI2267" s="1" t="str">
        <x:f>IF(I2267=0,"No",IF(AND(COUNT(INDEX('Staff Review'!$D$8:$D$507,I2267))=1,INDEX('Staff Review'!$D$8:$D$507,I2267)&gt;=0,COUNT(INDEX('Staff Review'!$E$8:$E$507,I2267))=1,INDEX('Staff Review'!$E$8:$E$507,I2267)&gt;0,INDEX('Staff Review'!$E$8:$E$507,I2267)&lt;='Top 15'!$E$5,'Top 15'!$E$5-INDEX('Staff Review'!$E$8:$E$507,I2267)&lt;='Top 15'!$H$5,LEN(INDEX('Staff Review'!$H$8:$H$507,I2267))&gt;0),"Yes","No"))</x:f>
        <x:v>No</x:v>
      </x:c>
      <x:c r="AJ2267" s="1" t="str">
        <x:f>IF(I2267=0,"No",IF(COUNT(INDEX('Staff Review'!$F$8:$F$507,I2267))&lt;&gt;1,"No",IF(AND(INDEX('Staff Review'!$F$8:$F$507,I2267)&gt;=0,MOD(INDEX('Staff Review'!$F$8:$F$507,I2267),1)=0,COUNT(INDEX('Staff Review'!$G$8:$G$507,I2267))=1,INDEX('Staff Review'!$G$8:$G$507,I2267)&gt;0,INDEX('Staff Review'!$G$8:$G$507,I2267)&lt;='Top 15'!$E$5,'Top 15'!$E$5-INDEX('Staff Review'!$G$8:$G$507,I2267)&lt;='Top 15'!$H$5,LEN(INDEX('Staff Review'!$H$8:$H$507,I2267))&gt;0),"Yes","No")))</x:f>
        <x:v>No</x:v>
      </x:c>
      <x:c r="AK2267" s="1" t="n">
        <x:f>IF(A2267="",0,COUNTIFS($A$2:$A$501,A2267))</x:f>
        <x:v>1</x:v>
      </x:c>
      <x:c r="AL2267" s="1" t="n">
        <x:f>IF(V2267="Candidate",1,0)</x:f>
        <x:v>1</x:v>
      </x:c>
      <x:c r="AM2267" s="1" t="n">
        <x:f>IF(A2267="",0,VALUE(A2267))</x:f>
        <x:v>5610</x:v>
      </x:c>
      <x:c r="AN2267" s="1" t="n">
        <x:f>IF(OR(A2267="",COUNTIFS($T$41:$T$540,A2267)&lt;&gt;1),0,MATCH(A2267,$T$41:$T$540,0))</x:f>
        <x:v>217</x:v>
      </x:c>
      <x:c r="AO2267" t="n">
        <x:f>IF(ISNUMBER(W2267),W2267,10000+AM2267)</x:f>
        <x:v>121</x:v>
      </x:c>
    </x:row>
    <x:row r="2268" ht="22" customHeight="1">
      <x:c r="A2268" s="1" t="str">
        <x:f>IF(A219="","",A219)</x:f>
        <x:v>5620</x:v>
      </x:c>
      <x:c r="B2268" s="1" t="str">
        <x:f>IF(A2268="","",B219)</x:f>
        <x:v>The U School</x:v>
      </x:c>
      <x:c r="C2268" s="1" t="str">
        <x:f>IF(A2268="","",C219)</x:f>
        <x:v>District</x:v>
      </x:c>
      <x:c r="D2268" s="1" t="str">
        <x:f>IF(A2268="","",E219)</x:f>
        <x:v>High</x:v>
      </x:c>
      <x:c r="E2268" s="1" t="str">
        <x:f>IF(A2268="","",H219)</x:f>
        <x:v>19122</x:v>
      </x:c>
      <x:c r="F2268" s="1" t="n">
        <x:f>IF(ISNUMBER(K219),K219,"")</x:f>
        <x:v>164</x:v>
      </x:c>
      <x:c r="G2268" s="1" t="n">
        <x:f>IF(ISNUMBER(L219),L219,"")</x:f>
        <x:v>0.9135</x:v>
      </x:c>
      <x:c r="H2268" s="1" t="str">
        <x:f>IF(A2268="","",IF(AND(UPPER(G219)="PHILADELPHIA",OR(C2268="District",AND(C2268="Charter",D219="Yes"))),"Yes","No"))</x:f>
        <x:v>Yes</x:v>
      </x:c>
      <x:c r="I2268" s="1" t="n">
        <x:f>IF(OR(A2268="",COUNTIFS('Staff Review'!$A$8:$A$507,A2268)&lt;&gt;1),0,MATCH(A2268,'Staff Review'!$A$8:$A$507,0))</x:f>
        <x:v>289</x:v>
      </x:c>
      <x:c r="J2268" s="1" t="str">
        <x:f>IF(I2268=0,"No",IF(INDEX('Staff Review'!$C$8:$C$507,I2268)="Yes","Yes","No"))</x:f>
        <x:v>No</x:v>
      </x:c>
      <x:c r="K2268" s="1" t="n">
        <x:f>IF(AI2268="Yes",INDEX('Staff Review'!$D$8:$D$507,I2268),IF(AB2268=0,"",IF(COUNT(INDEX($C$1531:$C$2030,AB2268))=1,INDEX($C$1531:$C$2030,AB2268),"")))</x:f>
        <x:v>0.11452251110429579</x:v>
      </x:c>
      <x:c r="L2268" s="1" t="n">
        <x:f>IF(AJ2268="Yes",INDEX('Staff Review'!$F$8:$F$507,I2268),IF(AB2268=0,"",IF(COUNT(INDEX($G$1531:$G$2030,AB2268))=1,INDEX($G$1531:$G$2030,AB2268),"")))</x:f>
        <x:v>16</x:v>
      </x:c>
      <x:c r="M2268" s="1" t="str">
        <x:f>IF(A2268="","",IF(AI2268="Yes","Verified","Listed"))</x:f>
        <x:v>Listed</x:v>
      </x:c>
      <x:c r="N2268" s="1" t="str">
        <x:f>IF(A2268="","",IF(AJ2268="Yes","Verified","Listed"))</x:f>
        <x:v>Listed</x:v>
      </x:c>
      <x:c r="O2268" s="1" t="n">
        <x:f>IF(AND(ISNUMBER(G2268),G2268&gt;=0,G2268&lt;=1),IF(G2268&gt;=0.9,30,IF(G2268&gt;=0.8,25,IF(G2268&gt;=0.7,20,IF(G2268&gt;=0.6,15,IF(G2268&gt;=0.5,10,IF(G2268&gt;=0.4,5,0)))))),"")</x:f>
        <x:v>30</x:v>
      </x:c>
      <x:c r="P2268" s="1" t="n">
        <x:f>IF(ISNUMBER(K2268),IF(K2268&lt;0,"",IF(K2268&gt;1,25,IF(K2268&gt;=0.75,20,IF(K2268&gt;=0.5,15,IF(K2268&gt;=0.25,10,5))))),"")</x:f>
        <x:v>5</x:v>
      </x:c>
      <x:c r="Q2268" s="1" t="n">
        <x:f>IF(NOT(ISNUMBER(L2268)),"",IF(AND(L2268&gt;=0,MOD(L2268,1)=0),MAX(0,25-5*L2268),""))</x:f>
        <x:v>0</x:v>
      </x:c>
      <x:c r="R2268" s="1" t="n">
        <x:f>IF(NOT(ISNUMBER(F2268)),"",IF(AND(F2268&gt;0,MOD(F2268,1)=0),IF(F2268&gt;=700,5,IF(F2268&gt;=500,4,IF(F2268&gt;=350,3,IF(F2268&gt;=200,2,1)))),""))</x:f>
        <x:v>1</x:v>
      </x:c>
      <x:c r="S2268" s="1" t="n">
        <x:f>IF(COUNT(O2268:R2268)=4,SUM(O2268:R2268),"")</x:f>
        <x:v>36</x:v>
      </x:c>
      <x:c r="T2268" s="1" t="n">
        <x:f>IF(OR(COUNT(O2268:R2268)&lt;&gt;4,COUNT('Top 15'!$B$35:$E$35)&lt;&gt;4,MIN('Top 15'!$B$35:$E$35)&lt;0,SUM('Top 15'!$B$35:$E$35)&lt;=0),"",ROUND(85*(O2268/30*'Top 15'!$B$35+P2268/25*'Top 15'!$C$35+Q2268/25*'Top 15'!$D$35+R2268/5*'Top 15'!$E$35)/SUM('Top 15'!$B$35:$E$35),6))</x:f>
        <x:v>36</x:v>
      </x:c>
      <x:c r="U2268" s="1" t="str">
        <x:f>IF(A2268="","",IF(AND(M2268="Verified",N2268="Verified"),"Verified",IF(AND(M2268="Listed",N2268="Listed"),"Listed","Mixed")))</x:f>
        <x:v>Listed</x:v>
      </x:c>
      <x:c r="V2268" s="1" t="str">
        <x:f>IF(A2268="","",IF(AK2268&lt;&gt;1,"Duplicate source ID",IF(COUNTIFS('Staff Review'!$A$8:$A$507,A2268)&gt;1,"Duplicate review ID",IF(H2268&lt;&gt;"Yes","Outside scope",IF(J2268="Yes","Already served",IF(NOT(ISNUMBER(T2268)),"Missing data","Candidate"))))))</x:f>
        <x:v>Candidate</x:v>
      </x:c>
      <x:c r="W2268" s="1" t="n">
        <x:f>IF(AL2268=0,"",1+COUNTIFS($AL$2051:$AL$2550,1,$T$2051:$T$2550,"&gt;"&amp;T2268)+COUNTIFS($AL$2051:$AL$2550,1,$T$2051:$T$2550,T2268,$G$2051:$G$2550,"&gt;"&amp;G2268)+COUNTIFS($AL$2051:$AL$2550,1,$T$2051:$T$2550,T2268,$G$2051:$G$2550,G2268,$F$2051:$F$2550,"&gt;"&amp;F2268)+COUNTIFS($AL$2051:$AL$2550,1,$T$2051:$T$2550,T2268,$G$2051:$G$2550,G2268,$F$2051:$F$2550,F2268,$AM$2051:$AM$2550,"&lt;"&amp;AM2268))</x:f>
        <x:v>206</x:v>
      </x:c>
      <x:c r="X2268" s="1" t="n">
        <x:f>IF(AL2268=0,"",1+COUNTIFS($AL$2051:$AL$2550,1,$T$2051:$T$2550,"&gt;"&amp;T2268))</x:f>
        <x:v>205</x:v>
      </x:c>
      <x:c r="Y2268" s="1" t="n">
        <x:f>IF(AND(H2268="Yes",OR(LEN('School Search'!$B$5)=0,ISNUMBER(SEARCH('School Search'!$B$5,B2268&amp;" "&amp;E2268&amp;" "&amp;A2268))),OR('School Search'!$D$5="All",C2268='School Search'!$D$5),OR('School Search'!$G$5="All eligible",AND('School Search'!$G$5="Not marked served",J2268&lt;&gt;"Yes"),AND('School Search'!$G$5="Missing data",V2268="Missing data"),AND('School Search'!$G$5="Marked served",J2268="Yes"))),1,0)</x:f>
        <x:v>1</x:v>
      </x:c>
      <x:c r="Z2268" s="1" t="n">
        <x:f>IF(Y2268=0,"",COUNTIFS($Y$2051:$Y$2550,1,$AO$2051:$AO$2550,"&lt;"&amp;AO2268)+COUNTIFS($Y$2051:Y2268,1,$AO$2051:AO2268,AO2268))</x:f>
        <x:v>206</x:v>
      </x:c>
      <x:c r="AA2268" s="1" t="str">
        <x:f>IF(NOT(ISNUMBER(S2268)),"Missing demographic or access input",TEXT(G2268,"0%")&amp;" economic need; "&amp;TEXT(K2268,"0.00")&amp;" mi fresh access; "&amp;L2268&amp;" nearby resources")</x:f>
        <x:v>91% economic need; 0.11 mi fresh access; 16 nearby resources</x:v>
      </x:c>
      <x:c r="AB2268" s="1" t="n">
        <x:f>IF(OR(A2268="",COUNTIFS($A$1531:$A$2030,A2268)&lt;&gt;1),0,MATCH(A2268,$A$1531:$A$2030,0))</x:f>
        <x:v>218</x:v>
      </x:c>
      <x:c r="AC2268" s="1" t="str">
        <x:f>IF(AB2268=0,"",INDEX($E$1531:$E$2030,AB2268))</x:f>
        <x:v>Cousins Supermarket Inc 1</x:v>
      </x:c>
      <x:c r="AD2268" s="1" t="str">
        <x:f>IF(AB2268=0,"",INDEX($F$1531:$F$2030,AB2268))</x:f>
        <x:v>1943 N 6th St, Philadelphia, PA, 19122</x:v>
      </x:c>
      <x:c r="AE2268" s="1" t="str">
        <x:f>IF(A2268="","",F219)</x:f>
        <x:v>2000 N 7TH ST</x:v>
      </x:c>
      <x:c r="AF2268" s="1" t="n">
        <x:f>IF(ISNUMBER(I219),I219,"")</x:f>
        <x:v>39.981983</x:v>
      </x:c>
      <x:c r="AG2268" s="1" t="n">
        <x:f>IF(ISNUMBER(J219),J219,"")</x:f>
        <x:v>-75.146256</x:v>
      </x:c>
      <x:c r="AH2268" s="1" t="str">
        <x:f>IF(I2268=0,"Not contacted",IF(INDEX('Staff Review'!$J$8:$J$507,I2268)="","Not contacted",INDEX('Staff Review'!$J$8:$J$507,I2268)))</x:f>
        <x:v>Not contacted</x:v>
      </x:c>
      <x:c r="AI2268" s="1" t="str">
        <x:f>IF(I2268=0,"No",IF(AND(COUNT(INDEX('Staff Review'!$D$8:$D$507,I2268))=1,INDEX('Staff Review'!$D$8:$D$507,I2268)&gt;=0,COUNT(INDEX('Staff Review'!$E$8:$E$507,I2268))=1,INDEX('Staff Review'!$E$8:$E$507,I2268)&gt;0,INDEX('Staff Review'!$E$8:$E$507,I2268)&lt;='Top 15'!$E$5,'Top 15'!$E$5-INDEX('Staff Review'!$E$8:$E$507,I2268)&lt;='Top 15'!$H$5,LEN(INDEX('Staff Review'!$H$8:$H$507,I2268))&gt;0),"Yes","No"))</x:f>
        <x:v>No</x:v>
      </x:c>
      <x:c r="AJ2268" s="1" t="str">
        <x:f>IF(I2268=0,"No",IF(COUNT(INDEX('Staff Review'!$F$8:$F$507,I2268))&lt;&gt;1,"No",IF(AND(INDEX('Staff Review'!$F$8:$F$507,I2268)&gt;=0,MOD(INDEX('Staff Review'!$F$8:$F$507,I2268),1)=0,COUNT(INDEX('Staff Review'!$G$8:$G$507,I2268))=1,INDEX('Staff Review'!$G$8:$G$507,I2268)&gt;0,INDEX('Staff Review'!$G$8:$G$507,I2268)&lt;='Top 15'!$E$5,'Top 15'!$E$5-INDEX('Staff Review'!$G$8:$G$507,I2268)&lt;='Top 15'!$H$5,LEN(INDEX('Staff Review'!$H$8:$H$507,I2268))&gt;0),"Yes","No")))</x:f>
        <x:v>No</x:v>
      </x:c>
      <x:c r="AK2268" s="1" t="n">
        <x:f>IF(A2268="",0,COUNTIFS($A$2:$A$501,A2268))</x:f>
        <x:v>1</x:v>
      </x:c>
      <x:c r="AL2268" s="1" t="n">
        <x:f>IF(V2268="Candidate",1,0)</x:f>
        <x:v>1</x:v>
      </x:c>
      <x:c r="AM2268" s="1" t="n">
        <x:f>IF(A2268="",0,VALUE(A2268))</x:f>
        <x:v>5620</x:v>
      </x:c>
      <x:c r="AN2268" s="1" t="n">
        <x:f>IF(OR(A2268="",COUNTIFS($T$41:$T$540,A2268)&lt;&gt;1),0,MATCH(A2268,$T$41:$T$540,0))</x:f>
        <x:v>218</x:v>
      </x:c>
      <x:c r="AO2268" t="n">
        <x:f>IF(ISNUMBER(W2268),W2268,10000+AM2268)</x:f>
        <x:v>206</x:v>
      </x:c>
    </x:row>
    <x:row r="2269" ht="22" customHeight="1">
      <x:c r="A2269" s="1" t="str">
        <x:f>IF(A220="","",A220)</x:f>
        <x:v>5660</x:v>
      </x:c>
      <x:c r="B2269" s="1" t="str">
        <x:f>IF(A2269="","",B220)</x:f>
        <x:v>The LINC High School</x:v>
      </x:c>
      <x:c r="C2269" s="1" t="str">
        <x:f>IF(A2269="","",C220)</x:f>
        <x:v>District</x:v>
      </x:c>
      <x:c r="D2269" s="1" t="str">
        <x:f>IF(A2269="","",E220)</x:f>
        <x:v>High</x:v>
      </x:c>
      <x:c r="E2269" s="1" t="str">
        <x:f>IF(A2269="","",H220)</x:f>
        <x:v>19140</x:v>
      </x:c>
      <x:c r="F2269" s="1" t="n">
        <x:f>IF(ISNUMBER(K220),K220,"")</x:f>
        <x:v>229</x:v>
      </x:c>
      <x:c r="G2269" s="1" t="n">
        <x:f>IF(ISNUMBER(L220),L220,"")</x:f>
        <x:v>0.823</x:v>
      </x:c>
      <x:c r="H2269" s="1" t="str">
        <x:f>IF(A2269="","",IF(AND(UPPER(G220)="PHILADELPHIA",OR(C2269="District",AND(C2269="Charter",D220="Yes"))),"Yes","No"))</x:f>
        <x:v>Yes</x:v>
      </x:c>
      <x:c r="I2269" s="1" t="n">
        <x:f>IF(OR(A2269="",COUNTIFS('Staff Review'!$A$8:$A$507,A2269)&lt;&gt;1),0,MATCH(A2269,'Staff Review'!$A$8:$A$507,0))</x:f>
        <x:v>286</x:v>
      </x:c>
      <x:c r="J2269" s="1" t="str">
        <x:f>IF(I2269=0,"No",IF(INDEX('Staff Review'!$C$8:$C$507,I2269)="Yes","Yes","No"))</x:f>
        <x:v>No</x:v>
      </x:c>
      <x:c r="K2269" s="1" t="n">
        <x:f>IF(AI2269="Yes",INDEX('Staff Review'!$D$8:$D$507,I2269),IF(AB2269=0,"",IF(COUNT(INDEX($C$1531:$C$2030,AB2269))=1,INDEX($C$1531:$C$2030,AB2269),"")))</x:f>
        <x:v>0.5155406128169018</x:v>
      </x:c>
      <x:c r="L2269" s="1" t="n">
        <x:f>IF(AJ2269="Yes",INDEX('Staff Review'!$F$8:$F$507,I2269),IF(AB2269=0,"",IF(COUNT(INDEX($G$1531:$G$2030,AB2269))=1,INDEX($G$1531:$G$2030,AB2269),"")))</x:f>
        <x:v>9</x:v>
      </x:c>
      <x:c r="M2269" s="1" t="str">
        <x:f>IF(A2269="","",IF(AI2269="Yes","Verified","Listed"))</x:f>
        <x:v>Listed</x:v>
      </x:c>
      <x:c r="N2269" s="1" t="str">
        <x:f>IF(A2269="","",IF(AJ2269="Yes","Verified","Listed"))</x:f>
        <x:v>Listed</x:v>
      </x:c>
      <x:c r="O2269" s="1" t="n">
        <x:f>IF(AND(ISNUMBER(G2269),G2269&gt;=0,G2269&lt;=1),IF(G2269&gt;=0.9,30,IF(G2269&gt;=0.8,25,IF(G2269&gt;=0.7,20,IF(G2269&gt;=0.6,15,IF(G2269&gt;=0.5,10,IF(G2269&gt;=0.4,5,0)))))),"")</x:f>
        <x:v>25</x:v>
      </x:c>
      <x:c r="P2269" s="1" t="n">
        <x:f>IF(ISNUMBER(K2269),IF(K2269&lt;0,"",IF(K2269&gt;1,25,IF(K2269&gt;=0.75,20,IF(K2269&gt;=0.5,15,IF(K2269&gt;=0.25,10,5))))),"")</x:f>
        <x:v>15</x:v>
      </x:c>
      <x:c r="Q2269" s="1" t="n">
        <x:f>IF(NOT(ISNUMBER(L2269)),"",IF(AND(L2269&gt;=0,MOD(L2269,1)=0),MAX(0,25-5*L2269),""))</x:f>
        <x:v>0</x:v>
      </x:c>
      <x:c r="R2269" s="1" t="n">
        <x:f>IF(NOT(ISNUMBER(F2269)),"",IF(AND(F2269&gt;0,MOD(F2269,1)=0),IF(F2269&gt;=700,5,IF(F2269&gt;=500,4,IF(F2269&gt;=350,3,IF(F2269&gt;=200,2,1)))),""))</x:f>
        <x:v>2</x:v>
      </x:c>
      <x:c r="S2269" s="1" t="n">
        <x:f>IF(COUNT(O2269:R2269)=4,SUM(O2269:R2269),"")</x:f>
        <x:v>42</x:v>
      </x:c>
      <x:c r="T2269" s="1" t="n">
        <x:f>IF(OR(COUNT(O2269:R2269)&lt;&gt;4,COUNT('Top 15'!$B$35:$E$35)&lt;&gt;4,MIN('Top 15'!$B$35:$E$35)&lt;0,SUM('Top 15'!$B$35:$E$35)&lt;=0),"",ROUND(85*(O2269/30*'Top 15'!$B$35+P2269/25*'Top 15'!$C$35+Q2269/25*'Top 15'!$D$35+R2269/5*'Top 15'!$E$35)/SUM('Top 15'!$B$35:$E$35),6))</x:f>
        <x:v>42</x:v>
      </x:c>
      <x:c r="U2269" s="1" t="str">
        <x:f>IF(A2269="","",IF(AND(M2269="Verified",N2269="Verified"),"Verified",IF(AND(M2269="Listed",N2269="Listed"),"Listed","Mixed")))</x:f>
        <x:v>Listed</x:v>
      </x:c>
      <x:c r="V2269" s="1" t="str">
        <x:f>IF(A2269="","",IF(AK2269&lt;&gt;1,"Duplicate source ID",IF(COUNTIFS('Staff Review'!$A$8:$A$507,A2269)&gt;1,"Duplicate review ID",IF(H2269&lt;&gt;"Yes","Outside scope",IF(J2269="Yes","Already served",IF(NOT(ISNUMBER(T2269)),"Missing data","Candidate"))))))</x:f>
        <x:v>Candidate</x:v>
      </x:c>
      <x:c r="W2269" s="1" t="n">
        <x:f>IF(AL2269=0,"",1+COUNTIFS($AL$2051:$AL$2550,1,$T$2051:$T$2550,"&gt;"&amp;T2269)+COUNTIFS($AL$2051:$AL$2550,1,$T$2051:$T$2550,T2269,$G$2051:$G$2550,"&gt;"&amp;G2269)+COUNTIFS($AL$2051:$AL$2550,1,$T$2051:$T$2550,T2269,$G$2051:$G$2550,G2269,$F$2051:$F$2550,"&gt;"&amp;F2269)+COUNTIFS($AL$2051:$AL$2550,1,$T$2051:$T$2550,T2269,$G$2051:$G$2550,G2269,$F$2051:$F$2550,F2269,$AM$2051:$AM$2550,"&lt;"&amp;AM2269))</x:f>
        <x:v>124</x:v>
      </x:c>
      <x:c r="X2269" s="1" t="n">
        <x:f>IF(AL2269=0,"",1+COUNTIFS($AL$2051:$AL$2550,1,$T$2051:$T$2550,"&gt;"&amp;T2269))</x:f>
        <x:v>101</x:v>
      </x:c>
      <x:c r="Y2269" s="1" t="n">
        <x:f>IF(AND(H2269="Yes",OR(LEN('School Search'!$B$5)=0,ISNUMBER(SEARCH('School Search'!$B$5,B2269&amp;" "&amp;E2269&amp;" "&amp;A2269))),OR('School Search'!$D$5="All",C2269='School Search'!$D$5),OR('School Search'!$G$5="All eligible",AND('School Search'!$G$5="Not marked served",J2269&lt;&gt;"Yes"),AND('School Search'!$G$5="Missing data",V2269="Missing data"),AND('School Search'!$G$5="Marked served",J2269="Yes"))),1,0)</x:f>
        <x:v>1</x:v>
      </x:c>
      <x:c r="Z2269" s="1" t="n">
        <x:f>IF(Y2269=0,"",COUNTIFS($Y$2051:$Y$2550,1,$AO$2051:$AO$2550,"&lt;"&amp;AO2269)+COUNTIFS($Y$2051:Y2269,1,$AO$2051:AO2269,AO2269))</x:f>
        <x:v>124</x:v>
      </x:c>
      <x:c r="AA2269" s="1" t="str">
        <x:f>IF(NOT(ISNUMBER(S2269)),"Missing demographic or access input",TEXT(G2269,"0%")&amp;" economic need; "&amp;TEXT(K2269,"0.00")&amp;" mi fresh access; "&amp;L2269&amp;" nearby resources")</x:f>
        <x:v>82% economic need; 0.52 mi fresh access; 9 nearby resources</x:v>
      </x:c>
      <x:c r="AB2269" s="1" t="n">
        <x:f>IF(OR(A2269="",COUNTIFS($A$1531:$A$2030,A2269)&lt;&gt;1),0,MATCH(A2269,$A$1531:$A$2030,0))</x:f>
        <x:v>219</x:v>
      </x:c>
      <x:c r="AC2269" s="1" t="str">
        <x:f>IF(AB2269=0,"",INDEX($E$1531:$E$2030,AB2269))</x:f>
        <x:v>COUSINS SUPERMARKET INC. #2</x:v>
      </x:c>
      <x:c r="AD2269" s="1" t="str">
        <x:f>IF(AB2269=0,"",INDEX($F$1531:$F$2030,AB2269))</x:f>
        <x:v>4037 N 5th St, Philadelphia, PA, 19140</x:v>
      </x:c>
      <x:c r="AE2269" s="1" t="str">
        <x:f>IF(A2269="","",F220)</x:f>
        <x:v>122 W ERIE AVE</x:v>
      </x:c>
      <x:c r="AF2269" s="1" t="n">
        <x:f>IF(ISNUMBER(I220),I220,"")</x:f>
        <x:v>40.006819</x:v>
      </x:c>
      <x:c r="AG2269" s="1" t="n">
        <x:f>IF(ISNUMBER(J220),J220,"")</x:f>
        <x:v>-75.129736</x:v>
      </x:c>
      <x:c r="AH2269" s="1" t="str">
        <x:f>IF(I2269=0,"Not contacted",IF(INDEX('Staff Review'!$J$8:$J$507,I2269)="","Not contacted",INDEX('Staff Review'!$J$8:$J$507,I2269)))</x:f>
        <x:v>Not contacted</x:v>
      </x:c>
      <x:c r="AI2269" s="1" t="str">
        <x:f>IF(I2269=0,"No",IF(AND(COUNT(INDEX('Staff Review'!$D$8:$D$507,I2269))=1,INDEX('Staff Review'!$D$8:$D$507,I2269)&gt;=0,COUNT(INDEX('Staff Review'!$E$8:$E$507,I2269))=1,INDEX('Staff Review'!$E$8:$E$507,I2269)&gt;0,INDEX('Staff Review'!$E$8:$E$507,I2269)&lt;='Top 15'!$E$5,'Top 15'!$E$5-INDEX('Staff Review'!$E$8:$E$507,I2269)&lt;='Top 15'!$H$5,LEN(INDEX('Staff Review'!$H$8:$H$507,I2269))&gt;0),"Yes","No"))</x:f>
        <x:v>No</x:v>
      </x:c>
      <x:c r="AJ2269" s="1" t="str">
        <x:f>IF(I2269=0,"No",IF(COUNT(INDEX('Staff Review'!$F$8:$F$507,I2269))&lt;&gt;1,"No",IF(AND(INDEX('Staff Review'!$F$8:$F$507,I2269)&gt;=0,MOD(INDEX('Staff Review'!$F$8:$F$507,I2269),1)=0,COUNT(INDEX('Staff Review'!$G$8:$G$507,I2269))=1,INDEX('Staff Review'!$G$8:$G$507,I2269)&gt;0,INDEX('Staff Review'!$G$8:$G$507,I2269)&lt;='Top 15'!$E$5,'Top 15'!$E$5-INDEX('Staff Review'!$G$8:$G$507,I2269)&lt;='Top 15'!$H$5,LEN(INDEX('Staff Review'!$H$8:$H$507,I2269))&gt;0),"Yes","No")))</x:f>
        <x:v>No</x:v>
      </x:c>
      <x:c r="AK2269" s="1" t="n">
        <x:f>IF(A2269="",0,COUNTIFS($A$2:$A$501,A2269))</x:f>
        <x:v>1</x:v>
      </x:c>
      <x:c r="AL2269" s="1" t="n">
        <x:f>IF(V2269="Candidate",1,0)</x:f>
        <x:v>1</x:v>
      </x:c>
      <x:c r="AM2269" s="1" t="n">
        <x:f>IF(A2269="",0,VALUE(A2269))</x:f>
        <x:v>5660</x:v>
      </x:c>
      <x:c r="AN2269" s="1" t="n">
        <x:f>IF(OR(A2269="",COUNTIFS($T$41:$T$540,A2269)&lt;&gt;1),0,MATCH(A2269,$T$41:$T$540,0))</x:f>
        <x:v>219</x:v>
      </x:c>
      <x:c r="AO2269" t="n">
        <x:f>IF(ISNUMBER(W2269),W2269,10000+AM2269)</x:f>
        <x:v>124</x:v>
      </x:c>
    </x:row>
    <x:row r="2270" ht="22" customHeight="1">
      <x:c r="A2270" s="1" t="str">
        <x:f>IF(A221="","",A221)</x:f>
        <x:v>5680</x:v>
      </x:c>
      <x:c r="B2270" s="1" t="str">
        <x:f>IF(A2270="","",B221)</x:f>
        <x:v>Honorable Luis Munoz-Marin School</x:v>
      </x:c>
      <x:c r="C2270" s="1" t="str">
        <x:f>IF(A2270="","",C221)</x:f>
        <x:v>District</x:v>
      </x:c>
      <x:c r="D2270" s="1" t="str">
        <x:f>IF(A2270="","",E221)</x:f>
        <x:v>Elementary-Middle</x:v>
      </x:c>
      <x:c r="E2270" s="1" t="str">
        <x:f>IF(A2270="","",H221)</x:f>
        <x:v>19140</x:v>
      </x:c>
      <x:c r="F2270" s="1" t="n">
        <x:f>IF(ISNUMBER(K221),K221,"")</x:f>
        <x:v>482</x:v>
      </x:c>
      <x:c r="G2270" s="1" t="n">
        <x:f>IF(ISNUMBER(L221),L221,"")</x:f>
        <x:v>0.9211</x:v>
      </x:c>
      <x:c r="H2270" s="1" t="str">
        <x:f>IF(A2270="","",IF(AND(UPPER(G221)="PHILADELPHIA",OR(C2270="District",AND(C2270="Charter",D221="Yes"))),"Yes","No"))</x:f>
        <x:v>Yes</x:v>
      </x:c>
      <x:c r="I2270" s="1" t="n">
        <x:f>IF(OR(A2270="",COUNTIFS('Staff Review'!$A$8:$A$507,A2270)&lt;&gt;1),0,MATCH(A2270,'Staff Review'!$A$8:$A$507,0))</x:f>
        <x:v>116</x:v>
      </x:c>
      <x:c r="J2270" s="1" t="str">
        <x:f>IF(I2270=0,"No",IF(INDEX('Staff Review'!$C$8:$C$507,I2270)="Yes","Yes","No"))</x:f>
        <x:v>No</x:v>
      </x:c>
      <x:c r="K2270" s="1" t="n">
        <x:f>IF(AI2270="Yes",INDEX('Staff Review'!$D$8:$D$507,I2270),IF(AB2270=0,"",IF(COUNT(INDEX($C$1531:$C$2030,AB2270))=1,INDEX($C$1531:$C$2030,AB2270),"")))</x:f>
        <x:v>0.15156155022007126</x:v>
      </x:c>
      <x:c r="L2270" s="1" t="n">
        <x:f>IF(AJ2270="Yes",INDEX('Staff Review'!$F$8:$F$507,I2270),IF(AB2270=0,"",IF(COUNT(INDEX($G$1531:$G$2030,AB2270))=1,INDEX($G$1531:$G$2030,AB2270),"")))</x:f>
        <x:v>14</x:v>
      </x:c>
      <x:c r="M2270" s="1" t="str">
        <x:f>IF(A2270="","",IF(AI2270="Yes","Verified","Listed"))</x:f>
        <x:v>Listed</x:v>
      </x:c>
      <x:c r="N2270" s="1" t="str">
        <x:f>IF(A2270="","",IF(AJ2270="Yes","Verified","Listed"))</x:f>
        <x:v>Listed</x:v>
      </x:c>
      <x:c r="O2270" s="1" t="n">
        <x:f>IF(AND(ISNUMBER(G2270),G2270&gt;=0,G2270&lt;=1),IF(G2270&gt;=0.9,30,IF(G2270&gt;=0.8,25,IF(G2270&gt;=0.7,20,IF(G2270&gt;=0.6,15,IF(G2270&gt;=0.5,10,IF(G2270&gt;=0.4,5,0)))))),"")</x:f>
        <x:v>30</x:v>
      </x:c>
      <x:c r="P2270" s="1" t="n">
        <x:f>IF(ISNUMBER(K2270),IF(K2270&lt;0,"",IF(K2270&gt;1,25,IF(K2270&gt;=0.75,20,IF(K2270&gt;=0.5,15,IF(K2270&gt;=0.25,10,5))))),"")</x:f>
        <x:v>5</x:v>
      </x:c>
      <x:c r="Q2270" s="1" t="n">
        <x:f>IF(NOT(ISNUMBER(L2270)),"",IF(AND(L2270&gt;=0,MOD(L2270,1)=0),MAX(0,25-5*L2270),""))</x:f>
        <x:v>0</x:v>
      </x:c>
      <x:c r="R2270" s="1" t="n">
        <x:f>IF(NOT(ISNUMBER(F2270)),"",IF(AND(F2270&gt;0,MOD(F2270,1)=0),IF(F2270&gt;=700,5,IF(F2270&gt;=500,4,IF(F2270&gt;=350,3,IF(F2270&gt;=200,2,1)))),""))</x:f>
        <x:v>3</x:v>
      </x:c>
      <x:c r="S2270" s="1" t="n">
        <x:f>IF(COUNT(O2270:R2270)=4,SUM(O2270:R2270),"")</x:f>
        <x:v>38</x:v>
      </x:c>
      <x:c r="T2270" s="1" t="n">
        <x:f>IF(OR(COUNT(O2270:R2270)&lt;&gt;4,COUNT('Top 15'!$B$35:$E$35)&lt;&gt;4,MIN('Top 15'!$B$35:$E$35)&lt;0,SUM('Top 15'!$B$35:$E$35)&lt;=0),"",ROUND(85*(O2270/30*'Top 15'!$B$35+P2270/25*'Top 15'!$C$35+Q2270/25*'Top 15'!$D$35+R2270/5*'Top 15'!$E$35)/SUM('Top 15'!$B$35:$E$35),6))</x:f>
        <x:v>38</x:v>
      </x:c>
      <x:c r="U2270" s="1" t="str">
        <x:f>IF(A2270="","",IF(AND(M2270="Verified",N2270="Verified"),"Verified",IF(AND(M2270="Listed",N2270="Listed"),"Listed","Mixed")))</x:f>
        <x:v>Listed</x:v>
      </x:c>
      <x:c r="V2270" s="1" t="str">
        <x:f>IF(A2270="","",IF(AK2270&lt;&gt;1,"Duplicate source ID",IF(COUNTIFS('Staff Review'!$A$8:$A$507,A2270)&gt;1,"Duplicate review ID",IF(H2270&lt;&gt;"Yes","Outside scope",IF(J2270="Yes","Already served",IF(NOT(ISNUMBER(T2270)),"Missing data","Candidate"))))))</x:f>
        <x:v>Candidate</x:v>
      </x:c>
      <x:c r="W2270" s="1" t="n">
        <x:f>IF(AL2270=0,"",1+COUNTIFS($AL$2051:$AL$2550,1,$T$2051:$T$2550,"&gt;"&amp;T2270)+COUNTIFS($AL$2051:$AL$2550,1,$T$2051:$T$2550,T2270,$G$2051:$G$2550,"&gt;"&amp;G2270)+COUNTIFS($AL$2051:$AL$2550,1,$T$2051:$T$2550,T2270,$G$2051:$G$2550,G2270,$F$2051:$F$2550,"&gt;"&amp;F2270)+COUNTIFS($AL$2051:$AL$2550,1,$T$2051:$T$2550,T2270,$G$2051:$G$2550,G2270,$F$2051:$F$2550,F2270,$AM$2051:$AM$2550,"&lt;"&amp;AM2270))</x:f>
        <x:v>166</x:v>
      </x:c>
      <x:c r="X2270" s="1" t="n">
        <x:f>IF(AL2270=0,"",1+COUNTIFS($AL$2051:$AL$2550,1,$T$2051:$T$2550,"&gt;"&amp;T2270))</x:f>
        <x:v>166</x:v>
      </x:c>
      <x:c r="Y2270" s="1" t="n">
        <x:f>IF(AND(H2270="Yes",OR(LEN('School Search'!$B$5)=0,ISNUMBER(SEARCH('School Search'!$B$5,B2270&amp;" "&amp;E2270&amp;" "&amp;A2270))),OR('School Search'!$D$5="All",C2270='School Search'!$D$5),OR('School Search'!$G$5="All eligible",AND('School Search'!$G$5="Not marked served",J2270&lt;&gt;"Yes"),AND('School Search'!$G$5="Missing data",V2270="Missing data"),AND('School Search'!$G$5="Marked served",J2270="Yes"))),1,0)</x:f>
        <x:v>1</x:v>
      </x:c>
      <x:c r="Z2270" s="1" t="n">
        <x:f>IF(Y2270=0,"",COUNTIFS($Y$2051:$Y$2550,1,$AO$2051:$AO$2550,"&lt;"&amp;AO2270)+COUNTIFS($Y$2051:Y2270,1,$AO$2051:AO2270,AO2270))</x:f>
        <x:v>166</x:v>
      </x:c>
      <x:c r="AA2270" s="1" t="str">
        <x:f>IF(NOT(ISNUMBER(S2270)),"Missing demographic or access input",TEXT(G2270,"0%")&amp;" economic need; "&amp;TEXT(K2270,"0.00")&amp;" mi fresh access; "&amp;L2270&amp;" nearby resources")</x:f>
        <x:v>92% economic need; 0.15 mi fresh access; 14 nearby resources</x:v>
      </x:c>
      <x:c r="AB2270" s="1" t="n">
        <x:f>IF(OR(A2270="",COUNTIFS($A$1531:$A$2030,A2270)&lt;&gt;1),0,MATCH(A2270,$A$1531:$A$2030,0))</x:f>
        <x:v>220</x:v>
      </x:c>
      <x:c r="AC2270" s="1" t="str">
        <x:f>IF(AB2270=0,"",INDEX($E$1531:$E$2030,AB2270))</x:f>
        <x:v>Save A Lot 60136</x:v>
      </x:c>
      <x:c r="AD2270" s="1" t="str">
        <x:f>IF(AB2270=0,"",INDEX($F$1531:$F$2030,AB2270))</x:f>
        <x:v>400 W Allegheny Ave, Philadelphia, PA, 19133</x:v>
      </x:c>
      <x:c r="AE2270" s="1" t="str">
        <x:f>IF(A2270="","",F221)</x:f>
        <x:v>3300 N 3RD ST</x:v>
      </x:c>
      <x:c r="AF2270" s="1" t="n">
        <x:f>IF(ISNUMBER(I221),I221,"")</x:f>
        <x:v>40.00098011</x:v>
      </x:c>
      <x:c r="AG2270" s="1" t="n">
        <x:f>IF(ISNUMBER(J221),J221,"")</x:f>
        <x:v>-75.13538958</x:v>
      </x:c>
      <x:c r="AH2270" s="1" t="str">
        <x:f>IF(I2270=0,"Not contacted",IF(INDEX('Staff Review'!$J$8:$J$507,I2270)="","Not contacted",INDEX('Staff Review'!$J$8:$J$507,I2270)))</x:f>
        <x:v>Not contacted</x:v>
      </x:c>
      <x:c r="AI2270" s="1" t="str">
        <x:f>IF(I2270=0,"No",IF(AND(COUNT(INDEX('Staff Review'!$D$8:$D$507,I2270))=1,INDEX('Staff Review'!$D$8:$D$507,I2270)&gt;=0,COUNT(INDEX('Staff Review'!$E$8:$E$507,I2270))=1,INDEX('Staff Review'!$E$8:$E$507,I2270)&gt;0,INDEX('Staff Review'!$E$8:$E$507,I2270)&lt;='Top 15'!$E$5,'Top 15'!$E$5-INDEX('Staff Review'!$E$8:$E$507,I2270)&lt;='Top 15'!$H$5,LEN(INDEX('Staff Review'!$H$8:$H$507,I2270))&gt;0),"Yes","No"))</x:f>
        <x:v>No</x:v>
      </x:c>
      <x:c r="AJ2270" s="1" t="str">
        <x:f>IF(I2270=0,"No",IF(COUNT(INDEX('Staff Review'!$F$8:$F$507,I2270))&lt;&gt;1,"No",IF(AND(INDEX('Staff Review'!$F$8:$F$507,I2270)&gt;=0,MOD(INDEX('Staff Review'!$F$8:$F$507,I2270),1)=0,COUNT(INDEX('Staff Review'!$G$8:$G$507,I2270))=1,INDEX('Staff Review'!$G$8:$G$507,I2270)&gt;0,INDEX('Staff Review'!$G$8:$G$507,I2270)&lt;='Top 15'!$E$5,'Top 15'!$E$5-INDEX('Staff Review'!$G$8:$G$507,I2270)&lt;='Top 15'!$H$5,LEN(INDEX('Staff Review'!$H$8:$H$507,I2270))&gt;0),"Yes","No")))</x:f>
        <x:v>No</x:v>
      </x:c>
      <x:c r="AK2270" s="1" t="n">
        <x:f>IF(A2270="",0,COUNTIFS($A$2:$A$501,A2270))</x:f>
        <x:v>1</x:v>
      </x:c>
      <x:c r="AL2270" s="1" t="n">
        <x:f>IF(V2270="Candidate",1,0)</x:f>
        <x:v>1</x:v>
      </x:c>
      <x:c r="AM2270" s="1" t="n">
        <x:f>IF(A2270="",0,VALUE(A2270))</x:f>
        <x:v>5680</x:v>
      </x:c>
      <x:c r="AN2270" s="1" t="n">
        <x:f>IF(OR(A2270="",COUNTIFS($T$41:$T$540,A2270)&lt;&gt;1),0,MATCH(A2270,$T$41:$T$540,0))</x:f>
        <x:v>220</x:v>
      </x:c>
      <x:c r="AO2270" t="n">
        <x:f>IF(ISNUMBER(W2270),W2270,10000+AM2270)</x:f>
        <x:v>166</x:v>
      </x:c>
    </x:row>
    <x:row r="2271" ht="22" customHeight="1">
      <x:c r="A2271" s="1" t="str">
        <x:f>IF(A222="","",A222)</x:f>
        <x:v>5700</x:v>
      </x:c>
      <x:c r="B2271" s="1" t="str">
        <x:f>IF(A2271="","",B222)</x:f>
        <x:v>Kensington High School</x:v>
      </x:c>
      <x:c r="C2271" s="1" t="str">
        <x:f>IF(A2271="","",C222)</x:f>
        <x:v>District</x:v>
      </x:c>
      <x:c r="D2271" s="1" t="str">
        <x:f>IF(A2271="","",E222)</x:f>
        <x:v>High</x:v>
      </x:c>
      <x:c r="E2271" s="1" t="str">
        <x:f>IF(A2271="","",H222)</x:f>
        <x:v>19152</x:v>
      </x:c>
      <x:c r="F2271" s="1" t="n">
        <x:f>IF(ISNUMBER(K222),K222,"")</x:f>
        <x:v>447</x:v>
      </x:c>
      <x:c r="G2271" s="1" t="n">
        <x:f>IF(ISNUMBER(L222),L222,"")</x:f>
        <x:v>0.8519</x:v>
      </x:c>
      <x:c r="H2271" s="1" t="str">
        <x:f>IF(A2271="","",IF(AND(UPPER(G222)="PHILADELPHIA",OR(C2271="District",AND(C2271="Charter",D222="Yes"))),"Yes","No"))</x:f>
        <x:v>Yes</x:v>
      </x:c>
      <x:c r="I2271" s="1" t="n">
        <x:f>IF(OR(A2271="",COUNTIFS('Staff Review'!$A$8:$A$507,A2271)&lt;&gt;1),0,MATCH(A2271,'Staff Review'!$A$8:$A$507,0))</x:f>
        <x:v>158</x:v>
      </x:c>
      <x:c r="J2271" s="1" t="str">
        <x:f>IF(I2271=0,"No",IF(INDEX('Staff Review'!$C$8:$C$507,I2271)="Yes","Yes","No"))</x:f>
        <x:v>No</x:v>
      </x:c>
      <x:c r="K2271" s="1" t="n">
        <x:f>IF(AI2271="Yes",INDEX('Staff Review'!$D$8:$D$507,I2271),IF(AB2271=0,"",IF(COUNT(INDEX($C$1531:$C$2030,AB2271))=1,INDEX($C$1531:$C$2030,AB2271),"")))</x:f>
        <x:v>0.6109070300929565</x:v>
      </x:c>
      <x:c r="L2271" s="1" t="n">
        <x:f>IF(AJ2271="Yes",INDEX('Staff Review'!$F$8:$F$507,I2271),IF(AB2271=0,"",IF(COUNT(INDEX($G$1531:$G$2030,AB2271))=1,INDEX($G$1531:$G$2030,AB2271),"")))</x:f>
        <x:v>2</x:v>
      </x:c>
      <x:c r="M2271" s="1" t="str">
        <x:f>IF(A2271="","",IF(AI2271="Yes","Verified","Listed"))</x:f>
        <x:v>Listed</x:v>
      </x:c>
      <x:c r="N2271" s="1" t="str">
        <x:f>IF(A2271="","",IF(AJ2271="Yes","Verified","Listed"))</x:f>
        <x:v>Listed</x:v>
      </x:c>
      <x:c r="O2271" s="1" t="n">
        <x:f>IF(AND(ISNUMBER(G2271),G2271&gt;=0,G2271&lt;=1),IF(G2271&gt;=0.9,30,IF(G2271&gt;=0.8,25,IF(G2271&gt;=0.7,20,IF(G2271&gt;=0.6,15,IF(G2271&gt;=0.5,10,IF(G2271&gt;=0.4,5,0)))))),"")</x:f>
        <x:v>25</x:v>
      </x:c>
      <x:c r="P2271" s="1" t="n">
        <x:f>IF(ISNUMBER(K2271),IF(K2271&lt;0,"",IF(K2271&gt;1,25,IF(K2271&gt;=0.75,20,IF(K2271&gt;=0.5,15,IF(K2271&gt;=0.25,10,5))))),"")</x:f>
        <x:v>15</x:v>
      </x:c>
      <x:c r="Q2271" s="1" t="n">
        <x:f>IF(NOT(ISNUMBER(L2271)),"",IF(AND(L2271&gt;=0,MOD(L2271,1)=0),MAX(0,25-5*L2271),""))</x:f>
        <x:v>15</x:v>
      </x:c>
      <x:c r="R2271" s="1" t="n">
        <x:f>IF(NOT(ISNUMBER(F2271)),"",IF(AND(F2271&gt;0,MOD(F2271,1)=0),IF(F2271&gt;=700,5,IF(F2271&gt;=500,4,IF(F2271&gt;=350,3,IF(F2271&gt;=200,2,1)))),""))</x:f>
        <x:v>3</x:v>
      </x:c>
      <x:c r="S2271" s="1" t="n">
        <x:f>IF(COUNT(O2271:R2271)=4,SUM(O2271:R2271),"")</x:f>
        <x:v>58</x:v>
      </x:c>
      <x:c r="T2271" s="1" t="n">
        <x:f>IF(OR(COUNT(O2271:R2271)&lt;&gt;4,COUNT('Top 15'!$B$35:$E$35)&lt;&gt;4,MIN('Top 15'!$B$35:$E$35)&lt;0,SUM('Top 15'!$B$35:$E$35)&lt;=0),"",ROUND(85*(O2271/30*'Top 15'!$B$35+P2271/25*'Top 15'!$C$35+Q2271/25*'Top 15'!$D$35+R2271/5*'Top 15'!$E$35)/SUM('Top 15'!$B$35:$E$35),6))</x:f>
        <x:v>58</x:v>
      </x:c>
      <x:c r="U2271" s="1" t="str">
        <x:f>IF(A2271="","",IF(AND(M2271="Verified",N2271="Verified"),"Verified",IF(AND(M2271="Listed",N2271="Listed"),"Listed","Mixed")))</x:f>
        <x:v>Listed</x:v>
      </x:c>
      <x:c r="V2271" s="1" t="str">
        <x:f>IF(A2271="","",IF(AK2271&lt;&gt;1,"Duplicate source ID",IF(COUNTIFS('Staff Review'!$A$8:$A$507,A2271)&gt;1,"Duplicate review ID",IF(H2271&lt;&gt;"Yes","Outside scope",IF(J2271="Yes","Already served",IF(NOT(ISNUMBER(T2271)),"Missing data","Candidate"))))))</x:f>
        <x:v>Candidate</x:v>
      </x:c>
      <x:c r="W2271" s="1" t="n">
        <x:f>IF(AL2271=0,"",1+COUNTIFS($AL$2051:$AL$2550,1,$T$2051:$T$2550,"&gt;"&amp;T2271)+COUNTIFS($AL$2051:$AL$2550,1,$T$2051:$T$2550,T2271,$G$2051:$G$2550,"&gt;"&amp;G2271)+COUNTIFS($AL$2051:$AL$2550,1,$T$2051:$T$2550,T2271,$G$2051:$G$2550,G2271,$F$2051:$F$2550,"&gt;"&amp;F2271)+COUNTIFS($AL$2051:$AL$2550,1,$T$2051:$T$2550,T2271,$G$2051:$G$2550,G2271,$F$2051:$F$2550,F2271,$AM$2051:$AM$2550,"&lt;"&amp;AM2271))</x:f>
        <x:v>17</x:v>
      </x:c>
      <x:c r="X2271" s="1" t="n">
        <x:f>IF(AL2271=0,"",1+COUNTIFS($AL$2051:$AL$2550,1,$T$2051:$T$2550,"&gt;"&amp;T2271))</x:f>
        <x:v>17</x:v>
      </x:c>
      <x:c r="Y2271" s="1" t="n">
        <x:f>IF(AND(H2271="Yes",OR(LEN('School Search'!$B$5)=0,ISNUMBER(SEARCH('School Search'!$B$5,B2271&amp;" "&amp;E2271&amp;" "&amp;A2271))),OR('School Search'!$D$5="All",C2271='School Search'!$D$5),OR('School Search'!$G$5="All eligible",AND('School Search'!$G$5="Not marked served",J2271&lt;&gt;"Yes"),AND('School Search'!$G$5="Missing data",V2271="Missing data"),AND('School Search'!$G$5="Marked served",J2271="Yes"))),1,0)</x:f>
        <x:v>1</x:v>
      </x:c>
      <x:c r="Z2271" s="1" t="n">
        <x:f>IF(Y2271=0,"",COUNTIFS($Y$2051:$Y$2550,1,$AO$2051:$AO$2550,"&lt;"&amp;AO2271)+COUNTIFS($Y$2051:Y2271,1,$AO$2051:AO2271,AO2271))</x:f>
        <x:v>17</x:v>
      </x:c>
      <x:c r="AA2271" s="1" t="str">
        <x:f>IF(NOT(ISNUMBER(S2271)),"Missing demographic or access input",TEXT(G2271,"0%")&amp;" economic need; "&amp;TEXT(K2271,"0.00")&amp;" mi fresh access; "&amp;L2271&amp;" nearby resources")</x:f>
        <x:v>85% economic need; 0.61 mi fresh access; 2 nearby resources</x:v>
      </x:c>
      <x:c r="AB2271" s="1" t="n">
        <x:f>IF(OR(A2271="",COUNTIFS($A$1531:$A$2030,A2271)&lt;&gt;1),0,MATCH(A2271,$A$1531:$A$2030,0))</x:f>
        <x:v>221</x:v>
      </x:c>
      <x:c r="AC2271" s="1" t="str">
        <x:f>IF(AB2271=0,"",INDEX($E$1531:$E$2030,AB2271))</x:f>
        <x:v>No.1 Asian Supermarket Inc</x:v>
      </x:c>
      <x:c r="AD2271" s="1" t="str">
        <x:f>IF(AB2271=0,"",INDEX($F$1531:$F$2030,AB2271))</x:f>
        <x:v>2842 Saint Vincent St, Philadelphia, PA, 19149</x:v>
      </x:c>
      <x:c r="AE2271" s="1" t="str">
        <x:f>IF(A2271="","",F222)</x:f>
        <x:v>3001 RYAN AVE</x:v>
      </x:c>
      <x:c r="AF2271" s="1" t="n">
        <x:f>IF(ISNUMBER(I222),I222,"")</x:f>
        <x:v>40.045607</x:v>
      </x:c>
      <x:c r="AG2271" s="1" t="n">
        <x:f>IF(ISNUMBER(J222),J222,"")</x:f>
        <x:v>-75.044206</x:v>
      </x:c>
      <x:c r="AH2271" s="1" t="str">
        <x:f>IF(I2271=0,"Not contacted",IF(INDEX('Staff Review'!$J$8:$J$507,I2271)="","Not contacted",INDEX('Staff Review'!$J$8:$J$507,I2271)))</x:f>
        <x:v>Not contacted</x:v>
      </x:c>
      <x:c r="AI2271" s="1" t="str">
        <x:f>IF(I2271=0,"No",IF(AND(COUNT(INDEX('Staff Review'!$D$8:$D$507,I2271))=1,INDEX('Staff Review'!$D$8:$D$507,I2271)&gt;=0,COUNT(INDEX('Staff Review'!$E$8:$E$507,I2271))=1,INDEX('Staff Review'!$E$8:$E$507,I2271)&gt;0,INDEX('Staff Review'!$E$8:$E$507,I2271)&lt;='Top 15'!$E$5,'Top 15'!$E$5-INDEX('Staff Review'!$E$8:$E$507,I2271)&lt;='Top 15'!$H$5,LEN(INDEX('Staff Review'!$H$8:$H$507,I2271))&gt;0),"Yes","No"))</x:f>
        <x:v>No</x:v>
      </x:c>
      <x:c r="AJ2271" s="1" t="str">
        <x:f>IF(I2271=0,"No",IF(COUNT(INDEX('Staff Review'!$F$8:$F$507,I2271))&lt;&gt;1,"No",IF(AND(INDEX('Staff Review'!$F$8:$F$507,I2271)&gt;=0,MOD(INDEX('Staff Review'!$F$8:$F$507,I2271),1)=0,COUNT(INDEX('Staff Review'!$G$8:$G$507,I2271))=1,INDEX('Staff Review'!$G$8:$G$507,I2271)&gt;0,INDEX('Staff Review'!$G$8:$G$507,I2271)&lt;='Top 15'!$E$5,'Top 15'!$E$5-INDEX('Staff Review'!$G$8:$G$507,I2271)&lt;='Top 15'!$H$5,LEN(INDEX('Staff Review'!$H$8:$H$507,I2271))&gt;0),"Yes","No")))</x:f>
        <x:v>No</x:v>
      </x:c>
      <x:c r="AK2271" s="1" t="n">
        <x:f>IF(A2271="",0,COUNTIFS($A$2:$A$501,A2271))</x:f>
        <x:v>1</x:v>
      </x:c>
      <x:c r="AL2271" s="1" t="n">
        <x:f>IF(V2271="Candidate",1,0)</x:f>
        <x:v>1</x:v>
      </x:c>
      <x:c r="AM2271" s="1" t="n">
        <x:f>IF(A2271="",0,VALUE(A2271))</x:f>
        <x:v>5700</x:v>
      </x:c>
      <x:c r="AN2271" s="1" t="n">
        <x:f>IF(OR(A2271="",COUNTIFS($T$41:$T$540,A2271)&lt;&gt;1),0,MATCH(A2271,$T$41:$T$540,0))</x:f>
        <x:v>221</x:v>
      </x:c>
      <x:c r="AO2271" t="n">
        <x:f>IF(ISNUMBER(W2271),W2271,10000+AM2271)</x:f>
        <x:v>17</x:v>
      </x:c>
    </x:row>
    <x:row r="2272" ht="22" customHeight="1">
      <x:c r="A2272" s="1" t="str">
        <x:f>IF(A223="","",A223)</x:f>
        <x:v>5710</x:v>
      </x:c>
      <x:c r="B2272" s="1" t="str">
        <x:f>IF(A2272="","",B223)</x:f>
        <x:v>Memphis Street Middle School</x:v>
      </x:c>
      <x:c r="C2272" s="1" t="str">
        <x:f>IF(A2272="","",C223)</x:f>
        <x:v>District</x:v>
      </x:c>
      <x:c r="D2272" s="1" t="str">
        <x:f>IF(A2272="","",E223)</x:f>
        <x:v>Middle</x:v>
      </x:c>
      <x:c r="E2272" s="1" t="str">
        <x:f>IF(A2272="","",H223)</x:f>
        <x:v>19134</x:v>
      </x:c>
      <x:c r="F2272" s="1" t="str">
        <x:f>IF(ISNUMBER(K223),K223,"")</x:f>
      </x:c>
      <x:c r="G2272" s="1" t="str">
        <x:f>IF(ISNUMBER(L223),L223,"")</x:f>
      </x:c>
      <x:c r="H2272" s="1" t="str">
        <x:f>IF(A2272="","",IF(AND(UPPER(G223)="PHILADELPHIA",OR(C2272="District",AND(C2272="Charter",D223="Yes"))),"Yes","No"))</x:f>
        <x:v>Yes</x:v>
      </x:c>
      <x:c r="I2272" s="1" t="n">
        <x:f>IF(OR(A2272="",COUNTIFS('Staff Review'!$A$8:$A$507,A2272)&lt;&gt;1),0,MATCH(A2272,'Staff Review'!$A$8:$A$507,0))</x:f>
        <x:v>198</x:v>
      </x:c>
      <x:c r="J2272" s="1" t="str">
        <x:f>IF(I2272=0,"No",IF(INDEX('Staff Review'!$C$8:$C$507,I2272)="Yes","Yes","No"))</x:f>
        <x:v>No</x:v>
      </x:c>
      <x:c r="K2272" s="1" t="n">
        <x:f>IF(AI2272="Yes",INDEX('Staff Review'!$D$8:$D$507,I2272),IF(AB2272=0,"",IF(COUNT(INDEX($C$1531:$C$2030,AB2272))=1,INDEX($C$1531:$C$2030,AB2272),"")))</x:f>
        <x:v>0.44693046338504855</x:v>
      </x:c>
      <x:c r="L2272" s="1" t="n">
        <x:f>IF(AJ2272="Yes",INDEX('Staff Review'!$F$8:$F$507,I2272),IF(AB2272=0,"",IF(COUNT(INDEX($G$1531:$G$2030,AB2272))=1,INDEX($G$1531:$G$2030,AB2272),"")))</x:f>
        <x:v>9</x:v>
      </x:c>
      <x:c r="M2272" s="1" t="str">
        <x:f>IF(A2272="","",IF(AI2272="Yes","Verified","Listed"))</x:f>
        <x:v>Listed</x:v>
      </x:c>
      <x:c r="N2272" s="1" t="str">
        <x:f>IF(A2272="","",IF(AJ2272="Yes","Verified","Listed"))</x:f>
        <x:v>Listed</x:v>
      </x:c>
      <x:c r="O2272" s="1" t="str">
        <x:f>IF(AND(ISNUMBER(G2272),G2272&gt;=0,G2272&lt;=1),IF(G2272&gt;=0.9,30,IF(G2272&gt;=0.8,25,IF(G2272&gt;=0.7,20,IF(G2272&gt;=0.6,15,IF(G2272&gt;=0.5,10,IF(G2272&gt;=0.4,5,0)))))),"")</x:f>
      </x:c>
      <x:c r="P2272" s="1" t="n">
        <x:f>IF(ISNUMBER(K2272),IF(K2272&lt;0,"",IF(K2272&gt;1,25,IF(K2272&gt;=0.75,20,IF(K2272&gt;=0.5,15,IF(K2272&gt;=0.25,10,5))))),"")</x:f>
        <x:v>10</x:v>
      </x:c>
      <x:c r="Q2272" s="1" t="n">
        <x:f>IF(NOT(ISNUMBER(L2272)),"",IF(AND(L2272&gt;=0,MOD(L2272,1)=0),MAX(0,25-5*L2272),""))</x:f>
        <x:v>0</x:v>
      </x:c>
      <x:c r="R2272" s="1" t="str">
        <x:f>IF(NOT(ISNUMBER(F2272)),"",IF(AND(F2272&gt;0,MOD(F2272,1)=0),IF(F2272&gt;=700,5,IF(F2272&gt;=500,4,IF(F2272&gt;=350,3,IF(F2272&gt;=200,2,1)))),""))</x:f>
      </x:c>
      <x:c r="S2272" s="1" t="str">
        <x:f>IF(COUNT(O2272:R2272)=4,SUM(O2272:R2272),"")</x:f>
      </x:c>
      <x:c r="T2272" s="1" t="str">
        <x:f>IF(OR(COUNT(O2272:R2272)&lt;&gt;4,COUNT('Top 15'!$B$35:$E$35)&lt;&gt;4,MIN('Top 15'!$B$35:$E$35)&lt;0,SUM('Top 15'!$B$35:$E$35)&lt;=0),"",ROUND(85*(O2272/30*'Top 15'!$B$35+P2272/25*'Top 15'!$C$35+Q2272/25*'Top 15'!$D$35+R2272/5*'Top 15'!$E$35)/SUM('Top 15'!$B$35:$E$35),6))</x:f>
      </x:c>
      <x:c r="U2272" s="1" t="str">
        <x:f>IF(A2272="","",IF(AND(M2272="Verified",N2272="Verified"),"Verified",IF(AND(M2272="Listed",N2272="Listed"),"Listed","Mixed")))</x:f>
        <x:v>Listed</x:v>
      </x:c>
      <x:c r="V2272" s="1" t="str">
        <x:f>IF(A2272="","",IF(AK2272&lt;&gt;1,"Duplicate source ID",IF(COUNTIFS('Staff Review'!$A$8:$A$507,A2272)&gt;1,"Duplicate review ID",IF(H2272&lt;&gt;"Yes","Outside scope",IF(J2272="Yes","Already served",IF(NOT(ISNUMBER(T2272)),"Missing data","Candidate"))))))</x:f>
        <x:v>Missing data</x:v>
      </x:c>
      <x:c r="W2272" s="1" t="str">
        <x:f>IF(AL2272=0,"",1+COUNTIFS($AL$2051:$AL$2550,1,$T$2051:$T$2550,"&gt;"&amp;T2272)+COUNTIFS($AL$2051:$AL$2550,1,$T$2051:$T$2550,T2272,$G$2051:$G$2550,"&gt;"&amp;G2272)+COUNTIFS($AL$2051:$AL$2550,1,$T$2051:$T$2550,T2272,$G$2051:$G$2550,G2272,$F$2051:$F$2550,"&gt;"&amp;F2272)+COUNTIFS($AL$2051:$AL$2550,1,$T$2051:$T$2550,T2272,$G$2051:$G$2550,G2272,$F$2051:$F$2550,F2272,$AM$2051:$AM$2550,"&lt;"&amp;AM2272))</x:f>
      </x:c>
      <x:c r="X2272" s="1" t="str">
        <x:f>IF(AL2272=0,"",1+COUNTIFS($AL$2051:$AL$2550,1,$T$2051:$T$2550,"&gt;"&amp;T2272))</x:f>
      </x:c>
      <x:c r="Y2272" s="1" t="n">
        <x:f>IF(AND(H2272="Yes",OR(LEN('School Search'!$B$5)=0,ISNUMBER(SEARCH('School Search'!$B$5,B2272&amp;" "&amp;E2272&amp;" "&amp;A2272))),OR('School Search'!$D$5="All",C2272='School Search'!$D$5),OR('School Search'!$G$5="All eligible",AND('School Search'!$G$5="Not marked served",J2272&lt;&gt;"Yes"),AND('School Search'!$G$5="Missing data",V2272="Missing data"),AND('School Search'!$G$5="Marked served",J2272="Yes"))),1,0)</x:f>
        <x:v>1</x:v>
      </x:c>
      <x:c r="Z2272" s="1" t="n">
        <x:f>IF(Y2272=0,"",COUNTIFS($Y$2051:$Y$2550,1,$AO$2051:$AO$2550,"&lt;"&amp;AO2272)+COUNTIFS($Y$2051:Y2272,1,$AO$2051:AO2272,AO2272))</x:f>
        <x:v>302</x:v>
      </x:c>
      <x:c r="AA2272" s="1" t="str">
        <x:f>IF(NOT(ISNUMBER(S2272)),"Missing demographic or access input",TEXT(G2272,"0%")&amp;" economic need; "&amp;TEXT(K2272,"0.00")&amp;" mi fresh access; "&amp;L2272&amp;" nearby resources")</x:f>
        <x:v>Missing demographic or access input</x:v>
      </x:c>
      <x:c r="AB2272" s="1" t="n">
        <x:f>IF(OR(A2272="",COUNTIFS($A$1531:$A$2030,A2272)&lt;&gt;1),0,MATCH(A2272,$A$1531:$A$2030,0))</x:f>
        <x:v>222</x:v>
      </x:c>
      <x:c r="AC2272" s="1" t="str">
        <x:f>IF(AB2272=0,"",INDEX($E$1531:$E$2030,AB2272))</x:f>
        <x:v>Save A Lot 30224</x:v>
      </x:c>
      <x:c r="AD2272" s="1" t="str">
        <x:f>IF(AB2272=0,"",INDEX($F$1531:$F$2030,AB2272))</x:f>
        <x:v>2132 E Lehigh Ave, Philadelphia, PA, 19125</x:v>
      </x:c>
      <x:c r="AE2272" s="1" t="str">
        <x:f>IF(A2272="","",F223)</x:f>
        <x:v>2950 MEMPHIS ST</x:v>
      </x:c>
      <x:c r="AF2272" s="1" t="n">
        <x:f>IF(ISNUMBER(I223),I223,"")</x:f>
        <x:v>39.98588986</x:v>
      </x:c>
      <x:c r="AG2272" s="1" t="n">
        <x:f>IF(ISNUMBER(J223),J223,"")</x:f>
        <x:v>-75.11285949</x:v>
      </x:c>
      <x:c r="AH2272" s="1" t="str">
        <x:f>IF(I2272=0,"Not contacted",IF(INDEX('Staff Review'!$J$8:$J$507,I2272)="","Not contacted",INDEX('Staff Review'!$J$8:$J$507,I2272)))</x:f>
        <x:v>Not contacted</x:v>
      </x:c>
      <x:c r="AI2272" s="1" t="str">
        <x:f>IF(I2272=0,"No",IF(AND(COUNT(INDEX('Staff Review'!$D$8:$D$507,I2272))=1,INDEX('Staff Review'!$D$8:$D$507,I2272)&gt;=0,COUNT(INDEX('Staff Review'!$E$8:$E$507,I2272))=1,INDEX('Staff Review'!$E$8:$E$507,I2272)&gt;0,INDEX('Staff Review'!$E$8:$E$507,I2272)&lt;='Top 15'!$E$5,'Top 15'!$E$5-INDEX('Staff Review'!$E$8:$E$507,I2272)&lt;='Top 15'!$H$5,LEN(INDEX('Staff Review'!$H$8:$H$507,I2272))&gt;0),"Yes","No"))</x:f>
        <x:v>No</x:v>
      </x:c>
      <x:c r="AJ2272" s="1" t="str">
        <x:f>IF(I2272=0,"No",IF(COUNT(INDEX('Staff Review'!$F$8:$F$507,I2272))&lt;&gt;1,"No",IF(AND(INDEX('Staff Review'!$F$8:$F$507,I2272)&gt;=0,MOD(INDEX('Staff Review'!$F$8:$F$507,I2272),1)=0,COUNT(INDEX('Staff Review'!$G$8:$G$507,I2272))=1,INDEX('Staff Review'!$G$8:$G$507,I2272)&gt;0,INDEX('Staff Review'!$G$8:$G$507,I2272)&lt;='Top 15'!$E$5,'Top 15'!$E$5-INDEX('Staff Review'!$G$8:$G$507,I2272)&lt;='Top 15'!$H$5,LEN(INDEX('Staff Review'!$H$8:$H$507,I2272))&gt;0),"Yes","No")))</x:f>
        <x:v>No</x:v>
      </x:c>
      <x:c r="AK2272" s="1" t="n">
        <x:f>IF(A2272="",0,COUNTIFS($A$2:$A$501,A2272))</x:f>
        <x:v>1</x:v>
      </x:c>
      <x:c r="AL2272" s="1" t="n">
        <x:f>IF(V2272="Candidate",1,0)</x:f>
        <x:v>0</x:v>
      </x:c>
      <x:c r="AM2272" s="1" t="n">
        <x:f>IF(A2272="",0,VALUE(A2272))</x:f>
        <x:v>5710</x:v>
      </x:c>
      <x:c r="AN2272" s="1" t="n">
        <x:f>IF(OR(A2272="",COUNTIFS($T$41:$T$540,A2272)&lt;&gt;1),0,MATCH(A2272,$T$41:$T$540,0))</x:f>
        <x:v>222</x:v>
      </x:c>
      <x:c r="AO2272" t="n">
        <x:f>IF(ISNUMBER(W2272),W2272,10000+AM2272)</x:f>
        <x:v>15710</x:v>
      </x:c>
    </x:row>
    <x:row r="2273" ht="22" customHeight="1">
      <x:c r="A2273" s="1" t="str">
        <x:f>IF(A224="","",A224)</x:f>
        <x:v>6010</x:v>
      </x:c>
      <x:c r="B2273" s="1" t="str">
        <x:f>IF(A2273="","",B224)</x:f>
        <x:v>Central High School</x:v>
      </x:c>
      <x:c r="C2273" s="1" t="str">
        <x:f>IF(A2273="","",C224)</x:f>
        <x:v>District</x:v>
      </x:c>
      <x:c r="D2273" s="1" t="str">
        <x:f>IF(A2273="","",E224)</x:f>
        <x:v>High</x:v>
      </x:c>
      <x:c r="E2273" s="1" t="str">
        <x:f>IF(A2273="","",H224)</x:f>
        <x:v>19141</x:v>
      </x:c>
      <x:c r="F2273" s="1" t="n">
        <x:f>IF(ISNUMBER(K224),K224,"")</x:f>
        <x:v>2343</x:v>
      </x:c>
      <x:c r="G2273" s="1" t="n">
        <x:f>IF(ISNUMBER(L224),L224,"")</x:f>
        <x:v>0.5273</x:v>
      </x:c>
      <x:c r="H2273" s="1" t="str">
        <x:f>IF(A2273="","",IF(AND(UPPER(G224)="PHILADELPHIA",OR(C2273="District",AND(C2273="Charter",D224="Yes"))),"Yes","No"))</x:f>
        <x:v>Yes</x:v>
      </x:c>
      <x:c r="I2273" s="1" t="n">
        <x:f>IF(OR(A2273="",COUNTIFS('Staff Review'!$A$8:$A$507,A2273)&lt;&gt;1),0,MATCH(A2273,'Staff Review'!$A$8:$A$507,0))</x:f>
        <x:v>39</x:v>
      </x:c>
      <x:c r="J2273" s="1" t="str">
        <x:f>IF(I2273=0,"No",IF(INDEX('Staff Review'!$C$8:$C$507,I2273)="Yes","Yes","No"))</x:f>
        <x:v>No</x:v>
      </x:c>
      <x:c r="K2273" s="1" t="n">
        <x:f>IF(AI2273="Yes",INDEX('Staff Review'!$D$8:$D$507,I2273),IF(AB2273=0,"",IF(COUNT(INDEX($C$1531:$C$2030,AB2273))=1,INDEX($C$1531:$C$2030,AB2273),"")))</x:f>
        <x:v>0.5248125697376791</x:v>
      </x:c>
      <x:c r="L2273" s="1" t="n">
        <x:f>IF(AJ2273="Yes",INDEX('Staff Review'!$F$8:$F$507,I2273),IF(AB2273=0,"",IF(COUNT(INDEX($G$1531:$G$2030,AB2273))=1,INDEX($G$1531:$G$2030,AB2273),"")))</x:f>
        <x:v>12</x:v>
      </x:c>
      <x:c r="M2273" s="1" t="str">
        <x:f>IF(A2273="","",IF(AI2273="Yes","Verified","Listed"))</x:f>
        <x:v>Listed</x:v>
      </x:c>
      <x:c r="N2273" s="1" t="str">
        <x:f>IF(A2273="","",IF(AJ2273="Yes","Verified","Listed"))</x:f>
        <x:v>Listed</x:v>
      </x:c>
      <x:c r="O2273" s="1" t="n">
        <x:f>IF(AND(ISNUMBER(G2273),G2273&gt;=0,G2273&lt;=1),IF(G2273&gt;=0.9,30,IF(G2273&gt;=0.8,25,IF(G2273&gt;=0.7,20,IF(G2273&gt;=0.6,15,IF(G2273&gt;=0.5,10,IF(G2273&gt;=0.4,5,0)))))),"")</x:f>
        <x:v>10</x:v>
      </x:c>
      <x:c r="P2273" s="1" t="n">
        <x:f>IF(ISNUMBER(K2273),IF(K2273&lt;0,"",IF(K2273&gt;1,25,IF(K2273&gt;=0.75,20,IF(K2273&gt;=0.5,15,IF(K2273&gt;=0.25,10,5))))),"")</x:f>
        <x:v>15</x:v>
      </x:c>
      <x:c r="Q2273" s="1" t="n">
        <x:f>IF(NOT(ISNUMBER(L2273)),"",IF(AND(L2273&gt;=0,MOD(L2273,1)=0),MAX(0,25-5*L2273),""))</x:f>
        <x:v>0</x:v>
      </x:c>
      <x:c r="R2273" s="1" t="n">
        <x:f>IF(NOT(ISNUMBER(F2273)),"",IF(AND(F2273&gt;0,MOD(F2273,1)=0),IF(F2273&gt;=700,5,IF(F2273&gt;=500,4,IF(F2273&gt;=350,3,IF(F2273&gt;=200,2,1)))),""))</x:f>
        <x:v>5</x:v>
      </x:c>
      <x:c r="S2273" s="1" t="n">
        <x:f>IF(COUNT(O2273:R2273)=4,SUM(O2273:R2273),"")</x:f>
        <x:v>30</x:v>
      </x:c>
      <x:c r="T2273" s="1" t="n">
        <x:f>IF(OR(COUNT(O2273:R2273)&lt;&gt;4,COUNT('Top 15'!$B$35:$E$35)&lt;&gt;4,MIN('Top 15'!$B$35:$E$35)&lt;0,SUM('Top 15'!$B$35:$E$35)&lt;=0),"",ROUND(85*(O2273/30*'Top 15'!$B$35+P2273/25*'Top 15'!$C$35+Q2273/25*'Top 15'!$D$35+R2273/5*'Top 15'!$E$35)/SUM('Top 15'!$B$35:$E$35),6))</x:f>
        <x:v>30</x:v>
      </x:c>
      <x:c r="U2273" s="1" t="str">
        <x:f>IF(A2273="","",IF(AND(M2273="Verified",N2273="Verified"),"Verified",IF(AND(M2273="Listed",N2273="Listed"),"Listed","Mixed")))</x:f>
        <x:v>Listed</x:v>
      </x:c>
      <x:c r="V2273" s="1" t="str">
        <x:f>IF(A2273="","",IF(AK2273&lt;&gt;1,"Duplicate source ID",IF(COUNTIFS('Staff Review'!$A$8:$A$507,A2273)&gt;1,"Duplicate review ID",IF(H2273&lt;&gt;"Yes","Outside scope",IF(J2273="Yes","Already served",IF(NOT(ISNUMBER(T2273)),"Missing data","Candidate"))))))</x:f>
        <x:v>Candidate</x:v>
      </x:c>
      <x:c r="W2273" s="1" t="n">
        <x:f>IF(AL2273=0,"",1+COUNTIFS($AL$2051:$AL$2550,1,$T$2051:$T$2550,"&gt;"&amp;T2273)+COUNTIFS($AL$2051:$AL$2550,1,$T$2051:$T$2550,T2273,$G$2051:$G$2550,"&gt;"&amp;G2273)+COUNTIFS($AL$2051:$AL$2550,1,$T$2051:$T$2550,T2273,$G$2051:$G$2550,G2273,$F$2051:$F$2550,"&gt;"&amp;F2273)+COUNTIFS($AL$2051:$AL$2550,1,$T$2051:$T$2550,T2273,$G$2051:$G$2550,G2273,$F$2051:$F$2550,F2273,$AM$2051:$AM$2550,"&lt;"&amp;AM2273))</x:f>
        <x:v>262</x:v>
      </x:c>
      <x:c r="X2273" s="1" t="n">
        <x:f>IF(AL2273=0,"",1+COUNTIFS($AL$2051:$AL$2550,1,$T$2051:$T$2550,"&gt;"&amp;T2273))</x:f>
        <x:v>253</x:v>
      </x:c>
      <x:c r="Y2273" s="1" t="n">
        <x:f>IF(AND(H2273="Yes",OR(LEN('School Search'!$B$5)=0,ISNUMBER(SEARCH('School Search'!$B$5,B2273&amp;" "&amp;E2273&amp;" "&amp;A2273))),OR('School Search'!$D$5="All",C2273='School Search'!$D$5),OR('School Search'!$G$5="All eligible",AND('School Search'!$G$5="Not marked served",J2273&lt;&gt;"Yes"),AND('School Search'!$G$5="Missing data",V2273="Missing data"),AND('School Search'!$G$5="Marked served",J2273="Yes"))),1,0)</x:f>
        <x:v>1</x:v>
      </x:c>
      <x:c r="Z2273" s="1" t="n">
        <x:f>IF(Y2273=0,"",COUNTIFS($Y$2051:$Y$2550,1,$AO$2051:$AO$2550,"&lt;"&amp;AO2273)+COUNTIFS($Y$2051:Y2273,1,$AO$2051:AO2273,AO2273))</x:f>
        <x:v>262</x:v>
      </x:c>
      <x:c r="AA2273" s="1" t="str">
        <x:f>IF(NOT(ISNUMBER(S2273)),"Missing demographic or access input",TEXT(G2273,"0%")&amp;" economic need; "&amp;TEXT(K2273,"0.00")&amp;" mi fresh access; "&amp;L2273&amp;" nearby resources")</x:f>
        <x:v>53% economic need; 0.52 mi fresh access; 12 nearby resources</x:v>
      </x:c>
      <x:c r="AB2273" s="1" t="n">
        <x:f>IF(OR(A2273="",COUNTIFS($A$1531:$A$2030,A2273)&lt;&gt;1),0,MATCH(A2273,$A$1531:$A$2030,0))</x:f>
        <x:v>223</x:v>
      </x:c>
      <x:c r="AC2273" s="1" t="str">
        <x:f>IF(AB2273=0,"",INDEX($E$1531:$E$2030,AB2273))</x:f>
        <x:v>THE FRESH GROCER</x:v>
      </x:c>
      <x:c r="AD2273" s="1" t="str">
        <x:f>IF(AB2273=0,"",INDEX($F$1531:$F$2030,AB2273))</x:f>
        <x:v>5301 Chew Ave, Philadelphia, PA, 19138</x:v>
      </x:c>
      <x:c r="AE2273" s="1" t="str">
        <x:f>IF(A2273="","",F224)</x:f>
        <x:v>1700 W OLNEY AVE</x:v>
      </x:c>
      <x:c r="AF2273" s="1" t="n">
        <x:f>IF(ISNUMBER(I224),I224,"")</x:f>
        <x:v>40.0372851</x:v>
      </x:c>
      <x:c r="AG2273" s="1" t="n">
        <x:f>IF(ISNUMBER(J224),J224,"")</x:f>
        <x:v>-75.15074825</x:v>
      </x:c>
      <x:c r="AH2273" s="1" t="str">
        <x:f>IF(I2273=0,"Not contacted",IF(INDEX('Staff Review'!$J$8:$J$507,I2273)="","Not contacted",INDEX('Staff Review'!$J$8:$J$507,I2273)))</x:f>
        <x:v>Not contacted</x:v>
      </x:c>
      <x:c r="AI2273" s="1" t="str">
        <x:f>IF(I2273=0,"No",IF(AND(COUNT(INDEX('Staff Review'!$D$8:$D$507,I2273))=1,INDEX('Staff Review'!$D$8:$D$507,I2273)&gt;=0,COUNT(INDEX('Staff Review'!$E$8:$E$507,I2273))=1,INDEX('Staff Review'!$E$8:$E$507,I2273)&gt;0,INDEX('Staff Review'!$E$8:$E$507,I2273)&lt;='Top 15'!$E$5,'Top 15'!$E$5-INDEX('Staff Review'!$E$8:$E$507,I2273)&lt;='Top 15'!$H$5,LEN(INDEX('Staff Review'!$H$8:$H$507,I2273))&gt;0),"Yes","No"))</x:f>
        <x:v>No</x:v>
      </x:c>
      <x:c r="AJ2273" s="1" t="str">
        <x:f>IF(I2273=0,"No",IF(COUNT(INDEX('Staff Review'!$F$8:$F$507,I2273))&lt;&gt;1,"No",IF(AND(INDEX('Staff Review'!$F$8:$F$507,I2273)&gt;=0,MOD(INDEX('Staff Review'!$F$8:$F$507,I2273),1)=0,COUNT(INDEX('Staff Review'!$G$8:$G$507,I2273))=1,INDEX('Staff Review'!$G$8:$G$507,I2273)&gt;0,INDEX('Staff Review'!$G$8:$G$507,I2273)&lt;='Top 15'!$E$5,'Top 15'!$E$5-INDEX('Staff Review'!$G$8:$G$507,I2273)&lt;='Top 15'!$H$5,LEN(INDEX('Staff Review'!$H$8:$H$507,I2273))&gt;0),"Yes","No")))</x:f>
        <x:v>No</x:v>
      </x:c>
      <x:c r="AK2273" s="1" t="n">
        <x:f>IF(A2273="",0,COUNTIFS($A$2:$A$501,A2273))</x:f>
        <x:v>1</x:v>
      </x:c>
      <x:c r="AL2273" s="1" t="n">
        <x:f>IF(V2273="Candidate",1,0)</x:f>
        <x:v>1</x:v>
      </x:c>
      <x:c r="AM2273" s="1" t="n">
        <x:f>IF(A2273="",0,VALUE(A2273))</x:f>
        <x:v>6010</x:v>
      </x:c>
      <x:c r="AN2273" s="1" t="n">
        <x:f>IF(OR(A2273="",COUNTIFS($T$41:$T$540,A2273)&lt;&gt;1),0,MATCH(A2273,$T$41:$T$540,0))</x:f>
        <x:v>223</x:v>
      </x:c>
      <x:c r="AO2273" t="n">
        <x:f>IF(ISNUMBER(W2273),W2273,10000+AM2273)</x:f>
        <x:v>262</x:v>
      </x:c>
    </x:row>
    <x:row r="2274" ht="22" customHeight="1">
      <x:c r="A2274" s="1" t="str">
        <x:f>IF(A225="","",A225)</x:f>
        <x:v>6030</x:v>
      </x:c>
      <x:c r="B2274" s="1" t="str">
        <x:f>IF(A2274="","",B225)</x:f>
        <x:v>Roxborough High School</x:v>
      </x:c>
      <x:c r="C2274" s="1" t="str">
        <x:f>IF(A2274="","",C225)</x:f>
        <x:v>District</x:v>
      </x:c>
      <x:c r="D2274" s="1" t="str">
        <x:f>IF(A2274="","",E225)</x:f>
        <x:v>High</x:v>
      </x:c>
      <x:c r="E2274" s="1" t="str">
        <x:f>IF(A2274="","",H225)</x:f>
        <x:v>19128</x:v>
      </x:c>
      <x:c r="F2274" s="1" t="n">
        <x:f>IF(ISNUMBER(K225),K225,"")</x:f>
        <x:v>529</x:v>
      </x:c>
      <x:c r="G2274" s="1" t="n">
        <x:f>IF(ISNUMBER(L225),L225,"")</x:f>
        <x:v>0.7794</x:v>
      </x:c>
      <x:c r="H2274" s="1" t="str">
        <x:f>IF(A2274="","",IF(AND(UPPER(G225)="PHILADELPHIA",OR(C2274="District",AND(C2274="Charter",D225="Yes"))),"Yes","No"))</x:f>
        <x:v>Yes</x:v>
      </x:c>
      <x:c r="I2274" s="1" t="n">
        <x:f>IF(OR(A2274="",COUNTIFS('Staff Review'!$A$8:$A$507,A2274)&lt;&gt;1),0,MATCH(A2274,'Staff Review'!$A$8:$A$507,0))</x:f>
        <x:v>255</x:v>
      </x:c>
      <x:c r="J2274" s="1" t="str">
        <x:f>IF(I2274=0,"No",IF(INDEX('Staff Review'!$C$8:$C$507,I2274)="Yes","Yes","No"))</x:f>
        <x:v>No</x:v>
      </x:c>
      <x:c r="K2274" s="1" t="n">
        <x:f>IF(AI2274="Yes",INDEX('Staff Review'!$D$8:$D$507,I2274),IF(AB2274=0,"",IF(COUNT(INDEX($C$1531:$C$2030,AB2274))=1,INDEX($C$1531:$C$2030,AB2274),"")))</x:f>
        <x:v>0.44340961937886253</x:v>
      </x:c>
      <x:c r="L2274" s="1" t="n">
        <x:f>IF(AJ2274="Yes",INDEX('Staff Review'!$F$8:$F$507,I2274),IF(AB2274=0,"",IF(COUNT(INDEX($G$1531:$G$2030,AB2274))=1,INDEX($G$1531:$G$2030,AB2274),"")))</x:f>
        <x:v>1</x:v>
      </x:c>
      <x:c r="M2274" s="1" t="str">
        <x:f>IF(A2274="","",IF(AI2274="Yes","Verified","Listed"))</x:f>
        <x:v>Listed</x:v>
      </x:c>
      <x:c r="N2274" s="1" t="str">
        <x:f>IF(A2274="","",IF(AJ2274="Yes","Verified","Listed"))</x:f>
        <x:v>Listed</x:v>
      </x:c>
      <x:c r="O2274" s="1" t="n">
        <x:f>IF(AND(ISNUMBER(G2274),G2274&gt;=0,G2274&lt;=1),IF(G2274&gt;=0.9,30,IF(G2274&gt;=0.8,25,IF(G2274&gt;=0.7,20,IF(G2274&gt;=0.6,15,IF(G2274&gt;=0.5,10,IF(G2274&gt;=0.4,5,0)))))),"")</x:f>
        <x:v>20</x:v>
      </x:c>
      <x:c r="P2274" s="1" t="n">
        <x:f>IF(ISNUMBER(K2274),IF(K2274&lt;0,"",IF(K2274&gt;1,25,IF(K2274&gt;=0.75,20,IF(K2274&gt;=0.5,15,IF(K2274&gt;=0.25,10,5))))),"")</x:f>
        <x:v>10</x:v>
      </x:c>
      <x:c r="Q2274" s="1" t="n">
        <x:f>IF(NOT(ISNUMBER(L2274)),"",IF(AND(L2274&gt;=0,MOD(L2274,1)=0),MAX(0,25-5*L2274),""))</x:f>
        <x:v>20</x:v>
      </x:c>
      <x:c r="R2274" s="1" t="n">
        <x:f>IF(NOT(ISNUMBER(F2274)),"",IF(AND(F2274&gt;0,MOD(F2274,1)=0),IF(F2274&gt;=700,5,IF(F2274&gt;=500,4,IF(F2274&gt;=350,3,IF(F2274&gt;=200,2,1)))),""))</x:f>
        <x:v>4</x:v>
      </x:c>
      <x:c r="S2274" s="1" t="n">
        <x:f>IF(COUNT(O2274:R2274)=4,SUM(O2274:R2274),"")</x:f>
        <x:v>54</x:v>
      </x:c>
      <x:c r="T2274" s="1" t="n">
        <x:f>IF(OR(COUNT(O2274:R2274)&lt;&gt;4,COUNT('Top 15'!$B$35:$E$35)&lt;&gt;4,MIN('Top 15'!$B$35:$E$35)&lt;0,SUM('Top 15'!$B$35:$E$35)&lt;=0),"",ROUND(85*(O2274/30*'Top 15'!$B$35+P2274/25*'Top 15'!$C$35+Q2274/25*'Top 15'!$D$35+R2274/5*'Top 15'!$E$35)/SUM('Top 15'!$B$35:$E$35),6))</x:f>
        <x:v>54</x:v>
      </x:c>
      <x:c r="U2274" s="1" t="str">
        <x:f>IF(A2274="","",IF(AND(M2274="Verified",N2274="Verified"),"Verified",IF(AND(M2274="Listed",N2274="Listed"),"Listed","Mixed")))</x:f>
        <x:v>Listed</x:v>
      </x:c>
      <x:c r="V2274" s="1" t="str">
        <x:f>IF(A2274="","",IF(AK2274&lt;&gt;1,"Duplicate source ID",IF(COUNTIFS('Staff Review'!$A$8:$A$507,A2274)&gt;1,"Duplicate review ID",IF(H2274&lt;&gt;"Yes","Outside scope",IF(J2274="Yes","Already served",IF(NOT(ISNUMBER(T2274)),"Missing data","Candidate"))))))</x:f>
        <x:v>Candidate</x:v>
      </x:c>
      <x:c r="W2274" s="1" t="n">
        <x:f>IF(AL2274=0,"",1+COUNTIFS($AL$2051:$AL$2550,1,$T$2051:$T$2550,"&gt;"&amp;T2274)+COUNTIFS($AL$2051:$AL$2550,1,$T$2051:$T$2550,T2274,$G$2051:$G$2550,"&gt;"&amp;G2274)+COUNTIFS($AL$2051:$AL$2550,1,$T$2051:$T$2550,T2274,$G$2051:$G$2550,G2274,$F$2051:$F$2550,"&gt;"&amp;F2274)+COUNTIFS($AL$2051:$AL$2550,1,$T$2051:$T$2550,T2274,$G$2051:$G$2550,G2274,$F$2051:$F$2550,F2274,$AM$2051:$AM$2550,"&lt;"&amp;AM2274))</x:f>
        <x:v>33</x:v>
      </x:c>
      <x:c r="X2274" s="1" t="n">
        <x:f>IF(AL2274=0,"",1+COUNTIFS($AL$2051:$AL$2550,1,$T$2051:$T$2550,"&gt;"&amp;T2274))</x:f>
        <x:v>33</x:v>
      </x:c>
      <x:c r="Y2274" s="1" t="n">
        <x:f>IF(AND(H2274="Yes",OR(LEN('School Search'!$B$5)=0,ISNUMBER(SEARCH('School Search'!$B$5,B2274&amp;" "&amp;E2274&amp;" "&amp;A2274))),OR('School Search'!$D$5="All",C2274='School Search'!$D$5),OR('School Search'!$G$5="All eligible",AND('School Search'!$G$5="Not marked served",J2274&lt;&gt;"Yes"),AND('School Search'!$G$5="Missing data",V2274="Missing data"),AND('School Search'!$G$5="Marked served",J2274="Yes"))),1,0)</x:f>
        <x:v>1</x:v>
      </x:c>
      <x:c r="Z2274" s="1" t="n">
        <x:f>IF(Y2274=0,"",COUNTIFS($Y$2051:$Y$2550,1,$AO$2051:$AO$2550,"&lt;"&amp;AO2274)+COUNTIFS($Y$2051:Y2274,1,$AO$2051:AO2274,AO2274))</x:f>
        <x:v>33</x:v>
      </x:c>
      <x:c r="AA2274" s="1" t="str">
        <x:f>IF(NOT(ISNUMBER(S2274)),"Missing demographic or access input",TEXT(G2274,"0%")&amp;" economic need; "&amp;TEXT(K2274,"0.00")&amp;" mi fresh access; "&amp;L2274&amp;" nearby resources")</x:f>
        <x:v>78% economic need; 0.44 mi fresh access; 1 nearby resources</x:v>
      </x:c>
      <x:c r="AB2274" s="1" t="n">
        <x:f>IF(OR(A2274="",COUNTIFS($A$1531:$A$2030,A2274)&lt;&gt;1),0,MATCH(A2274,$A$1531:$A$2030,0))</x:f>
        <x:v>224</x:v>
      </x:c>
      <x:c r="AC2274" s="1" t="str">
        <x:f>IF(AB2274=0,"",INDEX($E$1531:$E$2030,AB2274))</x:f>
        <x:v>Shop Rite of Roxborough 519</x:v>
      </x:c>
      <x:c r="AD2274" s="1" t="str">
        <x:f>IF(AB2274=0,"",INDEX($F$1531:$F$2030,AB2274))</x:f>
        <x:v>6901 Ridge Ave, Philadelphia, PA, 19128</x:v>
      </x:c>
      <x:c r="AE2274" s="1" t="str">
        <x:f>IF(A2274="","",F225)</x:f>
        <x:v>6498 RIDGE AVE</x:v>
      </x:c>
      <x:c r="AF2274" s="1" t="n">
        <x:f>IF(ISNUMBER(I225),I225,"")</x:f>
        <x:v>40.03802479</x:v>
      </x:c>
      <x:c r="AG2274" s="1" t="n">
        <x:f>IF(ISNUMBER(J225),J225,"")</x:f>
        <x:v>-75.22283357</x:v>
      </x:c>
      <x:c r="AH2274" s="1" t="str">
        <x:f>IF(I2274=0,"Not contacted",IF(INDEX('Staff Review'!$J$8:$J$507,I2274)="","Not contacted",INDEX('Staff Review'!$J$8:$J$507,I2274)))</x:f>
        <x:v>Not contacted</x:v>
      </x:c>
      <x:c r="AI2274" s="1" t="str">
        <x:f>IF(I2274=0,"No",IF(AND(COUNT(INDEX('Staff Review'!$D$8:$D$507,I2274))=1,INDEX('Staff Review'!$D$8:$D$507,I2274)&gt;=0,COUNT(INDEX('Staff Review'!$E$8:$E$507,I2274))=1,INDEX('Staff Review'!$E$8:$E$507,I2274)&gt;0,INDEX('Staff Review'!$E$8:$E$507,I2274)&lt;='Top 15'!$E$5,'Top 15'!$E$5-INDEX('Staff Review'!$E$8:$E$507,I2274)&lt;='Top 15'!$H$5,LEN(INDEX('Staff Review'!$H$8:$H$507,I2274))&gt;0),"Yes","No"))</x:f>
        <x:v>No</x:v>
      </x:c>
      <x:c r="AJ2274" s="1" t="str">
        <x:f>IF(I2274=0,"No",IF(COUNT(INDEX('Staff Review'!$F$8:$F$507,I2274))&lt;&gt;1,"No",IF(AND(INDEX('Staff Review'!$F$8:$F$507,I2274)&gt;=0,MOD(INDEX('Staff Review'!$F$8:$F$507,I2274),1)=0,COUNT(INDEX('Staff Review'!$G$8:$G$507,I2274))=1,INDEX('Staff Review'!$G$8:$G$507,I2274)&gt;0,INDEX('Staff Review'!$G$8:$G$507,I2274)&lt;='Top 15'!$E$5,'Top 15'!$E$5-INDEX('Staff Review'!$G$8:$G$507,I2274)&lt;='Top 15'!$H$5,LEN(INDEX('Staff Review'!$H$8:$H$507,I2274))&gt;0),"Yes","No")))</x:f>
        <x:v>No</x:v>
      </x:c>
      <x:c r="AK2274" s="1" t="n">
        <x:f>IF(A2274="",0,COUNTIFS($A$2:$A$501,A2274))</x:f>
        <x:v>1</x:v>
      </x:c>
      <x:c r="AL2274" s="1" t="n">
        <x:f>IF(V2274="Candidate",1,0)</x:f>
        <x:v>1</x:v>
      </x:c>
      <x:c r="AM2274" s="1" t="n">
        <x:f>IF(A2274="",0,VALUE(A2274))</x:f>
        <x:v>6030</x:v>
      </x:c>
      <x:c r="AN2274" s="1" t="n">
        <x:f>IF(OR(A2274="",COUNTIFS($T$41:$T$540,A2274)&lt;&gt;1),0,MATCH(A2274,$T$41:$T$540,0))</x:f>
        <x:v>224</x:v>
      </x:c>
      <x:c r="AO2274" t="n">
        <x:f>IF(ISNUMBER(W2274),W2274,10000+AM2274)</x:f>
        <x:v>33</x:v>
      </x:c>
    </x:row>
    <x:row r="2275" ht="22" customHeight="1">
      <x:c r="A2275" s="1" t="str">
        <x:f>IF(A226="","",A226)</x:f>
        <x:v>6040</x:v>
      </x:c>
      <x:c r="B2275" s="1" t="str">
        <x:f>IF(A2275="","",B226)</x:f>
        <x:v>Walter B. Saul High School</x:v>
      </x:c>
      <x:c r="C2275" s="1" t="str">
        <x:f>IF(A2275="","",C226)</x:f>
        <x:v>District</x:v>
      </x:c>
      <x:c r="D2275" s="1" t="str">
        <x:f>IF(A2275="","",E226)</x:f>
        <x:v>High</x:v>
      </x:c>
      <x:c r="E2275" s="1" t="str">
        <x:f>IF(A2275="","",H226)</x:f>
        <x:v>19128</x:v>
      </x:c>
      <x:c r="F2275" s="1" t="n">
        <x:f>IF(ISNUMBER(K226),K226,"")</x:f>
        <x:v>406</x:v>
      </x:c>
      <x:c r="G2275" s="1" t="n">
        <x:f>IF(ISNUMBER(L226),L226,"")</x:f>
        <x:v>0.674</x:v>
      </x:c>
      <x:c r="H2275" s="1" t="str">
        <x:f>IF(A2275="","",IF(AND(UPPER(G226)="PHILADELPHIA",OR(C2275="District",AND(C2275="Charter",D226="Yes"))),"Yes","No"))</x:f>
        <x:v>Yes</x:v>
      </x:c>
      <x:c r="I2275" s="1" t="n">
        <x:f>IF(OR(A2275="",COUNTIFS('Staff Review'!$A$8:$A$507,A2275)&lt;&gt;1),0,MATCH(A2275,'Staff Review'!$A$8:$A$507,0))</x:f>
        <x:v>305</x:v>
      </x:c>
      <x:c r="J2275" s="1" t="str">
        <x:f>IF(I2275=0,"No",IF(INDEX('Staff Review'!$C$8:$C$507,I2275)="Yes","Yes","No"))</x:f>
        <x:v>No</x:v>
      </x:c>
      <x:c r="K2275" s="1" t="n">
        <x:f>IF(AI2275="Yes",INDEX('Staff Review'!$D$8:$D$507,I2275),IF(AB2275=0,"",IF(COUNT(INDEX($C$1531:$C$2030,AB2275))=1,INDEX($C$1531:$C$2030,AB2275),"")))</x:f>
        <x:v>0.5690515358630496</x:v>
      </x:c>
      <x:c r="L2275" s="1" t="n">
        <x:f>IF(AJ2275="Yes",INDEX('Staff Review'!$F$8:$F$507,I2275),IF(AB2275=0,"",IF(COUNT(INDEX($G$1531:$G$2030,AB2275))=1,INDEX($G$1531:$G$2030,AB2275),"")))</x:f>
        <x:v>0</x:v>
      </x:c>
      <x:c r="M2275" s="1" t="str">
        <x:f>IF(A2275="","",IF(AI2275="Yes","Verified","Listed"))</x:f>
        <x:v>Listed</x:v>
      </x:c>
      <x:c r="N2275" s="1" t="str">
        <x:f>IF(A2275="","",IF(AJ2275="Yes","Verified","Listed"))</x:f>
        <x:v>Listed</x:v>
      </x:c>
      <x:c r="O2275" s="1" t="n">
        <x:f>IF(AND(ISNUMBER(G2275),G2275&gt;=0,G2275&lt;=1),IF(G2275&gt;=0.9,30,IF(G2275&gt;=0.8,25,IF(G2275&gt;=0.7,20,IF(G2275&gt;=0.6,15,IF(G2275&gt;=0.5,10,IF(G2275&gt;=0.4,5,0)))))),"")</x:f>
        <x:v>15</x:v>
      </x:c>
      <x:c r="P2275" s="1" t="n">
        <x:f>IF(ISNUMBER(K2275),IF(K2275&lt;0,"",IF(K2275&gt;1,25,IF(K2275&gt;=0.75,20,IF(K2275&gt;=0.5,15,IF(K2275&gt;=0.25,10,5))))),"")</x:f>
        <x:v>15</x:v>
      </x:c>
      <x:c r="Q2275" s="1" t="n">
        <x:f>IF(NOT(ISNUMBER(L2275)),"",IF(AND(L2275&gt;=0,MOD(L2275,1)=0),MAX(0,25-5*L2275),""))</x:f>
        <x:v>25</x:v>
      </x:c>
      <x:c r="R2275" s="1" t="n">
        <x:f>IF(NOT(ISNUMBER(F2275)),"",IF(AND(F2275&gt;0,MOD(F2275,1)=0),IF(F2275&gt;=700,5,IF(F2275&gt;=500,4,IF(F2275&gt;=350,3,IF(F2275&gt;=200,2,1)))),""))</x:f>
        <x:v>3</x:v>
      </x:c>
      <x:c r="S2275" s="1" t="n">
        <x:f>IF(COUNT(O2275:R2275)=4,SUM(O2275:R2275),"")</x:f>
        <x:v>58</x:v>
      </x:c>
      <x:c r="T2275" s="1" t="n">
        <x:f>IF(OR(COUNT(O2275:R2275)&lt;&gt;4,COUNT('Top 15'!$B$35:$E$35)&lt;&gt;4,MIN('Top 15'!$B$35:$E$35)&lt;0,SUM('Top 15'!$B$35:$E$35)&lt;=0),"",ROUND(85*(O2275/30*'Top 15'!$B$35+P2275/25*'Top 15'!$C$35+Q2275/25*'Top 15'!$D$35+R2275/5*'Top 15'!$E$35)/SUM('Top 15'!$B$35:$E$35),6))</x:f>
        <x:v>58</x:v>
      </x:c>
      <x:c r="U2275" s="1" t="str">
        <x:f>IF(A2275="","",IF(AND(M2275="Verified",N2275="Verified"),"Verified",IF(AND(M2275="Listed",N2275="Listed"),"Listed","Mixed")))</x:f>
        <x:v>Listed</x:v>
      </x:c>
      <x:c r="V2275" s="1" t="str">
        <x:f>IF(A2275="","",IF(AK2275&lt;&gt;1,"Duplicate source ID",IF(COUNTIFS('Staff Review'!$A$8:$A$507,A2275)&gt;1,"Duplicate review ID",IF(H2275&lt;&gt;"Yes","Outside scope",IF(J2275="Yes","Already served",IF(NOT(ISNUMBER(T2275)),"Missing data","Candidate"))))))</x:f>
        <x:v>Candidate</x:v>
      </x:c>
      <x:c r="W2275" s="1" t="n">
        <x:f>IF(AL2275=0,"",1+COUNTIFS($AL$2051:$AL$2550,1,$T$2051:$T$2550,"&gt;"&amp;T2275)+COUNTIFS($AL$2051:$AL$2550,1,$T$2051:$T$2550,T2275,$G$2051:$G$2550,"&gt;"&amp;G2275)+COUNTIFS($AL$2051:$AL$2550,1,$T$2051:$T$2550,T2275,$G$2051:$G$2550,G2275,$F$2051:$F$2550,"&gt;"&amp;F2275)+COUNTIFS($AL$2051:$AL$2550,1,$T$2051:$T$2550,T2275,$G$2051:$G$2550,G2275,$F$2051:$F$2550,F2275,$AM$2051:$AM$2550,"&lt;"&amp;AM2275))</x:f>
        <x:v>18</x:v>
      </x:c>
      <x:c r="X2275" s="1" t="n">
        <x:f>IF(AL2275=0,"",1+COUNTIFS($AL$2051:$AL$2550,1,$T$2051:$T$2550,"&gt;"&amp;T2275))</x:f>
        <x:v>17</x:v>
      </x:c>
      <x:c r="Y2275" s="1" t="n">
        <x:f>IF(AND(H2275="Yes",OR(LEN('School Search'!$B$5)=0,ISNUMBER(SEARCH('School Search'!$B$5,B2275&amp;" "&amp;E2275&amp;" "&amp;A2275))),OR('School Search'!$D$5="All",C2275='School Search'!$D$5),OR('School Search'!$G$5="All eligible",AND('School Search'!$G$5="Not marked served",J2275&lt;&gt;"Yes"),AND('School Search'!$G$5="Missing data",V2275="Missing data"),AND('School Search'!$G$5="Marked served",J2275="Yes"))),1,0)</x:f>
        <x:v>1</x:v>
      </x:c>
      <x:c r="Z2275" s="1" t="n">
        <x:f>IF(Y2275=0,"",COUNTIFS($Y$2051:$Y$2550,1,$AO$2051:$AO$2550,"&lt;"&amp;AO2275)+COUNTIFS($Y$2051:Y2275,1,$AO$2051:AO2275,AO2275))</x:f>
        <x:v>18</x:v>
      </x:c>
      <x:c r="AA2275" s="1" t="str">
        <x:f>IF(NOT(ISNUMBER(S2275)),"Missing demographic or access input",TEXT(G2275,"0%")&amp;" economic need; "&amp;TEXT(K2275,"0.00")&amp;" mi fresh access; "&amp;L2275&amp;" nearby resources")</x:f>
        <x:v>67% economic need; 0.57 mi fresh access; 0 nearby resources</x:v>
      </x:c>
      <x:c r="AB2275" s="1" t="n">
        <x:f>IF(OR(A2275="",COUNTIFS($A$1531:$A$2030,A2275)&lt;&gt;1),0,MATCH(A2275,$A$1531:$A$2030,0))</x:f>
        <x:v>225</x:v>
      </x:c>
      <x:c r="AC2275" s="1" t="str">
        <x:f>IF(AB2275=0,"",INDEX($E$1531:$E$2030,AB2275))</x:f>
        <x:v>Shop Rite of Roxborough 519</x:v>
      </x:c>
      <x:c r="AD2275" s="1" t="str">
        <x:f>IF(AB2275=0,"",INDEX($F$1531:$F$2030,AB2275))</x:f>
        <x:v>6901 Ridge Ave, Philadelphia, PA, 19128</x:v>
      </x:c>
      <x:c r="AE2275" s="1" t="str">
        <x:f>IF(A2275="","",F226)</x:f>
        <x:v>7100 HENRY AVE</x:v>
      </x:c>
      <x:c r="AF2275" s="1" t="n">
        <x:f>IF(ISNUMBER(I226),I226,"")</x:f>
        <x:v>40.04902036</x:v>
      </x:c>
      <x:c r="AG2275" s="1" t="n">
        <x:f>IF(ISNUMBER(J226),J226,"")</x:f>
        <x:v>-75.21981676</x:v>
      </x:c>
      <x:c r="AH2275" s="1" t="str">
        <x:f>IF(I2275=0,"Not contacted",IF(INDEX('Staff Review'!$J$8:$J$507,I2275)="","Not contacted",INDEX('Staff Review'!$J$8:$J$507,I2275)))</x:f>
        <x:v>Not contacted</x:v>
      </x:c>
      <x:c r="AI2275" s="1" t="str">
        <x:f>IF(I2275=0,"No",IF(AND(COUNT(INDEX('Staff Review'!$D$8:$D$507,I2275))=1,INDEX('Staff Review'!$D$8:$D$507,I2275)&gt;=0,COUNT(INDEX('Staff Review'!$E$8:$E$507,I2275))=1,INDEX('Staff Review'!$E$8:$E$507,I2275)&gt;0,INDEX('Staff Review'!$E$8:$E$507,I2275)&lt;='Top 15'!$E$5,'Top 15'!$E$5-INDEX('Staff Review'!$E$8:$E$507,I2275)&lt;='Top 15'!$H$5,LEN(INDEX('Staff Review'!$H$8:$H$507,I2275))&gt;0),"Yes","No"))</x:f>
        <x:v>No</x:v>
      </x:c>
      <x:c r="AJ2275" s="1" t="str">
        <x:f>IF(I2275=0,"No",IF(COUNT(INDEX('Staff Review'!$F$8:$F$507,I2275))&lt;&gt;1,"No",IF(AND(INDEX('Staff Review'!$F$8:$F$507,I2275)&gt;=0,MOD(INDEX('Staff Review'!$F$8:$F$507,I2275),1)=0,COUNT(INDEX('Staff Review'!$G$8:$G$507,I2275))=1,INDEX('Staff Review'!$G$8:$G$507,I2275)&gt;0,INDEX('Staff Review'!$G$8:$G$507,I2275)&lt;='Top 15'!$E$5,'Top 15'!$E$5-INDEX('Staff Review'!$G$8:$G$507,I2275)&lt;='Top 15'!$H$5,LEN(INDEX('Staff Review'!$H$8:$H$507,I2275))&gt;0),"Yes","No")))</x:f>
        <x:v>No</x:v>
      </x:c>
      <x:c r="AK2275" s="1" t="n">
        <x:f>IF(A2275="",0,COUNTIFS($A$2:$A$501,A2275))</x:f>
        <x:v>1</x:v>
      </x:c>
      <x:c r="AL2275" s="1" t="n">
        <x:f>IF(V2275="Candidate",1,0)</x:f>
        <x:v>1</x:v>
      </x:c>
      <x:c r="AM2275" s="1" t="n">
        <x:f>IF(A2275="",0,VALUE(A2275))</x:f>
        <x:v>6040</x:v>
      </x:c>
      <x:c r="AN2275" s="1" t="n">
        <x:f>IF(OR(A2275="",COUNTIFS($T$41:$T$540,A2275)&lt;&gt;1),0,MATCH(A2275,$T$41:$T$540,0))</x:f>
        <x:v>225</x:v>
      </x:c>
      <x:c r="AO2275" t="n">
        <x:f>IF(ISNUMBER(W2275),W2275,10000+AM2275)</x:f>
        <x:v>18</x:v>
      </x:c>
    </x:row>
    <x:row r="2276" ht="22" customHeight="1">
      <x:c r="A2276" s="1" t="str">
        <x:f>IF(A227="","",A227)</x:f>
        <x:v>6050</x:v>
      </x:c>
      <x:c r="B2276" s="1" t="str">
        <x:f>IF(A2276="","",B227)</x:f>
        <x:v>Philadelphia High School for Girls</x:v>
      </x:c>
      <x:c r="C2276" s="1" t="str">
        <x:f>IF(A2276="","",C227)</x:f>
        <x:v>District</x:v>
      </x:c>
      <x:c r="D2276" s="1" t="str">
        <x:f>IF(A2276="","",E227)</x:f>
        <x:v>High</x:v>
      </x:c>
      <x:c r="E2276" s="1" t="str">
        <x:f>IF(A2276="","",H227)</x:f>
        <x:v>19141</x:v>
      </x:c>
      <x:c r="F2276" s="1" t="n">
        <x:f>IF(ISNUMBER(K227),K227,"")</x:f>
        <x:v>592</x:v>
      </x:c>
      <x:c r="G2276" s="1" t="n">
        <x:f>IF(ISNUMBER(L227),L227,"")</x:f>
        <x:v>0.6871</x:v>
      </x:c>
      <x:c r="H2276" s="1" t="str">
        <x:f>IF(A2276="","",IF(AND(UPPER(G227)="PHILADELPHIA",OR(C2276="District",AND(C2276="Charter",D227="Yes"))),"Yes","No"))</x:f>
        <x:v>Yes</x:v>
      </x:c>
      <x:c r="I2276" s="1" t="n">
        <x:f>IF(OR(A2276="",COUNTIFS('Staff Review'!$A$8:$A$507,A2276)&lt;&gt;1),0,MATCH(A2276,'Staff Review'!$A$8:$A$507,0))</x:f>
        <x:v>235</x:v>
      </x:c>
      <x:c r="J2276" s="1" t="str">
        <x:f>IF(I2276=0,"No",IF(INDEX('Staff Review'!$C$8:$C$507,I2276)="Yes","Yes","No"))</x:f>
        <x:v>No</x:v>
      </x:c>
      <x:c r="K2276" s="1" t="n">
        <x:f>IF(AI2276="Yes",INDEX('Staff Review'!$D$8:$D$507,I2276),IF(AB2276=0,"",IF(COUNT(INDEX($C$1531:$C$2030,AB2276))=1,INDEX($C$1531:$C$2030,AB2276),"")))</x:f>
        <x:v>0.6142739073848581</x:v>
      </x:c>
      <x:c r="L2276" s="1" t="n">
        <x:f>IF(AJ2276="Yes",INDEX('Staff Review'!$F$8:$F$507,I2276),IF(AB2276=0,"",IF(COUNT(INDEX($G$1531:$G$2030,AB2276))=1,INDEX($G$1531:$G$2030,AB2276),"")))</x:f>
        <x:v>9</x:v>
      </x:c>
      <x:c r="M2276" s="1" t="str">
        <x:f>IF(A2276="","",IF(AI2276="Yes","Verified","Listed"))</x:f>
        <x:v>Listed</x:v>
      </x:c>
      <x:c r="N2276" s="1" t="str">
        <x:f>IF(A2276="","",IF(AJ2276="Yes","Verified","Listed"))</x:f>
        <x:v>Listed</x:v>
      </x:c>
      <x:c r="O2276" s="1" t="n">
        <x:f>IF(AND(ISNUMBER(G2276),G2276&gt;=0,G2276&lt;=1),IF(G2276&gt;=0.9,30,IF(G2276&gt;=0.8,25,IF(G2276&gt;=0.7,20,IF(G2276&gt;=0.6,15,IF(G2276&gt;=0.5,10,IF(G2276&gt;=0.4,5,0)))))),"")</x:f>
        <x:v>15</x:v>
      </x:c>
      <x:c r="P2276" s="1" t="n">
        <x:f>IF(ISNUMBER(K2276),IF(K2276&lt;0,"",IF(K2276&gt;1,25,IF(K2276&gt;=0.75,20,IF(K2276&gt;=0.5,15,IF(K2276&gt;=0.25,10,5))))),"")</x:f>
        <x:v>15</x:v>
      </x:c>
      <x:c r="Q2276" s="1" t="n">
        <x:f>IF(NOT(ISNUMBER(L2276)),"",IF(AND(L2276&gt;=0,MOD(L2276,1)=0),MAX(0,25-5*L2276),""))</x:f>
        <x:v>0</x:v>
      </x:c>
      <x:c r="R2276" s="1" t="n">
        <x:f>IF(NOT(ISNUMBER(F2276)),"",IF(AND(F2276&gt;0,MOD(F2276,1)=0),IF(F2276&gt;=700,5,IF(F2276&gt;=500,4,IF(F2276&gt;=350,3,IF(F2276&gt;=200,2,1)))),""))</x:f>
        <x:v>4</x:v>
      </x:c>
      <x:c r="S2276" s="1" t="n">
        <x:f>IF(COUNT(O2276:R2276)=4,SUM(O2276:R2276),"")</x:f>
        <x:v>34</x:v>
      </x:c>
      <x:c r="T2276" s="1" t="n">
        <x:f>IF(OR(COUNT(O2276:R2276)&lt;&gt;4,COUNT('Top 15'!$B$35:$E$35)&lt;&gt;4,MIN('Top 15'!$B$35:$E$35)&lt;0,SUM('Top 15'!$B$35:$E$35)&lt;=0),"",ROUND(85*(O2276/30*'Top 15'!$B$35+P2276/25*'Top 15'!$C$35+Q2276/25*'Top 15'!$D$35+R2276/5*'Top 15'!$E$35)/SUM('Top 15'!$B$35:$E$35),6))</x:f>
        <x:v>34</x:v>
      </x:c>
      <x:c r="U2276" s="1" t="str">
        <x:f>IF(A2276="","",IF(AND(M2276="Verified",N2276="Verified"),"Verified",IF(AND(M2276="Listed",N2276="Listed"),"Listed","Mixed")))</x:f>
        <x:v>Listed</x:v>
      </x:c>
      <x:c r="V2276" s="1" t="str">
        <x:f>IF(A2276="","",IF(AK2276&lt;&gt;1,"Duplicate source ID",IF(COUNTIFS('Staff Review'!$A$8:$A$507,A2276)&gt;1,"Duplicate review ID",IF(H2276&lt;&gt;"Yes","Outside scope",IF(J2276="Yes","Already served",IF(NOT(ISNUMBER(T2276)),"Missing data","Candidate"))))))</x:f>
        <x:v>Candidate</x:v>
      </x:c>
      <x:c r="W2276" s="1" t="n">
        <x:f>IF(AL2276=0,"",1+COUNTIFS($AL$2051:$AL$2550,1,$T$2051:$T$2550,"&gt;"&amp;T2276)+COUNTIFS($AL$2051:$AL$2550,1,$T$2051:$T$2550,T2276,$G$2051:$G$2550,"&gt;"&amp;G2276)+COUNTIFS($AL$2051:$AL$2550,1,$T$2051:$T$2550,T2276,$G$2051:$G$2550,G2276,$F$2051:$F$2550,"&gt;"&amp;F2276)+COUNTIFS($AL$2051:$AL$2550,1,$T$2051:$T$2550,T2276,$G$2051:$G$2550,G2276,$F$2051:$F$2550,F2276,$AM$2051:$AM$2550,"&lt;"&amp;AM2276))</x:f>
        <x:v>231</x:v>
      </x:c>
      <x:c r="X2276" s="1" t="n">
        <x:f>IF(AL2276=0,"",1+COUNTIFS($AL$2051:$AL$2550,1,$T$2051:$T$2550,"&gt;"&amp;T2276))</x:f>
        <x:v>221</x:v>
      </x:c>
      <x:c r="Y2276" s="1" t="n">
        <x:f>IF(AND(H2276="Yes",OR(LEN('School Search'!$B$5)=0,ISNUMBER(SEARCH('School Search'!$B$5,B2276&amp;" "&amp;E2276&amp;" "&amp;A2276))),OR('School Search'!$D$5="All",C2276='School Search'!$D$5),OR('School Search'!$G$5="All eligible",AND('School Search'!$G$5="Not marked served",J2276&lt;&gt;"Yes"),AND('School Search'!$G$5="Missing data",V2276="Missing data"),AND('School Search'!$G$5="Marked served",J2276="Yes"))),1,0)</x:f>
        <x:v>1</x:v>
      </x:c>
      <x:c r="Z2276" s="1" t="n">
        <x:f>IF(Y2276=0,"",COUNTIFS($Y$2051:$Y$2550,1,$AO$2051:$AO$2550,"&lt;"&amp;AO2276)+COUNTIFS($Y$2051:Y2276,1,$AO$2051:AO2276,AO2276))</x:f>
        <x:v>231</x:v>
      </x:c>
      <x:c r="AA2276" s="1" t="str">
        <x:f>IF(NOT(ISNUMBER(S2276)),"Missing demographic or access input",TEXT(G2276,"0%")&amp;" economic need; "&amp;TEXT(K2276,"0.00")&amp;" mi fresh access; "&amp;L2276&amp;" nearby resources")</x:f>
        <x:v>69% economic need; 0.61 mi fresh access; 9 nearby resources</x:v>
      </x:c>
      <x:c r="AB2276" s="1" t="n">
        <x:f>IF(OR(A2276="",COUNTIFS($A$1531:$A$2030,A2276)&lt;&gt;1),0,MATCH(A2276,$A$1531:$A$2030,0))</x:f>
        <x:v>226</x:v>
      </x:c>
      <x:c r="AC2276" s="1" t="str">
        <x:f>IF(AB2276=0,"",INDEX($E$1531:$E$2030,AB2276))</x:f>
        <x:v>ALDI 60011 60011</x:v>
      </x:c>
      <x:c r="AD2276" s="1" t="str">
        <x:f>IF(AB2276=0,"",INDEX($F$1531:$F$2030,AB2276))</x:f>
        <x:v>6119 N Broad St, Philadelphia, PA, 19141</x:v>
      </x:c>
      <x:c r="AE2276" s="1" t="str">
        <x:f>IF(A2276="","",F227)</x:f>
        <x:v>1400 W OLNEY AVE</x:v>
      </x:c>
      <x:c r="AF2276" s="1" t="n">
        <x:f>IF(ISNUMBER(I227),I227,"")</x:f>
        <x:v>40.0383142</x:v>
      </x:c>
      <x:c r="AG2276" s="1" t="n">
        <x:f>IF(ISNUMBER(J227),J227,"")</x:f>
        <x:v>-75.1460556</x:v>
      </x:c>
      <x:c r="AH2276" s="1" t="str">
        <x:f>IF(I2276=0,"Not contacted",IF(INDEX('Staff Review'!$J$8:$J$507,I2276)="","Not contacted",INDEX('Staff Review'!$J$8:$J$507,I2276)))</x:f>
        <x:v>Not contacted</x:v>
      </x:c>
      <x:c r="AI2276" s="1" t="str">
        <x:f>IF(I2276=0,"No",IF(AND(COUNT(INDEX('Staff Review'!$D$8:$D$507,I2276))=1,INDEX('Staff Review'!$D$8:$D$507,I2276)&gt;=0,COUNT(INDEX('Staff Review'!$E$8:$E$507,I2276))=1,INDEX('Staff Review'!$E$8:$E$507,I2276)&gt;0,INDEX('Staff Review'!$E$8:$E$507,I2276)&lt;='Top 15'!$E$5,'Top 15'!$E$5-INDEX('Staff Review'!$E$8:$E$507,I2276)&lt;='Top 15'!$H$5,LEN(INDEX('Staff Review'!$H$8:$H$507,I2276))&gt;0),"Yes","No"))</x:f>
        <x:v>No</x:v>
      </x:c>
      <x:c r="AJ2276" s="1" t="str">
        <x:f>IF(I2276=0,"No",IF(COUNT(INDEX('Staff Review'!$F$8:$F$507,I2276))&lt;&gt;1,"No",IF(AND(INDEX('Staff Review'!$F$8:$F$507,I2276)&gt;=0,MOD(INDEX('Staff Review'!$F$8:$F$507,I2276),1)=0,COUNT(INDEX('Staff Review'!$G$8:$G$507,I2276))=1,INDEX('Staff Review'!$G$8:$G$507,I2276)&gt;0,INDEX('Staff Review'!$G$8:$G$507,I2276)&lt;='Top 15'!$E$5,'Top 15'!$E$5-INDEX('Staff Review'!$G$8:$G$507,I2276)&lt;='Top 15'!$H$5,LEN(INDEX('Staff Review'!$H$8:$H$507,I2276))&gt;0),"Yes","No")))</x:f>
        <x:v>No</x:v>
      </x:c>
      <x:c r="AK2276" s="1" t="n">
        <x:f>IF(A2276="",0,COUNTIFS($A$2:$A$501,A2276))</x:f>
        <x:v>1</x:v>
      </x:c>
      <x:c r="AL2276" s="1" t="n">
        <x:f>IF(V2276="Candidate",1,0)</x:f>
        <x:v>1</x:v>
      </x:c>
      <x:c r="AM2276" s="1" t="n">
        <x:f>IF(A2276="",0,VALUE(A2276))</x:f>
        <x:v>6050</x:v>
      </x:c>
      <x:c r="AN2276" s="1" t="n">
        <x:f>IF(OR(A2276="",COUNTIFS($T$41:$T$540,A2276)&lt;&gt;1),0,MATCH(A2276,$T$41:$T$540,0))</x:f>
        <x:v>226</x:v>
      </x:c>
      <x:c r="AO2276" t="n">
        <x:f>IF(ISNUMBER(W2276),W2276,10000+AM2276)</x:f>
        <x:v>231</x:v>
      </x:c>
    </x:row>
    <x:row r="2277" ht="22" customHeight="1">
      <x:c r="A2277" s="1" t="str">
        <x:f>IF(A228="","",A228)</x:f>
        <x:v>6060</x:v>
      </x:c>
      <x:c r="B2277" s="1" t="str">
        <x:f>IF(A2277="","",B228)</x:f>
        <x:v>Martin Luther King High School</x:v>
      </x:c>
      <x:c r="C2277" s="1" t="str">
        <x:f>IF(A2277="","",C228)</x:f>
        <x:v>District</x:v>
      </x:c>
      <x:c r="D2277" s="1" t="str">
        <x:f>IF(A2277="","",E228)</x:f>
        <x:v>High</x:v>
      </x:c>
      <x:c r="E2277" s="1" t="str">
        <x:f>IF(A2277="","",H228)</x:f>
        <x:v>19138</x:v>
      </x:c>
      <x:c r="F2277" s="1" t="n">
        <x:f>IF(ISNUMBER(K228),K228,"")</x:f>
        <x:v>604</x:v>
      </x:c>
      <x:c r="G2277" s="1" t="n">
        <x:f>IF(ISNUMBER(L228),L228,"")</x:f>
        <x:v>0.8066</x:v>
      </x:c>
      <x:c r="H2277" s="1" t="str">
        <x:f>IF(A2277="","",IF(AND(UPPER(G228)="PHILADELPHIA",OR(C2277="District",AND(C2277="Charter",D228="Yes"))),"Yes","No"))</x:f>
        <x:v>Yes</x:v>
      </x:c>
      <x:c r="I2277" s="1" t="n">
        <x:f>IF(OR(A2277="",COUNTIFS('Staff Review'!$A$8:$A$507,A2277)&lt;&gt;1),0,MATCH(A2277,'Staff Review'!$A$8:$A$507,0))</x:f>
        <x:v>177</x:v>
      </x:c>
      <x:c r="J2277" s="1" t="str">
        <x:f>IF(I2277=0,"No",IF(INDEX('Staff Review'!$C$8:$C$507,I2277)="Yes","Yes","No"))</x:f>
        <x:v>No</x:v>
      </x:c>
      <x:c r="K2277" s="1" t="n">
        <x:f>IF(AI2277="Yes",INDEX('Staff Review'!$D$8:$D$507,I2277),IF(AB2277=0,"",IF(COUNT(INDEX($C$1531:$C$2030,AB2277))=1,INDEX($C$1531:$C$2030,AB2277),"")))</x:f>
        <x:v>0.7592437096211593</x:v>
      </x:c>
      <x:c r="L2277" s="1" t="n">
        <x:f>IF(AJ2277="Yes",INDEX('Staff Review'!$F$8:$F$507,I2277),IF(AB2277=0,"",IF(COUNT(INDEX($G$1531:$G$2030,AB2277))=1,INDEX($G$1531:$G$2030,AB2277),"")))</x:f>
        <x:v>9</x:v>
      </x:c>
      <x:c r="M2277" s="1" t="str">
        <x:f>IF(A2277="","",IF(AI2277="Yes","Verified","Listed"))</x:f>
        <x:v>Listed</x:v>
      </x:c>
      <x:c r="N2277" s="1" t="str">
        <x:f>IF(A2277="","",IF(AJ2277="Yes","Verified","Listed"))</x:f>
        <x:v>Listed</x:v>
      </x:c>
      <x:c r="O2277" s="1" t="n">
        <x:f>IF(AND(ISNUMBER(G2277),G2277&gt;=0,G2277&lt;=1),IF(G2277&gt;=0.9,30,IF(G2277&gt;=0.8,25,IF(G2277&gt;=0.7,20,IF(G2277&gt;=0.6,15,IF(G2277&gt;=0.5,10,IF(G2277&gt;=0.4,5,0)))))),"")</x:f>
        <x:v>25</x:v>
      </x:c>
      <x:c r="P2277" s="1" t="n">
        <x:f>IF(ISNUMBER(K2277),IF(K2277&lt;0,"",IF(K2277&gt;1,25,IF(K2277&gt;=0.75,20,IF(K2277&gt;=0.5,15,IF(K2277&gt;=0.25,10,5))))),"")</x:f>
        <x:v>20</x:v>
      </x:c>
      <x:c r="Q2277" s="1" t="n">
        <x:f>IF(NOT(ISNUMBER(L2277)),"",IF(AND(L2277&gt;=0,MOD(L2277,1)=0),MAX(0,25-5*L2277),""))</x:f>
        <x:v>0</x:v>
      </x:c>
      <x:c r="R2277" s="1" t="n">
        <x:f>IF(NOT(ISNUMBER(F2277)),"",IF(AND(F2277&gt;0,MOD(F2277,1)=0),IF(F2277&gt;=700,5,IF(F2277&gt;=500,4,IF(F2277&gt;=350,3,IF(F2277&gt;=200,2,1)))),""))</x:f>
        <x:v>4</x:v>
      </x:c>
      <x:c r="S2277" s="1" t="n">
        <x:f>IF(COUNT(O2277:R2277)=4,SUM(O2277:R2277),"")</x:f>
        <x:v>49</x:v>
      </x:c>
      <x:c r="T2277" s="1" t="n">
        <x:f>IF(OR(COUNT(O2277:R2277)&lt;&gt;4,COUNT('Top 15'!$B$35:$E$35)&lt;&gt;4,MIN('Top 15'!$B$35:$E$35)&lt;0,SUM('Top 15'!$B$35:$E$35)&lt;=0),"",ROUND(85*(O2277/30*'Top 15'!$B$35+P2277/25*'Top 15'!$C$35+Q2277/25*'Top 15'!$D$35+R2277/5*'Top 15'!$E$35)/SUM('Top 15'!$B$35:$E$35),6))</x:f>
        <x:v>49</x:v>
      </x:c>
      <x:c r="U2277" s="1" t="str">
        <x:f>IF(A2277="","",IF(AND(M2277="Verified",N2277="Verified"),"Verified",IF(AND(M2277="Listed",N2277="Listed"),"Listed","Mixed")))</x:f>
        <x:v>Listed</x:v>
      </x:c>
      <x:c r="V2277" s="1" t="str">
        <x:f>IF(A2277="","",IF(AK2277&lt;&gt;1,"Duplicate source ID",IF(COUNTIFS('Staff Review'!$A$8:$A$507,A2277)&gt;1,"Duplicate review ID",IF(H2277&lt;&gt;"Yes","Outside scope",IF(J2277="Yes","Already served",IF(NOT(ISNUMBER(T2277)),"Missing data","Candidate"))))))</x:f>
        <x:v>Candidate</x:v>
      </x:c>
      <x:c r="W2277" s="1" t="n">
        <x:f>IF(AL2277=0,"",1+COUNTIFS($AL$2051:$AL$2550,1,$T$2051:$T$2550,"&gt;"&amp;T2277)+COUNTIFS($AL$2051:$AL$2550,1,$T$2051:$T$2550,T2277,$G$2051:$G$2550,"&gt;"&amp;G2277)+COUNTIFS($AL$2051:$AL$2550,1,$T$2051:$T$2550,T2277,$G$2051:$G$2550,G2277,$F$2051:$F$2550,"&gt;"&amp;F2277)+COUNTIFS($AL$2051:$AL$2550,1,$T$2051:$T$2550,T2277,$G$2051:$G$2550,G2277,$F$2051:$F$2550,F2277,$AM$2051:$AM$2550,"&lt;"&amp;AM2277))</x:f>
        <x:v>52</x:v>
      </x:c>
      <x:c r="X2277" s="1" t="n">
        <x:f>IF(AL2277=0,"",1+COUNTIFS($AL$2051:$AL$2550,1,$T$2051:$T$2550,"&gt;"&amp;T2277))</x:f>
        <x:v>46</x:v>
      </x:c>
      <x:c r="Y2277" s="1" t="n">
        <x:f>IF(AND(H2277="Yes",OR(LEN('School Search'!$B$5)=0,ISNUMBER(SEARCH('School Search'!$B$5,B2277&amp;" "&amp;E2277&amp;" "&amp;A2277))),OR('School Search'!$D$5="All",C2277='School Search'!$D$5),OR('School Search'!$G$5="All eligible",AND('School Search'!$G$5="Not marked served",J2277&lt;&gt;"Yes"),AND('School Search'!$G$5="Missing data",V2277="Missing data"),AND('School Search'!$G$5="Marked served",J2277="Yes"))),1,0)</x:f>
        <x:v>1</x:v>
      </x:c>
      <x:c r="Z2277" s="1" t="n">
        <x:f>IF(Y2277=0,"",COUNTIFS($Y$2051:$Y$2550,1,$AO$2051:$AO$2550,"&lt;"&amp;AO2277)+COUNTIFS($Y$2051:Y2277,1,$AO$2051:AO2277,AO2277))</x:f>
        <x:v>52</x:v>
      </x:c>
      <x:c r="AA2277" s="1" t="str">
        <x:f>IF(NOT(ISNUMBER(S2277)),"Missing demographic or access input",TEXT(G2277,"0%")&amp;" economic need; "&amp;TEXT(K2277,"0.00")&amp;" mi fresh access; "&amp;L2277&amp;" nearby resources")</x:f>
        <x:v>81% economic need; 0.76 mi fresh access; 9 nearby resources</x:v>
      </x:c>
      <x:c r="AB2277" s="1" t="n">
        <x:f>IF(OR(A2277="",COUNTIFS($A$1531:$A$2030,A2277)&lt;&gt;1),0,MATCH(A2277,$A$1531:$A$2030,0))</x:f>
        <x:v>227</x:v>
      </x:c>
      <x:c r="AC2277" s="1" t="str">
        <x:f>IF(AB2277=0,"",INDEX($E$1531:$E$2030,AB2277))</x:f>
        <x:v>Save A Lot 45141</x:v>
      </x:c>
      <x:c r="AD2277" s="1" t="str">
        <x:f>IF(AB2277=0,"",INDEX($F$1531:$F$2030,AB2277))</x:f>
        <x:v>6301 Chew Ave, Philadelphia, PA, 19138</x:v>
      </x:c>
      <x:c r="AE2277" s="1" t="str">
        <x:f>IF(A2277="","",F228)</x:f>
        <x:v>6100 STENTON AVE</x:v>
      </x:c>
      <x:c r="AF2277" s="1" t="n">
        <x:f>IF(ISNUMBER(I228),I228,"")</x:f>
        <x:v>40.05756238</x:v>
      </x:c>
      <x:c r="AG2277" s="1" t="n">
        <x:f>IF(ISNUMBER(J228),J228,"")</x:f>
        <x:v>-75.16217184</x:v>
      </x:c>
      <x:c r="AH2277" s="1" t="str">
        <x:f>IF(I2277=0,"Not contacted",IF(INDEX('Staff Review'!$J$8:$J$507,I2277)="","Not contacted",INDEX('Staff Review'!$J$8:$J$507,I2277)))</x:f>
        <x:v>Not contacted</x:v>
      </x:c>
      <x:c r="AI2277" s="1" t="str">
        <x:f>IF(I2277=0,"No",IF(AND(COUNT(INDEX('Staff Review'!$D$8:$D$507,I2277))=1,INDEX('Staff Review'!$D$8:$D$507,I2277)&gt;=0,COUNT(INDEX('Staff Review'!$E$8:$E$507,I2277))=1,INDEX('Staff Review'!$E$8:$E$507,I2277)&gt;0,INDEX('Staff Review'!$E$8:$E$507,I2277)&lt;='Top 15'!$E$5,'Top 15'!$E$5-INDEX('Staff Review'!$E$8:$E$507,I2277)&lt;='Top 15'!$H$5,LEN(INDEX('Staff Review'!$H$8:$H$507,I2277))&gt;0),"Yes","No"))</x:f>
        <x:v>No</x:v>
      </x:c>
      <x:c r="AJ2277" s="1" t="str">
        <x:f>IF(I2277=0,"No",IF(COUNT(INDEX('Staff Review'!$F$8:$F$507,I2277))&lt;&gt;1,"No",IF(AND(INDEX('Staff Review'!$F$8:$F$507,I2277)&gt;=0,MOD(INDEX('Staff Review'!$F$8:$F$507,I2277),1)=0,COUNT(INDEX('Staff Review'!$G$8:$G$507,I2277))=1,INDEX('Staff Review'!$G$8:$G$507,I2277)&gt;0,INDEX('Staff Review'!$G$8:$G$507,I2277)&lt;='Top 15'!$E$5,'Top 15'!$E$5-INDEX('Staff Review'!$G$8:$G$507,I2277)&lt;='Top 15'!$H$5,LEN(INDEX('Staff Review'!$H$8:$H$507,I2277))&gt;0),"Yes","No")))</x:f>
        <x:v>No</x:v>
      </x:c>
      <x:c r="AK2277" s="1" t="n">
        <x:f>IF(A2277="",0,COUNTIFS($A$2:$A$501,A2277))</x:f>
        <x:v>1</x:v>
      </x:c>
      <x:c r="AL2277" s="1" t="n">
        <x:f>IF(V2277="Candidate",1,0)</x:f>
        <x:v>1</x:v>
      </x:c>
      <x:c r="AM2277" s="1" t="n">
        <x:f>IF(A2277="",0,VALUE(A2277))</x:f>
        <x:v>6060</x:v>
      </x:c>
      <x:c r="AN2277" s="1" t="n">
        <x:f>IF(OR(A2277="",COUNTIFS($T$41:$T$540,A2277)&lt;&gt;1),0,MATCH(A2277,$T$41:$T$540,0))</x:f>
        <x:v>227</x:v>
      </x:c>
      <x:c r="AO2277" t="n">
        <x:f>IF(ISNUMBER(W2277),W2277,10000+AM2277)</x:f>
        <x:v>52</x:v>
      </x:c>
    </x:row>
    <x:row r="2278" ht="22" customHeight="1">
      <x:c r="A2278" s="1" t="str">
        <x:f>IF(A229="","",A229)</x:f>
        <x:v>6090</x:v>
      </x:c>
      <x:c r="B2278" s="1" t="str">
        <x:f>IF(A2278="","",B229)</x:f>
        <x:v>A. Philip Randolph Career and Technical High School</x:v>
      </x:c>
      <x:c r="C2278" s="1" t="str">
        <x:f>IF(A2278="","",C229)</x:f>
        <x:v>District</x:v>
      </x:c>
      <x:c r="D2278" s="1" t="str">
        <x:f>IF(A2278="","",E229)</x:f>
        <x:v>High</x:v>
      </x:c>
      <x:c r="E2278" s="1" t="str">
        <x:f>IF(A2278="","",H229)</x:f>
        <x:v>19129</x:v>
      </x:c>
      <x:c r="F2278" s="1" t="n">
        <x:f>IF(ISNUMBER(K229),K229,"")</x:f>
        <x:v>403</x:v>
      </x:c>
      <x:c r="G2278" s="1" t="n">
        <x:f>IF(ISNUMBER(L229),L229,"")</x:f>
        <x:v>0.8947</x:v>
      </x:c>
      <x:c r="H2278" s="1" t="str">
        <x:f>IF(A2278="","",IF(AND(UPPER(G229)="PHILADELPHIA",OR(C2278="District",AND(C2278="Charter",D229="Yes"))),"Yes","No"))</x:f>
        <x:v>Yes</x:v>
      </x:c>
      <x:c r="I2278" s="1" t="n">
        <x:f>IF(OR(A2278="",COUNTIFS('Staff Review'!$A$8:$A$507,A2278)&lt;&gt;1),0,MATCH(A2278,'Staff Review'!$A$8:$A$507,0))</x:f>
        <x:v>1</x:v>
      </x:c>
      <x:c r="J2278" s="1" t="str">
        <x:f>IF(I2278=0,"No",IF(INDEX('Staff Review'!$C$8:$C$507,I2278)="Yes","Yes","No"))</x:f>
        <x:v>No</x:v>
      </x:c>
      <x:c r="K2278" s="1" t="n">
        <x:f>IF(AI2278="Yes",INDEX('Staff Review'!$D$8:$D$507,I2278),IF(AB2278=0,"",IF(COUNT(INDEX($C$1531:$C$2030,AB2278))=1,INDEX($C$1531:$C$2030,AB2278),"")))</x:f>
        <x:v>0.29480313408940284</x:v>
      </x:c>
      <x:c r="L2278" s="1" t="n">
        <x:f>IF(AJ2278="Yes",INDEX('Staff Review'!$F$8:$F$507,I2278),IF(AB2278=0,"",IF(COUNT(INDEX($G$1531:$G$2030,AB2278))=1,INDEX($G$1531:$G$2030,AB2278),"")))</x:f>
        <x:v>6</x:v>
      </x:c>
      <x:c r="M2278" s="1" t="str">
        <x:f>IF(A2278="","",IF(AI2278="Yes","Verified","Listed"))</x:f>
        <x:v>Listed</x:v>
      </x:c>
      <x:c r="N2278" s="1" t="str">
        <x:f>IF(A2278="","",IF(AJ2278="Yes","Verified","Listed"))</x:f>
        <x:v>Listed</x:v>
      </x:c>
      <x:c r="O2278" s="1" t="n">
        <x:f>IF(AND(ISNUMBER(G2278),G2278&gt;=0,G2278&lt;=1),IF(G2278&gt;=0.9,30,IF(G2278&gt;=0.8,25,IF(G2278&gt;=0.7,20,IF(G2278&gt;=0.6,15,IF(G2278&gt;=0.5,10,IF(G2278&gt;=0.4,5,0)))))),"")</x:f>
        <x:v>25</x:v>
      </x:c>
      <x:c r="P2278" s="1" t="n">
        <x:f>IF(ISNUMBER(K2278),IF(K2278&lt;0,"",IF(K2278&gt;1,25,IF(K2278&gt;=0.75,20,IF(K2278&gt;=0.5,15,IF(K2278&gt;=0.25,10,5))))),"")</x:f>
        <x:v>10</x:v>
      </x:c>
      <x:c r="Q2278" s="1" t="n">
        <x:f>IF(NOT(ISNUMBER(L2278)),"",IF(AND(L2278&gt;=0,MOD(L2278,1)=0),MAX(0,25-5*L2278),""))</x:f>
        <x:v>0</x:v>
      </x:c>
      <x:c r="R2278" s="1" t="n">
        <x:f>IF(NOT(ISNUMBER(F2278)),"",IF(AND(F2278&gt;0,MOD(F2278,1)=0),IF(F2278&gt;=700,5,IF(F2278&gt;=500,4,IF(F2278&gt;=350,3,IF(F2278&gt;=200,2,1)))),""))</x:f>
        <x:v>3</x:v>
      </x:c>
      <x:c r="S2278" s="1" t="n">
        <x:f>IF(COUNT(O2278:R2278)=4,SUM(O2278:R2278),"")</x:f>
        <x:v>38</x:v>
      </x:c>
      <x:c r="T2278" s="1" t="n">
        <x:f>IF(OR(COUNT(O2278:R2278)&lt;&gt;4,COUNT('Top 15'!$B$35:$E$35)&lt;&gt;4,MIN('Top 15'!$B$35:$E$35)&lt;0,SUM('Top 15'!$B$35:$E$35)&lt;=0),"",ROUND(85*(O2278/30*'Top 15'!$B$35+P2278/25*'Top 15'!$C$35+Q2278/25*'Top 15'!$D$35+R2278/5*'Top 15'!$E$35)/SUM('Top 15'!$B$35:$E$35),6))</x:f>
        <x:v>38</x:v>
      </x:c>
      <x:c r="U2278" s="1" t="str">
        <x:f>IF(A2278="","",IF(AND(M2278="Verified",N2278="Verified"),"Verified",IF(AND(M2278="Listed",N2278="Listed"),"Listed","Mixed")))</x:f>
        <x:v>Listed</x:v>
      </x:c>
      <x:c r="V2278" s="1" t="str">
        <x:f>IF(A2278="","",IF(AK2278&lt;&gt;1,"Duplicate source ID",IF(COUNTIFS('Staff Review'!$A$8:$A$507,A2278)&gt;1,"Duplicate review ID",IF(H2278&lt;&gt;"Yes","Outside scope",IF(J2278="Yes","Already served",IF(NOT(ISNUMBER(T2278)),"Missing data","Candidate"))))))</x:f>
        <x:v>Candidate</x:v>
      </x:c>
      <x:c r="W2278" s="1" t="n">
        <x:f>IF(AL2278=0,"",1+COUNTIFS($AL$2051:$AL$2550,1,$T$2051:$T$2550,"&gt;"&amp;T2278)+COUNTIFS($AL$2051:$AL$2550,1,$T$2051:$T$2550,T2278,$G$2051:$G$2550,"&gt;"&amp;G2278)+COUNTIFS($AL$2051:$AL$2550,1,$T$2051:$T$2550,T2278,$G$2051:$G$2550,G2278,$F$2051:$F$2550,"&gt;"&amp;F2278)+COUNTIFS($AL$2051:$AL$2550,1,$T$2051:$T$2550,T2278,$G$2051:$G$2550,G2278,$F$2051:$F$2550,F2278,$AM$2051:$AM$2550,"&lt;"&amp;AM2278))</x:f>
        <x:v>170</x:v>
      </x:c>
      <x:c r="X2278" s="1" t="n">
        <x:f>IF(AL2278=0,"",1+COUNTIFS($AL$2051:$AL$2550,1,$T$2051:$T$2550,"&gt;"&amp;T2278))</x:f>
        <x:v>166</x:v>
      </x:c>
      <x:c r="Y2278" s="1" t="n">
        <x:f>IF(AND(H2278="Yes",OR(LEN('School Search'!$B$5)=0,ISNUMBER(SEARCH('School Search'!$B$5,B2278&amp;" "&amp;E2278&amp;" "&amp;A2278))),OR('School Search'!$D$5="All",C2278='School Search'!$D$5),OR('School Search'!$G$5="All eligible",AND('School Search'!$G$5="Not marked served",J2278&lt;&gt;"Yes"),AND('School Search'!$G$5="Missing data",V2278="Missing data"),AND('School Search'!$G$5="Marked served",J2278="Yes"))),1,0)</x:f>
        <x:v>1</x:v>
      </x:c>
      <x:c r="Z2278" s="1" t="n">
        <x:f>IF(Y2278=0,"",COUNTIFS($Y$2051:$Y$2550,1,$AO$2051:$AO$2550,"&lt;"&amp;AO2278)+COUNTIFS($Y$2051:Y2278,1,$AO$2051:AO2278,AO2278))</x:f>
        <x:v>170</x:v>
      </x:c>
      <x:c r="AA2278" s="1" t="str">
        <x:f>IF(NOT(ISNUMBER(S2278)),"Missing demographic or access input",TEXT(G2278,"0%")&amp;" economic need; "&amp;TEXT(K2278,"0.00")&amp;" mi fresh access; "&amp;L2278&amp;" nearby resources")</x:f>
        <x:v>89% economic need; 0.29 mi fresh access; 6 nearby resources</x:v>
      </x:c>
      <x:c r="AB2278" s="1" t="n">
        <x:f>IF(OR(A2278="",COUNTIFS($A$1531:$A$2030,A2278)&lt;&gt;1),0,MATCH(A2278,$A$1531:$A$2030,0))</x:f>
        <x:v>228</x:v>
      </x:c>
      <x:c r="AC2278" s="1" t="str">
        <x:f>IF(AB2278=0,"",INDEX($E$1531:$E$2030,AB2278))</x:f>
        <x:v>Shoprite of Fox Street 430</x:v>
      </x:c>
      <x:c r="AD2278" s="1" t="str">
        <x:f>IF(AB2278=0,"",INDEX($F$1531:$F$2030,AB2278))</x:f>
        <x:v>2800 Fox Street, Philadelphia, PA, 19129</x:v>
      </x:c>
      <x:c r="AE2278" s="1" t="str">
        <x:f>IF(A2278="","",F229)</x:f>
        <x:v>3101 HENRY AVE</x:v>
      </x:c>
      <x:c r="AF2278" s="1" t="n">
        <x:f>IF(ISNUMBER(I229),I229,"")</x:f>
        <x:v>40.008504</x:v>
      </x:c>
      <x:c r="AG2278" s="1" t="n">
        <x:f>IF(ISNUMBER(J229),J229,"")</x:f>
        <x:v>-75.179609</x:v>
      </x:c>
      <x:c r="AH2278" s="1" t="str">
        <x:f>IF(I2278=0,"Not contacted",IF(INDEX('Staff Review'!$J$8:$J$507,I2278)="","Not contacted",INDEX('Staff Review'!$J$8:$J$507,I2278)))</x:f>
        <x:v>Not contacted</x:v>
      </x:c>
      <x:c r="AI2278" s="1" t="str">
        <x:f>IF(I2278=0,"No",IF(AND(COUNT(INDEX('Staff Review'!$D$8:$D$507,I2278))=1,INDEX('Staff Review'!$D$8:$D$507,I2278)&gt;=0,COUNT(INDEX('Staff Review'!$E$8:$E$507,I2278))=1,INDEX('Staff Review'!$E$8:$E$507,I2278)&gt;0,INDEX('Staff Review'!$E$8:$E$507,I2278)&lt;='Top 15'!$E$5,'Top 15'!$E$5-INDEX('Staff Review'!$E$8:$E$507,I2278)&lt;='Top 15'!$H$5,LEN(INDEX('Staff Review'!$H$8:$H$507,I2278))&gt;0),"Yes","No"))</x:f>
        <x:v>No</x:v>
      </x:c>
      <x:c r="AJ2278" s="1" t="str">
        <x:f>IF(I2278=0,"No",IF(COUNT(INDEX('Staff Review'!$F$8:$F$507,I2278))&lt;&gt;1,"No",IF(AND(INDEX('Staff Review'!$F$8:$F$507,I2278)&gt;=0,MOD(INDEX('Staff Review'!$F$8:$F$507,I2278),1)=0,COUNT(INDEX('Staff Review'!$G$8:$G$507,I2278))=1,INDEX('Staff Review'!$G$8:$G$507,I2278)&gt;0,INDEX('Staff Review'!$G$8:$G$507,I2278)&lt;='Top 15'!$E$5,'Top 15'!$E$5-INDEX('Staff Review'!$G$8:$G$507,I2278)&lt;='Top 15'!$H$5,LEN(INDEX('Staff Review'!$H$8:$H$507,I2278))&gt;0),"Yes","No")))</x:f>
        <x:v>No</x:v>
      </x:c>
      <x:c r="AK2278" s="1" t="n">
        <x:f>IF(A2278="",0,COUNTIFS($A$2:$A$501,A2278))</x:f>
        <x:v>1</x:v>
      </x:c>
      <x:c r="AL2278" s="1" t="n">
        <x:f>IF(V2278="Candidate",1,0)</x:f>
        <x:v>1</x:v>
      </x:c>
      <x:c r="AM2278" s="1" t="n">
        <x:f>IF(A2278="",0,VALUE(A2278))</x:f>
        <x:v>6090</x:v>
      </x:c>
      <x:c r="AN2278" s="1" t="n">
        <x:f>IF(OR(A2278="",COUNTIFS($T$41:$T$540,A2278)&lt;&gt;1),0,MATCH(A2278,$T$41:$T$540,0))</x:f>
        <x:v>228</x:v>
      </x:c>
      <x:c r="AO2278" t="n">
        <x:f>IF(ISNUMBER(W2278),W2278,10000+AM2278)</x:f>
        <x:v>170</x:v>
      </x:c>
    </x:row>
    <x:row r="2279" ht="22" customHeight="1">
      <x:c r="A2279" s="1" t="str">
        <x:f>IF(A230="","",A230)</x:f>
        <x:v>6200</x:v>
      </x:c>
      <x:c r="B2279" s="1" t="str">
        <x:f>IF(A2279="","",B230)</x:f>
        <x:v>Anna B. Day School</x:v>
      </x:c>
      <x:c r="C2279" s="1" t="str">
        <x:f>IF(A2279="","",C230)</x:f>
        <x:v>District</x:v>
      </x:c>
      <x:c r="D2279" s="1" t="str">
        <x:f>IF(A2279="","",E230)</x:f>
        <x:v>Elementary-Middle</x:v>
      </x:c>
      <x:c r="E2279" s="1" t="str">
        <x:f>IF(A2279="","",H230)</x:f>
        <x:v>19138</x:v>
      </x:c>
      <x:c r="F2279" s="1" t="n">
        <x:f>IF(ISNUMBER(K230),K230,"")</x:f>
        <x:v>289</x:v>
      </x:c>
      <x:c r="G2279" s="1" t="n">
        <x:f>IF(ISNUMBER(L230),L230,"")</x:f>
        <x:v>0.825</x:v>
      </x:c>
      <x:c r="H2279" s="1" t="str">
        <x:f>IF(A2279="","",IF(AND(UPPER(G230)="PHILADELPHIA",OR(C2279="District",AND(C2279="Charter",D230="Yes"))),"Yes","No"))</x:f>
        <x:v>Yes</x:v>
      </x:c>
      <x:c r="I2279" s="1" t="n">
        <x:f>IF(OR(A2279="",COUNTIFS('Staff Review'!$A$8:$A$507,A2279)&lt;&gt;1),0,MATCH(A2279,'Staff Review'!$A$8:$A$507,0))</x:f>
        <x:v>20</x:v>
      </x:c>
      <x:c r="J2279" s="1" t="str">
        <x:f>IF(I2279=0,"No",IF(INDEX('Staff Review'!$C$8:$C$507,I2279)="Yes","Yes","No"))</x:f>
        <x:v>No</x:v>
      </x:c>
      <x:c r="K2279" s="1" t="n">
        <x:f>IF(AI2279="Yes",INDEX('Staff Review'!$D$8:$D$507,I2279),IF(AB2279=0,"",IF(COUNT(INDEX($C$1531:$C$2030,AB2279))=1,INDEX($C$1531:$C$2030,AB2279),"")))</x:f>
        <x:v>0.5910479060218042</x:v>
      </x:c>
      <x:c r="L2279" s="1" t="n">
        <x:f>IF(AJ2279="Yes",INDEX('Staff Review'!$F$8:$F$507,I2279),IF(AB2279=0,"",IF(COUNT(INDEX($G$1531:$G$2030,AB2279))=1,INDEX($G$1531:$G$2030,AB2279),"")))</x:f>
        <x:v>10</x:v>
      </x:c>
      <x:c r="M2279" s="1" t="str">
        <x:f>IF(A2279="","",IF(AI2279="Yes","Verified","Listed"))</x:f>
        <x:v>Listed</x:v>
      </x:c>
      <x:c r="N2279" s="1" t="str">
        <x:f>IF(A2279="","",IF(AJ2279="Yes","Verified","Listed"))</x:f>
        <x:v>Listed</x:v>
      </x:c>
      <x:c r="O2279" s="1" t="n">
        <x:f>IF(AND(ISNUMBER(G2279),G2279&gt;=0,G2279&lt;=1),IF(G2279&gt;=0.9,30,IF(G2279&gt;=0.8,25,IF(G2279&gt;=0.7,20,IF(G2279&gt;=0.6,15,IF(G2279&gt;=0.5,10,IF(G2279&gt;=0.4,5,0)))))),"")</x:f>
        <x:v>25</x:v>
      </x:c>
      <x:c r="P2279" s="1" t="n">
        <x:f>IF(ISNUMBER(K2279),IF(K2279&lt;0,"",IF(K2279&gt;1,25,IF(K2279&gt;=0.75,20,IF(K2279&gt;=0.5,15,IF(K2279&gt;=0.25,10,5))))),"")</x:f>
        <x:v>15</x:v>
      </x:c>
      <x:c r="Q2279" s="1" t="n">
        <x:f>IF(NOT(ISNUMBER(L2279)),"",IF(AND(L2279&gt;=0,MOD(L2279,1)=0),MAX(0,25-5*L2279),""))</x:f>
        <x:v>0</x:v>
      </x:c>
      <x:c r="R2279" s="1" t="n">
        <x:f>IF(NOT(ISNUMBER(F2279)),"",IF(AND(F2279&gt;0,MOD(F2279,1)=0),IF(F2279&gt;=700,5,IF(F2279&gt;=500,4,IF(F2279&gt;=350,3,IF(F2279&gt;=200,2,1)))),""))</x:f>
        <x:v>2</x:v>
      </x:c>
      <x:c r="S2279" s="1" t="n">
        <x:f>IF(COUNT(O2279:R2279)=4,SUM(O2279:R2279),"")</x:f>
        <x:v>42</x:v>
      </x:c>
      <x:c r="T2279" s="1" t="n">
        <x:f>IF(OR(COUNT(O2279:R2279)&lt;&gt;4,COUNT('Top 15'!$B$35:$E$35)&lt;&gt;4,MIN('Top 15'!$B$35:$E$35)&lt;0,SUM('Top 15'!$B$35:$E$35)&lt;=0),"",ROUND(85*(O2279/30*'Top 15'!$B$35+P2279/25*'Top 15'!$C$35+Q2279/25*'Top 15'!$D$35+R2279/5*'Top 15'!$E$35)/SUM('Top 15'!$B$35:$E$35),6))</x:f>
        <x:v>42</x:v>
      </x:c>
      <x:c r="U2279" s="1" t="str">
        <x:f>IF(A2279="","",IF(AND(M2279="Verified",N2279="Verified"),"Verified",IF(AND(M2279="Listed",N2279="Listed"),"Listed","Mixed")))</x:f>
        <x:v>Listed</x:v>
      </x:c>
      <x:c r="V2279" s="1" t="str">
        <x:f>IF(A2279="","",IF(AK2279&lt;&gt;1,"Duplicate source ID",IF(COUNTIFS('Staff Review'!$A$8:$A$507,A2279)&gt;1,"Duplicate review ID",IF(H2279&lt;&gt;"Yes","Outside scope",IF(J2279="Yes","Already served",IF(NOT(ISNUMBER(T2279)),"Missing data","Candidate"))))))</x:f>
        <x:v>Candidate</x:v>
      </x:c>
      <x:c r="W2279" s="1" t="n">
        <x:f>IF(AL2279=0,"",1+COUNTIFS($AL$2051:$AL$2550,1,$T$2051:$T$2550,"&gt;"&amp;T2279)+COUNTIFS($AL$2051:$AL$2550,1,$T$2051:$T$2550,T2279,$G$2051:$G$2550,"&gt;"&amp;G2279)+COUNTIFS($AL$2051:$AL$2550,1,$T$2051:$T$2550,T2279,$G$2051:$G$2550,G2279,$F$2051:$F$2550,"&gt;"&amp;F2279)+COUNTIFS($AL$2051:$AL$2550,1,$T$2051:$T$2550,T2279,$G$2051:$G$2550,G2279,$F$2051:$F$2550,F2279,$AM$2051:$AM$2550,"&lt;"&amp;AM2279))</x:f>
        <x:v>123</x:v>
      </x:c>
      <x:c r="X2279" s="1" t="n">
        <x:f>IF(AL2279=0,"",1+COUNTIFS($AL$2051:$AL$2550,1,$T$2051:$T$2550,"&gt;"&amp;T2279))</x:f>
        <x:v>101</x:v>
      </x:c>
      <x:c r="Y2279" s="1" t="n">
        <x:f>IF(AND(H2279="Yes",OR(LEN('School Search'!$B$5)=0,ISNUMBER(SEARCH('School Search'!$B$5,B2279&amp;" "&amp;E2279&amp;" "&amp;A2279))),OR('School Search'!$D$5="All",C2279='School Search'!$D$5),OR('School Search'!$G$5="All eligible",AND('School Search'!$G$5="Not marked served",J2279&lt;&gt;"Yes"),AND('School Search'!$G$5="Missing data",V2279="Missing data"),AND('School Search'!$G$5="Marked served",J2279="Yes"))),1,0)</x:f>
        <x:v>1</x:v>
      </x:c>
      <x:c r="Z2279" s="1" t="n">
        <x:f>IF(Y2279=0,"",COUNTIFS($Y$2051:$Y$2550,1,$AO$2051:$AO$2550,"&lt;"&amp;AO2279)+COUNTIFS($Y$2051:Y2279,1,$AO$2051:AO2279,AO2279))</x:f>
        <x:v>123</x:v>
      </x:c>
      <x:c r="AA2279" s="1" t="str">
        <x:f>IF(NOT(ISNUMBER(S2279)),"Missing demographic or access input",TEXT(G2279,"0%")&amp;" economic need; "&amp;TEXT(K2279,"0.00")&amp;" mi fresh access; "&amp;L2279&amp;" nearby resources")</x:f>
        <x:v>83% economic need; 0.59 mi fresh access; 10 nearby resources</x:v>
      </x:c>
      <x:c r="AB2279" s="1" t="n">
        <x:f>IF(OR(A2279="",COUNTIFS($A$1531:$A$2030,A2279)&lt;&gt;1),0,MATCH(A2279,$A$1531:$A$2030,0))</x:f>
        <x:v>229</x:v>
      </x:c>
      <x:c r="AC2279" s="1" t="str">
        <x:f>IF(AB2279=0,"",INDEX($E$1531:$E$2030,AB2279))</x:f>
        <x:v>Save A Lot 45141</x:v>
      </x:c>
      <x:c r="AD2279" s="1" t="str">
        <x:f>IF(AB2279=0,"",INDEX($F$1531:$F$2030,AB2279))</x:f>
        <x:v>6301 Chew Ave, Philadelphia, PA, 19138</x:v>
      </x:c>
      <x:c r="AE2279" s="1" t="str">
        <x:f>IF(A2279="","",F230)</x:f>
        <x:v>6324 CRITTENDEN ST</x:v>
      </x:c>
      <x:c r="AF2279" s="1" t="n">
        <x:f>IF(ISNUMBER(I230),I230,"")</x:f>
        <x:v>40.05840682</x:v>
      </x:c>
      <x:c r="AG2279" s="1" t="n">
        <x:f>IF(ISNUMBER(J230),J230,"")</x:f>
        <x:v>-75.16833464</x:v>
      </x:c>
      <x:c r="AH2279" s="1" t="str">
        <x:f>IF(I2279=0,"Not contacted",IF(INDEX('Staff Review'!$J$8:$J$507,I2279)="","Not contacted",INDEX('Staff Review'!$J$8:$J$507,I2279)))</x:f>
        <x:v>Not contacted</x:v>
      </x:c>
      <x:c r="AI2279" s="1" t="str">
        <x:f>IF(I2279=0,"No",IF(AND(COUNT(INDEX('Staff Review'!$D$8:$D$507,I2279))=1,INDEX('Staff Review'!$D$8:$D$507,I2279)&gt;=0,COUNT(INDEX('Staff Review'!$E$8:$E$507,I2279))=1,INDEX('Staff Review'!$E$8:$E$507,I2279)&gt;0,INDEX('Staff Review'!$E$8:$E$507,I2279)&lt;='Top 15'!$E$5,'Top 15'!$E$5-INDEX('Staff Review'!$E$8:$E$507,I2279)&lt;='Top 15'!$H$5,LEN(INDEX('Staff Review'!$H$8:$H$507,I2279))&gt;0),"Yes","No"))</x:f>
        <x:v>No</x:v>
      </x:c>
      <x:c r="AJ2279" s="1" t="str">
        <x:f>IF(I2279=0,"No",IF(COUNT(INDEX('Staff Review'!$F$8:$F$507,I2279))&lt;&gt;1,"No",IF(AND(INDEX('Staff Review'!$F$8:$F$507,I2279)&gt;=0,MOD(INDEX('Staff Review'!$F$8:$F$507,I2279),1)=0,COUNT(INDEX('Staff Review'!$G$8:$G$507,I2279))=1,INDEX('Staff Review'!$G$8:$G$507,I2279)&gt;0,INDEX('Staff Review'!$G$8:$G$507,I2279)&lt;='Top 15'!$E$5,'Top 15'!$E$5-INDEX('Staff Review'!$G$8:$G$507,I2279)&lt;='Top 15'!$H$5,LEN(INDEX('Staff Review'!$H$8:$H$507,I2279))&gt;0),"Yes","No")))</x:f>
        <x:v>No</x:v>
      </x:c>
      <x:c r="AK2279" s="1" t="n">
        <x:f>IF(A2279="",0,COUNTIFS($A$2:$A$501,A2279))</x:f>
        <x:v>1</x:v>
      </x:c>
      <x:c r="AL2279" s="1" t="n">
        <x:f>IF(V2279="Candidate",1,0)</x:f>
        <x:v>1</x:v>
      </x:c>
      <x:c r="AM2279" s="1" t="n">
        <x:f>IF(A2279="",0,VALUE(A2279))</x:f>
        <x:v>6200</x:v>
      </x:c>
      <x:c r="AN2279" s="1" t="n">
        <x:f>IF(OR(A2279="",COUNTIFS($T$41:$T$540,A2279)&lt;&gt;1),0,MATCH(A2279,$T$41:$T$540,0))</x:f>
        <x:v>229</x:v>
      </x:c>
      <x:c r="AO2279" t="n">
        <x:f>IF(ISNUMBER(W2279),W2279,10000+AM2279)</x:f>
        <x:v>123</x:v>
      </x:c>
    </x:row>
    <x:row r="2280" ht="22" customHeight="1">
      <x:c r="A2280" s="1" t="str">
        <x:f>IF(A231="","",A231)</x:f>
        <x:v>6210</x:v>
      </x:c>
      <x:c r="B2280" s="1" t="str">
        <x:f>IF(A2280="","",B231)</x:f>
        <x:v>Franklin S. Edmonds School</x:v>
      </x:c>
      <x:c r="C2280" s="1" t="str">
        <x:f>IF(A2280="","",C231)</x:f>
        <x:v>District</x:v>
      </x:c>
      <x:c r="D2280" s="1" t="str">
        <x:f>IF(A2280="","",E231)</x:f>
        <x:v>Elementary-Middle</x:v>
      </x:c>
      <x:c r="E2280" s="1" t="str">
        <x:f>IF(A2280="","",H231)</x:f>
        <x:v>19150</x:v>
      </x:c>
      <x:c r="F2280" s="1" t="n">
        <x:f>IF(ISNUMBER(K231),K231,"")</x:f>
        <x:v>376</x:v>
      </x:c>
      <x:c r="G2280" s="1" t="n">
        <x:f>IF(ISNUMBER(L231),L231,"")</x:f>
        <x:v>0.7906</x:v>
      </x:c>
      <x:c r="H2280" s="1" t="str">
        <x:f>IF(A2280="","",IF(AND(UPPER(G231)="PHILADELPHIA",OR(C2280="District",AND(C2280="Charter",D231="Yes"))),"Yes","No"))</x:f>
        <x:v>Yes</x:v>
      </x:c>
      <x:c r="I2280" s="1" t="n">
        <x:f>IF(OR(A2280="",COUNTIFS('Staff Review'!$A$8:$A$507,A2280)&lt;&gt;1),0,MATCH(A2280,'Staff Review'!$A$8:$A$507,0))</x:f>
        <x:v>84</x:v>
      </x:c>
      <x:c r="J2280" s="1" t="str">
        <x:f>IF(I2280=0,"No",IF(INDEX('Staff Review'!$C$8:$C$507,I2280)="Yes","Yes","No"))</x:f>
        <x:v>No</x:v>
      </x:c>
      <x:c r="K2280" s="1" t="n">
        <x:f>IF(AI2280="Yes",INDEX('Staff Review'!$D$8:$D$507,I2280),IF(AB2280=0,"",IF(COUNT(INDEX($C$1531:$C$2030,AB2280))=1,INDEX($C$1531:$C$2030,AB2280),"")))</x:f>
        <x:v>0.6999142018519914</x:v>
      </x:c>
      <x:c r="L2280" s="1" t="n">
        <x:f>IF(AJ2280="Yes",INDEX('Staff Review'!$F$8:$F$507,I2280),IF(AB2280=0,"",IF(COUNT(INDEX($G$1531:$G$2030,AB2280))=1,INDEX($G$1531:$G$2030,AB2280),"")))</x:f>
        <x:v>4</x:v>
      </x:c>
      <x:c r="M2280" s="1" t="str">
        <x:f>IF(A2280="","",IF(AI2280="Yes","Verified","Listed"))</x:f>
        <x:v>Listed</x:v>
      </x:c>
      <x:c r="N2280" s="1" t="str">
        <x:f>IF(A2280="","",IF(AJ2280="Yes","Verified","Listed"))</x:f>
        <x:v>Listed</x:v>
      </x:c>
      <x:c r="O2280" s="1" t="n">
        <x:f>IF(AND(ISNUMBER(G2280),G2280&gt;=0,G2280&lt;=1),IF(G2280&gt;=0.9,30,IF(G2280&gt;=0.8,25,IF(G2280&gt;=0.7,20,IF(G2280&gt;=0.6,15,IF(G2280&gt;=0.5,10,IF(G2280&gt;=0.4,5,0)))))),"")</x:f>
        <x:v>20</x:v>
      </x:c>
      <x:c r="P2280" s="1" t="n">
        <x:f>IF(ISNUMBER(K2280),IF(K2280&lt;0,"",IF(K2280&gt;1,25,IF(K2280&gt;=0.75,20,IF(K2280&gt;=0.5,15,IF(K2280&gt;=0.25,10,5))))),"")</x:f>
        <x:v>15</x:v>
      </x:c>
      <x:c r="Q2280" s="1" t="n">
        <x:f>IF(NOT(ISNUMBER(L2280)),"",IF(AND(L2280&gt;=0,MOD(L2280,1)=0),MAX(0,25-5*L2280),""))</x:f>
        <x:v>5</x:v>
      </x:c>
      <x:c r="R2280" s="1" t="n">
        <x:f>IF(NOT(ISNUMBER(F2280)),"",IF(AND(F2280&gt;0,MOD(F2280,1)=0),IF(F2280&gt;=700,5,IF(F2280&gt;=500,4,IF(F2280&gt;=350,3,IF(F2280&gt;=200,2,1)))),""))</x:f>
        <x:v>3</x:v>
      </x:c>
      <x:c r="S2280" s="1" t="n">
        <x:f>IF(COUNT(O2280:R2280)=4,SUM(O2280:R2280),"")</x:f>
        <x:v>43</x:v>
      </x:c>
      <x:c r="T2280" s="1" t="n">
        <x:f>IF(OR(COUNT(O2280:R2280)&lt;&gt;4,COUNT('Top 15'!$B$35:$E$35)&lt;&gt;4,MIN('Top 15'!$B$35:$E$35)&lt;0,SUM('Top 15'!$B$35:$E$35)&lt;=0),"",ROUND(85*(O2280/30*'Top 15'!$B$35+P2280/25*'Top 15'!$C$35+Q2280/25*'Top 15'!$D$35+R2280/5*'Top 15'!$E$35)/SUM('Top 15'!$B$35:$E$35),6))</x:f>
        <x:v>43</x:v>
      </x:c>
      <x:c r="U2280" s="1" t="str">
        <x:f>IF(A2280="","",IF(AND(M2280="Verified",N2280="Verified"),"Verified",IF(AND(M2280="Listed",N2280="Listed"),"Listed","Mixed")))</x:f>
        <x:v>Listed</x:v>
      </x:c>
      <x:c r="V2280" s="1" t="str">
        <x:f>IF(A2280="","",IF(AK2280&lt;&gt;1,"Duplicate source ID",IF(COUNTIFS('Staff Review'!$A$8:$A$507,A2280)&gt;1,"Duplicate review ID",IF(H2280&lt;&gt;"Yes","Outside scope",IF(J2280="Yes","Already served",IF(NOT(ISNUMBER(T2280)),"Missing data","Candidate"))))))</x:f>
        <x:v>Candidate</x:v>
      </x:c>
      <x:c r="W2280" s="1" t="n">
        <x:f>IF(AL2280=0,"",1+COUNTIFS($AL$2051:$AL$2550,1,$T$2051:$T$2550,"&gt;"&amp;T2280)+COUNTIFS($AL$2051:$AL$2550,1,$T$2051:$T$2550,T2280,$G$2051:$G$2550,"&gt;"&amp;G2280)+COUNTIFS($AL$2051:$AL$2550,1,$T$2051:$T$2550,T2280,$G$2051:$G$2550,G2280,$F$2051:$F$2550,"&gt;"&amp;F2280)+COUNTIFS($AL$2051:$AL$2550,1,$T$2051:$T$2550,T2280,$G$2051:$G$2550,G2280,$F$2051:$F$2550,F2280,$AM$2051:$AM$2550,"&lt;"&amp;AM2280))</x:f>
        <x:v>98</x:v>
      </x:c>
      <x:c r="X2280" s="1" t="n">
        <x:f>IF(AL2280=0,"",1+COUNTIFS($AL$2051:$AL$2550,1,$T$2051:$T$2550,"&gt;"&amp;T2280))</x:f>
        <x:v>90</x:v>
      </x:c>
      <x:c r="Y2280" s="1" t="n">
        <x:f>IF(AND(H2280="Yes",OR(LEN('School Search'!$B$5)=0,ISNUMBER(SEARCH('School Search'!$B$5,B2280&amp;" "&amp;E2280&amp;" "&amp;A2280))),OR('School Search'!$D$5="All",C2280='School Search'!$D$5),OR('School Search'!$G$5="All eligible",AND('School Search'!$G$5="Not marked served",J2280&lt;&gt;"Yes"),AND('School Search'!$G$5="Missing data",V2280="Missing data"),AND('School Search'!$G$5="Marked served",J2280="Yes"))),1,0)</x:f>
        <x:v>1</x:v>
      </x:c>
      <x:c r="Z2280" s="1" t="n">
        <x:f>IF(Y2280=0,"",COUNTIFS($Y$2051:$Y$2550,1,$AO$2051:$AO$2550,"&lt;"&amp;AO2280)+COUNTIFS($Y$2051:Y2280,1,$AO$2051:AO2280,AO2280))</x:f>
        <x:v>98</x:v>
      </x:c>
      <x:c r="AA2280" s="1" t="str">
        <x:f>IF(NOT(ISNUMBER(S2280)),"Missing demographic or access input",TEXT(G2280,"0%")&amp;" economic need; "&amp;TEXT(K2280,"0.00")&amp;" mi fresh access; "&amp;L2280&amp;" nearby resources")</x:f>
        <x:v>79% economic need; 0.70 mi fresh access; 4 nearby resources</x:v>
      </x:c>
      <x:c r="AB2280" s="1" t="n">
        <x:f>IF(OR(A2280="",COUNTIFS($A$1531:$A$2030,A2280)&lt;&gt;1),0,MATCH(A2280,$A$1531:$A$2030,0))</x:f>
        <x:v>230</x:v>
      </x:c>
      <x:c r="AC2280" s="1" t="str">
        <x:f>IF(AB2280=0,"",INDEX($E$1531:$E$2030,AB2280))</x:f>
        <x:v>Shoprite of Cheltenham 426</x:v>
      </x:c>
      <x:c r="AD2280" s="1" t="str">
        <x:f>IF(AB2280=0,"",INDEX($F$1531:$F$2030,AB2280))</x:f>
        <x:v>2471 W Cheltenham Ave, Wyncote, PA, 19095</x:v>
      </x:c>
      <x:c r="AE2280" s="1" t="str">
        <x:f>IF(A2280="","",F231)</x:f>
        <x:v>8025 THOURON AVE</x:v>
      </x:c>
      <x:c r="AF2280" s="1" t="n">
        <x:f>IF(ISNUMBER(I231),I231,"")</x:f>
        <x:v>40.0717255</x:v>
      </x:c>
      <x:c r="AG2280" s="1" t="n">
        <x:f>IF(ISNUMBER(J231),J231,"")</x:f>
        <x:v>-75.1692495</x:v>
      </x:c>
      <x:c r="AH2280" s="1" t="str">
        <x:f>IF(I2280=0,"Not contacted",IF(INDEX('Staff Review'!$J$8:$J$507,I2280)="","Not contacted",INDEX('Staff Review'!$J$8:$J$507,I2280)))</x:f>
        <x:v>Not contacted</x:v>
      </x:c>
      <x:c r="AI2280" s="1" t="str">
        <x:f>IF(I2280=0,"No",IF(AND(COUNT(INDEX('Staff Review'!$D$8:$D$507,I2280))=1,INDEX('Staff Review'!$D$8:$D$507,I2280)&gt;=0,COUNT(INDEX('Staff Review'!$E$8:$E$507,I2280))=1,INDEX('Staff Review'!$E$8:$E$507,I2280)&gt;0,INDEX('Staff Review'!$E$8:$E$507,I2280)&lt;='Top 15'!$E$5,'Top 15'!$E$5-INDEX('Staff Review'!$E$8:$E$507,I2280)&lt;='Top 15'!$H$5,LEN(INDEX('Staff Review'!$H$8:$H$507,I2280))&gt;0),"Yes","No"))</x:f>
        <x:v>No</x:v>
      </x:c>
      <x:c r="AJ2280" s="1" t="str">
        <x:f>IF(I2280=0,"No",IF(COUNT(INDEX('Staff Review'!$F$8:$F$507,I2280))&lt;&gt;1,"No",IF(AND(INDEX('Staff Review'!$F$8:$F$507,I2280)&gt;=0,MOD(INDEX('Staff Review'!$F$8:$F$507,I2280),1)=0,COUNT(INDEX('Staff Review'!$G$8:$G$507,I2280))=1,INDEX('Staff Review'!$G$8:$G$507,I2280)&gt;0,INDEX('Staff Review'!$G$8:$G$507,I2280)&lt;='Top 15'!$E$5,'Top 15'!$E$5-INDEX('Staff Review'!$G$8:$G$507,I2280)&lt;='Top 15'!$H$5,LEN(INDEX('Staff Review'!$H$8:$H$507,I2280))&gt;0),"Yes","No")))</x:f>
        <x:v>No</x:v>
      </x:c>
      <x:c r="AK2280" s="1" t="n">
        <x:f>IF(A2280="",0,COUNTIFS($A$2:$A$501,A2280))</x:f>
        <x:v>1</x:v>
      </x:c>
      <x:c r="AL2280" s="1" t="n">
        <x:f>IF(V2280="Candidate",1,0)</x:f>
        <x:v>1</x:v>
      </x:c>
      <x:c r="AM2280" s="1" t="n">
        <x:f>IF(A2280="",0,VALUE(A2280))</x:f>
        <x:v>6210</x:v>
      </x:c>
      <x:c r="AN2280" s="1" t="n">
        <x:f>IF(OR(A2280="",COUNTIFS($T$41:$T$540,A2280)&lt;&gt;1),0,MATCH(A2280,$T$41:$T$540,0))</x:f>
        <x:v>230</x:v>
      </x:c>
      <x:c r="AO2280" t="n">
        <x:f>IF(ISNUMBER(W2280),W2280,10000+AM2280)</x:f>
        <x:v>98</x:v>
      </x:c>
    </x:row>
    <x:row r="2281" ht="22" customHeight="1">
      <x:c r="A2281" s="1" t="str">
        <x:f>IF(A232="","",A232)</x:f>
        <x:v>6220</x:v>
      </x:c>
      <x:c r="B2281" s="1" t="str">
        <x:f>IF(A2281="","",B232)</x:f>
        <x:v>Eleanor C. Emlen School</x:v>
      </x:c>
      <x:c r="C2281" s="1" t="str">
        <x:f>IF(A2281="","",C232)</x:f>
        <x:v>District</x:v>
      </x:c>
      <x:c r="D2281" s="1" t="str">
        <x:f>IF(A2281="","",E232)</x:f>
        <x:v>Elementary</x:v>
      </x:c>
      <x:c r="E2281" s="1" t="str">
        <x:f>IF(A2281="","",H232)</x:f>
        <x:v>19119</x:v>
      </x:c>
      <x:c r="F2281" s="1" t="n">
        <x:f>IF(ISNUMBER(K232),K232,"")</x:f>
        <x:v>261</x:v>
      </x:c>
      <x:c r="G2281" s="1" t="n">
        <x:f>IF(ISNUMBER(L232),L232,"")</x:f>
        <x:v>0.8732</x:v>
      </x:c>
      <x:c r="H2281" s="1" t="str">
        <x:f>IF(A2281="","",IF(AND(UPPER(G232)="PHILADELPHIA",OR(C2281="District",AND(C2281="Charter",D232="Yes"))),"Yes","No"))</x:f>
        <x:v>Yes</x:v>
      </x:c>
      <x:c r="I2281" s="1" t="n">
        <x:f>IF(OR(A2281="",COUNTIFS('Staff Review'!$A$8:$A$507,A2281)&lt;&gt;1),0,MATCH(A2281,'Staff Review'!$A$8:$A$507,0))</x:f>
        <x:v>61</x:v>
      </x:c>
      <x:c r="J2281" s="1" t="str">
        <x:f>IF(I2281=0,"No",IF(INDEX('Staff Review'!$C$8:$C$507,I2281)="Yes","Yes","No"))</x:f>
        <x:v>No</x:v>
      </x:c>
      <x:c r="K2281" s="1" t="n">
        <x:f>IF(AI2281="Yes",INDEX('Staff Review'!$D$8:$D$507,I2281),IF(AB2281=0,"",IF(COUNT(INDEX($C$1531:$C$2030,AB2281))=1,INDEX($C$1531:$C$2030,AB2281),"")))</x:f>
        <x:v>0.33706104927098</x:v>
      </x:c>
      <x:c r="L2281" s="1" t="n">
        <x:f>IF(AJ2281="Yes",INDEX('Staff Review'!$F$8:$F$507,I2281),IF(AB2281=0,"",IF(COUNT(INDEX($G$1531:$G$2030,AB2281))=1,INDEX($G$1531:$G$2030,AB2281),"")))</x:f>
        <x:v>13</x:v>
      </x:c>
      <x:c r="M2281" s="1" t="str">
        <x:f>IF(A2281="","",IF(AI2281="Yes","Verified","Listed"))</x:f>
        <x:v>Listed</x:v>
      </x:c>
      <x:c r="N2281" s="1" t="str">
        <x:f>IF(A2281="","",IF(AJ2281="Yes","Verified","Listed"))</x:f>
        <x:v>Listed</x:v>
      </x:c>
      <x:c r="O2281" s="1" t="n">
        <x:f>IF(AND(ISNUMBER(G2281),G2281&gt;=0,G2281&lt;=1),IF(G2281&gt;=0.9,30,IF(G2281&gt;=0.8,25,IF(G2281&gt;=0.7,20,IF(G2281&gt;=0.6,15,IF(G2281&gt;=0.5,10,IF(G2281&gt;=0.4,5,0)))))),"")</x:f>
        <x:v>25</x:v>
      </x:c>
      <x:c r="P2281" s="1" t="n">
        <x:f>IF(ISNUMBER(K2281),IF(K2281&lt;0,"",IF(K2281&gt;1,25,IF(K2281&gt;=0.75,20,IF(K2281&gt;=0.5,15,IF(K2281&gt;=0.25,10,5))))),"")</x:f>
        <x:v>10</x:v>
      </x:c>
      <x:c r="Q2281" s="1" t="n">
        <x:f>IF(NOT(ISNUMBER(L2281)),"",IF(AND(L2281&gt;=0,MOD(L2281,1)=0),MAX(0,25-5*L2281),""))</x:f>
        <x:v>0</x:v>
      </x:c>
      <x:c r="R2281" s="1" t="n">
        <x:f>IF(NOT(ISNUMBER(F2281)),"",IF(AND(F2281&gt;0,MOD(F2281,1)=0),IF(F2281&gt;=700,5,IF(F2281&gt;=500,4,IF(F2281&gt;=350,3,IF(F2281&gt;=200,2,1)))),""))</x:f>
        <x:v>2</x:v>
      </x:c>
      <x:c r="S2281" s="1" t="n">
        <x:f>IF(COUNT(O2281:R2281)=4,SUM(O2281:R2281),"")</x:f>
        <x:v>37</x:v>
      </x:c>
      <x:c r="T2281" s="1" t="n">
        <x:f>IF(OR(COUNT(O2281:R2281)&lt;&gt;4,COUNT('Top 15'!$B$35:$E$35)&lt;&gt;4,MIN('Top 15'!$B$35:$E$35)&lt;0,SUM('Top 15'!$B$35:$E$35)&lt;=0),"",ROUND(85*(O2281/30*'Top 15'!$B$35+P2281/25*'Top 15'!$C$35+Q2281/25*'Top 15'!$D$35+R2281/5*'Top 15'!$E$35)/SUM('Top 15'!$B$35:$E$35),6))</x:f>
        <x:v>37</x:v>
      </x:c>
      <x:c r="U2281" s="1" t="str">
        <x:f>IF(A2281="","",IF(AND(M2281="Verified",N2281="Verified"),"Verified",IF(AND(M2281="Listed",N2281="Listed"),"Listed","Mixed")))</x:f>
        <x:v>Listed</x:v>
      </x:c>
      <x:c r="V2281" s="1" t="str">
        <x:f>IF(A2281="","",IF(AK2281&lt;&gt;1,"Duplicate source ID",IF(COUNTIFS('Staff Review'!$A$8:$A$507,A2281)&gt;1,"Duplicate review ID",IF(H2281&lt;&gt;"Yes","Outside scope",IF(J2281="Yes","Already served",IF(NOT(ISNUMBER(T2281)),"Missing data","Candidate"))))))</x:f>
        <x:v>Candidate</x:v>
      </x:c>
      <x:c r="W2281" s="1" t="n">
        <x:f>IF(AL2281=0,"",1+COUNTIFS($AL$2051:$AL$2550,1,$T$2051:$T$2550,"&gt;"&amp;T2281)+COUNTIFS($AL$2051:$AL$2550,1,$T$2051:$T$2550,T2281,$G$2051:$G$2550,"&gt;"&amp;G2281)+COUNTIFS($AL$2051:$AL$2550,1,$T$2051:$T$2550,T2281,$G$2051:$G$2550,G2281,$F$2051:$F$2550,"&gt;"&amp;F2281)+COUNTIFS($AL$2051:$AL$2550,1,$T$2051:$T$2550,T2281,$G$2051:$G$2550,G2281,$F$2051:$F$2550,F2281,$AM$2051:$AM$2550,"&lt;"&amp;AM2281))</x:f>
        <x:v>191</x:v>
      </x:c>
      <x:c r="X2281" s="1" t="n">
        <x:f>IF(AL2281=0,"",1+COUNTIFS($AL$2051:$AL$2550,1,$T$2051:$T$2550,"&gt;"&amp;T2281))</x:f>
        <x:v>182</x:v>
      </x:c>
      <x:c r="Y2281" s="1" t="n">
        <x:f>IF(AND(H2281="Yes",OR(LEN('School Search'!$B$5)=0,ISNUMBER(SEARCH('School Search'!$B$5,B2281&amp;" "&amp;E2281&amp;" "&amp;A2281))),OR('School Search'!$D$5="All",C2281='School Search'!$D$5),OR('School Search'!$G$5="All eligible",AND('School Search'!$G$5="Not marked served",J2281&lt;&gt;"Yes"),AND('School Search'!$G$5="Missing data",V2281="Missing data"),AND('School Search'!$G$5="Marked served",J2281="Yes"))),1,0)</x:f>
        <x:v>1</x:v>
      </x:c>
      <x:c r="Z2281" s="1" t="n">
        <x:f>IF(Y2281=0,"",COUNTIFS($Y$2051:$Y$2550,1,$AO$2051:$AO$2550,"&lt;"&amp;AO2281)+COUNTIFS($Y$2051:Y2281,1,$AO$2051:AO2281,AO2281))</x:f>
        <x:v>191</x:v>
      </x:c>
      <x:c r="AA2281" s="1" t="str">
        <x:f>IF(NOT(ISNUMBER(S2281)),"Missing demographic or access input",TEXT(G2281,"0%")&amp;" economic need; "&amp;TEXT(K2281,"0.00")&amp;" mi fresh access; "&amp;L2281&amp;" nearby resources")</x:f>
        <x:v>87% economic need; 0.34 mi fresh access; 13 nearby resources</x:v>
      </x:c>
      <x:c r="AB2281" s="1" t="n">
        <x:f>IF(OR(A2281="",COUNTIFS($A$1531:$A$2030,A2281)&lt;&gt;1),0,MATCH(A2281,$A$1531:$A$2030,0))</x:f>
        <x:v>231</x:v>
      </x:c>
      <x:c r="AC2281" s="1" t="str">
        <x:f>IF(AB2281=0,"",INDEX($E$1531:$E$2030,AB2281))</x:f>
        <x:v>Save A Lot 45141</x:v>
      </x:c>
      <x:c r="AD2281" s="1" t="str">
        <x:f>IF(AB2281=0,"",INDEX($F$1531:$F$2030,AB2281))</x:f>
        <x:v>6301 Chew Ave, Philadelphia, PA, 19138</x:v>
      </x:c>
      <x:c r="AE2281" s="1" t="str">
        <x:f>IF(A2281="","",F232)</x:f>
        <x:v>6501 CHEW AVE</x:v>
      </x:c>
      <x:c r="AF2281" s="1" t="n">
        <x:f>IF(ISNUMBER(I232),I232,"")</x:f>
        <x:v>40.05436289</x:v>
      </x:c>
      <x:c r="AG2281" s="1" t="n">
        <x:f>IF(ISNUMBER(J232),J232,"")</x:f>
        <x:v>-75.17790573</x:v>
      </x:c>
      <x:c r="AH2281" s="1" t="str">
        <x:f>IF(I2281=0,"Not contacted",IF(INDEX('Staff Review'!$J$8:$J$507,I2281)="","Not contacted",INDEX('Staff Review'!$J$8:$J$507,I2281)))</x:f>
        <x:v>Not contacted</x:v>
      </x:c>
      <x:c r="AI2281" s="1" t="str">
        <x:f>IF(I2281=0,"No",IF(AND(COUNT(INDEX('Staff Review'!$D$8:$D$507,I2281))=1,INDEX('Staff Review'!$D$8:$D$507,I2281)&gt;=0,COUNT(INDEX('Staff Review'!$E$8:$E$507,I2281))=1,INDEX('Staff Review'!$E$8:$E$507,I2281)&gt;0,INDEX('Staff Review'!$E$8:$E$507,I2281)&lt;='Top 15'!$E$5,'Top 15'!$E$5-INDEX('Staff Review'!$E$8:$E$507,I2281)&lt;='Top 15'!$H$5,LEN(INDEX('Staff Review'!$H$8:$H$507,I2281))&gt;0),"Yes","No"))</x:f>
        <x:v>No</x:v>
      </x:c>
      <x:c r="AJ2281" s="1" t="str">
        <x:f>IF(I2281=0,"No",IF(COUNT(INDEX('Staff Review'!$F$8:$F$507,I2281))&lt;&gt;1,"No",IF(AND(INDEX('Staff Review'!$F$8:$F$507,I2281)&gt;=0,MOD(INDEX('Staff Review'!$F$8:$F$507,I2281),1)=0,COUNT(INDEX('Staff Review'!$G$8:$G$507,I2281))=1,INDEX('Staff Review'!$G$8:$G$507,I2281)&gt;0,INDEX('Staff Review'!$G$8:$G$507,I2281)&lt;='Top 15'!$E$5,'Top 15'!$E$5-INDEX('Staff Review'!$G$8:$G$507,I2281)&lt;='Top 15'!$H$5,LEN(INDEX('Staff Review'!$H$8:$H$507,I2281))&gt;0),"Yes","No")))</x:f>
        <x:v>No</x:v>
      </x:c>
      <x:c r="AK2281" s="1" t="n">
        <x:f>IF(A2281="",0,COUNTIFS($A$2:$A$501,A2281))</x:f>
        <x:v>1</x:v>
      </x:c>
      <x:c r="AL2281" s="1" t="n">
        <x:f>IF(V2281="Candidate",1,0)</x:f>
        <x:v>1</x:v>
      </x:c>
      <x:c r="AM2281" s="1" t="n">
        <x:f>IF(A2281="",0,VALUE(A2281))</x:f>
        <x:v>6220</x:v>
      </x:c>
      <x:c r="AN2281" s="1" t="n">
        <x:f>IF(OR(A2281="",COUNTIFS($T$41:$T$540,A2281)&lt;&gt;1),0,MATCH(A2281,$T$41:$T$540,0))</x:f>
        <x:v>231</x:v>
      </x:c>
      <x:c r="AO2281" t="n">
        <x:f>IF(ISNUMBER(W2281),W2281,10000+AM2281)</x:f>
        <x:v>191</x:v>
      </x:c>
    </x:row>
    <x:row r="2282" ht="22" customHeight="1">
      <x:c r="A2282" s="1" t="str">
        <x:f>IF(A233="","",A233)</x:f>
        <x:v>6230</x:v>
      </x:c>
      <x:c r="B2282" s="1" t="str">
        <x:f>IF(A2282="","",B233)</x:f>
        <x:v>Fitler Academics Plus School</x:v>
      </x:c>
      <x:c r="C2282" s="1" t="str">
        <x:f>IF(A2282="","",C233)</x:f>
        <x:v>District</x:v>
      </x:c>
      <x:c r="D2282" s="1" t="str">
        <x:f>IF(A2282="","",E233)</x:f>
        <x:v>Elementary-Middle</x:v>
      </x:c>
      <x:c r="E2282" s="1" t="str">
        <x:f>IF(A2282="","",H233)</x:f>
        <x:v>19144</x:v>
      </x:c>
      <x:c r="F2282" s="1" t="n">
        <x:f>IF(ISNUMBER(K233),K233,"")</x:f>
        <x:v>177</x:v>
      </x:c>
      <x:c r="G2282" s="1" t="n">
        <x:f>IF(ISNUMBER(L233),L233,"")</x:f>
        <x:v>0.8474</x:v>
      </x:c>
      <x:c r="H2282" s="1" t="str">
        <x:f>IF(A2282="","",IF(AND(UPPER(G233)="PHILADELPHIA",OR(C2282="District",AND(C2282="Charter",D233="Yes"))),"Yes","No"))</x:f>
        <x:v>Yes</x:v>
      </x:c>
      <x:c r="I2282" s="1" t="n">
        <x:f>IF(OR(A2282="",COUNTIFS('Staff Review'!$A$8:$A$507,A2282)&lt;&gt;1),0,MATCH(A2282,'Staff Review'!$A$8:$A$507,0))</x:f>
        <x:v>76</x:v>
      </x:c>
      <x:c r="J2282" s="1" t="str">
        <x:f>IF(I2282=0,"No",IF(INDEX('Staff Review'!$C$8:$C$507,I2282)="Yes","Yes","No"))</x:f>
        <x:v>No</x:v>
      </x:c>
      <x:c r="K2282" s="1" t="n">
        <x:f>IF(AI2282="Yes",INDEX('Staff Review'!$D$8:$D$507,I2282),IF(AB2282=0,"",IF(COUNT(INDEX($C$1531:$C$2030,AB2282))=1,INDEX($C$1531:$C$2030,AB2282),"")))</x:f>
        <x:v>0.7648935789122202</x:v>
      </x:c>
      <x:c r="L2282" s="1" t="n">
        <x:f>IF(AJ2282="Yes",INDEX('Staff Review'!$F$8:$F$507,I2282),IF(AB2282=0,"",IF(COUNT(INDEX($G$1531:$G$2030,AB2282))=1,INDEX($G$1531:$G$2030,AB2282),"")))</x:f>
        <x:v>14</x:v>
      </x:c>
      <x:c r="M2282" s="1" t="str">
        <x:f>IF(A2282="","",IF(AI2282="Yes","Verified","Listed"))</x:f>
        <x:v>Listed</x:v>
      </x:c>
      <x:c r="N2282" s="1" t="str">
        <x:f>IF(A2282="","",IF(AJ2282="Yes","Verified","Listed"))</x:f>
        <x:v>Listed</x:v>
      </x:c>
      <x:c r="O2282" s="1" t="n">
        <x:f>IF(AND(ISNUMBER(G2282),G2282&gt;=0,G2282&lt;=1),IF(G2282&gt;=0.9,30,IF(G2282&gt;=0.8,25,IF(G2282&gt;=0.7,20,IF(G2282&gt;=0.6,15,IF(G2282&gt;=0.5,10,IF(G2282&gt;=0.4,5,0)))))),"")</x:f>
        <x:v>25</x:v>
      </x:c>
      <x:c r="P2282" s="1" t="n">
        <x:f>IF(ISNUMBER(K2282),IF(K2282&lt;0,"",IF(K2282&gt;1,25,IF(K2282&gt;=0.75,20,IF(K2282&gt;=0.5,15,IF(K2282&gt;=0.25,10,5))))),"")</x:f>
        <x:v>20</x:v>
      </x:c>
      <x:c r="Q2282" s="1" t="n">
        <x:f>IF(NOT(ISNUMBER(L2282)),"",IF(AND(L2282&gt;=0,MOD(L2282,1)=0),MAX(0,25-5*L2282),""))</x:f>
        <x:v>0</x:v>
      </x:c>
      <x:c r="R2282" s="1" t="n">
        <x:f>IF(NOT(ISNUMBER(F2282)),"",IF(AND(F2282&gt;0,MOD(F2282,1)=0),IF(F2282&gt;=700,5,IF(F2282&gt;=500,4,IF(F2282&gt;=350,3,IF(F2282&gt;=200,2,1)))),""))</x:f>
        <x:v>1</x:v>
      </x:c>
      <x:c r="S2282" s="1" t="n">
        <x:f>IF(COUNT(O2282:R2282)=4,SUM(O2282:R2282),"")</x:f>
        <x:v>46</x:v>
      </x:c>
      <x:c r="T2282" s="1" t="n">
        <x:f>IF(OR(COUNT(O2282:R2282)&lt;&gt;4,COUNT('Top 15'!$B$35:$E$35)&lt;&gt;4,MIN('Top 15'!$B$35:$E$35)&lt;0,SUM('Top 15'!$B$35:$E$35)&lt;=0),"",ROUND(85*(O2282/30*'Top 15'!$B$35+P2282/25*'Top 15'!$C$35+Q2282/25*'Top 15'!$D$35+R2282/5*'Top 15'!$E$35)/SUM('Top 15'!$B$35:$E$35),6))</x:f>
        <x:v>46</x:v>
      </x:c>
      <x:c r="U2282" s="1" t="str">
        <x:f>IF(A2282="","",IF(AND(M2282="Verified",N2282="Verified"),"Verified",IF(AND(M2282="Listed",N2282="Listed"),"Listed","Mixed")))</x:f>
        <x:v>Listed</x:v>
      </x:c>
      <x:c r="V2282" s="1" t="str">
        <x:f>IF(A2282="","",IF(AK2282&lt;&gt;1,"Duplicate source ID",IF(COUNTIFS('Staff Review'!$A$8:$A$507,A2282)&gt;1,"Duplicate review ID",IF(H2282&lt;&gt;"Yes","Outside scope",IF(J2282="Yes","Already served",IF(NOT(ISNUMBER(T2282)),"Missing data","Candidate"))))))</x:f>
        <x:v>Candidate</x:v>
      </x:c>
      <x:c r="W2282" s="1" t="n">
        <x:f>IF(AL2282=0,"",1+COUNTIFS($AL$2051:$AL$2550,1,$T$2051:$T$2550,"&gt;"&amp;T2282)+COUNTIFS($AL$2051:$AL$2550,1,$T$2051:$T$2550,T2282,$G$2051:$G$2550,"&gt;"&amp;G2282)+COUNTIFS($AL$2051:$AL$2550,1,$T$2051:$T$2550,T2282,$G$2051:$G$2550,G2282,$F$2051:$F$2550,"&gt;"&amp;F2282)+COUNTIFS($AL$2051:$AL$2550,1,$T$2051:$T$2550,T2282,$G$2051:$G$2550,G2282,$F$2051:$F$2550,F2282,$AM$2051:$AM$2550,"&lt;"&amp;AM2282))</x:f>
        <x:v>72</x:v>
      </x:c>
      <x:c r="X2282" s="1" t="n">
        <x:f>IF(AL2282=0,"",1+COUNTIFS($AL$2051:$AL$2550,1,$T$2051:$T$2550,"&gt;"&amp;T2282))</x:f>
        <x:v>71</x:v>
      </x:c>
      <x:c r="Y2282" s="1" t="n">
        <x:f>IF(AND(H2282="Yes",OR(LEN('School Search'!$B$5)=0,ISNUMBER(SEARCH('School Search'!$B$5,B2282&amp;" "&amp;E2282&amp;" "&amp;A2282))),OR('School Search'!$D$5="All",C2282='School Search'!$D$5),OR('School Search'!$G$5="All eligible",AND('School Search'!$G$5="Not marked served",J2282&lt;&gt;"Yes"),AND('School Search'!$G$5="Missing data",V2282="Missing data"),AND('School Search'!$G$5="Marked served",J2282="Yes"))),1,0)</x:f>
        <x:v>1</x:v>
      </x:c>
      <x:c r="Z2282" s="1" t="n">
        <x:f>IF(Y2282=0,"",COUNTIFS($Y$2051:$Y$2550,1,$AO$2051:$AO$2550,"&lt;"&amp;AO2282)+COUNTIFS($Y$2051:Y2282,1,$AO$2051:AO2282,AO2282))</x:f>
        <x:v>72</x:v>
      </x:c>
      <x:c r="AA2282" s="1" t="str">
        <x:f>IF(NOT(ISNUMBER(S2282)),"Missing demographic or access input",TEXT(G2282,"0%")&amp;" economic need; "&amp;TEXT(K2282,"0.00")&amp;" mi fresh access; "&amp;L2282&amp;" nearby resources")</x:f>
        <x:v>85% economic need; 0.76 mi fresh access; 14 nearby resources</x:v>
      </x:c>
      <x:c r="AB2282" s="1" t="n">
        <x:f>IF(OR(A2282="",COUNTIFS($A$1531:$A$2030,A2282)&lt;&gt;1),0,MATCH(A2282,$A$1531:$A$2030,0))</x:f>
        <x:v>232</x:v>
      </x:c>
      <x:c r="AC2282" s="1" t="str">
        <x:f>IF(AB2282=0,"",INDEX($E$1531:$E$2030,AB2282))</x:f>
        <x:v>Chelten Market Inc</x:v>
      </x:c>
      <x:c r="AD2282" s="1" t="str">
        <x:f>IF(AB2282=0,"",INDEX($F$1531:$F$2030,AB2282))</x:f>
        <x:v>176-82 W Chelten Ave, Philadelphia, PA, 19144</x:v>
      </x:c>
      <x:c r="AE2282" s="1" t="str">
        <x:f>IF(A2282="","",F233)</x:f>
        <x:v>140 W SEYMOUR ST</x:v>
      </x:c>
      <x:c r="AF2282" s="1" t="n">
        <x:f>IF(ISNUMBER(I233),I233,"")</x:f>
        <x:v>40.02610052</x:v>
      </x:c>
      <x:c r="AG2282" s="1" t="n">
        <x:f>IF(ISNUMBER(J233),J233,"")</x:f>
        <x:v>-75.16633733</x:v>
      </x:c>
      <x:c r="AH2282" s="1" t="str">
        <x:f>IF(I2282=0,"Not contacted",IF(INDEX('Staff Review'!$J$8:$J$507,I2282)="","Not contacted",INDEX('Staff Review'!$J$8:$J$507,I2282)))</x:f>
        <x:v>Not contacted</x:v>
      </x:c>
      <x:c r="AI2282" s="1" t="str">
        <x:f>IF(I2282=0,"No",IF(AND(COUNT(INDEX('Staff Review'!$D$8:$D$507,I2282))=1,INDEX('Staff Review'!$D$8:$D$507,I2282)&gt;=0,COUNT(INDEX('Staff Review'!$E$8:$E$507,I2282))=1,INDEX('Staff Review'!$E$8:$E$507,I2282)&gt;0,INDEX('Staff Review'!$E$8:$E$507,I2282)&lt;='Top 15'!$E$5,'Top 15'!$E$5-INDEX('Staff Review'!$E$8:$E$507,I2282)&lt;='Top 15'!$H$5,LEN(INDEX('Staff Review'!$H$8:$H$507,I2282))&gt;0),"Yes","No"))</x:f>
        <x:v>No</x:v>
      </x:c>
      <x:c r="AJ2282" s="1" t="str">
        <x:f>IF(I2282=0,"No",IF(COUNT(INDEX('Staff Review'!$F$8:$F$507,I2282))&lt;&gt;1,"No",IF(AND(INDEX('Staff Review'!$F$8:$F$507,I2282)&gt;=0,MOD(INDEX('Staff Review'!$F$8:$F$507,I2282),1)=0,COUNT(INDEX('Staff Review'!$G$8:$G$507,I2282))=1,INDEX('Staff Review'!$G$8:$G$507,I2282)&gt;0,INDEX('Staff Review'!$G$8:$G$507,I2282)&lt;='Top 15'!$E$5,'Top 15'!$E$5-INDEX('Staff Review'!$G$8:$G$507,I2282)&lt;='Top 15'!$H$5,LEN(INDEX('Staff Review'!$H$8:$H$507,I2282))&gt;0),"Yes","No")))</x:f>
        <x:v>No</x:v>
      </x:c>
      <x:c r="AK2282" s="1" t="n">
        <x:f>IF(A2282="",0,COUNTIFS($A$2:$A$501,A2282))</x:f>
        <x:v>1</x:v>
      </x:c>
      <x:c r="AL2282" s="1" t="n">
        <x:f>IF(V2282="Candidate",1,0)</x:f>
        <x:v>1</x:v>
      </x:c>
      <x:c r="AM2282" s="1" t="n">
        <x:f>IF(A2282="",0,VALUE(A2282))</x:f>
        <x:v>6230</x:v>
      </x:c>
      <x:c r="AN2282" s="1" t="n">
        <x:f>IF(OR(A2282="",COUNTIFS($T$41:$T$540,A2282)&lt;&gt;1),0,MATCH(A2282,$T$41:$T$540,0))</x:f>
        <x:v>232</x:v>
      </x:c>
      <x:c r="AO2282" t="n">
        <x:f>IF(ISNUMBER(W2282),W2282,10000+AM2282)</x:f>
        <x:v>72</x:v>
      </x:c>
    </x:row>
    <x:row r="2283" ht="22" customHeight="1">
      <x:c r="A2283" s="1" t="str">
        <x:f>IF(A234="","",A234)</x:f>
        <x:v>6250</x:v>
      </x:c>
      <x:c r="B2283" s="1" t="str">
        <x:f>IF(A2283="","",B234)</x:f>
        <x:v>Charles W. Henry School</x:v>
      </x:c>
      <x:c r="C2283" s="1" t="str">
        <x:f>IF(A2283="","",C234)</x:f>
        <x:v>District</x:v>
      </x:c>
      <x:c r="D2283" s="1" t="str">
        <x:f>IF(A2283="","",E234)</x:f>
        <x:v>Elementary-Middle</x:v>
      </x:c>
      <x:c r="E2283" s="1" t="str">
        <x:f>IF(A2283="","",H234)</x:f>
        <x:v>19119</x:v>
      </x:c>
      <x:c r="F2283" s="1" t="n">
        <x:f>IF(ISNUMBER(K234),K234,"")</x:f>
        <x:v>550</x:v>
      </x:c>
      <x:c r="G2283" s="1" t="n">
        <x:f>IF(ISNUMBER(L234),L234,"")</x:f>
        <x:v>0.4127</x:v>
      </x:c>
      <x:c r="H2283" s="1" t="str">
        <x:f>IF(A2283="","",IF(AND(UPPER(G234)="PHILADELPHIA",OR(C2283="District",AND(C2283="Charter",D234="Yes"))),"Yes","No"))</x:f>
        <x:v>Yes</x:v>
      </x:c>
      <x:c r="I2283" s="1" t="n">
        <x:f>IF(OR(A2283="",COUNTIFS('Staff Review'!$A$8:$A$507,A2283)&lt;&gt;1),0,MATCH(A2283,'Staff Review'!$A$8:$A$507,0))</x:f>
        <x:v>41</x:v>
      </x:c>
      <x:c r="J2283" s="1" t="str">
        <x:f>IF(I2283=0,"No",IF(INDEX('Staff Review'!$C$8:$C$507,I2283)="Yes","Yes","No"))</x:f>
        <x:v>No</x:v>
      </x:c>
      <x:c r="K2283" s="1" t="n">
        <x:f>IF(AI2283="Yes",INDEX('Staff Review'!$D$8:$D$507,I2283),IF(AB2283=0,"",IF(COUNT(INDEX($C$1531:$C$2030,AB2283))=1,INDEX($C$1531:$C$2030,AB2283),"")))</x:f>
        <x:v>0.6497032188856483</x:v>
      </x:c>
      <x:c r="L2283" s="1" t="n">
        <x:f>IF(AJ2283="Yes",INDEX('Staff Review'!$F$8:$F$507,I2283),IF(AB2283=0,"",IF(COUNT(INDEX($G$1531:$G$2030,AB2283))=1,INDEX($G$1531:$G$2030,AB2283),"")))</x:f>
        <x:v>3</x:v>
      </x:c>
      <x:c r="M2283" s="1" t="str">
        <x:f>IF(A2283="","",IF(AI2283="Yes","Verified","Listed"))</x:f>
        <x:v>Listed</x:v>
      </x:c>
      <x:c r="N2283" s="1" t="str">
        <x:f>IF(A2283="","",IF(AJ2283="Yes","Verified","Listed"))</x:f>
        <x:v>Listed</x:v>
      </x:c>
      <x:c r="O2283" s="1" t="n">
        <x:f>IF(AND(ISNUMBER(G2283),G2283&gt;=0,G2283&lt;=1),IF(G2283&gt;=0.9,30,IF(G2283&gt;=0.8,25,IF(G2283&gt;=0.7,20,IF(G2283&gt;=0.6,15,IF(G2283&gt;=0.5,10,IF(G2283&gt;=0.4,5,0)))))),"")</x:f>
        <x:v>5</x:v>
      </x:c>
      <x:c r="P2283" s="1" t="n">
        <x:f>IF(ISNUMBER(K2283),IF(K2283&lt;0,"",IF(K2283&gt;1,25,IF(K2283&gt;=0.75,20,IF(K2283&gt;=0.5,15,IF(K2283&gt;=0.25,10,5))))),"")</x:f>
        <x:v>15</x:v>
      </x:c>
      <x:c r="Q2283" s="1" t="n">
        <x:f>IF(NOT(ISNUMBER(L2283)),"",IF(AND(L2283&gt;=0,MOD(L2283,1)=0),MAX(0,25-5*L2283),""))</x:f>
        <x:v>10</x:v>
      </x:c>
      <x:c r="R2283" s="1" t="n">
        <x:f>IF(NOT(ISNUMBER(F2283)),"",IF(AND(F2283&gt;0,MOD(F2283,1)=0),IF(F2283&gt;=700,5,IF(F2283&gt;=500,4,IF(F2283&gt;=350,3,IF(F2283&gt;=200,2,1)))),""))</x:f>
        <x:v>4</x:v>
      </x:c>
      <x:c r="S2283" s="1" t="n">
        <x:f>IF(COUNT(O2283:R2283)=4,SUM(O2283:R2283),"")</x:f>
        <x:v>34</x:v>
      </x:c>
      <x:c r="T2283" s="1" t="n">
        <x:f>IF(OR(COUNT(O2283:R2283)&lt;&gt;4,COUNT('Top 15'!$B$35:$E$35)&lt;&gt;4,MIN('Top 15'!$B$35:$E$35)&lt;0,SUM('Top 15'!$B$35:$E$35)&lt;=0),"",ROUND(85*(O2283/30*'Top 15'!$B$35+P2283/25*'Top 15'!$C$35+Q2283/25*'Top 15'!$D$35+R2283/5*'Top 15'!$E$35)/SUM('Top 15'!$B$35:$E$35),6))</x:f>
        <x:v>34</x:v>
      </x:c>
      <x:c r="U2283" s="1" t="str">
        <x:f>IF(A2283="","",IF(AND(M2283="Verified",N2283="Verified"),"Verified",IF(AND(M2283="Listed",N2283="Listed"),"Listed","Mixed")))</x:f>
        <x:v>Listed</x:v>
      </x:c>
      <x:c r="V2283" s="1" t="str">
        <x:f>IF(A2283="","",IF(AK2283&lt;&gt;1,"Duplicate source ID",IF(COUNTIFS('Staff Review'!$A$8:$A$507,A2283)&gt;1,"Duplicate review ID",IF(H2283&lt;&gt;"Yes","Outside scope",IF(J2283="Yes","Already served",IF(NOT(ISNUMBER(T2283)),"Missing data","Candidate"))))))</x:f>
        <x:v>Candidate</x:v>
      </x:c>
      <x:c r="W2283" s="1" t="n">
        <x:f>IF(AL2283=0,"",1+COUNTIFS($AL$2051:$AL$2550,1,$T$2051:$T$2550,"&gt;"&amp;T2283)+COUNTIFS($AL$2051:$AL$2550,1,$T$2051:$T$2550,T2283,$G$2051:$G$2550,"&gt;"&amp;G2283)+COUNTIFS($AL$2051:$AL$2550,1,$T$2051:$T$2550,T2283,$G$2051:$G$2550,G2283,$F$2051:$F$2550,"&gt;"&amp;F2283)+COUNTIFS($AL$2051:$AL$2550,1,$T$2051:$T$2550,T2283,$G$2051:$G$2550,G2283,$F$2051:$F$2550,F2283,$AM$2051:$AM$2550,"&lt;"&amp;AM2283))</x:f>
        <x:v>232</x:v>
      </x:c>
      <x:c r="X2283" s="1" t="n">
        <x:f>IF(AL2283=0,"",1+COUNTIFS($AL$2051:$AL$2550,1,$T$2051:$T$2550,"&gt;"&amp;T2283))</x:f>
        <x:v>221</x:v>
      </x:c>
      <x:c r="Y2283" s="1" t="n">
        <x:f>IF(AND(H2283="Yes",OR(LEN('School Search'!$B$5)=0,ISNUMBER(SEARCH('School Search'!$B$5,B2283&amp;" "&amp;E2283&amp;" "&amp;A2283))),OR('School Search'!$D$5="All",C2283='School Search'!$D$5),OR('School Search'!$G$5="All eligible",AND('School Search'!$G$5="Not marked served",J2283&lt;&gt;"Yes"),AND('School Search'!$G$5="Missing data",V2283="Missing data"),AND('School Search'!$G$5="Marked served",J2283="Yes"))),1,0)</x:f>
        <x:v>1</x:v>
      </x:c>
      <x:c r="Z2283" s="1" t="n">
        <x:f>IF(Y2283=0,"",COUNTIFS($Y$2051:$Y$2550,1,$AO$2051:$AO$2550,"&lt;"&amp;AO2283)+COUNTIFS($Y$2051:Y2283,1,$AO$2051:AO2283,AO2283))</x:f>
        <x:v>232</x:v>
      </x:c>
      <x:c r="AA2283" s="1" t="str">
        <x:f>IF(NOT(ISNUMBER(S2283)),"Missing demographic or access input",TEXT(G2283,"0%")&amp;" economic need; "&amp;TEXT(K2283,"0.00")&amp;" mi fresh access; "&amp;L2283&amp;" nearby resources")</x:f>
        <x:v>41% economic need; 0.65 mi fresh access; 3 nearby resources</x:v>
      </x:c>
      <x:c r="AB2283" s="1" t="n">
        <x:f>IF(OR(A2283="",COUNTIFS($A$1531:$A$2030,A2283)&lt;&gt;1),0,MATCH(A2283,$A$1531:$A$2030,0))</x:f>
        <x:v>233</x:v>
      </x:c>
      <x:c r="AC2283" s="1" t="str">
        <x:f>IF(AB2283=0,"",INDEX($E$1531:$E$2030,AB2283))</x:f>
        <x:v>Grocery Outlet 728</x:v>
      </x:c>
      <x:c r="AD2283" s="1" t="str">
        <x:f>IF(AB2283=0,"",INDEX($F$1531:$F$2030,AB2283))</x:f>
        <x:v>25 W Hortter St, Philadelphia, PA, 19119</x:v>
      </x:c>
      <x:c r="AE2283" s="1" t="str">
        <x:f>IF(A2283="","",F234)</x:f>
        <x:v>601 CARPENTER LN</x:v>
      </x:c>
      <x:c r="AF2283" s="1" t="n">
        <x:f>IF(ISNUMBER(I234),I234,"")</x:f>
        <x:v>40.04625771</x:v>
      </x:c>
      <x:c r="AG2283" s="1" t="n">
        <x:f>IF(ISNUMBER(J234),J234,"")</x:f>
        <x:v>-75.19658776</x:v>
      </x:c>
      <x:c r="AH2283" s="1" t="str">
        <x:f>IF(I2283=0,"Not contacted",IF(INDEX('Staff Review'!$J$8:$J$507,I2283)="","Not contacted",INDEX('Staff Review'!$J$8:$J$507,I2283)))</x:f>
        <x:v>Not contacted</x:v>
      </x:c>
      <x:c r="AI2283" s="1" t="str">
        <x:f>IF(I2283=0,"No",IF(AND(COUNT(INDEX('Staff Review'!$D$8:$D$507,I2283))=1,INDEX('Staff Review'!$D$8:$D$507,I2283)&gt;=0,COUNT(INDEX('Staff Review'!$E$8:$E$507,I2283))=1,INDEX('Staff Review'!$E$8:$E$507,I2283)&gt;0,INDEX('Staff Review'!$E$8:$E$507,I2283)&lt;='Top 15'!$E$5,'Top 15'!$E$5-INDEX('Staff Review'!$E$8:$E$507,I2283)&lt;='Top 15'!$H$5,LEN(INDEX('Staff Review'!$H$8:$H$507,I2283))&gt;0),"Yes","No"))</x:f>
        <x:v>No</x:v>
      </x:c>
      <x:c r="AJ2283" s="1" t="str">
        <x:f>IF(I2283=0,"No",IF(COUNT(INDEX('Staff Review'!$F$8:$F$507,I2283))&lt;&gt;1,"No",IF(AND(INDEX('Staff Review'!$F$8:$F$507,I2283)&gt;=0,MOD(INDEX('Staff Review'!$F$8:$F$507,I2283),1)=0,COUNT(INDEX('Staff Review'!$G$8:$G$507,I2283))=1,INDEX('Staff Review'!$G$8:$G$507,I2283)&gt;0,INDEX('Staff Review'!$G$8:$G$507,I2283)&lt;='Top 15'!$E$5,'Top 15'!$E$5-INDEX('Staff Review'!$G$8:$G$507,I2283)&lt;='Top 15'!$H$5,LEN(INDEX('Staff Review'!$H$8:$H$507,I2283))&gt;0),"Yes","No")))</x:f>
        <x:v>No</x:v>
      </x:c>
      <x:c r="AK2283" s="1" t="n">
        <x:f>IF(A2283="",0,COUNTIFS($A$2:$A$501,A2283))</x:f>
        <x:v>1</x:v>
      </x:c>
      <x:c r="AL2283" s="1" t="n">
        <x:f>IF(V2283="Candidate",1,0)</x:f>
        <x:v>1</x:v>
      </x:c>
      <x:c r="AM2283" s="1" t="n">
        <x:f>IF(A2283="",0,VALUE(A2283))</x:f>
        <x:v>6250</x:v>
      </x:c>
      <x:c r="AN2283" s="1" t="n">
        <x:f>IF(OR(A2283="",COUNTIFS($T$41:$T$540,A2283)&lt;&gt;1),0,MATCH(A2283,$T$41:$T$540,0))</x:f>
        <x:v>233</x:v>
      </x:c>
      <x:c r="AO2283" t="n">
        <x:f>IF(ISNUMBER(W2283),W2283,10000+AM2283)</x:f>
        <x:v>232</x:v>
      </x:c>
    </x:row>
    <x:row r="2284" ht="22" customHeight="1">
      <x:c r="A2284" s="1" t="str">
        <x:f>IF(A235="","",A235)</x:f>
        <x:v>6260</x:v>
      </x:c>
      <x:c r="B2284" s="1" t="str">
        <x:f>IF(A2284="","",B235)</x:f>
        <x:v>Henry H. Houston School</x:v>
      </x:c>
      <x:c r="C2284" s="1" t="str">
        <x:f>IF(A2284="","",C235)</x:f>
        <x:v>District</x:v>
      </x:c>
      <x:c r="D2284" s="1" t="str">
        <x:f>IF(A2284="","",E235)</x:f>
        <x:v>Elementary-Middle</x:v>
      </x:c>
      <x:c r="E2284" s="1" t="str">
        <x:f>IF(A2284="","",H235)</x:f>
        <x:v>19119</x:v>
      </x:c>
      <x:c r="F2284" s="1" t="n">
        <x:f>IF(ISNUMBER(K235),K235,"")</x:f>
        <x:v>473</x:v>
      </x:c>
      <x:c r="G2284" s="1" t="n">
        <x:f>IF(ISNUMBER(L235),L235,"")</x:f>
        <x:v>0.5095</x:v>
      </x:c>
      <x:c r="H2284" s="1" t="str">
        <x:f>IF(A2284="","",IF(AND(UPPER(G235)="PHILADELPHIA",OR(C2284="District",AND(C2284="Charter",D235="Yes"))),"Yes","No"))</x:f>
        <x:v>Yes</x:v>
      </x:c>
      <x:c r="I2284" s="1" t="n">
        <x:f>IF(OR(A2284="",COUNTIFS('Staff Review'!$A$8:$A$507,A2284)&lt;&gt;1),0,MATCH(A2284,'Staff Review'!$A$8:$A$507,0))</x:f>
        <x:v>111</x:v>
      </x:c>
      <x:c r="J2284" s="1" t="str">
        <x:f>IF(I2284=0,"No",IF(INDEX('Staff Review'!$C$8:$C$507,I2284)="Yes","Yes","No"))</x:f>
        <x:v>No</x:v>
      </x:c>
      <x:c r="K2284" s="1" t="n">
        <x:f>IF(AI2284="Yes",INDEX('Staff Review'!$D$8:$D$507,I2284),IF(AB2284=0,"",IF(COUNT(INDEX($C$1531:$C$2030,AB2284))=1,INDEX($C$1531:$C$2030,AB2284),"")))</x:f>
        <x:v>0.3531423021349003</x:v>
      </x:c>
      <x:c r="L2284" s="1" t="n">
        <x:f>IF(AJ2284="Yes",INDEX('Staff Review'!$F$8:$F$507,I2284),IF(AB2284=0,"",IF(COUNT(INDEX($G$1531:$G$2030,AB2284))=1,INDEX($G$1531:$G$2030,AB2284),"")))</x:f>
        <x:v>2</x:v>
      </x:c>
      <x:c r="M2284" s="1" t="str">
        <x:f>IF(A2284="","",IF(AI2284="Yes","Verified","Listed"))</x:f>
        <x:v>Listed</x:v>
      </x:c>
      <x:c r="N2284" s="1" t="str">
        <x:f>IF(A2284="","",IF(AJ2284="Yes","Verified","Listed"))</x:f>
        <x:v>Listed</x:v>
      </x:c>
      <x:c r="O2284" s="1" t="n">
        <x:f>IF(AND(ISNUMBER(G2284),G2284&gt;=0,G2284&lt;=1),IF(G2284&gt;=0.9,30,IF(G2284&gt;=0.8,25,IF(G2284&gt;=0.7,20,IF(G2284&gt;=0.6,15,IF(G2284&gt;=0.5,10,IF(G2284&gt;=0.4,5,0)))))),"")</x:f>
        <x:v>10</x:v>
      </x:c>
      <x:c r="P2284" s="1" t="n">
        <x:f>IF(ISNUMBER(K2284),IF(K2284&lt;0,"",IF(K2284&gt;1,25,IF(K2284&gt;=0.75,20,IF(K2284&gt;=0.5,15,IF(K2284&gt;=0.25,10,5))))),"")</x:f>
        <x:v>10</x:v>
      </x:c>
      <x:c r="Q2284" s="1" t="n">
        <x:f>IF(NOT(ISNUMBER(L2284)),"",IF(AND(L2284&gt;=0,MOD(L2284,1)=0),MAX(0,25-5*L2284),""))</x:f>
        <x:v>15</x:v>
      </x:c>
      <x:c r="R2284" s="1" t="n">
        <x:f>IF(NOT(ISNUMBER(F2284)),"",IF(AND(F2284&gt;0,MOD(F2284,1)=0),IF(F2284&gt;=700,5,IF(F2284&gt;=500,4,IF(F2284&gt;=350,3,IF(F2284&gt;=200,2,1)))),""))</x:f>
        <x:v>3</x:v>
      </x:c>
      <x:c r="S2284" s="1" t="n">
        <x:f>IF(COUNT(O2284:R2284)=4,SUM(O2284:R2284),"")</x:f>
        <x:v>38</x:v>
      </x:c>
      <x:c r="T2284" s="1" t="n">
        <x:f>IF(OR(COUNT(O2284:R2284)&lt;&gt;4,COUNT('Top 15'!$B$35:$E$35)&lt;&gt;4,MIN('Top 15'!$B$35:$E$35)&lt;0,SUM('Top 15'!$B$35:$E$35)&lt;=0),"",ROUND(85*(O2284/30*'Top 15'!$B$35+P2284/25*'Top 15'!$C$35+Q2284/25*'Top 15'!$D$35+R2284/5*'Top 15'!$E$35)/SUM('Top 15'!$B$35:$E$35),6))</x:f>
        <x:v>38</x:v>
      </x:c>
      <x:c r="U2284" s="1" t="str">
        <x:f>IF(A2284="","",IF(AND(M2284="Verified",N2284="Verified"),"Verified",IF(AND(M2284="Listed",N2284="Listed"),"Listed","Mixed")))</x:f>
        <x:v>Listed</x:v>
      </x:c>
      <x:c r="V2284" s="1" t="str">
        <x:f>IF(A2284="","",IF(AK2284&lt;&gt;1,"Duplicate source ID",IF(COUNTIFS('Staff Review'!$A$8:$A$507,A2284)&gt;1,"Duplicate review ID",IF(H2284&lt;&gt;"Yes","Outside scope",IF(J2284="Yes","Already served",IF(NOT(ISNUMBER(T2284)),"Missing data","Candidate"))))))</x:f>
        <x:v>Candidate</x:v>
      </x:c>
      <x:c r="W2284" s="1" t="n">
        <x:f>IF(AL2284=0,"",1+COUNTIFS($AL$2051:$AL$2550,1,$T$2051:$T$2550,"&gt;"&amp;T2284)+COUNTIFS($AL$2051:$AL$2550,1,$T$2051:$T$2550,T2284,$G$2051:$G$2550,"&gt;"&amp;G2284)+COUNTIFS($AL$2051:$AL$2550,1,$T$2051:$T$2550,T2284,$G$2051:$G$2550,G2284,$F$2051:$F$2550,"&gt;"&amp;F2284)+COUNTIFS($AL$2051:$AL$2550,1,$T$2051:$T$2550,T2284,$G$2051:$G$2550,G2284,$F$2051:$F$2550,F2284,$AM$2051:$AM$2550,"&lt;"&amp;AM2284))</x:f>
        <x:v>181</x:v>
      </x:c>
      <x:c r="X2284" s="1" t="n">
        <x:f>IF(AL2284=0,"",1+COUNTIFS($AL$2051:$AL$2550,1,$T$2051:$T$2550,"&gt;"&amp;T2284))</x:f>
        <x:v>166</x:v>
      </x:c>
      <x:c r="Y2284" s="1" t="n">
        <x:f>IF(AND(H2284="Yes",OR(LEN('School Search'!$B$5)=0,ISNUMBER(SEARCH('School Search'!$B$5,B2284&amp;" "&amp;E2284&amp;" "&amp;A2284))),OR('School Search'!$D$5="All",C2284='School Search'!$D$5),OR('School Search'!$G$5="All eligible",AND('School Search'!$G$5="Not marked served",J2284&lt;&gt;"Yes"),AND('School Search'!$G$5="Missing data",V2284="Missing data"),AND('School Search'!$G$5="Marked served",J2284="Yes"))),1,0)</x:f>
        <x:v>1</x:v>
      </x:c>
      <x:c r="Z2284" s="1" t="n">
        <x:f>IF(Y2284=0,"",COUNTIFS($Y$2051:$Y$2550,1,$AO$2051:$AO$2550,"&lt;"&amp;AO2284)+COUNTIFS($Y$2051:Y2284,1,$AO$2051:AO2284,AO2284))</x:f>
        <x:v>181</x:v>
      </x:c>
      <x:c r="AA2284" s="1" t="str">
        <x:f>IF(NOT(ISNUMBER(S2284)),"Missing demographic or access input",TEXT(G2284,"0%")&amp;" economic need; "&amp;TEXT(K2284,"0.00")&amp;" mi fresh access; "&amp;L2284&amp;" nearby resources")</x:f>
        <x:v>51% economic need; 0.35 mi fresh access; 2 nearby resources</x:v>
      </x:c>
      <x:c r="AB2284" s="1" t="n">
        <x:f>IF(OR(A2284="",COUNTIFS($A$1531:$A$2030,A2284)&lt;&gt;1),0,MATCH(A2284,$A$1531:$A$2030,0))</x:f>
        <x:v>234</x:v>
      </x:c>
      <x:c r="AC2284" s="1" t="str">
        <x:f>IF(AB2284=0,"",INDEX($E$1531:$E$2030,AB2284))</x:f>
        <x:v>ACME 114</x:v>
      </x:c>
      <x:c r="AD2284" s="1" t="str">
        <x:f>IF(AB2284=0,"",INDEX($F$1531:$F$2030,AB2284))</x:f>
        <x:v>7010 Germantown Ave, Philadelphia, PA, 19119</x:v>
      </x:c>
      <x:c r="AE2284" s="1" t="str">
        <x:f>IF(A2284="","",F235)</x:f>
        <x:v>7300 RURAL LN</x:v>
      </x:c>
      <x:c r="AF2284" s="1" t="n">
        <x:f>IF(ISNUMBER(I235),I235,"")</x:f>
        <x:v>40.059003</x:v>
      </x:c>
      <x:c r="AG2284" s="1" t="n">
        <x:f>IF(ISNUMBER(J235),J235,"")</x:f>
        <x:v>-75.195084</x:v>
      </x:c>
      <x:c r="AH2284" s="1" t="str">
        <x:f>IF(I2284=0,"Not contacted",IF(INDEX('Staff Review'!$J$8:$J$507,I2284)="","Not contacted",INDEX('Staff Review'!$J$8:$J$507,I2284)))</x:f>
        <x:v>Not contacted</x:v>
      </x:c>
      <x:c r="AI2284" s="1" t="str">
        <x:f>IF(I2284=0,"No",IF(AND(COUNT(INDEX('Staff Review'!$D$8:$D$507,I2284))=1,INDEX('Staff Review'!$D$8:$D$507,I2284)&gt;=0,COUNT(INDEX('Staff Review'!$E$8:$E$507,I2284))=1,INDEX('Staff Review'!$E$8:$E$507,I2284)&gt;0,INDEX('Staff Review'!$E$8:$E$507,I2284)&lt;='Top 15'!$E$5,'Top 15'!$E$5-INDEX('Staff Review'!$E$8:$E$507,I2284)&lt;='Top 15'!$H$5,LEN(INDEX('Staff Review'!$H$8:$H$507,I2284))&gt;0),"Yes","No"))</x:f>
        <x:v>No</x:v>
      </x:c>
      <x:c r="AJ2284" s="1" t="str">
        <x:f>IF(I2284=0,"No",IF(COUNT(INDEX('Staff Review'!$F$8:$F$507,I2284))&lt;&gt;1,"No",IF(AND(INDEX('Staff Review'!$F$8:$F$507,I2284)&gt;=0,MOD(INDEX('Staff Review'!$F$8:$F$507,I2284),1)=0,COUNT(INDEX('Staff Review'!$G$8:$G$507,I2284))=1,INDEX('Staff Review'!$G$8:$G$507,I2284)&gt;0,INDEX('Staff Review'!$G$8:$G$507,I2284)&lt;='Top 15'!$E$5,'Top 15'!$E$5-INDEX('Staff Review'!$G$8:$G$507,I2284)&lt;='Top 15'!$H$5,LEN(INDEX('Staff Review'!$H$8:$H$507,I2284))&gt;0),"Yes","No")))</x:f>
        <x:v>No</x:v>
      </x:c>
      <x:c r="AK2284" s="1" t="n">
        <x:f>IF(A2284="",0,COUNTIFS($A$2:$A$501,A2284))</x:f>
        <x:v>1</x:v>
      </x:c>
      <x:c r="AL2284" s="1" t="n">
        <x:f>IF(V2284="Candidate",1,0)</x:f>
        <x:v>1</x:v>
      </x:c>
      <x:c r="AM2284" s="1" t="n">
        <x:f>IF(A2284="",0,VALUE(A2284))</x:f>
        <x:v>6260</x:v>
      </x:c>
      <x:c r="AN2284" s="1" t="n">
        <x:f>IF(OR(A2284="",COUNTIFS($T$41:$T$540,A2284)&lt;&gt;1),0,MATCH(A2284,$T$41:$T$540,0))</x:f>
        <x:v>234</x:v>
      </x:c>
      <x:c r="AO2284" t="n">
        <x:f>IF(ISNUMBER(W2284),W2284,10000+AM2284)</x:f>
        <x:v>181</x:v>
      </x:c>
    </x:row>
    <x:row r="2285" ht="22" customHeight="1">
      <x:c r="A2285" s="1" t="str">
        <x:f>IF(A236="","",A236)</x:f>
        <x:v>6270</x:v>
      </x:c>
      <x:c r="B2285" s="1" t="str">
        <x:f>IF(A2285="","",B236)</x:f>
        <x:v>John S. Jenks Academy for the Arts and Sciences</x:v>
      </x:c>
      <x:c r="C2285" s="1" t="str">
        <x:f>IF(A2285="","",C236)</x:f>
        <x:v>District</x:v>
      </x:c>
      <x:c r="D2285" s="1" t="str">
        <x:f>IF(A2285="","",E236)</x:f>
        <x:v>Elementary-Middle</x:v>
      </x:c>
      <x:c r="E2285" s="1" t="str">
        <x:f>IF(A2285="","",H236)</x:f>
        <x:v>19118</x:v>
      </x:c>
      <x:c r="F2285" s="1" t="n">
        <x:f>IF(ISNUMBER(K236),K236,"")</x:f>
        <x:v>380</x:v>
      </x:c>
      <x:c r="G2285" s="1" t="n">
        <x:f>IF(ISNUMBER(L236),L236,"")</x:f>
        <x:v>0.6078</x:v>
      </x:c>
      <x:c r="H2285" s="1" t="str">
        <x:f>IF(A2285="","",IF(AND(UPPER(G236)="PHILADELPHIA",OR(C2285="District",AND(C2285="Charter",D236="Yes"))),"Yes","No"))</x:f>
        <x:v>Yes</x:v>
      </x:c>
      <x:c r="I2285" s="1" t="n">
        <x:f>IF(OR(A2285="",COUNTIFS('Staff Review'!$A$8:$A$507,A2285)&lt;&gt;1),0,MATCH(A2285,'Staff Review'!$A$8:$A$507,0))</x:f>
        <x:v>144</x:v>
      </x:c>
      <x:c r="J2285" s="1" t="str">
        <x:f>IF(I2285=0,"No",IF(INDEX('Staff Review'!$C$8:$C$507,I2285)="Yes","Yes","No"))</x:f>
        <x:v>No</x:v>
      </x:c>
      <x:c r="K2285" s="1" t="n">
        <x:f>IF(AI2285="Yes",INDEX('Staff Review'!$D$8:$D$507,I2285),IF(AB2285=0,"",IF(COUNT(INDEX($C$1531:$C$2030,AB2285))=1,INDEX($C$1531:$C$2030,AB2285),"")))</x:f>
        <x:v>0.07200883562066408</x:v>
      </x:c>
      <x:c r="L2285" s="1" t="n">
        <x:f>IF(AJ2285="Yes",INDEX('Staff Review'!$F$8:$F$507,I2285),IF(AB2285=0,"",IF(COUNT(INDEX($G$1531:$G$2030,AB2285))=1,INDEX($G$1531:$G$2030,AB2285),"")))</x:f>
        <x:v>0</x:v>
      </x:c>
      <x:c r="M2285" s="1" t="str">
        <x:f>IF(A2285="","",IF(AI2285="Yes","Verified","Listed"))</x:f>
        <x:v>Listed</x:v>
      </x:c>
      <x:c r="N2285" s="1" t="str">
        <x:f>IF(A2285="","",IF(AJ2285="Yes","Verified","Listed"))</x:f>
        <x:v>Listed</x:v>
      </x:c>
      <x:c r="O2285" s="1" t="n">
        <x:f>IF(AND(ISNUMBER(G2285),G2285&gt;=0,G2285&lt;=1),IF(G2285&gt;=0.9,30,IF(G2285&gt;=0.8,25,IF(G2285&gt;=0.7,20,IF(G2285&gt;=0.6,15,IF(G2285&gt;=0.5,10,IF(G2285&gt;=0.4,5,0)))))),"")</x:f>
        <x:v>15</x:v>
      </x:c>
      <x:c r="P2285" s="1" t="n">
        <x:f>IF(ISNUMBER(K2285),IF(K2285&lt;0,"",IF(K2285&gt;1,25,IF(K2285&gt;=0.75,20,IF(K2285&gt;=0.5,15,IF(K2285&gt;=0.25,10,5))))),"")</x:f>
        <x:v>5</x:v>
      </x:c>
      <x:c r="Q2285" s="1" t="n">
        <x:f>IF(NOT(ISNUMBER(L2285)),"",IF(AND(L2285&gt;=0,MOD(L2285,1)=0),MAX(0,25-5*L2285),""))</x:f>
        <x:v>25</x:v>
      </x:c>
      <x:c r="R2285" s="1" t="n">
        <x:f>IF(NOT(ISNUMBER(F2285)),"",IF(AND(F2285&gt;0,MOD(F2285,1)=0),IF(F2285&gt;=700,5,IF(F2285&gt;=500,4,IF(F2285&gt;=350,3,IF(F2285&gt;=200,2,1)))),""))</x:f>
        <x:v>3</x:v>
      </x:c>
      <x:c r="S2285" s="1" t="n">
        <x:f>IF(COUNT(O2285:R2285)=4,SUM(O2285:R2285),"")</x:f>
        <x:v>48</x:v>
      </x:c>
      <x:c r="T2285" s="1" t="n">
        <x:f>IF(OR(COUNT(O2285:R2285)&lt;&gt;4,COUNT('Top 15'!$B$35:$E$35)&lt;&gt;4,MIN('Top 15'!$B$35:$E$35)&lt;0,SUM('Top 15'!$B$35:$E$35)&lt;=0),"",ROUND(85*(O2285/30*'Top 15'!$B$35+P2285/25*'Top 15'!$C$35+Q2285/25*'Top 15'!$D$35+R2285/5*'Top 15'!$E$35)/SUM('Top 15'!$B$35:$E$35),6))</x:f>
        <x:v>48</x:v>
      </x:c>
      <x:c r="U2285" s="1" t="str">
        <x:f>IF(A2285="","",IF(AND(M2285="Verified",N2285="Verified"),"Verified",IF(AND(M2285="Listed",N2285="Listed"),"Listed","Mixed")))</x:f>
        <x:v>Listed</x:v>
      </x:c>
      <x:c r="V2285" s="1" t="str">
        <x:f>IF(A2285="","",IF(AK2285&lt;&gt;1,"Duplicate source ID",IF(COUNTIFS('Staff Review'!$A$8:$A$507,A2285)&gt;1,"Duplicate review ID",IF(H2285&lt;&gt;"Yes","Outside scope",IF(J2285="Yes","Already served",IF(NOT(ISNUMBER(T2285)),"Missing data","Candidate"))))))</x:f>
        <x:v>Candidate</x:v>
      </x:c>
      <x:c r="W2285" s="1" t="n">
        <x:f>IF(AL2285=0,"",1+COUNTIFS($AL$2051:$AL$2550,1,$T$2051:$T$2550,"&gt;"&amp;T2285)+COUNTIFS($AL$2051:$AL$2550,1,$T$2051:$T$2550,T2285,$G$2051:$G$2550,"&gt;"&amp;G2285)+COUNTIFS($AL$2051:$AL$2550,1,$T$2051:$T$2550,T2285,$G$2051:$G$2550,G2285,$F$2051:$F$2550,"&gt;"&amp;F2285)+COUNTIFS($AL$2051:$AL$2550,1,$T$2051:$T$2550,T2285,$G$2051:$G$2550,G2285,$F$2051:$F$2550,F2285,$AM$2051:$AM$2550,"&lt;"&amp;AM2285))</x:f>
        <x:v>62</x:v>
      </x:c>
      <x:c r="X2285" s="1" t="n">
        <x:f>IF(AL2285=0,"",1+COUNTIFS($AL$2051:$AL$2550,1,$T$2051:$T$2550,"&gt;"&amp;T2285))</x:f>
        <x:v>56</x:v>
      </x:c>
      <x:c r="Y2285" s="1" t="n">
        <x:f>IF(AND(H2285="Yes",OR(LEN('School Search'!$B$5)=0,ISNUMBER(SEARCH('School Search'!$B$5,B2285&amp;" "&amp;E2285&amp;" "&amp;A2285))),OR('School Search'!$D$5="All",C2285='School Search'!$D$5),OR('School Search'!$G$5="All eligible",AND('School Search'!$G$5="Not marked served",J2285&lt;&gt;"Yes"),AND('School Search'!$G$5="Missing data",V2285="Missing data"),AND('School Search'!$G$5="Marked served",J2285="Yes"))),1,0)</x:f>
        <x:v>1</x:v>
      </x:c>
      <x:c r="Z2285" s="1" t="n">
        <x:f>IF(Y2285=0,"",COUNTIFS($Y$2051:$Y$2550,1,$AO$2051:$AO$2550,"&lt;"&amp;AO2285)+COUNTIFS($Y$2051:Y2285,1,$AO$2051:AO2285,AO2285))</x:f>
        <x:v>62</x:v>
      </x:c>
      <x:c r="AA2285" s="1" t="str">
        <x:f>IF(NOT(ISNUMBER(S2285)),"Missing demographic or access input",TEXT(G2285,"0%")&amp;" economic need; "&amp;TEXT(K2285,"0.00")&amp;" mi fresh access; "&amp;L2285&amp;" nearby resources")</x:f>
        <x:v>61% economic need; 0.07 mi fresh access; 0 nearby resources</x:v>
      </x:c>
      <x:c r="AB2285" s="1" t="n">
        <x:f>IF(OR(A2285="",COUNTIFS($A$1531:$A$2030,A2285)&lt;&gt;1),0,MATCH(A2285,$A$1531:$A$2030,0))</x:f>
        <x:v>235</x:v>
      </x:c>
      <x:c r="AC2285" s="1" t="str">
        <x:f>IF(AB2285=0,"",INDEX($E$1531:$E$2030,AB2285))</x:f>
        <x:v>The Fresh Market 133</x:v>
      </x:c>
      <x:c r="AD2285" s="1" t="str">
        <x:f>IF(AB2285=0,"",INDEX($F$1531:$F$2030,AB2285))</x:f>
        <x:v>8208 Germantown Ave, Philadelphia, PA, 19118</x:v>
      </x:c>
      <x:c r="AE2285" s="1" t="str">
        <x:f>IF(A2285="","",F236)</x:f>
        <x:v>8301 GERMANTOWN AVE</x:v>
      </x:c>
      <x:c r="AF2285" s="1" t="n">
        <x:f>IF(ISNUMBER(I236),I236,"")</x:f>
        <x:v>40.07440887</x:v>
      </x:c>
      <x:c r="AG2285" s="1" t="n">
        <x:f>IF(ISNUMBER(J236),J236,"")</x:f>
        <x:v>-75.20356162</x:v>
      </x:c>
      <x:c r="AH2285" s="1" t="str">
        <x:f>IF(I2285=0,"Not contacted",IF(INDEX('Staff Review'!$J$8:$J$507,I2285)="","Not contacted",INDEX('Staff Review'!$J$8:$J$507,I2285)))</x:f>
        <x:v>Not contacted</x:v>
      </x:c>
      <x:c r="AI2285" s="1" t="str">
        <x:f>IF(I2285=0,"No",IF(AND(COUNT(INDEX('Staff Review'!$D$8:$D$507,I2285))=1,INDEX('Staff Review'!$D$8:$D$507,I2285)&gt;=0,COUNT(INDEX('Staff Review'!$E$8:$E$507,I2285))=1,INDEX('Staff Review'!$E$8:$E$507,I2285)&gt;0,INDEX('Staff Review'!$E$8:$E$507,I2285)&lt;='Top 15'!$E$5,'Top 15'!$E$5-INDEX('Staff Review'!$E$8:$E$507,I2285)&lt;='Top 15'!$H$5,LEN(INDEX('Staff Review'!$H$8:$H$507,I2285))&gt;0),"Yes","No"))</x:f>
        <x:v>No</x:v>
      </x:c>
      <x:c r="AJ2285" s="1" t="str">
        <x:f>IF(I2285=0,"No",IF(COUNT(INDEX('Staff Review'!$F$8:$F$507,I2285))&lt;&gt;1,"No",IF(AND(INDEX('Staff Review'!$F$8:$F$507,I2285)&gt;=0,MOD(INDEX('Staff Review'!$F$8:$F$507,I2285),1)=0,COUNT(INDEX('Staff Review'!$G$8:$G$507,I2285))=1,INDEX('Staff Review'!$G$8:$G$507,I2285)&gt;0,INDEX('Staff Review'!$G$8:$G$507,I2285)&lt;='Top 15'!$E$5,'Top 15'!$E$5-INDEX('Staff Review'!$G$8:$G$507,I2285)&lt;='Top 15'!$H$5,LEN(INDEX('Staff Review'!$H$8:$H$507,I2285))&gt;0),"Yes","No")))</x:f>
        <x:v>No</x:v>
      </x:c>
      <x:c r="AK2285" s="1" t="n">
        <x:f>IF(A2285="",0,COUNTIFS($A$2:$A$501,A2285))</x:f>
        <x:v>1</x:v>
      </x:c>
      <x:c r="AL2285" s="1" t="n">
        <x:f>IF(V2285="Candidate",1,0)</x:f>
        <x:v>1</x:v>
      </x:c>
      <x:c r="AM2285" s="1" t="n">
        <x:f>IF(A2285="",0,VALUE(A2285))</x:f>
        <x:v>6270</x:v>
      </x:c>
      <x:c r="AN2285" s="1" t="n">
        <x:f>IF(OR(A2285="",COUNTIFS($T$41:$T$540,A2285)&lt;&gt;1),0,MATCH(A2285,$T$41:$T$540,0))</x:f>
        <x:v>235</x:v>
      </x:c>
      <x:c r="AO2285" t="n">
        <x:f>IF(ISNUMBER(W2285),W2285,10000+AM2285)</x:f>
        <x:v>62</x:v>
      </x:c>
    </x:row>
    <x:row r="2286" ht="22" customHeight="1">
      <x:c r="A2286" s="1" t="str">
        <x:f>IF(A237="","",A237)</x:f>
        <x:v>6300</x:v>
      </x:c>
      <x:c r="B2286" s="1" t="str">
        <x:f>IF(A2286="","",B237)</x:f>
        <x:v>James Logan School</x:v>
      </x:c>
      <x:c r="C2286" s="1" t="str">
        <x:f>IF(A2286="","",C237)</x:f>
        <x:v>District</x:v>
      </x:c>
      <x:c r="D2286" s="1" t="str">
        <x:f>IF(A2286="","",E237)</x:f>
        <x:v>Elementary</x:v>
      </x:c>
      <x:c r="E2286" s="1" t="str">
        <x:f>IF(A2286="","",H237)</x:f>
        <x:v>19141</x:v>
      </x:c>
      <x:c r="F2286" s="1" t="n">
        <x:f>IF(ISNUMBER(K237),K237,"")</x:f>
        <x:v>223</x:v>
      </x:c>
      <x:c r="G2286" s="1" t="n">
        <x:f>IF(ISNUMBER(L237),L237,"")</x:f>
        <x:v>0.9023</x:v>
      </x:c>
      <x:c r="H2286" s="1" t="str">
        <x:f>IF(A2286="","",IF(AND(UPPER(G237)="PHILADELPHIA",OR(C2286="District",AND(C2286="Charter",D237="Yes"))),"Yes","No"))</x:f>
        <x:v>Yes</x:v>
      </x:c>
      <x:c r="I2286" s="1" t="n">
        <x:f>IF(OR(A2286="",COUNTIFS('Staff Review'!$A$8:$A$507,A2286)&lt;&gt;1),0,MATCH(A2286,'Staff Review'!$A$8:$A$507,0))</x:f>
        <x:v>128</x:v>
      </x:c>
      <x:c r="J2286" s="1" t="str">
        <x:f>IF(I2286=0,"No",IF(INDEX('Staff Review'!$C$8:$C$507,I2286)="Yes","Yes","No"))</x:f>
        <x:v>No</x:v>
      </x:c>
      <x:c r="K2286" s="1" t="n">
        <x:f>IF(AI2286="Yes",INDEX('Staff Review'!$D$8:$D$507,I2286),IF(AB2286=0,"",IF(COUNT(INDEX($C$1531:$C$2030,AB2286))=1,INDEX($C$1531:$C$2030,AB2286),"")))</x:f>
        <x:v>0.6970152804060143</x:v>
      </x:c>
      <x:c r="L2286" s="1" t="n">
        <x:f>IF(AJ2286="Yes",INDEX('Staff Review'!$F$8:$F$507,I2286),IF(AB2286=0,"",IF(COUNT(INDEX($G$1531:$G$2030,AB2286))=1,INDEX($G$1531:$G$2030,AB2286),"")))</x:f>
        <x:v>8</x:v>
      </x:c>
      <x:c r="M2286" s="1" t="str">
        <x:f>IF(A2286="","",IF(AI2286="Yes","Verified","Listed"))</x:f>
        <x:v>Listed</x:v>
      </x:c>
      <x:c r="N2286" s="1" t="str">
        <x:f>IF(A2286="","",IF(AJ2286="Yes","Verified","Listed"))</x:f>
        <x:v>Listed</x:v>
      </x:c>
      <x:c r="O2286" s="1" t="n">
        <x:f>IF(AND(ISNUMBER(G2286),G2286&gt;=0,G2286&lt;=1),IF(G2286&gt;=0.9,30,IF(G2286&gt;=0.8,25,IF(G2286&gt;=0.7,20,IF(G2286&gt;=0.6,15,IF(G2286&gt;=0.5,10,IF(G2286&gt;=0.4,5,0)))))),"")</x:f>
        <x:v>30</x:v>
      </x:c>
      <x:c r="P2286" s="1" t="n">
        <x:f>IF(ISNUMBER(K2286),IF(K2286&lt;0,"",IF(K2286&gt;1,25,IF(K2286&gt;=0.75,20,IF(K2286&gt;=0.5,15,IF(K2286&gt;=0.25,10,5))))),"")</x:f>
        <x:v>15</x:v>
      </x:c>
      <x:c r="Q2286" s="1" t="n">
        <x:f>IF(NOT(ISNUMBER(L2286)),"",IF(AND(L2286&gt;=0,MOD(L2286,1)=0),MAX(0,25-5*L2286),""))</x:f>
        <x:v>0</x:v>
      </x:c>
      <x:c r="R2286" s="1" t="n">
        <x:f>IF(NOT(ISNUMBER(F2286)),"",IF(AND(F2286&gt;0,MOD(F2286,1)=0),IF(F2286&gt;=700,5,IF(F2286&gt;=500,4,IF(F2286&gt;=350,3,IF(F2286&gt;=200,2,1)))),""))</x:f>
        <x:v>2</x:v>
      </x:c>
      <x:c r="S2286" s="1" t="n">
        <x:f>IF(COUNT(O2286:R2286)=4,SUM(O2286:R2286),"")</x:f>
        <x:v>47</x:v>
      </x:c>
      <x:c r="T2286" s="1" t="n">
        <x:f>IF(OR(COUNT(O2286:R2286)&lt;&gt;4,COUNT('Top 15'!$B$35:$E$35)&lt;&gt;4,MIN('Top 15'!$B$35:$E$35)&lt;0,SUM('Top 15'!$B$35:$E$35)&lt;=0),"",ROUND(85*(O2286/30*'Top 15'!$B$35+P2286/25*'Top 15'!$C$35+Q2286/25*'Top 15'!$D$35+R2286/5*'Top 15'!$E$35)/SUM('Top 15'!$B$35:$E$35),6))</x:f>
        <x:v>47</x:v>
      </x:c>
      <x:c r="U2286" s="1" t="str">
        <x:f>IF(A2286="","",IF(AND(M2286="Verified",N2286="Verified"),"Verified",IF(AND(M2286="Listed",N2286="Listed"),"Listed","Mixed")))</x:f>
        <x:v>Listed</x:v>
      </x:c>
      <x:c r="V2286" s="1" t="str">
        <x:f>IF(A2286="","",IF(AK2286&lt;&gt;1,"Duplicate source ID",IF(COUNTIFS('Staff Review'!$A$8:$A$507,A2286)&gt;1,"Duplicate review ID",IF(H2286&lt;&gt;"Yes","Outside scope",IF(J2286="Yes","Already served",IF(NOT(ISNUMBER(T2286)),"Missing data","Candidate"))))))</x:f>
        <x:v>Candidate</x:v>
      </x:c>
      <x:c r="W2286" s="1" t="n">
        <x:f>IF(AL2286=0,"",1+COUNTIFS($AL$2051:$AL$2550,1,$T$2051:$T$2550,"&gt;"&amp;T2286)+COUNTIFS($AL$2051:$AL$2550,1,$T$2051:$T$2550,T2286,$G$2051:$G$2550,"&gt;"&amp;G2286)+COUNTIFS($AL$2051:$AL$2550,1,$T$2051:$T$2550,T2286,$G$2051:$G$2550,G2286,$F$2051:$F$2550,"&gt;"&amp;F2286)+COUNTIFS($AL$2051:$AL$2550,1,$T$2051:$T$2550,T2286,$G$2051:$G$2550,G2286,$F$2051:$F$2550,F2286,$AM$2051:$AM$2550,"&lt;"&amp;AM2286))</x:f>
        <x:v>68</x:v>
      </x:c>
      <x:c r="X2286" s="1" t="n">
        <x:f>IF(AL2286=0,"",1+COUNTIFS($AL$2051:$AL$2550,1,$T$2051:$T$2550,"&gt;"&amp;T2286))</x:f>
        <x:v>64</x:v>
      </x:c>
      <x:c r="Y2286" s="1" t="n">
        <x:f>IF(AND(H2286="Yes",OR(LEN('School Search'!$B$5)=0,ISNUMBER(SEARCH('School Search'!$B$5,B2286&amp;" "&amp;E2286&amp;" "&amp;A2286))),OR('School Search'!$D$5="All",C2286='School Search'!$D$5),OR('School Search'!$G$5="All eligible",AND('School Search'!$G$5="Not marked served",J2286&lt;&gt;"Yes"),AND('School Search'!$G$5="Missing data",V2286="Missing data"),AND('School Search'!$G$5="Marked served",J2286="Yes"))),1,0)</x:f>
        <x:v>1</x:v>
      </x:c>
      <x:c r="Z2286" s="1" t="n">
        <x:f>IF(Y2286=0,"",COUNTIFS($Y$2051:$Y$2550,1,$AO$2051:$AO$2550,"&lt;"&amp;AO2286)+COUNTIFS($Y$2051:Y2286,1,$AO$2051:AO2286,AO2286))</x:f>
        <x:v>68</x:v>
      </x:c>
      <x:c r="AA2286" s="1" t="str">
        <x:f>IF(NOT(ISNUMBER(S2286)),"Missing demographic or access input",TEXT(G2286,"0%")&amp;" economic need; "&amp;TEXT(K2286,"0.00")&amp;" mi fresh access; "&amp;L2286&amp;" nearby resources")</x:f>
        <x:v>90% economic need; 0.70 mi fresh access; 8 nearby resources</x:v>
      </x:c>
      <x:c r="AB2286" s="1" t="n">
        <x:f>IF(OR(A2286="",COUNTIFS($A$1531:$A$2030,A2286)&lt;&gt;1),0,MATCH(A2286,$A$1531:$A$2030,0))</x:f>
        <x:v>236</x:v>
      </x:c>
      <x:c r="AC2286" s="1" t="str">
        <x:f>IF(AB2286=0,"",INDEX($E$1531:$E$2030,AB2286))</x:f>
        <x:v>Save-A-Lot 60138</x:v>
      </x:c>
      <x:c r="AD2286" s="1" t="str">
        <x:f>IF(AB2286=0,"",INDEX($F$1531:$F$2030,AB2286))</x:f>
        <x:v>4424 N Broad St, Philadelphia, PA, 19140</x:v>
      </x:c>
      <x:c r="AE2286" s="1" t="str">
        <x:f>IF(A2286="","",F237)</x:f>
        <x:v>1700 LINDLEY AVE</x:v>
      </x:c>
      <x:c r="AF2286" s="1" t="n">
        <x:f>IF(ISNUMBER(I237),I237,"")</x:f>
        <x:v>40.03085306</x:v>
      </x:c>
      <x:c r="AG2286" s="1" t="n">
        <x:f>IF(ISNUMBER(J237),J237,"")</x:f>
        <x:v>-75.15205995</x:v>
      </x:c>
      <x:c r="AH2286" s="1" t="str">
        <x:f>IF(I2286=0,"Not contacted",IF(INDEX('Staff Review'!$J$8:$J$507,I2286)="","Not contacted",INDEX('Staff Review'!$J$8:$J$507,I2286)))</x:f>
        <x:v>Not contacted</x:v>
      </x:c>
      <x:c r="AI2286" s="1" t="str">
        <x:f>IF(I2286=0,"No",IF(AND(COUNT(INDEX('Staff Review'!$D$8:$D$507,I2286))=1,INDEX('Staff Review'!$D$8:$D$507,I2286)&gt;=0,COUNT(INDEX('Staff Review'!$E$8:$E$507,I2286))=1,INDEX('Staff Review'!$E$8:$E$507,I2286)&gt;0,INDEX('Staff Review'!$E$8:$E$507,I2286)&lt;='Top 15'!$E$5,'Top 15'!$E$5-INDEX('Staff Review'!$E$8:$E$507,I2286)&lt;='Top 15'!$H$5,LEN(INDEX('Staff Review'!$H$8:$H$507,I2286))&gt;0),"Yes","No"))</x:f>
        <x:v>No</x:v>
      </x:c>
      <x:c r="AJ2286" s="1" t="str">
        <x:f>IF(I2286=0,"No",IF(COUNT(INDEX('Staff Review'!$F$8:$F$507,I2286))&lt;&gt;1,"No",IF(AND(INDEX('Staff Review'!$F$8:$F$507,I2286)&gt;=0,MOD(INDEX('Staff Review'!$F$8:$F$507,I2286),1)=0,COUNT(INDEX('Staff Review'!$G$8:$G$507,I2286))=1,INDEX('Staff Review'!$G$8:$G$507,I2286)&gt;0,INDEX('Staff Review'!$G$8:$G$507,I2286)&lt;='Top 15'!$E$5,'Top 15'!$E$5-INDEX('Staff Review'!$G$8:$G$507,I2286)&lt;='Top 15'!$H$5,LEN(INDEX('Staff Review'!$H$8:$H$507,I2286))&gt;0),"Yes","No")))</x:f>
        <x:v>No</x:v>
      </x:c>
      <x:c r="AK2286" s="1" t="n">
        <x:f>IF(A2286="",0,COUNTIFS($A$2:$A$501,A2286))</x:f>
        <x:v>1</x:v>
      </x:c>
      <x:c r="AL2286" s="1" t="n">
        <x:f>IF(V2286="Candidate",1,0)</x:f>
        <x:v>1</x:v>
      </x:c>
      <x:c r="AM2286" s="1" t="n">
        <x:f>IF(A2286="",0,VALUE(A2286))</x:f>
        <x:v>6300</x:v>
      </x:c>
      <x:c r="AN2286" s="1" t="n">
        <x:f>IF(OR(A2286="",COUNTIFS($T$41:$T$540,A2286)&lt;&gt;1),0,MATCH(A2286,$T$41:$T$540,0))</x:f>
        <x:v>236</x:v>
      </x:c>
      <x:c r="AO2286" t="n">
        <x:f>IF(ISNUMBER(W2286),W2286,10000+AM2286)</x:f>
        <x:v>68</x:v>
      </x:c>
    </x:row>
    <x:row r="2287" ht="22" customHeight="1">
      <x:c r="A2287" s="1" t="str">
        <x:f>IF(A238="","",A238)</x:f>
        <x:v>6310</x:v>
      </x:c>
      <x:c r="B2287" s="1" t="str">
        <x:f>IF(A2287="","",B238)</x:f>
        <x:v>John F. McCloskey School</x:v>
      </x:c>
      <x:c r="C2287" s="1" t="str">
        <x:f>IF(A2287="","",C238)</x:f>
        <x:v>District</x:v>
      </x:c>
      <x:c r="D2287" s="1" t="str">
        <x:f>IF(A2287="","",E238)</x:f>
        <x:v>Elementary-Middle</x:v>
      </x:c>
      <x:c r="E2287" s="1" t="str">
        <x:f>IF(A2287="","",H238)</x:f>
        <x:v>19150</x:v>
      </x:c>
      <x:c r="F2287" s="1" t="n">
        <x:f>IF(ISNUMBER(K238),K238,"")</x:f>
        <x:v>217</x:v>
      </x:c>
      <x:c r="G2287" s="1" t="n">
        <x:f>IF(ISNUMBER(L238),L238,"")</x:f>
        <x:v>0.7557</x:v>
      </x:c>
      <x:c r="H2287" s="1" t="str">
        <x:f>IF(A2287="","",IF(AND(UPPER(G238)="PHILADELPHIA",OR(C2287="District",AND(C2287="Charter",D238="Yes"))),"Yes","No"))</x:f>
        <x:v>Yes</x:v>
      </x:c>
      <x:c r="I2287" s="1" t="n">
        <x:f>IF(OR(A2287="",COUNTIFS('Staff Review'!$A$8:$A$507,A2287)&lt;&gt;1),0,MATCH(A2287,'Staff Review'!$A$8:$A$507,0))</x:f>
        <x:v>138</x:v>
      </x:c>
      <x:c r="J2287" s="1" t="str">
        <x:f>IF(I2287=0,"No",IF(INDEX('Staff Review'!$C$8:$C$507,I2287)="Yes","Yes","No"))</x:f>
        <x:v>No</x:v>
      </x:c>
      <x:c r="K2287" s="1" t="n">
        <x:f>IF(AI2287="Yes",INDEX('Staff Review'!$D$8:$D$507,I2287),IF(AB2287=0,"",IF(COUNT(INDEX($C$1531:$C$2030,AB2287))=1,INDEX($C$1531:$C$2030,AB2287),"")))</x:f>
        <x:v>0.2594880425032732</x:v>
      </x:c>
      <x:c r="L2287" s="1" t="n">
        <x:f>IF(AJ2287="Yes",INDEX('Staff Review'!$F$8:$F$507,I2287),IF(AB2287=0,"",IF(COUNT(INDEX($G$1531:$G$2030,AB2287))=1,INDEX($G$1531:$G$2030,AB2287),"")))</x:f>
        <x:v>0</x:v>
      </x:c>
      <x:c r="M2287" s="1" t="str">
        <x:f>IF(A2287="","",IF(AI2287="Yes","Verified","Listed"))</x:f>
        <x:v>Listed</x:v>
      </x:c>
      <x:c r="N2287" s="1" t="str">
        <x:f>IF(A2287="","",IF(AJ2287="Yes","Verified","Listed"))</x:f>
        <x:v>Listed</x:v>
      </x:c>
      <x:c r="O2287" s="1" t="n">
        <x:f>IF(AND(ISNUMBER(G2287),G2287&gt;=0,G2287&lt;=1),IF(G2287&gt;=0.9,30,IF(G2287&gt;=0.8,25,IF(G2287&gt;=0.7,20,IF(G2287&gt;=0.6,15,IF(G2287&gt;=0.5,10,IF(G2287&gt;=0.4,5,0)))))),"")</x:f>
        <x:v>20</x:v>
      </x:c>
      <x:c r="P2287" s="1" t="n">
        <x:f>IF(ISNUMBER(K2287),IF(K2287&lt;0,"",IF(K2287&gt;1,25,IF(K2287&gt;=0.75,20,IF(K2287&gt;=0.5,15,IF(K2287&gt;=0.25,10,5))))),"")</x:f>
        <x:v>10</x:v>
      </x:c>
      <x:c r="Q2287" s="1" t="n">
        <x:f>IF(NOT(ISNUMBER(L2287)),"",IF(AND(L2287&gt;=0,MOD(L2287,1)=0),MAX(0,25-5*L2287),""))</x:f>
        <x:v>25</x:v>
      </x:c>
      <x:c r="R2287" s="1" t="n">
        <x:f>IF(NOT(ISNUMBER(F2287)),"",IF(AND(F2287&gt;0,MOD(F2287,1)=0),IF(F2287&gt;=700,5,IF(F2287&gt;=500,4,IF(F2287&gt;=350,3,IF(F2287&gt;=200,2,1)))),""))</x:f>
        <x:v>2</x:v>
      </x:c>
      <x:c r="S2287" s="1" t="n">
        <x:f>IF(COUNT(O2287:R2287)=4,SUM(O2287:R2287),"")</x:f>
        <x:v>57</x:v>
      </x:c>
      <x:c r="T2287" s="1" t="n">
        <x:f>IF(OR(COUNT(O2287:R2287)&lt;&gt;4,COUNT('Top 15'!$B$35:$E$35)&lt;&gt;4,MIN('Top 15'!$B$35:$E$35)&lt;0,SUM('Top 15'!$B$35:$E$35)&lt;=0),"",ROUND(85*(O2287/30*'Top 15'!$B$35+P2287/25*'Top 15'!$C$35+Q2287/25*'Top 15'!$D$35+R2287/5*'Top 15'!$E$35)/SUM('Top 15'!$B$35:$E$35),6))</x:f>
        <x:v>57</x:v>
      </x:c>
      <x:c r="U2287" s="1" t="str">
        <x:f>IF(A2287="","",IF(AND(M2287="Verified",N2287="Verified"),"Verified",IF(AND(M2287="Listed",N2287="Listed"),"Listed","Mixed")))</x:f>
        <x:v>Listed</x:v>
      </x:c>
      <x:c r="V2287" s="1" t="str">
        <x:f>IF(A2287="","",IF(AK2287&lt;&gt;1,"Duplicate source ID",IF(COUNTIFS('Staff Review'!$A$8:$A$507,A2287)&gt;1,"Duplicate review ID",IF(H2287&lt;&gt;"Yes","Outside scope",IF(J2287="Yes","Already served",IF(NOT(ISNUMBER(T2287)),"Missing data","Candidate"))))))</x:f>
        <x:v>Candidate</x:v>
      </x:c>
      <x:c r="W2287" s="1" t="n">
        <x:f>IF(AL2287=0,"",1+COUNTIFS($AL$2051:$AL$2550,1,$T$2051:$T$2550,"&gt;"&amp;T2287)+COUNTIFS($AL$2051:$AL$2550,1,$T$2051:$T$2550,T2287,$G$2051:$G$2550,"&gt;"&amp;G2287)+COUNTIFS($AL$2051:$AL$2550,1,$T$2051:$T$2550,T2287,$G$2051:$G$2550,G2287,$F$2051:$F$2550,"&gt;"&amp;F2287)+COUNTIFS($AL$2051:$AL$2550,1,$T$2051:$T$2550,T2287,$G$2051:$G$2550,G2287,$F$2051:$F$2550,F2287,$AM$2051:$AM$2550,"&lt;"&amp;AM2287))</x:f>
        <x:v>20</x:v>
      </x:c>
      <x:c r="X2287" s="1" t="n">
        <x:f>IF(AL2287=0,"",1+COUNTIFS($AL$2051:$AL$2550,1,$T$2051:$T$2550,"&gt;"&amp;T2287))</x:f>
        <x:v>20</x:v>
      </x:c>
      <x:c r="Y2287" s="1" t="n">
        <x:f>IF(AND(H2287="Yes",OR(LEN('School Search'!$B$5)=0,ISNUMBER(SEARCH('School Search'!$B$5,B2287&amp;" "&amp;E2287&amp;" "&amp;A2287))),OR('School Search'!$D$5="All",C2287='School Search'!$D$5),OR('School Search'!$G$5="All eligible",AND('School Search'!$G$5="Not marked served",J2287&lt;&gt;"Yes"),AND('School Search'!$G$5="Missing data",V2287="Missing data"),AND('School Search'!$G$5="Marked served",J2287="Yes"))),1,0)</x:f>
        <x:v>1</x:v>
      </x:c>
      <x:c r="Z2287" s="1" t="n">
        <x:f>IF(Y2287=0,"",COUNTIFS($Y$2051:$Y$2550,1,$AO$2051:$AO$2550,"&lt;"&amp;AO2287)+COUNTIFS($Y$2051:Y2287,1,$AO$2051:AO2287,AO2287))</x:f>
        <x:v>20</x:v>
      </x:c>
      <x:c r="AA2287" s="1" t="str">
        <x:f>IF(NOT(ISNUMBER(S2287)),"Missing demographic or access input",TEXT(G2287,"0%")&amp;" economic need; "&amp;TEXT(K2287,"0.00")&amp;" mi fresh access; "&amp;L2287&amp;" nearby resources")</x:f>
        <x:v>76% economic need; 0.26 mi fresh access; 0 nearby resources</x:v>
      </x:c>
      <x:c r="AB2287" s="1" t="n">
        <x:f>IF(OR(A2287="",COUNTIFS($A$1531:$A$2030,A2287)&lt;&gt;1),0,MATCH(A2287,$A$1531:$A$2030,0))</x:f>
        <x:v>237</x:v>
      </x:c>
      <x:c r="AC2287" s="1" t="str">
        <x:f>IF(AB2287=0,"",INDEX($E$1531:$E$2030,AB2287))</x:f>
        <x:v>Fresh Grocer Of Wyncote 415</x:v>
      </x:c>
      <x:c r="AD2287" s="1" t="str">
        <x:f>IF(AB2287=0,"",INDEX($F$1531:$F$2030,AB2287))</x:f>
        <x:v>1000 Easton Rd, Wyncote, PA, 19095</x:v>
      </x:c>
      <x:c r="AE2287" s="1" t="str">
        <x:f>IF(A2287="","",F238)</x:f>
        <x:v>8500 PICKERING AVE</x:v>
      </x:c>
      <x:c r="AF2287" s="1" t="n">
        <x:f>IF(ISNUMBER(I238),I238,"")</x:f>
        <x:v>40.08162668</x:v>
      </x:c>
      <x:c r="AG2287" s="1" t="n">
        <x:f>IF(ISNUMBER(J238),J238,"")</x:f>
        <x:v>-75.17533748</x:v>
      </x:c>
      <x:c r="AH2287" s="1" t="str">
        <x:f>IF(I2287=0,"Not contacted",IF(INDEX('Staff Review'!$J$8:$J$507,I2287)="","Not contacted",INDEX('Staff Review'!$J$8:$J$507,I2287)))</x:f>
        <x:v>Not contacted</x:v>
      </x:c>
      <x:c r="AI2287" s="1" t="str">
        <x:f>IF(I2287=0,"No",IF(AND(COUNT(INDEX('Staff Review'!$D$8:$D$507,I2287))=1,INDEX('Staff Review'!$D$8:$D$507,I2287)&gt;=0,COUNT(INDEX('Staff Review'!$E$8:$E$507,I2287))=1,INDEX('Staff Review'!$E$8:$E$507,I2287)&gt;0,INDEX('Staff Review'!$E$8:$E$507,I2287)&lt;='Top 15'!$E$5,'Top 15'!$E$5-INDEX('Staff Review'!$E$8:$E$507,I2287)&lt;='Top 15'!$H$5,LEN(INDEX('Staff Review'!$H$8:$H$507,I2287))&gt;0),"Yes","No"))</x:f>
        <x:v>No</x:v>
      </x:c>
      <x:c r="AJ2287" s="1" t="str">
        <x:f>IF(I2287=0,"No",IF(COUNT(INDEX('Staff Review'!$F$8:$F$507,I2287))&lt;&gt;1,"No",IF(AND(INDEX('Staff Review'!$F$8:$F$507,I2287)&gt;=0,MOD(INDEX('Staff Review'!$F$8:$F$507,I2287),1)=0,COUNT(INDEX('Staff Review'!$G$8:$G$507,I2287))=1,INDEX('Staff Review'!$G$8:$G$507,I2287)&gt;0,INDEX('Staff Review'!$G$8:$G$507,I2287)&lt;='Top 15'!$E$5,'Top 15'!$E$5-INDEX('Staff Review'!$G$8:$G$507,I2287)&lt;='Top 15'!$H$5,LEN(INDEX('Staff Review'!$H$8:$H$507,I2287))&gt;0),"Yes","No")))</x:f>
        <x:v>No</x:v>
      </x:c>
      <x:c r="AK2287" s="1" t="n">
        <x:f>IF(A2287="",0,COUNTIFS($A$2:$A$501,A2287))</x:f>
        <x:v>1</x:v>
      </x:c>
      <x:c r="AL2287" s="1" t="n">
        <x:f>IF(V2287="Candidate",1,0)</x:f>
        <x:v>1</x:v>
      </x:c>
      <x:c r="AM2287" s="1" t="n">
        <x:f>IF(A2287="",0,VALUE(A2287))</x:f>
        <x:v>6310</x:v>
      </x:c>
      <x:c r="AN2287" s="1" t="n">
        <x:f>IF(OR(A2287="",COUNTIFS($T$41:$T$540,A2287)&lt;&gt;1),0,MATCH(A2287,$T$41:$T$540,0))</x:f>
        <x:v>237</x:v>
      </x:c>
      <x:c r="AO2287" t="n">
        <x:f>IF(ISNUMBER(W2287),W2287,10000+AM2287)</x:f>
        <x:v>20</x:v>
      </x:c>
    </x:row>
    <x:row r="2288" ht="22" customHeight="1">
      <x:c r="A2288" s="1" t="str">
        <x:f>IF(A239="","",A239)</x:f>
        <x:v>6320</x:v>
      </x:c>
      <x:c r="B2288" s="1" t="str">
        <x:f>IF(A2288="","",B239)</x:f>
        <x:v>Thomas Mifflin School</x:v>
      </x:c>
      <x:c r="C2288" s="1" t="str">
        <x:f>IF(A2288="","",C239)</x:f>
        <x:v>District</x:v>
      </x:c>
      <x:c r="D2288" s="1" t="str">
        <x:f>IF(A2288="","",E239)</x:f>
        <x:v>Elementary-Middle</x:v>
      </x:c>
      <x:c r="E2288" s="1" t="str">
        <x:f>IF(A2288="","",H239)</x:f>
        <x:v>19129</x:v>
      </x:c>
      <x:c r="F2288" s="1" t="n">
        <x:f>IF(ISNUMBER(K239),K239,"")</x:f>
        <x:v>396</x:v>
      </x:c>
      <x:c r="G2288" s="1" t="n">
        <x:f>IF(ISNUMBER(L239),L239,"")</x:f>
        <x:v>0.6037</x:v>
      </x:c>
      <x:c r="H2288" s="1" t="str">
        <x:f>IF(A2288="","",IF(AND(UPPER(G239)="PHILADELPHIA",OR(C2288="District",AND(C2288="Charter",D239="Yes"))),"Yes","No"))</x:f>
        <x:v>Yes</x:v>
      </x:c>
      <x:c r="I2288" s="1" t="n">
        <x:f>IF(OR(A2288="",COUNTIFS('Staff Review'!$A$8:$A$507,A2288)&lt;&gt;1),0,MATCH(A2288,'Staff Review'!$A$8:$A$507,0))</x:f>
        <x:v>297</x:v>
      </x:c>
      <x:c r="J2288" s="1" t="str">
        <x:f>IF(I2288=0,"No",IF(INDEX('Staff Review'!$C$8:$C$507,I2288)="Yes","Yes","No"))</x:f>
        <x:v>No</x:v>
      </x:c>
      <x:c r="K2288" s="1" t="n">
        <x:f>IF(AI2288="Yes",INDEX('Staff Review'!$D$8:$D$507,I2288),IF(AB2288=0,"",IF(COUNT(INDEX($C$1531:$C$2030,AB2288))=1,INDEX($C$1531:$C$2030,AB2288),"")))</x:f>
        <x:v>0.8725492411240803</x:v>
      </x:c>
      <x:c r="L2288" s="1" t="n">
        <x:f>IF(AJ2288="Yes",INDEX('Staff Review'!$F$8:$F$507,I2288),IF(AB2288=0,"",IF(COUNT(INDEX($G$1531:$G$2030,AB2288))=1,INDEX($G$1531:$G$2030,AB2288),"")))</x:f>
        <x:v>3</x:v>
      </x:c>
      <x:c r="M2288" s="1" t="str">
        <x:f>IF(A2288="","",IF(AI2288="Yes","Verified","Listed"))</x:f>
        <x:v>Listed</x:v>
      </x:c>
      <x:c r="N2288" s="1" t="str">
        <x:f>IF(A2288="","",IF(AJ2288="Yes","Verified","Listed"))</x:f>
        <x:v>Listed</x:v>
      </x:c>
      <x:c r="O2288" s="1" t="n">
        <x:f>IF(AND(ISNUMBER(G2288),G2288&gt;=0,G2288&lt;=1),IF(G2288&gt;=0.9,30,IF(G2288&gt;=0.8,25,IF(G2288&gt;=0.7,20,IF(G2288&gt;=0.6,15,IF(G2288&gt;=0.5,10,IF(G2288&gt;=0.4,5,0)))))),"")</x:f>
        <x:v>15</x:v>
      </x:c>
      <x:c r="P2288" s="1" t="n">
        <x:f>IF(ISNUMBER(K2288),IF(K2288&lt;0,"",IF(K2288&gt;1,25,IF(K2288&gt;=0.75,20,IF(K2288&gt;=0.5,15,IF(K2288&gt;=0.25,10,5))))),"")</x:f>
        <x:v>20</x:v>
      </x:c>
      <x:c r="Q2288" s="1" t="n">
        <x:f>IF(NOT(ISNUMBER(L2288)),"",IF(AND(L2288&gt;=0,MOD(L2288,1)=0),MAX(0,25-5*L2288),""))</x:f>
        <x:v>10</x:v>
      </x:c>
      <x:c r="R2288" s="1" t="n">
        <x:f>IF(NOT(ISNUMBER(F2288)),"",IF(AND(F2288&gt;0,MOD(F2288,1)=0),IF(F2288&gt;=700,5,IF(F2288&gt;=500,4,IF(F2288&gt;=350,3,IF(F2288&gt;=200,2,1)))),""))</x:f>
        <x:v>3</x:v>
      </x:c>
      <x:c r="S2288" s="1" t="n">
        <x:f>IF(COUNT(O2288:R2288)=4,SUM(O2288:R2288),"")</x:f>
        <x:v>48</x:v>
      </x:c>
      <x:c r="T2288" s="1" t="n">
        <x:f>IF(OR(COUNT(O2288:R2288)&lt;&gt;4,COUNT('Top 15'!$B$35:$E$35)&lt;&gt;4,MIN('Top 15'!$B$35:$E$35)&lt;0,SUM('Top 15'!$B$35:$E$35)&lt;=0),"",ROUND(85*(O2288/30*'Top 15'!$B$35+P2288/25*'Top 15'!$C$35+Q2288/25*'Top 15'!$D$35+R2288/5*'Top 15'!$E$35)/SUM('Top 15'!$B$35:$E$35),6))</x:f>
        <x:v>48</x:v>
      </x:c>
      <x:c r="U2288" s="1" t="str">
        <x:f>IF(A2288="","",IF(AND(M2288="Verified",N2288="Verified"),"Verified",IF(AND(M2288="Listed",N2288="Listed"),"Listed","Mixed")))</x:f>
        <x:v>Listed</x:v>
      </x:c>
      <x:c r="V2288" s="1" t="str">
        <x:f>IF(A2288="","",IF(AK2288&lt;&gt;1,"Duplicate source ID",IF(COUNTIFS('Staff Review'!$A$8:$A$507,A2288)&gt;1,"Duplicate review ID",IF(H2288&lt;&gt;"Yes","Outside scope",IF(J2288="Yes","Already served",IF(NOT(ISNUMBER(T2288)),"Missing data","Candidate"))))))</x:f>
        <x:v>Candidate</x:v>
      </x:c>
      <x:c r="W2288" s="1" t="n">
        <x:f>IF(AL2288=0,"",1+COUNTIFS($AL$2051:$AL$2550,1,$T$2051:$T$2550,"&gt;"&amp;T2288)+COUNTIFS($AL$2051:$AL$2550,1,$T$2051:$T$2550,T2288,$G$2051:$G$2550,"&gt;"&amp;G2288)+COUNTIFS($AL$2051:$AL$2550,1,$T$2051:$T$2550,T2288,$G$2051:$G$2550,G2288,$F$2051:$F$2550,"&gt;"&amp;F2288)+COUNTIFS($AL$2051:$AL$2550,1,$T$2051:$T$2550,T2288,$G$2051:$G$2550,G2288,$F$2051:$F$2550,F2288,$AM$2051:$AM$2550,"&lt;"&amp;AM2288))</x:f>
        <x:v>63</x:v>
      </x:c>
      <x:c r="X2288" s="1" t="n">
        <x:f>IF(AL2288=0,"",1+COUNTIFS($AL$2051:$AL$2550,1,$T$2051:$T$2550,"&gt;"&amp;T2288))</x:f>
        <x:v>56</x:v>
      </x:c>
      <x:c r="Y2288" s="1" t="n">
        <x:f>IF(AND(H2288="Yes",OR(LEN('School Search'!$B$5)=0,ISNUMBER(SEARCH('School Search'!$B$5,B2288&amp;" "&amp;E2288&amp;" "&amp;A2288))),OR('School Search'!$D$5="All",C2288='School Search'!$D$5),OR('School Search'!$G$5="All eligible",AND('School Search'!$G$5="Not marked served",J2288&lt;&gt;"Yes"),AND('School Search'!$G$5="Missing data",V2288="Missing data"),AND('School Search'!$G$5="Marked served",J2288="Yes"))),1,0)</x:f>
        <x:v>1</x:v>
      </x:c>
      <x:c r="Z2288" s="1" t="n">
        <x:f>IF(Y2288=0,"",COUNTIFS($Y$2051:$Y$2550,1,$AO$2051:$AO$2550,"&lt;"&amp;AO2288)+COUNTIFS($Y$2051:Y2288,1,$AO$2051:AO2288,AO2288))</x:f>
        <x:v>63</x:v>
      </x:c>
      <x:c r="AA2288" s="1" t="str">
        <x:f>IF(NOT(ISNUMBER(S2288)),"Missing demographic or access input",TEXT(G2288,"0%")&amp;" economic need; "&amp;TEXT(K2288,"0.00")&amp;" mi fresh access; "&amp;L2288&amp;" nearby resources")</x:f>
        <x:v>60% economic need; 0.87 mi fresh access; 3 nearby resources</x:v>
      </x:c>
      <x:c r="AB2288" s="1" t="n">
        <x:f>IF(OR(A2288="",COUNTIFS($A$1531:$A$2030,A2288)&lt;&gt;1),0,MATCH(A2288,$A$1531:$A$2030,0))</x:f>
        <x:v>238</x:v>
      </x:c>
      <x:c r="AC2288" s="1" t="str">
        <x:f>IF(AB2288=0,"",INDEX($E$1531:$E$2030,AB2288))</x:f>
        <x:v>Shoprite of Fox Street 430</x:v>
      </x:c>
      <x:c r="AD2288" s="1" t="str">
        <x:f>IF(AB2288=0,"",INDEX($F$1531:$F$2030,AB2288))</x:f>
        <x:v>2800 Fox Street, Philadelphia, PA, 19129</x:v>
      </x:c>
      <x:c r="AE2288" s="1" t="str">
        <x:f>IF(A2288="","",F239)</x:f>
        <x:v>3624 CONRAD ST</x:v>
      </x:c>
      <x:c r="AF2288" s="1" t="n">
        <x:f>IF(ISNUMBER(I239),I239,"")</x:f>
        <x:v>40.01357043</x:v>
      </x:c>
      <x:c r="AG2288" s="1" t="n">
        <x:f>IF(ISNUMBER(J239),J239,"")</x:f>
        <x:v>-75.19128804</x:v>
      </x:c>
      <x:c r="AH2288" s="1" t="str">
        <x:f>IF(I2288=0,"Not contacted",IF(INDEX('Staff Review'!$J$8:$J$507,I2288)="","Not contacted",INDEX('Staff Review'!$J$8:$J$507,I2288)))</x:f>
        <x:v>Not contacted</x:v>
      </x:c>
      <x:c r="AI2288" s="1" t="str">
        <x:f>IF(I2288=0,"No",IF(AND(COUNT(INDEX('Staff Review'!$D$8:$D$507,I2288))=1,INDEX('Staff Review'!$D$8:$D$507,I2288)&gt;=0,COUNT(INDEX('Staff Review'!$E$8:$E$507,I2288))=1,INDEX('Staff Review'!$E$8:$E$507,I2288)&gt;0,INDEX('Staff Review'!$E$8:$E$507,I2288)&lt;='Top 15'!$E$5,'Top 15'!$E$5-INDEX('Staff Review'!$E$8:$E$507,I2288)&lt;='Top 15'!$H$5,LEN(INDEX('Staff Review'!$H$8:$H$507,I2288))&gt;0),"Yes","No"))</x:f>
        <x:v>No</x:v>
      </x:c>
      <x:c r="AJ2288" s="1" t="str">
        <x:f>IF(I2288=0,"No",IF(COUNT(INDEX('Staff Review'!$F$8:$F$507,I2288))&lt;&gt;1,"No",IF(AND(INDEX('Staff Review'!$F$8:$F$507,I2288)&gt;=0,MOD(INDEX('Staff Review'!$F$8:$F$507,I2288),1)=0,COUNT(INDEX('Staff Review'!$G$8:$G$507,I2288))=1,INDEX('Staff Review'!$G$8:$G$507,I2288)&gt;0,INDEX('Staff Review'!$G$8:$G$507,I2288)&lt;='Top 15'!$E$5,'Top 15'!$E$5-INDEX('Staff Review'!$G$8:$G$507,I2288)&lt;='Top 15'!$H$5,LEN(INDEX('Staff Review'!$H$8:$H$507,I2288))&gt;0),"Yes","No")))</x:f>
        <x:v>No</x:v>
      </x:c>
      <x:c r="AK2288" s="1" t="n">
        <x:f>IF(A2288="",0,COUNTIFS($A$2:$A$501,A2288))</x:f>
        <x:v>1</x:v>
      </x:c>
      <x:c r="AL2288" s="1" t="n">
        <x:f>IF(V2288="Candidate",1,0)</x:f>
        <x:v>1</x:v>
      </x:c>
      <x:c r="AM2288" s="1" t="n">
        <x:f>IF(A2288="",0,VALUE(A2288))</x:f>
        <x:v>6320</x:v>
      </x:c>
      <x:c r="AN2288" s="1" t="n">
        <x:f>IF(OR(A2288="",COUNTIFS($T$41:$T$540,A2288)&lt;&gt;1),0,MATCH(A2288,$T$41:$T$540,0))</x:f>
        <x:v>238</x:v>
      </x:c>
      <x:c r="AO2288" t="n">
        <x:f>IF(ISNUMBER(W2288),W2288,10000+AM2288)</x:f>
        <x:v>63</x:v>
      </x:c>
    </x:row>
    <x:row r="2289" ht="22" customHeight="1">
      <x:c r="A2289" s="1" t="str">
        <x:f>IF(A240="","",A240)</x:f>
        <x:v>6340</x:v>
      </x:c>
      <x:c r="B2289" s="1" t="str">
        <x:f>IF(A2289="","",B240)</x:f>
        <x:v>Joseph Pennell School</x:v>
      </x:c>
      <x:c r="C2289" s="1" t="str">
        <x:f>IF(A2289="","",C240)</x:f>
        <x:v>District</x:v>
      </x:c>
      <x:c r="D2289" s="1" t="str">
        <x:f>IF(A2289="","",E240)</x:f>
        <x:v>Elementary</x:v>
      </x:c>
      <x:c r="E2289" s="1" t="str">
        <x:f>IF(A2289="","",H240)</x:f>
        <x:v>19141</x:v>
      </x:c>
      <x:c r="F2289" s="1" t="n">
        <x:f>IF(ISNUMBER(K240),K240,"")</x:f>
        <x:v>249</x:v>
      </x:c>
      <x:c r="G2289" s="1" t="n">
        <x:f>IF(ISNUMBER(L240),L240,"")</x:f>
        <x:v>0.8844</x:v>
      </x:c>
      <x:c r="H2289" s="1" t="str">
        <x:f>IF(A2289="","",IF(AND(UPPER(G240)="PHILADELPHIA",OR(C2289="District",AND(C2289="Charter",D240="Yes"))),"Yes","No"))</x:f>
        <x:v>Yes</x:v>
      </x:c>
      <x:c r="I2289" s="1" t="n">
        <x:f>IF(OR(A2289="",COUNTIFS('Staff Review'!$A$8:$A$507,A2289)&lt;&gt;1),0,MATCH(A2289,'Staff Review'!$A$8:$A$507,0))</x:f>
        <x:v>148</x:v>
      </x:c>
      <x:c r="J2289" s="1" t="str">
        <x:f>IF(I2289=0,"No",IF(INDEX('Staff Review'!$C$8:$C$507,I2289)="Yes","Yes","No"))</x:f>
        <x:v>No</x:v>
      </x:c>
      <x:c r="K2289" s="1" t="n">
        <x:f>IF(AI2289="Yes",INDEX('Staff Review'!$D$8:$D$507,I2289),IF(AB2289=0,"",IF(COUNT(INDEX($C$1531:$C$2030,AB2289))=1,INDEX($C$1531:$C$2030,AB2289),"")))</x:f>
        <x:v>0.3698242442479336</x:v>
      </x:c>
      <x:c r="L2289" s="1" t="n">
        <x:f>IF(AJ2289="Yes",INDEX('Staff Review'!$F$8:$F$507,I2289),IF(AB2289=0,"",IF(COUNT(INDEX($G$1531:$G$2030,AB2289))=1,INDEX($G$1531:$G$2030,AB2289),"")))</x:f>
        <x:v>13</x:v>
      </x:c>
      <x:c r="M2289" s="1" t="str">
        <x:f>IF(A2289="","",IF(AI2289="Yes","Verified","Listed"))</x:f>
        <x:v>Listed</x:v>
      </x:c>
      <x:c r="N2289" s="1" t="str">
        <x:f>IF(A2289="","",IF(AJ2289="Yes","Verified","Listed"))</x:f>
        <x:v>Listed</x:v>
      </x:c>
      <x:c r="O2289" s="1" t="n">
        <x:f>IF(AND(ISNUMBER(G2289),G2289&gt;=0,G2289&lt;=1),IF(G2289&gt;=0.9,30,IF(G2289&gt;=0.8,25,IF(G2289&gt;=0.7,20,IF(G2289&gt;=0.6,15,IF(G2289&gt;=0.5,10,IF(G2289&gt;=0.4,5,0)))))),"")</x:f>
        <x:v>25</x:v>
      </x:c>
      <x:c r="P2289" s="1" t="n">
        <x:f>IF(ISNUMBER(K2289),IF(K2289&lt;0,"",IF(K2289&gt;1,25,IF(K2289&gt;=0.75,20,IF(K2289&gt;=0.5,15,IF(K2289&gt;=0.25,10,5))))),"")</x:f>
        <x:v>10</x:v>
      </x:c>
      <x:c r="Q2289" s="1" t="n">
        <x:f>IF(NOT(ISNUMBER(L2289)),"",IF(AND(L2289&gt;=0,MOD(L2289,1)=0),MAX(0,25-5*L2289),""))</x:f>
        <x:v>0</x:v>
      </x:c>
      <x:c r="R2289" s="1" t="n">
        <x:f>IF(NOT(ISNUMBER(F2289)),"",IF(AND(F2289&gt;0,MOD(F2289,1)=0),IF(F2289&gt;=700,5,IF(F2289&gt;=500,4,IF(F2289&gt;=350,3,IF(F2289&gt;=200,2,1)))),""))</x:f>
        <x:v>2</x:v>
      </x:c>
      <x:c r="S2289" s="1" t="n">
        <x:f>IF(COUNT(O2289:R2289)=4,SUM(O2289:R2289),"")</x:f>
        <x:v>37</x:v>
      </x:c>
      <x:c r="T2289" s="1" t="n">
        <x:f>IF(OR(COUNT(O2289:R2289)&lt;&gt;4,COUNT('Top 15'!$B$35:$E$35)&lt;&gt;4,MIN('Top 15'!$B$35:$E$35)&lt;0,SUM('Top 15'!$B$35:$E$35)&lt;=0),"",ROUND(85*(O2289/30*'Top 15'!$B$35+P2289/25*'Top 15'!$C$35+Q2289/25*'Top 15'!$D$35+R2289/5*'Top 15'!$E$35)/SUM('Top 15'!$B$35:$E$35),6))</x:f>
        <x:v>37</x:v>
      </x:c>
      <x:c r="U2289" s="1" t="str">
        <x:f>IF(A2289="","",IF(AND(M2289="Verified",N2289="Verified"),"Verified",IF(AND(M2289="Listed",N2289="Listed"),"Listed","Mixed")))</x:f>
        <x:v>Listed</x:v>
      </x:c>
      <x:c r="V2289" s="1" t="str">
        <x:f>IF(A2289="","",IF(AK2289&lt;&gt;1,"Duplicate source ID",IF(COUNTIFS('Staff Review'!$A$8:$A$507,A2289)&gt;1,"Duplicate review ID",IF(H2289&lt;&gt;"Yes","Outside scope",IF(J2289="Yes","Already served",IF(NOT(ISNUMBER(T2289)),"Missing data","Candidate"))))))</x:f>
        <x:v>Candidate</x:v>
      </x:c>
      <x:c r="W2289" s="1" t="n">
        <x:f>IF(AL2289=0,"",1+COUNTIFS($AL$2051:$AL$2550,1,$T$2051:$T$2550,"&gt;"&amp;T2289)+COUNTIFS($AL$2051:$AL$2550,1,$T$2051:$T$2550,T2289,$G$2051:$G$2550,"&gt;"&amp;G2289)+COUNTIFS($AL$2051:$AL$2550,1,$T$2051:$T$2550,T2289,$G$2051:$G$2550,G2289,$F$2051:$F$2550,"&gt;"&amp;F2289)+COUNTIFS($AL$2051:$AL$2550,1,$T$2051:$T$2550,T2289,$G$2051:$G$2550,G2289,$F$2051:$F$2550,F2289,$AM$2051:$AM$2550,"&lt;"&amp;AM2289))</x:f>
        <x:v>188</x:v>
      </x:c>
      <x:c r="X2289" s="1" t="n">
        <x:f>IF(AL2289=0,"",1+COUNTIFS($AL$2051:$AL$2550,1,$T$2051:$T$2550,"&gt;"&amp;T2289))</x:f>
        <x:v>182</x:v>
      </x:c>
      <x:c r="Y2289" s="1" t="n">
        <x:f>IF(AND(H2289="Yes",OR(LEN('School Search'!$B$5)=0,ISNUMBER(SEARCH('School Search'!$B$5,B2289&amp;" "&amp;E2289&amp;" "&amp;A2289))),OR('School Search'!$D$5="All",C2289='School Search'!$D$5),OR('School Search'!$G$5="All eligible",AND('School Search'!$G$5="Not marked served",J2289&lt;&gt;"Yes"),AND('School Search'!$G$5="Missing data",V2289="Missing data"),AND('School Search'!$G$5="Marked served",J2289="Yes"))),1,0)</x:f>
        <x:v>1</x:v>
      </x:c>
      <x:c r="Z2289" s="1" t="n">
        <x:f>IF(Y2289=0,"",COUNTIFS($Y$2051:$Y$2550,1,$AO$2051:$AO$2550,"&lt;"&amp;AO2289)+COUNTIFS($Y$2051:Y2289,1,$AO$2051:AO2289,AO2289))</x:f>
        <x:v>188</x:v>
      </x:c>
      <x:c r="AA2289" s="1" t="str">
        <x:f>IF(NOT(ISNUMBER(S2289)),"Missing demographic or access input",TEXT(G2289,"0%")&amp;" economic need; "&amp;TEXT(K2289,"0.00")&amp;" mi fresh access; "&amp;L2289&amp;" nearby resources")</x:f>
        <x:v>88% economic need; 0.37 mi fresh access; 13 nearby resources</x:v>
      </x:c>
      <x:c r="AB2289" s="1" t="n">
        <x:f>IF(OR(A2289="",COUNTIFS($A$1531:$A$2030,A2289)&lt;&gt;1),0,MATCH(A2289,$A$1531:$A$2030,0))</x:f>
        <x:v>239</x:v>
      </x:c>
      <x:c r="AC2289" s="1" t="str">
        <x:f>IF(AB2289=0,"",INDEX($E$1531:$E$2030,AB2289))</x:f>
        <x:v>THE FRESH GROCER</x:v>
      </x:c>
      <x:c r="AD2289" s="1" t="str">
        <x:f>IF(AB2289=0,"",INDEX($F$1531:$F$2030,AB2289))</x:f>
        <x:v>5301 Chew Ave, Philadelphia, PA, 19138</x:v>
      </x:c>
      <x:c r="AE2289" s="1" t="str">
        <x:f>IF(A2289="","",F240)</x:f>
        <x:v>1800 NEDRO AVE</x:v>
      </x:c>
      <x:c r="AF2289" s="1" t="n">
        <x:f>IF(ISNUMBER(I240),I240,"")</x:f>
        <x:v>40.04351806</x:v>
      </x:c>
      <x:c r="AG2289" s="1" t="n">
        <x:f>IF(ISNUMBER(J240),J240,"")</x:f>
        <x:v>-75.15208663</x:v>
      </x:c>
      <x:c r="AH2289" s="1" t="str">
        <x:f>IF(I2289=0,"Not contacted",IF(INDEX('Staff Review'!$J$8:$J$507,I2289)="","Not contacted",INDEX('Staff Review'!$J$8:$J$507,I2289)))</x:f>
        <x:v>Not contacted</x:v>
      </x:c>
      <x:c r="AI2289" s="1" t="str">
        <x:f>IF(I2289=0,"No",IF(AND(COUNT(INDEX('Staff Review'!$D$8:$D$507,I2289))=1,INDEX('Staff Review'!$D$8:$D$507,I2289)&gt;=0,COUNT(INDEX('Staff Review'!$E$8:$E$507,I2289))=1,INDEX('Staff Review'!$E$8:$E$507,I2289)&gt;0,INDEX('Staff Review'!$E$8:$E$507,I2289)&lt;='Top 15'!$E$5,'Top 15'!$E$5-INDEX('Staff Review'!$E$8:$E$507,I2289)&lt;='Top 15'!$H$5,LEN(INDEX('Staff Review'!$H$8:$H$507,I2289))&gt;0),"Yes","No"))</x:f>
        <x:v>No</x:v>
      </x:c>
      <x:c r="AJ2289" s="1" t="str">
        <x:f>IF(I2289=0,"No",IF(COUNT(INDEX('Staff Review'!$F$8:$F$507,I2289))&lt;&gt;1,"No",IF(AND(INDEX('Staff Review'!$F$8:$F$507,I2289)&gt;=0,MOD(INDEX('Staff Review'!$F$8:$F$507,I2289),1)=0,COUNT(INDEX('Staff Review'!$G$8:$G$507,I2289))=1,INDEX('Staff Review'!$G$8:$G$507,I2289)&gt;0,INDEX('Staff Review'!$G$8:$G$507,I2289)&lt;='Top 15'!$E$5,'Top 15'!$E$5-INDEX('Staff Review'!$G$8:$G$507,I2289)&lt;='Top 15'!$H$5,LEN(INDEX('Staff Review'!$H$8:$H$507,I2289))&gt;0),"Yes","No")))</x:f>
        <x:v>No</x:v>
      </x:c>
      <x:c r="AK2289" s="1" t="n">
        <x:f>IF(A2289="",0,COUNTIFS($A$2:$A$501,A2289))</x:f>
        <x:v>1</x:v>
      </x:c>
      <x:c r="AL2289" s="1" t="n">
        <x:f>IF(V2289="Candidate",1,0)</x:f>
        <x:v>1</x:v>
      </x:c>
      <x:c r="AM2289" s="1" t="n">
        <x:f>IF(A2289="",0,VALUE(A2289))</x:f>
        <x:v>6340</x:v>
      </x:c>
      <x:c r="AN2289" s="1" t="n">
        <x:f>IF(OR(A2289="",COUNTIFS($T$41:$T$540,A2289)&lt;&gt;1),0,MATCH(A2289,$T$41:$T$540,0))</x:f>
        <x:v>239</x:v>
      </x:c>
      <x:c r="AO2289" t="n">
        <x:f>IF(ISNUMBER(W2289),W2289,10000+AM2289)</x:f>
        <x:v>188</x:v>
      </x:c>
    </x:row>
    <x:row r="2290" ht="22" customHeight="1">
      <x:c r="A2290" s="1" t="str">
        <x:f>IF(A241="","",A241)</x:f>
        <x:v>6350</x:v>
      </x:c>
      <x:c r="B2290" s="1" t="str">
        <x:f>IF(A2290="","",B241)</x:f>
        <x:v>Samuel Pennypacker School</x:v>
      </x:c>
      <x:c r="C2290" s="1" t="str">
        <x:f>IF(A2290="","",C241)</x:f>
        <x:v>District</x:v>
      </x:c>
      <x:c r="D2290" s="1" t="str">
        <x:f>IF(A2290="","",E241)</x:f>
        <x:v>Elementary-Middle</x:v>
      </x:c>
      <x:c r="E2290" s="1" t="str">
        <x:f>IF(A2290="","",H241)</x:f>
        <x:v>19138</x:v>
      </x:c>
      <x:c r="F2290" s="1" t="n">
        <x:f>IF(ISNUMBER(K241),K241,"")</x:f>
        <x:v>302</x:v>
      </x:c>
      <x:c r="G2290" s="1" t="n">
        <x:f>IF(ISNUMBER(L241),L241,"")</x:f>
        <x:v>0.8693</x:v>
      </x:c>
      <x:c r="H2290" s="1" t="str">
        <x:f>IF(A2290="","",IF(AND(UPPER(G241)="PHILADELPHIA",OR(C2290="District",AND(C2290="Charter",D241="Yes"))),"Yes","No"))</x:f>
        <x:v>Yes</x:v>
      </x:c>
      <x:c r="I2290" s="1" t="n">
        <x:f>IF(OR(A2290="",COUNTIFS('Staff Review'!$A$8:$A$507,A2290)&lt;&gt;1),0,MATCH(A2290,'Staff Review'!$A$8:$A$507,0))</x:f>
        <x:v>263</x:v>
      </x:c>
      <x:c r="J2290" s="1" t="str">
        <x:f>IF(I2290=0,"No",IF(INDEX('Staff Review'!$C$8:$C$507,I2290)="Yes","Yes","No"))</x:f>
        <x:v>No</x:v>
      </x:c>
      <x:c r="K2290" s="1" t="n">
        <x:f>IF(AI2290="Yes",INDEX('Staff Review'!$D$8:$D$507,I2290),IF(AB2290=0,"",IF(COUNT(INDEX($C$1531:$C$2030,AB2290))=1,INDEX($C$1531:$C$2030,AB2290),"")))</x:f>
        <x:v>0.7154200968267349</x:v>
      </x:c>
      <x:c r="L2290" s="1" t="n">
        <x:f>IF(AJ2290="Yes",INDEX('Staff Review'!$F$8:$F$507,I2290),IF(AB2290=0,"",IF(COUNT(INDEX($G$1531:$G$2030,AB2290))=1,INDEX($G$1531:$G$2030,AB2290),"")))</x:f>
        <x:v>6</x:v>
      </x:c>
      <x:c r="M2290" s="1" t="str">
        <x:f>IF(A2290="","",IF(AI2290="Yes","Verified","Listed"))</x:f>
        <x:v>Listed</x:v>
      </x:c>
      <x:c r="N2290" s="1" t="str">
        <x:f>IF(A2290="","",IF(AJ2290="Yes","Verified","Listed"))</x:f>
        <x:v>Listed</x:v>
      </x:c>
      <x:c r="O2290" s="1" t="n">
        <x:f>IF(AND(ISNUMBER(G2290),G2290&gt;=0,G2290&lt;=1),IF(G2290&gt;=0.9,30,IF(G2290&gt;=0.8,25,IF(G2290&gt;=0.7,20,IF(G2290&gt;=0.6,15,IF(G2290&gt;=0.5,10,IF(G2290&gt;=0.4,5,0)))))),"")</x:f>
        <x:v>25</x:v>
      </x:c>
      <x:c r="P2290" s="1" t="n">
        <x:f>IF(ISNUMBER(K2290),IF(K2290&lt;0,"",IF(K2290&gt;1,25,IF(K2290&gt;=0.75,20,IF(K2290&gt;=0.5,15,IF(K2290&gt;=0.25,10,5))))),"")</x:f>
        <x:v>15</x:v>
      </x:c>
      <x:c r="Q2290" s="1" t="n">
        <x:f>IF(NOT(ISNUMBER(L2290)),"",IF(AND(L2290&gt;=0,MOD(L2290,1)=0),MAX(0,25-5*L2290),""))</x:f>
        <x:v>0</x:v>
      </x:c>
      <x:c r="R2290" s="1" t="n">
        <x:f>IF(NOT(ISNUMBER(F2290)),"",IF(AND(F2290&gt;0,MOD(F2290,1)=0),IF(F2290&gt;=700,5,IF(F2290&gt;=500,4,IF(F2290&gt;=350,3,IF(F2290&gt;=200,2,1)))),""))</x:f>
        <x:v>2</x:v>
      </x:c>
      <x:c r="S2290" s="1" t="n">
        <x:f>IF(COUNT(O2290:R2290)=4,SUM(O2290:R2290),"")</x:f>
        <x:v>42</x:v>
      </x:c>
      <x:c r="T2290" s="1" t="n">
        <x:f>IF(OR(COUNT(O2290:R2290)&lt;&gt;4,COUNT('Top 15'!$B$35:$E$35)&lt;&gt;4,MIN('Top 15'!$B$35:$E$35)&lt;0,SUM('Top 15'!$B$35:$E$35)&lt;=0),"",ROUND(85*(O2290/30*'Top 15'!$B$35+P2290/25*'Top 15'!$C$35+Q2290/25*'Top 15'!$D$35+R2290/5*'Top 15'!$E$35)/SUM('Top 15'!$B$35:$E$35),6))</x:f>
        <x:v>42</x:v>
      </x:c>
      <x:c r="U2290" s="1" t="str">
        <x:f>IF(A2290="","",IF(AND(M2290="Verified",N2290="Verified"),"Verified",IF(AND(M2290="Listed",N2290="Listed"),"Listed","Mixed")))</x:f>
        <x:v>Listed</x:v>
      </x:c>
      <x:c r="V2290" s="1" t="str">
        <x:f>IF(A2290="","",IF(AK2290&lt;&gt;1,"Duplicate source ID",IF(COUNTIFS('Staff Review'!$A$8:$A$507,A2290)&gt;1,"Duplicate review ID",IF(H2290&lt;&gt;"Yes","Outside scope",IF(J2290="Yes","Already served",IF(NOT(ISNUMBER(T2290)),"Missing data","Candidate"))))))</x:f>
        <x:v>Candidate</x:v>
      </x:c>
      <x:c r="W2290" s="1" t="n">
        <x:f>IF(AL2290=0,"",1+COUNTIFS($AL$2051:$AL$2550,1,$T$2051:$T$2550,"&gt;"&amp;T2290)+COUNTIFS($AL$2051:$AL$2550,1,$T$2051:$T$2550,T2290,$G$2051:$G$2550,"&gt;"&amp;G2290)+COUNTIFS($AL$2051:$AL$2550,1,$T$2051:$T$2550,T2290,$G$2051:$G$2550,G2290,$F$2051:$F$2550,"&gt;"&amp;F2290)+COUNTIFS($AL$2051:$AL$2550,1,$T$2051:$T$2550,T2290,$G$2051:$G$2550,G2290,$F$2051:$F$2550,F2290,$AM$2051:$AM$2550,"&lt;"&amp;AM2290))</x:f>
        <x:v>117</x:v>
      </x:c>
      <x:c r="X2290" s="1" t="n">
        <x:f>IF(AL2290=0,"",1+COUNTIFS($AL$2051:$AL$2550,1,$T$2051:$T$2550,"&gt;"&amp;T2290))</x:f>
        <x:v>101</x:v>
      </x:c>
      <x:c r="Y2290" s="1" t="n">
        <x:f>IF(AND(H2290="Yes",OR(LEN('School Search'!$B$5)=0,ISNUMBER(SEARCH('School Search'!$B$5,B2290&amp;" "&amp;E2290&amp;" "&amp;A2290))),OR('School Search'!$D$5="All",C2290='School Search'!$D$5),OR('School Search'!$G$5="All eligible",AND('School Search'!$G$5="Not marked served",J2290&lt;&gt;"Yes"),AND('School Search'!$G$5="Missing data",V2290="Missing data"),AND('School Search'!$G$5="Marked served",J2290="Yes"))),1,0)</x:f>
        <x:v>1</x:v>
      </x:c>
      <x:c r="Z2290" s="1" t="n">
        <x:f>IF(Y2290=0,"",COUNTIFS($Y$2051:$Y$2550,1,$AO$2051:$AO$2550,"&lt;"&amp;AO2290)+COUNTIFS($Y$2051:Y2290,1,$AO$2051:AO2290,AO2290))</x:f>
        <x:v>117</x:v>
      </x:c>
      <x:c r="AA2290" s="1" t="str">
        <x:f>IF(NOT(ISNUMBER(S2290)),"Missing demographic or access input",TEXT(G2290,"0%")&amp;" economic need; "&amp;TEXT(K2290,"0.00")&amp;" mi fresh access; "&amp;L2290&amp;" nearby resources")</x:f>
        <x:v>87% economic need; 0.72 mi fresh access; 6 nearby resources</x:v>
      </x:c>
      <x:c r="AB2290" s="1" t="n">
        <x:f>IF(OR(A2290="",COUNTIFS($A$1531:$A$2030,A2290)&lt;&gt;1),0,MATCH(A2290,$A$1531:$A$2030,0))</x:f>
        <x:v>240</x:v>
      </x:c>
      <x:c r="AC2290" s="1" t="str">
        <x:f>IF(AB2290=0,"",INDEX($E$1531:$E$2030,AB2290))</x:f>
        <x:v>Shoprite of Cheltenham 426</x:v>
      </x:c>
      <x:c r="AD2290" s="1" t="str">
        <x:f>IF(AB2290=0,"",INDEX($F$1531:$F$2030,AB2290))</x:f>
        <x:v>2471 W Cheltenham Ave, Wyncote, PA, 19095</x:v>
      </x:c>
      <x:c r="AE2290" s="1" t="str">
        <x:f>IF(A2290="","",F241)</x:f>
        <x:v>1858 E WASHINGTON LN</x:v>
      </x:c>
      <x:c r="AF2290" s="1" t="n">
        <x:f>IF(ISNUMBER(I241),I241,"")</x:f>
        <x:v>40.06527032</x:v>
      </x:c>
      <x:c r="AG2290" s="1" t="n">
        <x:f>IF(ISNUMBER(J241),J241,"")</x:f>
        <x:v>-75.1597946</x:v>
      </x:c>
      <x:c r="AH2290" s="1" t="str">
        <x:f>IF(I2290=0,"Not contacted",IF(INDEX('Staff Review'!$J$8:$J$507,I2290)="","Not contacted",INDEX('Staff Review'!$J$8:$J$507,I2290)))</x:f>
        <x:v>Not contacted</x:v>
      </x:c>
      <x:c r="AI2290" s="1" t="str">
        <x:f>IF(I2290=0,"No",IF(AND(COUNT(INDEX('Staff Review'!$D$8:$D$507,I2290))=1,INDEX('Staff Review'!$D$8:$D$507,I2290)&gt;=0,COUNT(INDEX('Staff Review'!$E$8:$E$507,I2290))=1,INDEX('Staff Review'!$E$8:$E$507,I2290)&gt;0,INDEX('Staff Review'!$E$8:$E$507,I2290)&lt;='Top 15'!$E$5,'Top 15'!$E$5-INDEX('Staff Review'!$E$8:$E$507,I2290)&lt;='Top 15'!$H$5,LEN(INDEX('Staff Review'!$H$8:$H$507,I2290))&gt;0),"Yes","No"))</x:f>
        <x:v>No</x:v>
      </x:c>
      <x:c r="AJ2290" s="1" t="str">
        <x:f>IF(I2290=0,"No",IF(COUNT(INDEX('Staff Review'!$F$8:$F$507,I2290))&lt;&gt;1,"No",IF(AND(INDEX('Staff Review'!$F$8:$F$507,I2290)&gt;=0,MOD(INDEX('Staff Review'!$F$8:$F$507,I2290),1)=0,COUNT(INDEX('Staff Review'!$G$8:$G$507,I2290))=1,INDEX('Staff Review'!$G$8:$G$507,I2290)&gt;0,INDEX('Staff Review'!$G$8:$G$507,I2290)&lt;='Top 15'!$E$5,'Top 15'!$E$5-INDEX('Staff Review'!$G$8:$G$507,I2290)&lt;='Top 15'!$H$5,LEN(INDEX('Staff Review'!$H$8:$H$507,I2290))&gt;0),"Yes","No")))</x:f>
        <x:v>No</x:v>
      </x:c>
      <x:c r="AK2290" s="1" t="n">
        <x:f>IF(A2290="",0,COUNTIFS($A$2:$A$501,A2290))</x:f>
        <x:v>1</x:v>
      </x:c>
      <x:c r="AL2290" s="1" t="n">
        <x:f>IF(V2290="Candidate",1,0)</x:f>
        <x:v>1</x:v>
      </x:c>
      <x:c r="AM2290" s="1" t="n">
        <x:f>IF(A2290="",0,VALUE(A2290))</x:f>
        <x:v>6350</x:v>
      </x:c>
      <x:c r="AN2290" s="1" t="n">
        <x:f>IF(OR(A2290="",COUNTIFS($T$41:$T$540,A2290)&lt;&gt;1),0,MATCH(A2290,$T$41:$T$540,0))</x:f>
        <x:v>240</x:v>
      </x:c>
      <x:c r="AO2290" t="n">
        <x:f>IF(ISNUMBER(W2290),W2290,10000+AM2290)</x:f>
        <x:v>117</x:v>
      </x:c>
    </x:row>
    <x:row r="2291" ht="22" customHeight="1">
      <x:c r="A2291" s="1" t="str">
        <x:f>IF(A242="","",A242)</x:f>
        <x:v>6360</x:v>
      </x:c>
      <x:c r="B2291" s="1" t="str">
        <x:f>IF(A2291="","",B242)</x:f>
        <x:v>Theodore Roosevelt School</x:v>
      </x:c>
      <x:c r="C2291" s="1" t="str">
        <x:f>IF(A2291="","",C242)</x:f>
        <x:v>District</x:v>
      </x:c>
      <x:c r="D2291" s="1" t="str">
        <x:f>IF(A2291="","",E242)</x:f>
        <x:v>Elementary-Middle</x:v>
      </x:c>
      <x:c r="E2291" s="1" t="str">
        <x:f>IF(A2291="","",H242)</x:f>
        <x:v>19144</x:v>
      </x:c>
      <x:c r="F2291" s="1" t="n">
        <x:f>IF(ISNUMBER(K242),K242,"")</x:f>
        <x:v>407</x:v>
      </x:c>
      <x:c r="G2291" s="1" t="n">
        <x:f>IF(ISNUMBER(L242),L242,"")</x:f>
        <x:v>0.9158</x:v>
      </x:c>
      <x:c r="H2291" s="1" t="str">
        <x:f>IF(A2291="","",IF(AND(UPPER(G242)="PHILADELPHIA",OR(C2291="District",AND(C2291="Charter",D242="Yes"))),"Yes","No"))</x:f>
        <x:v>Yes</x:v>
      </x:c>
      <x:c r="I2291" s="1" t="n">
        <x:f>IF(OR(A2291="",COUNTIFS('Staff Review'!$A$8:$A$507,A2291)&lt;&gt;1),0,MATCH(A2291,'Staff Review'!$A$8:$A$507,0))</x:f>
        <x:v>291</x:v>
      </x:c>
      <x:c r="J2291" s="1" t="str">
        <x:f>IF(I2291=0,"No",IF(INDEX('Staff Review'!$C$8:$C$507,I2291)="Yes","Yes","No"))</x:f>
        <x:v>No</x:v>
      </x:c>
      <x:c r="K2291" s="1" t="n">
        <x:f>IF(AI2291="Yes",INDEX('Staff Review'!$D$8:$D$507,I2291),IF(AB2291=0,"",IF(COUNT(INDEX($C$1531:$C$2030,AB2291))=1,INDEX($C$1531:$C$2030,AB2291),"")))</x:f>
        <x:v>0.1824803055818448</x:v>
      </x:c>
      <x:c r="L2291" s="1" t="n">
        <x:f>IF(AJ2291="Yes",INDEX('Staff Review'!$F$8:$F$507,I2291),IF(AB2291=0,"",IF(COUNT(INDEX($G$1531:$G$2030,AB2291))=1,INDEX($G$1531:$G$2030,AB2291),"")))</x:f>
        <x:v>18</x:v>
      </x:c>
      <x:c r="M2291" s="1" t="str">
        <x:f>IF(A2291="","",IF(AI2291="Yes","Verified","Listed"))</x:f>
        <x:v>Listed</x:v>
      </x:c>
      <x:c r="N2291" s="1" t="str">
        <x:f>IF(A2291="","",IF(AJ2291="Yes","Verified","Listed"))</x:f>
        <x:v>Listed</x:v>
      </x:c>
      <x:c r="O2291" s="1" t="n">
        <x:f>IF(AND(ISNUMBER(G2291),G2291&gt;=0,G2291&lt;=1),IF(G2291&gt;=0.9,30,IF(G2291&gt;=0.8,25,IF(G2291&gt;=0.7,20,IF(G2291&gt;=0.6,15,IF(G2291&gt;=0.5,10,IF(G2291&gt;=0.4,5,0)))))),"")</x:f>
        <x:v>30</x:v>
      </x:c>
      <x:c r="P2291" s="1" t="n">
        <x:f>IF(ISNUMBER(K2291),IF(K2291&lt;0,"",IF(K2291&gt;1,25,IF(K2291&gt;=0.75,20,IF(K2291&gt;=0.5,15,IF(K2291&gt;=0.25,10,5))))),"")</x:f>
        <x:v>5</x:v>
      </x:c>
      <x:c r="Q2291" s="1" t="n">
        <x:f>IF(NOT(ISNUMBER(L2291)),"",IF(AND(L2291&gt;=0,MOD(L2291,1)=0),MAX(0,25-5*L2291),""))</x:f>
        <x:v>0</x:v>
      </x:c>
      <x:c r="R2291" s="1" t="n">
        <x:f>IF(NOT(ISNUMBER(F2291)),"",IF(AND(F2291&gt;0,MOD(F2291,1)=0),IF(F2291&gt;=700,5,IF(F2291&gt;=500,4,IF(F2291&gt;=350,3,IF(F2291&gt;=200,2,1)))),""))</x:f>
        <x:v>3</x:v>
      </x:c>
      <x:c r="S2291" s="1" t="n">
        <x:f>IF(COUNT(O2291:R2291)=4,SUM(O2291:R2291),"")</x:f>
        <x:v>38</x:v>
      </x:c>
      <x:c r="T2291" s="1" t="n">
        <x:f>IF(OR(COUNT(O2291:R2291)&lt;&gt;4,COUNT('Top 15'!$B$35:$E$35)&lt;&gt;4,MIN('Top 15'!$B$35:$E$35)&lt;0,SUM('Top 15'!$B$35:$E$35)&lt;=0),"",ROUND(85*(O2291/30*'Top 15'!$B$35+P2291/25*'Top 15'!$C$35+Q2291/25*'Top 15'!$D$35+R2291/5*'Top 15'!$E$35)/SUM('Top 15'!$B$35:$E$35),6))</x:f>
        <x:v>38</x:v>
      </x:c>
      <x:c r="U2291" s="1" t="str">
        <x:f>IF(A2291="","",IF(AND(M2291="Verified",N2291="Verified"),"Verified",IF(AND(M2291="Listed",N2291="Listed"),"Listed","Mixed")))</x:f>
        <x:v>Listed</x:v>
      </x:c>
      <x:c r="V2291" s="1" t="str">
        <x:f>IF(A2291="","",IF(AK2291&lt;&gt;1,"Duplicate source ID",IF(COUNTIFS('Staff Review'!$A$8:$A$507,A2291)&gt;1,"Duplicate review ID",IF(H2291&lt;&gt;"Yes","Outside scope",IF(J2291="Yes","Already served",IF(NOT(ISNUMBER(T2291)),"Missing data","Candidate"))))))</x:f>
        <x:v>Candidate</x:v>
      </x:c>
      <x:c r="W2291" s="1" t="n">
        <x:f>IF(AL2291=0,"",1+COUNTIFS($AL$2051:$AL$2550,1,$T$2051:$T$2550,"&gt;"&amp;T2291)+COUNTIFS($AL$2051:$AL$2550,1,$T$2051:$T$2550,T2291,$G$2051:$G$2550,"&gt;"&amp;G2291)+COUNTIFS($AL$2051:$AL$2550,1,$T$2051:$T$2550,T2291,$G$2051:$G$2550,G2291,$F$2051:$F$2550,"&gt;"&amp;F2291)+COUNTIFS($AL$2051:$AL$2550,1,$T$2051:$T$2550,T2291,$G$2051:$G$2550,G2291,$F$2051:$F$2550,F2291,$AM$2051:$AM$2550,"&lt;"&amp;AM2291))</x:f>
        <x:v>167</x:v>
      </x:c>
      <x:c r="X2291" s="1" t="n">
        <x:f>IF(AL2291=0,"",1+COUNTIFS($AL$2051:$AL$2550,1,$T$2051:$T$2550,"&gt;"&amp;T2291))</x:f>
        <x:v>166</x:v>
      </x:c>
      <x:c r="Y2291" s="1" t="n">
        <x:f>IF(AND(H2291="Yes",OR(LEN('School Search'!$B$5)=0,ISNUMBER(SEARCH('School Search'!$B$5,B2291&amp;" "&amp;E2291&amp;" "&amp;A2291))),OR('School Search'!$D$5="All",C2291='School Search'!$D$5),OR('School Search'!$G$5="All eligible",AND('School Search'!$G$5="Not marked served",J2291&lt;&gt;"Yes"),AND('School Search'!$G$5="Missing data",V2291="Missing data"),AND('School Search'!$G$5="Marked served",J2291="Yes"))),1,0)</x:f>
        <x:v>1</x:v>
      </x:c>
      <x:c r="Z2291" s="1" t="n">
        <x:f>IF(Y2291=0,"",COUNTIFS($Y$2051:$Y$2550,1,$AO$2051:$AO$2550,"&lt;"&amp;AO2291)+COUNTIFS($Y$2051:Y2291,1,$AO$2051:AO2291,AO2291))</x:f>
        <x:v>167</x:v>
      </x:c>
      <x:c r="AA2291" s="1" t="str">
        <x:f>IF(NOT(ISNUMBER(S2291)),"Missing demographic or access input",TEXT(G2291,"0%")&amp;" economic need; "&amp;TEXT(K2291,"0.00")&amp;" mi fresh access; "&amp;L2291&amp;" nearby resources")</x:f>
        <x:v>92% economic need; 0.18 mi fresh access; 18 nearby resources</x:v>
      </x:c>
      <x:c r="AB2291" s="1" t="n">
        <x:f>IF(OR(A2291="",COUNTIFS($A$1531:$A$2030,A2291)&lt;&gt;1),0,MATCH(A2291,$A$1531:$A$2030,0))</x:f>
        <x:v>241</x:v>
      </x:c>
      <x:c r="AC2291" s="1" t="str">
        <x:f>IF(AB2291=0,"",INDEX($E$1531:$E$2030,AB2291))</x:f>
        <x:v>Save A Lot 45141</x:v>
      </x:c>
      <x:c r="AD2291" s="1" t="str">
        <x:f>IF(AB2291=0,"",INDEX($F$1531:$F$2030,AB2291))</x:f>
        <x:v>6301 Chew Ave, Philadelphia, PA, 19138</x:v>
      </x:c>
      <x:c r="AE2291" s="1" t="str">
        <x:f>IF(A2291="","",F242)</x:f>
        <x:v>430 E WASHINGTON LN</x:v>
      </x:c>
      <x:c r="AF2291" s="1" t="n">
        <x:f>IF(ISNUMBER(I242),I242,"")</x:f>
        <x:v>40.04856262</x:v>
      </x:c>
      <x:c r="AG2291" s="1" t="n">
        <x:f>IF(ISNUMBER(J242),J242,"")</x:f>
        <x:v>-75.17529079</x:v>
      </x:c>
      <x:c r="AH2291" s="1" t="str">
        <x:f>IF(I2291=0,"Not contacted",IF(INDEX('Staff Review'!$J$8:$J$507,I2291)="","Not contacted",INDEX('Staff Review'!$J$8:$J$507,I2291)))</x:f>
        <x:v>Not contacted</x:v>
      </x:c>
      <x:c r="AI2291" s="1" t="str">
        <x:f>IF(I2291=0,"No",IF(AND(COUNT(INDEX('Staff Review'!$D$8:$D$507,I2291))=1,INDEX('Staff Review'!$D$8:$D$507,I2291)&gt;=0,COUNT(INDEX('Staff Review'!$E$8:$E$507,I2291))=1,INDEX('Staff Review'!$E$8:$E$507,I2291)&gt;0,INDEX('Staff Review'!$E$8:$E$507,I2291)&lt;='Top 15'!$E$5,'Top 15'!$E$5-INDEX('Staff Review'!$E$8:$E$507,I2291)&lt;='Top 15'!$H$5,LEN(INDEX('Staff Review'!$H$8:$H$507,I2291))&gt;0),"Yes","No"))</x:f>
        <x:v>No</x:v>
      </x:c>
      <x:c r="AJ2291" s="1" t="str">
        <x:f>IF(I2291=0,"No",IF(COUNT(INDEX('Staff Review'!$F$8:$F$507,I2291))&lt;&gt;1,"No",IF(AND(INDEX('Staff Review'!$F$8:$F$507,I2291)&gt;=0,MOD(INDEX('Staff Review'!$F$8:$F$507,I2291),1)=0,COUNT(INDEX('Staff Review'!$G$8:$G$507,I2291))=1,INDEX('Staff Review'!$G$8:$G$507,I2291)&gt;0,INDEX('Staff Review'!$G$8:$G$507,I2291)&lt;='Top 15'!$E$5,'Top 15'!$E$5-INDEX('Staff Review'!$G$8:$G$507,I2291)&lt;='Top 15'!$H$5,LEN(INDEX('Staff Review'!$H$8:$H$507,I2291))&gt;0),"Yes","No")))</x:f>
        <x:v>No</x:v>
      </x:c>
      <x:c r="AK2291" s="1" t="n">
        <x:f>IF(A2291="",0,COUNTIFS($A$2:$A$501,A2291))</x:f>
        <x:v>1</x:v>
      </x:c>
      <x:c r="AL2291" s="1" t="n">
        <x:f>IF(V2291="Candidate",1,0)</x:f>
        <x:v>1</x:v>
      </x:c>
      <x:c r="AM2291" s="1" t="n">
        <x:f>IF(A2291="",0,VALUE(A2291))</x:f>
        <x:v>6360</x:v>
      </x:c>
      <x:c r="AN2291" s="1" t="n">
        <x:f>IF(OR(A2291="",COUNTIFS($T$41:$T$540,A2291)&lt;&gt;1),0,MATCH(A2291,$T$41:$T$540,0))</x:f>
        <x:v>241</x:v>
      </x:c>
      <x:c r="AO2291" t="n">
        <x:f>IF(ISNUMBER(W2291),W2291,10000+AM2291)</x:f>
        <x:v>167</x:v>
      </x:c>
    </x:row>
    <x:row r="2292" ht="22" customHeight="1">
      <x:c r="A2292" s="1" t="str">
        <x:f>IF(A243="","",A243)</x:f>
        <x:v>6380</x:v>
      </x:c>
      <x:c r="B2292" s="1" t="str">
        <x:f>IF(A2292="","",B243)</x:f>
        <x:v>Shawmont School</x:v>
      </x:c>
      <x:c r="C2292" s="1" t="str">
        <x:f>IF(A2292="","",C243)</x:f>
        <x:v>District</x:v>
      </x:c>
      <x:c r="D2292" s="1" t="str">
        <x:f>IF(A2292="","",E243)</x:f>
        <x:v>Elementary-Middle</x:v>
      </x:c>
      <x:c r="E2292" s="1" t="str">
        <x:f>IF(A2292="","",H243)</x:f>
        <x:v>19128</x:v>
      </x:c>
      <x:c r="F2292" s="1" t="n">
        <x:f>IF(ISNUMBER(K243),K243,"")</x:f>
        <x:v>457</x:v>
      </x:c>
      <x:c r="G2292" s="1" t="n">
        <x:f>IF(ISNUMBER(L243),L243,"")</x:f>
        <x:v>0.6284</x:v>
      </x:c>
      <x:c r="H2292" s="1" t="str">
        <x:f>IF(A2292="","",IF(AND(UPPER(G243)="PHILADELPHIA",OR(C2292="District",AND(C2292="Charter",D243="Yes"))),"Yes","No"))</x:f>
        <x:v>Yes</x:v>
      </x:c>
      <x:c r="I2292" s="1" t="n">
        <x:f>IF(OR(A2292="",COUNTIFS('Staff Review'!$A$8:$A$507,A2292)&lt;&gt;1),0,MATCH(A2292,'Staff Review'!$A$8:$A$507,0))</x:f>
        <x:v>268</x:v>
      </x:c>
      <x:c r="J2292" s="1" t="str">
        <x:f>IF(I2292=0,"No",IF(INDEX('Staff Review'!$C$8:$C$507,I2292)="Yes","Yes","No"))</x:f>
        <x:v>No</x:v>
      </x:c>
      <x:c r="K2292" s="1" t="n">
        <x:f>IF(AI2292="Yes",INDEX('Staff Review'!$D$8:$D$507,I2292),IF(AB2292=0,"",IF(COUNT(INDEX($C$1531:$C$2030,AB2292))=1,INDEX($C$1531:$C$2030,AB2292),"")))</x:f>
        <x:v>0.5708482597734197</x:v>
      </x:c>
      <x:c r="L2292" s="1" t="n">
        <x:f>IF(AJ2292="Yes",INDEX('Staff Review'!$F$8:$F$507,I2292),IF(AB2292=0,"",IF(COUNT(INDEX($G$1531:$G$2030,AB2292))=1,INDEX($G$1531:$G$2030,AB2292),"")))</x:f>
        <x:v>0</x:v>
      </x:c>
      <x:c r="M2292" s="1" t="str">
        <x:f>IF(A2292="","",IF(AI2292="Yes","Verified","Listed"))</x:f>
        <x:v>Listed</x:v>
      </x:c>
      <x:c r="N2292" s="1" t="str">
        <x:f>IF(A2292="","",IF(AJ2292="Yes","Verified","Listed"))</x:f>
        <x:v>Listed</x:v>
      </x:c>
      <x:c r="O2292" s="1" t="n">
        <x:f>IF(AND(ISNUMBER(G2292),G2292&gt;=0,G2292&lt;=1),IF(G2292&gt;=0.9,30,IF(G2292&gt;=0.8,25,IF(G2292&gt;=0.7,20,IF(G2292&gt;=0.6,15,IF(G2292&gt;=0.5,10,IF(G2292&gt;=0.4,5,0)))))),"")</x:f>
        <x:v>15</x:v>
      </x:c>
      <x:c r="P2292" s="1" t="n">
        <x:f>IF(ISNUMBER(K2292),IF(K2292&lt;0,"",IF(K2292&gt;1,25,IF(K2292&gt;=0.75,20,IF(K2292&gt;=0.5,15,IF(K2292&gt;=0.25,10,5))))),"")</x:f>
        <x:v>15</x:v>
      </x:c>
      <x:c r="Q2292" s="1" t="n">
        <x:f>IF(NOT(ISNUMBER(L2292)),"",IF(AND(L2292&gt;=0,MOD(L2292,1)=0),MAX(0,25-5*L2292),""))</x:f>
        <x:v>25</x:v>
      </x:c>
      <x:c r="R2292" s="1" t="n">
        <x:f>IF(NOT(ISNUMBER(F2292)),"",IF(AND(F2292&gt;0,MOD(F2292,1)=0),IF(F2292&gt;=700,5,IF(F2292&gt;=500,4,IF(F2292&gt;=350,3,IF(F2292&gt;=200,2,1)))),""))</x:f>
        <x:v>3</x:v>
      </x:c>
      <x:c r="S2292" s="1" t="n">
        <x:f>IF(COUNT(O2292:R2292)=4,SUM(O2292:R2292),"")</x:f>
        <x:v>58</x:v>
      </x:c>
      <x:c r="T2292" s="1" t="n">
        <x:f>IF(OR(COUNT(O2292:R2292)&lt;&gt;4,COUNT('Top 15'!$B$35:$E$35)&lt;&gt;4,MIN('Top 15'!$B$35:$E$35)&lt;0,SUM('Top 15'!$B$35:$E$35)&lt;=0),"",ROUND(85*(O2292/30*'Top 15'!$B$35+P2292/25*'Top 15'!$C$35+Q2292/25*'Top 15'!$D$35+R2292/5*'Top 15'!$E$35)/SUM('Top 15'!$B$35:$E$35),6))</x:f>
        <x:v>58</x:v>
      </x:c>
      <x:c r="U2292" s="1" t="str">
        <x:f>IF(A2292="","",IF(AND(M2292="Verified",N2292="Verified"),"Verified",IF(AND(M2292="Listed",N2292="Listed"),"Listed","Mixed")))</x:f>
        <x:v>Listed</x:v>
      </x:c>
      <x:c r="V2292" s="1" t="str">
        <x:f>IF(A2292="","",IF(AK2292&lt;&gt;1,"Duplicate source ID",IF(COUNTIFS('Staff Review'!$A$8:$A$507,A2292)&gt;1,"Duplicate review ID",IF(H2292&lt;&gt;"Yes","Outside scope",IF(J2292="Yes","Already served",IF(NOT(ISNUMBER(T2292)),"Missing data","Candidate"))))))</x:f>
        <x:v>Candidate</x:v>
      </x:c>
      <x:c r="W2292" s="1" t="n">
        <x:f>IF(AL2292=0,"",1+COUNTIFS($AL$2051:$AL$2550,1,$T$2051:$T$2550,"&gt;"&amp;T2292)+COUNTIFS($AL$2051:$AL$2550,1,$T$2051:$T$2550,T2292,$G$2051:$G$2550,"&gt;"&amp;G2292)+COUNTIFS($AL$2051:$AL$2550,1,$T$2051:$T$2550,T2292,$G$2051:$G$2550,G2292,$F$2051:$F$2550,"&gt;"&amp;F2292)+COUNTIFS($AL$2051:$AL$2550,1,$T$2051:$T$2550,T2292,$G$2051:$G$2550,G2292,$F$2051:$F$2550,F2292,$AM$2051:$AM$2550,"&lt;"&amp;AM2292))</x:f>
        <x:v>19</x:v>
      </x:c>
      <x:c r="X2292" s="1" t="n">
        <x:f>IF(AL2292=0,"",1+COUNTIFS($AL$2051:$AL$2550,1,$T$2051:$T$2550,"&gt;"&amp;T2292))</x:f>
        <x:v>17</x:v>
      </x:c>
      <x:c r="Y2292" s="1" t="n">
        <x:f>IF(AND(H2292="Yes",OR(LEN('School Search'!$B$5)=0,ISNUMBER(SEARCH('School Search'!$B$5,B2292&amp;" "&amp;E2292&amp;" "&amp;A2292))),OR('School Search'!$D$5="All",C2292='School Search'!$D$5),OR('School Search'!$G$5="All eligible",AND('School Search'!$G$5="Not marked served",J2292&lt;&gt;"Yes"),AND('School Search'!$G$5="Missing data",V2292="Missing data"),AND('School Search'!$G$5="Marked served",J2292="Yes"))),1,0)</x:f>
        <x:v>1</x:v>
      </x:c>
      <x:c r="Z2292" s="1" t="n">
        <x:f>IF(Y2292=0,"",COUNTIFS($Y$2051:$Y$2550,1,$AO$2051:$AO$2550,"&lt;"&amp;AO2292)+COUNTIFS($Y$2051:Y2292,1,$AO$2051:AO2292,AO2292))</x:f>
        <x:v>19</x:v>
      </x:c>
      <x:c r="AA2292" s="1" t="str">
        <x:f>IF(NOT(ISNUMBER(S2292)),"Missing demographic or access input",TEXT(G2292,"0%")&amp;" economic need; "&amp;TEXT(K2292,"0.00")&amp;" mi fresh access; "&amp;L2292&amp;" nearby resources")</x:f>
        <x:v>63% economic need; 0.57 mi fresh access; 0 nearby resources</x:v>
      </x:c>
      <x:c r="AB2292" s="1" t="n">
        <x:f>IF(OR(A2292="",COUNTIFS($A$1531:$A$2030,A2292)&lt;&gt;1),0,MATCH(A2292,$A$1531:$A$2030,0))</x:f>
        <x:v>242</x:v>
      </x:c>
      <x:c r="AC2292" s="1" t="str">
        <x:f>IF(AB2292=0,"",INDEX($E$1531:$E$2030,AB2292))</x:f>
        <x:v>Target 3247</x:v>
      </x:c>
      <x:c r="AD2292" s="1" t="str">
        <x:f>IF(AB2292=0,"",INDEX($F$1531:$F$2030,AB2292))</x:f>
        <x:v>7162 Ridge Ave, Philadelphia, PA, 19128</x:v>
      </x:c>
      <x:c r="AE2292" s="1" t="str">
        <x:f>IF(A2292="","",F243)</x:f>
        <x:v>535 SHAWMONT AVE</x:v>
      </x:c>
      <x:c r="AF2292" s="1" t="n">
        <x:f>IF(ISNUMBER(I243),I243,"")</x:f>
        <x:v>40.051478</x:v>
      </x:c>
      <x:c r="AG2292" s="1" t="n">
        <x:f>IF(ISNUMBER(J243),J243,"")</x:f>
        <x:v>-75.238543</x:v>
      </x:c>
      <x:c r="AH2292" s="1" t="str">
        <x:f>IF(I2292=0,"Not contacted",IF(INDEX('Staff Review'!$J$8:$J$507,I2292)="","Not contacted",INDEX('Staff Review'!$J$8:$J$507,I2292)))</x:f>
        <x:v>Not contacted</x:v>
      </x:c>
      <x:c r="AI2292" s="1" t="str">
        <x:f>IF(I2292=0,"No",IF(AND(COUNT(INDEX('Staff Review'!$D$8:$D$507,I2292))=1,INDEX('Staff Review'!$D$8:$D$507,I2292)&gt;=0,COUNT(INDEX('Staff Review'!$E$8:$E$507,I2292))=1,INDEX('Staff Review'!$E$8:$E$507,I2292)&gt;0,INDEX('Staff Review'!$E$8:$E$507,I2292)&lt;='Top 15'!$E$5,'Top 15'!$E$5-INDEX('Staff Review'!$E$8:$E$507,I2292)&lt;='Top 15'!$H$5,LEN(INDEX('Staff Review'!$H$8:$H$507,I2292))&gt;0),"Yes","No"))</x:f>
        <x:v>No</x:v>
      </x:c>
      <x:c r="AJ2292" s="1" t="str">
        <x:f>IF(I2292=0,"No",IF(COUNT(INDEX('Staff Review'!$F$8:$F$507,I2292))&lt;&gt;1,"No",IF(AND(INDEX('Staff Review'!$F$8:$F$507,I2292)&gt;=0,MOD(INDEX('Staff Review'!$F$8:$F$507,I2292),1)=0,COUNT(INDEX('Staff Review'!$G$8:$G$507,I2292))=1,INDEX('Staff Review'!$G$8:$G$507,I2292)&gt;0,INDEX('Staff Review'!$G$8:$G$507,I2292)&lt;='Top 15'!$E$5,'Top 15'!$E$5-INDEX('Staff Review'!$G$8:$G$507,I2292)&lt;='Top 15'!$H$5,LEN(INDEX('Staff Review'!$H$8:$H$507,I2292))&gt;0),"Yes","No")))</x:f>
        <x:v>No</x:v>
      </x:c>
      <x:c r="AK2292" s="1" t="n">
        <x:f>IF(A2292="",0,COUNTIFS($A$2:$A$501,A2292))</x:f>
        <x:v>1</x:v>
      </x:c>
      <x:c r="AL2292" s="1" t="n">
        <x:f>IF(V2292="Candidate",1,0)</x:f>
        <x:v>1</x:v>
      </x:c>
      <x:c r="AM2292" s="1" t="n">
        <x:f>IF(A2292="",0,VALUE(A2292))</x:f>
        <x:v>6380</x:v>
      </x:c>
      <x:c r="AN2292" s="1" t="n">
        <x:f>IF(OR(A2292="",COUNTIFS($T$41:$T$540,A2292)&lt;&gt;1),0,MATCH(A2292,$T$41:$T$540,0))</x:f>
        <x:v>242</x:v>
      </x:c>
      <x:c r="AO2292" t="n">
        <x:f>IF(ISNUMBER(W2292),W2292,10000+AM2292)</x:f>
        <x:v>19</x:v>
      </x:c>
    </x:row>
    <x:row r="2293" ht="22" customHeight="1">
      <x:c r="A2293" s="1" t="str">
        <x:f>IF(A244="","",A244)</x:f>
        <x:v>6390</x:v>
      </x:c>
      <x:c r="B2293" s="1" t="str">
        <x:f>IF(A2293="","",B244)</x:f>
        <x:v>Edward T. Steel School</x:v>
      </x:c>
      <x:c r="C2293" s="1" t="str">
        <x:f>IF(A2293="","",C244)</x:f>
        <x:v>District</x:v>
      </x:c>
      <x:c r="D2293" s="1" t="str">
        <x:f>IF(A2293="","",E244)</x:f>
        <x:v>Elementary-Middle</x:v>
      </x:c>
      <x:c r="E2293" s="1" t="str">
        <x:f>IF(A2293="","",H244)</x:f>
        <x:v>19140</x:v>
      </x:c>
      <x:c r="F2293" s="1" t="n">
        <x:f>IF(ISNUMBER(K244),K244,"")</x:f>
        <x:v>331</x:v>
      </x:c>
      <x:c r="G2293" s="1" t="n">
        <x:f>IF(ISNUMBER(L244),L244,"")</x:f>
        <x:v>0.9016</x:v>
      </x:c>
      <x:c r="H2293" s="1" t="str">
        <x:f>IF(A2293="","",IF(AND(UPPER(G244)="PHILADELPHIA",OR(C2293="District",AND(C2293="Charter",D244="Yes"))),"Yes","No"))</x:f>
        <x:v>Yes</x:v>
      </x:c>
      <x:c r="I2293" s="1" t="n">
        <x:f>IF(OR(A2293="",COUNTIFS('Staff Review'!$A$8:$A$507,A2293)&lt;&gt;1),0,MATCH(A2293,'Staff Review'!$A$8:$A$507,0))</x:f>
        <x:v>57</x:v>
      </x:c>
      <x:c r="J2293" s="1" t="str">
        <x:f>IF(I2293=0,"No",IF(INDEX('Staff Review'!$C$8:$C$507,I2293)="Yes","Yes","No"))</x:f>
        <x:v>No</x:v>
      </x:c>
      <x:c r="K2293" s="1" t="n">
        <x:f>IF(AI2293="Yes",INDEX('Staff Review'!$D$8:$D$507,I2293),IF(AB2293=0,"",IF(COUNT(INDEX($C$1531:$C$2030,AB2293))=1,INDEX($C$1531:$C$2030,AB2293),"")))</x:f>
        <x:v>0.46393107210585915</x:v>
      </x:c>
      <x:c r="L2293" s="1" t="n">
        <x:f>IF(AJ2293="Yes",INDEX('Staff Review'!$F$8:$F$507,I2293),IF(AB2293=0,"",IF(COUNT(INDEX($G$1531:$G$2030,AB2293))=1,INDEX($G$1531:$G$2030,AB2293),"")))</x:f>
        <x:v>7</x:v>
      </x:c>
      <x:c r="M2293" s="1" t="str">
        <x:f>IF(A2293="","",IF(AI2293="Yes","Verified","Listed"))</x:f>
        <x:v>Listed</x:v>
      </x:c>
      <x:c r="N2293" s="1" t="str">
        <x:f>IF(A2293="","",IF(AJ2293="Yes","Verified","Listed"))</x:f>
        <x:v>Listed</x:v>
      </x:c>
      <x:c r="O2293" s="1" t="n">
        <x:f>IF(AND(ISNUMBER(G2293),G2293&gt;=0,G2293&lt;=1),IF(G2293&gt;=0.9,30,IF(G2293&gt;=0.8,25,IF(G2293&gt;=0.7,20,IF(G2293&gt;=0.6,15,IF(G2293&gt;=0.5,10,IF(G2293&gt;=0.4,5,0)))))),"")</x:f>
        <x:v>30</x:v>
      </x:c>
      <x:c r="P2293" s="1" t="n">
        <x:f>IF(ISNUMBER(K2293),IF(K2293&lt;0,"",IF(K2293&gt;1,25,IF(K2293&gt;=0.75,20,IF(K2293&gt;=0.5,15,IF(K2293&gt;=0.25,10,5))))),"")</x:f>
        <x:v>10</x:v>
      </x:c>
      <x:c r="Q2293" s="1" t="n">
        <x:f>IF(NOT(ISNUMBER(L2293)),"",IF(AND(L2293&gt;=0,MOD(L2293,1)=0),MAX(0,25-5*L2293),""))</x:f>
        <x:v>0</x:v>
      </x:c>
      <x:c r="R2293" s="1" t="n">
        <x:f>IF(NOT(ISNUMBER(F2293)),"",IF(AND(F2293&gt;0,MOD(F2293,1)=0),IF(F2293&gt;=700,5,IF(F2293&gt;=500,4,IF(F2293&gt;=350,3,IF(F2293&gt;=200,2,1)))),""))</x:f>
        <x:v>2</x:v>
      </x:c>
      <x:c r="S2293" s="1" t="n">
        <x:f>IF(COUNT(O2293:R2293)=4,SUM(O2293:R2293),"")</x:f>
        <x:v>42</x:v>
      </x:c>
      <x:c r="T2293" s="1" t="n">
        <x:f>IF(OR(COUNT(O2293:R2293)&lt;&gt;4,COUNT('Top 15'!$B$35:$E$35)&lt;&gt;4,MIN('Top 15'!$B$35:$E$35)&lt;0,SUM('Top 15'!$B$35:$E$35)&lt;=0),"",ROUND(85*(O2293/30*'Top 15'!$B$35+P2293/25*'Top 15'!$C$35+Q2293/25*'Top 15'!$D$35+R2293/5*'Top 15'!$E$35)/SUM('Top 15'!$B$35:$E$35),6))</x:f>
        <x:v>42</x:v>
      </x:c>
      <x:c r="U2293" s="1" t="str">
        <x:f>IF(A2293="","",IF(AND(M2293="Verified",N2293="Verified"),"Verified",IF(AND(M2293="Listed",N2293="Listed"),"Listed","Mixed")))</x:f>
        <x:v>Listed</x:v>
      </x:c>
      <x:c r="V2293" s="1" t="str">
        <x:f>IF(A2293="","",IF(AK2293&lt;&gt;1,"Duplicate source ID",IF(COUNTIFS('Staff Review'!$A$8:$A$507,A2293)&gt;1,"Duplicate review ID",IF(H2293&lt;&gt;"Yes","Outside scope",IF(J2293="Yes","Already served",IF(NOT(ISNUMBER(T2293)),"Missing data","Candidate"))))))</x:f>
        <x:v>Candidate</x:v>
      </x:c>
      <x:c r="W2293" s="1" t="n">
        <x:f>IF(AL2293=0,"",1+COUNTIFS($AL$2051:$AL$2550,1,$T$2051:$T$2550,"&gt;"&amp;T2293)+COUNTIFS($AL$2051:$AL$2550,1,$T$2051:$T$2550,T2293,$G$2051:$G$2550,"&gt;"&amp;G2293)+COUNTIFS($AL$2051:$AL$2550,1,$T$2051:$T$2550,T2293,$G$2051:$G$2550,G2293,$F$2051:$F$2550,"&gt;"&amp;F2293)+COUNTIFS($AL$2051:$AL$2550,1,$T$2051:$T$2550,T2293,$G$2051:$G$2550,G2293,$F$2051:$F$2550,F2293,$AM$2051:$AM$2550,"&lt;"&amp;AM2293))</x:f>
        <x:v>112</x:v>
      </x:c>
      <x:c r="X2293" s="1" t="n">
        <x:f>IF(AL2293=0,"",1+COUNTIFS($AL$2051:$AL$2550,1,$T$2051:$T$2550,"&gt;"&amp;T2293))</x:f>
        <x:v>101</x:v>
      </x:c>
      <x:c r="Y2293" s="1" t="n">
        <x:f>IF(AND(H2293="Yes",OR(LEN('School Search'!$B$5)=0,ISNUMBER(SEARCH('School Search'!$B$5,B2293&amp;" "&amp;E2293&amp;" "&amp;A2293))),OR('School Search'!$D$5="All",C2293='School Search'!$D$5),OR('School Search'!$G$5="All eligible",AND('School Search'!$G$5="Not marked served",J2293&lt;&gt;"Yes"),AND('School Search'!$G$5="Missing data",V2293="Missing data"),AND('School Search'!$G$5="Marked served",J2293="Yes"))),1,0)</x:f>
        <x:v>1</x:v>
      </x:c>
      <x:c r="Z2293" s="1" t="n">
        <x:f>IF(Y2293=0,"",COUNTIFS($Y$2051:$Y$2550,1,$AO$2051:$AO$2550,"&lt;"&amp;AO2293)+COUNTIFS($Y$2051:Y2293,1,$AO$2051:AO2293,AO2293))</x:f>
        <x:v>112</x:v>
      </x:c>
      <x:c r="AA2293" s="1" t="str">
        <x:f>IF(NOT(ISNUMBER(S2293)),"Missing demographic or access input",TEXT(G2293,"0%")&amp;" economic need; "&amp;TEXT(K2293,"0.00")&amp;" mi fresh access; "&amp;L2293&amp;" nearby resources")</x:f>
        <x:v>90% economic need; 0.46 mi fresh access; 7 nearby resources</x:v>
      </x:c>
      <x:c r="AB2293" s="1" t="n">
        <x:f>IF(OR(A2293="",COUNTIFS($A$1531:$A$2030,A2293)&lt;&gt;1),0,MATCH(A2293,$A$1531:$A$2030,0))</x:f>
        <x:v>243</x:v>
      </x:c>
      <x:c r="AC2293" s="1" t="str">
        <x:f>IF(AB2293=0,"",INDEX($E$1531:$E$2030,AB2293))</x:f>
        <x:v>Save-A-Lot 60138</x:v>
      </x:c>
      <x:c r="AD2293" s="1" t="str">
        <x:f>IF(AB2293=0,"",INDEX($F$1531:$F$2030,AB2293))</x:f>
        <x:v>4424 N Broad St, Philadelphia, PA, 19140</x:v>
      </x:c>
      <x:c r="AE2293" s="1" t="str">
        <x:f>IF(A2293="","",F244)</x:f>
        <x:v>4301 WAYNE AVE</x:v>
      </x:c>
      <x:c r="AF2293" s="1" t="n">
        <x:f>IF(ISNUMBER(I244),I244,"")</x:f>
        <x:v>40.01879502</x:v>
      </x:c>
      <x:c r="AG2293" s="1" t="n">
        <x:f>IF(ISNUMBER(J244),J244,"")</x:f>
        <x:v>-75.15689064</x:v>
      </x:c>
      <x:c r="AH2293" s="1" t="str">
        <x:f>IF(I2293=0,"Not contacted",IF(INDEX('Staff Review'!$J$8:$J$507,I2293)="","Not contacted",INDEX('Staff Review'!$J$8:$J$507,I2293)))</x:f>
        <x:v>Not contacted</x:v>
      </x:c>
      <x:c r="AI2293" s="1" t="str">
        <x:f>IF(I2293=0,"No",IF(AND(COUNT(INDEX('Staff Review'!$D$8:$D$507,I2293))=1,INDEX('Staff Review'!$D$8:$D$507,I2293)&gt;=0,COUNT(INDEX('Staff Review'!$E$8:$E$507,I2293))=1,INDEX('Staff Review'!$E$8:$E$507,I2293)&gt;0,INDEX('Staff Review'!$E$8:$E$507,I2293)&lt;='Top 15'!$E$5,'Top 15'!$E$5-INDEX('Staff Review'!$E$8:$E$507,I2293)&lt;='Top 15'!$H$5,LEN(INDEX('Staff Review'!$H$8:$H$507,I2293))&gt;0),"Yes","No"))</x:f>
        <x:v>No</x:v>
      </x:c>
      <x:c r="AJ2293" s="1" t="str">
        <x:f>IF(I2293=0,"No",IF(COUNT(INDEX('Staff Review'!$F$8:$F$507,I2293))&lt;&gt;1,"No",IF(AND(INDEX('Staff Review'!$F$8:$F$507,I2293)&gt;=0,MOD(INDEX('Staff Review'!$F$8:$F$507,I2293),1)=0,COUNT(INDEX('Staff Review'!$G$8:$G$507,I2293))=1,INDEX('Staff Review'!$G$8:$G$507,I2293)&gt;0,INDEX('Staff Review'!$G$8:$G$507,I2293)&lt;='Top 15'!$E$5,'Top 15'!$E$5-INDEX('Staff Review'!$G$8:$G$507,I2293)&lt;='Top 15'!$H$5,LEN(INDEX('Staff Review'!$H$8:$H$507,I2293))&gt;0),"Yes","No")))</x:f>
        <x:v>No</x:v>
      </x:c>
      <x:c r="AK2293" s="1" t="n">
        <x:f>IF(A2293="",0,COUNTIFS($A$2:$A$501,A2293))</x:f>
        <x:v>1</x:v>
      </x:c>
      <x:c r="AL2293" s="1" t="n">
        <x:f>IF(V2293="Candidate",1,0)</x:f>
        <x:v>1</x:v>
      </x:c>
      <x:c r="AM2293" s="1" t="n">
        <x:f>IF(A2293="",0,VALUE(A2293))</x:f>
        <x:v>6390</x:v>
      </x:c>
      <x:c r="AN2293" s="1" t="n">
        <x:f>IF(OR(A2293="",COUNTIFS($T$41:$T$540,A2293)&lt;&gt;1),0,MATCH(A2293,$T$41:$T$540,0))</x:f>
        <x:v>243</x:v>
      </x:c>
      <x:c r="AO2293" t="n">
        <x:f>IF(ISNUMBER(W2293),W2293,10000+AM2293)</x:f>
        <x:v>112</x:v>
      </x:c>
    </x:row>
    <x:row r="2294" ht="22" customHeight="1">
      <x:c r="A2294" s="1" t="str">
        <x:f>IF(A245="","",A245)</x:f>
        <x:v>6400</x:v>
      </x:c>
      <x:c r="B2294" s="1" t="str">
        <x:f>IF(A2294="","",B245)</x:f>
        <x:v>Widener Memorial School</x:v>
      </x:c>
      <x:c r="C2294" s="1" t="str">
        <x:f>IF(A2294="","",C245)</x:f>
        <x:v>District</x:v>
      </x:c>
      <x:c r="D2294" s="1" t="str">
        <x:f>IF(A2294="","",E245)</x:f>
        <x:v>Elementary-Middle-High</x:v>
      </x:c>
      <x:c r="E2294" s="1" t="str">
        <x:f>IF(A2294="","",H245)</x:f>
        <x:v>19141</x:v>
      </x:c>
      <x:c r="F2294" s="1" t="n">
        <x:f>IF(ISNUMBER(K245),K245,"")</x:f>
        <x:v>138</x:v>
      </x:c>
      <x:c r="G2294" s="1" t="n">
        <x:f>IF(ISNUMBER(L245),L245,"")</x:f>
        <x:v>0.7985</x:v>
      </x:c>
      <x:c r="H2294" s="1" t="str">
        <x:f>IF(A2294="","",IF(AND(UPPER(G245)="PHILADELPHIA",OR(C2294="District",AND(C2294="Charter",D245="Yes"))),"Yes","No"))</x:f>
        <x:v>Yes</x:v>
      </x:c>
      <x:c r="I2294" s="1" t="n">
        <x:f>IF(OR(A2294="",COUNTIFS('Staff Review'!$A$8:$A$507,A2294)&lt;&gt;1),0,MATCH(A2294,'Staff Review'!$A$8:$A$507,0))</x:f>
        <x:v>311</x:v>
      </x:c>
      <x:c r="J2294" s="1" t="str">
        <x:f>IF(I2294=0,"No",IF(INDEX('Staff Review'!$C$8:$C$507,I2294)="Yes","Yes","No"))</x:f>
        <x:v>No</x:v>
      </x:c>
      <x:c r="K2294" s="1" t="n">
        <x:f>IF(AI2294="Yes",INDEX('Staff Review'!$D$8:$D$507,I2294),IF(AB2294=0,"",IF(COUNT(INDEX($C$1531:$C$2030,AB2294))=1,INDEX($C$1531:$C$2030,AB2294),"")))</x:f>
        <x:v>0.7290205820026908</x:v>
      </x:c>
      <x:c r="L2294" s="1" t="n">
        <x:f>IF(AJ2294="Yes",INDEX('Staff Review'!$F$8:$F$507,I2294),IF(AB2294=0,"",IF(COUNT(INDEX($G$1531:$G$2030,AB2294))=1,INDEX($G$1531:$G$2030,AB2294),"")))</x:f>
        <x:v>9</x:v>
      </x:c>
      <x:c r="M2294" s="1" t="str">
        <x:f>IF(A2294="","",IF(AI2294="Yes","Verified","Listed"))</x:f>
        <x:v>Listed</x:v>
      </x:c>
      <x:c r="N2294" s="1" t="str">
        <x:f>IF(A2294="","",IF(AJ2294="Yes","Verified","Listed"))</x:f>
        <x:v>Listed</x:v>
      </x:c>
      <x:c r="O2294" s="1" t="n">
        <x:f>IF(AND(ISNUMBER(G2294),G2294&gt;=0,G2294&lt;=1),IF(G2294&gt;=0.9,30,IF(G2294&gt;=0.8,25,IF(G2294&gt;=0.7,20,IF(G2294&gt;=0.6,15,IF(G2294&gt;=0.5,10,IF(G2294&gt;=0.4,5,0)))))),"")</x:f>
        <x:v>20</x:v>
      </x:c>
      <x:c r="P2294" s="1" t="n">
        <x:f>IF(ISNUMBER(K2294),IF(K2294&lt;0,"",IF(K2294&gt;1,25,IF(K2294&gt;=0.75,20,IF(K2294&gt;=0.5,15,IF(K2294&gt;=0.25,10,5))))),"")</x:f>
        <x:v>15</x:v>
      </x:c>
      <x:c r="Q2294" s="1" t="n">
        <x:f>IF(NOT(ISNUMBER(L2294)),"",IF(AND(L2294&gt;=0,MOD(L2294,1)=0),MAX(0,25-5*L2294),""))</x:f>
        <x:v>0</x:v>
      </x:c>
      <x:c r="R2294" s="1" t="n">
        <x:f>IF(NOT(ISNUMBER(F2294)),"",IF(AND(F2294&gt;0,MOD(F2294,1)=0),IF(F2294&gt;=700,5,IF(F2294&gt;=500,4,IF(F2294&gt;=350,3,IF(F2294&gt;=200,2,1)))),""))</x:f>
        <x:v>1</x:v>
      </x:c>
      <x:c r="S2294" s="1" t="n">
        <x:f>IF(COUNT(O2294:R2294)=4,SUM(O2294:R2294),"")</x:f>
        <x:v>36</x:v>
      </x:c>
      <x:c r="T2294" s="1" t="n">
        <x:f>IF(OR(COUNT(O2294:R2294)&lt;&gt;4,COUNT('Top 15'!$B$35:$E$35)&lt;&gt;4,MIN('Top 15'!$B$35:$E$35)&lt;0,SUM('Top 15'!$B$35:$E$35)&lt;=0),"",ROUND(85*(O2294/30*'Top 15'!$B$35+P2294/25*'Top 15'!$C$35+Q2294/25*'Top 15'!$D$35+R2294/5*'Top 15'!$E$35)/SUM('Top 15'!$B$35:$E$35),6))</x:f>
        <x:v>36</x:v>
      </x:c>
      <x:c r="U2294" s="1" t="str">
        <x:f>IF(A2294="","",IF(AND(M2294="Verified",N2294="Verified"),"Verified",IF(AND(M2294="Listed",N2294="Listed"),"Listed","Mixed")))</x:f>
        <x:v>Listed</x:v>
      </x:c>
      <x:c r="V2294" s="1" t="str">
        <x:f>IF(A2294="","",IF(AK2294&lt;&gt;1,"Duplicate source ID",IF(COUNTIFS('Staff Review'!$A$8:$A$507,A2294)&gt;1,"Duplicate review ID",IF(H2294&lt;&gt;"Yes","Outside scope",IF(J2294="Yes","Already served",IF(NOT(ISNUMBER(T2294)),"Missing data","Candidate"))))))</x:f>
        <x:v>Candidate</x:v>
      </x:c>
      <x:c r="W2294" s="1" t="n">
        <x:f>IF(AL2294=0,"",1+COUNTIFS($AL$2051:$AL$2550,1,$T$2051:$T$2550,"&gt;"&amp;T2294)+COUNTIFS($AL$2051:$AL$2550,1,$T$2051:$T$2550,T2294,$G$2051:$G$2550,"&gt;"&amp;G2294)+COUNTIFS($AL$2051:$AL$2550,1,$T$2051:$T$2550,T2294,$G$2051:$G$2550,G2294,$F$2051:$F$2550,"&gt;"&amp;F2294)+COUNTIFS($AL$2051:$AL$2550,1,$T$2051:$T$2550,T2294,$G$2051:$G$2550,G2294,$F$2051:$F$2550,F2294,$AM$2051:$AM$2550,"&lt;"&amp;AM2294))</x:f>
        <x:v>209</x:v>
      </x:c>
      <x:c r="X2294" s="1" t="n">
        <x:f>IF(AL2294=0,"",1+COUNTIFS($AL$2051:$AL$2550,1,$T$2051:$T$2550,"&gt;"&amp;T2294))</x:f>
        <x:v>205</x:v>
      </x:c>
      <x:c r="Y2294" s="1" t="n">
        <x:f>IF(AND(H2294="Yes",OR(LEN('School Search'!$B$5)=0,ISNUMBER(SEARCH('School Search'!$B$5,B2294&amp;" "&amp;E2294&amp;" "&amp;A2294))),OR('School Search'!$D$5="All",C2294='School Search'!$D$5),OR('School Search'!$G$5="All eligible",AND('School Search'!$G$5="Not marked served",J2294&lt;&gt;"Yes"),AND('School Search'!$G$5="Missing data",V2294="Missing data"),AND('School Search'!$G$5="Marked served",J2294="Yes"))),1,0)</x:f>
        <x:v>1</x:v>
      </x:c>
      <x:c r="Z2294" s="1" t="n">
        <x:f>IF(Y2294=0,"",COUNTIFS($Y$2051:$Y$2550,1,$AO$2051:$AO$2550,"&lt;"&amp;AO2294)+COUNTIFS($Y$2051:Y2294,1,$AO$2051:AO2294,AO2294))</x:f>
        <x:v>209</x:v>
      </x:c>
      <x:c r="AA2294" s="1" t="str">
        <x:f>IF(NOT(ISNUMBER(S2294)),"Missing demographic or access input",TEXT(G2294,"0%")&amp;" economic need; "&amp;TEXT(K2294,"0.00")&amp;" mi fresh access; "&amp;L2294&amp;" nearby resources")</x:f>
        <x:v>80% economic need; 0.73 mi fresh access; 9 nearby resources</x:v>
      </x:c>
      <x:c r="AB2294" s="1" t="n">
        <x:f>IF(OR(A2294="",COUNTIFS($A$1531:$A$2030,A2294)&lt;&gt;1),0,MATCH(A2294,$A$1531:$A$2030,0))</x:f>
        <x:v>244</x:v>
      </x:c>
      <x:c r="AC2294" s="1" t="str">
        <x:f>IF(AB2294=0,"",INDEX($E$1531:$E$2030,AB2294))</x:f>
        <x:v>ALDI 60011 60011</x:v>
      </x:c>
      <x:c r="AD2294" s="1" t="str">
        <x:f>IF(AB2294=0,"",INDEX($F$1531:$F$2030,AB2294))</x:f>
        <x:v>6119 N Broad St, Philadelphia, PA, 19141</x:v>
      </x:c>
      <x:c r="AE2294" s="1" t="str">
        <x:f>IF(A2294="","",F245)</x:f>
        <x:v>1450 W OLNEY AVE</x:v>
      </x:c>
      <x:c r="AF2294" s="1" t="n">
        <x:f>IF(ISNUMBER(I245),I245,"")</x:f>
        <x:v>40.036706</x:v>
      </x:c>
      <x:c r="AG2294" s="1" t="n">
        <x:f>IF(ISNUMBER(J245),J245,"")</x:f>
        <x:v>-75.146598</x:v>
      </x:c>
      <x:c r="AH2294" s="1" t="str">
        <x:f>IF(I2294=0,"Not contacted",IF(INDEX('Staff Review'!$J$8:$J$507,I2294)="","Not contacted",INDEX('Staff Review'!$J$8:$J$507,I2294)))</x:f>
        <x:v>Not contacted</x:v>
      </x:c>
      <x:c r="AI2294" s="1" t="str">
        <x:f>IF(I2294=0,"No",IF(AND(COUNT(INDEX('Staff Review'!$D$8:$D$507,I2294))=1,INDEX('Staff Review'!$D$8:$D$507,I2294)&gt;=0,COUNT(INDEX('Staff Review'!$E$8:$E$507,I2294))=1,INDEX('Staff Review'!$E$8:$E$507,I2294)&gt;0,INDEX('Staff Review'!$E$8:$E$507,I2294)&lt;='Top 15'!$E$5,'Top 15'!$E$5-INDEX('Staff Review'!$E$8:$E$507,I2294)&lt;='Top 15'!$H$5,LEN(INDEX('Staff Review'!$H$8:$H$507,I2294))&gt;0),"Yes","No"))</x:f>
        <x:v>No</x:v>
      </x:c>
      <x:c r="AJ2294" s="1" t="str">
        <x:f>IF(I2294=0,"No",IF(COUNT(INDEX('Staff Review'!$F$8:$F$507,I2294))&lt;&gt;1,"No",IF(AND(INDEX('Staff Review'!$F$8:$F$507,I2294)&gt;=0,MOD(INDEX('Staff Review'!$F$8:$F$507,I2294),1)=0,COUNT(INDEX('Staff Review'!$G$8:$G$507,I2294))=1,INDEX('Staff Review'!$G$8:$G$507,I2294)&gt;0,INDEX('Staff Review'!$G$8:$G$507,I2294)&lt;='Top 15'!$E$5,'Top 15'!$E$5-INDEX('Staff Review'!$G$8:$G$507,I2294)&lt;='Top 15'!$H$5,LEN(INDEX('Staff Review'!$H$8:$H$507,I2294))&gt;0),"Yes","No")))</x:f>
        <x:v>No</x:v>
      </x:c>
      <x:c r="AK2294" s="1" t="n">
        <x:f>IF(A2294="",0,COUNTIFS($A$2:$A$501,A2294))</x:f>
        <x:v>1</x:v>
      </x:c>
      <x:c r="AL2294" s="1" t="n">
        <x:f>IF(V2294="Candidate",1,0)</x:f>
        <x:v>1</x:v>
      </x:c>
      <x:c r="AM2294" s="1" t="n">
        <x:f>IF(A2294="",0,VALUE(A2294))</x:f>
        <x:v>6400</x:v>
      </x:c>
      <x:c r="AN2294" s="1" t="n">
        <x:f>IF(OR(A2294="",COUNTIFS($T$41:$T$540,A2294)&lt;&gt;1),0,MATCH(A2294,$T$41:$T$540,0))</x:f>
        <x:v>244</x:v>
      </x:c>
      <x:c r="AO2294" t="n">
        <x:f>IF(ISNUMBER(W2294),W2294,10000+AM2294)</x:f>
        <x:v>209</x:v>
      </x:c>
    </x:row>
    <x:row r="2295" ht="22" customHeight="1">
      <x:c r="A2295" s="1" t="str">
        <x:f>IF(A246="","",A246)</x:f>
        <x:v>6410</x:v>
      </x:c>
      <x:c r="B2295" s="1" t="str">
        <x:f>IF(A2295="","",B246)</x:f>
        <x:v>Cook-Wissahickon School</x:v>
      </x:c>
      <x:c r="C2295" s="1" t="str">
        <x:f>IF(A2295="","",C246)</x:f>
        <x:v>District</x:v>
      </x:c>
      <x:c r="D2295" s="1" t="str">
        <x:f>IF(A2295="","",E246)</x:f>
        <x:v>Elementary-Middle</x:v>
      </x:c>
      <x:c r="E2295" s="1" t="str">
        <x:f>IF(A2295="","",H246)</x:f>
        <x:v>19128</x:v>
      </x:c>
      <x:c r="F2295" s="1" t="n">
        <x:f>IF(ISNUMBER(K246),K246,"")</x:f>
        <x:v>426</x:v>
      </x:c>
      <x:c r="G2295" s="1" t="n">
        <x:f>IF(ISNUMBER(L246),L246,"")</x:f>
        <x:v>0.474</x:v>
      </x:c>
      <x:c r="H2295" s="1" t="str">
        <x:f>IF(A2295="","",IF(AND(UPPER(G246)="PHILADELPHIA",OR(C2295="District",AND(C2295="Charter",D246="Yes"))),"Yes","No"))</x:f>
        <x:v>Yes</x:v>
      </x:c>
      <x:c r="I2295" s="1" t="n">
        <x:f>IF(OR(A2295="",COUNTIFS('Staff Review'!$A$8:$A$507,A2295)&lt;&gt;1),0,MATCH(A2295,'Staff Review'!$A$8:$A$507,0))</x:f>
        <x:v>46</x:v>
      </x:c>
      <x:c r="J2295" s="1" t="str">
        <x:f>IF(I2295=0,"No",IF(INDEX('Staff Review'!$C$8:$C$507,I2295)="Yes","Yes","No"))</x:f>
        <x:v>No</x:v>
      </x:c>
      <x:c r="K2295" s="1" t="n">
        <x:f>IF(AI2295="Yes",INDEX('Staff Review'!$D$8:$D$507,I2295),IF(AB2295=0,"",IF(COUNT(INDEX($C$1531:$C$2030,AB2295))=1,INDEX($C$1531:$C$2030,AB2295),"")))</x:f>
        <x:v>0.6441370729129152</x:v>
      </x:c>
      <x:c r="L2295" s="1" t="n">
        <x:f>IF(AJ2295="Yes",INDEX('Staff Review'!$F$8:$F$507,I2295),IF(AB2295=0,"",IF(COUNT(INDEX($G$1531:$G$2030,AB2295))=1,INDEX($G$1531:$G$2030,AB2295),"")))</x:f>
        <x:v>1</x:v>
      </x:c>
      <x:c r="M2295" s="1" t="str">
        <x:f>IF(A2295="","",IF(AI2295="Yes","Verified","Listed"))</x:f>
        <x:v>Listed</x:v>
      </x:c>
      <x:c r="N2295" s="1" t="str">
        <x:f>IF(A2295="","",IF(AJ2295="Yes","Verified","Listed"))</x:f>
        <x:v>Listed</x:v>
      </x:c>
      <x:c r="O2295" s="1" t="n">
        <x:f>IF(AND(ISNUMBER(G2295),G2295&gt;=0,G2295&lt;=1),IF(G2295&gt;=0.9,30,IF(G2295&gt;=0.8,25,IF(G2295&gt;=0.7,20,IF(G2295&gt;=0.6,15,IF(G2295&gt;=0.5,10,IF(G2295&gt;=0.4,5,0)))))),"")</x:f>
        <x:v>5</x:v>
      </x:c>
      <x:c r="P2295" s="1" t="n">
        <x:f>IF(ISNUMBER(K2295),IF(K2295&lt;0,"",IF(K2295&gt;1,25,IF(K2295&gt;=0.75,20,IF(K2295&gt;=0.5,15,IF(K2295&gt;=0.25,10,5))))),"")</x:f>
        <x:v>15</x:v>
      </x:c>
      <x:c r="Q2295" s="1" t="n">
        <x:f>IF(NOT(ISNUMBER(L2295)),"",IF(AND(L2295&gt;=0,MOD(L2295,1)=0),MAX(0,25-5*L2295),""))</x:f>
        <x:v>20</x:v>
      </x:c>
      <x:c r="R2295" s="1" t="n">
        <x:f>IF(NOT(ISNUMBER(F2295)),"",IF(AND(F2295&gt;0,MOD(F2295,1)=0),IF(F2295&gt;=700,5,IF(F2295&gt;=500,4,IF(F2295&gt;=350,3,IF(F2295&gt;=200,2,1)))),""))</x:f>
        <x:v>3</x:v>
      </x:c>
      <x:c r="S2295" s="1" t="n">
        <x:f>IF(COUNT(O2295:R2295)=4,SUM(O2295:R2295),"")</x:f>
        <x:v>43</x:v>
      </x:c>
      <x:c r="T2295" s="1" t="n">
        <x:f>IF(OR(COUNT(O2295:R2295)&lt;&gt;4,COUNT('Top 15'!$B$35:$E$35)&lt;&gt;4,MIN('Top 15'!$B$35:$E$35)&lt;0,SUM('Top 15'!$B$35:$E$35)&lt;=0),"",ROUND(85*(O2295/30*'Top 15'!$B$35+P2295/25*'Top 15'!$C$35+Q2295/25*'Top 15'!$D$35+R2295/5*'Top 15'!$E$35)/SUM('Top 15'!$B$35:$E$35),6))</x:f>
        <x:v>43</x:v>
      </x:c>
      <x:c r="U2295" s="1" t="str">
        <x:f>IF(A2295="","",IF(AND(M2295="Verified",N2295="Verified"),"Verified",IF(AND(M2295="Listed",N2295="Listed"),"Listed","Mixed")))</x:f>
        <x:v>Listed</x:v>
      </x:c>
      <x:c r="V2295" s="1" t="str">
        <x:f>IF(A2295="","",IF(AK2295&lt;&gt;1,"Duplicate source ID",IF(COUNTIFS('Staff Review'!$A$8:$A$507,A2295)&gt;1,"Duplicate review ID",IF(H2295&lt;&gt;"Yes","Outside scope",IF(J2295="Yes","Already served",IF(NOT(ISNUMBER(T2295)),"Missing data","Candidate"))))))</x:f>
        <x:v>Candidate</x:v>
      </x:c>
      <x:c r="W2295" s="1" t="n">
        <x:f>IF(AL2295=0,"",1+COUNTIFS($AL$2051:$AL$2550,1,$T$2051:$T$2550,"&gt;"&amp;T2295)+COUNTIFS($AL$2051:$AL$2550,1,$T$2051:$T$2550,T2295,$G$2051:$G$2550,"&gt;"&amp;G2295)+COUNTIFS($AL$2051:$AL$2550,1,$T$2051:$T$2550,T2295,$G$2051:$G$2550,G2295,$F$2051:$F$2550,"&gt;"&amp;F2295)+COUNTIFS($AL$2051:$AL$2550,1,$T$2051:$T$2550,T2295,$G$2051:$G$2550,G2295,$F$2051:$F$2550,F2295,$AM$2051:$AM$2550,"&lt;"&amp;AM2295))</x:f>
        <x:v>100</x:v>
      </x:c>
      <x:c r="X2295" s="1" t="n">
        <x:f>IF(AL2295=0,"",1+COUNTIFS($AL$2051:$AL$2550,1,$T$2051:$T$2550,"&gt;"&amp;T2295))</x:f>
        <x:v>90</x:v>
      </x:c>
      <x:c r="Y2295" s="1" t="n">
        <x:f>IF(AND(H2295="Yes",OR(LEN('School Search'!$B$5)=0,ISNUMBER(SEARCH('School Search'!$B$5,B2295&amp;" "&amp;E2295&amp;" "&amp;A2295))),OR('School Search'!$D$5="All",C2295='School Search'!$D$5),OR('School Search'!$G$5="All eligible",AND('School Search'!$G$5="Not marked served",J2295&lt;&gt;"Yes"),AND('School Search'!$G$5="Missing data",V2295="Missing data"),AND('School Search'!$G$5="Marked served",J2295="Yes"))),1,0)</x:f>
        <x:v>1</x:v>
      </x:c>
      <x:c r="Z2295" s="1" t="n">
        <x:f>IF(Y2295=0,"",COUNTIFS($Y$2051:$Y$2550,1,$AO$2051:$AO$2550,"&lt;"&amp;AO2295)+COUNTIFS($Y$2051:Y2295,1,$AO$2051:AO2295,AO2295))</x:f>
        <x:v>100</x:v>
      </x:c>
      <x:c r="AA2295" s="1" t="str">
        <x:f>IF(NOT(ISNUMBER(S2295)),"Missing demographic or access input",TEXT(G2295,"0%")&amp;" economic need; "&amp;TEXT(K2295,"0.00")&amp;" mi fresh access; "&amp;L2295&amp;" nearby resources")</x:f>
        <x:v>47% economic need; 0.64 mi fresh access; 1 nearby resources</x:v>
      </x:c>
      <x:c r="AB2295" s="1" t="n">
        <x:f>IF(OR(A2295="",COUNTIFS($A$1531:$A$2030,A2295)&lt;&gt;1),0,MATCH(A2295,$A$1531:$A$2030,0))</x:f>
        <x:v>245</x:v>
      </x:c>
      <x:c r="AC2295" s="1" t="str">
        <x:f>IF(AB2295=0,"",INDEX($E$1531:$E$2030,AB2295))</x:f>
        <x:v>ACME 2762</x:v>
      </x:c>
      <x:c r="AD2295" s="1" t="str">
        <x:f>IF(AB2295=0,"",INDEX($F$1531:$F$2030,AB2295))</x:f>
        <x:v>5927-59 Ridge Ave, Philadelphia, PA, 19128</x:v>
      </x:c>
      <x:c r="AE2295" s="1" t="str">
        <x:f>IF(A2295="","",F246)</x:f>
        <x:v>201 E SALAIGNAC ST</x:v>
      </x:c>
      <x:c r="AF2295" s="1" t="n">
        <x:f>IF(ISNUMBER(I246),I246,"")</x:f>
        <x:v>40.022472</x:v>
      </x:c>
      <x:c r="AG2295" s="1" t="n">
        <x:f>IF(ISNUMBER(J246),J246,"")</x:f>
        <x:v>-75.206802</x:v>
      </x:c>
      <x:c r="AH2295" s="1" t="str">
        <x:f>IF(I2295=0,"Not contacted",IF(INDEX('Staff Review'!$J$8:$J$507,I2295)="","Not contacted",INDEX('Staff Review'!$J$8:$J$507,I2295)))</x:f>
        <x:v>Not contacted</x:v>
      </x:c>
      <x:c r="AI2295" s="1" t="str">
        <x:f>IF(I2295=0,"No",IF(AND(COUNT(INDEX('Staff Review'!$D$8:$D$507,I2295))=1,INDEX('Staff Review'!$D$8:$D$507,I2295)&gt;=0,COUNT(INDEX('Staff Review'!$E$8:$E$507,I2295))=1,INDEX('Staff Review'!$E$8:$E$507,I2295)&gt;0,INDEX('Staff Review'!$E$8:$E$507,I2295)&lt;='Top 15'!$E$5,'Top 15'!$E$5-INDEX('Staff Review'!$E$8:$E$507,I2295)&lt;='Top 15'!$H$5,LEN(INDEX('Staff Review'!$H$8:$H$507,I2295))&gt;0),"Yes","No"))</x:f>
        <x:v>No</x:v>
      </x:c>
      <x:c r="AJ2295" s="1" t="str">
        <x:f>IF(I2295=0,"No",IF(COUNT(INDEX('Staff Review'!$F$8:$F$507,I2295))&lt;&gt;1,"No",IF(AND(INDEX('Staff Review'!$F$8:$F$507,I2295)&gt;=0,MOD(INDEX('Staff Review'!$F$8:$F$507,I2295),1)=0,COUNT(INDEX('Staff Review'!$G$8:$G$507,I2295))=1,INDEX('Staff Review'!$G$8:$G$507,I2295)&gt;0,INDEX('Staff Review'!$G$8:$G$507,I2295)&lt;='Top 15'!$E$5,'Top 15'!$E$5-INDEX('Staff Review'!$G$8:$G$507,I2295)&lt;='Top 15'!$H$5,LEN(INDEX('Staff Review'!$H$8:$H$507,I2295))&gt;0),"Yes","No")))</x:f>
        <x:v>No</x:v>
      </x:c>
      <x:c r="AK2295" s="1" t="n">
        <x:f>IF(A2295="",0,COUNTIFS($A$2:$A$501,A2295))</x:f>
        <x:v>1</x:v>
      </x:c>
      <x:c r="AL2295" s="1" t="n">
        <x:f>IF(V2295="Candidate",1,0)</x:f>
        <x:v>1</x:v>
      </x:c>
      <x:c r="AM2295" s="1" t="n">
        <x:f>IF(A2295="",0,VALUE(A2295))</x:f>
        <x:v>6410</x:v>
      </x:c>
      <x:c r="AN2295" s="1" t="n">
        <x:f>IF(OR(A2295="",COUNTIFS($T$41:$T$540,A2295)&lt;&gt;1),0,MATCH(A2295,$T$41:$T$540,0))</x:f>
        <x:v>245</x:v>
      </x:c>
      <x:c r="AO2295" t="n">
        <x:f>IF(ISNUMBER(W2295),W2295,10000+AM2295)</x:f>
        <x:v>100</x:v>
      </x:c>
    </x:row>
    <x:row r="2296" ht="22" customHeight="1">
      <x:c r="A2296" s="1" t="str">
        <x:f>IF(A247="","",A247)</x:f>
        <x:v>6440</x:v>
      </x:c>
      <x:c r="B2296" s="1" t="str">
        <x:f>IF(A2296="","",B247)</x:f>
        <x:v>Anna L. Lingelbach School</x:v>
      </x:c>
      <x:c r="C2296" s="1" t="str">
        <x:f>IF(A2296="","",C247)</x:f>
        <x:v>District</x:v>
      </x:c>
      <x:c r="D2296" s="1" t="str">
        <x:f>IF(A2296="","",E247)</x:f>
        <x:v>Elementary-Middle</x:v>
      </x:c>
      <x:c r="E2296" s="1" t="str">
        <x:f>IF(A2296="","",H247)</x:f>
        <x:v>19144</x:v>
      </x:c>
      <x:c r="F2296" s="1" t="n">
        <x:f>IF(ISNUMBER(K247),K247,"")</x:f>
        <x:v>366</x:v>
      </x:c>
      <x:c r="G2296" s="1" t="n">
        <x:f>IF(ISNUMBER(L247),L247,"")</x:f>
        <x:v>0.6328</x:v>
      </x:c>
      <x:c r="H2296" s="1" t="str">
        <x:f>IF(A2296="","",IF(AND(UPPER(G247)="PHILADELPHIA",OR(C2296="District",AND(C2296="Charter",D247="Yes"))),"Yes","No"))</x:f>
        <x:v>Yes</x:v>
      </x:c>
      <x:c r="I2296" s="1" t="n">
        <x:f>IF(OR(A2296="",COUNTIFS('Staff Review'!$A$8:$A$507,A2296)&lt;&gt;1),0,MATCH(A2296,'Staff Review'!$A$8:$A$507,0))</x:f>
        <x:v>21</x:v>
      </x:c>
      <x:c r="J2296" s="1" t="str">
        <x:f>IF(I2296=0,"No",IF(INDEX('Staff Review'!$C$8:$C$507,I2296)="Yes","Yes","No"))</x:f>
        <x:v>No</x:v>
      </x:c>
      <x:c r="K2296" s="1" t="n">
        <x:f>IF(AI2296="Yes",INDEX('Staff Review'!$D$8:$D$507,I2296),IF(AB2296=0,"",IF(COUNT(INDEX($C$1531:$C$2030,AB2296))=1,INDEX($C$1531:$C$2030,AB2296),"")))</x:f>
        <x:v>0.5091904913355288</x:v>
      </x:c>
      <x:c r="L2296" s="1" t="n">
        <x:f>IF(AJ2296="Yes",INDEX('Staff Review'!$F$8:$F$507,I2296),IF(AB2296=0,"",IF(COUNT(INDEX($G$1531:$G$2030,AB2296))=1,INDEX($G$1531:$G$2030,AB2296),"")))</x:f>
        <x:v>12</x:v>
      </x:c>
      <x:c r="M2296" s="1" t="str">
        <x:f>IF(A2296="","",IF(AI2296="Yes","Verified","Listed"))</x:f>
        <x:v>Listed</x:v>
      </x:c>
      <x:c r="N2296" s="1" t="str">
        <x:f>IF(A2296="","",IF(AJ2296="Yes","Verified","Listed"))</x:f>
        <x:v>Listed</x:v>
      </x:c>
      <x:c r="O2296" s="1" t="n">
        <x:f>IF(AND(ISNUMBER(G2296),G2296&gt;=0,G2296&lt;=1),IF(G2296&gt;=0.9,30,IF(G2296&gt;=0.8,25,IF(G2296&gt;=0.7,20,IF(G2296&gt;=0.6,15,IF(G2296&gt;=0.5,10,IF(G2296&gt;=0.4,5,0)))))),"")</x:f>
        <x:v>15</x:v>
      </x:c>
      <x:c r="P2296" s="1" t="n">
        <x:f>IF(ISNUMBER(K2296),IF(K2296&lt;0,"",IF(K2296&gt;1,25,IF(K2296&gt;=0.75,20,IF(K2296&gt;=0.5,15,IF(K2296&gt;=0.25,10,5))))),"")</x:f>
        <x:v>15</x:v>
      </x:c>
      <x:c r="Q2296" s="1" t="n">
        <x:f>IF(NOT(ISNUMBER(L2296)),"",IF(AND(L2296&gt;=0,MOD(L2296,1)=0),MAX(0,25-5*L2296),""))</x:f>
        <x:v>0</x:v>
      </x:c>
      <x:c r="R2296" s="1" t="n">
        <x:f>IF(NOT(ISNUMBER(F2296)),"",IF(AND(F2296&gt;0,MOD(F2296,1)=0),IF(F2296&gt;=700,5,IF(F2296&gt;=500,4,IF(F2296&gt;=350,3,IF(F2296&gt;=200,2,1)))),""))</x:f>
        <x:v>3</x:v>
      </x:c>
      <x:c r="S2296" s="1" t="n">
        <x:f>IF(COUNT(O2296:R2296)=4,SUM(O2296:R2296),"")</x:f>
        <x:v>33</x:v>
      </x:c>
      <x:c r="T2296" s="1" t="n">
        <x:f>IF(OR(COUNT(O2296:R2296)&lt;&gt;4,COUNT('Top 15'!$B$35:$E$35)&lt;&gt;4,MIN('Top 15'!$B$35:$E$35)&lt;0,SUM('Top 15'!$B$35:$E$35)&lt;=0),"",ROUND(85*(O2296/30*'Top 15'!$B$35+P2296/25*'Top 15'!$C$35+Q2296/25*'Top 15'!$D$35+R2296/5*'Top 15'!$E$35)/SUM('Top 15'!$B$35:$E$35),6))</x:f>
        <x:v>33</x:v>
      </x:c>
      <x:c r="U2296" s="1" t="str">
        <x:f>IF(A2296="","",IF(AND(M2296="Verified",N2296="Verified"),"Verified",IF(AND(M2296="Listed",N2296="Listed"),"Listed","Mixed")))</x:f>
        <x:v>Listed</x:v>
      </x:c>
      <x:c r="V2296" s="1" t="str">
        <x:f>IF(A2296="","",IF(AK2296&lt;&gt;1,"Duplicate source ID",IF(COUNTIFS('Staff Review'!$A$8:$A$507,A2296)&gt;1,"Duplicate review ID",IF(H2296&lt;&gt;"Yes","Outside scope",IF(J2296="Yes","Already served",IF(NOT(ISNUMBER(T2296)),"Missing data","Candidate"))))))</x:f>
        <x:v>Candidate</x:v>
      </x:c>
      <x:c r="W2296" s="1" t="n">
        <x:f>IF(AL2296=0,"",1+COUNTIFS($AL$2051:$AL$2550,1,$T$2051:$T$2550,"&gt;"&amp;T2296)+COUNTIFS($AL$2051:$AL$2550,1,$T$2051:$T$2550,T2296,$G$2051:$G$2550,"&gt;"&amp;G2296)+COUNTIFS($AL$2051:$AL$2550,1,$T$2051:$T$2550,T2296,$G$2051:$G$2550,G2296,$F$2051:$F$2550,"&gt;"&amp;F2296)+COUNTIFS($AL$2051:$AL$2550,1,$T$2051:$T$2550,T2296,$G$2051:$G$2550,G2296,$F$2051:$F$2550,F2296,$AM$2051:$AM$2550,"&lt;"&amp;AM2296))</x:f>
        <x:v>242</x:v>
      </x:c>
      <x:c r="X2296" s="1" t="n">
        <x:f>IF(AL2296=0,"",1+COUNTIFS($AL$2051:$AL$2550,1,$T$2051:$T$2550,"&gt;"&amp;T2296))</x:f>
        <x:v>233</x:v>
      </x:c>
      <x:c r="Y2296" s="1" t="n">
        <x:f>IF(AND(H2296="Yes",OR(LEN('School Search'!$B$5)=0,ISNUMBER(SEARCH('School Search'!$B$5,B2296&amp;" "&amp;E2296&amp;" "&amp;A2296))),OR('School Search'!$D$5="All",C2296='School Search'!$D$5),OR('School Search'!$G$5="All eligible",AND('School Search'!$G$5="Not marked served",J2296&lt;&gt;"Yes"),AND('School Search'!$G$5="Missing data",V2296="Missing data"),AND('School Search'!$G$5="Marked served",J2296="Yes"))),1,0)</x:f>
        <x:v>1</x:v>
      </x:c>
      <x:c r="Z2296" s="1" t="n">
        <x:f>IF(Y2296=0,"",COUNTIFS($Y$2051:$Y$2550,1,$AO$2051:$AO$2550,"&lt;"&amp;AO2296)+COUNTIFS($Y$2051:Y2296,1,$AO$2051:AO2296,AO2296))</x:f>
        <x:v>242</x:v>
      </x:c>
      <x:c r="AA2296" s="1" t="str">
        <x:f>IF(NOT(ISNUMBER(S2296)),"Missing demographic or access input",TEXT(G2296,"0%")&amp;" economic need; "&amp;TEXT(K2296,"0.00")&amp;" mi fresh access; "&amp;L2296&amp;" nearby resources")</x:f>
        <x:v>63% economic need; 0.51 mi fresh access; 12 nearby resources</x:v>
      </x:c>
      <x:c r="AB2296" s="1" t="n">
        <x:f>IF(OR(A2296="",COUNTIFS($A$1531:$A$2030,A2296)&lt;&gt;1),0,MATCH(A2296,$A$1531:$A$2030,0))</x:f>
        <x:v>246</x:v>
      </x:c>
      <x:c r="AC2296" s="1" t="str">
        <x:f>IF(AB2296=0,"",INDEX($E$1531:$E$2030,AB2296))</x:f>
        <x:v>ARKADY DVOR T/A A&amp;N HOUSE OF PROD</x:v>
      </x:c>
      <x:c r="AD2296" s="1" t="str">
        <x:f>IF(AB2296=0,"",INDEX($F$1531:$F$2030,AB2296))</x:f>
        <x:v>5929 Greene St, Philadelphia, PA, 19144</x:v>
      </x:c>
      <x:c r="AE2296" s="1" t="str">
        <x:f>IF(A2296="","",F247)</x:f>
        <x:v>6340 WAYNE AVE</x:v>
      </x:c>
      <x:c r="AF2296" s="1" t="n">
        <x:f>IF(ISNUMBER(I247),I247,"")</x:f>
        <x:v>40.03708413</x:v>
      </x:c>
      <x:c r="AG2296" s="1" t="n">
        <x:f>IF(ISNUMBER(J247),J247,"")</x:f>
        <x:v>-75.18961364</x:v>
      </x:c>
      <x:c r="AH2296" s="1" t="str">
        <x:f>IF(I2296=0,"Not contacted",IF(INDEX('Staff Review'!$J$8:$J$507,I2296)="","Not contacted",INDEX('Staff Review'!$J$8:$J$507,I2296)))</x:f>
        <x:v>Not contacted</x:v>
      </x:c>
      <x:c r="AI2296" s="1" t="str">
        <x:f>IF(I2296=0,"No",IF(AND(COUNT(INDEX('Staff Review'!$D$8:$D$507,I2296))=1,INDEX('Staff Review'!$D$8:$D$507,I2296)&gt;=0,COUNT(INDEX('Staff Review'!$E$8:$E$507,I2296))=1,INDEX('Staff Review'!$E$8:$E$507,I2296)&gt;0,INDEX('Staff Review'!$E$8:$E$507,I2296)&lt;='Top 15'!$E$5,'Top 15'!$E$5-INDEX('Staff Review'!$E$8:$E$507,I2296)&lt;='Top 15'!$H$5,LEN(INDEX('Staff Review'!$H$8:$H$507,I2296))&gt;0),"Yes","No"))</x:f>
        <x:v>No</x:v>
      </x:c>
      <x:c r="AJ2296" s="1" t="str">
        <x:f>IF(I2296=0,"No",IF(COUNT(INDEX('Staff Review'!$F$8:$F$507,I2296))&lt;&gt;1,"No",IF(AND(INDEX('Staff Review'!$F$8:$F$507,I2296)&gt;=0,MOD(INDEX('Staff Review'!$F$8:$F$507,I2296),1)=0,COUNT(INDEX('Staff Review'!$G$8:$G$507,I2296))=1,INDEX('Staff Review'!$G$8:$G$507,I2296)&gt;0,INDEX('Staff Review'!$G$8:$G$507,I2296)&lt;='Top 15'!$E$5,'Top 15'!$E$5-INDEX('Staff Review'!$G$8:$G$507,I2296)&lt;='Top 15'!$H$5,LEN(INDEX('Staff Review'!$H$8:$H$507,I2296))&gt;0),"Yes","No")))</x:f>
        <x:v>No</x:v>
      </x:c>
      <x:c r="AK2296" s="1" t="n">
        <x:f>IF(A2296="",0,COUNTIFS($A$2:$A$501,A2296))</x:f>
        <x:v>1</x:v>
      </x:c>
      <x:c r="AL2296" s="1" t="n">
        <x:f>IF(V2296="Candidate",1,0)</x:f>
        <x:v>1</x:v>
      </x:c>
      <x:c r="AM2296" s="1" t="n">
        <x:f>IF(A2296="",0,VALUE(A2296))</x:f>
        <x:v>6440</x:v>
      </x:c>
      <x:c r="AN2296" s="1" t="n">
        <x:f>IF(OR(A2296="",COUNTIFS($T$41:$T$540,A2296)&lt;&gt;1),0,MATCH(A2296,$T$41:$T$540,0))</x:f>
        <x:v>246</x:v>
      </x:c>
      <x:c r="AO2296" t="n">
        <x:f>IF(ISNUMBER(W2296),W2296,10000+AM2296)</x:f>
        <x:v>242</x:v>
      </x:c>
    </x:row>
    <x:row r="2297" ht="22" customHeight="1">
      <x:c r="A2297" s="1" t="str">
        <x:f>IF(A248="","",A248)</x:f>
        <x:v>6450</x:v>
      </x:c>
      <x:c r="B2297" s="1" t="str">
        <x:f>IF(A2297="","",B248)</x:f>
        <x:v>James Dobson School</x:v>
      </x:c>
      <x:c r="C2297" s="1" t="str">
        <x:f>IF(A2297="","",C248)</x:f>
        <x:v>District</x:v>
      </x:c>
      <x:c r="D2297" s="1" t="str">
        <x:f>IF(A2297="","",E248)</x:f>
        <x:v>Elementary-Middle</x:v>
      </x:c>
      <x:c r="E2297" s="1" t="str">
        <x:f>IF(A2297="","",H248)</x:f>
        <x:v>19127</x:v>
      </x:c>
      <x:c r="F2297" s="1" t="n">
        <x:f>IF(ISNUMBER(K248),K248,"")</x:f>
        <x:v>253</x:v>
      </x:c>
      <x:c r="G2297" s="1" t="n">
        <x:f>IF(ISNUMBER(L248),L248,"")</x:f>
        <x:v>0.4901</x:v>
      </x:c>
      <x:c r="H2297" s="1" t="str">
        <x:f>IF(A2297="","",IF(AND(UPPER(G248)="PHILADELPHIA",OR(C2297="District",AND(C2297="Charter",D248="Yes"))),"Yes","No"))</x:f>
        <x:v>Yes</x:v>
      </x:c>
      <x:c r="I2297" s="1" t="n">
        <x:f>IF(OR(A2297="",COUNTIFS('Staff Review'!$A$8:$A$507,A2297)&lt;&gt;1),0,MATCH(A2297,'Staff Review'!$A$8:$A$507,0))</x:f>
        <x:v>125</x:v>
      </x:c>
      <x:c r="J2297" s="1" t="str">
        <x:f>IF(I2297=0,"No",IF(INDEX('Staff Review'!$C$8:$C$507,I2297)="Yes","Yes","No"))</x:f>
        <x:v>No</x:v>
      </x:c>
      <x:c r="K2297" s="1" t="n">
        <x:f>IF(AI2297="Yes",INDEX('Staff Review'!$D$8:$D$507,I2297),IF(AB2297=0,"",IF(COUNT(INDEX($C$1531:$C$2030,AB2297))=1,INDEX($C$1531:$C$2030,AB2297),"")))</x:f>
        <x:v>0.8343283051001598</x:v>
      </x:c>
      <x:c r="L2297" s="1" t="n">
        <x:f>IF(AJ2297="Yes",INDEX('Staff Review'!$F$8:$F$507,I2297),IF(AB2297=0,"",IF(COUNT(INDEX($G$1531:$G$2030,AB2297))=1,INDEX($G$1531:$G$2030,AB2297),"")))</x:f>
        <x:v>1</x:v>
      </x:c>
      <x:c r="M2297" s="1" t="str">
        <x:f>IF(A2297="","",IF(AI2297="Yes","Verified","Listed"))</x:f>
        <x:v>Listed</x:v>
      </x:c>
      <x:c r="N2297" s="1" t="str">
        <x:f>IF(A2297="","",IF(AJ2297="Yes","Verified","Listed"))</x:f>
        <x:v>Listed</x:v>
      </x:c>
      <x:c r="O2297" s="1" t="n">
        <x:f>IF(AND(ISNUMBER(G2297),G2297&gt;=0,G2297&lt;=1),IF(G2297&gt;=0.9,30,IF(G2297&gt;=0.8,25,IF(G2297&gt;=0.7,20,IF(G2297&gt;=0.6,15,IF(G2297&gt;=0.5,10,IF(G2297&gt;=0.4,5,0)))))),"")</x:f>
        <x:v>5</x:v>
      </x:c>
      <x:c r="P2297" s="1" t="n">
        <x:f>IF(ISNUMBER(K2297),IF(K2297&lt;0,"",IF(K2297&gt;1,25,IF(K2297&gt;=0.75,20,IF(K2297&gt;=0.5,15,IF(K2297&gt;=0.25,10,5))))),"")</x:f>
        <x:v>20</x:v>
      </x:c>
      <x:c r="Q2297" s="1" t="n">
        <x:f>IF(NOT(ISNUMBER(L2297)),"",IF(AND(L2297&gt;=0,MOD(L2297,1)=0),MAX(0,25-5*L2297),""))</x:f>
        <x:v>20</x:v>
      </x:c>
      <x:c r="R2297" s="1" t="n">
        <x:f>IF(NOT(ISNUMBER(F2297)),"",IF(AND(F2297&gt;0,MOD(F2297,1)=0),IF(F2297&gt;=700,5,IF(F2297&gt;=500,4,IF(F2297&gt;=350,3,IF(F2297&gt;=200,2,1)))),""))</x:f>
        <x:v>2</x:v>
      </x:c>
      <x:c r="S2297" s="1" t="n">
        <x:f>IF(COUNT(O2297:R2297)=4,SUM(O2297:R2297),"")</x:f>
        <x:v>47</x:v>
      </x:c>
      <x:c r="T2297" s="1" t="n">
        <x:f>IF(OR(COUNT(O2297:R2297)&lt;&gt;4,COUNT('Top 15'!$B$35:$E$35)&lt;&gt;4,MIN('Top 15'!$B$35:$E$35)&lt;0,SUM('Top 15'!$B$35:$E$35)&lt;=0),"",ROUND(85*(O2297/30*'Top 15'!$B$35+P2297/25*'Top 15'!$C$35+Q2297/25*'Top 15'!$D$35+R2297/5*'Top 15'!$E$35)/SUM('Top 15'!$B$35:$E$35),6))</x:f>
        <x:v>47</x:v>
      </x:c>
      <x:c r="U2297" s="1" t="str">
        <x:f>IF(A2297="","",IF(AND(M2297="Verified",N2297="Verified"),"Verified",IF(AND(M2297="Listed",N2297="Listed"),"Listed","Mixed")))</x:f>
        <x:v>Listed</x:v>
      </x:c>
      <x:c r="V2297" s="1" t="str">
        <x:f>IF(A2297="","",IF(AK2297&lt;&gt;1,"Duplicate source ID",IF(COUNTIFS('Staff Review'!$A$8:$A$507,A2297)&gt;1,"Duplicate review ID",IF(H2297&lt;&gt;"Yes","Outside scope",IF(J2297="Yes","Already served",IF(NOT(ISNUMBER(T2297)),"Missing data","Candidate"))))))</x:f>
        <x:v>Candidate</x:v>
      </x:c>
      <x:c r="W2297" s="1" t="n">
        <x:f>IF(AL2297=0,"",1+COUNTIFS($AL$2051:$AL$2550,1,$T$2051:$T$2550,"&gt;"&amp;T2297)+COUNTIFS($AL$2051:$AL$2550,1,$T$2051:$T$2550,T2297,$G$2051:$G$2550,"&gt;"&amp;G2297)+COUNTIFS($AL$2051:$AL$2550,1,$T$2051:$T$2550,T2297,$G$2051:$G$2550,G2297,$F$2051:$F$2550,"&gt;"&amp;F2297)+COUNTIFS($AL$2051:$AL$2550,1,$T$2051:$T$2550,T2297,$G$2051:$G$2550,G2297,$F$2051:$F$2550,F2297,$AM$2051:$AM$2550,"&lt;"&amp;AM2297))</x:f>
        <x:v>70</x:v>
      </x:c>
      <x:c r="X2297" s="1" t="n">
        <x:f>IF(AL2297=0,"",1+COUNTIFS($AL$2051:$AL$2550,1,$T$2051:$T$2550,"&gt;"&amp;T2297))</x:f>
        <x:v>64</x:v>
      </x:c>
      <x:c r="Y2297" s="1" t="n">
        <x:f>IF(AND(H2297="Yes",OR(LEN('School Search'!$B$5)=0,ISNUMBER(SEARCH('School Search'!$B$5,B2297&amp;" "&amp;E2297&amp;" "&amp;A2297))),OR('School Search'!$D$5="All",C2297='School Search'!$D$5),OR('School Search'!$G$5="All eligible",AND('School Search'!$G$5="Not marked served",J2297&lt;&gt;"Yes"),AND('School Search'!$G$5="Missing data",V2297="Missing data"),AND('School Search'!$G$5="Marked served",J2297="Yes"))),1,0)</x:f>
        <x:v>1</x:v>
      </x:c>
      <x:c r="Z2297" s="1" t="n">
        <x:f>IF(Y2297=0,"",COUNTIFS($Y$2051:$Y$2550,1,$AO$2051:$AO$2550,"&lt;"&amp;AO2297)+COUNTIFS($Y$2051:Y2297,1,$AO$2051:AO2297,AO2297))</x:f>
        <x:v>70</x:v>
      </x:c>
      <x:c r="AA2297" s="1" t="str">
        <x:f>IF(NOT(ISNUMBER(S2297)),"Missing demographic or access input",TEXT(G2297,"0%")&amp;" economic need; "&amp;TEXT(K2297,"0.00")&amp;" mi fresh access; "&amp;L2297&amp;" nearby resources")</x:f>
        <x:v>49% economic need; 0.83 mi fresh access; 1 nearby resources</x:v>
      </x:c>
      <x:c r="AB2297" s="1" t="n">
        <x:f>IF(OR(A2297="",COUNTIFS($A$1531:$A$2030,A2297)&lt;&gt;1),0,MATCH(A2297,$A$1531:$A$2030,0))</x:f>
        <x:v>247</x:v>
      </x:c>
      <x:c r="AC2297" s="1" t="str">
        <x:f>IF(AB2297=0,"",INDEX($E$1531:$E$2030,AB2297))</x:f>
        <x:v>Shop Rite of Roxborough 519</x:v>
      </x:c>
      <x:c r="AD2297" s="1" t="str">
        <x:f>IF(AB2297=0,"",INDEX($F$1531:$F$2030,AB2297))</x:f>
        <x:v>6901 Ridge Ave, Philadelphia, PA, 19128</x:v>
      </x:c>
      <x:c r="AE2297" s="1" t="str">
        <x:f>IF(A2297="","",F248)</x:f>
        <x:v>4667 UMBRIA ST</x:v>
      </x:c>
      <x:c r="AF2297" s="1" t="n">
        <x:f>IF(ISNUMBER(I248),I248,"")</x:f>
        <x:v>40.03147536</x:v>
      </x:c>
      <x:c r="AG2297" s="1" t="n">
        <x:f>IF(ISNUMBER(J248),J248,"")</x:f>
        <x:v>-75.23067163</x:v>
      </x:c>
      <x:c r="AH2297" s="1" t="str">
        <x:f>IF(I2297=0,"Not contacted",IF(INDEX('Staff Review'!$J$8:$J$507,I2297)="","Not contacted",INDEX('Staff Review'!$J$8:$J$507,I2297)))</x:f>
        <x:v>Not contacted</x:v>
      </x:c>
      <x:c r="AI2297" s="1" t="str">
        <x:f>IF(I2297=0,"No",IF(AND(COUNT(INDEX('Staff Review'!$D$8:$D$507,I2297))=1,INDEX('Staff Review'!$D$8:$D$507,I2297)&gt;=0,COUNT(INDEX('Staff Review'!$E$8:$E$507,I2297))=1,INDEX('Staff Review'!$E$8:$E$507,I2297)&gt;0,INDEX('Staff Review'!$E$8:$E$507,I2297)&lt;='Top 15'!$E$5,'Top 15'!$E$5-INDEX('Staff Review'!$E$8:$E$507,I2297)&lt;='Top 15'!$H$5,LEN(INDEX('Staff Review'!$H$8:$H$507,I2297))&gt;0),"Yes","No"))</x:f>
        <x:v>No</x:v>
      </x:c>
      <x:c r="AJ2297" s="1" t="str">
        <x:f>IF(I2297=0,"No",IF(COUNT(INDEX('Staff Review'!$F$8:$F$507,I2297))&lt;&gt;1,"No",IF(AND(INDEX('Staff Review'!$F$8:$F$507,I2297)&gt;=0,MOD(INDEX('Staff Review'!$F$8:$F$507,I2297),1)=0,COUNT(INDEX('Staff Review'!$G$8:$G$507,I2297))=1,INDEX('Staff Review'!$G$8:$G$507,I2297)&gt;0,INDEX('Staff Review'!$G$8:$G$507,I2297)&lt;='Top 15'!$E$5,'Top 15'!$E$5-INDEX('Staff Review'!$G$8:$G$507,I2297)&lt;='Top 15'!$H$5,LEN(INDEX('Staff Review'!$H$8:$H$507,I2297))&gt;0),"Yes","No")))</x:f>
        <x:v>No</x:v>
      </x:c>
      <x:c r="AK2297" s="1" t="n">
        <x:f>IF(A2297="",0,COUNTIFS($A$2:$A$501,A2297))</x:f>
        <x:v>1</x:v>
      </x:c>
      <x:c r="AL2297" s="1" t="n">
        <x:f>IF(V2297="Candidate",1,0)</x:f>
        <x:v>1</x:v>
      </x:c>
      <x:c r="AM2297" s="1" t="n">
        <x:f>IF(A2297="",0,VALUE(A2297))</x:f>
        <x:v>6450</x:v>
      </x:c>
      <x:c r="AN2297" s="1" t="n">
        <x:f>IF(OR(A2297="",COUNTIFS($T$41:$T$540,A2297)&lt;&gt;1),0,MATCH(A2297,$T$41:$T$540,0))</x:f>
        <x:v>247</x:v>
      </x:c>
      <x:c r="AO2297" t="n">
        <x:f>IF(ISNUMBER(W2297),W2297,10000+AM2297)</x:f>
        <x:v>70</x:v>
      </x:c>
    </x:row>
    <x:row r="2298" ht="22" customHeight="1">
      <x:c r="A2298" s="1" t="str">
        <x:f>IF(A249="","",A249)</x:f>
        <x:v>6460</x:v>
      </x:c>
      <x:c r="B2298" s="1" t="str">
        <x:f>IF(A2298="","",B249)</x:f>
        <x:v>Hill-Freedman World Academy</x:v>
      </x:c>
      <x:c r="C2298" s="1" t="str">
        <x:f>IF(A2298="","",C249)</x:f>
        <x:v>District</x:v>
      </x:c>
      <x:c r="D2298" s="1" t="str">
        <x:f>IF(A2298="","",E249)</x:f>
        <x:v>Middle-High</x:v>
      </x:c>
      <x:c r="E2298" s="1" t="str">
        <x:f>IF(A2298="","",H249)</x:f>
        <x:v>19150</x:v>
      </x:c>
      <x:c r="F2298" s="1" t="n">
        <x:f>IF(ISNUMBER(K249),K249,"")</x:f>
        <x:v>650</x:v>
      </x:c>
      <x:c r="G2298" s="1" t="n">
        <x:f>IF(ISNUMBER(L249),L249,"")</x:f>
        <x:v>0.6781</x:v>
      </x:c>
      <x:c r="H2298" s="1" t="str">
        <x:f>IF(A2298="","",IF(AND(UPPER(G249)="PHILADELPHIA",OR(C2298="District",AND(C2298="Charter",D249="Yes"))),"Yes","No"))</x:f>
        <x:v>Yes</x:v>
      </x:c>
      <x:c r="I2298" s="1" t="n">
        <x:f>IF(OR(A2298="",COUNTIFS('Staff Review'!$A$8:$A$507,A2298)&lt;&gt;1),0,MATCH(A2298,'Staff Review'!$A$8:$A$507,0))</x:f>
        <x:v>115</x:v>
      </x:c>
      <x:c r="J2298" s="1" t="str">
        <x:f>IF(I2298=0,"No",IF(INDEX('Staff Review'!$C$8:$C$507,I2298)="Yes","Yes","No"))</x:f>
        <x:v>No</x:v>
      </x:c>
      <x:c r="K2298" s="1" t="n">
        <x:f>IF(AI2298="Yes",INDEX('Staff Review'!$D$8:$D$507,I2298),IF(AB2298=0,"",IF(COUNT(INDEX($C$1531:$C$2030,AB2298))=1,INDEX($C$1531:$C$2030,AB2298),"")))</x:f>
        <x:v>0.8359956387342444</x:v>
      </x:c>
      <x:c r="L2298" s="1" t="n">
        <x:f>IF(AJ2298="Yes",INDEX('Staff Review'!$F$8:$F$507,I2298),IF(AB2298=0,"",IF(COUNT(INDEX($G$1531:$G$2030,AB2298))=1,INDEX($G$1531:$G$2030,AB2298),"")))</x:f>
        <x:v>3</x:v>
      </x:c>
      <x:c r="M2298" s="1" t="str">
        <x:f>IF(A2298="","",IF(AI2298="Yes","Verified","Listed"))</x:f>
        <x:v>Listed</x:v>
      </x:c>
      <x:c r="N2298" s="1" t="str">
        <x:f>IF(A2298="","",IF(AJ2298="Yes","Verified","Listed"))</x:f>
        <x:v>Listed</x:v>
      </x:c>
      <x:c r="O2298" s="1" t="n">
        <x:f>IF(AND(ISNUMBER(G2298),G2298&gt;=0,G2298&lt;=1),IF(G2298&gt;=0.9,30,IF(G2298&gt;=0.8,25,IF(G2298&gt;=0.7,20,IF(G2298&gt;=0.6,15,IF(G2298&gt;=0.5,10,IF(G2298&gt;=0.4,5,0)))))),"")</x:f>
        <x:v>15</x:v>
      </x:c>
      <x:c r="P2298" s="1" t="n">
        <x:f>IF(ISNUMBER(K2298),IF(K2298&lt;0,"",IF(K2298&gt;1,25,IF(K2298&gt;=0.75,20,IF(K2298&gt;=0.5,15,IF(K2298&gt;=0.25,10,5))))),"")</x:f>
        <x:v>20</x:v>
      </x:c>
      <x:c r="Q2298" s="1" t="n">
        <x:f>IF(NOT(ISNUMBER(L2298)),"",IF(AND(L2298&gt;=0,MOD(L2298,1)=0),MAX(0,25-5*L2298),""))</x:f>
        <x:v>10</x:v>
      </x:c>
      <x:c r="R2298" s="1" t="n">
        <x:f>IF(NOT(ISNUMBER(F2298)),"",IF(AND(F2298&gt;0,MOD(F2298,1)=0),IF(F2298&gt;=700,5,IF(F2298&gt;=500,4,IF(F2298&gt;=350,3,IF(F2298&gt;=200,2,1)))),""))</x:f>
        <x:v>4</x:v>
      </x:c>
      <x:c r="S2298" s="1" t="n">
        <x:f>IF(COUNT(O2298:R2298)=4,SUM(O2298:R2298),"")</x:f>
        <x:v>49</x:v>
      </x:c>
      <x:c r="T2298" s="1" t="n">
        <x:f>IF(OR(COUNT(O2298:R2298)&lt;&gt;4,COUNT('Top 15'!$B$35:$E$35)&lt;&gt;4,MIN('Top 15'!$B$35:$E$35)&lt;0,SUM('Top 15'!$B$35:$E$35)&lt;=0),"",ROUND(85*(O2298/30*'Top 15'!$B$35+P2298/25*'Top 15'!$C$35+Q2298/25*'Top 15'!$D$35+R2298/5*'Top 15'!$E$35)/SUM('Top 15'!$B$35:$E$35),6))</x:f>
        <x:v>49</x:v>
      </x:c>
      <x:c r="U2298" s="1" t="str">
        <x:f>IF(A2298="","",IF(AND(M2298="Verified",N2298="Verified"),"Verified",IF(AND(M2298="Listed",N2298="Listed"),"Listed","Mixed")))</x:f>
        <x:v>Listed</x:v>
      </x:c>
      <x:c r="V2298" s="1" t="str">
        <x:f>IF(A2298="","",IF(AK2298&lt;&gt;1,"Duplicate source ID",IF(COUNTIFS('Staff Review'!$A$8:$A$507,A2298)&gt;1,"Duplicate review ID",IF(H2298&lt;&gt;"Yes","Outside scope",IF(J2298="Yes","Already served",IF(NOT(ISNUMBER(T2298)),"Missing data","Candidate"))))))</x:f>
        <x:v>Candidate</x:v>
      </x:c>
      <x:c r="W2298" s="1" t="n">
        <x:f>IF(AL2298=0,"",1+COUNTIFS($AL$2051:$AL$2550,1,$T$2051:$T$2550,"&gt;"&amp;T2298)+COUNTIFS($AL$2051:$AL$2550,1,$T$2051:$T$2550,T2298,$G$2051:$G$2550,"&gt;"&amp;G2298)+COUNTIFS($AL$2051:$AL$2550,1,$T$2051:$T$2550,T2298,$G$2051:$G$2550,G2298,$F$2051:$F$2550,"&gt;"&amp;F2298)+COUNTIFS($AL$2051:$AL$2550,1,$T$2051:$T$2550,T2298,$G$2051:$G$2550,G2298,$F$2051:$F$2550,F2298,$AM$2051:$AM$2550,"&lt;"&amp;AM2298))</x:f>
        <x:v>53</x:v>
      </x:c>
      <x:c r="X2298" s="1" t="n">
        <x:f>IF(AL2298=0,"",1+COUNTIFS($AL$2051:$AL$2550,1,$T$2051:$T$2550,"&gt;"&amp;T2298))</x:f>
        <x:v>46</x:v>
      </x:c>
      <x:c r="Y2298" s="1" t="n">
        <x:f>IF(AND(H2298="Yes",OR(LEN('School Search'!$B$5)=0,ISNUMBER(SEARCH('School Search'!$B$5,B2298&amp;" "&amp;E2298&amp;" "&amp;A2298))),OR('School Search'!$D$5="All",C2298='School Search'!$D$5),OR('School Search'!$G$5="All eligible",AND('School Search'!$G$5="Not marked served",J2298&lt;&gt;"Yes"),AND('School Search'!$G$5="Missing data",V2298="Missing data"),AND('School Search'!$G$5="Marked served",J2298="Yes"))),1,0)</x:f>
        <x:v>1</x:v>
      </x:c>
      <x:c r="Z2298" s="1" t="n">
        <x:f>IF(Y2298=0,"",COUNTIFS($Y$2051:$Y$2550,1,$AO$2051:$AO$2550,"&lt;"&amp;AO2298)+COUNTIFS($Y$2051:Y2298,1,$AO$2051:AO2298,AO2298))</x:f>
        <x:v>53</x:v>
      </x:c>
      <x:c r="AA2298" s="1" t="str">
        <x:f>IF(NOT(ISNUMBER(S2298)),"Missing demographic or access input",TEXT(G2298,"0%")&amp;" economic need; "&amp;TEXT(K2298,"0.00")&amp;" mi fresh access; "&amp;L2298&amp;" nearby resources")</x:f>
        <x:v>68% economic need; 0.84 mi fresh access; 3 nearby resources</x:v>
      </x:c>
      <x:c r="AB2298" s="1" t="n">
        <x:f>IF(OR(A2298="",COUNTIFS($A$1531:$A$2030,A2298)&lt;&gt;1),0,MATCH(A2298,$A$1531:$A$2030,0))</x:f>
        <x:v>248</x:v>
      </x:c>
      <x:c r="AC2298" s="1" t="str">
        <x:f>IF(AB2298=0,"",INDEX($E$1531:$E$2030,AB2298))</x:f>
        <x:v>Fresh Grocer Of Wyncote 415</x:v>
      </x:c>
      <x:c r="AD2298" s="1" t="str">
        <x:f>IF(AB2298=0,"",INDEX($F$1531:$F$2030,AB2298))</x:f>
        <x:v>1000 Easton Rd, Wyncote, PA, 19095</x:v>
      </x:c>
      <x:c r="AE2298" s="1" t="str">
        <x:f>IF(A2298="","",F249)</x:f>
        <x:v>1100 E MOUNT PLEASANT AVE</x:v>
      </x:c>
      <x:c r="AF2298" s="1" t="n">
        <x:f>IF(ISNUMBER(I249),I249,"")</x:f>
        <x:v>40.071311</x:v>
      </x:c>
      <x:c r="AG2298" s="1" t="n">
        <x:f>IF(ISNUMBER(J249),J249,"")</x:f>
        <x:v>-75.175303</x:v>
      </x:c>
      <x:c r="AH2298" s="1" t="str">
        <x:f>IF(I2298=0,"Not contacted",IF(INDEX('Staff Review'!$J$8:$J$507,I2298)="","Not contacted",INDEX('Staff Review'!$J$8:$J$507,I2298)))</x:f>
        <x:v>Not contacted</x:v>
      </x:c>
      <x:c r="AI2298" s="1" t="str">
        <x:f>IF(I2298=0,"No",IF(AND(COUNT(INDEX('Staff Review'!$D$8:$D$507,I2298))=1,INDEX('Staff Review'!$D$8:$D$507,I2298)&gt;=0,COUNT(INDEX('Staff Review'!$E$8:$E$507,I2298))=1,INDEX('Staff Review'!$E$8:$E$507,I2298)&gt;0,INDEX('Staff Review'!$E$8:$E$507,I2298)&lt;='Top 15'!$E$5,'Top 15'!$E$5-INDEX('Staff Review'!$E$8:$E$507,I2298)&lt;='Top 15'!$H$5,LEN(INDEX('Staff Review'!$H$8:$H$507,I2298))&gt;0),"Yes","No"))</x:f>
        <x:v>No</x:v>
      </x:c>
      <x:c r="AJ2298" s="1" t="str">
        <x:f>IF(I2298=0,"No",IF(COUNT(INDEX('Staff Review'!$F$8:$F$507,I2298))&lt;&gt;1,"No",IF(AND(INDEX('Staff Review'!$F$8:$F$507,I2298)&gt;=0,MOD(INDEX('Staff Review'!$F$8:$F$507,I2298),1)=0,COUNT(INDEX('Staff Review'!$G$8:$G$507,I2298))=1,INDEX('Staff Review'!$G$8:$G$507,I2298)&gt;0,INDEX('Staff Review'!$G$8:$G$507,I2298)&lt;='Top 15'!$E$5,'Top 15'!$E$5-INDEX('Staff Review'!$G$8:$G$507,I2298)&lt;='Top 15'!$H$5,LEN(INDEX('Staff Review'!$H$8:$H$507,I2298))&gt;0),"Yes","No")))</x:f>
        <x:v>No</x:v>
      </x:c>
      <x:c r="AK2298" s="1" t="n">
        <x:f>IF(A2298="",0,COUNTIFS($A$2:$A$501,A2298))</x:f>
        <x:v>1</x:v>
      </x:c>
      <x:c r="AL2298" s="1" t="n">
        <x:f>IF(V2298="Candidate",1,0)</x:f>
        <x:v>1</x:v>
      </x:c>
      <x:c r="AM2298" s="1" t="n">
        <x:f>IF(A2298="",0,VALUE(A2298))</x:f>
        <x:v>6460</x:v>
      </x:c>
      <x:c r="AN2298" s="1" t="n">
        <x:f>IF(OR(A2298="",COUNTIFS($T$41:$T$540,A2298)&lt;&gt;1),0,MATCH(A2298,$T$41:$T$540,0))</x:f>
        <x:v>248</x:v>
      </x:c>
      <x:c r="AO2298" t="n">
        <x:f>IF(ISNUMBER(W2298),W2298,10000+AM2298)</x:f>
        <x:v>53</x:v>
      </x:c>
    </x:row>
    <x:row r="2299" ht="22" customHeight="1">
      <x:c r="A2299" s="1" t="str">
        <x:f>IF(A250="","",A250)</x:f>
        <x:v>6470</x:v>
      </x:c>
      <x:c r="B2299" s="1" t="str">
        <x:f>IF(A2299="","",B250)</x:f>
        <x:v>John B. Kelly School</x:v>
      </x:c>
      <x:c r="C2299" s="1" t="str">
        <x:f>IF(A2299="","",C250)</x:f>
        <x:v>District</x:v>
      </x:c>
      <x:c r="D2299" s="1" t="str">
        <x:f>IF(A2299="","",E250)</x:f>
        <x:v>Elementary</x:v>
      </x:c>
      <x:c r="E2299" s="1" t="str">
        <x:f>IF(A2299="","",H250)</x:f>
        <x:v>19144</x:v>
      </x:c>
      <x:c r="F2299" s="1" t="n">
        <x:f>IF(ISNUMBER(K250),K250,"")</x:f>
        <x:v>346</x:v>
      </x:c>
      <x:c r="G2299" s="1" t="n">
        <x:f>IF(ISNUMBER(L250),L250,"")</x:f>
        <x:v>0.8699</x:v>
      </x:c>
      <x:c r="H2299" s="1" t="str">
        <x:f>IF(A2299="","",IF(AND(UPPER(G250)="PHILADELPHIA",OR(C2299="District",AND(C2299="Charter",D250="Yes"))),"Yes","No"))</x:f>
        <x:v>Yes</x:v>
      </x:c>
      <x:c r="I2299" s="1" t="n">
        <x:f>IF(OR(A2299="",COUNTIFS('Staff Review'!$A$8:$A$507,A2299)&lt;&gt;1),0,MATCH(A2299,'Staff Review'!$A$8:$A$507,0))</x:f>
        <x:v>133</x:v>
      </x:c>
      <x:c r="J2299" s="1" t="str">
        <x:f>IF(I2299=0,"No",IF(INDEX('Staff Review'!$C$8:$C$507,I2299)="Yes","Yes","No"))</x:f>
        <x:v>No</x:v>
      </x:c>
      <x:c r="K2299" s="1" t="n">
        <x:f>IF(AI2299="Yes",INDEX('Staff Review'!$D$8:$D$507,I2299),IF(AB2299=0,"",IF(COUNT(INDEX($C$1531:$C$2030,AB2299))=1,INDEX($C$1531:$C$2030,AB2299),"")))</x:f>
        <x:v>0.6354630684706201</x:v>
      </x:c>
      <x:c r="L2299" s="1" t="n">
        <x:f>IF(AJ2299="Yes",INDEX('Staff Review'!$F$8:$F$507,I2299),IF(AB2299=0,"",IF(COUNT(INDEX($G$1531:$G$2030,AB2299))=1,INDEX($G$1531:$G$2030,AB2299),"")))</x:f>
        <x:v>11</x:v>
      </x:c>
      <x:c r="M2299" s="1" t="str">
        <x:f>IF(A2299="","",IF(AI2299="Yes","Verified","Listed"))</x:f>
        <x:v>Listed</x:v>
      </x:c>
      <x:c r="N2299" s="1" t="str">
        <x:f>IF(A2299="","",IF(AJ2299="Yes","Verified","Listed"))</x:f>
        <x:v>Listed</x:v>
      </x:c>
      <x:c r="O2299" s="1" t="n">
        <x:f>IF(AND(ISNUMBER(G2299),G2299&gt;=0,G2299&lt;=1),IF(G2299&gt;=0.9,30,IF(G2299&gt;=0.8,25,IF(G2299&gt;=0.7,20,IF(G2299&gt;=0.6,15,IF(G2299&gt;=0.5,10,IF(G2299&gt;=0.4,5,0)))))),"")</x:f>
        <x:v>25</x:v>
      </x:c>
      <x:c r="P2299" s="1" t="n">
        <x:f>IF(ISNUMBER(K2299),IF(K2299&lt;0,"",IF(K2299&gt;1,25,IF(K2299&gt;=0.75,20,IF(K2299&gt;=0.5,15,IF(K2299&gt;=0.25,10,5))))),"")</x:f>
        <x:v>15</x:v>
      </x:c>
      <x:c r="Q2299" s="1" t="n">
        <x:f>IF(NOT(ISNUMBER(L2299)),"",IF(AND(L2299&gt;=0,MOD(L2299,1)=0),MAX(0,25-5*L2299),""))</x:f>
        <x:v>0</x:v>
      </x:c>
      <x:c r="R2299" s="1" t="n">
        <x:f>IF(NOT(ISNUMBER(F2299)),"",IF(AND(F2299&gt;0,MOD(F2299,1)=0),IF(F2299&gt;=700,5,IF(F2299&gt;=500,4,IF(F2299&gt;=350,3,IF(F2299&gt;=200,2,1)))),""))</x:f>
        <x:v>2</x:v>
      </x:c>
      <x:c r="S2299" s="1" t="n">
        <x:f>IF(COUNT(O2299:R2299)=4,SUM(O2299:R2299),"")</x:f>
        <x:v>42</x:v>
      </x:c>
      <x:c r="T2299" s="1" t="n">
        <x:f>IF(OR(COUNT(O2299:R2299)&lt;&gt;4,COUNT('Top 15'!$B$35:$E$35)&lt;&gt;4,MIN('Top 15'!$B$35:$E$35)&lt;0,SUM('Top 15'!$B$35:$E$35)&lt;=0),"",ROUND(85*(O2299/30*'Top 15'!$B$35+P2299/25*'Top 15'!$C$35+Q2299/25*'Top 15'!$D$35+R2299/5*'Top 15'!$E$35)/SUM('Top 15'!$B$35:$E$35),6))</x:f>
        <x:v>42</x:v>
      </x:c>
      <x:c r="U2299" s="1" t="str">
        <x:f>IF(A2299="","",IF(AND(M2299="Verified",N2299="Verified"),"Verified",IF(AND(M2299="Listed",N2299="Listed"),"Listed","Mixed")))</x:f>
        <x:v>Listed</x:v>
      </x:c>
      <x:c r="V2299" s="1" t="str">
        <x:f>IF(A2299="","",IF(AK2299&lt;&gt;1,"Duplicate source ID",IF(COUNTIFS('Staff Review'!$A$8:$A$507,A2299)&gt;1,"Duplicate review ID",IF(H2299&lt;&gt;"Yes","Outside scope",IF(J2299="Yes","Already served",IF(NOT(ISNUMBER(T2299)),"Missing data","Candidate"))))))</x:f>
        <x:v>Candidate</x:v>
      </x:c>
      <x:c r="W2299" s="1" t="n">
        <x:f>IF(AL2299=0,"",1+COUNTIFS($AL$2051:$AL$2550,1,$T$2051:$T$2550,"&gt;"&amp;T2299)+COUNTIFS($AL$2051:$AL$2550,1,$T$2051:$T$2550,T2299,$G$2051:$G$2550,"&gt;"&amp;G2299)+COUNTIFS($AL$2051:$AL$2550,1,$T$2051:$T$2550,T2299,$G$2051:$G$2550,G2299,$F$2051:$F$2550,"&gt;"&amp;F2299)+COUNTIFS($AL$2051:$AL$2550,1,$T$2051:$T$2550,T2299,$G$2051:$G$2550,G2299,$F$2051:$F$2550,F2299,$AM$2051:$AM$2550,"&lt;"&amp;AM2299))</x:f>
        <x:v>116</x:v>
      </x:c>
      <x:c r="X2299" s="1" t="n">
        <x:f>IF(AL2299=0,"",1+COUNTIFS($AL$2051:$AL$2550,1,$T$2051:$T$2550,"&gt;"&amp;T2299))</x:f>
        <x:v>101</x:v>
      </x:c>
      <x:c r="Y2299" s="1" t="n">
        <x:f>IF(AND(H2299="Yes",OR(LEN('School Search'!$B$5)=0,ISNUMBER(SEARCH('School Search'!$B$5,B2299&amp;" "&amp;E2299&amp;" "&amp;A2299))),OR('School Search'!$D$5="All",C2299='School Search'!$D$5),OR('School Search'!$G$5="All eligible",AND('School Search'!$G$5="Not marked served",J2299&lt;&gt;"Yes"),AND('School Search'!$G$5="Missing data",V2299="Missing data"),AND('School Search'!$G$5="Marked served",J2299="Yes"))),1,0)</x:f>
        <x:v>1</x:v>
      </x:c>
      <x:c r="Z2299" s="1" t="n">
        <x:f>IF(Y2299=0,"",COUNTIFS($Y$2051:$Y$2550,1,$AO$2051:$AO$2550,"&lt;"&amp;AO2299)+COUNTIFS($Y$2051:Y2299,1,$AO$2051:AO2299,AO2299))</x:f>
        <x:v>116</x:v>
      </x:c>
      <x:c r="AA2299" s="1" t="str">
        <x:f>IF(NOT(ISNUMBER(S2299)),"Missing demographic or access input",TEXT(G2299,"0%")&amp;" economic need; "&amp;TEXT(K2299,"0.00")&amp;" mi fresh access; "&amp;L2299&amp;" nearby resources")</x:f>
        <x:v>87% economic need; 0.64 mi fresh access; 11 nearby resources</x:v>
      </x:c>
      <x:c r="AB2299" s="1" t="n">
        <x:f>IF(OR(A2299="",COUNTIFS($A$1531:$A$2030,A2299)&lt;&gt;1),0,MATCH(A2299,$A$1531:$A$2030,0))</x:f>
        <x:v>249</x:v>
      </x:c>
      <x:c r="AC2299" s="1" t="str">
        <x:f>IF(AB2299=0,"",INDEX($E$1531:$E$2030,AB2299))</x:f>
        <x:v>Chelten Market Inc</x:v>
      </x:c>
      <x:c r="AD2299" s="1" t="str">
        <x:f>IF(AB2299=0,"",INDEX($F$1531:$F$2030,AB2299))</x:f>
        <x:v>176-82 W Chelten Ave, Philadelphia, PA, 19144</x:v>
      </x:c>
      <x:c r="AE2299" s="1" t="str">
        <x:f>IF(A2299="","",F250)</x:f>
        <x:v>5116 PULASKI AVE</x:v>
      </x:c>
      <x:c r="AF2299" s="1" t="n">
        <x:f>IF(ISNUMBER(I250),I250,"")</x:f>
        <x:v>40.02479143</x:v>
      </x:c>
      <x:c r="AG2299" s="1" t="n">
        <x:f>IF(ISNUMBER(J250),J250,"")</x:f>
        <x:v>-75.1711868</x:v>
      </x:c>
      <x:c r="AH2299" s="1" t="str">
        <x:f>IF(I2299=0,"Not contacted",IF(INDEX('Staff Review'!$J$8:$J$507,I2299)="","Not contacted",INDEX('Staff Review'!$J$8:$J$507,I2299)))</x:f>
        <x:v>Not contacted</x:v>
      </x:c>
      <x:c r="AI2299" s="1" t="str">
        <x:f>IF(I2299=0,"No",IF(AND(COUNT(INDEX('Staff Review'!$D$8:$D$507,I2299))=1,INDEX('Staff Review'!$D$8:$D$507,I2299)&gt;=0,COUNT(INDEX('Staff Review'!$E$8:$E$507,I2299))=1,INDEX('Staff Review'!$E$8:$E$507,I2299)&gt;0,INDEX('Staff Review'!$E$8:$E$507,I2299)&lt;='Top 15'!$E$5,'Top 15'!$E$5-INDEX('Staff Review'!$E$8:$E$507,I2299)&lt;='Top 15'!$H$5,LEN(INDEX('Staff Review'!$H$8:$H$507,I2299))&gt;0),"Yes","No"))</x:f>
        <x:v>No</x:v>
      </x:c>
      <x:c r="AJ2299" s="1" t="str">
        <x:f>IF(I2299=0,"No",IF(COUNT(INDEX('Staff Review'!$F$8:$F$507,I2299))&lt;&gt;1,"No",IF(AND(INDEX('Staff Review'!$F$8:$F$507,I2299)&gt;=0,MOD(INDEX('Staff Review'!$F$8:$F$507,I2299),1)=0,COUNT(INDEX('Staff Review'!$G$8:$G$507,I2299))=1,INDEX('Staff Review'!$G$8:$G$507,I2299)&gt;0,INDEX('Staff Review'!$G$8:$G$507,I2299)&lt;='Top 15'!$E$5,'Top 15'!$E$5-INDEX('Staff Review'!$G$8:$G$507,I2299)&lt;='Top 15'!$H$5,LEN(INDEX('Staff Review'!$H$8:$H$507,I2299))&gt;0),"Yes","No")))</x:f>
        <x:v>No</x:v>
      </x:c>
      <x:c r="AK2299" s="1" t="n">
        <x:f>IF(A2299="",0,COUNTIFS($A$2:$A$501,A2299))</x:f>
        <x:v>1</x:v>
      </x:c>
      <x:c r="AL2299" s="1" t="n">
        <x:f>IF(V2299="Candidate",1,0)</x:f>
        <x:v>1</x:v>
      </x:c>
      <x:c r="AM2299" s="1" t="n">
        <x:f>IF(A2299="",0,VALUE(A2299))</x:f>
        <x:v>6470</x:v>
      </x:c>
      <x:c r="AN2299" s="1" t="n">
        <x:f>IF(OR(A2299="",COUNTIFS($T$41:$T$540,A2299)&lt;&gt;1),0,MATCH(A2299,$T$41:$T$540,0))</x:f>
        <x:v>249</x:v>
      </x:c>
      <x:c r="AO2299" t="n">
        <x:f>IF(ISNUMBER(W2299),W2299,10000+AM2299)</x:f>
        <x:v>116</x:v>
      </x:c>
    </x:row>
    <x:row r="2300" ht="22" customHeight="1">
      <x:c r="A2300" s="1" t="str">
        <x:f>IF(A251="","",A251)</x:f>
        <x:v>6480</x:v>
      </x:c>
      <x:c r="B2300" s="1" t="str">
        <x:f>IF(A2300="","",B251)</x:f>
        <x:v>Academy for the Middle Years at Northwest</x:v>
      </x:c>
      <x:c r="C2300" s="1" t="str">
        <x:f>IF(A2300="","",C251)</x:f>
        <x:v>District</x:v>
      </x:c>
      <x:c r="D2300" s="1" t="str">
        <x:f>IF(A2300="","",E251)</x:f>
        <x:v>Middle</x:v>
      </x:c>
      <x:c r="E2300" s="1" t="str">
        <x:f>IF(A2300="","",H251)</x:f>
        <x:v>19128</x:v>
      </x:c>
      <x:c r="F2300" s="1" t="n">
        <x:f>IF(ISNUMBER(K251),K251,"")</x:f>
        <x:v>136</x:v>
      </x:c>
      <x:c r="G2300" s="1" t="n">
        <x:f>IF(ISNUMBER(L251),L251,"")</x:f>
        <x:v>0.772</x:v>
      </x:c>
      <x:c r="H2300" s="1" t="str">
        <x:f>IF(A2300="","",IF(AND(UPPER(G251)="PHILADELPHIA",OR(C2300="District",AND(C2300="Charter",D251="Yes"))),"Yes","No"))</x:f>
        <x:v>Yes</x:v>
      </x:c>
      <x:c r="I2300" s="1" t="n">
        <x:f>IF(OR(A2300="",COUNTIFS('Staff Review'!$A$8:$A$507,A2300)&lt;&gt;1),0,MATCH(A2300,'Staff Review'!$A$8:$A$507,0))</x:f>
        <x:v>5</x:v>
      </x:c>
      <x:c r="J2300" s="1" t="str">
        <x:f>IF(I2300=0,"No",IF(INDEX('Staff Review'!$C$8:$C$507,I2300)="Yes","Yes","No"))</x:f>
        <x:v>No</x:v>
      </x:c>
      <x:c r="K2300" s="1" t="n">
        <x:f>IF(AI2300="Yes",INDEX('Staff Review'!$D$8:$D$507,I2300),IF(AB2300=0,"",IF(COUNT(INDEX($C$1531:$C$2030,AB2300))=1,INDEX($C$1531:$C$2030,AB2300),"")))</x:f>
        <x:v>0.07651678002006093</x:v>
      </x:c>
      <x:c r="L2300" s="1" t="n">
        <x:f>IF(AJ2300="Yes",INDEX('Staff Review'!$F$8:$F$507,I2300),IF(AB2300=0,"",IF(COUNT(INDEX($G$1531:$G$2030,AB2300))=1,INDEX($G$1531:$G$2030,AB2300),"")))</x:f>
        <x:v>1</x:v>
      </x:c>
      <x:c r="M2300" s="1" t="str">
        <x:f>IF(A2300="","",IF(AI2300="Yes","Verified","Listed"))</x:f>
        <x:v>Listed</x:v>
      </x:c>
      <x:c r="N2300" s="1" t="str">
        <x:f>IF(A2300="","",IF(AJ2300="Yes","Verified","Listed"))</x:f>
        <x:v>Listed</x:v>
      </x:c>
      <x:c r="O2300" s="1" t="n">
        <x:f>IF(AND(ISNUMBER(G2300),G2300&gt;=0,G2300&lt;=1),IF(G2300&gt;=0.9,30,IF(G2300&gt;=0.8,25,IF(G2300&gt;=0.7,20,IF(G2300&gt;=0.6,15,IF(G2300&gt;=0.5,10,IF(G2300&gt;=0.4,5,0)))))),"")</x:f>
        <x:v>20</x:v>
      </x:c>
      <x:c r="P2300" s="1" t="n">
        <x:f>IF(ISNUMBER(K2300),IF(K2300&lt;0,"",IF(K2300&gt;1,25,IF(K2300&gt;=0.75,20,IF(K2300&gt;=0.5,15,IF(K2300&gt;=0.25,10,5))))),"")</x:f>
        <x:v>5</x:v>
      </x:c>
      <x:c r="Q2300" s="1" t="n">
        <x:f>IF(NOT(ISNUMBER(L2300)),"",IF(AND(L2300&gt;=0,MOD(L2300,1)=0),MAX(0,25-5*L2300),""))</x:f>
        <x:v>20</x:v>
      </x:c>
      <x:c r="R2300" s="1" t="n">
        <x:f>IF(NOT(ISNUMBER(F2300)),"",IF(AND(F2300&gt;0,MOD(F2300,1)=0),IF(F2300&gt;=700,5,IF(F2300&gt;=500,4,IF(F2300&gt;=350,3,IF(F2300&gt;=200,2,1)))),""))</x:f>
        <x:v>1</x:v>
      </x:c>
      <x:c r="S2300" s="1" t="n">
        <x:f>IF(COUNT(O2300:R2300)=4,SUM(O2300:R2300),"")</x:f>
        <x:v>46</x:v>
      </x:c>
      <x:c r="T2300" s="1" t="n">
        <x:f>IF(OR(COUNT(O2300:R2300)&lt;&gt;4,COUNT('Top 15'!$B$35:$E$35)&lt;&gt;4,MIN('Top 15'!$B$35:$E$35)&lt;0,SUM('Top 15'!$B$35:$E$35)&lt;=0),"",ROUND(85*(O2300/30*'Top 15'!$B$35+P2300/25*'Top 15'!$C$35+Q2300/25*'Top 15'!$D$35+R2300/5*'Top 15'!$E$35)/SUM('Top 15'!$B$35:$E$35),6))</x:f>
        <x:v>46</x:v>
      </x:c>
      <x:c r="U2300" s="1" t="str">
        <x:f>IF(A2300="","",IF(AND(M2300="Verified",N2300="Verified"),"Verified",IF(AND(M2300="Listed",N2300="Listed"),"Listed","Mixed")))</x:f>
        <x:v>Listed</x:v>
      </x:c>
      <x:c r="V2300" s="1" t="str">
        <x:f>IF(A2300="","",IF(AK2300&lt;&gt;1,"Duplicate source ID",IF(COUNTIFS('Staff Review'!$A$8:$A$507,A2300)&gt;1,"Duplicate review ID",IF(H2300&lt;&gt;"Yes","Outside scope",IF(J2300="Yes","Already served",IF(NOT(ISNUMBER(T2300)),"Missing data","Candidate"))))))</x:f>
        <x:v>Candidate</x:v>
      </x:c>
      <x:c r="W2300" s="1" t="n">
        <x:f>IF(AL2300=0,"",1+COUNTIFS($AL$2051:$AL$2550,1,$T$2051:$T$2550,"&gt;"&amp;T2300)+COUNTIFS($AL$2051:$AL$2550,1,$T$2051:$T$2550,T2300,$G$2051:$G$2550,"&gt;"&amp;G2300)+COUNTIFS($AL$2051:$AL$2550,1,$T$2051:$T$2550,T2300,$G$2051:$G$2550,G2300,$F$2051:$F$2550,"&gt;"&amp;F2300)+COUNTIFS($AL$2051:$AL$2550,1,$T$2051:$T$2550,T2300,$G$2051:$G$2550,G2300,$F$2051:$F$2550,F2300,$AM$2051:$AM$2550,"&lt;"&amp;AM2300))</x:f>
        <x:v>73</x:v>
      </x:c>
      <x:c r="X2300" s="1" t="n">
        <x:f>IF(AL2300=0,"",1+COUNTIFS($AL$2051:$AL$2550,1,$T$2051:$T$2550,"&gt;"&amp;T2300))</x:f>
        <x:v>71</x:v>
      </x:c>
      <x:c r="Y2300" s="1" t="n">
        <x:f>IF(AND(H2300="Yes",OR(LEN('School Search'!$B$5)=0,ISNUMBER(SEARCH('School Search'!$B$5,B2300&amp;" "&amp;E2300&amp;" "&amp;A2300))),OR('School Search'!$D$5="All",C2300='School Search'!$D$5),OR('School Search'!$G$5="All eligible",AND('School Search'!$G$5="Not marked served",J2300&lt;&gt;"Yes"),AND('School Search'!$G$5="Missing data",V2300="Missing data"),AND('School Search'!$G$5="Marked served",J2300="Yes"))),1,0)</x:f>
        <x:v>1</x:v>
      </x:c>
      <x:c r="Z2300" s="1" t="n">
        <x:f>IF(Y2300=0,"",COUNTIFS($Y$2051:$Y$2550,1,$AO$2051:$AO$2550,"&lt;"&amp;AO2300)+COUNTIFS($Y$2051:Y2300,1,$AO$2051:AO2300,AO2300))</x:f>
        <x:v>73</x:v>
      </x:c>
      <x:c r="AA2300" s="1" t="str">
        <x:f>IF(NOT(ISNUMBER(S2300)),"Missing demographic or access input",TEXT(G2300,"0%")&amp;" economic need; "&amp;TEXT(K2300,"0.00")&amp;" mi fresh access; "&amp;L2300&amp;" nearby resources")</x:f>
        <x:v>77% economic need; 0.08 mi fresh access; 1 nearby resources</x:v>
      </x:c>
      <x:c r="AB2300" s="1" t="n">
        <x:f>IF(OR(A2300="",COUNTIFS($A$1531:$A$2030,A2300)&lt;&gt;1),0,MATCH(A2300,$A$1531:$A$2030,0))</x:f>
        <x:v>250</x:v>
      </x:c>
      <x:c r="AC2300" s="1" t="str">
        <x:f>IF(AB2300=0,"",INDEX($E$1531:$E$2030,AB2300))</x:f>
        <x:v>ACME 2762</x:v>
      </x:c>
      <x:c r="AD2300" s="1" t="str">
        <x:f>IF(AB2300=0,"",INDEX($F$1531:$F$2030,AB2300))</x:f>
        <x:v>5927-59 Ridge Ave, Philadelphia, PA, 19128</x:v>
      </x:c>
      <x:c r="AE2300" s="1" t="str">
        <x:f>IF(A2300="","",F251)</x:f>
        <x:v>6000 RIDGE AVE</x:v>
      </x:c>
      <x:c r="AF2300" s="1" t="n">
        <x:f>IF(ISNUMBER(I251),I251,"")</x:f>
        <x:v>40.03154543</x:v>
      </x:c>
      <x:c r="AG2300" s="1" t="n">
        <x:f>IF(ISNUMBER(J251),J251,"")</x:f>
        <x:v>-75.21317609</x:v>
      </x:c>
      <x:c r="AH2300" s="1" t="str">
        <x:f>IF(I2300=0,"Not contacted",IF(INDEX('Staff Review'!$J$8:$J$507,I2300)="","Not contacted",INDEX('Staff Review'!$J$8:$J$507,I2300)))</x:f>
        <x:v>Not contacted</x:v>
      </x:c>
      <x:c r="AI2300" s="1" t="str">
        <x:f>IF(I2300=0,"No",IF(AND(COUNT(INDEX('Staff Review'!$D$8:$D$507,I2300))=1,INDEX('Staff Review'!$D$8:$D$507,I2300)&gt;=0,COUNT(INDEX('Staff Review'!$E$8:$E$507,I2300))=1,INDEX('Staff Review'!$E$8:$E$507,I2300)&gt;0,INDEX('Staff Review'!$E$8:$E$507,I2300)&lt;='Top 15'!$E$5,'Top 15'!$E$5-INDEX('Staff Review'!$E$8:$E$507,I2300)&lt;='Top 15'!$H$5,LEN(INDEX('Staff Review'!$H$8:$H$507,I2300))&gt;0),"Yes","No"))</x:f>
        <x:v>No</x:v>
      </x:c>
      <x:c r="AJ2300" s="1" t="str">
        <x:f>IF(I2300=0,"No",IF(COUNT(INDEX('Staff Review'!$F$8:$F$507,I2300))&lt;&gt;1,"No",IF(AND(INDEX('Staff Review'!$F$8:$F$507,I2300)&gt;=0,MOD(INDEX('Staff Review'!$F$8:$F$507,I2300),1)=0,COUNT(INDEX('Staff Review'!$G$8:$G$507,I2300))=1,INDEX('Staff Review'!$G$8:$G$507,I2300)&gt;0,INDEX('Staff Review'!$G$8:$G$507,I2300)&lt;='Top 15'!$E$5,'Top 15'!$E$5-INDEX('Staff Review'!$G$8:$G$507,I2300)&lt;='Top 15'!$H$5,LEN(INDEX('Staff Review'!$H$8:$H$507,I2300))&gt;0),"Yes","No")))</x:f>
        <x:v>No</x:v>
      </x:c>
      <x:c r="AK2300" s="1" t="n">
        <x:f>IF(A2300="",0,COUNTIFS($A$2:$A$501,A2300))</x:f>
        <x:v>1</x:v>
      </x:c>
      <x:c r="AL2300" s="1" t="n">
        <x:f>IF(V2300="Candidate",1,0)</x:f>
        <x:v>1</x:v>
      </x:c>
      <x:c r="AM2300" s="1" t="n">
        <x:f>IF(A2300="",0,VALUE(A2300))</x:f>
        <x:v>6480</x:v>
      </x:c>
      <x:c r="AN2300" s="1" t="n">
        <x:f>IF(OR(A2300="",COUNTIFS($T$41:$T$540,A2300)&lt;&gt;1),0,MATCH(A2300,$T$41:$T$540,0))</x:f>
        <x:v>250</x:v>
      </x:c>
      <x:c r="AO2300" t="n">
        <x:f>IF(ISNUMBER(W2300),W2300,10000+AM2300)</x:f>
        <x:v>73</x:v>
      </x:c>
    </x:row>
    <x:row r="2301" ht="22" customHeight="1">
      <x:c r="A2301" s="1" t="str">
        <x:f>IF(A252="","",A252)</x:f>
        <x:v>6540</x:v>
      </x:c>
      <x:c r="B2301" s="1" t="str">
        <x:f>IF(A2301="","",B252)</x:f>
        <x:v>Lankenau High School</x:v>
      </x:c>
      <x:c r="C2301" s="1" t="str">
        <x:f>IF(A2301="","",C252)</x:f>
        <x:v>District</x:v>
      </x:c>
      <x:c r="D2301" s="1" t="str">
        <x:f>IF(A2301="","",E252)</x:f>
        <x:v>High</x:v>
      </x:c>
      <x:c r="E2301" s="1" t="str">
        <x:f>IF(A2301="","",H252)</x:f>
        <x:v>19128</x:v>
      </x:c>
      <x:c r="F2301" s="1" t="n">
        <x:f>IF(ISNUMBER(K252),K252,"")</x:f>
        <x:v>225</x:v>
      </x:c>
      <x:c r="G2301" s="1" t="n">
        <x:f>IF(ISNUMBER(L252),L252,"")</x:f>
        <x:v>0.64</x:v>
      </x:c>
      <x:c r="H2301" s="1" t="str">
        <x:f>IF(A2301="","",IF(AND(UPPER(G252)="PHILADELPHIA",OR(C2301="District",AND(C2301="Charter",D252="Yes"))),"Yes","No"))</x:f>
        <x:v>Yes</x:v>
      </x:c>
      <x:c r="I2301" s="1" t="n">
        <x:f>IF(OR(A2301="",COUNTIFS('Staff Review'!$A$8:$A$507,A2301)&lt;&gt;1),0,MATCH(A2301,'Staff Review'!$A$8:$A$507,0))</x:f>
        <x:v>167</x:v>
      </x:c>
      <x:c r="J2301" s="1" t="str">
        <x:f>IF(I2301=0,"No",IF(INDEX('Staff Review'!$C$8:$C$507,I2301)="Yes","Yes","No"))</x:f>
        <x:v>No</x:v>
      </x:c>
      <x:c r="K2301" s="1" t="n">
        <x:f>IF(AI2301="Yes",INDEX('Staff Review'!$D$8:$D$507,I2301),IF(AB2301=0,"",IF(COUNT(INDEX($C$1531:$C$2030,AB2301))=1,INDEX($C$1531:$C$2030,AB2301),"")))</x:f>
        <x:v>0.8671450843594952</x:v>
      </x:c>
      <x:c r="L2301" s="1" t="n">
        <x:f>IF(AJ2301="Yes",INDEX('Staff Review'!$F$8:$F$507,I2301),IF(AB2301=0,"",IF(COUNT(INDEX($G$1531:$G$2030,AB2301))=1,INDEX($G$1531:$G$2030,AB2301),"")))</x:f>
        <x:v>0</x:v>
      </x:c>
      <x:c r="M2301" s="1" t="str">
        <x:f>IF(A2301="","",IF(AI2301="Yes","Verified","Listed"))</x:f>
        <x:v>Listed</x:v>
      </x:c>
      <x:c r="N2301" s="1" t="str">
        <x:f>IF(A2301="","",IF(AJ2301="Yes","Verified","Listed"))</x:f>
        <x:v>Listed</x:v>
      </x:c>
      <x:c r="O2301" s="1" t="n">
        <x:f>IF(AND(ISNUMBER(G2301),G2301&gt;=0,G2301&lt;=1),IF(G2301&gt;=0.9,30,IF(G2301&gt;=0.8,25,IF(G2301&gt;=0.7,20,IF(G2301&gt;=0.6,15,IF(G2301&gt;=0.5,10,IF(G2301&gt;=0.4,5,0)))))),"")</x:f>
        <x:v>15</x:v>
      </x:c>
      <x:c r="P2301" s="1" t="n">
        <x:f>IF(ISNUMBER(K2301),IF(K2301&lt;0,"",IF(K2301&gt;1,25,IF(K2301&gt;=0.75,20,IF(K2301&gt;=0.5,15,IF(K2301&gt;=0.25,10,5))))),"")</x:f>
        <x:v>20</x:v>
      </x:c>
      <x:c r="Q2301" s="1" t="n">
        <x:f>IF(NOT(ISNUMBER(L2301)),"",IF(AND(L2301&gt;=0,MOD(L2301,1)=0),MAX(0,25-5*L2301),""))</x:f>
        <x:v>25</x:v>
      </x:c>
      <x:c r="R2301" s="1" t="n">
        <x:f>IF(NOT(ISNUMBER(F2301)),"",IF(AND(F2301&gt;0,MOD(F2301,1)=0),IF(F2301&gt;=700,5,IF(F2301&gt;=500,4,IF(F2301&gt;=350,3,IF(F2301&gt;=200,2,1)))),""))</x:f>
        <x:v>2</x:v>
      </x:c>
      <x:c r="S2301" s="1" t="n">
        <x:f>IF(COUNT(O2301:R2301)=4,SUM(O2301:R2301),"")</x:f>
        <x:v>62</x:v>
      </x:c>
      <x:c r="T2301" s="1" t="n">
        <x:f>IF(OR(COUNT(O2301:R2301)&lt;&gt;4,COUNT('Top 15'!$B$35:$E$35)&lt;&gt;4,MIN('Top 15'!$B$35:$E$35)&lt;0,SUM('Top 15'!$B$35:$E$35)&lt;=0),"",ROUND(85*(O2301/30*'Top 15'!$B$35+P2301/25*'Top 15'!$C$35+Q2301/25*'Top 15'!$D$35+R2301/5*'Top 15'!$E$35)/SUM('Top 15'!$B$35:$E$35),6))</x:f>
        <x:v>62</x:v>
      </x:c>
      <x:c r="U2301" s="1" t="str">
        <x:f>IF(A2301="","",IF(AND(M2301="Verified",N2301="Verified"),"Verified",IF(AND(M2301="Listed",N2301="Listed"),"Listed","Mixed")))</x:f>
        <x:v>Listed</x:v>
      </x:c>
      <x:c r="V2301" s="1" t="str">
        <x:f>IF(A2301="","",IF(AK2301&lt;&gt;1,"Duplicate source ID",IF(COUNTIFS('Staff Review'!$A$8:$A$507,A2301)&gt;1,"Duplicate review ID",IF(H2301&lt;&gt;"Yes","Outside scope",IF(J2301="Yes","Already served",IF(NOT(ISNUMBER(T2301)),"Missing data","Candidate"))))))</x:f>
        <x:v>Candidate</x:v>
      </x:c>
      <x:c r="W2301" s="1" t="n">
        <x:f>IF(AL2301=0,"",1+COUNTIFS($AL$2051:$AL$2550,1,$T$2051:$T$2550,"&gt;"&amp;T2301)+COUNTIFS($AL$2051:$AL$2550,1,$T$2051:$T$2550,T2301,$G$2051:$G$2550,"&gt;"&amp;G2301)+COUNTIFS($AL$2051:$AL$2550,1,$T$2051:$T$2550,T2301,$G$2051:$G$2550,G2301,$F$2051:$F$2550,"&gt;"&amp;F2301)+COUNTIFS($AL$2051:$AL$2550,1,$T$2051:$T$2550,T2301,$G$2051:$G$2550,G2301,$F$2051:$F$2550,F2301,$AM$2051:$AM$2550,"&lt;"&amp;AM2301))</x:f>
        <x:v>9</x:v>
      </x:c>
      <x:c r="X2301" s="1" t="n">
        <x:f>IF(AL2301=0,"",1+COUNTIFS($AL$2051:$AL$2550,1,$T$2051:$T$2550,"&gt;"&amp;T2301))</x:f>
        <x:v>9</x:v>
      </x:c>
      <x:c r="Y2301" s="1" t="n">
        <x:f>IF(AND(H2301="Yes",OR(LEN('School Search'!$B$5)=0,ISNUMBER(SEARCH('School Search'!$B$5,B2301&amp;" "&amp;E2301&amp;" "&amp;A2301))),OR('School Search'!$D$5="All",C2301='School Search'!$D$5),OR('School Search'!$G$5="All eligible",AND('School Search'!$G$5="Not marked served",J2301&lt;&gt;"Yes"),AND('School Search'!$G$5="Missing data",V2301="Missing data"),AND('School Search'!$G$5="Marked served",J2301="Yes"))),1,0)</x:f>
        <x:v>1</x:v>
      </x:c>
      <x:c r="Z2301" s="1" t="n">
        <x:f>IF(Y2301=0,"",COUNTIFS($Y$2051:$Y$2550,1,$AO$2051:$AO$2550,"&lt;"&amp;AO2301)+COUNTIFS($Y$2051:Y2301,1,$AO$2051:AO2301,AO2301))</x:f>
        <x:v>9</x:v>
      </x:c>
      <x:c r="AA2301" s="1" t="str">
        <x:f>IF(NOT(ISNUMBER(S2301)),"Missing demographic or access input",TEXT(G2301,"0%")&amp;" economic need; "&amp;TEXT(K2301,"0.00")&amp;" mi fresh access; "&amp;L2301&amp;" nearby resources")</x:f>
        <x:v>64% economic need; 0.87 mi fresh access; 0 nearby resources</x:v>
      </x:c>
      <x:c r="AB2301" s="1" t="n">
        <x:f>IF(OR(A2301="",COUNTIFS($A$1531:$A$2030,A2301)&lt;&gt;1),0,MATCH(A2301,$A$1531:$A$2030,0))</x:f>
        <x:v>251</x:v>
      </x:c>
      <x:c r="AC2301" s="1" t="str">
        <x:f>IF(AB2301=0,"",INDEX($E$1531:$E$2030,AB2301))</x:f>
        <x:v>Giant Food Store 6581</x:v>
      </x:c>
      <x:c r="AD2301" s="1" t="str">
        <x:f>IF(AB2301=0,"",INDEX($F$1531:$F$2030,AB2301))</x:f>
        <x:v>701 Cathedral Road, Philadelphia, PA, 19128</x:v>
      </x:c>
      <x:c r="AE2301" s="1" t="str">
        <x:f>IF(A2301="","",F252)</x:f>
        <x:v>201 SPRING LN</x:v>
      </x:c>
      <x:c r="AF2301" s="1" t="n">
        <x:f>IF(ISNUMBER(I252),I252,"")</x:f>
        <x:v>40.06153271</x:v>
      </x:c>
      <x:c r="AG2301" s="1" t="n">
        <x:f>IF(ISNUMBER(J252),J252,"")</x:f>
        <x:v>-75.25295594</x:v>
      </x:c>
      <x:c r="AH2301" s="1" t="str">
        <x:f>IF(I2301=0,"Not contacted",IF(INDEX('Staff Review'!$J$8:$J$507,I2301)="","Not contacted",INDEX('Staff Review'!$J$8:$J$507,I2301)))</x:f>
        <x:v>Not contacted</x:v>
      </x:c>
      <x:c r="AI2301" s="1" t="str">
        <x:f>IF(I2301=0,"No",IF(AND(COUNT(INDEX('Staff Review'!$D$8:$D$507,I2301))=1,INDEX('Staff Review'!$D$8:$D$507,I2301)&gt;=0,COUNT(INDEX('Staff Review'!$E$8:$E$507,I2301))=1,INDEX('Staff Review'!$E$8:$E$507,I2301)&gt;0,INDEX('Staff Review'!$E$8:$E$507,I2301)&lt;='Top 15'!$E$5,'Top 15'!$E$5-INDEX('Staff Review'!$E$8:$E$507,I2301)&lt;='Top 15'!$H$5,LEN(INDEX('Staff Review'!$H$8:$H$507,I2301))&gt;0),"Yes","No"))</x:f>
        <x:v>No</x:v>
      </x:c>
      <x:c r="AJ2301" s="1" t="str">
        <x:f>IF(I2301=0,"No",IF(COUNT(INDEX('Staff Review'!$F$8:$F$507,I2301))&lt;&gt;1,"No",IF(AND(INDEX('Staff Review'!$F$8:$F$507,I2301)&gt;=0,MOD(INDEX('Staff Review'!$F$8:$F$507,I2301),1)=0,COUNT(INDEX('Staff Review'!$G$8:$G$507,I2301))=1,INDEX('Staff Review'!$G$8:$G$507,I2301)&gt;0,INDEX('Staff Review'!$G$8:$G$507,I2301)&lt;='Top 15'!$E$5,'Top 15'!$E$5-INDEX('Staff Review'!$G$8:$G$507,I2301)&lt;='Top 15'!$H$5,LEN(INDEX('Staff Review'!$H$8:$H$507,I2301))&gt;0),"Yes","No")))</x:f>
        <x:v>No</x:v>
      </x:c>
      <x:c r="AK2301" s="1" t="n">
        <x:f>IF(A2301="",0,COUNTIFS($A$2:$A$501,A2301))</x:f>
        <x:v>1</x:v>
      </x:c>
      <x:c r="AL2301" s="1" t="n">
        <x:f>IF(V2301="Candidate",1,0)</x:f>
        <x:v>1</x:v>
      </x:c>
      <x:c r="AM2301" s="1" t="n">
        <x:f>IF(A2301="",0,VALUE(A2301))</x:f>
        <x:v>6540</x:v>
      </x:c>
      <x:c r="AN2301" s="1" t="n">
        <x:f>IF(OR(A2301="",COUNTIFS($T$41:$T$540,A2301)&lt;&gt;1),0,MATCH(A2301,$T$41:$T$540,0))</x:f>
        <x:v>251</x:v>
      </x:c>
      <x:c r="AO2301" t="n">
        <x:f>IF(ISNUMBER(W2301),W2301,10000+AM2301)</x:f>
        <x:v>9</x:v>
      </x:c>
    </x:row>
    <x:row r="2302" ht="22" customHeight="1">
      <x:c r="A2302" s="1" t="str">
        <x:f>IF(A253="","",A253)</x:f>
        <x:v>7010</x:v>
      </x:c>
      <x:c r="B2302" s="1" t="str">
        <x:f>IF(A2302="","",B253)</x:f>
        <x:v>Frankford High School</x:v>
      </x:c>
      <x:c r="C2302" s="1" t="str">
        <x:f>IF(A2302="","",C253)</x:f>
        <x:v>District</x:v>
      </x:c>
      <x:c r="D2302" s="1" t="str">
        <x:f>IF(A2302="","",E253)</x:f>
        <x:v>High</x:v>
      </x:c>
      <x:c r="E2302" s="1" t="str">
        <x:f>IF(A2302="","",H253)</x:f>
        <x:v>19124</x:v>
      </x:c>
      <x:c r="F2302" s="1" t="n">
        <x:f>IF(ISNUMBER(K253),K253,"")</x:f>
        <x:v>908</x:v>
      </x:c>
      <x:c r="G2302" s="1" t="n">
        <x:f>IF(ISNUMBER(L253),L253,"")</x:f>
        <x:v>0.804</x:v>
      </x:c>
      <x:c r="H2302" s="1" t="str">
        <x:f>IF(A2302="","",IF(AND(UPPER(G253)="PHILADELPHIA",OR(C2302="District",AND(C2302="Charter",D253="Yes"))),"Yes","No"))</x:f>
        <x:v>Yes</x:v>
      </x:c>
      <x:c r="I2302" s="1" t="n">
        <x:f>IF(OR(A2302="",COUNTIFS('Staff Review'!$A$8:$A$507,A2302)&lt;&gt;1),0,MATCH(A2302,'Staff Review'!$A$8:$A$507,0))</x:f>
        <x:v>82</x:v>
      </x:c>
      <x:c r="J2302" s="1" t="str">
        <x:f>IF(I2302=0,"No",IF(INDEX('Staff Review'!$C$8:$C$507,I2302)="Yes","Yes","No"))</x:f>
        <x:v>No</x:v>
      </x:c>
      <x:c r="K2302" s="1" t="n">
        <x:f>IF(AI2302="Yes",INDEX('Staff Review'!$D$8:$D$507,I2302),IF(AB2302=0,"",IF(COUNT(INDEX($C$1531:$C$2030,AB2302))=1,INDEX($C$1531:$C$2030,AB2302),"")))</x:f>
        <x:v>0.4742519867131885</x:v>
      </x:c>
      <x:c r="L2302" s="1" t="n">
        <x:f>IF(AJ2302="Yes",INDEX('Staff Review'!$F$8:$F$507,I2302),IF(AB2302=0,"",IF(COUNT(INDEX($G$1531:$G$2030,AB2302))=1,INDEX($G$1531:$G$2030,AB2302),"")))</x:f>
        <x:v>7</x:v>
      </x:c>
      <x:c r="M2302" s="1" t="str">
        <x:f>IF(A2302="","",IF(AI2302="Yes","Verified","Listed"))</x:f>
        <x:v>Listed</x:v>
      </x:c>
      <x:c r="N2302" s="1" t="str">
        <x:f>IF(A2302="","",IF(AJ2302="Yes","Verified","Listed"))</x:f>
        <x:v>Listed</x:v>
      </x:c>
      <x:c r="O2302" s="1" t="n">
        <x:f>IF(AND(ISNUMBER(G2302),G2302&gt;=0,G2302&lt;=1),IF(G2302&gt;=0.9,30,IF(G2302&gt;=0.8,25,IF(G2302&gt;=0.7,20,IF(G2302&gt;=0.6,15,IF(G2302&gt;=0.5,10,IF(G2302&gt;=0.4,5,0)))))),"")</x:f>
        <x:v>25</x:v>
      </x:c>
      <x:c r="P2302" s="1" t="n">
        <x:f>IF(ISNUMBER(K2302),IF(K2302&lt;0,"",IF(K2302&gt;1,25,IF(K2302&gt;=0.75,20,IF(K2302&gt;=0.5,15,IF(K2302&gt;=0.25,10,5))))),"")</x:f>
        <x:v>10</x:v>
      </x:c>
      <x:c r="Q2302" s="1" t="n">
        <x:f>IF(NOT(ISNUMBER(L2302)),"",IF(AND(L2302&gt;=0,MOD(L2302,1)=0),MAX(0,25-5*L2302),""))</x:f>
        <x:v>0</x:v>
      </x:c>
      <x:c r="R2302" s="1" t="n">
        <x:f>IF(NOT(ISNUMBER(F2302)),"",IF(AND(F2302&gt;0,MOD(F2302,1)=0),IF(F2302&gt;=700,5,IF(F2302&gt;=500,4,IF(F2302&gt;=350,3,IF(F2302&gt;=200,2,1)))),""))</x:f>
        <x:v>5</x:v>
      </x:c>
      <x:c r="S2302" s="1" t="n">
        <x:f>IF(COUNT(O2302:R2302)=4,SUM(O2302:R2302),"")</x:f>
        <x:v>40</x:v>
      </x:c>
      <x:c r="T2302" s="1" t="n">
        <x:f>IF(OR(COUNT(O2302:R2302)&lt;&gt;4,COUNT('Top 15'!$B$35:$E$35)&lt;&gt;4,MIN('Top 15'!$B$35:$E$35)&lt;0,SUM('Top 15'!$B$35:$E$35)&lt;=0),"",ROUND(85*(O2302/30*'Top 15'!$B$35+P2302/25*'Top 15'!$C$35+Q2302/25*'Top 15'!$D$35+R2302/5*'Top 15'!$E$35)/SUM('Top 15'!$B$35:$E$35),6))</x:f>
        <x:v>40</x:v>
      </x:c>
      <x:c r="U2302" s="1" t="str">
        <x:f>IF(A2302="","",IF(AND(M2302="Verified",N2302="Verified"),"Verified",IF(AND(M2302="Listed",N2302="Listed"),"Listed","Mixed")))</x:f>
        <x:v>Listed</x:v>
      </x:c>
      <x:c r="V2302" s="1" t="str">
        <x:f>IF(A2302="","",IF(AK2302&lt;&gt;1,"Duplicate source ID",IF(COUNTIFS('Staff Review'!$A$8:$A$507,A2302)&gt;1,"Duplicate review ID",IF(H2302&lt;&gt;"Yes","Outside scope",IF(J2302="Yes","Already served",IF(NOT(ISNUMBER(T2302)),"Missing data","Candidate"))))))</x:f>
        <x:v>Candidate</x:v>
      </x:c>
      <x:c r="W2302" s="1" t="n">
        <x:f>IF(AL2302=0,"",1+COUNTIFS($AL$2051:$AL$2550,1,$T$2051:$T$2550,"&gt;"&amp;T2302)+COUNTIFS($AL$2051:$AL$2550,1,$T$2051:$T$2550,T2302,$G$2051:$G$2550,"&gt;"&amp;G2302)+COUNTIFS($AL$2051:$AL$2550,1,$T$2051:$T$2550,T2302,$G$2051:$G$2550,G2302,$F$2051:$F$2550,"&gt;"&amp;F2302)+COUNTIFS($AL$2051:$AL$2550,1,$T$2051:$T$2550,T2302,$G$2051:$G$2550,G2302,$F$2051:$F$2550,F2302,$AM$2051:$AM$2550,"&lt;"&amp;AM2302))</x:f>
        <x:v>142</x:v>
      </x:c>
      <x:c r="X2302" s="1" t="n">
        <x:f>IF(AL2302=0,"",1+COUNTIFS($AL$2051:$AL$2550,1,$T$2051:$T$2550,"&gt;"&amp;T2302))</x:f>
        <x:v>133</x:v>
      </x:c>
      <x:c r="Y2302" s="1" t="n">
        <x:f>IF(AND(H2302="Yes",OR(LEN('School Search'!$B$5)=0,ISNUMBER(SEARCH('School Search'!$B$5,B2302&amp;" "&amp;E2302&amp;" "&amp;A2302))),OR('School Search'!$D$5="All",C2302='School Search'!$D$5),OR('School Search'!$G$5="All eligible",AND('School Search'!$G$5="Not marked served",J2302&lt;&gt;"Yes"),AND('School Search'!$G$5="Missing data",V2302="Missing data"),AND('School Search'!$G$5="Marked served",J2302="Yes"))),1,0)</x:f>
        <x:v>1</x:v>
      </x:c>
      <x:c r="Z2302" s="1" t="n">
        <x:f>IF(Y2302=0,"",COUNTIFS($Y$2051:$Y$2550,1,$AO$2051:$AO$2550,"&lt;"&amp;AO2302)+COUNTIFS($Y$2051:Y2302,1,$AO$2051:AO2302,AO2302))</x:f>
        <x:v>142</x:v>
      </x:c>
      <x:c r="AA2302" s="1" t="str">
        <x:f>IF(NOT(ISNUMBER(S2302)),"Missing demographic or access input",TEXT(G2302,"0%")&amp;" economic need; "&amp;TEXT(K2302,"0.00")&amp;" mi fresh access; "&amp;L2302&amp;" nearby resources")</x:f>
        <x:v>80% economic need; 0.47 mi fresh access; 7 nearby resources</x:v>
      </x:c>
      <x:c r="AB2302" s="1" t="n">
        <x:f>IF(OR(A2302="",COUNTIFS($A$1531:$A$2030,A2302)&lt;&gt;1),0,MATCH(A2302,$A$1531:$A$2030,0))</x:f>
        <x:v>252</x:v>
      </x:c>
      <x:c r="AC2302" s="1" t="str">
        <x:f>IF(AB2302=0,"",INDEX($E$1531:$E$2030,AB2302))</x:f>
        <x:v>Cousins Grocery Market Inc.</x:v>
      </x:c>
      <x:c r="AD2302" s="1" t="str">
        <x:f>IF(AB2302=0,"",INDEX($F$1531:$F$2030,AB2302))</x:f>
        <x:v>1607 Bridge St, Philadelphia, PA, 19124</x:v>
      </x:c>
      <x:c r="AE2302" s="1" t="str">
        <x:f>IF(A2302="","",F253)</x:f>
        <x:v>5000 OXFORD AVE</x:v>
      </x:c>
      <x:c r="AF2302" s="1" t="n">
        <x:f>IF(ISNUMBER(I253),I253,"")</x:f>
        <x:v>40.021602</x:v>
      </x:c>
      <x:c r="AG2302" s="1" t="n">
        <x:f>IF(ISNUMBER(J253),J253,"")</x:f>
        <x:v>-75.084823</x:v>
      </x:c>
      <x:c r="AH2302" s="1" t="str">
        <x:f>IF(I2302=0,"Not contacted",IF(INDEX('Staff Review'!$J$8:$J$507,I2302)="","Not contacted",INDEX('Staff Review'!$J$8:$J$507,I2302)))</x:f>
        <x:v>Not contacted</x:v>
      </x:c>
      <x:c r="AI2302" s="1" t="str">
        <x:f>IF(I2302=0,"No",IF(AND(COUNT(INDEX('Staff Review'!$D$8:$D$507,I2302))=1,INDEX('Staff Review'!$D$8:$D$507,I2302)&gt;=0,COUNT(INDEX('Staff Review'!$E$8:$E$507,I2302))=1,INDEX('Staff Review'!$E$8:$E$507,I2302)&gt;0,INDEX('Staff Review'!$E$8:$E$507,I2302)&lt;='Top 15'!$E$5,'Top 15'!$E$5-INDEX('Staff Review'!$E$8:$E$507,I2302)&lt;='Top 15'!$H$5,LEN(INDEX('Staff Review'!$H$8:$H$507,I2302))&gt;0),"Yes","No"))</x:f>
        <x:v>No</x:v>
      </x:c>
      <x:c r="AJ2302" s="1" t="str">
        <x:f>IF(I2302=0,"No",IF(COUNT(INDEX('Staff Review'!$F$8:$F$507,I2302))&lt;&gt;1,"No",IF(AND(INDEX('Staff Review'!$F$8:$F$507,I2302)&gt;=0,MOD(INDEX('Staff Review'!$F$8:$F$507,I2302),1)=0,COUNT(INDEX('Staff Review'!$G$8:$G$507,I2302))=1,INDEX('Staff Review'!$G$8:$G$507,I2302)&gt;0,INDEX('Staff Review'!$G$8:$G$507,I2302)&lt;='Top 15'!$E$5,'Top 15'!$E$5-INDEX('Staff Review'!$G$8:$G$507,I2302)&lt;='Top 15'!$H$5,LEN(INDEX('Staff Review'!$H$8:$H$507,I2302))&gt;0),"Yes","No")))</x:f>
        <x:v>No</x:v>
      </x:c>
      <x:c r="AK2302" s="1" t="n">
        <x:f>IF(A2302="",0,COUNTIFS($A$2:$A$501,A2302))</x:f>
        <x:v>1</x:v>
      </x:c>
      <x:c r="AL2302" s="1" t="n">
        <x:f>IF(V2302="Candidate",1,0)</x:f>
        <x:v>1</x:v>
      </x:c>
      <x:c r="AM2302" s="1" t="n">
        <x:f>IF(A2302="",0,VALUE(A2302))</x:f>
        <x:v>7010</x:v>
      </x:c>
      <x:c r="AN2302" s="1" t="n">
        <x:f>IF(OR(A2302="",COUNTIFS($T$41:$T$540,A2302)&lt;&gt;1),0,MATCH(A2302,$T$41:$T$540,0))</x:f>
        <x:v>252</x:v>
      </x:c>
      <x:c r="AO2302" t="n">
        <x:f>IF(ISNUMBER(W2302),W2302,10000+AM2302)</x:f>
        <x:v>142</x:v>
      </x:c>
    </x:row>
    <x:row r="2303" ht="22" customHeight="1">
      <x:c r="A2303" s="1" t="str">
        <x:f>IF(A254="","",A254)</x:f>
        <x:v>7060</x:v>
      </x:c>
      <x:c r="B2303" s="1" t="str">
        <x:f>IF(A2303="","",B254)</x:f>
        <x:v>Olney High School</x:v>
      </x:c>
      <x:c r="C2303" s="1" t="str">
        <x:f>IF(A2303="","",C254)</x:f>
        <x:v>District</x:v>
      </x:c>
      <x:c r="D2303" s="1" t="str">
        <x:f>IF(A2303="","",E254)</x:f>
        <x:v>High</x:v>
      </x:c>
      <x:c r="E2303" s="1" t="str">
        <x:f>IF(A2303="","",H254)</x:f>
        <x:v>19120</x:v>
      </x:c>
      <x:c r="F2303" s="1" t="n">
        <x:f>IF(ISNUMBER(K254),K254,"")</x:f>
        <x:v>1036</x:v>
      </x:c>
      <x:c r="G2303" s="1" t="n">
        <x:f>IF(ISNUMBER(L254),L254,"")</x:f>
        <x:v>0.7988</x:v>
      </x:c>
      <x:c r="H2303" s="1" t="str">
        <x:f>IF(A2303="","",IF(AND(UPPER(G254)="PHILADELPHIA",OR(C2303="District",AND(C2303="Charter",D254="Yes"))),"Yes","No"))</x:f>
        <x:v>Yes</x:v>
      </x:c>
      <x:c r="I2303" s="1" t="n">
        <x:f>IF(OR(A2303="",COUNTIFS('Staff Review'!$A$8:$A$507,A2303)&lt;&gt;1),0,MATCH(A2303,'Staff Review'!$A$8:$A$507,0))</x:f>
        <x:v>211</x:v>
      </x:c>
      <x:c r="J2303" s="1" t="str">
        <x:f>IF(I2303=0,"No",IF(INDEX('Staff Review'!$C$8:$C$507,I2303)="Yes","Yes","No"))</x:f>
        <x:v>No</x:v>
      </x:c>
      <x:c r="K2303" s="1" t="n">
        <x:f>IF(AI2303="Yes",INDEX('Staff Review'!$D$8:$D$507,I2303),IF(AB2303=0,"",IF(COUNT(INDEX($C$1531:$C$2030,AB2303))=1,INDEX($C$1531:$C$2030,AB2303),"")))</x:f>
        <x:v>0.11440310296307804</x:v>
      </x:c>
      <x:c r="L2303" s="1" t="n">
        <x:f>IF(AJ2303="Yes",INDEX('Staff Review'!$F$8:$F$507,I2303),IF(AB2303=0,"",IF(COUNT(INDEX($G$1531:$G$2030,AB2303))=1,INDEX($G$1531:$G$2030,AB2303),"")))</x:f>
        <x:v>8</x:v>
      </x:c>
      <x:c r="M2303" s="1" t="str">
        <x:f>IF(A2303="","",IF(AI2303="Yes","Verified","Listed"))</x:f>
        <x:v>Listed</x:v>
      </x:c>
      <x:c r="N2303" s="1" t="str">
        <x:f>IF(A2303="","",IF(AJ2303="Yes","Verified","Listed"))</x:f>
        <x:v>Listed</x:v>
      </x:c>
      <x:c r="O2303" s="1" t="n">
        <x:f>IF(AND(ISNUMBER(G2303),G2303&gt;=0,G2303&lt;=1),IF(G2303&gt;=0.9,30,IF(G2303&gt;=0.8,25,IF(G2303&gt;=0.7,20,IF(G2303&gt;=0.6,15,IF(G2303&gt;=0.5,10,IF(G2303&gt;=0.4,5,0)))))),"")</x:f>
        <x:v>20</x:v>
      </x:c>
      <x:c r="P2303" s="1" t="n">
        <x:f>IF(ISNUMBER(K2303),IF(K2303&lt;0,"",IF(K2303&gt;1,25,IF(K2303&gt;=0.75,20,IF(K2303&gt;=0.5,15,IF(K2303&gt;=0.25,10,5))))),"")</x:f>
        <x:v>5</x:v>
      </x:c>
      <x:c r="Q2303" s="1" t="n">
        <x:f>IF(NOT(ISNUMBER(L2303)),"",IF(AND(L2303&gt;=0,MOD(L2303,1)=0),MAX(0,25-5*L2303),""))</x:f>
        <x:v>0</x:v>
      </x:c>
      <x:c r="R2303" s="1" t="n">
        <x:f>IF(NOT(ISNUMBER(F2303)),"",IF(AND(F2303&gt;0,MOD(F2303,1)=0),IF(F2303&gt;=700,5,IF(F2303&gt;=500,4,IF(F2303&gt;=350,3,IF(F2303&gt;=200,2,1)))),""))</x:f>
        <x:v>5</x:v>
      </x:c>
      <x:c r="S2303" s="1" t="n">
        <x:f>IF(COUNT(O2303:R2303)=4,SUM(O2303:R2303),"")</x:f>
        <x:v>30</x:v>
      </x:c>
      <x:c r="T2303" s="1" t="n">
        <x:f>IF(OR(COUNT(O2303:R2303)&lt;&gt;4,COUNT('Top 15'!$B$35:$E$35)&lt;&gt;4,MIN('Top 15'!$B$35:$E$35)&lt;0,SUM('Top 15'!$B$35:$E$35)&lt;=0),"",ROUND(85*(O2303/30*'Top 15'!$B$35+P2303/25*'Top 15'!$C$35+Q2303/25*'Top 15'!$D$35+R2303/5*'Top 15'!$E$35)/SUM('Top 15'!$B$35:$E$35),6))</x:f>
        <x:v>30</x:v>
      </x:c>
      <x:c r="U2303" s="1" t="str">
        <x:f>IF(A2303="","",IF(AND(M2303="Verified",N2303="Verified"),"Verified",IF(AND(M2303="Listed",N2303="Listed"),"Listed","Mixed")))</x:f>
        <x:v>Listed</x:v>
      </x:c>
      <x:c r="V2303" s="1" t="str">
        <x:f>IF(A2303="","",IF(AK2303&lt;&gt;1,"Duplicate source ID",IF(COUNTIFS('Staff Review'!$A$8:$A$507,A2303)&gt;1,"Duplicate review ID",IF(H2303&lt;&gt;"Yes","Outside scope",IF(J2303="Yes","Already served",IF(NOT(ISNUMBER(T2303)),"Missing data","Candidate"))))))</x:f>
        <x:v>Candidate</x:v>
      </x:c>
      <x:c r="W2303" s="1" t="n">
        <x:f>IF(AL2303=0,"",1+COUNTIFS($AL$2051:$AL$2550,1,$T$2051:$T$2550,"&gt;"&amp;T2303)+COUNTIFS($AL$2051:$AL$2550,1,$T$2051:$T$2550,T2303,$G$2051:$G$2550,"&gt;"&amp;G2303)+COUNTIFS($AL$2051:$AL$2550,1,$T$2051:$T$2550,T2303,$G$2051:$G$2550,G2303,$F$2051:$F$2550,"&gt;"&amp;F2303)+COUNTIFS($AL$2051:$AL$2550,1,$T$2051:$T$2550,T2303,$G$2051:$G$2550,G2303,$F$2051:$F$2550,F2303,$AM$2051:$AM$2550,"&lt;"&amp;AM2303))</x:f>
        <x:v>253</x:v>
      </x:c>
      <x:c r="X2303" s="1" t="n">
        <x:f>IF(AL2303=0,"",1+COUNTIFS($AL$2051:$AL$2550,1,$T$2051:$T$2550,"&gt;"&amp;T2303))</x:f>
        <x:v>253</x:v>
      </x:c>
      <x:c r="Y2303" s="1" t="n">
        <x:f>IF(AND(H2303="Yes",OR(LEN('School Search'!$B$5)=0,ISNUMBER(SEARCH('School Search'!$B$5,B2303&amp;" "&amp;E2303&amp;" "&amp;A2303))),OR('School Search'!$D$5="All",C2303='School Search'!$D$5),OR('School Search'!$G$5="All eligible",AND('School Search'!$G$5="Not marked served",J2303&lt;&gt;"Yes"),AND('School Search'!$G$5="Missing data",V2303="Missing data"),AND('School Search'!$G$5="Marked served",J2303="Yes"))),1,0)</x:f>
        <x:v>1</x:v>
      </x:c>
      <x:c r="Z2303" s="1" t="n">
        <x:f>IF(Y2303=0,"",COUNTIFS($Y$2051:$Y$2550,1,$AO$2051:$AO$2550,"&lt;"&amp;AO2303)+COUNTIFS($Y$2051:Y2303,1,$AO$2051:AO2303,AO2303))</x:f>
        <x:v>253</x:v>
      </x:c>
      <x:c r="AA2303" s="1" t="str">
        <x:f>IF(NOT(ISNUMBER(S2303)),"Missing demographic or access input",TEXT(G2303,"0%")&amp;" economic need; "&amp;TEXT(K2303,"0.00")&amp;" mi fresh access; "&amp;L2303&amp;" nearby resources")</x:f>
        <x:v>80% economic need; 0.11 mi fresh access; 8 nearby resources</x:v>
      </x:c>
      <x:c r="AB2303" s="1" t="n">
        <x:f>IF(OR(A2303="",COUNTIFS($A$1531:$A$2030,A2303)&lt;&gt;1),0,MATCH(A2303,$A$1531:$A$2030,0))</x:f>
        <x:v>253</x:v>
      </x:c>
      <x:c r="AC2303" s="1" t="str">
        <x:f>IF(AB2303=0,"",INDEX($E$1531:$E$2030,AB2303))</x:f>
        <x:v>GFM Food Corporation</x:v>
      </x:c>
      <x:c r="AD2303" s="1" t="str">
        <x:f>IF(AB2303=0,"",INDEX($F$1531:$F$2030,AB2303))</x:f>
        <x:v>180 W Duncannon Ave, Philadelphia, PA, 19120</x:v>
      </x:c>
      <x:c r="AE2303" s="1" t="str">
        <x:f>IF(A2303="","",F254)</x:f>
        <x:v>100 W DUNCANNON AVE</x:v>
      </x:c>
      <x:c r="AF2303" s="1" t="n">
        <x:f>IF(ISNUMBER(I254),I254,"")</x:f>
        <x:v>40.028772</x:v>
      </x:c>
      <x:c r="AG2303" s="1" t="n">
        <x:f>IF(ISNUMBER(J254),J254,"")</x:f>
        <x:v>-75.123808</x:v>
      </x:c>
      <x:c r="AH2303" s="1" t="str">
        <x:f>IF(I2303=0,"Not contacted",IF(INDEX('Staff Review'!$J$8:$J$507,I2303)="","Not contacted",INDEX('Staff Review'!$J$8:$J$507,I2303)))</x:f>
        <x:v>Not contacted</x:v>
      </x:c>
      <x:c r="AI2303" s="1" t="str">
        <x:f>IF(I2303=0,"No",IF(AND(COUNT(INDEX('Staff Review'!$D$8:$D$507,I2303))=1,INDEX('Staff Review'!$D$8:$D$507,I2303)&gt;=0,COUNT(INDEX('Staff Review'!$E$8:$E$507,I2303))=1,INDEX('Staff Review'!$E$8:$E$507,I2303)&gt;0,INDEX('Staff Review'!$E$8:$E$507,I2303)&lt;='Top 15'!$E$5,'Top 15'!$E$5-INDEX('Staff Review'!$E$8:$E$507,I2303)&lt;='Top 15'!$H$5,LEN(INDEX('Staff Review'!$H$8:$H$507,I2303))&gt;0),"Yes","No"))</x:f>
        <x:v>No</x:v>
      </x:c>
      <x:c r="AJ2303" s="1" t="str">
        <x:f>IF(I2303=0,"No",IF(COUNT(INDEX('Staff Review'!$F$8:$F$507,I2303))&lt;&gt;1,"No",IF(AND(INDEX('Staff Review'!$F$8:$F$507,I2303)&gt;=0,MOD(INDEX('Staff Review'!$F$8:$F$507,I2303),1)=0,COUNT(INDEX('Staff Review'!$G$8:$G$507,I2303))=1,INDEX('Staff Review'!$G$8:$G$507,I2303)&gt;0,INDEX('Staff Review'!$G$8:$G$507,I2303)&lt;='Top 15'!$E$5,'Top 15'!$E$5-INDEX('Staff Review'!$G$8:$G$507,I2303)&lt;='Top 15'!$H$5,LEN(INDEX('Staff Review'!$H$8:$H$507,I2303))&gt;0),"Yes","No")))</x:f>
        <x:v>No</x:v>
      </x:c>
      <x:c r="AK2303" s="1" t="n">
        <x:f>IF(A2303="",0,COUNTIFS($A$2:$A$501,A2303))</x:f>
        <x:v>1</x:v>
      </x:c>
      <x:c r="AL2303" s="1" t="n">
        <x:f>IF(V2303="Candidate",1,0)</x:f>
        <x:v>1</x:v>
      </x:c>
      <x:c r="AM2303" s="1" t="n">
        <x:f>IF(A2303="",0,VALUE(A2303))</x:f>
        <x:v>7060</x:v>
      </x:c>
      <x:c r="AN2303" s="1" t="n">
        <x:f>IF(OR(A2303="",COUNTIFS($T$41:$T$540,A2303)&lt;&gt;1),0,MATCH(A2303,$T$41:$T$540,0))</x:f>
        <x:v>253</x:v>
      </x:c>
      <x:c r="AO2303" t="n">
        <x:f>IF(ISNUMBER(W2303),W2303,10000+AM2303)</x:f>
        <x:v>253</x:v>
      </x:c>
    </x:row>
    <x:row r="2304" ht="22" customHeight="1">
      <x:c r="A2304" s="1" t="str">
        <x:f>IF(A255="","",A255)</x:f>
        <x:v>7061</x:v>
      </x:c>
      <x:c r="B2304" s="1" t="str">
        <x:f>IF(A2304="","",B255)</x:f>
        <x:v>Olney High School Continuation Academy</x:v>
      </x:c>
      <x:c r="C2304" s="1" t="str">
        <x:f>IF(A2304="","",C255)</x:f>
        <x:v>Contracted</x:v>
      </x:c>
      <x:c r="D2304" s="1" t="str">
        <x:f>IF(A2304="","",E255)</x:f>
        <x:v>Transition/Overage School</x:v>
      </x:c>
      <x:c r="E2304" s="1" t="str">
        <x:f>IF(A2304="","",H255)</x:f>
        <x:v>19120</x:v>
      </x:c>
      <x:c r="F2304" s="1" t="n">
        <x:f>IF(ISNUMBER(K255),K255,"")</x:f>
        <x:v>17</x:v>
      </x:c>
      <x:c r="G2304" s="1" t="n">
        <x:f>IF(ISNUMBER(L255),L255,"")</x:f>
        <x:v>0.7988</x:v>
      </x:c>
      <x:c r="H2304" s="1" t="str">
        <x:f>IF(A2304="","",IF(AND(UPPER(G255)="PHILADELPHIA",OR(C2304="District",AND(C2304="Charter",D255="Yes"))),"Yes","No"))</x:f>
        <x:v>No</x:v>
      </x:c>
      <x:c r="I2304" s="1" t="n">
        <x:f>IF(OR(A2304="",COUNTIFS('Staff Review'!$A$8:$A$507,A2304)&lt;&gt;1),0,MATCH(A2304,'Staff Review'!$A$8:$A$507,0))</x:f>
        <x:v>212</x:v>
      </x:c>
      <x:c r="J2304" s="1" t="str">
        <x:f>IF(I2304=0,"No",IF(INDEX('Staff Review'!$C$8:$C$507,I2304)="Yes","Yes","No"))</x:f>
        <x:v>No</x:v>
      </x:c>
      <x:c r="K2304" s="1" t="n">
        <x:f>IF(AI2304="Yes",INDEX('Staff Review'!$D$8:$D$507,I2304),IF(AB2304=0,"",IF(COUNT(INDEX($C$1531:$C$2030,AB2304))=1,INDEX($C$1531:$C$2030,AB2304),"")))</x:f>
        <x:v>0.12853245737993235</x:v>
      </x:c>
      <x:c r="L2304" s="1" t="n">
        <x:f>IF(AJ2304="Yes",INDEX('Staff Review'!$F$8:$F$507,I2304),IF(AB2304=0,"",IF(COUNT(INDEX($G$1531:$G$2030,AB2304))=1,INDEX($G$1531:$G$2030,AB2304),"")))</x:f>
        <x:v>8</x:v>
      </x:c>
      <x:c r="M2304" s="1" t="str">
        <x:f>IF(A2304="","",IF(AI2304="Yes","Verified","Listed"))</x:f>
        <x:v>Listed</x:v>
      </x:c>
      <x:c r="N2304" s="1" t="str">
        <x:f>IF(A2304="","",IF(AJ2304="Yes","Verified","Listed"))</x:f>
        <x:v>Listed</x:v>
      </x:c>
      <x:c r="O2304" s="1" t="n">
        <x:f>IF(AND(ISNUMBER(G2304),G2304&gt;=0,G2304&lt;=1),IF(G2304&gt;=0.9,30,IF(G2304&gt;=0.8,25,IF(G2304&gt;=0.7,20,IF(G2304&gt;=0.6,15,IF(G2304&gt;=0.5,10,IF(G2304&gt;=0.4,5,0)))))),"")</x:f>
        <x:v>20</x:v>
      </x:c>
      <x:c r="P2304" s="1" t="n">
        <x:f>IF(ISNUMBER(K2304),IF(K2304&lt;0,"",IF(K2304&gt;1,25,IF(K2304&gt;=0.75,20,IF(K2304&gt;=0.5,15,IF(K2304&gt;=0.25,10,5))))),"")</x:f>
        <x:v>5</x:v>
      </x:c>
      <x:c r="Q2304" s="1" t="n">
        <x:f>IF(NOT(ISNUMBER(L2304)),"",IF(AND(L2304&gt;=0,MOD(L2304,1)=0),MAX(0,25-5*L2304),""))</x:f>
        <x:v>0</x:v>
      </x:c>
      <x:c r="R2304" s="1" t="n">
        <x:f>IF(NOT(ISNUMBER(F2304)),"",IF(AND(F2304&gt;0,MOD(F2304,1)=0),IF(F2304&gt;=700,5,IF(F2304&gt;=500,4,IF(F2304&gt;=350,3,IF(F2304&gt;=200,2,1)))),""))</x:f>
        <x:v>1</x:v>
      </x:c>
      <x:c r="S2304" s="1" t="n">
        <x:f>IF(COUNT(O2304:R2304)=4,SUM(O2304:R2304),"")</x:f>
        <x:v>26</x:v>
      </x:c>
      <x:c r="T2304" s="1" t="n">
        <x:f>IF(OR(COUNT(O2304:R2304)&lt;&gt;4,COUNT('Top 15'!$B$35:$E$35)&lt;&gt;4,MIN('Top 15'!$B$35:$E$35)&lt;0,SUM('Top 15'!$B$35:$E$35)&lt;=0),"",ROUND(85*(O2304/30*'Top 15'!$B$35+P2304/25*'Top 15'!$C$35+Q2304/25*'Top 15'!$D$35+R2304/5*'Top 15'!$E$35)/SUM('Top 15'!$B$35:$E$35),6))</x:f>
        <x:v>26</x:v>
      </x:c>
      <x:c r="U2304" s="1" t="str">
        <x:f>IF(A2304="","",IF(AND(M2304="Verified",N2304="Verified"),"Verified",IF(AND(M2304="Listed",N2304="Listed"),"Listed","Mixed")))</x:f>
        <x:v>Listed</x:v>
      </x:c>
      <x:c r="V2304" s="1" t="str">
        <x:f>IF(A2304="","",IF(AK2304&lt;&gt;1,"Duplicate source ID",IF(COUNTIFS('Staff Review'!$A$8:$A$507,A2304)&gt;1,"Duplicate review ID",IF(H2304&lt;&gt;"Yes","Outside scope",IF(J2304="Yes","Already served",IF(NOT(ISNUMBER(T2304)),"Missing data","Candidate"))))))</x:f>
        <x:v>Outside scope</x:v>
      </x:c>
      <x:c r="W2304" s="1" t="str">
        <x:f>IF(AL2304=0,"",1+COUNTIFS($AL$2051:$AL$2550,1,$T$2051:$T$2550,"&gt;"&amp;T2304)+COUNTIFS($AL$2051:$AL$2550,1,$T$2051:$T$2550,T2304,$G$2051:$G$2550,"&gt;"&amp;G2304)+COUNTIFS($AL$2051:$AL$2550,1,$T$2051:$T$2550,T2304,$G$2051:$G$2550,G2304,$F$2051:$F$2550,"&gt;"&amp;F2304)+COUNTIFS($AL$2051:$AL$2550,1,$T$2051:$T$2550,T2304,$G$2051:$G$2550,G2304,$F$2051:$F$2550,F2304,$AM$2051:$AM$2550,"&lt;"&amp;AM2304))</x:f>
      </x:c>
      <x:c r="X2304" s="1" t="str">
        <x:f>IF(AL2304=0,"",1+COUNTIFS($AL$2051:$AL$2550,1,$T$2051:$T$2550,"&gt;"&amp;T2304))</x:f>
      </x:c>
      <x:c r="Y2304" s="1" t="n">
        <x:f>IF(AND(H2304="Yes",OR(LEN('School Search'!$B$5)=0,ISNUMBER(SEARCH('School Search'!$B$5,B2304&amp;" "&amp;E2304&amp;" "&amp;A2304))),OR('School Search'!$D$5="All",C2304='School Search'!$D$5),OR('School Search'!$G$5="All eligible",AND('School Search'!$G$5="Not marked served",J2304&lt;&gt;"Yes"),AND('School Search'!$G$5="Missing data",V2304="Missing data"),AND('School Search'!$G$5="Marked served",J2304="Yes"))),1,0)</x:f>
        <x:v>0</x:v>
      </x:c>
      <x:c r="Z2304" s="1" t="str">
        <x:f>IF(Y2304=0,"",COUNTIFS($Y$2051:$Y$2550,1,$AO$2051:$AO$2550,"&lt;"&amp;AO2304)+COUNTIFS($Y$2051:Y2304,1,$AO$2051:AO2304,AO2304))</x:f>
      </x:c>
      <x:c r="AA2304" s="1" t="str">
        <x:f>IF(NOT(ISNUMBER(S2304)),"Missing demographic or access input",TEXT(G2304,"0%")&amp;" economic need; "&amp;TEXT(K2304,"0.00")&amp;" mi fresh access; "&amp;L2304&amp;" nearby resources")</x:f>
        <x:v>80% economic need; 0.13 mi fresh access; 8 nearby resources</x:v>
      </x:c>
      <x:c r="AB2304" s="1" t="n">
        <x:f>IF(OR(A2304="",COUNTIFS($A$1531:$A$2030,A2304)&lt;&gt;1),0,MATCH(A2304,$A$1531:$A$2030,0))</x:f>
        <x:v>254</x:v>
      </x:c>
      <x:c r="AC2304" s="1" t="str">
        <x:f>IF(AB2304=0,"",INDEX($E$1531:$E$2030,AB2304))</x:f>
        <x:v>GFM Food Corporation</x:v>
      </x:c>
      <x:c r="AD2304" s="1" t="str">
        <x:f>IF(AB2304=0,"",INDEX($F$1531:$F$2030,AB2304))</x:f>
        <x:v>180 W Duncannon Ave, Philadelphia, PA, 19120</x:v>
      </x:c>
      <x:c r="AE2304" s="1" t="str">
        <x:f>IF(A2304="","",F255)</x:f>
        <x:v>100 W DUNCANNON AVE</x:v>
      </x:c>
      <x:c r="AF2304" s="1" t="n">
        <x:f>IF(ISNUMBER(I255),I255,"")</x:f>
        <x:v>40.02911994</x:v>
      </x:c>
      <x:c r="AG2304" s="1" t="n">
        <x:f>IF(ISNUMBER(J255),J255,"")</x:f>
        <x:v>-75.12375171</x:v>
      </x:c>
      <x:c r="AH2304" s="1" t="str">
        <x:f>IF(I2304=0,"Not contacted",IF(INDEX('Staff Review'!$J$8:$J$507,I2304)="","Not contacted",INDEX('Staff Review'!$J$8:$J$507,I2304)))</x:f>
        <x:v>Not contacted</x:v>
      </x:c>
      <x:c r="AI2304" s="1" t="str">
        <x:f>IF(I2304=0,"No",IF(AND(COUNT(INDEX('Staff Review'!$D$8:$D$507,I2304))=1,INDEX('Staff Review'!$D$8:$D$507,I2304)&gt;=0,COUNT(INDEX('Staff Review'!$E$8:$E$507,I2304))=1,INDEX('Staff Review'!$E$8:$E$507,I2304)&gt;0,INDEX('Staff Review'!$E$8:$E$507,I2304)&lt;='Top 15'!$E$5,'Top 15'!$E$5-INDEX('Staff Review'!$E$8:$E$507,I2304)&lt;='Top 15'!$H$5,LEN(INDEX('Staff Review'!$H$8:$H$507,I2304))&gt;0),"Yes","No"))</x:f>
        <x:v>No</x:v>
      </x:c>
      <x:c r="AJ2304" s="1" t="str">
        <x:f>IF(I2304=0,"No",IF(COUNT(INDEX('Staff Review'!$F$8:$F$507,I2304))&lt;&gt;1,"No",IF(AND(INDEX('Staff Review'!$F$8:$F$507,I2304)&gt;=0,MOD(INDEX('Staff Review'!$F$8:$F$507,I2304),1)=0,COUNT(INDEX('Staff Review'!$G$8:$G$507,I2304))=1,INDEX('Staff Review'!$G$8:$G$507,I2304)&gt;0,INDEX('Staff Review'!$G$8:$G$507,I2304)&lt;='Top 15'!$E$5,'Top 15'!$E$5-INDEX('Staff Review'!$G$8:$G$507,I2304)&lt;='Top 15'!$H$5,LEN(INDEX('Staff Review'!$H$8:$H$507,I2304))&gt;0),"Yes","No")))</x:f>
        <x:v>No</x:v>
      </x:c>
      <x:c r="AK2304" s="1" t="n">
        <x:f>IF(A2304="",0,COUNTIFS($A$2:$A$501,A2304))</x:f>
        <x:v>1</x:v>
      </x:c>
      <x:c r="AL2304" s="1" t="n">
        <x:f>IF(V2304="Candidate",1,0)</x:f>
        <x:v>0</x:v>
      </x:c>
      <x:c r="AM2304" s="1" t="n">
        <x:f>IF(A2304="",0,VALUE(A2304))</x:f>
        <x:v>7061</x:v>
      </x:c>
      <x:c r="AN2304" s="1" t="n">
        <x:f>IF(OR(A2304="",COUNTIFS($T$41:$T$540,A2304)&lt;&gt;1),0,MATCH(A2304,$T$41:$T$540,0))</x:f>
        <x:v>254</x:v>
      </x:c>
      <x:c r="AO2304" t="n">
        <x:f>IF(ISNUMBER(W2304),W2304,10000+AM2304)</x:f>
        <x:v>17061</x:v>
      </x:c>
    </x:row>
    <x:row r="2305" ht="22" customHeight="1">
      <x:c r="A2305" s="1" t="str">
        <x:f>IF(A256="","",A256)</x:f>
        <x:v>7069</x:v>
      </x:c>
      <x:c r="B2305" s="1" t="str">
        <x:f>IF(A2305="","",B256)</x:f>
        <x:v>Philadelphia Continuation Academy</x:v>
      </x:c>
      <x:c r="C2305" s="1" t="str">
        <x:f>IF(A2305="","",C256)</x:f>
        <x:v>Contracted</x:v>
      </x:c>
      <x:c r="D2305" s="1" t="str">
        <x:f>IF(A2305="","",E256)</x:f>
        <x:v>Transition/Overage School</x:v>
      </x:c>
      <x:c r="E2305" s="1" t="str">
        <x:f>IF(A2305="","",H256)</x:f>
        <x:v>19120</x:v>
      </x:c>
      <x:c r="F2305" s="1" t="n">
        <x:f>IF(ISNUMBER(K256),K256,"")</x:f>
        <x:v>46</x:v>
      </x:c>
      <x:c r="G2305" s="1" t="str">
        <x:f>IF(ISNUMBER(L256),L256,"")</x:f>
      </x:c>
      <x:c r="H2305" s="1" t="str">
        <x:f>IF(A2305="","",IF(AND(UPPER(G256)="PHILADELPHIA",OR(C2305="District",AND(C2305="Charter",D256="Yes"))),"Yes","No"))</x:f>
        <x:v>No</x:v>
      </x:c>
      <x:c r="I2305" s="1" t="n">
        <x:f>IF(OR(A2305="",COUNTIFS('Staff Review'!$A$8:$A$507,A2305)&lt;&gt;1),0,MATCH(A2305,'Staff Review'!$A$8:$A$507,0))</x:f>
        <x:v>232</x:v>
      </x:c>
      <x:c r="J2305" s="1" t="str">
        <x:f>IF(I2305=0,"No",IF(INDEX('Staff Review'!$C$8:$C$507,I2305)="Yes","Yes","No"))</x:f>
        <x:v>No</x:v>
      </x:c>
      <x:c r="K2305" s="1" t="n">
        <x:f>IF(AI2305="Yes",INDEX('Staff Review'!$D$8:$D$507,I2305),IF(AB2305=0,"",IF(COUNT(INDEX($C$1531:$C$2030,AB2305))=1,INDEX($C$1531:$C$2030,AB2305),"")))</x:f>
        <x:v>0.11440310296307804</x:v>
      </x:c>
      <x:c r="L2305" s="1" t="n">
        <x:f>IF(AJ2305="Yes",INDEX('Staff Review'!$F$8:$F$507,I2305),IF(AB2305=0,"",IF(COUNT(INDEX($G$1531:$G$2030,AB2305))=1,INDEX($G$1531:$G$2030,AB2305),"")))</x:f>
        <x:v>8</x:v>
      </x:c>
      <x:c r="M2305" s="1" t="str">
        <x:f>IF(A2305="","",IF(AI2305="Yes","Verified","Listed"))</x:f>
        <x:v>Listed</x:v>
      </x:c>
      <x:c r="N2305" s="1" t="str">
        <x:f>IF(A2305="","",IF(AJ2305="Yes","Verified","Listed"))</x:f>
        <x:v>Listed</x:v>
      </x:c>
      <x:c r="O2305" s="1" t="str">
        <x:f>IF(AND(ISNUMBER(G2305),G2305&gt;=0,G2305&lt;=1),IF(G2305&gt;=0.9,30,IF(G2305&gt;=0.8,25,IF(G2305&gt;=0.7,20,IF(G2305&gt;=0.6,15,IF(G2305&gt;=0.5,10,IF(G2305&gt;=0.4,5,0)))))),"")</x:f>
      </x:c>
      <x:c r="P2305" s="1" t="n">
        <x:f>IF(ISNUMBER(K2305),IF(K2305&lt;0,"",IF(K2305&gt;1,25,IF(K2305&gt;=0.75,20,IF(K2305&gt;=0.5,15,IF(K2305&gt;=0.25,10,5))))),"")</x:f>
        <x:v>5</x:v>
      </x:c>
      <x:c r="Q2305" s="1" t="n">
        <x:f>IF(NOT(ISNUMBER(L2305)),"",IF(AND(L2305&gt;=0,MOD(L2305,1)=0),MAX(0,25-5*L2305),""))</x:f>
        <x:v>0</x:v>
      </x:c>
      <x:c r="R2305" s="1" t="n">
        <x:f>IF(NOT(ISNUMBER(F2305)),"",IF(AND(F2305&gt;0,MOD(F2305,1)=0),IF(F2305&gt;=700,5,IF(F2305&gt;=500,4,IF(F2305&gt;=350,3,IF(F2305&gt;=200,2,1)))),""))</x:f>
        <x:v>1</x:v>
      </x:c>
      <x:c r="S2305" s="1" t="str">
        <x:f>IF(COUNT(O2305:R2305)=4,SUM(O2305:R2305),"")</x:f>
      </x:c>
      <x:c r="T2305" s="1" t="str">
        <x:f>IF(OR(COUNT(O2305:R2305)&lt;&gt;4,COUNT('Top 15'!$B$35:$E$35)&lt;&gt;4,MIN('Top 15'!$B$35:$E$35)&lt;0,SUM('Top 15'!$B$35:$E$35)&lt;=0),"",ROUND(85*(O2305/30*'Top 15'!$B$35+P2305/25*'Top 15'!$C$35+Q2305/25*'Top 15'!$D$35+R2305/5*'Top 15'!$E$35)/SUM('Top 15'!$B$35:$E$35),6))</x:f>
      </x:c>
      <x:c r="U2305" s="1" t="str">
        <x:f>IF(A2305="","",IF(AND(M2305="Verified",N2305="Verified"),"Verified",IF(AND(M2305="Listed",N2305="Listed"),"Listed","Mixed")))</x:f>
        <x:v>Listed</x:v>
      </x:c>
      <x:c r="V2305" s="1" t="str">
        <x:f>IF(A2305="","",IF(AK2305&lt;&gt;1,"Duplicate source ID",IF(COUNTIFS('Staff Review'!$A$8:$A$507,A2305)&gt;1,"Duplicate review ID",IF(H2305&lt;&gt;"Yes","Outside scope",IF(J2305="Yes","Already served",IF(NOT(ISNUMBER(T2305)),"Missing data","Candidate"))))))</x:f>
        <x:v>Outside scope</x:v>
      </x:c>
      <x:c r="W2305" s="1" t="str">
        <x:f>IF(AL2305=0,"",1+COUNTIFS($AL$2051:$AL$2550,1,$T$2051:$T$2550,"&gt;"&amp;T2305)+COUNTIFS($AL$2051:$AL$2550,1,$T$2051:$T$2550,T2305,$G$2051:$G$2550,"&gt;"&amp;G2305)+COUNTIFS($AL$2051:$AL$2550,1,$T$2051:$T$2550,T2305,$G$2051:$G$2550,G2305,$F$2051:$F$2550,"&gt;"&amp;F2305)+COUNTIFS($AL$2051:$AL$2550,1,$T$2051:$T$2550,T2305,$G$2051:$G$2550,G2305,$F$2051:$F$2550,F2305,$AM$2051:$AM$2550,"&lt;"&amp;AM2305))</x:f>
      </x:c>
      <x:c r="X2305" s="1" t="str">
        <x:f>IF(AL2305=0,"",1+COUNTIFS($AL$2051:$AL$2550,1,$T$2051:$T$2550,"&gt;"&amp;T2305))</x:f>
      </x:c>
      <x:c r="Y2305" s="1" t="n">
        <x:f>IF(AND(H2305="Yes",OR(LEN('School Search'!$B$5)=0,ISNUMBER(SEARCH('School Search'!$B$5,B2305&amp;" "&amp;E2305&amp;" "&amp;A2305))),OR('School Search'!$D$5="All",C2305='School Search'!$D$5),OR('School Search'!$G$5="All eligible",AND('School Search'!$G$5="Not marked served",J2305&lt;&gt;"Yes"),AND('School Search'!$G$5="Missing data",V2305="Missing data"),AND('School Search'!$G$5="Marked served",J2305="Yes"))),1,0)</x:f>
        <x:v>0</x:v>
      </x:c>
      <x:c r="Z2305" s="1" t="str">
        <x:f>IF(Y2305=0,"",COUNTIFS($Y$2051:$Y$2550,1,$AO$2051:$AO$2550,"&lt;"&amp;AO2305)+COUNTIFS($Y$2051:Y2305,1,$AO$2051:AO2305,AO2305))</x:f>
      </x:c>
      <x:c r="AA2305" s="1" t="str">
        <x:f>IF(NOT(ISNUMBER(S2305)),"Missing demographic or access input",TEXT(G2305,"0%")&amp;" economic need; "&amp;TEXT(K2305,"0.00")&amp;" mi fresh access; "&amp;L2305&amp;" nearby resources")</x:f>
        <x:v>Missing demographic or access input</x:v>
      </x:c>
      <x:c r="AB2305" s="1" t="n">
        <x:f>IF(OR(A2305="",COUNTIFS($A$1531:$A$2030,A2305)&lt;&gt;1),0,MATCH(A2305,$A$1531:$A$2030,0))</x:f>
        <x:v>255</x:v>
      </x:c>
      <x:c r="AC2305" s="1" t="str">
        <x:f>IF(AB2305=0,"",INDEX($E$1531:$E$2030,AB2305))</x:f>
        <x:v>GFM Food Corporation</x:v>
      </x:c>
      <x:c r="AD2305" s="1" t="str">
        <x:f>IF(AB2305=0,"",INDEX($F$1531:$F$2030,AB2305))</x:f>
        <x:v>180 W Duncannon Ave, Philadelphia, PA, 19120</x:v>
      </x:c>
      <x:c r="AE2305" s="1" t="str">
        <x:f>IF(A2305="","",F256)</x:f>
        <x:v>100 E DUNCANNON AVE</x:v>
      </x:c>
      <x:c r="AF2305" s="1" t="n">
        <x:f>IF(ISNUMBER(I256),I256,"")</x:f>
        <x:v>40.028772</x:v>
      </x:c>
      <x:c r="AG2305" s="1" t="n">
        <x:f>IF(ISNUMBER(J256),J256,"")</x:f>
        <x:v>-75.123808</x:v>
      </x:c>
      <x:c r="AH2305" s="1" t="str">
        <x:f>IF(I2305=0,"Not contacted",IF(INDEX('Staff Review'!$J$8:$J$507,I2305)="","Not contacted",INDEX('Staff Review'!$J$8:$J$507,I2305)))</x:f>
        <x:v>Not contacted</x:v>
      </x:c>
      <x:c r="AI2305" s="1" t="str">
        <x:f>IF(I2305=0,"No",IF(AND(COUNT(INDEX('Staff Review'!$D$8:$D$507,I2305))=1,INDEX('Staff Review'!$D$8:$D$507,I2305)&gt;=0,COUNT(INDEX('Staff Review'!$E$8:$E$507,I2305))=1,INDEX('Staff Review'!$E$8:$E$507,I2305)&gt;0,INDEX('Staff Review'!$E$8:$E$507,I2305)&lt;='Top 15'!$E$5,'Top 15'!$E$5-INDEX('Staff Review'!$E$8:$E$507,I2305)&lt;='Top 15'!$H$5,LEN(INDEX('Staff Review'!$H$8:$H$507,I2305))&gt;0),"Yes","No"))</x:f>
        <x:v>No</x:v>
      </x:c>
      <x:c r="AJ2305" s="1" t="str">
        <x:f>IF(I2305=0,"No",IF(COUNT(INDEX('Staff Review'!$F$8:$F$507,I2305))&lt;&gt;1,"No",IF(AND(INDEX('Staff Review'!$F$8:$F$507,I2305)&gt;=0,MOD(INDEX('Staff Review'!$F$8:$F$507,I2305),1)=0,COUNT(INDEX('Staff Review'!$G$8:$G$507,I2305))=1,INDEX('Staff Review'!$G$8:$G$507,I2305)&gt;0,INDEX('Staff Review'!$G$8:$G$507,I2305)&lt;='Top 15'!$E$5,'Top 15'!$E$5-INDEX('Staff Review'!$G$8:$G$507,I2305)&lt;='Top 15'!$H$5,LEN(INDEX('Staff Review'!$H$8:$H$507,I2305))&gt;0),"Yes","No")))</x:f>
        <x:v>No</x:v>
      </x:c>
      <x:c r="AK2305" s="1" t="n">
        <x:f>IF(A2305="",0,COUNTIFS($A$2:$A$501,A2305))</x:f>
        <x:v>1</x:v>
      </x:c>
      <x:c r="AL2305" s="1" t="n">
        <x:f>IF(V2305="Candidate",1,0)</x:f>
        <x:v>0</x:v>
      </x:c>
      <x:c r="AM2305" s="1" t="n">
        <x:f>IF(A2305="",0,VALUE(A2305))</x:f>
        <x:v>7069</x:v>
      </x:c>
      <x:c r="AN2305" s="1" t="n">
        <x:f>IF(OR(A2305="",COUNTIFS($T$41:$T$540,A2305)&lt;&gt;1),0,MATCH(A2305,$T$41:$T$540,0))</x:f>
        <x:v>255</x:v>
      </x:c>
      <x:c r="AO2305" t="n">
        <x:f>IF(ISNUMBER(W2305),W2305,10000+AM2305)</x:f>
        <x:v>17069</x:v>
      </x:c>
    </x:row>
    <x:row r="2306" ht="22" customHeight="1">
      <x:c r="A2306" s="1" t="str">
        <x:f>IF(A257="","",A257)</x:f>
        <x:v>7100</x:v>
      </x:c>
      <x:c r="B2306" s="1" t="str">
        <x:f>IF(A2306="","",B257)</x:f>
        <x:v>Jay Cooke School</x:v>
      </x:c>
      <x:c r="C2306" s="1" t="str">
        <x:f>IF(A2306="","",C257)</x:f>
        <x:v>District</x:v>
      </x:c>
      <x:c r="D2306" s="1" t="str">
        <x:f>IF(A2306="","",E257)</x:f>
        <x:v>Elementary-Middle</x:v>
      </x:c>
      <x:c r="E2306" s="1" t="str">
        <x:f>IF(A2306="","",H257)</x:f>
        <x:v>19141</x:v>
      </x:c>
      <x:c r="F2306" s="1" t="n">
        <x:f>IF(ISNUMBER(K257),K257,"")</x:f>
        <x:v>386</x:v>
      </x:c>
      <x:c r="G2306" s="1" t="n">
        <x:f>IF(ISNUMBER(L257),L257,"")</x:f>
        <x:v>0.886</x:v>
      </x:c>
      <x:c r="H2306" s="1" t="str">
        <x:f>IF(A2306="","",IF(AND(UPPER(G257)="PHILADELPHIA",OR(C2306="District",AND(C2306="Charter",D257="Yes"))),"Yes","No"))</x:f>
        <x:v>Yes</x:v>
      </x:c>
      <x:c r="I2306" s="1" t="n">
        <x:f>IF(OR(A2306="",COUNTIFS('Staff Review'!$A$8:$A$507,A2306)&lt;&gt;1),0,MATCH(A2306,'Staff Review'!$A$8:$A$507,0))</x:f>
        <x:v>132</x:v>
      </x:c>
      <x:c r="J2306" s="1" t="str">
        <x:f>IF(I2306=0,"No",IF(INDEX('Staff Review'!$C$8:$C$507,I2306)="Yes","Yes","No"))</x:f>
        <x:v>No</x:v>
      </x:c>
      <x:c r="K2306" s="1" t="n">
        <x:f>IF(AI2306="Yes",INDEX('Staff Review'!$D$8:$D$507,I2306),IF(AB2306=0,"",IF(COUNT(INDEX($C$1531:$C$2030,AB2306))=1,INDEX($C$1531:$C$2030,AB2306),"")))</x:f>
        <x:v>0.3345589633179345</x:v>
      </x:c>
      <x:c r="L2306" s="1" t="n">
        <x:f>IF(AJ2306="Yes",INDEX('Staff Review'!$F$8:$F$507,I2306),IF(AB2306=0,"",IF(COUNT(INDEX($G$1531:$G$2030,AB2306))=1,INDEX($G$1531:$G$2030,AB2306),"")))</x:f>
        <x:v>10</x:v>
      </x:c>
      <x:c r="M2306" s="1" t="str">
        <x:f>IF(A2306="","",IF(AI2306="Yes","Verified","Listed"))</x:f>
        <x:v>Listed</x:v>
      </x:c>
      <x:c r="N2306" s="1" t="str">
        <x:f>IF(A2306="","",IF(AJ2306="Yes","Verified","Listed"))</x:f>
        <x:v>Listed</x:v>
      </x:c>
      <x:c r="O2306" s="1" t="n">
        <x:f>IF(AND(ISNUMBER(G2306),G2306&gt;=0,G2306&lt;=1),IF(G2306&gt;=0.9,30,IF(G2306&gt;=0.8,25,IF(G2306&gt;=0.7,20,IF(G2306&gt;=0.6,15,IF(G2306&gt;=0.5,10,IF(G2306&gt;=0.4,5,0)))))),"")</x:f>
        <x:v>25</x:v>
      </x:c>
      <x:c r="P2306" s="1" t="n">
        <x:f>IF(ISNUMBER(K2306),IF(K2306&lt;0,"",IF(K2306&gt;1,25,IF(K2306&gt;=0.75,20,IF(K2306&gt;=0.5,15,IF(K2306&gt;=0.25,10,5))))),"")</x:f>
        <x:v>10</x:v>
      </x:c>
      <x:c r="Q2306" s="1" t="n">
        <x:f>IF(NOT(ISNUMBER(L2306)),"",IF(AND(L2306&gt;=0,MOD(L2306,1)=0),MAX(0,25-5*L2306),""))</x:f>
        <x:v>0</x:v>
      </x:c>
      <x:c r="R2306" s="1" t="n">
        <x:f>IF(NOT(ISNUMBER(F2306)),"",IF(AND(F2306&gt;0,MOD(F2306,1)=0),IF(F2306&gt;=700,5,IF(F2306&gt;=500,4,IF(F2306&gt;=350,3,IF(F2306&gt;=200,2,1)))),""))</x:f>
        <x:v>3</x:v>
      </x:c>
      <x:c r="S2306" s="1" t="n">
        <x:f>IF(COUNT(O2306:R2306)=4,SUM(O2306:R2306),"")</x:f>
        <x:v>38</x:v>
      </x:c>
      <x:c r="T2306" s="1" t="n">
        <x:f>IF(OR(COUNT(O2306:R2306)&lt;&gt;4,COUNT('Top 15'!$B$35:$E$35)&lt;&gt;4,MIN('Top 15'!$B$35:$E$35)&lt;0,SUM('Top 15'!$B$35:$E$35)&lt;=0),"",ROUND(85*(O2306/30*'Top 15'!$B$35+P2306/25*'Top 15'!$C$35+Q2306/25*'Top 15'!$D$35+R2306/5*'Top 15'!$E$35)/SUM('Top 15'!$B$35:$E$35),6))</x:f>
        <x:v>38</x:v>
      </x:c>
      <x:c r="U2306" s="1" t="str">
        <x:f>IF(A2306="","",IF(AND(M2306="Verified",N2306="Verified"),"Verified",IF(AND(M2306="Listed",N2306="Listed"),"Listed","Mixed")))</x:f>
        <x:v>Listed</x:v>
      </x:c>
      <x:c r="V2306" s="1" t="str">
        <x:f>IF(A2306="","",IF(AK2306&lt;&gt;1,"Duplicate source ID",IF(COUNTIFS('Staff Review'!$A$8:$A$507,A2306)&gt;1,"Duplicate review ID",IF(H2306&lt;&gt;"Yes","Outside scope",IF(J2306="Yes","Already served",IF(NOT(ISNUMBER(T2306)),"Missing data","Candidate"))))))</x:f>
        <x:v>Candidate</x:v>
      </x:c>
      <x:c r="W2306" s="1" t="n">
        <x:f>IF(AL2306=0,"",1+COUNTIFS($AL$2051:$AL$2550,1,$T$2051:$T$2550,"&gt;"&amp;T2306)+COUNTIFS($AL$2051:$AL$2550,1,$T$2051:$T$2550,T2306,$G$2051:$G$2550,"&gt;"&amp;G2306)+COUNTIFS($AL$2051:$AL$2550,1,$T$2051:$T$2550,T2306,$G$2051:$G$2550,G2306,$F$2051:$F$2550,"&gt;"&amp;F2306)+COUNTIFS($AL$2051:$AL$2550,1,$T$2051:$T$2550,T2306,$G$2051:$G$2550,G2306,$F$2051:$F$2550,F2306,$AM$2051:$AM$2550,"&lt;"&amp;AM2306))</x:f>
        <x:v>171</x:v>
      </x:c>
      <x:c r="X2306" s="1" t="n">
        <x:f>IF(AL2306=0,"",1+COUNTIFS($AL$2051:$AL$2550,1,$T$2051:$T$2550,"&gt;"&amp;T2306))</x:f>
        <x:v>166</x:v>
      </x:c>
      <x:c r="Y2306" s="1" t="n">
        <x:f>IF(AND(H2306="Yes",OR(LEN('School Search'!$B$5)=0,ISNUMBER(SEARCH('School Search'!$B$5,B2306&amp;" "&amp;E2306&amp;" "&amp;A2306))),OR('School Search'!$D$5="All",C2306='School Search'!$D$5),OR('School Search'!$G$5="All eligible",AND('School Search'!$G$5="Not marked served",J2306&lt;&gt;"Yes"),AND('School Search'!$G$5="Missing data",V2306="Missing data"),AND('School Search'!$G$5="Marked served",J2306="Yes"))),1,0)</x:f>
        <x:v>1</x:v>
      </x:c>
      <x:c r="Z2306" s="1" t="n">
        <x:f>IF(Y2306=0,"",COUNTIFS($Y$2051:$Y$2550,1,$AO$2051:$AO$2550,"&lt;"&amp;AO2306)+COUNTIFS($Y$2051:Y2306,1,$AO$2051:AO2306,AO2306))</x:f>
        <x:v>171</x:v>
      </x:c>
      <x:c r="AA2306" s="1" t="str">
        <x:f>IF(NOT(ISNUMBER(S2306)),"Missing demographic or access input",TEXT(G2306,"0%")&amp;" economic need; "&amp;TEXT(K2306,"0.00")&amp;" mi fresh access; "&amp;L2306&amp;" nearby resources")</x:f>
        <x:v>89% economic need; 0.33 mi fresh access; 10 nearby resources</x:v>
      </x:c>
      <x:c r="AB2306" s="1" t="n">
        <x:f>IF(OR(A2306="",COUNTIFS($A$1531:$A$2030,A2306)&lt;&gt;1),0,MATCH(A2306,$A$1531:$A$2030,0))</x:f>
        <x:v>256</x:v>
      </x:c>
      <x:c r="AC2306" s="1" t="str">
        <x:f>IF(AB2306=0,"",INDEX($E$1531:$E$2030,AB2306))</x:f>
        <x:v>Save-A-Lot 60138</x:v>
      </x:c>
      <x:c r="AD2306" s="1" t="str">
        <x:f>IF(AB2306=0,"",INDEX($F$1531:$F$2030,AB2306))</x:f>
        <x:v>4424 N Broad St, Philadelphia, PA, 19140</x:v>
      </x:c>
      <x:c r="AE2306" s="1" t="str">
        <x:f>IF(A2306="","",F257)</x:f>
        <x:v>1300 W LOUDON ST</x:v>
      </x:c>
      <x:c r="AF2306" s="1" t="n">
        <x:f>IF(ISNUMBER(I257),I257,"")</x:f>
        <x:v>40.025526</x:v>
      </x:c>
      <x:c r="AG2306" s="1" t="n">
        <x:f>IF(ISNUMBER(J257),J257,"")</x:f>
        <x:v>-75.146074</x:v>
      </x:c>
      <x:c r="AH2306" s="1" t="str">
        <x:f>IF(I2306=0,"Not contacted",IF(INDEX('Staff Review'!$J$8:$J$507,I2306)="","Not contacted",INDEX('Staff Review'!$J$8:$J$507,I2306)))</x:f>
        <x:v>Not contacted</x:v>
      </x:c>
      <x:c r="AI2306" s="1" t="str">
        <x:f>IF(I2306=0,"No",IF(AND(COUNT(INDEX('Staff Review'!$D$8:$D$507,I2306))=1,INDEX('Staff Review'!$D$8:$D$507,I2306)&gt;=0,COUNT(INDEX('Staff Review'!$E$8:$E$507,I2306))=1,INDEX('Staff Review'!$E$8:$E$507,I2306)&gt;0,INDEX('Staff Review'!$E$8:$E$507,I2306)&lt;='Top 15'!$E$5,'Top 15'!$E$5-INDEX('Staff Review'!$E$8:$E$507,I2306)&lt;='Top 15'!$H$5,LEN(INDEX('Staff Review'!$H$8:$H$507,I2306))&gt;0),"Yes","No"))</x:f>
        <x:v>No</x:v>
      </x:c>
      <x:c r="AJ2306" s="1" t="str">
        <x:f>IF(I2306=0,"No",IF(COUNT(INDEX('Staff Review'!$F$8:$F$507,I2306))&lt;&gt;1,"No",IF(AND(INDEX('Staff Review'!$F$8:$F$507,I2306)&gt;=0,MOD(INDEX('Staff Review'!$F$8:$F$507,I2306),1)=0,COUNT(INDEX('Staff Review'!$G$8:$G$507,I2306))=1,INDEX('Staff Review'!$G$8:$G$507,I2306)&gt;0,INDEX('Staff Review'!$G$8:$G$507,I2306)&lt;='Top 15'!$E$5,'Top 15'!$E$5-INDEX('Staff Review'!$G$8:$G$507,I2306)&lt;='Top 15'!$H$5,LEN(INDEX('Staff Review'!$H$8:$H$507,I2306))&gt;0),"Yes","No")))</x:f>
        <x:v>No</x:v>
      </x:c>
      <x:c r="AK2306" s="1" t="n">
        <x:f>IF(A2306="",0,COUNTIFS($A$2:$A$501,A2306))</x:f>
        <x:v>1</x:v>
      </x:c>
      <x:c r="AL2306" s="1" t="n">
        <x:f>IF(V2306="Candidate",1,0)</x:f>
        <x:v>1</x:v>
      </x:c>
      <x:c r="AM2306" s="1" t="n">
        <x:f>IF(A2306="",0,VALUE(A2306))</x:f>
        <x:v>7100</x:v>
      </x:c>
      <x:c r="AN2306" s="1" t="n">
        <x:f>IF(OR(A2306="",COUNTIFS($T$41:$T$540,A2306)&lt;&gt;1),0,MATCH(A2306,$T$41:$T$540,0))</x:f>
        <x:v>256</x:v>
      </x:c>
      <x:c r="AO2306" t="n">
        <x:f>IF(ISNUMBER(W2306),W2306,10000+AM2306)</x:f>
        <x:v>171</x:v>
      </x:c>
    </x:row>
    <x:row r="2307" ht="22" customHeight="1">
      <x:c r="A2307" s="1" t="str">
        <x:f>IF(A258="","",A258)</x:f>
        <x:v>7110</x:v>
      </x:c>
      <x:c r="B2307" s="1" t="str">
        <x:f>IF(A2307="","",B258)</x:f>
        <x:v>Warren G. Harding Middle School</x:v>
      </x:c>
      <x:c r="C2307" s="1" t="str">
        <x:f>IF(A2307="","",C258)</x:f>
        <x:v>District</x:v>
      </x:c>
      <x:c r="D2307" s="1" t="str">
        <x:f>IF(A2307="","",E258)</x:f>
        <x:v>Middle</x:v>
      </x:c>
      <x:c r="E2307" s="1" t="str">
        <x:f>IF(A2307="","",H258)</x:f>
        <x:v>19124</x:v>
      </x:c>
      <x:c r="F2307" s="1" t="n">
        <x:f>IF(ISNUMBER(K258),K258,"")</x:f>
        <x:v>522</x:v>
      </x:c>
      <x:c r="G2307" s="1" t="n">
        <x:f>IF(ISNUMBER(L258),L258,"")</x:f>
        <x:v>0.8771</x:v>
      </x:c>
      <x:c r="H2307" s="1" t="str">
        <x:f>IF(A2307="","",IF(AND(UPPER(G258)="PHILADELPHIA",OR(C2307="District",AND(C2307="Charter",D258="Yes"))),"Yes","No"))</x:f>
        <x:v>Yes</x:v>
      </x:c>
      <x:c r="I2307" s="1" t="n">
        <x:f>IF(OR(A2307="",COUNTIFS('Staff Review'!$A$8:$A$507,A2307)&lt;&gt;1),0,MATCH(A2307,'Staff Review'!$A$8:$A$507,0))</x:f>
        <x:v>306</x:v>
      </x:c>
      <x:c r="J2307" s="1" t="str">
        <x:f>IF(I2307=0,"No",IF(INDEX('Staff Review'!$C$8:$C$507,I2307)="Yes","Yes","No"))</x:f>
        <x:v>No</x:v>
      </x:c>
      <x:c r="K2307" s="1" t="n">
        <x:f>IF(AI2307="Yes",INDEX('Staff Review'!$D$8:$D$507,I2307),IF(AB2307=0,"",IF(COUNT(INDEX($C$1531:$C$2030,AB2307))=1,INDEX($C$1531:$C$2030,AB2307),"")))</x:f>
        <x:v>0.39687573751729766</x:v>
      </x:c>
      <x:c r="L2307" s="1" t="n">
        <x:f>IF(AJ2307="Yes",INDEX('Staff Review'!$F$8:$F$507,I2307),IF(AB2307=0,"",IF(COUNT(INDEX($G$1531:$G$2030,AB2307))=1,INDEX($G$1531:$G$2030,AB2307),"")))</x:f>
        <x:v>9</x:v>
      </x:c>
      <x:c r="M2307" s="1" t="str">
        <x:f>IF(A2307="","",IF(AI2307="Yes","Verified","Listed"))</x:f>
        <x:v>Listed</x:v>
      </x:c>
      <x:c r="N2307" s="1" t="str">
        <x:f>IF(A2307="","",IF(AJ2307="Yes","Verified","Listed"))</x:f>
        <x:v>Listed</x:v>
      </x:c>
      <x:c r="O2307" s="1" t="n">
        <x:f>IF(AND(ISNUMBER(G2307),G2307&gt;=0,G2307&lt;=1),IF(G2307&gt;=0.9,30,IF(G2307&gt;=0.8,25,IF(G2307&gt;=0.7,20,IF(G2307&gt;=0.6,15,IF(G2307&gt;=0.5,10,IF(G2307&gt;=0.4,5,0)))))),"")</x:f>
        <x:v>25</x:v>
      </x:c>
      <x:c r="P2307" s="1" t="n">
        <x:f>IF(ISNUMBER(K2307),IF(K2307&lt;0,"",IF(K2307&gt;1,25,IF(K2307&gt;=0.75,20,IF(K2307&gt;=0.5,15,IF(K2307&gt;=0.25,10,5))))),"")</x:f>
        <x:v>10</x:v>
      </x:c>
      <x:c r="Q2307" s="1" t="n">
        <x:f>IF(NOT(ISNUMBER(L2307)),"",IF(AND(L2307&gt;=0,MOD(L2307,1)=0),MAX(0,25-5*L2307),""))</x:f>
        <x:v>0</x:v>
      </x:c>
      <x:c r="R2307" s="1" t="n">
        <x:f>IF(NOT(ISNUMBER(F2307)),"",IF(AND(F2307&gt;0,MOD(F2307,1)=0),IF(F2307&gt;=700,5,IF(F2307&gt;=500,4,IF(F2307&gt;=350,3,IF(F2307&gt;=200,2,1)))),""))</x:f>
        <x:v>4</x:v>
      </x:c>
      <x:c r="S2307" s="1" t="n">
        <x:f>IF(COUNT(O2307:R2307)=4,SUM(O2307:R2307),"")</x:f>
        <x:v>39</x:v>
      </x:c>
      <x:c r="T2307" s="1" t="n">
        <x:f>IF(OR(COUNT(O2307:R2307)&lt;&gt;4,COUNT('Top 15'!$B$35:$E$35)&lt;&gt;4,MIN('Top 15'!$B$35:$E$35)&lt;0,SUM('Top 15'!$B$35:$E$35)&lt;=0),"",ROUND(85*(O2307/30*'Top 15'!$B$35+P2307/25*'Top 15'!$C$35+Q2307/25*'Top 15'!$D$35+R2307/5*'Top 15'!$E$35)/SUM('Top 15'!$B$35:$E$35),6))</x:f>
        <x:v>39</x:v>
      </x:c>
      <x:c r="U2307" s="1" t="str">
        <x:f>IF(A2307="","",IF(AND(M2307="Verified",N2307="Verified"),"Verified",IF(AND(M2307="Listed",N2307="Listed"),"Listed","Mixed")))</x:f>
        <x:v>Listed</x:v>
      </x:c>
      <x:c r="V2307" s="1" t="str">
        <x:f>IF(A2307="","",IF(AK2307&lt;&gt;1,"Duplicate source ID",IF(COUNTIFS('Staff Review'!$A$8:$A$507,A2307)&gt;1,"Duplicate review ID",IF(H2307&lt;&gt;"Yes","Outside scope",IF(J2307="Yes","Already served",IF(NOT(ISNUMBER(T2307)),"Missing data","Candidate"))))))</x:f>
        <x:v>Candidate</x:v>
      </x:c>
      <x:c r="W2307" s="1" t="n">
        <x:f>IF(AL2307=0,"",1+COUNTIFS($AL$2051:$AL$2550,1,$T$2051:$T$2550,"&gt;"&amp;T2307)+COUNTIFS($AL$2051:$AL$2550,1,$T$2051:$T$2550,T2307,$G$2051:$G$2550,"&gt;"&amp;G2307)+COUNTIFS($AL$2051:$AL$2550,1,$T$2051:$T$2550,T2307,$G$2051:$G$2550,G2307,$F$2051:$F$2550,"&gt;"&amp;F2307)+COUNTIFS($AL$2051:$AL$2550,1,$T$2051:$T$2550,T2307,$G$2051:$G$2550,G2307,$F$2051:$F$2550,F2307,$AM$2051:$AM$2550,"&lt;"&amp;AM2307))</x:f>
        <x:v>151</x:v>
      </x:c>
      <x:c r="X2307" s="1" t="n">
        <x:f>IF(AL2307=0,"",1+COUNTIFS($AL$2051:$AL$2550,1,$T$2051:$T$2550,"&gt;"&amp;T2307))</x:f>
        <x:v>148</x:v>
      </x:c>
      <x:c r="Y2307" s="1" t="n">
        <x:f>IF(AND(H2307="Yes",OR(LEN('School Search'!$B$5)=0,ISNUMBER(SEARCH('School Search'!$B$5,B2307&amp;" "&amp;E2307&amp;" "&amp;A2307))),OR('School Search'!$D$5="All",C2307='School Search'!$D$5),OR('School Search'!$G$5="All eligible",AND('School Search'!$G$5="Not marked served",J2307&lt;&gt;"Yes"),AND('School Search'!$G$5="Missing data",V2307="Missing data"),AND('School Search'!$G$5="Marked served",J2307="Yes"))),1,0)</x:f>
        <x:v>1</x:v>
      </x:c>
      <x:c r="Z2307" s="1" t="n">
        <x:f>IF(Y2307=0,"",COUNTIFS($Y$2051:$Y$2550,1,$AO$2051:$AO$2550,"&lt;"&amp;AO2307)+COUNTIFS($Y$2051:Y2307,1,$AO$2051:AO2307,AO2307))</x:f>
        <x:v>151</x:v>
      </x:c>
      <x:c r="AA2307" s="1" t="str">
        <x:f>IF(NOT(ISNUMBER(S2307)),"Missing demographic or access input",TEXT(G2307,"0%")&amp;" economic need; "&amp;TEXT(K2307,"0.00")&amp;" mi fresh access; "&amp;L2307&amp;" nearby resources")</x:f>
        <x:v>88% economic need; 0.40 mi fresh access; 9 nearby resources</x:v>
      </x:c>
      <x:c r="AB2307" s="1" t="n">
        <x:f>IF(OR(A2307="",COUNTIFS($A$1531:$A$2030,A2307)&lt;&gt;1),0,MATCH(A2307,$A$1531:$A$2030,0))</x:f>
        <x:v>257</x:v>
      </x:c>
      <x:c r="AC2307" s="1" t="str">
        <x:f>IF(AB2307=0,"",INDEX($E$1531:$E$2030,AB2307))</x:f>
        <x:v>ShopRite of Bridge and Harbison 495</x:v>
      </x:c>
      <x:c r="AD2307" s="1" t="str">
        <x:f>IF(AB2307=0,"",INDEX($F$1531:$F$2030,AB2307))</x:f>
        <x:v>5597 Tulip St, Philadelphia, PA, 19124</x:v>
      </x:c>
      <x:c r="AE2307" s="1" t="str">
        <x:f>IF(A2307="","",F258)</x:f>
        <x:v>2000 WAKELING ST</x:v>
      </x:c>
      <x:c r="AF2307" s="1" t="n">
        <x:f>IF(ISNUMBER(I258),I258,"")</x:f>
        <x:v>40.01291694</x:v>
      </x:c>
      <x:c r="AG2307" s="1" t="n">
        <x:f>IF(ISNUMBER(J258),J258,"")</x:f>
        <x:v>-75.07456081</x:v>
      </x:c>
      <x:c r="AH2307" s="1" t="str">
        <x:f>IF(I2307=0,"Not contacted",IF(INDEX('Staff Review'!$J$8:$J$507,I2307)="","Not contacted",INDEX('Staff Review'!$J$8:$J$507,I2307)))</x:f>
        <x:v>Not contacted</x:v>
      </x:c>
      <x:c r="AI2307" s="1" t="str">
        <x:f>IF(I2307=0,"No",IF(AND(COUNT(INDEX('Staff Review'!$D$8:$D$507,I2307))=1,INDEX('Staff Review'!$D$8:$D$507,I2307)&gt;=0,COUNT(INDEX('Staff Review'!$E$8:$E$507,I2307))=1,INDEX('Staff Review'!$E$8:$E$507,I2307)&gt;0,INDEX('Staff Review'!$E$8:$E$507,I2307)&lt;='Top 15'!$E$5,'Top 15'!$E$5-INDEX('Staff Review'!$E$8:$E$507,I2307)&lt;='Top 15'!$H$5,LEN(INDEX('Staff Review'!$H$8:$H$507,I2307))&gt;0),"Yes","No"))</x:f>
        <x:v>No</x:v>
      </x:c>
      <x:c r="AJ2307" s="1" t="str">
        <x:f>IF(I2307=0,"No",IF(COUNT(INDEX('Staff Review'!$F$8:$F$507,I2307))&lt;&gt;1,"No",IF(AND(INDEX('Staff Review'!$F$8:$F$507,I2307)&gt;=0,MOD(INDEX('Staff Review'!$F$8:$F$507,I2307),1)=0,COUNT(INDEX('Staff Review'!$G$8:$G$507,I2307))=1,INDEX('Staff Review'!$G$8:$G$507,I2307)&gt;0,INDEX('Staff Review'!$G$8:$G$507,I2307)&lt;='Top 15'!$E$5,'Top 15'!$E$5-INDEX('Staff Review'!$G$8:$G$507,I2307)&lt;='Top 15'!$H$5,LEN(INDEX('Staff Review'!$H$8:$H$507,I2307))&gt;0),"Yes","No")))</x:f>
        <x:v>No</x:v>
      </x:c>
      <x:c r="AK2307" s="1" t="n">
        <x:f>IF(A2307="",0,COUNTIFS($A$2:$A$501,A2307))</x:f>
        <x:v>1</x:v>
      </x:c>
      <x:c r="AL2307" s="1" t="n">
        <x:f>IF(V2307="Candidate",1,0)</x:f>
        <x:v>1</x:v>
      </x:c>
      <x:c r="AM2307" s="1" t="n">
        <x:f>IF(A2307="",0,VALUE(A2307))</x:f>
        <x:v>7110</x:v>
      </x:c>
      <x:c r="AN2307" s="1" t="n">
        <x:f>IF(OR(A2307="",COUNTIFS($T$41:$T$540,A2307)&lt;&gt;1),0,MATCH(A2307,$T$41:$T$540,0))</x:f>
        <x:v>257</x:v>
      </x:c>
      <x:c r="AO2307" t="n">
        <x:f>IF(ISNUMBER(W2307),W2307,10000+AM2307)</x:f>
        <x:v>151</x:v>
      </x:c>
    </x:row>
    <x:row r="2308" ht="22" customHeight="1">
      <x:c r="A2308" s="1" t="str">
        <x:f>IF(A259="","",A259)</x:f>
        <x:v>7120</x:v>
      </x:c>
      <x:c r="B2308" s="1" t="str">
        <x:f>IF(A2308="","",B259)</x:f>
        <x:v>Samuel Fels High School</x:v>
      </x:c>
      <x:c r="C2308" s="1" t="str">
        <x:f>IF(A2308="","",C259)</x:f>
        <x:v>District</x:v>
      </x:c>
      <x:c r="D2308" s="1" t="str">
        <x:f>IF(A2308="","",E259)</x:f>
        <x:v>High</x:v>
      </x:c>
      <x:c r="E2308" s="1" t="str">
        <x:f>IF(A2308="","",H259)</x:f>
        <x:v>19124</x:v>
      </x:c>
      <x:c r="F2308" s="1" t="n">
        <x:f>IF(ISNUMBER(K259),K259,"")</x:f>
        <x:v>1228</x:v>
      </x:c>
      <x:c r="G2308" s="1" t="n">
        <x:f>IF(ISNUMBER(L259),L259,"")</x:f>
        <x:v>0.7796</x:v>
      </x:c>
      <x:c r="H2308" s="1" t="str">
        <x:f>IF(A2308="","",IF(AND(UPPER(G259)="PHILADELPHIA",OR(C2308="District",AND(C2308="Charter",D259="Yes"))),"Yes","No"))</x:f>
        <x:v>Yes</x:v>
      </x:c>
      <x:c r="I2308" s="1" t="n">
        <x:f>IF(OR(A2308="",COUNTIFS('Staff Review'!$A$8:$A$507,A2308)&lt;&gt;1),0,MATCH(A2308,'Staff Review'!$A$8:$A$507,0))</x:f>
        <x:v>261</x:v>
      </x:c>
      <x:c r="J2308" s="1" t="str">
        <x:f>IF(I2308=0,"No",IF(INDEX('Staff Review'!$C$8:$C$507,I2308)="Yes","Yes","No"))</x:f>
        <x:v>No</x:v>
      </x:c>
      <x:c r="K2308" s="1" t="n">
        <x:f>IF(AI2308="Yes",INDEX('Staff Review'!$D$8:$D$507,I2308),IF(AB2308=0,"",IF(COUNT(INDEX($C$1531:$C$2030,AB2308))=1,INDEX($C$1531:$C$2030,AB2308),"")))</x:f>
        <x:v>0.4469722876802889</x:v>
      </x:c>
      <x:c r="L2308" s="1" t="n">
        <x:f>IF(AJ2308="Yes",INDEX('Staff Review'!$F$8:$F$507,I2308),IF(AB2308=0,"",IF(COUNT(INDEX($G$1531:$G$2030,AB2308))=1,INDEX($G$1531:$G$2030,AB2308),"")))</x:f>
        <x:v>6</x:v>
      </x:c>
      <x:c r="M2308" s="1" t="str">
        <x:f>IF(A2308="","",IF(AI2308="Yes","Verified","Listed"))</x:f>
        <x:v>Listed</x:v>
      </x:c>
      <x:c r="N2308" s="1" t="str">
        <x:f>IF(A2308="","",IF(AJ2308="Yes","Verified","Listed"))</x:f>
        <x:v>Listed</x:v>
      </x:c>
      <x:c r="O2308" s="1" t="n">
        <x:f>IF(AND(ISNUMBER(G2308),G2308&gt;=0,G2308&lt;=1),IF(G2308&gt;=0.9,30,IF(G2308&gt;=0.8,25,IF(G2308&gt;=0.7,20,IF(G2308&gt;=0.6,15,IF(G2308&gt;=0.5,10,IF(G2308&gt;=0.4,5,0)))))),"")</x:f>
        <x:v>20</x:v>
      </x:c>
      <x:c r="P2308" s="1" t="n">
        <x:f>IF(ISNUMBER(K2308),IF(K2308&lt;0,"",IF(K2308&gt;1,25,IF(K2308&gt;=0.75,20,IF(K2308&gt;=0.5,15,IF(K2308&gt;=0.25,10,5))))),"")</x:f>
        <x:v>10</x:v>
      </x:c>
      <x:c r="Q2308" s="1" t="n">
        <x:f>IF(NOT(ISNUMBER(L2308)),"",IF(AND(L2308&gt;=0,MOD(L2308,1)=0),MAX(0,25-5*L2308),""))</x:f>
        <x:v>0</x:v>
      </x:c>
      <x:c r="R2308" s="1" t="n">
        <x:f>IF(NOT(ISNUMBER(F2308)),"",IF(AND(F2308&gt;0,MOD(F2308,1)=0),IF(F2308&gt;=700,5,IF(F2308&gt;=500,4,IF(F2308&gt;=350,3,IF(F2308&gt;=200,2,1)))),""))</x:f>
        <x:v>5</x:v>
      </x:c>
      <x:c r="S2308" s="1" t="n">
        <x:f>IF(COUNT(O2308:R2308)=4,SUM(O2308:R2308),"")</x:f>
        <x:v>35</x:v>
      </x:c>
      <x:c r="T2308" s="1" t="n">
        <x:f>IF(OR(COUNT(O2308:R2308)&lt;&gt;4,COUNT('Top 15'!$B$35:$E$35)&lt;&gt;4,MIN('Top 15'!$B$35:$E$35)&lt;0,SUM('Top 15'!$B$35:$E$35)&lt;=0),"",ROUND(85*(O2308/30*'Top 15'!$B$35+P2308/25*'Top 15'!$C$35+Q2308/25*'Top 15'!$D$35+R2308/5*'Top 15'!$E$35)/SUM('Top 15'!$B$35:$E$35),6))</x:f>
        <x:v>35</x:v>
      </x:c>
      <x:c r="U2308" s="1" t="str">
        <x:f>IF(A2308="","",IF(AND(M2308="Verified",N2308="Verified"),"Verified",IF(AND(M2308="Listed",N2308="Listed"),"Listed","Mixed")))</x:f>
        <x:v>Listed</x:v>
      </x:c>
      <x:c r="V2308" s="1" t="str">
        <x:f>IF(A2308="","",IF(AK2308&lt;&gt;1,"Duplicate source ID",IF(COUNTIFS('Staff Review'!$A$8:$A$507,A2308)&gt;1,"Duplicate review ID",IF(H2308&lt;&gt;"Yes","Outside scope",IF(J2308="Yes","Already served",IF(NOT(ISNUMBER(T2308)),"Missing data","Candidate"))))))</x:f>
        <x:v>Candidate</x:v>
      </x:c>
      <x:c r="W2308" s="1" t="n">
        <x:f>IF(AL2308=0,"",1+COUNTIFS($AL$2051:$AL$2550,1,$T$2051:$T$2550,"&gt;"&amp;T2308)+COUNTIFS($AL$2051:$AL$2550,1,$T$2051:$T$2550,T2308,$G$2051:$G$2550,"&gt;"&amp;G2308)+COUNTIFS($AL$2051:$AL$2550,1,$T$2051:$T$2550,T2308,$G$2051:$G$2550,G2308,$F$2051:$F$2550,"&gt;"&amp;F2308)+COUNTIFS($AL$2051:$AL$2550,1,$T$2051:$T$2550,T2308,$G$2051:$G$2550,G2308,$F$2051:$F$2550,F2308,$AM$2051:$AM$2550,"&lt;"&amp;AM2308))</x:f>
        <x:v>213</x:v>
      </x:c>
      <x:c r="X2308" s="1" t="n">
        <x:f>IF(AL2308=0,"",1+COUNTIFS($AL$2051:$AL$2550,1,$T$2051:$T$2550,"&gt;"&amp;T2308))</x:f>
        <x:v>210</x:v>
      </x:c>
      <x:c r="Y2308" s="1" t="n">
        <x:f>IF(AND(H2308="Yes",OR(LEN('School Search'!$B$5)=0,ISNUMBER(SEARCH('School Search'!$B$5,B2308&amp;" "&amp;E2308&amp;" "&amp;A2308))),OR('School Search'!$D$5="All",C2308='School Search'!$D$5),OR('School Search'!$G$5="All eligible",AND('School Search'!$G$5="Not marked served",J2308&lt;&gt;"Yes"),AND('School Search'!$G$5="Missing data",V2308="Missing data"),AND('School Search'!$G$5="Marked served",J2308="Yes"))),1,0)</x:f>
        <x:v>1</x:v>
      </x:c>
      <x:c r="Z2308" s="1" t="n">
        <x:f>IF(Y2308=0,"",COUNTIFS($Y$2051:$Y$2550,1,$AO$2051:$AO$2550,"&lt;"&amp;AO2308)+COUNTIFS($Y$2051:Y2308,1,$AO$2051:AO2308,AO2308))</x:f>
        <x:v>213</x:v>
      </x:c>
      <x:c r="AA2308" s="1" t="str">
        <x:f>IF(NOT(ISNUMBER(S2308)),"Missing demographic or access input",TEXT(G2308,"0%")&amp;" economic need; "&amp;TEXT(K2308,"0.00")&amp;" mi fresh access; "&amp;L2308&amp;" nearby resources")</x:f>
        <x:v>78% economic need; 0.45 mi fresh access; 6 nearby resources</x:v>
      </x:c>
      <x:c r="AB2308" s="1" t="n">
        <x:f>IF(OR(A2308="",COUNTIFS($A$1531:$A$2030,A2308)&lt;&gt;1),0,MATCH(A2308,$A$1531:$A$2030,0))</x:f>
        <x:v>258</x:v>
      </x:c>
      <x:c r="AC2308" s="1" t="str">
        <x:f>IF(AB2308=0,"",INDEX($E$1531:$E$2030,AB2308))</x:f>
        <x:v>No. 1 Ben City Supermarket Inc</x:v>
      </x:c>
      <x:c r="AD2308" s="1" t="str">
        <x:f>IF(AB2308=0,"",INDEX($F$1531:$F$2030,AB2308))</x:f>
        <x:v>5520 Whitaker Ave, Philadelphia, PA, 19124</x:v>
      </x:c>
      <x:c r="AE2308" s="1" t="str">
        <x:f>IF(A2308="","",F259)</x:f>
        <x:v>5500 LANGDON ST</x:v>
      </x:c>
      <x:c r="AF2308" s="1" t="n">
        <x:f>IF(ISNUMBER(I259),I259,"")</x:f>
        <x:v>40.03564646</x:v>
      </x:c>
      <x:c r="AG2308" s="1" t="n">
        <x:f>IF(ISNUMBER(J259),J259,"")</x:f>
        <x:v>-75.09109404</x:v>
      </x:c>
      <x:c r="AH2308" s="1" t="str">
        <x:f>IF(I2308=0,"Not contacted",IF(INDEX('Staff Review'!$J$8:$J$507,I2308)="","Not contacted",INDEX('Staff Review'!$J$8:$J$507,I2308)))</x:f>
        <x:v>Not contacted</x:v>
      </x:c>
      <x:c r="AI2308" s="1" t="str">
        <x:f>IF(I2308=0,"No",IF(AND(COUNT(INDEX('Staff Review'!$D$8:$D$507,I2308))=1,INDEX('Staff Review'!$D$8:$D$507,I2308)&gt;=0,COUNT(INDEX('Staff Review'!$E$8:$E$507,I2308))=1,INDEX('Staff Review'!$E$8:$E$507,I2308)&gt;0,INDEX('Staff Review'!$E$8:$E$507,I2308)&lt;='Top 15'!$E$5,'Top 15'!$E$5-INDEX('Staff Review'!$E$8:$E$507,I2308)&lt;='Top 15'!$H$5,LEN(INDEX('Staff Review'!$H$8:$H$507,I2308))&gt;0),"Yes","No"))</x:f>
        <x:v>No</x:v>
      </x:c>
      <x:c r="AJ2308" s="1" t="str">
        <x:f>IF(I2308=0,"No",IF(COUNT(INDEX('Staff Review'!$F$8:$F$507,I2308))&lt;&gt;1,"No",IF(AND(INDEX('Staff Review'!$F$8:$F$507,I2308)&gt;=0,MOD(INDEX('Staff Review'!$F$8:$F$507,I2308),1)=0,COUNT(INDEX('Staff Review'!$G$8:$G$507,I2308))=1,INDEX('Staff Review'!$G$8:$G$507,I2308)&gt;0,INDEX('Staff Review'!$G$8:$G$507,I2308)&lt;='Top 15'!$E$5,'Top 15'!$E$5-INDEX('Staff Review'!$G$8:$G$507,I2308)&lt;='Top 15'!$H$5,LEN(INDEX('Staff Review'!$H$8:$H$507,I2308))&gt;0),"Yes","No")))</x:f>
        <x:v>No</x:v>
      </x:c>
      <x:c r="AK2308" s="1" t="n">
        <x:f>IF(A2308="",0,COUNTIFS($A$2:$A$501,A2308))</x:f>
        <x:v>1</x:v>
      </x:c>
      <x:c r="AL2308" s="1" t="n">
        <x:f>IF(V2308="Candidate",1,0)</x:f>
        <x:v>1</x:v>
      </x:c>
      <x:c r="AM2308" s="1" t="n">
        <x:f>IF(A2308="",0,VALUE(A2308))</x:f>
        <x:v>7120</x:v>
      </x:c>
      <x:c r="AN2308" s="1" t="n">
        <x:f>IF(OR(A2308="",COUNTIFS($T$41:$T$540,A2308)&lt;&gt;1),0,MATCH(A2308,$T$41:$T$540,0))</x:f>
        <x:v>258</x:v>
      </x:c>
      <x:c r="AO2308" t="n">
        <x:f>IF(ISNUMBER(W2308),W2308,10000+AM2308)</x:f>
        <x:v>213</x:v>
      </x:c>
    </x:row>
    <x:row r="2309" ht="22" customHeight="1">
      <x:c r="A2309" s="1" t="str">
        <x:f>IF(A260="","",A260)</x:f>
        <x:v>7130</x:v>
      </x:c>
      <x:c r="B2309" s="1" t="str">
        <x:f>IF(A2309="","",B260)</x:f>
        <x:v>General Louis Wagner School</x:v>
      </x:c>
      <x:c r="C2309" s="1" t="str">
        <x:f>IF(A2309="","",C260)</x:f>
        <x:v>District</x:v>
      </x:c>
      <x:c r="D2309" s="1" t="str">
        <x:f>IF(A2309="","",E260)</x:f>
        <x:v>Middle</x:v>
      </x:c>
      <x:c r="E2309" s="1" t="str">
        <x:f>IF(A2309="","",H260)</x:f>
        <x:v>19126</x:v>
      </x:c>
      <x:c r="F2309" s="1" t="n">
        <x:f>IF(ISNUMBER(K260),K260,"")</x:f>
        <x:v>294</x:v>
      </x:c>
      <x:c r="G2309" s="1" t="n">
        <x:f>IF(ISNUMBER(L260),L260,"")</x:f>
        <x:v>0.8703</x:v>
      </x:c>
      <x:c r="H2309" s="1" t="str">
        <x:f>IF(A2309="","",IF(AND(UPPER(G260)="PHILADELPHIA",OR(C2309="District",AND(C2309="Charter",D260="Yes"))),"Yes","No"))</x:f>
        <x:v>Yes</x:v>
      </x:c>
      <x:c r="I2309" s="1" t="n">
        <x:f>IF(OR(A2309="",COUNTIFS('Staff Review'!$A$8:$A$507,A2309)&lt;&gt;1),0,MATCH(A2309,'Staff Review'!$A$8:$A$507,0))</x:f>
        <x:v>92</x:v>
      </x:c>
      <x:c r="J2309" s="1" t="str">
        <x:f>IF(I2309=0,"No",IF(INDEX('Staff Review'!$C$8:$C$507,I2309)="Yes","Yes","No"))</x:f>
        <x:v>No</x:v>
      </x:c>
      <x:c r="K2309" s="1" t="n">
        <x:f>IF(AI2309="Yes",INDEX('Staff Review'!$D$8:$D$507,I2309),IF(AB2309=0,"",IF(COUNT(INDEX($C$1531:$C$2030,AB2309))=1,INDEX($C$1531:$C$2030,AB2309),"")))</x:f>
        <x:v>0.41866095869762276</x:v>
      </x:c>
      <x:c r="L2309" s="1" t="n">
        <x:f>IF(AJ2309="Yes",INDEX('Staff Review'!$F$8:$F$507,I2309),IF(AB2309=0,"",IF(COUNT(INDEX($G$1531:$G$2030,AB2309))=1,INDEX($G$1531:$G$2030,AB2309),"")))</x:f>
        <x:v>11</x:v>
      </x:c>
      <x:c r="M2309" s="1" t="str">
        <x:f>IF(A2309="","",IF(AI2309="Yes","Verified","Listed"))</x:f>
        <x:v>Listed</x:v>
      </x:c>
      <x:c r="N2309" s="1" t="str">
        <x:f>IF(A2309="","",IF(AJ2309="Yes","Verified","Listed"))</x:f>
        <x:v>Listed</x:v>
      </x:c>
      <x:c r="O2309" s="1" t="n">
        <x:f>IF(AND(ISNUMBER(G2309),G2309&gt;=0,G2309&lt;=1),IF(G2309&gt;=0.9,30,IF(G2309&gt;=0.8,25,IF(G2309&gt;=0.7,20,IF(G2309&gt;=0.6,15,IF(G2309&gt;=0.5,10,IF(G2309&gt;=0.4,5,0)))))),"")</x:f>
        <x:v>25</x:v>
      </x:c>
      <x:c r="P2309" s="1" t="n">
        <x:f>IF(ISNUMBER(K2309),IF(K2309&lt;0,"",IF(K2309&gt;1,25,IF(K2309&gt;=0.75,20,IF(K2309&gt;=0.5,15,IF(K2309&gt;=0.25,10,5))))),"")</x:f>
        <x:v>10</x:v>
      </x:c>
      <x:c r="Q2309" s="1" t="n">
        <x:f>IF(NOT(ISNUMBER(L2309)),"",IF(AND(L2309&gt;=0,MOD(L2309,1)=0),MAX(0,25-5*L2309),""))</x:f>
        <x:v>0</x:v>
      </x:c>
      <x:c r="R2309" s="1" t="n">
        <x:f>IF(NOT(ISNUMBER(F2309)),"",IF(AND(F2309&gt;0,MOD(F2309,1)=0),IF(F2309&gt;=700,5,IF(F2309&gt;=500,4,IF(F2309&gt;=350,3,IF(F2309&gt;=200,2,1)))),""))</x:f>
        <x:v>2</x:v>
      </x:c>
      <x:c r="S2309" s="1" t="n">
        <x:f>IF(COUNT(O2309:R2309)=4,SUM(O2309:R2309),"")</x:f>
        <x:v>37</x:v>
      </x:c>
      <x:c r="T2309" s="1" t="n">
        <x:f>IF(OR(COUNT(O2309:R2309)&lt;&gt;4,COUNT('Top 15'!$B$35:$E$35)&lt;&gt;4,MIN('Top 15'!$B$35:$E$35)&lt;0,SUM('Top 15'!$B$35:$E$35)&lt;=0),"",ROUND(85*(O2309/30*'Top 15'!$B$35+P2309/25*'Top 15'!$C$35+Q2309/25*'Top 15'!$D$35+R2309/5*'Top 15'!$E$35)/SUM('Top 15'!$B$35:$E$35),6))</x:f>
        <x:v>37</x:v>
      </x:c>
      <x:c r="U2309" s="1" t="str">
        <x:f>IF(A2309="","",IF(AND(M2309="Verified",N2309="Verified"),"Verified",IF(AND(M2309="Listed",N2309="Listed"),"Listed","Mixed")))</x:f>
        <x:v>Listed</x:v>
      </x:c>
      <x:c r="V2309" s="1" t="str">
        <x:f>IF(A2309="","",IF(AK2309&lt;&gt;1,"Duplicate source ID",IF(COUNTIFS('Staff Review'!$A$8:$A$507,A2309)&gt;1,"Duplicate review ID",IF(H2309&lt;&gt;"Yes","Outside scope",IF(J2309="Yes","Already served",IF(NOT(ISNUMBER(T2309)),"Missing data","Candidate"))))))</x:f>
        <x:v>Candidate</x:v>
      </x:c>
      <x:c r="W2309" s="1" t="n">
        <x:f>IF(AL2309=0,"",1+COUNTIFS($AL$2051:$AL$2550,1,$T$2051:$T$2550,"&gt;"&amp;T2309)+COUNTIFS($AL$2051:$AL$2550,1,$T$2051:$T$2550,T2309,$G$2051:$G$2550,"&gt;"&amp;G2309)+COUNTIFS($AL$2051:$AL$2550,1,$T$2051:$T$2550,T2309,$G$2051:$G$2550,G2309,$F$2051:$F$2550,"&gt;"&amp;F2309)+COUNTIFS($AL$2051:$AL$2550,1,$T$2051:$T$2550,T2309,$G$2051:$G$2550,G2309,$F$2051:$F$2550,F2309,$AM$2051:$AM$2550,"&lt;"&amp;AM2309))</x:f>
        <x:v>193</x:v>
      </x:c>
      <x:c r="X2309" s="1" t="n">
        <x:f>IF(AL2309=0,"",1+COUNTIFS($AL$2051:$AL$2550,1,$T$2051:$T$2550,"&gt;"&amp;T2309))</x:f>
        <x:v>182</x:v>
      </x:c>
      <x:c r="Y2309" s="1" t="n">
        <x:f>IF(AND(H2309="Yes",OR(LEN('School Search'!$B$5)=0,ISNUMBER(SEARCH('School Search'!$B$5,B2309&amp;" "&amp;E2309&amp;" "&amp;A2309))),OR('School Search'!$D$5="All",C2309='School Search'!$D$5),OR('School Search'!$G$5="All eligible",AND('School Search'!$G$5="Not marked served",J2309&lt;&gt;"Yes"),AND('School Search'!$G$5="Missing data",V2309="Missing data"),AND('School Search'!$G$5="Marked served",J2309="Yes"))),1,0)</x:f>
        <x:v>1</x:v>
      </x:c>
      <x:c r="Z2309" s="1" t="n">
        <x:f>IF(Y2309=0,"",COUNTIFS($Y$2051:$Y$2550,1,$AO$2051:$AO$2550,"&lt;"&amp;AO2309)+COUNTIFS($Y$2051:Y2309,1,$AO$2051:AO2309,AO2309))</x:f>
        <x:v>193</x:v>
      </x:c>
      <x:c r="AA2309" s="1" t="str">
        <x:f>IF(NOT(ISNUMBER(S2309)),"Missing demographic or access input",TEXT(G2309,"0%")&amp;" economic need; "&amp;TEXT(K2309,"0.00")&amp;" mi fresh access; "&amp;L2309&amp;" nearby resources")</x:f>
        <x:v>87% economic need; 0.42 mi fresh access; 11 nearby resources</x:v>
      </x:c>
      <x:c r="AB2309" s="1" t="n">
        <x:f>IF(OR(A2309="",COUNTIFS($A$1531:$A$2030,A2309)&lt;&gt;1),0,MATCH(A2309,$A$1531:$A$2030,0))</x:f>
        <x:v>259</x:v>
      </x:c>
      <x:c r="AC2309" s="1" t="str">
        <x:f>IF(AB2309=0,"",INDEX($E$1531:$E$2030,AB2309))</x:f>
        <x:v>ALDI 60011 60011</x:v>
      </x:c>
      <x:c r="AD2309" s="1" t="str">
        <x:f>IF(AB2309=0,"",INDEX($F$1531:$F$2030,AB2309))</x:f>
        <x:v>6119 N Broad St, Philadelphia, PA, 19141</x:v>
      </x:c>
      <x:c r="AE2309" s="1" t="str">
        <x:f>IF(A2309="","",F260)</x:f>
        <x:v>1701 W CHELTEN AVE</x:v>
      </x:c>
      <x:c r="AF2309" s="1" t="n">
        <x:f>IF(ISNUMBER(I260),I260,"")</x:f>
        <x:v>40.05174748</x:v>
      </x:c>
      <x:c r="AG2309" s="1" t="n">
        <x:f>IF(ISNUMBER(J260),J260,"")</x:f>
        <x:v>-75.14767962</x:v>
      </x:c>
      <x:c r="AH2309" s="1" t="str">
        <x:f>IF(I2309=0,"Not contacted",IF(INDEX('Staff Review'!$J$8:$J$507,I2309)="","Not contacted",INDEX('Staff Review'!$J$8:$J$507,I2309)))</x:f>
        <x:v>Not contacted</x:v>
      </x:c>
      <x:c r="AI2309" s="1" t="str">
        <x:f>IF(I2309=0,"No",IF(AND(COUNT(INDEX('Staff Review'!$D$8:$D$507,I2309))=1,INDEX('Staff Review'!$D$8:$D$507,I2309)&gt;=0,COUNT(INDEX('Staff Review'!$E$8:$E$507,I2309))=1,INDEX('Staff Review'!$E$8:$E$507,I2309)&gt;0,INDEX('Staff Review'!$E$8:$E$507,I2309)&lt;='Top 15'!$E$5,'Top 15'!$E$5-INDEX('Staff Review'!$E$8:$E$507,I2309)&lt;='Top 15'!$H$5,LEN(INDEX('Staff Review'!$H$8:$H$507,I2309))&gt;0),"Yes","No"))</x:f>
        <x:v>No</x:v>
      </x:c>
      <x:c r="AJ2309" s="1" t="str">
        <x:f>IF(I2309=0,"No",IF(COUNT(INDEX('Staff Review'!$F$8:$F$507,I2309))&lt;&gt;1,"No",IF(AND(INDEX('Staff Review'!$F$8:$F$507,I2309)&gt;=0,MOD(INDEX('Staff Review'!$F$8:$F$507,I2309),1)=0,COUNT(INDEX('Staff Review'!$G$8:$G$507,I2309))=1,INDEX('Staff Review'!$G$8:$G$507,I2309)&gt;0,INDEX('Staff Review'!$G$8:$G$507,I2309)&lt;='Top 15'!$E$5,'Top 15'!$E$5-INDEX('Staff Review'!$G$8:$G$507,I2309)&lt;='Top 15'!$H$5,LEN(INDEX('Staff Review'!$H$8:$H$507,I2309))&gt;0),"Yes","No")))</x:f>
        <x:v>No</x:v>
      </x:c>
      <x:c r="AK2309" s="1" t="n">
        <x:f>IF(A2309="",0,COUNTIFS($A$2:$A$501,A2309))</x:f>
        <x:v>1</x:v>
      </x:c>
      <x:c r="AL2309" s="1" t="n">
        <x:f>IF(V2309="Candidate",1,0)</x:f>
        <x:v>1</x:v>
      </x:c>
      <x:c r="AM2309" s="1" t="n">
        <x:f>IF(A2309="",0,VALUE(A2309))</x:f>
        <x:v>7130</x:v>
      </x:c>
      <x:c r="AN2309" s="1" t="n">
        <x:f>IF(OR(A2309="",COUNTIFS($T$41:$T$540,A2309)&lt;&gt;1),0,MATCH(A2309,$T$41:$T$540,0))</x:f>
        <x:v>259</x:v>
      </x:c>
      <x:c r="AO2309" t="n">
        <x:f>IF(ISNUMBER(W2309),W2309,10000+AM2309)</x:f>
        <x:v>193</x:v>
      </x:c>
    </x:row>
    <x:row r="2310" ht="22" customHeight="1">
      <x:c r="A2310" s="1" t="str">
        <x:f>IF(A261="","",A261)</x:f>
        <x:v>7150</x:v>
      </x:c>
      <x:c r="B2310" s="1" t="str">
        <x:f>IF(A2310="","",B261)</x:f>
        <x:v>Juniata Park Academy</x:v>
      </x:c>
      <x:c r="C2310" s="1" t="str">
        <x:f>IF(A2310="","",C261)</x:f>
        <x:v>District</x:v>
      </x:c>
      <x:c r="D2310" s="1" t="str">
        <x:f>IF(A2310="","",E261)</x:f>
        <x:v>Elementary-Middle</x:v>
      </x:c>
      <x:c r="E2310" s="1" t="str">
        <x:f>IF(A2310="","",H261)</x:f>
        <x:v>19124</x:v>
      </x:c>
      <x:c r="F2310" s="1" t="n">
        <x:f>IF(ISNUMBER(K261),K261,"")</x:f>
        <x:v>784</x:v>
      </x:c>
      <x:c r="G2310" s="1" t="n">
        <x:f>IF(ISNUMBER(L261),L261,"")</x:f>
        <x:v>0.8799</x:v>
      </x:c>
      <x:c r="H2310" s="1" t="str">
        <x:f>IF(A2310="","",IF(AND(UPPER(G261)="PHILADELPHIA",OR(C2310="District",AND(C2310="Charter",D261="Yes"))),"Yes","No"))</x:f>
        <x:v>Yes</x:v>
      </x:c>
      <x:c r="I2310" s="1" t="n">
        <x:f>IF(OR(A2310="",COUNTIFS('Staff Review'!$A$8:$A$507,A2310)&lt;&gt;1),0,MATCH(A2310,'Staff Review'!$A$8:$A$507,0))</x:f>
        <x:v>154</x:v>
      </x:c>
      <x:c r="J2310" s="1" t="str">
        <x:f>IF(I2310=0,"No",IF(INDEX('Staff Review'!$C$8:$C$507,I2310)="Yes","Yes","No"))</x:f>
        <x:v>No</x:v>
      </x:c>
      <x:c r="K2310" s="1" t="n">
        <x:f>IF(AI2310="Yes",INDEX('Staff Review'!$D$8:$D$507,I2310),IF(AB2310=0,"",IF(COUNT(INDEX($C$1531:$C$2030,AB2310))=1,INDEX($C$1531:$C$2030,AB2310),"")))</x:f>
        <x:v>0.26634925426293254</x:v>
      </x:c>
      <x:c r="L2310" s="1" t="n">
        <x:f>IF(AJ2310="Yes",INDEX('Staff Review'!$F$8:$F$507,I2310),IF(AB2310=0,"",IF(COUNT(INDEX($G$1531:$G$2030,AB2310))=1,INDEX($G$1531:$G$2030,AB2310),"")))</x:f>
        <x:v>3</x:v>
      </x:c>
      <x:c r="M2310" s="1" t="str">
        <x:f>IF(A2310="","",IF(AI2310="Yes","Verified","Listed"))</x:f>
        <x:v>Listed</x:v>
      </x:c>
      <x:c r="N2310" s="1" t="str">
        <x:f>IF(A2310="","",IF(AJ2310="Yes","Verified","Listed"))</x:f>
        <x:v>Listed</x:v>
      </x:c>
      <x:c r="O2310" s="1" t="n">
        <x:f>IF(AND(ISNUMBER(G2310),G2310&gt;=0,G2310&lt;=1),IF(G2310&gt;=0.9,30,IF(G2310&gt;=0.8,25,IF(G2310&gt;=0.7,20,IF(G2310&gt;=0.6,15,IF(G2310&gt;=0.5,10,IF(G2310&gt;=0.4,5,0)))))),"")</x:f>
        <x:v>25</x:v>
      </x:c>
      <x:c r="P2310" s="1" t="n">
        <x:f>IF(ISNUMBER(K2310),IF(K2310&lt;0,"",IF(K2310&gt;1,25,IF(K2310&gt;=0.75,20,IF(K2310&gt;=0.5,15,IF(K2310&gt;=0.25,10,5))))),"")</x:f>
        <x:v>10</x:v>
      </x:c>
      <x:c r="Q2310" s="1" t="n">
        <x:f>IF(NOT(ISNUMBER(L2310)),"",IF(AND(L2310&gt;=0,MOD(L2310,1)=0),MAX(0,25-5*L2310),""))</x:f>
        <x:v>10</x:v>
      </x:c>
      <x:c r="R2310" s="1" t="n">
        <x:f>IF(NOT(ISNUMBER(F2310)),"",IF(AND(F2310&gt;0,MOD(F2310,1)=0),IF(F2310&gt;=700,5,IF(F2310&gt;=500,4,IF(F2310&gt;=350,3,IF(F2310&gt;=200,2,1)))),""))</x:f>
        <x:v>5</x:v>
      </x:c>
      <x:c r="S2310" s="1" t="n">
        <x:f>IF(COUNT(O2310:R2310)=4,SUM(O2310:R2310),"")</x:f>
        <x:v>50</x:v>
      </x:c>
      <x:c r="T2310" s="1" t="n">
        <x:f>IF(OR(COUNT(O2310:R2310)&lt;&gt;4,COUNT('Top 15'!$B$35:$E$35)&lt;&gt;4,MIN('Top 15'!$B$35:$E$35)&lt;0,SUM('Top 15'!$B$35:$E$35)&lt;=0),"",ROUND(85*(O2310/30*'Top 15'!$B$35+P2310/25*'Top 15'!$C$35+Q2310/25*'Top 15'!$D$35+R2310/5*'Top 15'!$E$35)/SUM('Top 15'!$B$35:$E$35),6))</x:f>
        <x:v>50</x:v>
      </x:c>
      <x:c r="U2310" s="1" t="str">
        <x:f>IF(A2310="","",IF(AND(M2310="Verified",N2310="Verified"),"Verified",IF(AND(M2310="Listed",N2310="Listed"),"Listed","Mixed")))</x:f>
        <x:v>Listed</x:v>
      </x:c>
      <x:c r="V2310" s="1" t="str">
        <x:f>IF(A2310="","",IF(AK2310&lt;&gt;1,"Duplicate source ID",IF(COUNTIFS('Staff Review'!$A$8:$A$507,A2310)&gt;1,"Duplicate review ID",IF(H2310&lt;&gt;"Yes","Outside scope",IF(J2310="Yes","Already served",IF(NOT(ISNUMBER(T2310)),"Missing data","Candidate"))))))</x:f>
        <x:v>Candidate</x:v>
      </x:c>
      <x:c r="W2310" s="1" t="n">
        <x:f>IF(AL2310=0,"",1+COUNTIFS($AL$2051:$AL$2550,1,$T$2051:$T$2550,"&gt;"&amp;T2310)+COUNTIFS($AL$2051:$AL$2550,1,$T$2051:$T$2550,T2310,$G$2051:$G$2550,"&gt;"&amp;G2310)+COUNTIFS($AL$2051:$AL$2550,1,$T$2051:$T$2550,T2310,$G$2051:$G$2550,G2310,$F$2051:$F$2550,"&gt;"&amp;F2310)+COUNTIFS($AL$2051:$AL$2550,1,$T$2051:$T$2550,T2310,$G$2051:$G$2550,G2310,$F$2051:$F$2550,F2310,$AM$2051:$AM$2550,"&lt;"&amp;AM2310))</x:f>
        <x:v>42</x:v>
      </x:c>
      <x:c r="X2310" s="1" t="n">
        <x:f>IF(AL2310=0,"",1+COUNTIFS($AL$2051:$AL$2550,1,$T$2051:$T$2550,"&gt;"&amp;T2310))</x:f>
        <x:v>39</x:v>
      </x:c>
      <x:c r="Y2310" s="1" t="n">
        <x:f>IF(AND(H2310="Yes",OR(LEN('School Search'!$B$5)=0,ISNUMBER(SEARCH('School Search'!$B$5,B2310&amp;" "&amp;E2310&amp;" "&amp;A2310))),OR('School Search'!$D$5="All",C2310='School Search'!$D$5),OR('School Search'!$G$5="All eligible",AND('School Search'!$G$5="Not marked served",J2310&lt;&gt;"Yes"),AND('School Search'!$G$5="Missing data",V2310="Missing data"),AND('School Search'!$G$5="Marked served",J2310="Yes"))),1,0)</x:f>
        <x:v>1</x:v>
      </x:c>
      <x:c r="Z2310" s="1" t="n">
        <x:f>IF(Y2310=0,"",COUNTIFS($Y$2051:$Y$2550,1,$AO$2051:$AO$2550,"&lt;"&amp;AO2310)+COUNTIFS($Y$2051:Y2310,1,$AO$2051:AO2310,AO2310))</x:f>
        <x:v>42</x:v>
      </x:c>
      <x:c r="AA2310" s="1" t="str">
        <x:f>IF(NOT(ISNUMBER(S2310)),"Missing demographic or access input",TEXT(G2310,"0%")&amp;" economic need; "&amp;TEXT(K2310,"0.00")&amp;" mi fresh access; "&amp;L2310&amp;" nearby resources")</x:f>
        <x:v>88% economic need; 0.27 mi fresh access; 3 nearby resources</x:v>
      </x:c>
      <x:c r="AB2310" s="1" t="n">
        <x:f>IF(OR(A2310="",COUNTIFS($A$1531:$A$2030,A2310)&lt;&gt;1),0,MATCH(A2310,$A$1531:$A$2030,0))</x:f>
        <x:v>260</x:v>
      </x:c>
      <x:c r="AC2310" s="1" t="str">
        <x:f>IF(AB2310=0,"",INDEX($E$1531:$E$2030,AB2310))</x:f>
        <x:v>Juniata Supermarket Inc. 2</x:v>
      </x:c>
      <x:c r="AD2310" s="1" t="str">
        <x:f>IF(AB2310=0,"",INDEX($F$1531:$F$2030,AB2310))</x:f>
        <x:v>901 E Luzerne St, Philadelphia, PA, 19124</x:v>
      </x:c>
      <x:c r="AE2310" s="1" t="str">
        <x:f>IF(A2310="","",F261)</x:f>
        <x:v>801 E HUNTING PARK AVE</x:v>
      </x:c>
      <x:c r="AF2310" s="1" t="n">
        <x:f>IF(ISNUMBER(I261),I261,"")</x:f>
        <x:v>40.01284122</x:v>
      </x:c>
      <x:c r="AG2310" s="1" t="n">
        <x:f>IF(ISNUMBER(J261),J261,"")</x:f>
        <x:v>-75.11102921</x:v>
      </x:c>
      <x:c r="AH2310" s="1" t="str">
        <x:f>IF(I2310=0,"Not contacted",IF(INDEX('Staff Review'!$J$8:$J$507,I2310)="","Not contacted",INDEX('Staff Review'!$J$8:$J$507,I2310)))</x:f>
        <x:v>Not contacted</x:v>
      </x:c>
      <x:c r="AI2310" s="1" t="str">
        <x:f>IF(I2310=0,"No",IF(AND(COUNT(INDEX('Staff Review'!$D$8:$D$507,I2310))=1,INDEX('Staff Review'!$D$8:$D$507,I2310)&gt;=0,COUNT(INDEX('Staff Review'!$E$8:$E$507,I2310))=1,INDEX('Staff Review'!$E$8:$E$507,I2310)&gt;0,INDEX('Staff Review'!$E$8:$E$507,I2310)&lt;='Top 15'!$E$5,'Top 15'!$E$5-INDEX('Staff Review'!$E$8:$E$507,I2310)&lt;='Top 15'!$H$5,LEN(INDEX('Staff Review'!$H$8:$H$507,I2310))&gt;0),"Yes","No"))</x:f>
        <x:v>No</x:v>
      </x:c>
      <x:c r="AJ2310" s="1" t="str">
        <x:f>IF(I2310=0,"No",IF(COUNT(INDEX('Staff Review'!$F$8:$F$507,I2310))&lt;&gt;1,"No",IF(AND(INDEX('Staff Review'!$F$8:$F$507,I2310)&gt;=0,MOD(INDEX('Staff Review'!$F$8:$F$507,I2310),1)=0,COUNT(INDEX('Staff Review'!$G$8:$G$507,I2310))=1,INDEX('Staff Review'!$G$8:$G$507,I2310)&gt;0,INDEX('Staff Review'!$G$8:$G$507,I2310)&lt;='Top 15'!$E$5,'Top 15'!$E$5-INDEX('Staff Review'!$G$8:$G$507,I2310)&lt;='Top 15'!$H$5,LEN(INDEX('Staff Review'!$H$8:$H$507,I2310))&gt;0),"Yes","No")))</x:f>
        <x:v>No</x:v>
      </x:c>
      <x:c r="AK2310" s="1" t="n">
        <x:f>IF(A2310="",0,COUNTIFS($A$2:$A$501,A2310))</x:f>
        <x:v>1</x:v>
      </x:c>
      <x:c r="AL2310" s="1" t="n">
        <x:f>IF(V2310="Candidate",1,0)</x:f>
        <x:v>1</x:v>
      </x:c>
      <x:c r="AM2310" s="1" t="n">
        <x:f>IF(A2310="",0,VALUE(A2310))</x:f>
        <x:v>7150</x:v>
      </x:c>
      <x:c r="AN2310" s="1" t="n">
        <x:f>IF(OR(A2310="",COUNTIFS($T$41:$T$540,A2310)&lt;&gt;1),0,MATCH(A2310,$T$41:$T$540,0))</x:f>
        <x:v>260</x:v>
      </x:c>
      <x:c r="AO2310" t="n">
        <x:f>IF(ISNUMBER(W2310),W2310,10000+AM2310)</x:f>
        <x:v>42</x:v>
      </x:c>
    </x:row>
    <x:row r="2311" ht="22" customHeight="1">
      <x:c r="A2311" s="1" t="str">
        <x:f>IF(A262="","",A262)</x:f>
        <x:v>7200</x:v>
      </x:c>
      <x:c r="B2311" s="1" t="str">
        <x:f>IF(A2311="","",B262)</x:f>
        <x:v>Clara Barton School</x:v>
      </x:c>
      <x:c r="C2311" s="1" t="str">
        <x:f>IF(A2311="","",C262)</x:f>
        <x:v>District</x:v>
      </x:c>
      <x:c r="D2311" s="1" t="str">
        <x:f>IF(A2311="","",E262)</x:f>
        <x:v>Elementary</x:v>
      </x:c>
      <x:c r="E2311" s="1" t="str">
        <x:f>IF(A2311="","",H262)</x:f>
        <x:v>19120</x:v>
      </x:c>
      <x:c r="F2311" s="1" t="n">
        <x:f>IF(ISNUMBER(K262),K262,"")</x:f>
        <x:v>423</x:v>
      </x:c>
      <x:c r="G2311" s="1" t="n">
        <x:f>IF(ISNUMBER(L262),L262,"")</x:f>
        <x:v>0.8297</x:v>
      </x:c>
      <x:c r="H2311" s="1" t="str">
        <x:f>IF(A2311="","",IF(AND(UPPER(G262)="PHILADELPHIA",OR(C2311="District",AND(C2311="Charter",D262="Yes"))),"Yes","No"))</x:f>
        <x:v>Yes</x:v>
      </x:c>
      <x:c r="I2311" s="1" t="n">
        <x:f>IF(OR(A2311="",COUNTIFS('Staff Review'!$A$8:$A$507,A2311)&lt;&gt;1),0,MATCH(A2311,'Staff Review'!$A$8:$A$507,0))</x:f>
        <x:v>43</x:v>
      </x:c>
      <x:c r="J2311" s="1" t="str">
        <x:f>IF(I2311=0,"No",IF(INDEX('Staff Review'!$C$8:$C$507,I2311)="Yes","Yes","No"))</x:f>
        <x:v>No</x:v>
      </x:c>
      <x:c r="K2311" s="1" t="n">
        <x:f>IF(AI2311="Yes",INDEX('Staff Review'!$D$8:$D$507,I2311),IF(AB2311=0,"",IF(COUNT(INDEX($C$1531:$C$2030,AB2311))=1,INDEX($C$1531:$C$2030,AB2311),"")))</x:f>
        <x:v>0.14073385908456693</x:v>
      </x:c>
      <x:c r="L2311" s="1" t="n">
        <x:f>IF(AJ2311="Yes",INDEX('Staff Review'!$F$8:$F$507,I2311),IF(AB2311=0,"",IF(COUNT(INDEX($G$1531:$G$2030,AB2311))=1,INDEX($G$1531:$G$2030,AB2311),"")))</x:f>
        <x:v>7</x:v>
      </x:c>
      <x:c r="M2311" s="1" t="str">
        <x:f>IF(A2311="","",IF(AI2311="Yes","Verified","Listed"))</x:f>
        <x:v>Listed</x:v>
      </x:c>
      <x:c r="N2311" s="1" t="str">
        <x:f>IF(A2311="","",IF(AJ2311="Yes","Verified","Listed"))</x:f>
        <x:v>Listed</x:v>
      </x:c>
      <x:c r="O2311" s="1" t="n">
        <x:f>IF(AND(ISNUMBER(G2311),G2311&gt;=0,G2311&lt;=1),IF(G2311&gt;=0.9,30,IF(G2311&gt;=0.8,25,IF(G2311&gt;=0.7,20,IF(G2311&gt;=0.6,15,IF(G2311&gt;=0.5,10,IF(G2311&gt;=0.4,5,0)))))),"")</x:f>
        <x:v>25</x:v>
      </x:c>
      <x:c r="P2311" s="1" t="n">
        <x:f>IF(ISNUMBER(K2311),IF(K2311&lt;0,"",IF(K2311&gt;1,25,IF(K2311&gt;=0.75,20,IF(K2311&gt;=0.5,15,IF(K2311&gt;=0.25,10,5))))),"")</x:f>
        <x:v>5</x:v>
      </x:c>
      <x:c r="Q2311" s="1" t="n">
        <x:f>IF(NOT(ISNUMBER(L2311)),"",IF(AND(L2311&gt;=0,MOD(L2311,1)=0),MAX(0,25-5*L2311),""))</x:f>
        <x:v>0</x:v>
      </x:c>
      <x:c r="R2311" s="1" t="n">
        <x:f>IF(NOT(ISNUMBER(F2311)),"",IF(AND(F2311&gt;0,MOD(F2311,1)=0),IF(F2311&gt;=700,5,IF(F2311&gt;=500,4,IF(F2311&gt;=350,3,IF(F2311&gt;=200,2,1)))),""))</x:f>
        <x:v>3</x:v>
      </x:c>
      <x:c r="S2311" s="1" t="n">
        <x:f>IF(COUNT(O2311:R2311)=4,SUM(O2311:R2311),"")</x:f>
        <x:v>33</x:v>
      </x:c>
      <x:c r="T2311" s="1" t="n">
        <x:f>IF(OR(COUNT(O2311:R2311)&lt;&gt;4,COUNT('Top 15'!$B$35:$E$35)&lt;&gt;4,MIN('Top 15'!$B$35:$E$35)&lt;0,SUM('Top 15'!$B$35:$E$35)&lt;=0),"",ROUND(85*(O2311/30*'Top 15'!$B$35+P2311/25*'Top 15'!$C$35+Q2311/25*'Top 15'!$D$35+R2311/5*'Top 15'!$E$35)/SUM('Top 15'!$B$35:$E$35),6))</x:f>
        <x:v>33</x:v>
      </x:c>
      <x:c r="U2311" s="1" t="str">
        <x:f>IF(A2311="","",IF(AND(M2311="Verified",N2311="Verified"),"Verified",IF(AND(M2311="Listed",N2311="Listed"),"Listed","Mixed")))</x:f>
        <x:v>Listed</x:v>
      </x:c>
      <x:c r="V2311" s="1" t="str">
        <x:f>IF(A2311="","",IF(AK2311&lt;&gt;1,"Duplicate source ID",IF(COUNTIFS('Staff Review'!$A$8:$A$507,A2311)&gt;1,"Duplicate review ID",IF(H2311&lt;&gt;"Yes","Outside scope",IF(J2311="Yes","Already served",IF(NOT(ISNUMBER(T2311)),"Missing data","Candidate"))))))</x:f>
        <x:v>Candidate</x:v>
      </x:c>
      <x:c r="W2311" s="1" t="n">
        <x:f>IF(AL2311=0,"",1+COUNTIFS($AL$2051:$AL$2550,1,$T$2051:$T$2550,"&gt;"&amp;T2311)+COUNTIFS($AL$2051:$AL$2550,1,$T$2051:$T$2550,T2311,$G$2051:$G$2550,"&gt;"&amp;G2311)+COUNTIFS($AL$2051:$AL$2550,1,$T$2051:$T$2550,T2311,$G$2051:$G$2550,G2311,$F$2051:$F$2550,"&gt;"&amp;F2311)+COUNTIFS($AL$2051:$AL$2550,1,$T$2051:$T$2550,T2311,$G$2051:$G$2550,G2311,$F$2051:$F$2550,F2311,$AM$2051:$AM$2550,"&lt;"&amp;AM2311))</x:f>
        <x:v>237</x:v>
      </x:c>
      <x:c r="X2311" s="1" t="n">
        <x:f>IF(AL2311=0,"",1+COUNTIFS($AL$2051:$AL$2550,1,$T$2051:$T$2550,"&gt;"&amp;T2311))</x:f>
        <x:v>233</x:v>
      </x:c>
      <x:c r="Y2311" s="1" t="n">
        <x:f>IF(AND(H2311="Yes",OR(LEN('School Search'!$B$5)=0,ISNUMBER(SEARCH('School Search'!$B$5,B2311&amp;" "&amp;E2311&amp;" "&amp;A2311))),OR('School Search'!$D$5="All",C2311='School Search'!$D$5),OR('School Search'!$G$5="All eligible",AND('School Search'!$G$5="Not marked served",J2311&lt;&gt;"Yes"),AND('School Search'!$G$5="Missing data",V2311="Missing data"),AND('School Search'!$G$5="Marked served",J2311="Yes"))),1,0)</x:f>
        <x:v>1</x:v>
      </x:c>
      <x:c r="Z2311" s="1" t="n">
        <x:f>IF(Y2311=0,"",COUNTIFS($Y$2051:$Y$2550,1,$AO$2051:$AO$2550,"&lt;"&amp;AO2311)+COUNTIFS($Y$2051:Y2311,1,$AO$2051:AO2311,AO2311))</x:f>
        <x:v>237</x:v>
      </x:c>
      <x:c r="AA2311" s="1" t="str">
        <x:f>IF(NOT(ISNUMBER(S2311)),"Missing demographic or access input",TEXT(G2311,"0%")&amp;" economic need; "&amp;TEXT(K2311,"0.00")&amp;" mi fresh access; "&amp;L2311&amp;" nearby resources")</x:f>
        <x:v>83% economic need; 0.14 mi fresh access; 7 nearby resources</x:v>
      </x:c>
      <x:c r="AB2311" s="1" t="n">
        <x:f>IF(OR(A2311="",COUNTIFS($A$1531:$A$2030,A2311)&lt;&gt;1),0,MATCH(A2311,$A$1531:$A$2030,0))</x:f>
        <x:v>261</x:v>
      </x:c>
      <x:c r="AC2311" s="1" t="str">
        <x:f>IF(AB2311=0,"",INDEX($E$1531:$E$2030,AB2311))</x:f>
        <x:v>Compare &amp; Save Supermarket</x:v>
      </x:c>
      <x:c r="AD2311" s="1" t="str">
        <x:f>IF(AB2311=0,"",INDEX($F$1531:$F$2030,AB2311))</x:f>
        <x:v>405 E Wyoming Ave, Philadelphia, PA, 19120</x:v>
      </x:c>
      <x:c r="AE2311" s="1" t="str">
        <x:f>IF(A2311="","",F262)</x:f>
        <x:v>4600 ROSEHILL ST</x:v>
      </x:c>
      <x:c r="AF2311" s="1" t="n">
        <x:f>IF(ISNUMBER(I262),I262,"")</x:f>
        <x:v>40.0193401</x:v>
      </x:c>
      <x:c r="AG2311" s="1" t="n">
        <x:f>IF(ISNUMBER(J262),J262,"")</x:f>
        <x:v>-75.11950188</x:v>
      </x:c>
      <x:c r="AH2311" s="1" t="str">
        <x:f>IF(I2311=0,"Not contacted",IF(INDEX('Staff Review'!$J$8:$J$507,I2311)="","Not contacted",INDEX('Staff Review'!$J$8:$J$507,I2311)))</x:f>
        <x:v>Not contacted</x:v>
      </x:c>
      <x:c r="AI2311" s="1" t="str">
        <x:f>IF(I2311=0,"No",IF(AND(COUNT(INDEX('Staff Review'!$D$8:$D$507,I2311))=1,INDEX('Staff Review'!$D$8:$D$507,I2311)&gt;=0,COUNT(INDEX('Staff Review'!$E$8:$E$507,I2311))=1,INDEX('Staff Review'!$E$8:$E$507,I2311)&gt;0,INDEX('Staff Review'!$E$8:$E$507,I2311)&lt;='Top 15'!$E$5,'Top 15'!$E$5-INDEX('Staff Review'!$E$8:$E$507,I2311)&lt;='Top 15'!$H$5,LEN(INDEX('Staff Review'!$H$8:$H$507,I2311))&gt;0),"Yes","No"))</x:f>
        <x:v>No</x:v>
      </x:c>
      <x:c r="AJ2311" s="1" t="str">
        <x:f>IF(I2311=0,"No",IF(COUNT(INDEX('Staff Review'!$F$8:$F$507,I2311))&lt;&gt;1,"No",IF(AND(INDEX('Staff Review'!$F$8:$F$507,I2311)&gt;=0,MOD(INDEX('Staff Review'!$F$8:$F$507,I2311),1)=0,COUNT(INDEX('Staff Review'!$G$8:$G$507,I2311))=1,INDEX('Staff Review'!$G$8:$G$507,I2311)&gt;0,INDEX('Staff Review'!$G$8:$G$507,I2311)&lt;='Top 15'!$E$5,'Top 15'!$E$5-INDEX('Staff Review'!$G$8:$G$507,I2311)&lt;='Top 15'!$H$5,LEN(INDEX('Staff Review'!$H$8:$H$507,I2311))&gt;0),"Yes","No")))</x:f>
        <x:v>No</x:v>
      </x:c>
      <x:c r="AK2311" s="1" t="n">
        <x:f>IF(A2311="",0,COUNTIFS($A$2:$A$501,A2311))</x:f>
        <x:v>1</x:v>
      </x:c>
      <x:c r="AL2311" s="1" t="n">
        <x:f>IF(V2311="Candidate",1,0)</x:f>
        <x:v>1</x:v>
      </x:c>
      <x:c r="AM2311" s="1" t="n">
        <x:f>IF(A2311="",0,VALUE(A2311))</x:f>
        <x:v>7200</x:v>
      </x:c>
      <x:c r="AN2311" s="1" t="n">
        <x:f>IF(OR(A2311="",COUNTIFS($T$41:$T$540,A2311)&lt;&gt;1),0,MATCH(A2311,$T$41:$T$540,0))</x:f>
        <x:v>261</x:v>
      </x:c>
      <x:c r="AO2311" t="n">
        <x:f>IF(ISNUMBER(W2311),W2311,10000+AM2311)</x:f>
        <x:v>237</x:v>
      </x:c>
    </x:row>
    <x:row r="2312" ht="22" customHeight="1">
      <x:c r="A2312" s="1" t="str">
        <x:f>IF(A263="","",A263)</x:f>
        <x:v>7220</x:v>
      </x:c>
      <x:c r="B2312" s="1" t="str">
        <x:f>IF(A2312="","",B263)</x:f>
        <x:v>Laura H. Carnell School</x:v>
      </x:c>
      <x:c r="C2312" s="1" t="str">
        <x:f>IF(A2312="","",C263)</x:f>
        <x:v>District</x:v>
      </x:c>
      <x:c r="D2312" s="1" t="str">
        <x:f>IF(A2312="","",E263)</x:f>
        <x:v>Elementary</x:v>
      </x:c>
      <x:c r="E2312" s="1" t="str">
        <x:f>IF(A2312="","",H263)</x:f>
        <x:v>19111</x:v>
      </x:c>
      <x:c r="F2312" s="1" t="n">
        <x:f>IF(ISNUMBER(K263),K263,"")</x:f>
        <x:v>652</x:v>
      </x:c>
      <x:c r="G2312" s="1" t="n">
        <x:f>IF(ISNUMBER(L263),L263,"")</x:f>
        <x:v>0.7636</x:v>
      </x:c>
      <x:c r="H2312" s="1" t="str">
        <x:f>IF(A2312="","",IF(AND(UPPER(G263)="PHILADELPHIA",OR(C2312="District",AND(C2312="Charter",D263="Yes"))),"Yes","No"))</x:f>
        <x:v>Yes</x:v>
      </x:c>
      <x:c r="I2312" s="1" t="n">
        <x:f>IF(OR(A2312="",COUNTIFS('Staff Review'!$A$8:$A$507,A2312)&lt;&gt;1),0,MATCH(A2312,'Staff Review'!$A$8:$A$507,0))</x:f>
        <x:v>168</x:v>
      </x:c>
      <x:c r="J2312" s="1" t="str">
        <x:f>IF(I2312=0,"No",IF(INDEX('Staff Review'!$C$8:$C$507,I2312)="Yes","Yes","No"))</x:f>
        <x:v>No</x:v>
      </x:c>
      <x:c r="K2312" s="1" t="n">
        <x:f>IF(AI2312="Yes",INDEX('Staff Review'!$D$8:$D$507,I2312),IF(AB2312=0,"",IF(COUNT(INDEX($C$1531:$C$2030,AB2312))=1,INDEX($C$1531:$C$2030,AB2312),"")))</x:f>
        <x:v>0.38637813621413586</x:v>
      </x:c>
      <x:c r="L2312" s="1" t="n">
        <x:f>IF(AJ2312="Yes",INDEX('Staff Review'!$F$8:$F$507,I2312),IF(AB2312=0,"",IF(COUNT(INDEX($G$1531:$G$2030,AB2312))=1,INDEX($G$1531:$G$2030,AB2312),"")))</x:f>
        <x:v>4</x:v>
      </x:c>
      <x:c r="M2312" s="1" t="str">
        <x:f>IF(A2312="","",IF(AI2312="Yes","Verified","Listed"))</x:f>
        <x:v>Listed</x:v>
      </x:c>
      <x:c r="N2312" s="1" t="str">
        <x:f>IF(A2312="","",IF(AJ2312="Yes","Verified","Listed"))</x:f>
        <x:v>Listed</x:v>
      </x:c>
      <x:c r="O2312" s="1" t="n">
        <x:f>IF(AND(ISNUMBER(G2312),G2312&gt;=0,G2312&lt;=1),IF(G2312&gt;=0.9,30,IF(G2312&gt;=0.8,25,IF(G2312&gt;=0.7,20,IF(G2312&gt;=0.6,15,IF(G2312&gt;=0.5,10,IF(G2312&gt;=0.4,5,0)))))),"")</x:f>
        <x:v>20</x:v>
      </x:c>
      <x:c r="P2312" s="1" t="n">
        <x:f>IF(ISNUMBER(K2312),IF(K2312&lt;0,"",IF(K2312&gt;1,25,IF(K2312&gt;=0.75,20,IF(K2312&gt;=0.5,15,IF(K2312&gt;=0.25,10,5))))),"")</x:f>
        <x:v>10</x:v>
      </x:c>
      <x:c r="Q2312" s="1" t="n">
        <x:f>IF(NOT(ISNUMBER(L2312)),"",IF(AND(L2312&gt;=0,MOD(L2312,1)=0),MAX(0,25-5*L2312),""))</x:f>
        <x:v>5</x:v>
      </x:c>
      <x:c r="R2312" s="1" t="n">
        <x:f>IF(NOT(ISNUMBER(F2312)),"",IF(AND(F2312&gt;0,MOD(F2312,1)=0),IF(F2312&gt;=700,5,IF(F2312&gt;=500,4,IF(F2312&gt;=350,3,IF(F2312&gt;=200,2,1)))),""))</x:f>
        <x:v>4</x:v>
      </x:c>
      <x:c r="S2312" s="1" t="n">
        <x:f>IF(COUNT(O2312:R2312)=4,SUM(O2312:R2312),"")</x:f>
        <x:v>39</x:v>
      </x:c>
      <x:c r="T2312" s="1" t="n">
        <x:f>IF(OR(COUNT(O2312:R2312)&lt;&gt;4,COUNT('Top 15'!$B$35:$E$35)&lt;&gt;4,MIN('Top 15'!$B$35:$E$35)&lt;0,SUM('Top 15'!$B$35:$E$35)&lt;=0),"",ROUND(85*(O2312/30*'Top 15'!$B$35+P2312/25*'Top 15'!$C$35+Q2312/25*'Top 15'!$D$35+R2312/5*'Top 15'!$E$35)/SUM('Top 15'!$B$35:$E$35),6))</x:f>
        <x:v>39</x:v>
      </x:c>
      <x:c r="U2312" s="1" t="str">
        <x:f>IF(A2312="","",IF(AND(M2312="Verified",N2312="Verified"),"Verified",IF(AND(M2312="Listed",N2312="Listed"),"Listed","Mixed")))</x:f>
        <x:v>Listed</x:v>
      </x:c>
      <x:c r="V2312" s="1" t="str">
        <x:f>IF(A2312="","",IF(AK2312&lt;&gt;1,"Duplicate source ID",IF(COUNTIFS('Staff Review'!$A$8:$A$507,A2312)&gt;1,"Duplicate review ID",IF(H2312&lt;&gt;"Yes","Outside scope",IF(J2312="Yes","Already served",IF(NOT(ISNUMBER(T2312)),"Missing data","Candidate"))))))</x:f>
        <x:v>Candidate</x:v>
      </x:c>
      <x:c r="W2312" s="1" t="n">
        <x:f>IF(AL2312=0,"",1+COUNTIFS($AL$2051:$AL$2550,1,$T$2051:$T$2550,"&gt;"&amp;T2312)+COUNTIFS($AL$2051:$AL$2550,1,$T$2051:$T$2550,T2312,$G$2051:$G$2550,"&gt;"&amp;G2312)+COUNTIFS($AL$2051:$AL$2550,1,$T$2051:$T$2550,T2312,$G$2051:$G$2550,G2312,$F$2051:$F$2550,"&gt;"&amp;F2312)+COUNTIFS($AL$2051:$AL$2550,1,$T$2051:$T$2550,T2312,$G$2051:$G$2550,G2312,$F$2051:$F$2550,F2312,$AM$2051:$AM$2550,"&lt;"&amp;AM2312))</x:f>
        <x:v>164</x:v>
      </x:c>
      <x:c r="X2312" s="1" t="n">
        <x:f>IF(AL2312=0,"",1+COUNTIFS($AL$2051:$AL$2550,1,$T$2051:$T$2550,"&gt;"&amp;T2312))</x:f>
        <x:v>148</x:v>
      </x:c>
      <x:c r="Y2312" s="1" t="n">
        <x:f>IF(AND(H2312="Yes",OR(LEN('School Search'!$B$5)=0,ISNUMBER(SEARCH('School Search'!$B$5,B2312&amp;" "&amp;E2312&amp;" "&amp;A2312))),OR('School Search'!$D$5="All",C2312='School Search'!$D$5),OR('School Search'!$G$5="All eligible",AND('School Search'!$G$5="Not marked served",J2312&lt;&gt;"Yes"),AND('School Search'!$G$5="Missing data",V2312="Missing data"),AND('School Search'!$G$5="Marked served",J2312="Yes"))),1,0)</x:f>
        <x:v>1</x:v>
      </x:c>
      <x:c r="Z2312" s="1" t="n">
        <x:f>IF(Y2312=0,"",COUNTIFS($Y$2051:$Y$2550,1,$AO$2051:$AO$2550,"&lt;"&amp;AO2312)+COUNTIFS($Y$2051:Y2312,1,$AO$2051:AO2312,AO2312))</x:f>
        <x:v>164</x:v>
      </x:c>
      <x:c r="AA2312" s="1" t="str">
        <x:f>IF(NOT(ISNUMBER(S2312)),"Missing demographic or access input",TEXT(G2312,"0%")&amp;" economic need; "&amp;TEXT(K2312,"0.00")&amp;" mi fresh access; "&amp;L2312&amp;" nearby resources")</x:f>
        <x:v>76% economic need; 0.39 mi fresh access; 4 nearby resources</x:v>
      </x:c>
      <x:c r="AB2312" s="1" t="n">
        <x:f>IF(OR(A2312="",COUNTIFS($A$1531:$A$2030,A2312)&lt;&gt;1),0,MATCH(A2312,$A$1531:$A$2030,0))</x:f>
        <x:v>262</x:v>
      </x:c>
      <x:c r="AC2312" s="1" t="str">
        <x:f>IF(AB2312=0,"",INDEX($E$1531:$E$2030,AB2312))</x:f>
        <x:v>Save A Lot 60131</x:v>
      </x:c>
      <x:c r="AD2312" s="1" t="str">
        <x:f>IF(AB2312=0,"",INDEX($F$1531:$F$2030,AB2312))</x:f>
        <x:v>6412 Castor Ave, Philadelphia, PA, 19149</x:v>
      </x:c>
      <x:c r="AE2312" s="1" t="str">
        <x:f>IF(A2312="","",F263)</x:f>
        <x:v>1100 DEVEREAUX AVE</x:v>
      </x:c>
      <x:c r="AF2312" s="1" t="n">
        <x:f>IF(ISNUMBER(I263),I263,"")</x:f>
        <x:v>40.038957</x:v>
      </x:c>
      <x:c r="AG2312" s="1" t="n">
        <x:f>IF(ISNUMBER(J263),J263,"")</x:f>
        <x:v>-75.084142</x:v>
      </x:c>
      <x:c r="AH2312" s="1" t="str">
        <x:f>IF(I2312=0,"Not contacted",IF(INDEX('Staff Review'!$J$8:$J$507,I2312)="","Not contacted",INDEX('Staff Review'!$J$8:$J$507,I2312)))</x:f>
        <x:v>Not contacted</x:v>
      </x:c>
      <x:c r="AI2312" s="1" t="str">
        <x:f>IF(I2312=0,"No",IF(AND(COUNT(INDEX('Staff Review'!$D$8:$D$507,I2312))=1,INDEX('Staff Review'!$D$8:$D$507,I2312)&gt;=0,COUNT(INDEX('Staff Review'!$E$8:$E$507,I2312))=1,INDEX('Staff Review'!$E$8:$E$507,I2312)&gt;0,INDEX('Staff Review'!$E$8:$E$507,I2312)&lt;='Top 15'!$E$5,'Top 15'!$E$5-INDEX('Staff Review'!$E$8:$E$507,I2312)&lt;='Top 15'!$H$5,LEN(INDEX('Staff Review'!$H$8:$H$507,I2312))&gt;0),"Yes","No"))</x:f>
        <x:v>No</x:v>
      </x:c>
      <x:c r="AJ2312" s="1" t="str">
        <x:f>IF(I2312=0,"No",IF(COUNT(INDEX('Staff Review'!$F$8:$F$507,I2312))&lt;&gt;1,"No",IF(AND(INDEX('Staff Review'!$F$8:$F$507,I2312)&gt;=0,MOD(INDEX('Staff Review'!$F$8:$F$507,I2312),1)=0,COUNT(INDEX('Staff Review'!$G$8:$G$507,I2312))=1,INDEX('Staff Review'!$G$8:$G$507,I2312)&gt;0,INDEX('Staff Review'!$G$8:$G$507,I2312)&lt;='Top 15'!$E$5,'Top 15'!$E$5-INDEX('Staff Review'!$G$8:$G$507,I2312)&lt;='Top 15'!$H$5,LEN(INDEX('Staff Review'!$H$8:$H$507,I2312))&gt;0),"Yes","No")))</x:f>
        <x:v>No</x:v>
      </x:c>
      <x:c r="AK2312" s="1" t="n">
        <x:f>IF(A2312="",0,COUNTIFS($A$2:$A$501,A2312))</x:f>
        <x:v>1</x:v>
      </x:c>
      <x:c r="AL2312" s="1" t="n">
        <x:f>IF(V2312="Candidate",1,0)</x:f>
        <x:v>1</x:v>
      </x:c>
      <x:c r="AM2312" s="1" t="n">
        <x:f>IF(A2312="",0,VALUE(A2312))</x:f>
        <x:v>7220</x:v>
      </x:c>
      <x:c r="AN2312" s="1" t="n">
        <x:f>IF(OR(A2312="",COUNTIFS($T$41:$T$540,A2312)&lt;&gt;1),0,MATCH(A2312,$T$41:$T$540,0))</x:f>
        <x:v>262</x:v>
      </x:c>
      <x:c r="AO2312" t="n">
        <x:f>IF(ISNUMBER(W2312),W2312,10000+AM2312)</x:f>
        <x:v>164</x:v>
      </x:c>
    </x:row>
    <x:row r="2313" ht="22" customHeight="1">
      <x:c r="A2313" s="1" t="str">
        <x:f>IF(A264="","",A264)</x:f>
        <x:v>7260</x:v>
      </x:c>
      <x:c r="B2313" s="1" t="str">
        <x:f>IF(A2313="","",B264)</x:f>
        <x:v>Ellwood School</x:v>
      </x:c>
      <x:c r="C2313" s="1" t="str">
        <x:f>IF(A2313="","",C264)</x:f>
        <x:v>District</x:v>
      </x:c>
      <x:c r="D2313" s="1" t="str">
        <x:f>IF(A2313="","",E264)</x:f>
        <x:v>Elementary</x:v>
      </x:c>
      <x:c r="E2313" s="1" t="str">
        <x:f>IF(A2313="","",H264)</x:f>
        <x:v>19126</x:v>
      </x:c>
      <x:c r="F2313" s="1" t="n">
        <x:f>IF(ISNUMBER(K264),K264,"")</x:f>
        <x:v>252</x:v>
      </x:c>
      <x:c r="G2313" s="1" t="n">
        <x:f>IF(ISNUMBER(L264),L264,"")</x:f>
        <x:v>0.8007</x:v>
      </x:c>
      <x:c r="H2313" s="1" t="str">
        <x:f>IF(A2313="","",IF(AND(UPPER(G264)="PHILADELPHIA",OR(C2313="District",AND(C2313="Charter",D264="Yes"))),"Yes","No"))</x:f>
        <x:v>Yes</x:v>
      </x:c>
      <x:c r="I2313" s="1" t="n">
        <x:f>IF(OR(A2313="",COUNTIFS('Staff Review'!$A$8:$A$507,A2313)&lt;&gt;1),0,MATCH(A2313,'Staff Review'!$A$8:$A$507,0))</x:f>
        <x:v>63</x:v>
      </x:c>
      <x:c r="J2313" s="1" t="str">
        <x:f>IF(I2313=0,"No",IF(INDEX('Staff Review'!$C$8:$C$507,I2313)="Yes","Yes","No"))</x:f>
        <x:v>No</x:v>
      </x:c>
      <x:c r="K2313" s="1" t="n">
        <x:f>IF(AI2313="Yes",INDEX('Staff Review'!$D$8:$D$507,I2313),IF(AB2313=0,"",IF(COUNT(INDEX($C$1531:$C$2030,AB2313))=1,INDEX($C$1531:$C$2030,AB2313),"")))</x:f>
        <x:v>0.5681186042219577</x:v>
      </x:c>
      <x:c r="L2313" s="1" t="n">
        <x:f>IF(AJ2313="Yes",INDEX('Staff Review'!$F$8:$F$507,I2313),IF(AB2313=0,"",IF(COUNT(INDEX($G$1531:$G$2030,AB2313))=1,INDEX($G$1531:$G$2030,AB2313),"")))</x:f>
        <x:v>7</x:v>
      </x:c>
      <x:c r="M2313" s="1" t="str">
        <x:f>IF(A2313="","",IF(AI2313="Yes","Verified","Listed"))</x:f>
        <x:v>Listed</x:v>
      </x:c>
      <x:c r="N2313" s="1" t="str">
        <x:f>IF(A2313="","",IF(AJ2313="Yes","Verified","Listed"))</x:f>
        <x:v>Listed</x:v>
      </x:c>
      <x:c r="O2313" s="1" t="n">
        <x:f>IF(AND(ISNUMBER(G2313),G2313&gt;=0,G2313&lt;=1),IF(G2313&gt;=0.9,30,IF(G2313&gt;=0.8,25,IF(G2313&gt;=0.7,20,IF(G2313&gt;=0.6,15,IF(G2313&gt;=0.5,10,IF(G2313&gt;=0.4,5,0)))))),"")</x:f>
        <x:v>25</x:v>
      </x:c>
      <x:c r="P2313" s="1" t="n">
        <x:f>IF(ISNUMBER(K2313),IF(K2313&lt;0,"",IF(K2313&gt;1,25,IF(K2313&gt;=0.75,20,IF(K2313&gt;=0.5,15,IF(K2313&gt;=0.25,10,5))))),"")</x:f>
        <x:v>15</x:v>
      </x:c>
      <x:c r="Q2313" s="1" t="n">
        <x:f>IF(NOT(ISNUMBER(L2313)),"",IF(AND(L2313&gt;=0,MOD(L2313,1)=0),MAX(0,25-5*L2313),""))</x:f>
        <x:v>0</x:v>
      </x:c>
      <x:c r="R2313" s="1" t="n">
        <x:f>IF(NOT(ISNUMBER(F2313)),"",IF(AND(F2313&gt;0,MOD(F2313,1)=0),IF(F2313&gt;=700,5,IF(F2313&gt;=500,4,IF(F2313&gt;=350,3,IF(F2313&gt;=200,2,1)))),""))</x:f>
        <x:v>2</x:v>
      </x:c>
      <x:c r="S2313" s="1" t="n">
        <x:f>IF(COUNT(O2313:R2313)=4,SUM(O2313:R2313),"")</x:f>
        <x:v>42</x:v>
      </x:c>
      <x:c r="T2313" s="1" t="n">
        <x:f>IF(OR(COUNT(O2313:R2313)&lt;&gt;4,COUNT('Top 15'!$B$35:$E$35)&lt;&gt;4,MIN('Top 15'!$B$35:$E$35)&lt;0,SUM('Top 15'!$B$35:$E$35)&lt;=0),"",ROUND(85*(O2313/30*'Top 15'!$B$35+P2313/25*'Top 15'!$C$35+Q2313/25*'Top 15'!$D$35+R2313/5*'Top 15'!$E$35)/SUM('Top 15'!$B$35:$E$35),6))</x:f>
        <x:v>42</x:v>
      </x:c>
      <x:c r="U2313" s="1" t="str">
        <x:f>IF(A2313="","",IF(AND(M2313="Verified",N2313="Verified"),"Verified",IF(AND(M2313="Listed",N2313="Listed"),"Listed","Mixed")))</x:f>
        <x:v>Listed</x:v>
      </x:c>
      <x:c r="V2313" s="1" t="str">
        <x:f>IF(A2313="","",IF(AK2313&lt;&gt;1,"Duplicate source ID",IF(COUNTIFS('Staff Review'!$A$8:$A$507,A2313)&gt;1,"Duplicate review ID",IF(H2313&lt;&gt;"Yes","Outside scope",IF(J2313="Yes","Already served",IF(NOT(ISNUMBER(T2313)),"Missing data","Candidate"))))))</x:f>
        <x:v>Candidate</x:v>
      </x:c>
      <x:c r="W2313" s="1" t="n">
        <x:f>IF(AL2313=0,"",1+COUNTIFS($AL$2051:$AL$2550,1,$T$2051:$T$2550,"&gt;"&amp;T2313)+COUNTIFS($AL$2051:$AL$2550,1,$T$2051:$T$2550,T2313,$G$2051:$G$2550,"&gt;"&amp;G2313)+COUNTIFS($AL$2051:$AL$2550,1,$T$2051:$T$2550,T2313,$G$2051:$G$2550,G2313,$F$2051:$F$2550,"&gt;"&amp;F2313)+COUNTIFS($AL$2051:$AL$2550,1,$T$2051:$T$2550,T2313,$G$2051:$G$2550,G2313,$F$2051:$F$2550,F2313,$AM$2051:$AM$2550,"&lt;"&amp;AM2313))</x:f>
        <x:v>126</x:v>
      </x:c>
      <x:c r="X2313" s="1" t="n">
        <x:f>IF(AL2313=0,"",1+COUNTIFS($AL$2051:$AL$2550,1,$T$2051:$T$2550,"&gt;"&amp;T2313))</x:f>
        <x:v>101</x:v>
      </x:c>
      <x:c r="Y2313" s="1" t="n">
        <x:f>IF(AND(H2313="Yes",OR(LEN('School Search'!$B$5)=0,ISNUMBER(SEARCH('School Search'!$B$5,B2313&amp;" "&amp;E2313&amp;" "&amp;A2313))),OR('School Search'!$D$5="All",C2313='School Search'!$D$5),OR('School Search'!$G$5="All eligible",AND('School Search'!$G$5="Not marked served",J2313&lt;&gt;"Yes"),AND('School Search'!$G$5="Missing data",V2313="Missing data"),AND('School Search'!$G$5="Marked served",J2313="Yes"))),1,0)</x:f>
        <x:v>1</x:v>
      </x:c>
      <x:c r="Z2313" s="1" t="n">
        <x:f>IF(Y2313=0,"",COUNTIFS($Y$2051:$Y$2550,1,$AO$2051:$AO$2550,"&lt;"&amp;AO2313)+COUNTIFS($Y$2051:Y2313,1,$AO$2051:AO2313,AO2313))</x:f>
        <x:v>126</x:v>
      </x:c>
      <x:c r="AA2313" s="1" t="str">
        <x:f>IF(NOT(ISNUMBER(S2313)),"Missing demographic or access input",TEXT(G2313,"0%")&amp;" economic need; "&amp;TEXT(K2313,"0.00")&amp;" mi fresh access; "&amp;L2313&amp;" nearby resources")</x:f>
        <x:v>80% economic need; 0.57 mi fresh access; 7 nearby resources</x:v>
      </x:c>
      <x:c r="AB2313" s="1" t="n">
        <x:f>IF(OR(A2313="",COUNTIFS($A$1531:$A$2030,A2313)&lt;&gt;1),0,MATCH(A2313,$A$1531:$A$2030,0))</x:f>
        <x:v>263</x:v>
      </x:c>
      <x:c r="AC2313" s="1" t="str">
        <x:f>IF(AB2313=0,"",INDEX($E$1531:$E$2030,AB2313))</x:f>
        <x:v>MELROSE PARK HAR INC DBA HAN AH R</x:v>
      </x:c>
      <x:c r="AD2313" s="1" t="str">
        <x:f>IF(AB2313=0,"",INDEX($F$1531:$F$2030,AB2313))</x:f>
        <x:v>7320 Old York Rd, Elkins Park, PA, 19027</x:v>
      </x:c>
      <x:c r="AE2313" s="1" t="str">
        <x:f>IF(A2313="","",F264)</x:f>
        <x:v>6701 N 13TH ST</x:v>
      </x:c>
      <x:c r="AF2313" s="1" t="n">
        <x:f>IF(ISNUMBER(I264),I264,"")</x:f>
        <x:v>40.05472609</x:v>
      </x:c>
      <x:c r="AG2313" s="1" t="n">
        <x:f>IF(ISNUMBER(J264),J264,"")</x:f>
        <x:v>-75.13894107</x:v>
      </x:c>
      <x:c r="AH2313" s="1" t="str">
        <x:f>IF(I2313=0,"Not contacted",IF(INDEX('Staff Review'!$J$8:$J$507,I2313)="","Not contacted",INDEX('Staff Review'!$J$8:$J$507,I2313)))</x:f>
        <x:v>Not contacted</x:v>
      </x:c>
      <x:c r="AI2313" s="1" t="str">
        <x:f>IF(I2313=0,"No",IF(AND(COUNT(INDEX('Staff Review'!$D$8:$D$507,I2313))=1,INDEX('Staff Review'!$D$8:$D$507,I2313)&gt;=0,COUNT(INDEX('Staff Review'!$E$8:$E$507,I2313))=1,INDEX('Staff Review'!$E$8:$E$507,I2313)&gt;0,INDEX('Staff Review'!$E$8:$E$507,I2313)&lt;='Top 15'!$E$5,'Top 15'!$E$5-INDEX('Staff Review'!$E$8:$E$507,I2313)&lt;='Top 15'!$H$5,LEN(INDEX('Staff Review'!$H$8:$H$507,I2313))&gt;0),"Yes","No"))</x:f>
        <x:v>No</x:v>
      </x:c>
      <x:c r="AJ2313" s="1" t="str">
        <x:f>IF(I2313=0,"No",IF(COUNT(INDEX('Staff Review'!$F$8:$F$507,I2313))&lt;&gt;1,"No",IF(AND(INDEX('Staff Review'!$F$8:$F$507,I2313)&gt;=0,MOD(INDEX('Staff Review'!$F$8:$F$507,I2313),1)=0,COUNT(INDEX('Staff Review'!$G$8:$G$507,I2313))=1,INDEX('Staff Review'!$G$8:$G$507,I2313)&gt;0,INDEX('Staff Review'!$G$8:$G$507,I2313)&lt;='Top 15'!$E$5,'Top 15'!$E$5-INDEX('Staff Review'!$G$8:$G$507,I2313)&lt;='Top 15'!$H$5,LEN(INDEX('Staff Review'!$H$8:$H$507,I2313))&gt;0),"Yes","No")))</x:f>
        <x:v>No</x:v>
      </x:c>
      <x:c r="AK2313" s="1" t="n">
        <x:f>IF(A2313="",0,COUNTIFS($A$2:$A$501,A2313))</x:f>
        <x:v>1</x:v>
      </x:c>
      <x:c r="AL2313" s="1" t="n">
        <x:f>IF(V2313="Candidate",1,0)</x:f>
        <x:v>1</x:v>
      </x:c>
      <x:c r="AM2313" s="1" t="n">
        <x:f>IF(A2313="",0,VALUE(A2313))</x:f>
        <x:v>7260</x:v>
      </x:c>
      <x:c r="AN2313" s="1" t="n">
        <x:f>IF(OR(A2313="",COUNTIFS($T$41:$T$540,A2313)&lt;&gt;1),0,MATCH(A2313,$T$41:$T$540,0))</x:f>
        <x:v>263</x:v>
      </x:c>
      <x:c r="AO2313" t="n">
        <x:f>IF(ISNUMBER(W2313),W2313,10000+AM2313)</x:f>
        <x:v>126</x:v>
      </x:c>
    </x:row>
    <x:row r="2314" ht="22" customHeight="1">
      <x:c r="A2314" s="1" t="str">
        <x:f>IF(A265="","",A265)</x:f>
        <x:v>7270</x:v>
      </x:c>
      <x:c r="B2314" s="1" t="str">
        <x:f>IF(A2314="","",B265)</x:f>
        <x:v>Thomas K. Finletter School</x:v>
      </x:c>
      <x:c r="C2314" s="1" t="str">
        <x:f>IF(A2314="","",C265)</x:f>
        <x:v>District</x:v>
      </x:c>
      <x:c r="D2314" s="1" t="str">
        <x:f>IF(A2314="","",E265)</x:f>
        <x:v>Elementary-Middle</x:v>
      </x:c>
      <x:c r="E2314" s="1" t="str">
        <x:f>IF(A2314="","",H265)</x:f>
        <x:v>19120</x:v>
      </x:c>
      <x:c r="F2314" s="1" t="n">
        <x:f>IF(ISNUMBER(K265),K265,"")</x:f>
        <x:v>577</x:v>
      </x:c>
      <x:c r="G2314" s="1" t="n">
        <x:f>IF(ISNUMBER(L265),L265,"")</x:f>
        <x:v>0.8281</x:v>
      </x:c>
      <x:c r="H2314" s="1" t="str">
        <x:f>IF(A2314="","",IF(AND(UPPER(G265)="PHILADELPHIA",OR(C2314="District",AND(C2314="Charter",D265="Yes"))),"Yes","No"))</x:f>
        <x:v>Yes</x:v>
      </x:c>
      <x:c r="I2314" s="1" t="n">
        <x:f>IF(OR(A2314="",COUNTIFS('Staff Review'!$A$8:$A$507,A2314)&lt;&gt;1),0,MATCH(A2314,'Staff Review'!$A$8:$A$507,0))</x:f>
        <x:v>295</x:v>
      </x:c>
      <x:c r="J2314" s="1" t="str">
        <x:f>IF(I2314=0,"No",IF(INDEX('Staff Review'!$C$8:$C$507,I2314)="Yes","Yes","No"))</x:f>
        <x:v>No</x:v>
      </x:c>
      <x:c r="K2314" s="1" t="n">
        <x:f>IF(AI2314="Yes",INDEX('Staff Review'!$D$8:$D$507,I2314),IF(AB2314=0,"",IF(COUNT(INDEX($C$1531:$C$2030,AB2314))=1,INDEX($C$1531:$C$2030,AB2314),"")))</x:f>
        <x:v>0.12118412732571376</x:v>
      </x:c>
      <x:c r="L2314" s="1" t="n">
        <x:f>IF(AJ2314="Yes",INDEX('Staff Review'!$F$8:$F$507,I2314),IF(AB2314=0,"",IF(COUNT(INDEX($G$1531:$G$2030,AB2314))=1,INDEX($G$1531:$G$2030,AB2314),"")))</x:f>
        <x:v>5</x:v>
      </x:c>
      <x:c r="M2314" s="1" t="str">
        <x:f>IF(A2314="","",IF(AI2314="Yes","Verified","Listed"))</x:f>
        <x:v>Listed</x:v>
      </x:c>
      <x:c r="N2314" s="1" t="str">
        <x:f>IF(A2314="","",IF(AJ2314="Yes","Verified","Listed"))</x:f>
        <x:v>Listed</x:v>
      </x:c>
      <x:c r="O2314" s="1" t="n">
        <x:f>IF(AND(ISNUMBER(G2314),G2314&gt;=0,G2314&lt;=1),IF(G2314&gt;=0.9,30,IF(G2314&gt;=0.8,25,IF(G2314&gt;=0.7,20,IF(G2314&gt;=0.6,15,IF(G2314&gt;=0.5,10,IF(G2314&gt;=0.4,5,0)))))),"")</x:f>
        <x:v>25</x:v>
      </x:c>
      <x:c r="P2314" s="1" t="n">
        <x:f>IF(ISNUMBER(K2314),IF(K2314&lt;0,"",IF(K2314&gt;1,25,IF(K2314&gt;=0.75,20,IF(K2314&gt;=0.5,15,IF(K2314&gt;=0.25,10,5))))),"")</x:f>
        <x:v>5</x:v>
      </x:c>
      <x:c r="Q2314" s="1" t="n">
        <x:f>IF(NOT(ISNUMBER(L2314)),"",IF(AND(L2314&gt;=0,MOD(L2314,1)=0),MAX(0,25-5*L2314),""))</x:f>
        <x:v>0</x:v>
      </x:c>
      <x:c r="R2314" s="1" t="n">
        <x:f>IF(NOT(ISNUMBER(F2314)),"",IF(AND(F2314&gt;0,MOD(F2314,1)=0),IF(F2314&gt;=700,5,IF(F2314&gt;=500,4,IF(F2314&gt;=350,3,IF(F2314&gt;=200,2,1)))),""))</x:f>
        <x:v>4</x:v>
      </x:c>
      <x:c r="S2314" s="1" t="n">
        <x:f>IF(COUNT(O2314:R2314)=4,SUM(O2314:R2314),"")</x:f>
        <x:v>34</x:v>
      </x:c>
      <x:c r="T2314" s="1" t="n">
        <x:f>IF(OR(COUNT(O2314:R2314)&lt;&gt;4,COUNT('Top 15'!$B$35:$E$35)&lt;&gt;4,MIN('Top 15'!$B$35:$E$35)&lt;0,SUM('Top 15'!$B$35:$E$35)&lt;=0),"",ROUND(85*(O2314/30*'Top 15'!$B$35+P2314/25*'Top 15'!$C$35+Q2314/25*'Top 15'!$D$35+R2314/5*'Top 15'!$E$35)/SUM('Top 15'!$B$35:$E$35),6))</x:f>
        <x:v>34</x:v>
      </x:c>
      <x:c r="U2314" s="1" t="str">
        <x:f>IF(A2314="","",IF(AND(M2314="Verified",N2314="Verified"),"Verified",IF(AND(M2314="Listed",N2314="Listed"),"Listed","Mixed")))</x:f>
        <x:v>Listed</x:v>
      </x:c>
      <x:c r="V2314" s="1" t="str">
        <x:f>IF(A2314="","",IF(AK2314&lt;&gt;1,"Duplicate source ID",IF(COUNTIFS('Staff Review'!$A$8:$A$507,A2314)&gt;1,"Duplicate review ID",IF(H2314&lt;&gt;"Yes","Outside scope",IF(J2314="Yes","Already served",IF(NOT(ISNUMBER(T2314)),"Missing data","Candidate"))))))</x:f>
        <x:v>Candidate</x:v>
      </x:c>
      <x:c r="W2314" s="1" t="n">
        <x:f>IF(AL2314=0,"",1+COUNTIFS($AL$2051:$AL$2550,1,$T$2051:$T$2550,"&gt;"&amp;T2314)+COUNTIFS($AL$2051:$AL$2550,1,$T$2051:$T$2550,T2314,$G$2051:$G$2550,"&gt;"&amp;G2314)+COUNTIFS($AL$2051:$AL$2550,1,$T$2051:$T$2550,T2314,$G$2051:$G$2550,G2314,$F$2051:$F$2550,"&gt;"&amp;F2314)+COUNTIFS($AL$2051:$AL$2550,1,$T$2051:$T$2550,T2314,$G$2051:$G$2550,G2314,$F$2051:$F$2550,F2314,$AM$2051:$AM$2550,"&lt;"&amp;AM2314))</x:f>
        <x:v>225</x:v>
      </x:c>
      <x:c r="X2314" s="1" t="n">
        <x:f>IF(AL2314=0,"",1+COUNTIFS($AL$2051:$AL$2550,1,$T$2051:$T$2550,"&gt;"&amp;T2314))</x:f>
        <x:v>221</x:v>
      </x:c>
      <x:c r="Y2314" s="1" t="n">
        <x:f>IF(AND(H2314="Yes",OR(LEN('School Search'!$B$5)=0,ISNUMBER(SEARCH('School Search'!$B$5,B2314&amp;" "&amp;E2314&amp;" "&amp;A2314))),OR('School Search'!$D$5="All",C2314='School Search'!$D$5),OR('School Search'!$G$5="All eligible",AND('School Search'!$G$5="Not marked served",J2314&lt;&gt;"Yes"),AND('School Search'!$G$5="Missing data",V2314="Missing data"),AND('School Search'!$G$5="Marked served",J2314="Yes"))),1,0)</x:f>
        <x:v>1</x:v>
      </x:c>
      <x:c r="Z2314" s="1" t="n">
        <x:f>IF(Y2314=0,"",COUNTIFS($Y$2051:$Y$2550,1,$AO$2051:$AO$2550,"&lt;"&amp;AO2314)+COUNTIFS($Y$2051:Y2314,1,$AO$2051:AO2314,AO2314))</x:f>
        <x:v>225</x:v>
      </x:c>
      <x:c r="AA2314" s="1" t="str">
        <x:f>IF(NOT(ISNUMBER(S2314)),"Missing demographic or access input",TEXT(G2314,"0%")&amp;" economic need; "&amp;TEXT(K2314,"0.00")&amp;" mi fresh access; "&amp;L2314&amp;" nearby resources")</x:f>
        <x:v>83% economic need; 0.12 mi fresh access; 5 nearby resources</x:v>
      </x:c>
      <x:c r="AB2314" s="1" t="n">
        <x:f>IF(OR(A2314="",COUNTIFS($A$1531:$A$2030,A2314)&lt;&gt;1),0,MATCH(A2314,$A$1531:$A$2030,0))</x:f>
        <x:v>264</x:v>
      </x:c>
      <x:c r="AC2314" s="1" t="str">
        <x:f>IF(AB2314=0,"",INDEX($E$1531:$E$2030,AB2314))</x:f>
        <x:v>H MART PHILADELPHIA LLC.</x:v>
      </x:c>
      <x:c r="AD2314" s="1" t="str">
        <x:f>IF(AB2314=0,"",INDEX($F$1531:$F$2030,AB2314))</x:f>
        <x:v>6201 N Front St, Philadelphia, PA, 19120</x:v>
      </x:c>
      <x:c r="AE2314" s="1" t="str">
        <x:f>IF(A2314="","",F265)</x:f>
        <x:v>6101 N FRONT ST</x:v>
      </x:c>
      <x:c r="AF2314" s="1" t="n">
        <x:f>IF(ISNUMBER(I265),I265,"")</x:f>
        <x:v>40.043608</x:v>
      </x:c>
      <x:c r="AG2314" s="1" t="n">
        <x:f>IF(ISNUMBER(J265),J265,"")</x:f>
        <x:v>-75.119176</x:v>
      </x:c>
      <x:c r="AH2314" s="1" t="str">
        <x:f>IF(I2314=0,"Not contacted",IF(INDEX('Staff Review'!$J$8:$J$507,I2314)="","Not contacted",INDEX('Staff Review'!$J$8:$J$507,I2314)))</x:f>
        <x:v>Not contacted</x:v>
      </x:c>
      <x:c r="AI2314" s="1" t="str">
        <x:f>IF(I2314=0,"No",IF(AND(COUNT(INDEX('Staff Review'!$D$8:$D$507,I2314))=1,INDEX('Staff Review'!$D$8:$D$507,I2314)&gt;=0,COUNT(INDEX('Staff Review'!$E$8:$E$507,I2314))=1,INDEX('Staff Review'!$E$8:$E$507,I2314)&gt;0,INDEX('Staff Review'!$E$8:$E$507,I2314)&lt;='Top 15'!$E$5,'Top 15'!$E$5-INDEX('Staff Review'!$E$8:$E$507,I2314)&lt;='Top 15'!$H$5,LEN(INDEX('Staff Review'!$H$8:$H$507,I2314))&gt;0),"Yes","No"))</x:f>
        <x:v>No</x:v>
      </x:c>
      <x:c r="AJ2314" s="1" t="str">
        <x:f>IF(I2314=0,"No",IF(COUNT(INDEX('Staff Review'!$F$8:$F$507,I2314))&lt;&gt;1,"No",IF(AND(INDEX('Staff Review'!$F$8:$F$507,I2314)&gt;=0,MOD(INDEX('Staff Review'!$F$8:$F$507,I2314),1)=0,COUNT(INDEX('Staff Review'!$G$8:$G$507,I2314))=1,INDEX('Staff Review'!$G$8:$G$507,I2314)&gt;0,INDEX('Staff Review'!$G$8:$G$507,I2314)&lt;='Top 15'!$E$5,'Top 15'!$E$5-INDEX('Staff Review'!$G$8:$G$507,I2314)&lt;='Top 15'!$H$5,LEN(INDEX('Staff Review'!$H$8:$H$507,I2314))&gt;0),"Yes","No")))</x:f>
        <x:v>No</x:v>
      </x:c>
      <x:c r="AK2314" s="1" t="n">
        <x:f>IF(A2314="",0,COUNTIFS($A$2:$A$501,A2314))</x:f>
        <x:v>1</x:v>
      </x:c>
      <x:c r="AL2314" s="1" t="n">
        <x:f>IF(V2314="Candidate",1,0)</x:f>
        <x:v>1</x:v>
      </x:c>
      <x:c r="AM2314" s="1" t="n">
        <x:f>IF(A2314="",0,VALUE(A2314))</x:f>
        <x:v>7270</x:v>
      </x:c>
      <x:c r="AN2314" s="1" t="n">
        <x:f>IF(OR(A2314="",COUNTIFS($T$41:$T$540,A2314)&lt;&gt;1),0,MATCH(A2314,$T$41:$T$540,0))</x:f>
        <x:v>264</x:v>
      </x:c>
      <x:c r="AO2314" t="n">
        <x:f>IF(ISNUMBER(W2314),W2314,10000+AM2314)</x:f>
        <x:v>225</x:v>
      </x:c>
    </x:row>
    <x:row r="2315" ht="22" customHeight="1">
      <x:c r="A2315" s="1" t="str">
        <x:f>IF(A266="","",A266)</x:f>
        <x:v>7280</x:v>
      </x:c>
      <x:c r="B2315" s="1" t="str">
        <x:f>IF(A2315="","",B266)</x:f>
        <x:v>Benjamin Franklin Elementary School</x:v>
      </x:c>
      <x:c r="C2315" s="1" t="str">
        <x:f>IF(A2315="","",C266)</x:f>
        <x:v>District</x:v>
      </x:c>
      <x:c r="D2315" s="1" t="str">
        <x:f>IF(A2315="","",E266)</x:f>
        <x:v>Elementary-Middle</x:v>
      </x:c>
      <x:c r="E2315" s="1" t="str">
        <x:f>IF(A2315="","",H266)</x:f>
        <x:v>19120</x:v>
      </x:c>
      <x:c r="F2315" s="1" t="n">
        <x:f>IF(ISNUMBER(K266),K266,"")</x:f>
        <x:v>567</x:v>
      </x:c>
      <x:c r="G2315" s="1" t="n">
        <x:f>IF(ISNUMBER(L266),L266,"")</x:f>
        <x:v>0.8389</x:v>
      </x:c>
      <x:c r="H2315" s="1" t="str">
        <x:f>IF(A2315="","",IF(AND(UPPER(G266)="PHILADELPHIA",OR(C2315="District",AND(C2315="Charter",D266="Yes"))),"Yes","No"))</x:f>
        <x:v>Yes</x:v>
      </x:c>
      <x:c r="I2315" s="1" t="n">
        <x:f>IF(OR(A2315="",COUNTIFS('Staff Review'!$A$8:$A$507,A2315)&lt;&gt;1),0,MATCH(A2315,'Staff Review'!$A$8:$A$507,0))</x:f>
        <x:v>31</x:v>
      </x:c>
      <x:c r="J2315" s="1" t="str">
        <x:f>IF(I2315=0,"No",IF(INDEX('Staff Review'!$C$8:$C$507,I2315)="Yes","Yes","No"))</x:f>
        <x:v>No</x:v>
      </x:c>
      <x:c r="K2315" s="1" t="n">
        <x:f>IF(AI2315="Yes",INDEX('Staff Review'!$D$8:$D$507,I2315),IF(AB2315=0,"",IF(COUNT(INDEX($C$1531:$C$2030,AB2315))=1,INDEX($C$1531:$C$2030,AB2315),"")))</x:f>
        <x:v>0.25198509666340335</x:v>
      </x:c>
      <x:c r="L2315" s="1" t="n">
        <x:f>IF(AJ2315="Yes",INDEX('Staff Review'!$F$8:$F$507,I2315),IF(AB2315=0,"",IF(COUNT(INDEX($G$1531:$G$2030,AB2315))=1,INDEX($G$1531:$G$2030,AB2315),"")))</x:f>
        <x:v>5</x:v>
      </x:c>
      <x:c r="M2315" s="1" t="str">
        <x:f>IF(A2315="","",IF(AI2315="Yes","Verified","Listed"))</x:f>
        <x:v>Listed</x:v>
      </x:c>
      <x:c r="N2315" s="1" t="str">
        <x:f>IF(A2315="","",IF(AJ2315="Yes","Verified","Listed"))</x:f>
        <x:v>Listed</x:v>
      </x:c>
      <x:c r="O2315" s="1" t="n">
        <x:f>IF(AND(ISNUMBER(G2315),G2315&gt;=0,G2315&lt;=1),IF(G2315&gt;=0.9,30,IF(G2315&gt;=0.8,25,IF(G2315&gt;=0.7,20,IF(G2315&gt;=0.6,15,IF(G2315&gt;=0.5,10,IF(G2315&gt;=0.4,5,0)))))),"")</x:f>
        <x:v>25</x:v>
      </x:c>
      <x:c r="P2315" s="1" t="n">
        <x:f>IF(ISNUMBER(K2315),IF(K2315&lt;0,"",IF(K2315&gt;1,25,IF(K2315&gt;=0.75,20,IF(K2315&gt;=0.5,15,IF(K2315&gt;=0.25,10,5))))),"")</x:f>
        <x:v>10</x:v>
      </x:c>
      <x:c r="Q2315" s="1" t="n">
        <x:f>IF(NOT(ISNUMBER(L2315)),"",IF(AND(L2315&gt;=0,MOD(L2315,1)=0),MAX(0,25-5*L2315),""))</x:f>
        <x:v>0</x:v>
      </x:c>
      <x:c r="R2315" s="1" t="n">
        <x:f>IF(NOT(ISNUMBER(F2315)),"",IF(AND(F2315&gt;0,MOD(F2315,1)=0),IF(F2315&gt;=700,5,IF(F2315&gt;=500,4,IF(F2315&gt;=350,3,IF(F2315&gt;=200,2,1)))),""))</x:f>
        <x:v>4</x:v>
      </x:c>
      <x:c r="S2315" s="1" t="n">
        <x:f>IF(COUNT(O2315:R2315)=4,SUM(O2315:R2315),"")</x:f>
        <x:v>39</x:v>
      </x:c>
      <x:c r="T2315" s="1" t="n">
        <x:f>IF(OR(COUNT(O2315:R2315)&lt;&gt;4,COUNT('Top 15'!$B$35:$E$35)&lt;&gt;4,MIN('Top 15'!$B$35:$E$35)&lt;0,SUM('Top 15'!$B$35:$E$35)&lt;=0),"",ROUND(85*(O2315/30*'Top 15'!$B$35+P2315/25*'Top 15'!$C$35+Q2315/25*'Top 15'!$D$35+R2315/5*'Top 15'!$E$35)/SUM('Top 15'!$B$35:$E$35),6))</x:f>
        <x:v>39</x:v>
      </x:c>
      <x:c r="U2315" s="1" t="str">
        <x:f>IF(A2315="","",IF(AND(M2315="Verified",N2315="Verified"),"Verified",IF(AND(M2315="Listed",N2315="Listed"),"Listed","Mixed")))</x:f>
        <x:v>Listed</x:v>
      </x:c>
      <x:c r="V2315" s="1" t="str">
        <x:f>IF(A2315="","",IF(AK2315&lt;&gt;1,"Duplicate source ID",IF(COUNTIFS('Staff Review'!$A$8:$A$507,A2315)&gt;1,"Duplicate review ID",IF(H2315&lt;&gt;"Yes","Outside scope",IF(J2315="Yes","Already served",IF(NOT(ISNUMBER(T2315)),"Missing data","Candidate"))))))</x:f>
        <x:v>Candidate</x:v>
      </x:c>
      <x:c r="W2315" s="1" t="n">
        <x:f>IF(AL2315=0,"",1+COUNTIFS($AL$2051:$AL$2550,1,$T$2051:$T$2550,"&gt;"&amp;T2315)+COUNTIFS($AL$2051:$AL$2550,1,$T$2051:$T$2550,T2315,$G$2051:$G$2550,"&gt;"&amp;G2315)+COUNTIFS($AL$2051:$AL$2550,1,$T$2051:$T$2550,T2315,$G$2051:$G$2550,G2315,$F$2051:$F$2550,"&gt;"&amp;F2315)+COUNTIFS($AL$2051:$AL$2550,1,$T$2051:$T$2550,T2315,$G$2051:$G$2550,G2315,$F$2051:$F$2550,F2315,$AM$2051:$AM$2550,"&lt;"&amp;AM2315))</x:f>
        <x:v>155</x:v>
      </x:c>
      <x:c r="X2315" s="1" t="n">
        <x:f>IF(AL2315=0,"",1+COUNTIFS($AL$2051:$AL$2550,1,$T$2051:$T$2550,"&gt;"&amp;T2315))</x:f>
        <x:v>148</x:v>
      </x:c>
      <x:c r="Y2315" s="1" t="n">
        <x:f>IF(AND(H2315="Yes",OR(LEN('School Search'!$B$5)=0,ISNUMBER(SEARCH('School Search'!$B$5,B2315&amp;" "&amp;E2315&amp;" "&amp;A2315))),OR('School Search'!$D$5="All",C2315='School Search'!$D$5),OR('School Search'!$G$5="All eligible",AND('School Search'!$G$5="Not marked served",J2315&lt;&gt;"Yes"),AND('School Search'!$G$5="Missing data",V2315="Missing data"),AND('School Search'!$G$5="Marked served",J2315="Yes"))),1,0)</x:f>
        <x:v>1</x:v>
      </x:c>
      <x:c r="Z2315" s="1" t="n">
        <x:f>IF(Y2315=0,"",COUNTIFS($Y$2051:$Y$2550,1,$AO$2051:$AO$2550,"&lt;"&amp;AO2315)+COUNTIFS($Y$2051:Y2315,1,$AO$2051:AO2315,AO2315))</x:f>
        <x:v>155</x:v>
      </x:c>
      <x:c r="AA2315" s="1" t="str">
        <x:f>IF(NOT(ISNUMBER(S2315)),"Missing demographic or access input",TEXT(G2315,"0%")&amp;" economic need; "&amp;TEXT(K2315,"0.00")&amp;" mi fresh access; "&amp;L2315&amp;" nearby resources")</x:f>
        <x:v>84% economic need; 0.25 mi fresh access; 5 nearby resources</x:v>
      </x:c>
      <x:c r="AB2315" s="1" t="n">
        <x:f>IF(OR(A2315="",COUNTIFS($A$1531:$A$2030,A2315)&lt;&gt;1),0,MATCH(A2315,$A$1531:$A$2030,0))</x:f>
        <x:v>265</x:v>
      </x:c>
      <x:c r="AC2315" s="1" t="str">
        <x:f>IF(AB2315=0,"",INDEX($E$1531:$E$2030,AB2315))</x:f>
        <x:v>PJP Marketplace</x:v>
      </x:c>
      <x:c r="AD2315" s="1" t="str">
        <x:f>IF(AB2315=0,"",INDEX($F$1531:$F$2030,AB2315))</x:f>
        <x:v>537 Adams Ave, Philadelphia, PA, 19120</x:v>
      </x:c>
      <x:c r="AE2315" s="1" t="str">
        <x:f>IF(A2315="","",F266)</x:f>
        <x:v>5737 RISING SUN AVE</x:v>
      </x:c>
      <x:c r="AF2315" s="1" t="n">
        <x:f>IF(ISNUMBER(I266),I266,"")</x:f>
        <x:v>40.04215213</x:v>
      </x:c>
      <x:c r="AG2315" s="1" t="n">
        <x:f>IF(ISNUMBER(J266),J266,"")</x:f>
        <x:v>-75.10498859</x:v>
      </x:c>
      <x:c r="AH2315" s="1" t="str">
        <x:f>IF(I2315=0,"Not contacted",IF(INDEX('Staff Review'!$J$8:$J$507,I2315)="","Not contacted",INDEX('Staff Review'!$J$8:$J$507,I2315)))</x:f>
        <x:v>Not contacted</x:v>
      </x:c>
      <x:c r="AI2315" s="1" t="str">
        <x:f>IF(I2315=0,"No",IF(AND(COUNT(INDEX('Staff Review'!$D$8:$D$507,I2315))=1,INDEX('Staff Review'!$D$8:$D$507,I2315)&gt;=0,COUNT(INDEX('Staff Review'!$E$8:$E$507,I2315))=1,INDEX('Staff Review'!$E$8:$E$507,I2315)&gt;0,INDEX('Staff Review'!$E$8:$E$507,I2315)&lt;='Top 15'!$E$5,'Top 15'!$E$5-INDEX('Staff Review'!$E$8:$E$507,I2315)&lt;='Top 15'!$H$5,LEN(INDEX('Staff Review'!$H$8:$H$507,I2315))&gt;0),"Yes","No"))</x:f>
        <x:v>No</x:v>
      </x:c>
      <x:c r="AJ2315" s="1" t="str">
        <x:f>IF(I2315=0,"No",IF(COUNT(INDEX('Staff Review'!$F$8:$F$507,I2315))&lt;&gt;1,"No",IF(AND(INDEX('Staff Review'!$F$8:$F$507,I2315)&gt;=0,MOD(INDEX('Staff Review'!$F$8:$F$507,I2315),1)=0,COUNT(INDEX('Staff Review'!$G$8:$G$507,I2315))=1,INDEX('Staff Review'!$G$8:$G$507,I2315)&gt;0,INDEX('Staff Review'!$G$8:$G$507,I2315)&lt;='Top 15'!$E$5,'Top 15'!$E$5-INDEX('Staff Review'!$G$8:$G$507,I2315)&lt;='Top 15'!$H$5,LEN(INDEX('Staff Review'!$H$8:$H$507,I2315))&gt;0),"Yes","No")))</x:f>
        <x:v>No</x:v>
      </x:c>
      <x:c r="AK2315" s="1" t="n">
        <x:f>IF(A2315="",0,COUNTIFS($A$2:$A$501,A2315))</x:f>
        <x:v>1</x:v>
      </x:c>
      <x:c r="AL2315" s="1" t="n">
        <x:f>IF(V2315="Candidate",1,0)</x:f>
        <x:v>1</x:v>
      </x:c>
      <x:c r="AM2315" s="1" t="n">
        <x:f>IF(A2315="",0,VALUE(A2315))</x:f>
        <x:v>7280</x:v>
      </x:c>
      <x:c r="AN2315" s="1" t="n">
        <x:f>IF(OR(A2315="",COUNTIFS($T$41:$T$540,A2315)&lt;&gt;1),0,MATCH(A2315,$T$41:$T$540,0))</x:f>
        <x:v>265</x:v>
      </x:c>
      <x:c r="AO2315" t="n">
        <x:f>IF(ISNUMBER(W2315),W2315,10000+AM2315)</x:f>
        <x:v>155</x:v>
      </x:c>
    </x:row>
    <x:row r="2316" ht="22" customHeight="1">
      <x:c r="A2316" s="1" t="str">
        <x:f>IF(A267="","",A267)</x:f>
        <x:v>7290</x:v>
      </x:c>
      <x:c r="B2316" s="1" t="str">
        <x:f>IF(A2316="","",B267)</x:f>
        <x:v>Allen M. Stearne School</x:v>
      </x:c>
      <x:c r="C2316" s="1" t="str">
        <x:f>IF(A2316="","",C267)</x:f>
        <x:v>District</x:v>
      </x:c>
      <x:c r="D2316" s="1" t="str">
        <x:f>IF(A2316="","",E267)</x:f>
        <x:v>Elementary-Middle</x:v>
      </x:c>
      <x:c r="E2316" s="1" t="str">
        <x:f>IF(A2316="","",H267)</x:f>
        <x:v>19124</x:v>
      </x:c>
      <x:c r="F2316" s="1" t="n">
        <x:f>IF(ISNUMBER(K267),K267,"")</x:f>
        <x:v>370</x:v>
      </x:c>
      <x:c r="G2316" s="1" t="n">
        <x:f>IF(ISNUMBER(L267),L267,"")</x:f>
        <x:v>0.8664</x:v>
      </x:c>
      <x:c r="H2316" s="1" t="str">
        <x:f>IF(A2316="","",IF(AND(UPPER(G267)="PHILADELPHIA",OR(C2316="District",AND(C2316="Charter",D267="Yes"))),"Yes","No"))</x:f>
        <x:v>Yes</x:v>
      </x:c>
      <x:c r="I2316" s="1" t="n">
        <x:f>IF(OR(A2316="",COUNTIFS('Staff Review'!$A$8:$A$507,A2316)&lt;&gt;1),0,MATCH(A2316,'Staff Review'!$A$8:$A$507,0))</x:f>
        <x:v>14</x:v>
      </x:c>
      <x:c r="J2316" s="1" t="str">
        <x:f>IF(I2316=0,"No",IF(INDEX('Staff Review'!$C$8:$C$507,I2316)="Yes","Yes","No"))</x:f>
        <x:v>No</x:v>
      </x:c>
      <x:c r="K2316" s="1" t="n">
        <x:f>IF(AI2316="Yes",INDEX('Staff Review'!$D$8:$D$507,I2316),IF(AB2316=0,"",IF(COUNT(INDEX($C$1531:$C$2030,AB2316))=1,INDEX($C$1531:$C$2030,AB2316),"")))</x:f>
        <x:v>0.7822023571495426</x:v>
      </x:c>
      <x:c r="L2316" s="1" t="n">
        <x:f>IF(AJ2316="Yes",INDEX('Staff Review'!$F$8:$F$507,I2316),IF(AB2316=0,"",IF(COUNT(INDEX($G$1531:$G$2030,AB2316))=1,INDEX($G$1531:$G$2030,AB2316),"")))</x:f>
        <x:v>7</x:v>
      </x:c>
      <x:c r="M2316" s="1" t="str">
        <x:f>IF(A2316="","",IF(AI2316="Yes","Verified","Listed"))</x:f>
        <x:v>Listed</x:v>
      </x:c>
      <x:c r="N2316" s="1" t="str">
        <x:f>IF(A2316="","",IF(AJ2316="Yes","Verified","Listed"))</x:f>
        <x:v>Listed</x:v>
      </x:c>
      <x:c r="O2316" s="1" t="n">
        <x:f>IF(AND(ISNUMBER(G2316),G2316&gt;=0,G2316&lt;=1),IF(G2316&gt;=0.9,30,IF(G2316&gt;=0.8,25,IF(G2316&gt;=0.7,20,IF(G2316&gt;=0.6,15,IF(G2316&gt;=0.5,10,IF(G2316&gt;=0.4,5,0)))))),"")</x:f>
        <x:v>25</x:v>
      </x:c>
      <x:c r="P2316" s="1" t="n">
        <x:f>IF(ISNUMBER(K2316),IF(K2316&lt;0,"",IF(K2316&gt;1,25,IF(K2316&gt;=0.75,20,IF(K2316&gt;=0.5,15,IF(K2316&gt;=0.25,10,5))))),"")</x:f>
        <x:v>20</x:v>
      </x:c>
      <x:c r="Q2316" s="1" t="n">
        <x:f>IF(NOT(ISNUMBER(L2316)),"",IF(AND(L2316&gt;=0,MOD(L2316,1)=0),MAX(0,25-5*L2316),""))</x:f>
        <x:v>0</x:v>
      </x:c>
      <x:c r="R2316" s="1" t="n">
        <x:f>IF(NOT(ISNUMBER(F2316)),"",IF(AND(F2316&gt;0,MOD(F2316,1)=0),IF(F2316&gt;=700,5,IF(F2316&gt;=500,4,IF(F2316&gt;=350,3,IF(F2316&gt;=200,2,1)))),""))</x:f>
        <x:v>3</x:v>
      </x:c>
      <x:c r="S2316" s="1" t="n">
        <x:f>IF(COUNT(O2316:R2316)=4,SUM(O2316:R2316),"")</x:f>
        <x:v>48</x:v>
      </x:c>
      <x:c r="T2316" s="1" t="n">
        <x:f>IF(OR(COUNT(O2316:R2316)&lt;&gt;4,COUNT('Top 15'!$B$35:$E$35)&lt;&gt;4,MIN('Top 15'!$B$35:$E$35)&lt;0,SUM('Top 15'!$B$35:$E$35)&lt;=0),"",ROUND(85*(O2316/30*'Top 15'!$B$35+P2316/25*'Top 15'!$C$35+Q2316/25*'Top 15'!$D$35+R2316/5*'Top 15'!$E$35)/SUM('Top 15'!$B$35:$E$35),6))</x:f>
        <x:v>48</x:v>
      </x:c>
      <x:c r="U2316" s="1" t="str">
        <x:f>IF(A2316="","",IF(AND(M2316="Verified",N2316="Verified"),"Verified",IF(AND(M2316="Listed",N2316="Listed"),"Listed","Mixed")))</x:f>
        <x:v>Listed</x:v>
      </x:c>
      <x:c r="V2316" s="1" t="str">
        <x:f>IF(A2316="","",IF(AK2316&lt;&gt;1,"Duplicate source ID",IF(COUNTIFS('Staff Review'!$A$8:$A$507,A2316)&gt;1,"Duplicate review ID",IF(H2316&lt;&gt;"Yes","Outside scope",IF(J2316="Yes","Already served",IF(NOT(ISNUMBER(T2316)),"Missing data","Candidate"))))))</x:f>
        <x:v>Candidate</x:v>
      </x:c>
      <x:c r="W2316" s="1" t="n">
        <x:f>IF(AL2316=0,"",1+COUNTIFS($AL$2051:$AL$2550,1,$T$2051:$T$2550,"&gt;"&amp;T2316)+COUNTIFS($AL$2051:$AL$2550,1,$T$2051:$T$2550,T2316,$G$2051:$G$2550,"&gt;"&amp;G2316)+COUNTIFS($AL$2051:$AL$2550,1,$T$2051:$T$2550,T2316,$G$2051:$G$2550,G2316,$F$2051:$F$2550,"&gt;"&amp;F2316)+COUNTIFS($AL$2051:$AL$2550,1,$T$2051:$T$2550,T2316,$G$2051:$G$2550,G2316,$F$2051:$F$2550,F2316,$AM$2051:$AM$2550,"&lt;"&amp;AM2316))</x:f>
        <x:v>61</x:v>
      </x:c>
      <x:c r="X2316" s="1" t="n">
        <x:f>IF(AL2316=0,"",1+COUNTIFS($AL$2051:$AL$2550,1,$T$2051:$T$2550,"&gt;"&amp;T2316))</x:f>
        <x:v>56</x:v>
      </x:c>
      <x:c r="Y2316" s="1" t="n">
        <x:f>IF(AND(H2316="Yes",OR(LEN('School Search'!$B$5)=0,ISNUMBER(SEARCH('School Search'!$B$5,B2316&amp;" "&amp;E2316&amp;" "&amp;A2316))),OR('School Search'!$D$5="All",C2316='School Search'!$D$5),OR('School Search'!$G$5="All eligible",AND('School Search'!$G$5="Not marked served",J2316&lt;&gt;"Yes"),AND('School Search'!$G$5="Missing data",V2316="Missing data"),AND('School Search'!$G$5="Marked served",J2316="Yes"))),1,0)</x:f>
        <x:v>1</x:v>
      </x:c>
      <x:c r="Z2316" s="1" t="n">
        <x:f>IF(Y2316=0,"",COUNTIFS($Y$2051:$Y$2550,1,$AO$2051:$AO$2550,"&lt;"&amp;AO2316)+COUNTIFS($Y$2051:Y2316,1,$AO$2051:AO2316,AO2316))</x:f>
        <x:v>61</x:v>
      </x:c>
      <x:c r="AA2316" s="1" t="str">
        <x:f>IF(NOT(ISNUMBER(S2316)),"Missing demographic or access input",TEXT(G2316,"0%")&amp;" economic need; "&amp;TEXT(K2316,"0.00")&amp;" mi fresh access; "&amp;L2316&amp;" nearby resources")</x:f>
        <x:v>87% economic need; 0.78 mi fresh access; 7 nearby resources</x:v>
      </x:c>
      <x:c r="AB2316" s="1" t="n">
        <x:f>IF(OR(A2316="",COUNTIFS($A$1531:$A$2030,A2316)&lt;&gt;1),0,MATCH(A2316,$A$1531:$A$2030,0))</x:f>
        <x:v>266</x:v>
      </x:c>
      <x:c r="AC2316" s="1" t="str">
        <x:f>IF(AB2316=0,"",INDEX($E$1531:$E$2030,AB2316))</x:f>
        <x:v>Castor Avenue Market LLC</x:v>
      </x:c>
      <x:c r="AD2316" s="1" t="str">
        <x:f>IF(AB2316=0,"",INDEX($F$1531:$F$2030,AB2316))</x:f>
        <x:v>900 E Orthodox St, Philadelphia, PA, 19124</x:v>
      </x:c>
      <x:c r="AE2316" s="1" t="str">
        <x:f>IF(A2316="","",F267)</x:f>
        <x:v>1655 UNITY ST</x:v>
      </x:c>
      <x:c r="AF2316" s="1" t="n">
        <x:f>IF(ISNUMBER(I267),I267,"")</x:f>
        <x:v>40.011752</x:v>
      </x:c>
      <x:c r="AG2316" s="1" t="n">
        <x:f>IF(ISNUMBER(J267),J267,"")</x:f>
        <x:v>-75.085112</x:v>
      </x:c>
      <x:c r="AH2316" s="1" t="str">
        <x:f>IF(I2316=0,"Not contacted",IF(INDEX('Staff Review'!$J$8:$J$507,I2316)="","Not contacted",INDEX('Staff Review'!$J$8:$J$507,I2316)))</x:f>
        <x:v>Not contacted</x:v>
      </x:c>
      <x:c r="AI2316" s="1" t="str">
        <x:f>IF(I2316=0,"No",IF(AND(COUNT(INDEX('Staff Review'!$D$8:$D$507,I2316))=1,INDEX('Staff Review'!$D$8:$D$507,I2316)&gt;=0,COUNT(INDEX('Staff Review'!$E$8:$E$507,I2316))=1,INDEX('Staff Review'!$E$8:$E$507,I2316)&gt;0,INDEX('Staff Review'!$E$8:$E$507,I2316)&lt;='Top 15'!$E$5,'Top 15'!$E$5-INDEX('Staff Review'!$E$8:$E$507,I2316)&lt;='Top 15'!$H$5,LEN(INDEX('Staff Review'!$H$8:$H$507,I2316))&gt;0),"Yes","No"))</x:f>
        <x:v>No</x:v>
      </x:c>
      <x:c r="AJ2316" s="1" t="str">
        <x:f>IF(I2316=0,"No",IF(COUNT(INDEX('Staff Review'!$F$8:$F$507,I2316))&lt;&gt;1,"No",IF(AND(INDEX('Staff Review'!$F$8:$F$507,I2316)&gt;=0,MOD(INDEX('Staff Review'!$F$8:$F$507,I2316),1)=0,COUNT(INDEX('Staff Review'!$G$8:$G$507,I2316))=1,INDEX('Staff Review'!$G$8:$G$507,I2316)&gt;0,INDEX('Staff Review'!$G$8:$G$507,I2316)&lt;='Top 15'!$E$5,'Top 15'!$E$5-INDEX('Staff Review'!$G$8:$G$507,I2316)&lt;='Top 15'!$H$5,LEN(INDEX('Staff Review'!$H$8:$H$507,I2316))&gt;0),"Yes","No")))</x:f>
        <x:v>No</x:v>
      </x:c>
      <x:c r="AK2316" s="1" t="n">
        <x:f>IF(A2316="",0,COUNTIFS($A$2:$A$501,A2316))</x:f>
        <x:v>1</x:v>
      </x:c>
      <x:c r="AL2316" s="1" t="n">
        <x:f>IF(V2316="Candidate",1,0)</x:f>
        <x:v>1</x:v>
      </x:c>
      <x:c r="AM2316" s="1" t="n">
        <x:f>IF(A2316="",0,VALUE(A2316))</x:f>
        <x:v>7290</x:v>
      </x:c>
      <x:c r="AN2316" s="1" t="n">
        <x:f>IF(OR(A2316="",COUNTIFS($T$41:$T$540,A2316)&lt;&gt;1),0,MATCH(A2316,$T$41:$T$540,0))</x:f>
        <x:v>266</x:v>
      </x:c>
      <x:c r="AO2316" t="n">
        <x:f>IF(ISNUMBER(W2316),W2316,10000+AM2316)</x:f>
        <x:v>61</x:v>
      </x:c>
    </x:row>
    <x:row r="2317" ht="22" customHeight="1">
      <x:c r="A2317" s="1" t="str">
        <x:f>IF(A268="","",A268)</x:f>
        <x:v>7300</x:v>
      </x:c>
      <x:c r="B2317" s="1" t="str">
        <x:f>IF(A2317="","",B268)</x:f>
        <x:v>Francis Hopkinson School</x:v>
      </x:c>
      <x:c r="C2317" s="1" t="str">
        <x:f>IF(A2317="","",C268)</x:f>
        <x:v>District</x:v>
      </x:c>
      <x:c r="D2317" s="1" t="str">
        <x:f>IF(A2317="","",E268)</x:f>
        <x:v>Elementary-Middle</x:v>
      </x:c>
      <x:c r="E2317" s="1" t="str">
        <x:f>IF(A2317="","",H268)</x:f>
        <x:v>19124</x:v>
      </x:c>
      <x:c r="F2317" s="1" t="n">
        <x:f>IF(ISNUMBER(K268),K268,"")</x:f>
        <x:v>547</x:v>
      </x:c>
      <x:c r="G2317" s="1" t="n">
        <x:f>IF(ISNUMBER(L268),L268,"")</x:f>
        <x:v>0.8658</x:v>
      </x:c>
      <x:c r="H2317" s="1" t="str">
        <x:f>IF(A2317="","",IF(AND(UPPER(G268)="PHILADELPHIA",OR(C2317="District",AND(C2317="Charter",D268="Yes"))),"Yes","No"))</x:f>
        <x:v>Yes</x:v>
      </x:c>
      <x:c r="I2317" s="1" t="n">
        <x:f>IF(OR(A2317="",COUNTIFS('Staff Review'!$A$8:$A$507,A2317)&lt;&gt;1),0,MATCH(A2317,'Staff Review'!$A$8:$A$507,0))</x:f>
        <x:v>80</x:v>
      </x:c>
      <x:c r="J2317" s="1" t="str">
        <x:f>IF(I2317=0,"No",IF(INDEX('Staff Review'!$C$8:$C$507,I2317)="Yes","Yes","No"))</x:f>
        <x:v>No</x:v>
      </x:c>
      <x:c r="K2317" s="1" t="n">
        <x:f>IF(AI2317="Yes",INDEX('Staff Review'!$D$8:$D$507,I2317),IF(AB2317=0,"",IF(COUNT(INDEX($C$1531:$C$2030,AB2317))=1,INDEX($C$1531:$C$2030,AB2317),"")))</x:f>
        <x:v>0.1496540986840621</x:v>
      </x:c>
      <x:c r="L2317" s="1" t="n">
        <x:f>IF(AJ2317="Yes",INDEX('Staff Review'!$F$8:$F$507,I2317),IF(AB2317=0,"",IF(COUNT(INDEX($G$1531:$G$2030,AB2317))=1,INDEX($G$1531:$G$2030,AB2317),"")))</x:f>
        <x:v>8</x:v>
      </x:c>
      <x:c r="M2317" s="1" t="str">
        <x:f>IF(A2317="","",IF(AI2317="Yes","Verified","Listed"))</x:f>
        <x:v>Listed</x:v>
      </x:c>
      <x:c r="N2317" s="1" t="str">
        <x:f>IF(A2317="","",IF(AJ2317="Yes","Verified","Listed"))</x:f>
        <x:v>Listed</x:v>
      </x:c>
      <x:c r="O2317" s="1" t="n">
        <x:f>IF(AND(ISNUMBER(G2317),G2317&gt;=0,G2317&lt;=1),IF(G2317&gt;=0.9,30,IF(G2317&gt;=0.8,25,IF(G2317&gt;=0.7,20,IF(G2317&gt;=0.6,15,IF(G2317&gt;=0.5,10,IF(G2317&gt;=0.4,5,0)))))),"")</x:f>
        <x:v>25</x:v>
      </x:c>
      <x:c r="P2317" s="1" t="n">
        <x:f>IF(ISNUMBER(K2317),IF(K2317&lt;0,"",IF(K2317&gt;1,25,IF(K2317&gt;=0.75,20,IF(K2317&gt;=0.5,15,IF(K2317&gt;=0.25,10,5))))),"")</x:f>
        <x:v>5</x:v>
      </x:c>
      <x:c r="Q2317" s="1" t="n">
        <x:f>IF(NOT(ISNUMBER(L2317)),"",IF(AND(L2317&gt;=0,MOD(L2317,1)=0),MAX(0,25-5*L2317),""))</x:f>
        <x:v>0</x:v>
      </x:c>
      <x:c r="R2317" s="1" t="n">
        <x:f>IF(NOT(ISNUMBER(F2317)),"",IF(AND(F2317&gt;0,MOD(F2317,1)=0),IF(F2317&gt;=700,5,IF(F2317&gt;=500,4,IF(F2317&gt;=350,3,IF(F2317&gt;=200,2,1)))),""))</x:f>
        <x:v>4</x:v>
      </x:c>
      <x:c r="S2317" s="1" t="n">
        <x:f>IF(COUNT(O2317:R2317)=4,SUM(O2317:R2317),"")</x:f>
        <x:v>34</x:v>
      </x:c>
      <x:c r="T2317" s="1" t="n">
        <x:f>IF(OR(COUNT(O2317:R2317)&lt;&gt;4,COUNT('Top 15'!$B$35:$E$35)&lt;&gt;4,MIN('Top 15'!$B$35:$E$35)&lt;0,SUM('Top 15'!$B$35:$E$35)&lt;=0),"",ROUND(85*(O2317/30*'Top 15'!$B$35+P2317/25*'Top 15'!$C$35+Q2317/25*'Top 15'!$D$35+R2317/5*'Top 15'!$E$35)/SUM('Top 15'!$B$35:$E$35),6))</x:f>
        <x:v>34</x:v>
      </x:c>
      <x:c r="U2317" s="1" t="str">
        <x:f>IF(A2317="","",IF(AND(M2317="Verified",N2317="Verified"),"Verified",IF(AND(M2317="Listed",N2317="Listed"),"Listed","Mixed")))</x:f>
        <x:v>Listed</x:v>
      </x:c>
      <x:c r="V2317" s="1" t="str">
        <x:f>IF(A2317="","",IF(AK2317&lt;&gt;1,"Duplicate source ID",IF(COUNTIFS('Staff Review'!$A$8:$A$507,A2317)&gt;1,"Duplicate review ID",IF(H2317&lt;&gt;"Yes","Outside scope",IF(J2317="Yes","Already served",IF(NOT(ISNUMBER(T2317)),"Missing data","Candidate"))))))</x:f>
        <x:v>Candidate</x:v>
      </x:c>
      <x:c r="W2317" s="1" t="n">
        <x:f>IF(AL2317=0,"",1+COUNTIFS($AL$2051:$AL$2550,1,$T$2051:$T$2550,"&gt;"&amp;T2317)+COUNTIFS($AL$2051:$AL$2550,1,$T$2051:$T$2550,T2317,$G$2051:$G$2550,"&gt;"&amp;G2317)+COUNTIFS($AL$2051:$AL$2550,1,$T$2051:$T$2550,T2317,$G$2051:$G$2550,G2317,$F$2051:$F$2550,"&gt;"&amp;F2317)+COUNTIFS($AL$2051:$AL$2550,1,$T$2051:$T$2550,T2317,$G$2051:$G$2550,G2317,$F$2051:$F$2550,F2317,$AM$2051:$AM$2550,"&lt;"&amp;AM2317))</x:f>
        <x:v>222</x:v>
      </x:c>
      <x:c r="X2317" s="1" t="n">
        <x:f>IF(AL2317=0,"",1+COUNTIFS($AL$2051:$AL$2550,1,$T$2051:$T$2550,"&gt;"&amp;T2317))</x:f>
        <x:v>221</x:v>
      </x:c>
      <x:c r="Y2317" s="1" t="n">
        <x:f>IF(AND(H2317="Yes",OR(LEN('School Search'!$B$5)=0,ISNUMBER(SEARCH('School Search'!$B$5,B2317&amp;" "&amp;E2317&amp;" "&amp;A2317))),OR('School Search'!$D$5="All",C2317='School Search'!$D$5),OR('School Search'!$G$5="All eligible",AND('School Search'!$G$5="Not marked served",J2317&lt;&gt;"Yes"),AND('School Search'!$G$5="Missing data",V2317="Missing data"),AND('School Search'!$G$5="Marked served",J2317="Yes"))),1,0)</x:f>
        <x:v>1</x:v>
      </x:c>
      <x:c r="Z2317" s="1" t="n">
        <x:f>IF(Y2317=0,"",COUNTIFS($Y$2051:$Y$2550,1,$AO$2051:$AO$2550,"&lt;"&amp;AO2317)+COUNTIFS($Y$2051:Y2317,1,$AO$2051:AO2317,AO2317))</x:f>
        <x:v>222</x:v>
      </x:c>
      <x:c r="AA2317" s="1" t="str">
        <x:f>IF(NOT(ISNUMBER(S2317)),"Missing demographic or access input",TEXT(G2317,"0%")&amp;" economic need; "&amp;TEXT(K2317,"0.00")&amp;" mi fresh access; "&amp;L2317&amp;" nearby resources")</x:f>
        <x:v>87% economic need; 0.15 mi fresh access; 8 nearby resources</x:v>
      </x:c>
      <x:c r="AB2317" s="1" t="n">
        <x:f>IF(OR(A2317="",COUNTIFS($A$1531:$A$2030,A2317)&lt;&gt;1),0,MATCH(A2317,$A$1531:$A$2030,0))</x:f>
        <x:v>267</x:v>
      </x:c>
      <x:c r="AC2317" s="1" t="str">
        <x:f>IF(AB2317=0,"",INDEX($E$1531:$E$2030,AB2317))</x:f>
        <x:v>SAVE-A-LOT 60133</x:v>
      </x:c>
      <x:c r="AD2317" s="1" t="str">
        <x:f>IF(AB2317=0,"",INDEX($F$1531:$F$2030,AB2317))</x:f>
        <x:v>3901-29 M St, Philadelphia, PA, 19124</x:v>
      </x:c>
      <x:c r="AE2317" s="1" t="str">
        <x:f>IF(A2317="","",F268)</x:f>
        <x:v>4001 L ST</x:v>
      </x:c>
      <x:c r="AF2317" s="1" t="n">
        <x:f>IF(ISNUMBER(I268),I268,"")</x:f>
        <x:v>40.00771059</x:v>
      </x:c>
      <x:c r="AG2317" s="1" t="n">
        <x:f>IF(ISNUMBER(J268),J268,"")</x:f>
        <x:v>-75.10274511</x:v>
      </x:c>
      <x:c r="AH2317" s="1" t="str">
        <x:f>IF(I2317=0,"Not contacted",IF(INDEX('Staff Review'!$J$8:$J$507,I2317)="","Not contacted",INDEX('Staff Review'!$J$8:$J$507,I2317)))</x:f>
        <x:v>Not contacted</x:v>
      </x:c>
      <x:c r="AI2317" s="1" t="str">
        <x:f>IF(I2317=0,"No",IF(AND(COUNT(INDEX('Staff Review'!$D$8:$D$507,I2317))=1,INDEX('Staff Review'!$D$8:$D$507,I2317)&gt;=0,COUNT(INDEX('Staff Review'!$E$8:$E$507,I2317))=1,INDEX('Staff Review'!$E$8:$E$507,I2317)&gt;0,INDEX('Staff Review'!$E$8:$E$507,I2317)&lt;='Top 15'!$E$5,'Top 15'!$E$5-INDEX('Staff Review'!$E$8:$E$507,I2317)&lt;='Top 15'!$H$5,LEN(INDEX('Staff Review'!$H$8:$H$507,I2317))&gt;0),"Yes","No"))</x:f>
        <x:v>No</x:v>
      </x:c>
      <x:c r="AJ2317" s="1" t="str">
        <x:f>IF(I2317=0,"No",IF(COUNT(INDEX('Staff Review'!$F$8:$F$507,I2317))&lt;&gt;1,"No",IF(AND(INDEX('Staff Review'!$F$8:$F$507,I2317)&gt;=0,MOD(INDEX('Staff Review'!$F$8:$F$507,I2317),1)=0,COUNT(INDEX('Staff Review'!$G$8:$G$507,I2317))=1,INDEX('Staff Review'!$G$8:$G$507,I2317)&gt;0,INDEX('Staff Review'!$G$8:$G$507,I2317)&lt;='Top 15'!$E$5,'Top 15'!$E$5-INDEX('Staff Review'!$G$8:$G$507,I2317)&lt;='Top 15'!$H$5,LEN(INDEX('Staff Review'!$H$8:$H$507,I2317))&gt;0),"Yes","No")))</x:f>
        <x:v>No</x:v>
      </x:c>
      <x:c r="AK2317" s="1" t="n">
        <x:f>IF(A2317="",0,COUNTIFS($A$2:$A$501,A2317))</x:f>
        <x:v>1</x:v>
      </x:c>
      <x:c r="AL2317" s="1" t="n">
        <x:f>IF(V2317="Candidate",1,0)</x:f>
        <x:v>1</x:v>
      </x:c>
      <x:c r="AM2317" s="1" t="n">
        <x:f>IF(A2317="",0,VALUE(A2317))</x:f>
        <x:v>7300</x:v>
      </x:c>
      <x:c r="AN2317" s="1" t="n">
        <x:f>IF(OR(A2317="",COUNTIFS($T$41:$T$540,A2317)&lt;&gt;1),0,MATCH(A2317,$T$41:$T$540,0))</x:f>
        <x:v>267</x:v>
      </x:c>
      <x:c r="AO2317" t="n">
        <x:f>IF(ISNUMBER(W2317),W2317,10000+AM2317)</x:f>
        <x:v>222</x:v>
      </x:c>
    </x:row>
    <x:row r="2318" ht="22" customHeight="1">
      <x:c r="A2318" s="1" t="str">
        <x:f>IF(A269="","",A269)</x:f>
        <x:v>7310</x:v>
      </x:c>
      <x:c r="B2318" s="1" t="str">
        <x:f>IF(A2318="","",B269)</x:f>
        <x:v>Feltonville Intermediate School</x:v>
      </x:c>
      <x:c r="C2318" s="1" t="str">
        <x:f>IF(A2318="","",C269)</x:f>
        <x:v>District</x:v>
      </x:c>
      <x:c r="D2318" s="1" t="str">
        <x:f>IF(A2318="","",E269)</x:f>
        <x:v>Elementary</x:v>
      </x:c>
      <x:c r="E2318" s="1" t="str">
        <x:f>IF(A2318="","",H269)</x:f>
        <x:v>19120</x:v>
      </x:c>
      <x:c r="F2318" s="1" t="n">
        <x:f>IF(ISNUMBER(K269),K269,"")</x:f>
        <x:v>483</x:v>
      </x:c>
      <x:c r="G2318" s="1" t="n">
        <x:f>IF(ISNUMBER(L269),L269,"")</x:f>
        <x:v>0.85</x:v>
      </x:c>
      <x:c r="H2318" s="1" t="str">
        <x:f>IF(A2318="","",IF(AND(UPPER(G269)="PHILADELPHIA",OR(C2318="District",AND(C2318="Charter",D269="Yes"))),"Yes","No"))</x:f>
        <x:v>Yes</x:v>
      </x:c>
      <x:c r="I2318" s="1" t="n">
        <x:f>IF(OR(A2318="",COUNTIFS('Staff Review'!$A$8:$A$507,A2318)&lt;&gt;1),0,MATCH(A2318,'Staff Review'!$A$8:$A$507,0))</x:f>
        <x:v>73</x:v>
      </x:c>
      <x:c r="J2318" s="1" t="str">
        <x:f>IF(I2318=0,"No",IF(INDEX('Staff Review'!$C$8:$C$507,I2318)="Yes","Yes","No"))</x:f>
        <x:v>No</x:v>
      </x:c>
      <x:c r="K2318" s="1" t="n">
        <x:f>IF(AI2318="Yes",INDEX('Staff Review'!$D$8:$D$507,I2318),IF(AB2318=0,"",IF(COUNT(INDEX($C$1531:$C$2030,AB2318))=1,INDEX($C$1531:$C$2030,AB2318),"")))</x:f>
        <x:v>0.1704569315956346</x:v>
      </x:c>
      <x:c r="L2318" s="1" t="n">
        <x:f>IF(AJ2318="Yes",INDEX('Staff Review'!$F$8:$F$507,I2318),IF(AB2318=0,"",IF(COUNT(INDEX($G$1531:$G$2030,AB2318))=1,INDEX($G$1531:$G$2030,AB2318),"")))</x:f>
        <x:v>7</x:v>
      </x:c>
      <x:c r="M2318" s="1" t="str">
        <x:f>IF(A2318="","",IF(AI2318="Yes","Verified","Listed"))</x:f>
        <x:v>Listed</x:v>
      </x:c>
      <x:c r="N2318" s="1" t="str">
        <x:f>IF(A2318="","",IF(AJ2318="Yes","Verified","Listed"))</x:f>
        <x:v>Listed</x:v>
      </x:c>
      <x:c r="O2318" s="1" t="n">
        <x:f>IF(AND(ISNUMBER(G2318),G2318&gt;=0,G2318&lt;=1),IF(G2318&gt;=0.9,30,IF(G2318&gt;=0.8,25,IF(G2318&gt;=0.7,20,IF(G2318&gt;=0.6,15,IF(G2318&gt;=0.5,10,IF(G2318&gt;=0.4,5,0)))))),"")</x:f>
        <x:v>25</x:v>
      </x:c>
      <x:c r="P2318" s="1" t="n">
        <x:f>IF(ISNUMBER(K2318),IF(K2318&lt;0,"",IF(K2318&gt;1,25,IF(K2318&gt;=0.75,20,IF(K2318&gt;=0.5,15,IF(K2318&gt;=0.25,10,5))))),"")</x:f>
        <x:v>5</x:v>
      </x:c>
      <x:c r="Q2318" s="1" t="n">
        <x:f>IF(NOT(ISNUMBER(L2318)),"",IF(AND(L2318&gt;=0,MOD(L2318,1)=0),MAX(0,25-5*L2318),""))</x:f>
        <x:v>0</x:v>
      </x:c>
      <x:c r="R2318" s="1" t="n">
        <x:f>IF(NOT(ISNUMBER(F2318)),"",IF(AND(F2318&gt;0,MOD(F2318,1)=0),IF(F2318&gt;=700,5,IF(F2318&gt;=500,4,IF(F2318&gt;=350,3,IF(F2318&gt;=200,2,1)))),""))</x:f>
        <x:v>3</x:v>
      </x:c>
      <x:c r="S2318" s="1" t="n">
        <x:f>IF(COUNT(O2318:R2318)=4,SUM(O2318:R2318),"")</x:f>
        <x:v>33</x:v>
      </x:c>
      <x:c r="T2318" s="1" t="n">
        <x:f>IF(OR(COUNT(O2318:R2318)&lt;&gt;4,COUNT('Top 15'!$B$35:$E$35)&lt;&gt;4,MIN('Top 15'!$B$35:$E$35)&lt;0,SUM('Top 15'!$B$35:$E$35)&lt;=0),"",ROUND(85*(O2318/30*'Top 15'!$B$35+P2318/25*'Top 15'!$C$35+Q2318/25*'Top 15'!$D$35+R2318/5*'Top 15'!$E$35)/SUM('Top 15'!$B$35:$E$35),6))</x:f>
        <x:v>33</x:v>
      </x:c>
      <x:c r="U2318" s="1" t="str">
        <x:f>IF(A2318="","",IF(AND(M2318="Verified",N2318="Verified"),"Verified",IF(AND(M2318="Listed",N2318="Listed"),"Listed","Mixed")))</x:f>
        <x:v>Listed</x:v>
      </x:c>
      <x:c r="V2318" s="1" t="str">
        <x:f>IF(A2318="","",IF(AK2318&lt;&gt;1,"Duplicate source ID",IF(COUNTIFS('Staff Review'!$A$8:$A$507,A2318)&gt;1,"Duplicate review ID",IF(H2318&lt;&gt;"Yes","Outside scope",IF(J2318="Yes","Already served",IF(NOT(ISNUMBER(T2318)),"Missing data","Candidate"))))))</x:f>
        <x:v>Candidate</x:v>
      </x:c>
      <x:c r="W2318" s="1" t="n">
        <x:f>IF(AL2318=0,"",1+COUNTIFS($AL$2051:$AL$2550,1,$T$2051:$T$2550,"&gt;"&amp;T2318)+COUNTIFS($AL$2051:$AL$2550,1,$T$2051:$T$2550,T2318,$G$2051:$G$2550,"&gt;"&amp;G2318)+COUNTIFS($AL$2051:$AL$2550,1,$T$2051:$T$2550,T2318,$G$2051:$G$2550,G2318,$F$2051:$F$2550,"&gt;"&amp;F2318)+COUNTIFS($AL$2051:$AL$2550,1,$T$2051:$T$2550,T2318,$G$2051:$G$2550,G2318,$F$2051:$F$2550,F2318,$AM$2051:$AM$2550,"&lt;"&amp;AM2318))</x:f>
        <x:v>235</x:v>
      </x:c>
      <x:c r="X2318" s="1" t="n">
        <x:f>IF(AL2318=0,"",1+COUNTIFS($AL$2051:$AL$2550,1,$T$2051:$T$2550,"&gt;"&amp;T2318))</x:f>
        <x:v>233</x:v>
      </x:c>
      <x:c r="Y2318" s="1" t="n">
        <x:f>IF(AND(H2318="Yes",OR(LEN('School Search'!$B$5)=0,ISNUMBER(SEARCH('School Search'!$B$5,B2318&amp;" "&amp;E2318&amp;" "&amp;A2318))),OR('School Search'!$D$5="All",C2318='School Search'!$D$5),OR('School Search'!$G$5="All eligible",AND('School Search'!$G$5="Not marked served",J2318&lt;&gt;"Yes"),AND('School Search'!$G$5="Missing data",V2318="Missing data"),AND('School Search'!$G$5="Marked served",J2318="Yes"))),1,0)</x:f>
        <x:v>1</x:v>
      </x:c>
      <x:c r="Z2318" s="1" t="n">
        <x:f>IF(Y2318=0,"",COUNTIFS($Y$2051:$Y$2550,1,$AO$2051:$AO$2550,"&lt;"&amp;AO2318)+COUNTIFS($Y$2051:Y2318,1,$AO$2051:AO2318,AO2318))</x:f>
        <x:v>235</x:v>
      </x:c>
      <x:c r="AA2318" s="1" t="str">
        <x:f>IF(NOT(ISNUMBER(S2318)),"Missing demographic or access input",TEXT(G2318,"0%")&amp;" economic need; "&amp;TEXT(K2318,"0.00")&amp;" mi fresh access; "&amp;L2318&amp;" nearby resources")</x:f>
        <x:v>85% economic need; 0.17 mi fresh access; 7 nearby resources</x:v>
      </x:c>
      <x:c r="AB2318" s="1" t="n">
        <x:f>IF(OR(A2318="",COUNTIFS($A$1531:$A$2030,A2318)&lt;&gt;1),0,MATCH(A2318,$A$1531:$A$2030,0))</x:f>
        <x:v>268</x:v>
      </x:c>
      <x:c r="AC2318" s="1" t="str">
        <x:f>IF(AB2318=0,"",INDEX($E$1531:$E$2030,AB2318))</x:f>
        <x:v>Compare &amp; Save Supermarket</x:v>
      </x:c>
      <x:c r="AD2318" s="1" t="str">
        <x:f>IF(AB2318=0,"",INDEX($F$1531:$F$2030,AB2318))</x:f>
        <x:v>405 E Wyoming Ave, Philadelphia, PA, 19120</x:v>
      </x:c>
      <x:c r="AE2318" s="1" t="str">
        <x:f>IF(A2318="","",F269)</x:f>
        <x:v>238 E WYOMING AVE</x:v>
      </x:c>
      <x:c r="AF2318" s="1" t="n">
        <x:f>IF(ISNUMBER(I269),I269,"")</x:f>
        <x:v>40.02034002</x:v>
      </x:c>
      <x:c r="AG2318" s="1" t="n">
        <x:f>IF(ISNUMBER(J269),J269,"")</x:f>
        <x:v>-75.12102564</x:v>
      </x:c>
      <x:c r="AH2318" s="1" t="str">
        <x:f>IF(I2318=0,"Not contacted",IF(INDEX('Staff Review'!$J$8:$J$507,I2318)="","Not contacted",INDEX('Staff Review'!$J$8:$J$507,I2318)))</x:f>
        <x:v>Not contacted</x:v>
      </x:c>
      <x:c r="AI2318" s="1" t="str">
        <x:f>IF(I2318=0,"No",IF(AND(COUNT(INDEX('Staff Review'!$D$8:$D$507,I2318))=1,INDEX('Staff Review'!$D$8:$D$507,I2318)&gt;=0,COUNT(INDEX('Staff Review'!$E$8:$E$507,I2318))=1,INDEX('Staff Review'!$E$8:$E$507,I2318)&gt;0,INDEX('Staff Review'!$E$8:$E$507,I2318)&lt;='Top 15'!$E$5,'Top 15'!$E$5-INDEX('Staff Review'!$E$8:$E$507,I2318)&lt;='Top 15'!$H$5,LEN(INDEX('Staff Review'!$H$8:$H$507,I2318))&gt;0),"Yes","No"))</x:f>
        <x:v>No</x:v>
      </x:c>
      <x:c r="AJ2318" s="1" t="str">
        <x:f>IF(I2318=0,"No",IF(COUNT(INDEX('Staff Review'!$F$8:$F$507,I2318))&lt;&gt;1,"No",IF(AND(INDEX('Staff Review'!$F$8:$F$507,I2318)&gt;=0,MOD(INDEX('Staff Review'!$F$8:$F$507,I2318),1)=0,COUNT(INDEX('Staff Review'!$G$8:$G$507,I2318))=1,INDEX('Staff Review'!$G$8:$G$507,I2318)&gt;0,INDEX('Staff Review'!$G$8:$G$507,I2318)&lt;='Top 15'!$E$5,'Top 15'!$E$5-INDEX('Staff Review'!$G$8:$G$507,I2318)&lt;='Top 15'!$H$5,LEN(INDEX('Staff Review'!$H$8:$H$507,I2318))&gt;0),"Yes","No")))</x:f>
        <x:v>No</x:v>
      </x:c>
      <x:c r="AK2318" s="1" t="n">
        <x:f>IF(A2318="",0,COUNTIFS($A$2:$A$501,A2318))</x:f>
        <x:v>1</x:v>
      </x:c>
      <x:c r="AL2318" s="1" t="n">
        <x:f>IF(V2318="Candidate",1,0)</x:f>
        <x:v>1</x:v>
      </x:c>
      <x:c r="AM2318" s="1" t="n">
        <x:f>IF(A2318="",0,VALUE(A2318))</x:f>
        <x:v>7310</x:v>
      </x:c>
      <x:c r="AN2318" s="1" t="n">
        <x:f>IF(OR(A2318="",COUNTIFS($T$41:$T$540,A2318)&lt;&gt;1),0,MATCH(A2318,$T$41:$T$540,0))</x:f>
        <x:v>268</x:v>
      </x:c>
      <x:c r="AO2318" t="n">
        <x:f>IF(ISNUMBER(W2318),W2318,10000+AM2318)</x:f>
        <x:v>235</x:v>
      </x:c>
    </x:row>
    <x:row r="2319" ht="22" customHeight="1">
      <x:c r="A2319" s="1" t="str">
        <x:f>IF(A270="","",A270)</x:f>
        <x:v>7320</x:v>
      </x:c>
      <x:c r="B2319" s="1" t="str">
        <x:f>IF(A2319="","",B270)</x:f>
        <x:v>Julia W. Howe School</x:v>
      </x:c>
      <x:c r="C2319" s="1" t="str">
        <x:f>IF(A2319="","",C270)</x:f>
        <x:v>District</x:v>
      </x:c>
      <x:c r="D2319" s="1" t="str">
        <x:f>IF(A2319="","",E270)</x:f>
        <x:v>Elementary</x:v>
      </x:c>
      <x:c r="E2319" s="1" t="str">
        <x:f>IF(A2319="","",H270)</x:f>
        <x:v>19141</x:v>
      </x:c>
      <x:c r="F2319" s="1" t="n">
        <x:f>IF(ISNUMBER(K270),K270,"")</x:f>
        <x:v>225</x:v>
      </x:c>
      <x:c r="G2319" s="1" t="n">
        <x:f>IF(ISNUMBER(L270),L270,"")</x:f>
        <x:v>0.8198</x:v>
      </x:c>
      <x:c r="H2319" s="1" t="str">
        <x:f>IF(A2319="","",IF(AND(UPPER(G270)="PHILADELPHIA",OR(C2319="District",AND(C2319="Charter",D270="Yes"))),"Yes","No"))</x:f>
        <x:v>Yes</x:v>
      </x:c>
      <x:c r="I2319" s="1" t="n">
        <x:f>IF(OR(A2319="",COUNTIFS('Staff Review'!$A$8:$A$507,A2319)&lt;&gt;1),0,MATCH(A2319,'Staff Review'!$A$8:$A$507,0))</x:f>
        <x:v>153</x:v>
      </x:c>
      <x:c r="J2319" s="1" t="str">
        <x:f>IF(I2319=0,"No",IF(INDEX('Staff Review'!$C$8:$C$507,I2319)="Yes","Yes","No"))</x:f>
        <x:v>No</x:v>
      </x:c>
      <x:c r="K2319" s="1" t="n">
        <x:f>IF(AI2319="Yes",INDEX('Staff Review'!$D$8:$D$507,I2319),IF(AB2319=0,"",IF(COUNT(INDEX($C$1531:$C$2030,AB2319))=1,INDEX($C$1531:$C$2030,AB2319),"")))</x:f>
        <x:v>0.3998929041426872</x:v>
      </x:c>
      <x:c r="L2319" s="1" t="n">
        <x:f>IF(AJ2319="Yes",INDEX('Staff Review'!$F$8:$F$507,I2319),IF(AB2319=0,"",IF(COUNT(INDEX($G$1531:$G$2030,AB2319))=1,INDEX($G$1531:$G$2030,AB2319),"")))</x:f>
        <x:v>8</x:v>
      </x:c>
      <x:c r="M2319" s="1" t="str">
        <x:f>IF(A2319="","",IF(AI2319="Yes","Verified","Listed"))</x:f>
        <x:v>Listed</x:v>
      </x:c>
      <x:c r="N2319" s="1" t="str">
        <x:f>IF(A2319="","",IF(AJ2319="Yes","Verified","Listed"))</x:f>
        <x:v>Listed</x:v>
      </x:c>
      <x:c r="O2319" s="1" t="n">
        <x:f>IF(AND(ISNUMBER(G2319),G2319&gt;=0,G2319&lt;=1),IF(G2319&gt;=0.9,30,IF(G2319&gt;=0.8,25,IF(G2319&gt;=0.7,20,IF(G2319&gt;=0.6,15,IF(G2319&gt;=0.5,10,IF(G2319&gt;=0.4,5,0)))))),"")</x:f>
        <x:v>25</x:v>
      </x:c>
      <x:c r="P2319" s="1" t="n">
        <x:f>IF(ISNUMBER(K2319),IF(K2319&lt;0,"",IF(K2319&gt;1,25,IF(K2319&gt;=0.75,20,IF(K2319&gt;=0.5,15,IF(K2319&gt;=0.25,10,5))))),"")</x:f>
        <x:v>10</x:v>
      </x:c>
      <x:c r="Q2319" s="1" t="n">
        <x:f>IF(NOT(ISNUMBER(L2319)),"",IF(AND(L2319&gt;=0,MOD(L2319,1)=0),MAX(0,25-5*L2319),""))</x:f>
        <x:v>0</x:v>
      </x:c>
      <x:c r="R2319" s="1" t="n">
        <x:f>IF(NOT(ISNUMBER(F2319)),"",IF(AND(F2319&gt;0,MOD(F2319,1)=0),IF(F2319&gt;=700,5,IF(F2319&gt;=500,4,IF(F2319&gt;=350,3,IF(F2319&gt;=200,2,1)))),""))</x:f>
        <x:v>2</x:v>
      </x:c>
      <x:c r="S2319" s="1" t="n">
        <x:f>IF(COUNT(O2319:R2319)=4,SUM(O2319:R2319),"")</x:f>
        <x:v>37</x:v>
      </x:c>
      <x:c r="T2319" s="1" t="n">
        <x:f>IF(OR(COUNT(O2319:R2319)&lt;&gt;4,COUNT('Top 15'!$B$35:$E$35)&lt;&gt;4,MIN('Top 15'!$B$35:$E$35)&lt;0,SUM('Top 15'!$B$35:$E$35)&lt;=0),"",ROUND(85*(O2319/30*'Top 15'!$B$35+P2319/25*'Top 15'!$C$35+Q2319/25*'Top 15'!$D$35+R2319/5*'Top 15'!$E$35)/SUM('Top 15'!$B$35:$E$35),6))</x:f>
        <x:v>37</x:v>
      </x:c>
      <x:c r="U2319" s="1" t="str">
        <x:f>IF(A2319="","",IF(AND(M2319="Verified",N2319="Verified"),"Verified",IF(AND(M2319="Listed",N2319="Listed"),"Listed","Mixed")))</x:f>
        <x:v>Listed</x:v>
      </x:c>
      <x:c r="V2319" s="1" t="str">
        <x:f>IF(A2319="","",IF(AK2319&lt;&gt;1,"Duplicate source ID",IF(COUNTIFS('Staff Review'!$A$8:$A$507,A2319)&gt;1,"Duplicate review ID",IF(H2319&lt;&gt;"Yes","Outside scope",IF(J2319="Yes","Already served",IF(NOT(ISNUMBER(T2319)),"Missing data","Candidate"))))))</x:f>
        <x:v>Candidate</x:v>
      </x:c>
      <x:c r="W2319" s="1" t="n">
        <x:f>IF(AL2319=0,"",1+COUNTIFS($AL$2051:$AL$2550,1,$T$2051:$T$2550,"&gt;"&amp;T2319)+COUNTIFS($AL$2051:$AL$2550,1,$T$2051:$T$2550,T2319,$G$2051:$G$2550,"&gt;"&amp;G2319)+COUNTIFS($AL$2051:$AL$2550,1,$T$2051:$T$2550,T2319,$G$2051:$G$2550,G2319,$F$2051:$F$2550,"&gt;"&amp;F2319)+COUNTIFS($AL$2051:$AL$2550,1,$T$2051:$T$2550,T2319,$G$2051:$G$2550,G2319,$F$2051:$F$2550,F2319,$AM$2051:$AM$2550,"&lt;"&amp;AM2319))</x:f>
        <x:v>201</x:v>
      </x:c>
      <x:c r="X2319" s="1" t="n">
        <x:f>IF(AL2319=0,"",1+COUNTIFS($AL$2051:$AL$2550,1,$T$2051:$T$2550,"&gt;"&amp;T2319))</x:f>
        <x:v>182</x:v>
      </x:c>
      <x:c r="Y2319" s="1" t="n">
        <x:f>IF(AND(H2319="Yes",OR(LEN('School Search'!$B$5)=0,ISNUMBER(SEARCH('School Search'!$B$5,B2319&amp;" "&amp;E2319&amp;" "&amp;A2319))),OR('School Search'!$D$5="All",C2319='School Search'!$D$5),OR('School Search'!$G$5="All eligible",AND('School Search'!$G$5="Not marked served",J2319&lt;&gt;"Yes"),AND('School Search'!$G$5="Missing data",V2319="Missing data"),AND('School Search'!$G$5="Marked served",J2319="Yes"))),1,0)</x:f>
        <x:v>1</x:v>
      </x:c>
      <x:c r="Z2319" s="1" t="n">
        <x:f>IF(Y2319=0,"",COUNTIFS($Y$2051:$Y$2550,1,$AO$2051:$AO$2550,"&lt;"&amp;AO2319)+COUNTIFS($Y$2051:Y2319,1,$AO$2051:AO2319,AO2319))</x:f>
        <x:v>201</x:v>
      </x:c>
      <x:c r="AA2319" s="1" t="str">
        <x:f>IF(NOT(ISNUMBER(S2319)),"Missing demographic or access input",TEXT(G2319,"0%")&amp;" economic need; "&amp;TEXT(K2319,"0.00")&amp;" mi fresh access; "&amp;L2319&amp;" nearby resources")</x:f>
        <x:v>82% economic need; 0.40 mi fresh access; 8 nearby resources</x:v>
      </x:c>
      <x:c r="AB2319" s="1" t="n">
        <x:f>IF(OR(A2319="",COUNTIFS($A$1531:$A$2030,A2319)&lt;&gt;1),0,MATCH(A2319,$A$1531:$A$2030,0))</x:f>
        <x:v>269</x:v>
      </x:c>
      <x:c r="AC2319" s="1" t="str">
        <x:f>IF(AB2319=0,"",INDEX($E$1531:$E$2030,AB2319))</x:f>
        <x:v>ALDI 60011 60011</x:v>
      </x:c>
      <x:c r="AD2319" s="1" t="str">
        <x:f>IF(AB2319=0,"",INDEX($F$1531:$F$2030,AB2319))</x:f>
        <x:v>6119 N Broad St, Philadelphia, PA, 19141</x:v>
      </x:c>
      <x:c r="AE2319" s="1" t="str">
        <x:f>IF(A2319="","",F270)</x:f>
        <x:v>5800 N 13TH ST</x:v>
      </x:c>
      <x:c r="AF2319" s="1" t="n">
        <x:f>IF(ISNUMBER(I270),I270,"")</x:f>
        <x:v>40.04113187</x:v>
      </x:c>
      <x:c r="AG2319" s="1" t="n">
        <x:f>IF(ISNUMBER(J270),J270,"")</x:f>
        <x:v>-75.14211131</x:v>
      </x:c>
      <x:c r="AH2319" s="1" t="str">
        <x:f>IF(I2319=0,"Not contacted",IF(INDEX('Staff Review'!$J$8:$J$507,I2319)="","Not contacted",INDEX('Staff Review'!$J$8:$J$507,I2319)))</x:f>
        <x:v>Not contacted</x:v>
      </x:c>
      <x:c r="AI2319" s="1" t="str">
        <x:f>IF(I2319=0,"No",IF(AND(COUNT(INDEX('Staff Review'!$D$8:$D$507,I2319))=1,INDEX('Staff Review'!$D$8:$D$507,I2319)&gt;=0,COUNT(INDEX('Staff Review'!$E$8:$E$507,I2319))=1,INDEX('Staff Review'!$E$8:$E$507,I2319)&gt;0,INDEX('Staff Review'!$E$8:$E$507,I2319)&lt;='Top 15'!$E$5,'Top 15'!$E$5-INDEX('Staff Review'!$E$8:$E$507,I2319)&lt;='Top 15'!$H$5,LEN(INDEX('Staff Review'!$H$8:$H$507,I2319))&gt;0),"Yes","No"))</x:f>
        <x:v>No</x:v>
      </x:c>
      <x:c r="AJ2319" s="1" t="str">
        <x:f>IF(I2319=0,"No",IF(COUNT(INDEX('Staff Review'!$F$8:$F$507,I2319))&lt;&gt;1,"No",IF(AND(INDEX('Staff Review'!$F$8:$F$507,I2319)&gt;=0,MOD(INDEX('Staff Review'!$F$8:$F$507,I2319),1)=0,COUNT(INDEX('Staff Review'!$G$8:$G$507,I2319))=1,INDEX('Staff Review'!$G$8:$G$507,I2319)&gt;0,INDEX('Staff Review'!$G$8:$G$507,I2319)&lt;='Top 15'!$E$5,'Top 15'!$E$5-INDEX('Staff Review'!$G$8:$G$507,I2319)&lt;='Top 15'!$H$5,LEN(INDEX('Staff Review'!$H$8:$H$507,I2319))&gt;0),"Yes","No")))</x:f>
        <x:v>No</x:v>
      </x:c>
      <x:c r="AK2319" s="1" t="n">
        <x:f>IF(A2319="",0,COUNTIFS($A$2:$A$501,A2319))</x:f>
        <x:v>1</x:v>
      </x:c>
      <x:c r="AL2319" s="1" t="n">
        <x:f>IF(V2319="Candidate",1,0)</x:f>
        <x:v>1</x:v>
      </x:c>
      <x:c r="AM2319" s="1" t="n">
        <x:f>IF(A2319="",0,VALUE(A2319))</x:f>
        <x:v>7320</x:v>
      </x:c>
      <x:c r="AN2319" s="1" t="n">
        <x:f>IF(OR(A2319="",COUNTIFS($T$41:$T$540,A2319)&lt;&gt;1),0,MATCH(A2319,$T$41:$T$540,0))</x:f>
        <x:v>269</x:v>
      </x:c>
      <x:c r="AO2319" t="n">
        <x:f>IF(ISNUMBER(W2319),W2319,10000+AM2319)</x:f>
        <x:v>201</x:v>
      </x:c>
    </x:row>
    <x:row r="2320" ht="22" customHeight="1">
      <x:c r="A2320" s="1" t="str">
        <x:f>IF(A271="","",A271)</x:f>
        <x:v>7330</x:v>
      </x:c>
      <x:c r="B2320" s="1" t="str">
        <x:f>IF(A2320="","",B271)</x:f>
        <x:v>Henry W. Lawton School</x:v>
      </x:c>
      <x:c r="C2320" s="1" t="str">
        <x:f>IF(A2320="","",C271)</x:f>
        <x:v>District</x:v>
      </x:c>
      <x:c r="D2320" s="1" t="str">
        <x:f>IF(A2320="","",E271)</x:f>
        <x:v>Elementary</x:v>
      </x:c>
      <x:c r="E2320" s="1" t="str">
        <x:f>IF(A2320="","",H271)</x:f>
        <x:v>19135</x:v>
      </x:c>
      <x:c r="F2320" s="1" t="n">
        <x:f>IF(ISNUMBER(K271),K271,"")</x:f>
        <x:v>513</x:v>
      </x:c>
      <x:c r="G2320" s="1" t="n">
        <x:f>IF(ISNUMBER(L271),L271,"")</x:f>
        <x:v>0.8275</x:v>
      </x:c>
      <x:c r="H2320" s="1" t="str">
        <x:f>IF(A2320="","",IF(AND(UPPER(G271)="PHILADELPHIA",OR(C2320="District",AND(C2320="Charter",D271="Yes"))),"Yes","No"))</x:f>
        <x:v>Yes</x:v>
      </x:c>
      <x:c r="I2320" s="1" t="n">
        <x:f>IF(OR(A2320="",COUNTIFS('Staff Review'!$A$8:$A$507,A2320)&lt;&gt;1),0,MATCH(A2320,'Staff Review'!$A$8:$A$507,0))</x:f>
        <x:v>112</x:v>
      </x:c>
      <x:c r="J2320" s="1" t="str">
        <x:f>IF(I2320=0,"No",IF(INDEX('Staff Review'!$C$8:$C$507,I2320)="Yes","Yes","No"))</x:f>
        <x:v>No</x:v>
      </x:c>
      <x:c r="K2320" s="1" t="n">
        <x:f>IF(AI2320="Yes",INDEX('Staff Review'!$D$8:$D$507,I2320),IF(AB2320=0,"",IF(COUNT(INDEX($C$1531:$C$2030,AB2320))=1,INDEX($C$1531:$C$2030,AB2320),"")))</x:f>
        <x:v>0.3661510505973075</x:v>
      </x:c>
      <x:c r="L2320" s="1" t="n">
        <x:f>IF(AJ2320="Yes",INDEX('Staff Review'!$F$8:$F$507,I2320),IF(AB2320=0,"",IF(COUNT(INDEX($G$1531:$G$2030,AB2320))=1,INDEX($G$1531:$G$2030,AB2320),"")))</x:f>
        <x:v>3</x:v>
      </x:c>
      <x:c r="M2320" s="1" t="str">
        <x:f>IF(A2320="","",IF(AI2320="Yes","Verified","Listed"))</x:f>
        <x:v>Listed</x:v>
      </x:c>
      <x:c r="N2320" s="1" t="str">
        <x:f>IF(A2320="","",IF(AJ2320="Yes","Verified","Listed"))</x:f>
        <x:v>Listed</x:v>
      </x:c>
      <x:c r="O2320" s="1" t="n">
        <x:f>IF(AND(ISNUMBER(G2320),G2320&gt;=0,G2320&lt;=1),IF(G2320&gt;=0.9,30,IF(G2320&gt;=0.8,25,IF(G2320&gt;=0.7,20,IF(G2320&gt;=0.6,15,IF(G2320&gt;=0.5,10,IF(G2320&gt;=0.4,5,0)))))),"")</x:f>
        <x:v>25</x:v>
      </x:c>
      <x:c r="P2320" s="1" t="n">
        <x:f>IF(ISNUMBER(K2320),IF(K2320&lt;0,"",IF(K2320&gt;1,25,IF(K2320&gt;=0.75,20,IF(K2320&gt;=0.5,15,IF(K2320&gt;=0.25,10,5))))),"")</x:f>
        <x:v>10</x:v>
      </x:c>
      <x:c r="Q2320" s="1" t="n">
        <x:f>IF(NOT(ISNUMBER(L2320)),"",IF(AND(L2320&gt;=0,MOD(L2320,1)=0),MAX(0,25-5*L2320),""))</x:f>
        <x:v>10</x:v>
      </x:c>
      <x:c r="R2320" s="1" t="n">
        <x:f>IF(NOT(ISNUMBER(F2320)),"",IF(AND(F2320&gt;0,MOD(F2320,1)=0),IF(F2320&gt;=700,5,IF(F2320&gt;=500,4,IF(F2320&gt;=350,3,IF(F2320&gt;=200,2,1)))),""))</x:f>
        <x:v>4</x:v>
      </x:c>
      <x:c r="S2320" s="1" t="n">
        <x:f>IF(COUNT(O2320:R2320)=4,SUM(O2320:R2320),"")</x:f>
        <x:v>49</x:v>
      </x:c>
      <x:c r="T2320" s="1" t="n">
        <x:f>IF(OR(COUNT(O2320:R2320)&lt;&gt;4,COUNT('Top 15'!$B$35:$E$35)&lt;&gt;4,MIN('Top 15'!$B$35:$E$35)&lt;0,SUM('Top 15'!$B$35:$E$35)&lt;=0),"",ROUND(85*(O2320/30*'Top 15'!$B$35+P2320/25*'Top 15'!$C$35+Q2320/25*'Top 15'!$D$35+R2320/5*'Top 15'!$E$35)/SUM('Top 15'!$B$35:$E$35),6))</x:f>
        <x:v>49</x:v>
      </x:c>
      <x:c r="U2320" s="1" t="str">
        <x:f>IF(A2320="","",IF(AND(M2320="Verified",N2320="Verified"),"Verified",IF(AND(M2320="Listed",N2320="Listed"),"Listed","Mixed")))</x:f>
        <x:v>Listed</x:v>
      </x:c>
      <x:c r="V2320" s="1" t="str">
        <x:f>IF(A2320="","",IF(AK2320&lt;&gt;1,"Duplicate source ID",IF(COUNTIFS('Staff Review'!$A$8:$A$507,A2320)&gt;1,"Duplicate review ID",IF(H2320&lt;&gt;"Yes","Outside scope",IF(J2320="Yes","Already served",IF(NOT(ISNUMBER(T2320)),"Missing data","Candidate"))))))</x:f>
        <x:v>Candidate</x:v>
      </x:c>
      <x:c r="W2320" s="1" t="n">
        <x:f>IF(AL2320=0,"",1+COUNTIFS($AL$2051:$AL$2550,1,$T$2051:$T$2550,"&gt;"&amp;T2320)+COUNTIFS($AL$2051:$AL$2550,1,$T$2051:$T$2550,T2320,$G$2051:$G$2550,"&gt;"&amp;G2320)+COUNTIFS($AL$2051:$AL$2550,1,$T$2051:$T$2550,T2320,$G$2051:$G$2550,G2320,$F$2051:$F$2550,"&gt;"&amp;F2320)+COUNTIFS($AL$2051:$AL$2550,1,$T$2051:$T$2550,T2320,$G$2051:$G$2550,G2320,$F$2051:$F$2550,F2320,$AM$2051:$AM$2550,"&lt;"&amp;AM2320))</x:f>
        <x:v>51</x:v>
      </x:c>
      <x:c r="X2320" s="1" t="n">
        <x:f>IF(AL2320=0,"",1+COUNTIFS($AL$2051:$AL$2550,1,$T$2051:$T$2550,"&gt;"&amp;T2320))</x:f>
        <x:v>46</x:v>
      </x:c>
      <x:c r="Y2320" s="1" t="n">
        <x:f>IF(AND(H2320="Yes",OR(LEN('School Search'!$B$5)=0,ISNUMBER(SEARCH('School Search'!$B$5,B2320&amp;" "&amp;E2320&amp;" "&amp;A2320))),OR('School Search'!$D$5="All",C2320='School Search'!$D$5),OR('School Search'!$G$5="All eligible",AND('School Search'!$G$5="Not marked served",J2320&lt;&gt;"Yes"),AND('School Search'!$G$5="Missing data",V2320="Missing data"),AND('School Search'!$G$5="Marked served",J2320="Yes"))),1,0)</x:f>
        <x:v>1</x:v>
      </x:c>
      <x:c r="Z2320" s="1" t="n">
        <x:f>IF(Y2320=0,"",COUNTIFS($Y$2051:$Y$2550,1,$AO$2051:$AO$2550,"&lt;"&amp;AO2320)+COUNTIFS($Y$2051:Y2320,1,$AO$2051:AO2320,AO2320))</x:f>
        <x:v>51</x:v>
      </x:c>
      <x:c r="AA2320" s="1" t="str">
        <x:f>IF(NOT(ISNUMBER(S2320)),"Missing demographic or access input",TEXT(G2320,"0%")&amp;" economic need; "&amp;TEXT(K2320,"0.00")&amp;" mi fresh access; "&amp;L2320&amp;" nearby resources")</x:f>
        <x:v>83% economic need; 0.37 mi fresh access; 3 nearby resources</x:v>
      </x:c>
      <x:c r="AB2320" s="1" t="n">
        <x:f>IF(OR(A2320="",COUNTIFS($A$1531:$A$2030,A2320)&lt;&gt;1),0,MATCH(A2320,$A$1531:$A$2030,0))</x:f>
        <x:v>270</x:v>
      </x:c>
      <x:c r="AC2320" s="1" t="str">
        <x:f>IF(AB2320=0,"",INDEX($E$1531:$E$2030,AB2320))</x:f>
        <x:v>6327 Meat Corp DBA Food Town</x:v>
      </x:c>
      <x:c r="AD2320" s="1" t="str">
        <x:f>IF(AB2320=0,"",INDEX($F$1531:$F$2030,AB2320))</x:f>
        <x:v>6327 Torresdale Ave, Philadelphia, PA, 19135</x:v>
      </x:c>
      <x:c r="AE2320" s="1" t="str">
        <x:f>IF(A2320="","",F271)</x:f>
        <x:v>6101 JACKSON ST</x:v>
      </x:c>
      <x:c r="AF2320" s="1" t="n">
        <x:f>IF(ISNUMBER(I271),I271,"")</x:f>
        <x:v>40.020648</x:v>
      </x:c>
      <x:c r="AG2320" s="1" t="n">
        <x:f>IF(ISNUMBER(J271),J271,"")</x:f>
        <x:v>-75.058976</x:v>
      </x:c>
      <x:c r="AH2320" s="1" t="str">
        <x:f>IF(I2320=0,"Not contacted",IF(INDEX('Staff Review'!$J$8:$J$507,I2320)="","Not contacted",INDEX('Staff Review'!$J$8:$J$507,I2320)))</x:f>
        <x:v>Not contacted</x:v>
      </x:c>
      <x:c r="AI2320" s="1" t="str">
        <x:f>IF(I2320=0,"No",IF(AND(COUNT(INDEX('Staff Review'!$D$8:$D$507,I2320))=1,INDEX('Staff Review'!$D$8:$D$507,I2320)&gt;=0,COUNT(INDEX('Staff Review'!$E$8:$E$507,I2320))=1,INDEX('Staff Review'!$E$8:$E$507,I2320)&gt;0,INDEX('Staff Review'!$E$8:$E$507,I2320)&lt;='Top 15'!$E$5,'Top 15'!$E$5-INDEX('Staff Review'!$E$8:$E$507,I2320)&lt;='Top 15'!$H$5,LEN(INDEX('Staff Review'!$H$8:$H$507,I2320))&gt;0),"Yes","No"))</x:f>
        <x:v>No</x:v>
      </x:c>
      <x:c r="AJ2320" s="1" t="str">
        <x:f>IF(I2320=0,"No",IF(COUNT(INDEX('Staff Review'!$F$8:$F$507,I2320))&lt;&gt;1,"No",IF(AND(INDEX('Staff Review'!$F$8:$F$507,I2320)&gt;=0,MOD(INDEX('Staff Review'!$F$8:$F$507,I2320),1)=0,COUNT(INDEX('Staff Review'!$G$8:$G$507,I2320))=1,INDEX('Staff Review'!$G$8:$G$507,I2320)&gt;0,INDEX('Staff Review'!$G$8:$G$507,I2320)&lt;='Top 15'!$E$5,'Top 15'!$E$5-INDEX('Staff Review'!$G$8:$G$507,I2320)&lt;='Top 15'!$H$5,LEN(INDEX('Staff Review'!$H$8:$H$507,I2320))&gt;0),"Yes","No")))</x:f>
        <x:v>No</x:v>
      </x:c>
      <x:c r="AK2320" s="1" t="n">
        <x:f>IF(A2320="",0,COUNTIFS($A$2:$A$501,A2320))</x:f>
        <x:v>1</x:v>
      </x:c>
      <x:c r="AL2320" s="1" t="n">
        <x:f>IF(V2320="Candidate",1,0)</x:f>
        <x:v>1</x:v>
      </x:c>
      <x:c r="AM2320" s="1" t="n">
        <x:f>IF(A2320="",0,VALUE(A2320))</x:f>
        <x:v>7330</x:v>
      </x:c>
      <x:c r="AN2320" s="1" t="n">
        <x:f>IF(OR(A2320="",COUNTIFS($T$41:$T$540,A2320)&lt;&gt;1),0,MATCH(A2320,$T$41:$T$540,0))</x:f>
        <x:v>270</x:v>
      </x:c>
      <x:c r="AO2320" t="n">
        <x:f>IF(ISNUMBER(W2320),W2320,10000+AM2320)</x:f>
        <x:v>51</x:v>
      </x:c>
    </x:row>
    <x:row r="2321" ht="22" customHeight="1">
      <x:c r="A2321" s="1" t="str">
        <x:f>IF(A272="","",A272)</x:f>
        <x:v>7350</x:v>
      </x:c>
      <x:c r="B2321" s="1" t="str">
        <x:f>IF(A2321="","",B272)</x:f>
        <x:v>James R. Lowell School</x:v>
      </x:c>
      <x:c r="C2321" s="1" t="str">
        <x:f>IF(A2321="","",C272)</x:f>
        <x:v>District</x:v>
      </x:c>
      <x:c r="D2321" s="1" t="str">
        <x:f>IF(A2321="","",E272)</x:f>
        <x:v>Elementary</x:v>
      </x:c>
      <x:c r="E2321" s="1" t="str">
        <x:f>IF(A2321="","",H272)</x:f>
        <x:v>19120</x:v>
      </x:c>
      <x:c r="F2321" s="1" t="n">
        <x:f>IF(ISNUMBER(K272),K272,"")</x:f>
        <x:v>430</x:v>
      </x:c>
      <x:c r="G2321" s="1" t="n">
        <x:f>IF(ISNUMBER(L272),L272,"")</x:f>
        <x:v>0.8768</x:v>
      </x:c>
      <x:c r="H2321" s="1" t="str">
        <x:f>IF(A2321="","",IF(AND(UPPER(G272)="PHILADELPHIA",OR(C2321="District",AND(C2321="Charter",D272="Yes"))),"Yes","No"))</x:f>
        <x:v>Yes</x:v>
      </x:c>
      <x:c r="I2321" s="1" t="n">
        <x:f>IF(OR(A2321="",COUNTIFS('Staff Review'!$A$8:$A$507,A2321)&lt;&gt;1),0,MATCH(A2321,'Staff Review'!$A$8:$A$507,0))</x:f>
        <x:v>129</x:v>
      </x:c>
      <x:c r="J2321" s="1" t="str">
        <x:f>IF(I2321=0,"No",IF(INDEX('Staff Review'!$C$8:$C$507,I2321)="Yes","Yes","No"))</x:f>
        <x:v>No</x:v>
      </x:c>
      <x:c r="K2321" s="1" t="n">
        <x:f>IF(AI2321="Yes",INDEX('Staff Review'!$D$8:$D$507,I2321),IF(AB2321=0,"",IF(COUNT(INDEX($C$1531:$C$2030,AB2321))=1,INDEX($C$1531:$C$2030,AB2321),"")))</x:f>
        <x:v>0.5454043636965177</x:v>
      </x:c>
      <x:c r="L2321" s="1" t="n">
        <x:f>IF(AJ2321="Yes",INDEX('Staff Review'!$F$8:$F$507,I2321),IF(AB2321=0,"",IF(COUNT(INDEX($G$1531:$G$2030,AB2321))=1,INDEX($G$1531:$G$2030,AB2321),"")))</x:f>
        <x:v>4</x:v>
      </x:c>
      <x:c r="M2321" s="1" t="str">
        <x:f>IF(A2321="","",IF(AI2321="Yes","Verified","Listed"))</x:f>
        <x:v>Listed</x:v>
      </x:c>
      <x:c r="N2321" s="1" t="str">
        <x:f>IF(A2321="","",IF(AJ2321="Yes","Verified","Listed"))</x:f>
        <x:v>Listed</x:v>
      </x:c>
      <x:c r="O2321" s="1" t="n">
        <x:f>IF(AND(ISNUMBER(G2321),G2321&gt;=0,G2321&lt;=1),IF(G2321&gt;=0.9,30,IF(G2321&gt;=0.8,25,IF(G2321&gt;=0.7,20,IF(G2321&gt;=0.6,15,IF(G2321&gt;=0.5,10,IF(G2321&gt;=0.4,5,0)))))),"")</x:f>
        <x:v>25</x:v>
      </x:c>
      <x:c r="P2321" s="1" t="n">
        <x:f>IF(ISNUMBER(K2321),IF(K2321&lt;0,"",IF(K2321&gt;1,25,IF(K2321&gt;=0.75,20,IF(K2321&gt;=0.5,15,IF(K2321&gt;=0.25,10,5))))),"")</x:f>
        <x:v>15</x:v>
      </x:c>
      <x:c r="Q2321" s="1" t="n">
        <x:f>IF(NOT(ISNUMBER(L2321)),"",IF(AND(L2321&gt;=0,MOD(L2321,1)=0),MAX(0,25-5*L2321),""))</x:f>
        <x:v>5</x:v>
      </x:c>
      <x:c r="R2321" s="1" t="n">
        <x:f>IF(NOT(ISNUMBER(F2321)),"",IF(AND(F2321&gt;0,MOD(F2321,1)=0),IF(F2321&gt;=700,5,IF(F2321&gt;=500,4,IF(F2321&gt;=350,3,IF(F2321&gt;=200,2,1)))),""))</x:f>
        <x:v>3</x:v>
      </x:c>
      <x:c r="S2321" s="1" t="n">
        <x:f>IF(COUNT(O2321:R2321)=4,SUM(O2321:R2321),"")</x:f>
        <x:v>48</x:v>
      </x:c>
      <x:c r="T2321" s="1" t="n">
        <x:f>IF(OR(COUNT(O2321:R2321)&lt;&gt;4,COUNT('Top 15'!$B$35:$E$35)&lt;&gt;4,MIN('Top 15'!$B$35:$E$35)&lt;0,SUM('Top 15'!$B$35:$E$35)&lt;=0),"",ROUND(85*(O2321/30*'Top 15'!$B$35+P2321/25*'Top 15'!$C$35+Q2321/25*'Top 15'!$D$35+R2321/5*'Top 15'!$E$35)/SUM('Top 15'!$B$35:$E$35),6))</x:f>
        <x:v>48</x:v>
      </x:c>
      <x:c r="U2321" s="1" t="str">
        <x:f>IF(A2321="","",IF(AND(M2321="Verified",N2321="Verified"),"Verified",IF(AND(M2321="Listed",N2321="Listed"),"Listed","Mixed")))</x:f>
        <x:v>Listed</x:v>
      </x:c>
      <x:c r="V2321" s="1" t="str">
        <x:f>IF(A2321="","",IF(AK2321&lt;&gt;1,"Duplicate source ID",IF(COUNTIFS('Staff Review'!$A$8:$A$507,A2321)&gt;1,"Duplicate review ID",IF(H2321&lt;&gt;"Yes","Outside scope",IF(J2321="Yes","Already served",IF(NOT(ISNUMBER(T2321)),"Missing data","Candidate"))))))</x:f>
        <x:v>Candidate</x:v>
      </x:c>
      <x:c r="W2321" s="1" t="n">
        <x:f>IF(AL2321=0,"",1+COUNTIFS($AL$2051:$AL$2550,1,$T$2051:$T$2550,"&gt;"&amp;T2321)+COUNTIFS($AL$2051:$AL$2550,1,$T$2051:$T$2550,T2321,$G$2051:$G$2550,"&gt;"&amp;G2321)+COUNTIFS($AL$2051:$AL$2550,1,$T$2051:$T$2550,T2321,$G$2051:$G$2550,G2321,$F$2051:$F$2550,"&gt;"&amp;F2321)+COUNTIFS($AL$2051:$AL$2550,1,$T$2051:$T$2550,T2321,$G$2051:$G$2550,G2321,$F$2051:$F$2550,F2321,$AM$2051:$AM$2550,"&lt;"&amp;AM2321))</x:f>
        <x:v>60</x:v>
      </x:c>
      <x:c r="X2321" s="1" t="n">
        <x:f>IF(AL2321=0,"",1+COUNTIFS($AL$2051:$AL$2550,1,$T$2051:$T$2550,"&gt;"&amp;T2321))</x:f>
        <x:v>56</x:v>
      </x:c>
      <x:c r="Y2321" s="1" t="n">
        <x:f>IF(AND(H2321="Yes",OR(LEN('School Search'!$B$5)=0,ISNUMBER(SEARCH('School Search'!$B$5,B2321&amp;" "&amp;E2321&amp;" "&amp;A2321))),OR('School Search'!$D$5="All",C2321='School Search'!$D$5),OR('School Search'!$G$5="All eligible",AND('School Search'!$G$5="Not marked served",J2321&lt;&gt;"Yes"),AND('School Search'!$G$5="Missing data",V2321="Missing data"),AND('School Search'!$G$5="Marked served",J2321="Yes"))),1,0)</x:f>
        <x:v>1</x:v>
      </x:c>
      <x:c r="Z2321" s="1" t="n">
        <x:f>IF(Y2321=0,"",COUNTIFS($Y$2051:$Y$2550,1,$AO$2051:$AO$2550,"&lt;"&amp;AO2321)+COUNTIFS($Y$2051:Y2321,1,$AO$2051:AO2321,AO2321))</x:f>
        <x:v>60</x:v>
      </x:c>
      <x:c r="AA2321" s="1" t="str">
        <x:f>IF(NOT(ISNUMBER(S2321)),"Missing demographic or access input",TEXT(G2321,"0%")&amp;" economic need; "&amp;TEXT(K2321,"0.00")&amp;" mi fresh access; "&amp;L2321&amp;" nearby resources")</x:f>
        <x:v>88% economic need; 0.55 mi fresh access; 4 nearby resources</x:v>
      </x:c>
      <x:c r="AB2321" s="1" t="n">
        <x:f>IF(OR(A2321="",COUNTIFS($A$1531:$A$2030,A2321)&lt;&gt;1),0,MATCH(A2321,$A$1531:$A$2030,0))</x:f>
        <x:v>271</x:v>
      </x:c>
      <x:c r="AC2321" s="1" t="str">
        <x:f>IF(AB2321=0,"",INDEX($E$1531:$E$2030,AB2321))</x:f>
        <x:v>SHOPRITE 537</x:v>
      </x:c>
      <x:c r="AD2321" s="1" t="str">
        <x:f>IF(AB2321=0,"",INDEX($F$1531:$F$2030,AB2321))</x:f>
        <x:v>101 E Olney Ave, Philadelphia, PA, 19120</x:v>
      </x:c>
      <x:c r="AE2321" s="1" t="str">
        <x:f>IF(A2321="","",F272)</x:f>
        <x:v>450 W NEDRO AVE</x:v>
      </x:c>
      <x:c r="AF2321" s="1" t="n">
        <x:f>IF(ISNUMBER(I272),I272,"")</x:f>
        <x:v>40.04086578</x:v>
      </x:c>
      <x:c r="AG2321" s="1" t="n">
        <x:f>IF(ISNUMBER(J272),J272,"")</x:f>
        <x:v>-75.12871963</x:v>
      </x:c>
      <x:c r="AH2321" s="1" t="str">
        <x:f>IF(I2321=0,"Not contacted",IF(INDEX('Staff Review'!$J$8:$J$507,I2321)="","Not contacted",INDEX('Staff Review'!$J$8:$J$507,I2321)))</x:f>
        <x:v>Not contacted</x:v>
      </x:c>
      <x:c r="AI2321" s="1" t="str">
        <x:f>IF(I2321=0,"No",IF(AND(COUNT(INDEX('Staff Review'!$D$8:$D$507,I2321))=1,INDEX('Staff Review'!$D$8:$D$507,I2321)&gt;=0,COUNT(INDEX('Staff Review'!$E$8:$E$507,I2321))=1,INDEX('Staff Review'!$E$8:$E$507,I2321)&gt;0,INDEX('Staff Review'!$E$8:$E$507,I2321)&lt;='Top 15'!$E$5,'Top 15'!$E$5-INDEX('Staff Review'!$E$8:$E$507,I2321)&lt;='Top 15'!$H$5,LEN(INDEX('Staff Review'!$H$8:$H$507,I2321))&gt;0),"Yes","No"))</x:f>
        <x:v>No</x:v>
      </x:c>
      <x:c r="AJ2321" s="1" t="str">
        <x:f>IF(I2321=0,"No",IF(COUNT(INDEX('Staff Review'!$F$8:$F$507,I2321))&lt;&gt;1,"No",IF(AND(INDEX('Staff Review'!$F$8:$F$507,I2321)&gt;=0,MOD(INDEX('Staff Review'!$F$8:$F$507,I2321),1)=0,COUNT(INDEX('Staff Review'!$G$8:$G$507,I2321))=1,INDEX('Staff Review'!$G$8:$G$507,I2321)&gt;0,INDEX('Staff Review'!$G$8:$G$507,I2321)&lt;='Top 15'!$E$5,'Top 15'!$E$5-INDEX('Staff Review'!$G$8:$G$507,I2321)&lt;='Top 15'!$H$5,LEN(INDEX('Staff Review'!$H$8:$H$507,I2321))&gt;0),"Yes","No")))</x:f>
        <x:v>No</x:v>
      </x:c>
      <x:c r="AK2321" s="1" t="n">
        <x:f>IF(A2321="",0,COUNTIFS($A$2:$A$501,A2321))</x:f>
        <x:v>1</x:v>
      </x:c>
      <x:c r="AL2321" s="1" t="n">
        <x:f>IF(V2321="Candidate",1,0)</x:f>
        <x:v>1</x:v>
      </x:c>
      <x:c r="AM2321" s="1" t="n">
        <x:f>IF(A2321="",0,VALUE(A2321))</x:f>
        <x:v>7350</x:v>
      </x:c>
      <x:c r="AN2321" s="1" t="n">
        <x:f>IF(OR(A2321="",COUNTIFS($T$41:$T$540,A2321)&lt;&gt;1),0,MATCH(A2321,$T$41:$T$540,0))</x:f>
        <x:v>271</x:v>
      </x:c>
      <x:c r="AO2321" t="n">
        <x:f>IF(ISNUMBER(W2321),W2321,10000+AM2321)</x:f>
        <x:v>60</x:v>
      </x:c>
    </x:row>
    <x:row r="2322" ht="22" customHeight="1">
      <x:c r="A2322" s="1" t="str">
        <x:f>IF(A273="","",A273)</x:f>
        <x:v>7360</x:v>
      </x:c>
      <x:c r="B2322" s="1" t="str">
        <x:f>IF(A2322="","",B273)</x:f>
        <x:v>John Marshall School</x:v>
      </x:c>
      <x:c r="C2322" s="1" t="str">
        <x:f>IF(A2322="","",C273)</x:f>
        <x:v>District</x:v>
      </x:c>
      <x:c r="D2322" s="1" t="str">
        <x:f>IF(A2322="","",E273)</x:f>
        <x:v>Elementary</x:v>
      </x:c>
      <x:c r="E2322" s="1" t="str">
        <x:f>IF(A2322="","",H273)</x:f>
        <x:v>19124</x:v>
      </x:c>
      <x:c r="F2322" s="1" t="n">
        <x:f>IF(ISNUMBER(K273),K273,"")</x:f>
        <x:v>243</x:v>
      </x:c>
      <x:c r="G2322" s="1" t="n">
        <x:f>IF(ISNUMBER(L273),L273,"")</x:f>
        <x:v>0.8641</x:v>
      </x:c>
      <x:c r="H2322" s="1" t="str">
        <x:f>IF(A2322="","",IF(AND(UPPER(G273)="PHILADELPHIA",OR(C2322="District",AND(C2322="Charter",D273="Yes"))),"Yes","No"))</x:f>
        <x:v>Yes</x:v>
      </x:c>
      <x:c r="I2322" s="1" t="n">
        <x:f>IF(OR(A2322="",COUNTIFS('Staff Review'!$A$8:$A$507,A2322)&lt;&gt;1),0,MATCH(A2322,'Staff Review'!$A$8:$A$507,0))</x:f>
        <x:v>142</x:v>
      </x:c>
      <x:c r="J2322" s="1" t="str">
        <x:f>IF(I2322=0,"No",IF(INDEX('Staff Review'!$C$8:$C$507,I2322)="Yes","Yes","No"))</x:f>
        <x:v>No</x:v>
      </x:c>
      <x:c r="K2322" s="1" t="n">
        <x:f>IF(AI2322="Yes",INDEX('Staff Review'!$D$8:$D$507,I2322),IF(AB2322=0,"",IF(COUNT(INDEX($C$1531:$C$2030,AB2322))=1,INDEX($C$1531:$C$2030,AB2322),"")))</x:f>
        <x:v>0.5743794837728304</x:v>
      </x:c>
      <x:c r="L2322" s="1" t="n">
        <x:f>IF(AJ2322="Yes",INDEX('Staff Review'!$F$8:$F$507,I2322),IF(AB2322=0,"",IF(COUNT(INDEX($G$1531:$G$2030,AB2322))=1,INDEX($G$1531:$G$2030,AB2322),"")))</x:f>
        <x:v>7</x:v>
      </x:c>
      <x:c r="M2322" s="1" t="str">
        <x:f>IF(A2322="","",IF(AI2322="Yes","Verified","Listed"))</x:f>
        <x:v>Listed</x:v>
      </x:c>
      <x:c r="N2322" s="1" t="str">
        <x:f>IF(A2322="","",IF(AJ2322="Yes","Verified","Listed"))</x:f>
        <x:v>Listed</x:v>
      </x:c>
      <x:c r="O2322" s="1" t="n">
        <x:f>IF(AND(ISNUMBER(G2322),G2322&gt;=0,G2322&lt;=1),IF(G2322&gt;=0.9,30,IF(G2322&gt;=0.8,25,IF(G2322&gt;=0.7,20,IF(G2322&gt;=0.6,15,IF(G2322&gt;=0.5,10,IF(G2322&gt;=0.4,5,0)))))),"")</x:f>
        <x:v>25</x:v>
      </x:c>
      <x:c r="P2322" s="1" t="n">
        <x:f>IF(ISNUMBER(K2322),IF(K2322&lt;0,"",IF(K2322&gt;1,25,IF(K2322&gt;=0.75,20,IF(K2322&gt;=0.5,15,IF(K2322&gt;=0.25,10,5))))),"")</x:f>
        <x:v>15</x:v>
      </x:c>
      <x:c r="Q2322" s="1" t="n">
        <x:f>IF(NOT(ISNUMBER(L2322)),"",IF(AND(L2322&gt;=0,MOD(L2322,1)=0),MAX(0,25-5*L2322),""))</x:f>
        <x:v>0</x:v>
      </x:c>
      <x:c r="R2322" s="1" t="n">
        <x:f>IF(NOT(ISNUMBER(F2322)),"",IF(AND(F2322&gt;0,MOD(F2322,1)=0),IF(F2322&gt;=700,5,IF(F2322&gt;=500,4,IF(F2322&gt;=350,3,IF(F2322&gt;=200,2,1)))),""))</x:f>
        <x:v>2</x:v>
      </x:c>
      <x:c r="S2322" s="1" t="n">
        <x:f>IF(COUNT(O2322:R2322)=4,SUM(O2322:R2322),"")</x:f>
        <x:v>42</x:v>
      </x:c>
      <x:c r="T2322" s="1" t="n">
        <x:f>IF(OR(COUNT(O2322:R2322)&lt;&gt;4,COUNT('Top 15'!$B$35:$E$35)&lt;&gt;4,MIN('Top 15'!$B$35:$E$35)&lt;0,SUM('Top 15'!$B$35:$E$35)&lt;=0),"",ROUND(85*(O2322/30*'Top 15'!$B$35+P2322/25*'Top 15'!$C$35+Q2322/25*'Top 15'!$D$35+R2322/5*'Top 15'!$E$35)/SUM('Top 15'!$B$35:$E$35),6))</x:f>
        <x:v>42</x:v>
      </x:c>
      <x:c r="U2322" s="1" t="str">
        <x:f>IF(A2322="","",IF(AND(M2322="Verified",N2322="Verified"),"Verified",IF(AND(M2322="Listed",N2322="Listed"),"Listed","Mixed")))</x:f>
        <x:v>Listed</x:v>
      </x:c>
      <x:c r="V2322" s="1" t="str">
        <x:f>IF(A2322="","",IF(AK2322&lt;&gt;1,"Duplicate source ID",IF(COUNTIFS('Staff Review'!$A$8:$A$507,A2322)&gt;1,"Duplicate review ID",IF(H2322&lt;&gt;"Yes","Outside scope",IF(J2322="Yes","Already served",IF(NOT(ISNUMBER(T2322)),"Missing data","Candidate"))))))</x:f>
        <x:v>Candidate</x:v>
      </x:c>
      <x:c r="W2322" s="1" t="n">
        <x:f>IF(AL2322=0,"",1+COUNTIFS($AL$2051:$AL$2550,1,$T$2051:$T$2550,"&gt;"&amp;T2322)+COUNTIFS($AL$2051:$AL$2550,1,$T$2051:$T$2550,T2322,$G$2051:$G$2550,"&gt;"&amp;G2322)+COUNTIFS($AL$2051:$AL$2550,1,$T$2051:$T$2550,T2322,$G$2051:$G$2550,G2322,$F$2051:$F$2550,"&gt;"&amp;F2322)+COUNTIFS($AL$2051:$AL$2550,1,$T$2051:$T$2550,T2322,$G$2051:$G$2550,G2322,$F$2051:$F$2550,F2322,$AM$2051:$AM$2550,"&lt;"&amp;AM2322))</x:f>
        <x:v>118</x:v>
      </x:c>
      <x:c r="X2322" s="1" t="n">
        <x:f>IF(AL2322=0,"",1+COUNTIFS($AL$2051:$AL$2550,1,$T$2051:$T$2550,"&gt;"&amp;T2322))</x:f>
        <x:v>101</x:v>
      </x:c>
      <x:c r="Y2322" s="1" t="n">
        <x:f>IF(AND(H2322="Yes",OR(LEN('School Search'!$B$5)=0,ISNUMBER(SEARCH('School Search'!$B$5,B2322&amp;" "&amp;E2322&amp;" "&amp;A2322))),OR('School Search'!$D$5="All",C2322='School Search'!$D$5),OR('School Search'!$G$5="All eligible",AND('School Search'!$G$5="Not marked served",J2322&lt;&gt;"Yes"),AND('School Search'!$G$5="Missing data",V2322="Missing data"),AND('School Search'!$G$5="Marked served",J2322="Yes"))),1,0)</x:f>
        <x:v>1</x:v>
      </x:c>
      <x:c r="Z2322" s="1" t="n">
        <x:f>IF(Y2322=0,"",COUNTIFS($Y$2051:$Y$2550,1,$AO$2051:$AO$2550,"&lt;"&amp;AO2322)+COUNTIFS($Y$2051:Y2322,1,$AO$2051:AO2322,AO2322))</x:f>
        <x:v>118</x:v>
      </x:c>
      <x:c r="AA2322" s="1" t="str">
        <x:f>IF(NOT(ISNUMBER(S2322)),"Missing demographic or access input",TEXT(G2322,"0%")&amp;" economic need; "&amp;TEXT(K2322,"0.00")&amp;" mi fresh access; "&amp;L2322&amp;" nearby resources")</x:f>
        <x:v>86% economic need; 0.57 mi fresh access; 7 nearby resources</x:v>
      </x:c>
      <x:c r="AB2322" s="1" t="n">
        <x:f>IF(OR(A2322="",COUNTIFS($A$1531:$A$2030,A2322)&lt;&gt;1),0,MATCH(A2322,$A$1531:$A$2030,0))</x:f>
        <x:v>272</x:v>
      </x:c>
      <x:c r="AC2322" s="1" t="str">
        <x:f>IF(AB2322=0,"",INDEX($E$1531:$E$2030,AB2322))</x:f>
        <x:v>Castor Avenue Market LLC</x:v>
      </x:c>
      <x:c r="AD2322" s="1" t="str">
        <x:f>IF(AB2322=0,"",INDEX($F$1531:$F$2030,AB2322))</x:f>
        <x:v>900 E Orthodox St, Philadelphia, PA, 19124</x:v>
      </x:c>
      <x:c r="AE2322" s="1" t="str">
        <x:f>IF(A2322="","",F273)</x:f>
        <x:v>4500 GRISCOM ST</x:v>
      </x:c>
      <x:c r="AF2322" s="1" t="n">
        <x:f>IF(ISNUMBER(I273),I273,"")</x:f>
        <x:v>40.014546</x:v>
      </x:c>
      <x:c r="AG2322" s="1" t="n">
        <x:f>IF(ISNUMBER(J273),J273,"")</x:f>
        <x:v>-75.087158</x:v>
      </x:c>
      <x:c r="AH2322" s="1" t="str">
        <x:f>IF(I2322=0,"Not contacted",IF(INDEX('Staff Review'!$J$8:$J$507,I2322)="","Not contacted",INDEX('Staff Review'!$J$8:$J$507,I2322)))</x:f>
        <x:v>Not contacted</x:v>
      </x:c>
      <x:c r="AI2322" s="1" t="str">
        <x:f>IF(I2322=0,"No",IF(AND(COUNT(INDEX('Staff Review'!$D$8:$D$507,I2322))=1,INDEX('Staff Review'!$D$8:$D$507,I2322)&gt;=0,COUNT(INDEX('Staff Review'!$E$8:$E$507,I2322))=1,INDEX('Staff Review'!$E$8:$E$507,I2322)&gt;0,INDEX('Staff Review'!$E$8:$E$507,I2322)&lt;='Top 15'!$E$5,'Top 15'!$E$5-INDEX('Staff Review'!$E$8:$E$507,I2322)&lt;='Top 15'!$H$5,LEN(INDEX('Staff Review'!$H$8:$H$507,I2322))&gt;0),"Yes","No"))</x:f>
        <x:v>No</x:v>
      </x:c>
      <x:c r="AJ2322" s="1" t="str">
        <x:f>IF(I2322=0,"No",IF(COUNT(INDEX('Staff Review'!$F$8:$F$507,I2322))&lt;&gt;1,"No",IF(AND(INDEX('Staff Review'!$F$8:$F$507,I2322)&gt;=0,MOD(INDEX('Staff Review'!$F$8:$F$507,I2322),1)=0,COUNT(INDEX('Staff Review'!$G$8:$G$507,I2322))=1,INDEX('Staff Review'!$G$8:$G$507,I2322)&gt;0,INDEX('Staff Review'!$G$8:$G$507,I2322)&lt;='Top 15'!$E$5,'Top 15'!$E$5-INDEX('Staff Review'!$G$8:$G$507,I2322)&lt;='Top 15'!$H$5,LEN(INDEX('Staff Review'!$H$8:$H$507,I2322))&gt;0),"Yes","No")))</x:f>
        <x:v>No</x:v>
      </x:c>
      <x:c r="AK2322" s="1" t="n">
        <x:f>IF(A2322="",0,COUNTIFS($A$2:$A$501,A2322))</x:f>
        <x:v>1</x:v>
      </x:c>
      <x:c r="AL2322" s="1" t="n">
        <x:f>IF(V2322="Candidate",1,0)</x:f>
        <x:v>1</x:v>
      </x:c>
      <x:c r="AM2322" s="1" t="n">
        <x:f>IF(A2322="",0,VALUE(A2322))</x:f>
        <x:v>7360</x:v>
      </x:c>
      <x:c r="AN2322" s="1" t="n">
        <x:f>IF(OR(A2322="",COUNTIFS($T$41:$T$540,A2322)&lt;&gt;1),0,MATCH(A2322,$T$41:$T$540,0))</x:f>
        <x:v>272</x:v>
      </x:c>
      <x:c r="AO2322" t="n">
        <x:f>IF(ISNUMBER(W2322),W2322,10000+AM2322)</x:f>
        <x:v>118</x:v>
      </x:c>
    </x:row>
    <x:row r="2323" ht="22" customHeight="1">
      <x:c r="A2323" s="1" t="str">
        <x:f>IF(A274="","",A274)</x:f>
        <x:v>7370</x:v>
      </x:c>
      <x:c r="B2323" s="1" t="str">
        <x:f>IF(A2323="","",B274)</x:f>
        <x:v>Grover Washington, Jr. Middle School</x:v>
      </x:c>
      <x:c r="C2323" s="1" t="str">
        <x:f>IF(A2323="","",C274)</x:f>
        <x:v>District</x:v>
      </x:c>
      <x:c r="D2323" s="1" t="str">
        <x:f>IF(A2323="","",E274)</x:f>
        <x:v>Middle</x:v>
      </x:c>
      <x:c r="E2323" s="1" t="str">
        <x:f>IF(A2323="","",H274)</x:f>
        <x:v>19120</x:v>
      </x:c>
      <x:c r="F2323" s="1" t="n">
        <x:f>IF(ISNUMBER(K274),K274,"")</x:f>
        <x:v>332</x:v>
      </x:c>
      <x:c r="G2323" s="1" t="n">
        <x:f>IF(ISNUMBER(L274),L274,"")</x:f>
        <x:v>0.8676</x:v>
      </x:c>
      <x:c r="H2323" s="1" t="str">
        <x:f>IF(A2323="","",IF(AND(UPPER(G274)="PHILADELPHIA",OR(C2323="District",AND(C2323="Charter",D274="Yes"))),"Yes","No"))</x:f>
        <x:v>Yes</x:v>
      </x:c>
      <x:c r="I2323" s="1" t="n">
        <x:f>IF(OR(A2323="",COUNTIFS('Staff Review'!$A$8:$A$507,A2323)&lt;&gt;1),0,MATCH(A2323,'Staff Review'!$A$8:$A$507,0))</x:f>
        <x:v>104</x:v>
      </x:c>
      <x:c r="J2323" s="1" t="str">
        <x:f>IF(I2323=0,"No",IF(INDEX('Staff Review'!$C$8:$C$507,I2323)="Yes","Yes","No"))</x:f>
        <x:v>No</x:v>
      </x:c>
      <x:c r="K2323" s="1" t="n">
        <x:f>IF(AI2323="Yes",INDEX('Staff Review'!$D$8:$D$507,I2323),IF(AB2323=0,"",IF(COUNT(INDEX($C$1531:$C$2030,AB2323))=1,INDEX($C$1531:$C$2030,AB2323),"")))</x:f>
        <x:v>0.17926401142772272</x:v>
      </x:c>
      <x:c r="L2323" s="1" t="n">
        <x:f>IF(AJ2323="Yes",INDEX('Staff Review'!$F$8:$F$507,I2323),IF(AB2323=0,"",IF(COUNT(INDEX($G$1531:$G$2030,AB2323))=1,INDEX($G$1531:$G$2030,AB2323),"")))</x:f>
        <x:v>6</x:v>
      </x:c>
      <x:c r="M2323" s="1" t="str">
        <x:f>IF(A2323="","",IF(AI2323="Yes","Verified","Listed"))</x:f>
        <x:v>Listed</x:v>
      </x:c>
      <x:c r="N2323" s="1" t="str">
        <x:f>IF(A2323="","",IF(AJ2323="Yes","Verified","Listed"))</x:f>
        <x:v>Listed</x:v>
      </x:c>
      <x:c r="O2323" s="1" t="n">
        <x:f>IF(AND(ISNUMBER(G2323),G2323&gt;=0,G2323&lt;=1),IF(G2323&gt;=0.9,30,IF(G2323&gt;=0.8,25,IF(G2323&gt;=0.7,20,IF(G2323&gt;=0.6,15,IF(G2323&gt;=0.5,10,IF(G2323&gt;=0.4,5,0)))))),"")</x:f>
        <x:v>25</x:v>
      </x:c>
      <x:c r="P2323" s="1" t="n">
        <x:f>IF(ISNUMBER(K2323),IF(K2323&lt;0,"",IF(K2323&gt;1,25,IF(K2323&gt;=0.75,20,IF(K2323&gt;=0.5,15,IF(K2323&gt;=0.25,10,5))))),"")</x:f>
        <x:v>5</x:v>
      </x:c>
      <x:c r="Q2323" s="1" t="n">
        <x:f>IF(NOT(ISNUMBER(L2323)),"",IF(AND(L2323&gt;=0,MOD(L2323,1)=0),MAX(0,25-5*L2323),""))</x:f>
        <x:v>0</x:v>
      </x:c>
      <x:c r="R2323" s="1" t="n">
        <x:f>IF(NOT(ISNUMBER(F2323)),"",IF(AND(F2323&gt;0,MOD(F2323,1)=0),IF(F2323&gt;=700,5,IF(F2323&gt;=500,4,IF(F2323&gt;=350,3,IF(F2323&gt;=200,2,1)))),""))</x:f>
        <x:v>2</x:v>
      </x:c>
      <x:c r="S2323" s="1" t="n">
        <x:f>IF(COUNT(O2323:R2323)=4,SUM(O2323:R2323),"")</x:f>
        <x:v>32</x:v>
      </x:c>
      <x:c r="T2323" s="1" t="n">
        <x:f>IF(OR(COUNT(O2323:R2323)&lt;&gt;4,COUNT('Top 15'!$B$35:$E$35)&lt;&gt;4,MIN('Top 15'!$B$35:$E$35)&lt;0,SUM('Top 15'!$B$35:$E$35)&lt;=0),"",ROUND(85*(O2323/30*'Top 15'!$B$35+P2323/25*'Top 15'!$C$35+Q2323/25*'Top 15'!$D$35+R2323/5*'Top 15'!$E$35)/SUM('Top 15'!$B$35:$E$35),6))</x:f>
        <x:v>32</x:v>
      </x:c>
      <x:c r="U2323" s="1" t="str">
        <x:f>IF(A2323="","",IF(AND(M2323="Verified",N2323="Verified"),"Verified",IF(AND(M2323="Listed",N2323="Listed"),"Listed","Mixed")))</x:f>
        <x:v>Listed</x:v>
      </x:c>
      <x:c r="V2323" s="1" t="str">
        <x:f>IF(A2323="","",IF(AK2323&lt;&gt;1,"Duplicate source ID",IF(COUNTIFS('Staff Review'!$A$8:$A$507,A2323)&gt;1,"Duplicate review ID",IF(H2323&lt;&gt;"Yes","Outside scope",IF(J2323="Yes","Already served",IF(NOT(ISNUMBER(T2323)),"Missing data","Candidate"))))))</x:f>
        <x:v>Candidate</x:v>
      </x:c>
      <x:c r="W2323" s="1" t="n">
        <x:f>IF(AL2323=0,"",1+COUNTIFS($AL$2051:$AL$2550,1,$T$2051:$T$2550,"&gt;"&amp;T2323)+COUNTIFS($AL$2051:$AL$2550,1,$T$2051:$T$2550,T2323,$G$2051:$G$2550,"&gt;"&amp;G2323)+COUNTIFS($AL$2051:$AL$2550,1,$T$2051:$T$2550,T2323,$G$2051:$G$2550,G2323,$F$2051:$F$2550,"&gt;"&amp;F2323)+COUNTIFS($AL$2051:$AL$2550,1,$T$2051:$T$2550,T2323,$G$2051:$G$2550,G2323,$F$2051:$F$2550,F2323,$AM$2051:$AM$2550,"&lt;"&amp;AM2323))</x:f>
        <x:v>245</x:v>
      </x:c>
      <x:c r="X2323" s="1" t="n">
        <x:f>IF(AL2323=0,"",1+COUNTIFS($AL$2051:$AL$2550,1,$T$2051:$T$2550,"&gt;"&amp;T2323))</x:f>
        <x:v>243</x:v>
      </x:c>
      <x:c r="Y2323" s="1" t="n">
        <x:f>IF(AND(H2323="Yes",OR(LEN('School Search'!$B$5)=0,ISNUMBER(SEARCH('School Search'!$B$5,B2323&amp;" "&amp;E2323&amp;" "&amp;A2323))),OR('School Search'!$D$5="All",C2323='School Search'!$D$5),OR('School Search'!$G$5="All eligible",AND('School Search'!$G$5="Not marked served",J2323&lt;&gt;"Yes"),AND('School Search'!$G$5="Missing data",V2323="Missing data"),AND('School Search'!$G$5="Marked served",J2323="Yes"))),1,0)</x:f>
        <x:v>1</x:v>
      </x:c>
      <x:c r="Z2323" s="1" t="n">
        <x:f>IF(Y2323=0,"",COUNTIFS($Y$2051:$Y$2550,1,$AO$2051:$AO$2550,"&lt;"&amp;AO2323)+COUNTIFS($Y$2051:Y2323,1,$AO$2051:AO2323,AO2323))</x:f>
        <x:v>245</x:v>
      </x:c>
      <x:c r="AA2323" s="1" t="str">
        <x:f>IF(NOT(ISNUMBER(S2323)),"Missing demographic or access input",TEXT(G2323,"0%")&amp;" economic need; "&amp;TEXT(K2323,"0.00")&amp;" mi fresh access; "&amp;L2323&amp;" nearby resources")</x:f>
        <x:v>87% economic need; 0.18 mi fresh access; 6 nearby resources</x:v>
      </x:c>
      <x:c r="AB2323" s="1" t="n">
        <x:f>IF(OR(A2323="",COUNTIFS($A$1531:$A$2030,A2323)&lt;&gt;1),0,MATCH(A2323,$A$1531:$A$2030,0))</x:f>
        <x:v>273</x:v>
      </x:c>
      <x:c r="AC2323" s="1" t="str">
        <x:f>IF(AB2323=0,"",INDEX($E$1531:$E$2030,AB2323))</x:f>
        <x:v>SHOPRITE 537</x:v>
      </x:c>
      <x:c r="AD2323" s="1" t="str">
        <x:f>IF(AB2323=0,"",INDEX($F$1531:$F$2030,AB2323))</x:f>
        <x:v>101 E Olney Ave, Philadelphia, PA, 19120</x:v>
      </x:c>
      <x:c r="AE2323" s="1" t="str">
        <x:f>IF(A2323="","",F274)</x:f>
        <x:v>201 E OLNEY AVE</x:v>
      </x:c>
      <x:c r="AF2323" s="1" t="n">
        <x:f>IF(ISNUMBER(I274),I274,"")</x:f>
        <x:v>40.035479</x:v>
      </x:c>
      <x:c r="AG2323" s="1" t="n">
        <x:f>IF(ISNUMBER(J274),J274,"")</x:f>
        <x:v>-75.117969</x:v>
      </x:c>
      <x:c r="AH2323" s="1" t="str">
        <x:f>IF(I2323=0,"Not contacted",IF(INDEX('Staff Review'!$J$8:$J$507,I2323)="","Not contacted",INDEX('Staff Review'!$J$8:$J$507,I2323)))</x:f>
        <x:v>Not contacted</x:v>
      </x:c>
      <x:c r="AI2323" s="1" t="str">
        <x:f>IF(I2323=0,"No",IF(AND(COUNT(INDEX('Staff Review'!$D$8:$D$507,I2323))=1,INDEX('Staff Review'!$D$8:$D$507,I2323)&gt;=0,COUNT(INDEX('Staff Review'!$E$8:$E$507,I2323))=1,INDEX('Staff Review'!$E$8:$E$507,I2323)&gt;0,INDEX('Staff Review'!$E$8:$E$507,I2323)&lt;='Top 15'!$E$5,'Top 15'!$E$5-INDEX('Staff Review'!$E$8:$E$507,I2323)&lt;='Top 15'!$H$5,LEN(INDEX('Staff Review'!$H$8:$H$507,I2323))&gt;0),"Yes","No"))</x:f>
        <x:v>No</x:v>
      </x:c>
      <x:c r="AJ2323" s="1" t="str">
        <x:f>IF(I2323=0,"No",IF(COUNT(INDEX('Staff Review'!$F$8:$F$507,I2323))&lt;&gt;1,"No",IF(AND(INDEX('Staff Review'!$F$8:$F$507,I2323)&gt;=0,MOD(INDEX('Staff Review'!$F$8:$F$507,I2323),1)=0,COUNT(INDEX('Staff Review'!$G$8:$G$507,I2323))=1,INDEX('Staff Review'!$G$8:$G$507,I2323)&gt;0,INDEX('Staff Review'!$G$8:$G$507,I2323)&lt;='Top 15'!$E$5,'Top 15'!$E$5-INDEX('Staff Review'!$G$8:$G$507,I2323)&lt;='Top 15'!$H$5,LEN(INDEX('Staff Review'!$H$8:$H$507,I2323))&gt;0),"Yes","No")))</x:f>
        <x:v>No</x:v>
      </x:c>
      <x:c r="AK2323" s="1" t="n">
        <x:f>IF(A2323="",0,COUNTIFS($A$2:$A$501,A2323))</x:f>
        <x:v>1</x:v>
      </x:c>
      <x:c r="AL2323" s="1" t="n">
        <x:f>IF(V2323="Candidate",1,0)</x:f>
        <x:v>1</x:v>
      </x:c>
      <x:c r="AM2323" s="1" t="n">
        <x:f>IF(A2323="",0,VALUE(A2323))</x:f>
        <x:v>7370</x:v>
      </x:c>
      <x:c r="AN2323" s="1" t="n">
        <x:f>IF(OR(A2323="",COUNTIFS($T$41:$T$540,A2323)&lt;&gt;1),0,MATCH(A2323,$T$41:$T$540,0))</x:f>
        <x:v>273</x:v>
      </x:c>
      <x:c r="AO2323" t="n">
        <x:f>IF(ISNUMBER(W2323),W2323,10000+AM2323)</x:f>
        <x:v>245</x:v>
      </x:c>
    </x:row>
    <x:row r="2324" ht="22" customHeight="1">
      <x:c r="A2324" s="1" t="str">
        <x:f>IF(A275="","",A275)</x:f>
        <x:v>7380</x:v>
      </x:c>
      <x:c r="B2324" s="1" t="str">
        <x:f>IF(A2324="","",B275)</x:f>
        <x:v>Alexander K. McClure School</x:v>
      </x:c>
      <x:c r="C2324" s="1" t="str">
        <x:f>IF(A2324="","",C275)</x:f>
        <x:v>District</x:v>
      </x:c>
      <x:c r="D2324" s="1" t="str">
        <x:f>IF(A2324="","",E275)</x:f>
        <x:v>Elementary</x:v>
      </x:c>
      <x:c r="E2324" s="1" t="str">
        <x:f>IF(A2324="","",H275)</x:f>
        <x:v>19140</x:v>
      </x:c>
      <x:c r="F2324" s="1" t="n">
        <x:f>IF(ISNUMBER(K275),K275,"")</x:f>
        <x:v>353</x:v>
      </x:c>
      <x:c r="G2324" s="1" t="n">
        <x:f>IF(ISNUMBER(L275),L275,"")</x:f>
        <x:v>0.8821</x:v>
      </x:c>
      <x:c r="H2324" s="1" t="str">
        <x:f>IF(A2324="","",IF(AND(UPPER(G275)="PHILADELPHIA",OR(C2324="District",AND(C2324="Charter",D275="Yes"))),"Yes","No"))</x:f>
        <x:v>Yes</x:v>
      </x:c>
      <x:c r="I2324" s="1" t="n">
        <x:f>IF(OR(A2324="",COUNTIFS('Staff Review'!$A$8:$A$507,A2324)&lt;&gt;1),0,MATCH(A2324,'Staff Review'!$A$8:$A$507,0))</x:f>
        <x:v>13</x:v>
      </x:c>
      <x:c r="J2324" s="1" t="str">
        <x:f>IF(I2324=0,"No",IF(INDEX('Staff Review'!$C$8:$C$507,I2324)="Yes","Yes","No"))</x:f>
        <x:v>No</x:v>
      </x:c>
      <x:c r="K2324" s="1" t="n">
        <x:f>IF(AI2324="Yes",INDEX('Staff Review'!$D$8:$D$507,I2324),IF(AB2324=0,"",IF(COUNT(INDEX($C$1531:$C$2030,AB2324))=1,INDEX($C$1531:$C$2030,AB2324),"")))</x:f>
        <x:v>0.1960096497110867</x:v>
      </x:c>
      <x:c r="L2324" s="1" t="n">
        <x:f>IF(AJ2324="Yes",INDEX('Staff Review'!$F$8:$F$507,I2324),IF(AB2324=0,"",IF(COUNT(INDEX($G$1531:$G$2030,AB2324))=1,INDEX($G$1531:$G$2030,AB2324),"")))</x:f>
        <x:v>12</x:v>
      </x:c>
      <x:c r="M2324" s="1" t="str">
        <x:f>IF(A2324="","",IF(AI2324="Yes","Verified","Listed"))</x:f>
        <x:v>Listed</x:v>
      </x:c>
      <x:c r="N2324" s="1" t="str">
        <x:f>IF(A2324="","",IF(AJ2324="Yes","Verified","Listed"))</x:f>
        <x:v>Listed</x:v>
      </x:c>
      <x:c r="O2324" s="1" t="n">
        <x:f>IF(AND(ISNUMBER(G2324),G2324&gt;=0,G2324&lt;=1),IF(G2324&gt;=0.9,30,IF(G2324&gt;=0.8,25,IF(G2324&gt;=0.7,20,IF(G2324&gt;=0.6,15,IF(G2324&gt;=0.5,10,IF(G2324&gt;=0.4,5,0)))))),"")</x:f>
        <x:v>25</x:v>
      </x:c>
      <x:c r="P2324" s="1" t="n">
        <x:f>IF(ISNUMBER(K2324),IF(K2324&lt;0,"",IF(K2324&gt;1,25,IF(K2324&gt;=0.75,20,IF(K2324&gt;=0.5,15,IF(K2324&gt;=0.25,10,5))))),"")</x:f>
        <x:v>5</x:v>
      </x:c>
      <x:c r="Q2324" s="1" t="n">
        <x:f>IF(NOT(ISNUMBER(L2324)),"",IF(AND(L2324&gt;=0,MOD(L2324,1)=0),MAX(0,25-5*L2324),""))</x:f>
        <x:v>0</x:v>
      </x:c>
      <x:c r="R2324" s="1" t="n">
        <x:f>IF(NOT(ISNUMBER(F2324)),"",IF(AND(F2324&gt;0,MOD(F2324,1)=0),IF(F2324&gt;=700,5,IF(F2324&gt;=500,4,IF(F2324&gt;=350,3,IF(F2324&gt;=200,2,1)))),""))</x:f>
        <x:v>3</x:v>
      </x:c>
      <x:c r="S2324" s="1" t="n">
        <x:f>IF(COUNT(O2324:R2324)=4,SUM(O2324:R2324),"")</x:f>
        <x:v>33</x:v>
      </x:c>
      <x:c r="T2324" s="1" t="n">
        <x:f>IF(OR(COUNT(O2324:R2324)&lt;&gt;4,COUNT('Top 15'!$B$35:$E$35)&lt;&gt;4,MIN('Top 15'!$B$35:$E$35)&lt;0,SUM('Top 15'!$B$35:$E$35)&lt;=0),"",ROUND(85*(O2324/30*'Top 15'!$B$35+P2324/25*'Top 15'!$C$35+Q2324/25*'Top 15'!$D$35+R2324/5*'Top 15'!$E$35)/SUM('Top 15'!$B$35:$E$35),6))</x:f>
        <x:v>33</x:v>
      </x:c>
      <x:c r="U2324" s="1" t="str">
        <x:f>IF(A2324="","",IF(AND(M2324="Verified",N2324="Verified"),"Verified",IF(AND(M2324="Listed",N2324="Listed"),"Listed","Mixed")))</x:f>
        <x:v>Listed</x:v>
      </x:c>
      <x:c r="V2324" s="1" t="str">
        <x:f>IF(A2324="","",IF(AK2324&lt;&gt;1,"Duplicate source ID",IF(COUNTIFS('Staff Review'!$A$8:$A$507,A2324)&gt;1,"Duplicate review ID",IF(H2324&lt;&gt;"Yes","Outside scope",IF(J2324="Yes","Already served",IF(NOT(ISNUMBER(T2324)),"Missing data","Candidate"))))))</x:f>
        <x:v>Candidate</x:v>
      </x:c>
      <x:c r="W2324" s="1" t="n">
        <x:f>IF(AL2324=0,"",1+COUNTIFS($AL$2051:$AL$2550,1,$T$2051:$T$2550,"&gt;"&amp;T2324)+COUNTIFS($AL$2051:$AL$2550,1,$T$2051:$T$2550,T2324,$G$2051:$G$2550,"&gt;"&amp;G2324)+COUNTIFS($AL$2051:$AL$2550,1,$T$2051:$T$2550,T2324,$G$2051:$G$2550,G2324,$F$2051:$F$2550,"&gt;"&amp;F2324)+COUNTIFS($AL$2051:$AL$2550,1,$T$2051:$T$2550,T2324,$G$2051:$G$2550,G2324,$F$2051:$F$2550,F2324,$AM$2051:$AM$2550,"&lt;"&amp;AM2324))</x:f>
        <x:v>233</x:v>
      </x:c>
      <x:c r="X2324" s="1" t="n">
        <x:f>IF(AL2324=0,"",1+COUNTIFS($AL$2051:$AL$2550,1,$T$2051:$T$2550,"&gt;"&amp;T2324))</x:f>
        <x:v>233</x:v>
      </x:c>
      <x:c r="Y2324" s="1" t="n">
        <x:f>IF(AND(H2324="Yes",OR(LEN('School Search'!$B$5)=0,ISNUMBER(SEARCH('School Search'!$B$5,B2324&amp;" "&amp;E2324&amp;" "&amp;A2324))),OR('School Search'!$D$5="All",C2324='School Search'!$D$5),OR('School Search'!$G$5="All eligible",AND('School Search'!$G$5="Not marked served",J2324&lt;&gt;"Yes"),AND('School Search'!$G$5="Missing data",V2324="Missing data"),AND('School Search'!$G$5="Marked served",J2324="Yes"))),1,0)</x:f>
        <x:v>1</x:v>
      </x:c>
      <x:c r="Z2324" s="1" t="n">
        <x:f>IF(Y2324=0,"",COUNTIFS($Y$2051:$Y$2550,1,$AO$2051:$AO$2550,"&lt;"&amp;AO2324)+COUNTIFS($Y$2051:Y2324,1,$AO$2051:AO2324,AO2324))</x:f>
        <x:v>233</x:v>
      </x:c>
      <x:c r="AA2324" s="1" t="str">
        <x:f>IF(NOT(ISNUMBER(S2324)),"Missing demographic or access input",TEXT(G2324,"0%")&amp;" economic need; "&amp;TEXT(K2324,"0.00")&amp;" mi fresh access; "&amp;L2324&amp;" nearby resources")</x:f>
        <x:v>88% economic need; 0.20 mi fresh access; 12 nearby resources</x:v>
      </x:c>
      <x:c r="AB2324" s="1" t="n">
        <x:f>IF(OR(A2324="",COUNTIFS($A$1531:$A$2030,A2324)&lt;&gt;1),0,MATCH(A2324,$A$1531:$A$2030,0))</x:f>
        <x:v>274</x:v>
      </x:c>
      <x:c r="AC2324" s="1" t="str">
        <x:f>IF(AB2324=0,"",INDEX($E$1531:$E$2030,AB2324))</x:f>
        <x:v>COUSINS SUPERMARKET INC. #2</x:v>
      </x:c>
      <x:c r="AD2324" s="1" t="str">
        <x:f>IF(AB2324=0,"",INDEX($F$1531:$F$2030,AB2324))</x:f>
        <x:v>4037 N 5th St, Philadelphia, PA, 19140</x:v>
      </x:c>
      <x:c r="AE2324" s="1" t="str">
        <x:f>IF(A2324="","",F275)</x:f>
        <x:v>600 W HUNTING PARK AVE</x:v>
      </x:c>
      <x:c r="AF2324" s="1" t="n">
        <x:f>IF(ISNUMBER(I275),I275,"")</x:f>
        <x:v>40.015178</x:v>
      </x:c>
      <x:c r="AG2324" s="1" t="n">
        <x:f>IF(ISNUMBER(J275),J275,"")</x:f>
        <x:v>-75.137574</x:v>
      </x:c>
      <x:c r="AH2324" s="1" t="str">
        <x:f>IF(I2324=0,"Not contacted",IF(INDEX('Staff Review'!$J$8:$J$507,I2324)="","Not contacted",INDEX('Staff Review'!$J$8:$J$507,I2324)))</x:f>
        <x:v>Not contacted</x:v>
      </x:c>
      <x:c r="AI2324" s="1" t="str">
        <x:f>IF(I2324=0,"No",IF(AND(COUNT(INDEX('Staff Review'!$D$8:$D$507,I2324))=1,INDEX('Staff Review'!$D$8:$D$507,I2324)&gt;=0,COUNT(INDEX('Staff Review'!$E$8:$E$507,I2324))=1,INDEX('Staff Review'!$E$8:$E$507,I2324)&gt;0,INDEX('Staff Review'!$E$8:$E$507,I2324)&lt;='Top 15'!$E$5,'Top 15'!$E$5-INDEX('Staff Review'!$E$8:$E$507,I2324)&lt;='Top 15'!$H$5,LEN(INDEX('Staff Review'!$H$8:$H$507,I2324))&gt;0),"Yes","No"))</x:f>
        <x:v>No</x:v>
      </x:c>
      <x:c r="AJ2324" s="1" t="str">
        <x:f>IF(I2324=0,"No",IF(COUNT(INDEX('Staff Review'!$F$8:$F$507,I2324))&lt;&gt;1,"No",IF(AND(INDEX('Staff Review'!$F$8:$F$507,I2324)&gt;=0,MOD(INDEX('Staff Review'!$F$8:$F$507,I2324),1)=0,COUNT(INDEX('Staff Review'!$G$8:$G$507,I2324))=1,INDEX('Staff Review'!$G$8:$G$507,I2324)&gt;0,INDEX('Staff Review'!$G$8:$G$507,I2324)&lt;='Top 15'!$E$5,'Top 15'!$E$5-INDEX('Staff Review'!$G$8:$G$507,I2324)&lt;='Top 15'!$H$5,LEN(INDEX('Staff Review'!$H$8:$H$507,I2324))&gt;0),"Yes","No")))</x:f>
        <x:v>No</x:v>
      </x:c>
      <x:c r="AK2324" s="1" t="n">
        <x:f>IF(A2324="",0,COUNTIFS($A$2:$A$501,A2324))</x:f>
        <x:v>1</x:v>
      </x:c>
      <x:c r="AL2324" s="1" t="n">
        <x:f>IF(V2324="Candidate",1,0)</x:f>
        <x:v>1</x:v>
      </x:c>
      <x:c r="AM2324" s="1" t="n">
        <x:f>IF(A2324="",0,VALUE(A2324))</x:f>
        <x:v>7380</x:v>
      </x:c>
      <x:c r="AN2324" s="1" t="n">
        <x:f>IF(OR(A2324="",COUNTIFS($T$41:$T$540,A2324)&lt;&gt;1),0,MATCH(A2324,$T$41:$T$540,0))</x:f>
        <x:v>274</x:v>
      </x:c>
      <x:c r="AO2324" t="n">
        <x:f>IF(ISNUMBER(W2324),W2324,10000+AM2324)</x:f>
        <x:v>233</x:v>
      </x:c>
    </x:row>
    <x:row r="2325" ht="22" customHeight="1">
      <x:c r="A2325" s="1" t="str">
        <x:f>IF(A276="","",A276)</x:f>
        <x:v>7390</x:v>
      </x:c>
      <x:c r="B2325" s="1" t="str">
        <x:f>IF(A2325="","",B276)</x:f>
        <x:v>Andrew J. Morrison School</x:v>
      </x:c>
      <x:c r="C2325" s="1" t="str">
        <x:f>IF(A2325="","",C276)</x:f>
        <x:v>District</x:v>
      </x:c>
      <x:c r="D2325" s="1" t="str">
        <x:f>IF(A2325="","",E276)</x:f>
        <x:v>Elementary-Middle</x:v>
      </x:c>
      <x:c r="E2325" s="1" t="str">
        <x:f>IF(A2325="","",H276)</x:f>
        <x:v>19120</x:v>
      </x:c>
      <x:c r="F2325" s="1" t="n">
        <x:f>IF(ISNUMBER(K276),K276,"")</x:f>
        <x:v>484</x:v>
      </x:c>
      <x:c r="G2325" s="1" t="n">
        <x:f>IF(ISNUMBER(L276),L276,"")</x:f>
        <x:v>0.8357</x:v>
      </x:c>
      <x:c r="H2325" s="1" t="str">
        <x:f>IF(A2325="","",IF(AND(UPPER(G276)="PHILADELPHIA",OR(C2325="District",AND(C2325="Charter",D276="Yes"))),"Yes","No"))</x:f>
        <x:v>Yes</x:v>
      </x:c>
      <x:c r="I2325" s="1" t="n">
        <x:f>IF(OR(A2325="",COUNTIFS('Staff Review'!$A$8:$A$507,A2325)&lt;&gt;1),0,MATCH(A2325,'Staff Review'!$A$8:$A$507,0))</x:f>
        <x:v>19</x:v>
      </x:c>
      <x:c r="J2325" s="1" t="str">
        <x:f>IF(I2325=0,"No",IF(INDEX('Staff Review'!$C$8:$C$507,I2325)="Yes","Yes","No"))</x:f>
        <x:v>No</x:v>
      </x:c>
      <x:c r="K2325" s="1" t="n">
        <x:f>IF(AI2325="Yes",INDEX('Staff Review'!$D$8:$D$507,I2325),IF(AB2325=0,"",IF(COUNT(INDEX($C$1531:$C$2030,AB2325))=1,INDEX($C$1531:$C$2030,AB2325),"")))</x:f>
        <x:v>0.19318629483885716</x:v>
      </x:c>
      <x:c r="L2325" s="1" t="n">
        <x:f>IF(AJ2325="Yes",INDEX('Staff Review'!$F$8:$F$507,I2325),IF(AB2325=0,"",IF(COUNT(INDEX($G$1531:$G$2030,AB2325))=1,INDEX($G$1531:$G$2030,AB2325),"")))</x:f>
        <x:v>9</x:v>
      </x:c>
      <x:c r="M2325" s="1" t="str">
        <x:f>IF(A2325="","",IF(AI2325="Yes","Verified","Listed"))</x:f>
        <x:v>Listed</x:v>
      </x:c>
      <x:c r="N2325" s="1" t="str">
        <x:f>IF(A2325="","",IF(AJ2325="Yes","Verified","Listed"))</x:f>
        <x:v>Listed</x:v>
      </x:c>
      <x:c r="O2325" s="1" t="n">
        <x:f>IF(AND(ISNUMBER(G2325),G2325&gt;=0,G2325&lt;=1),IF(G2325&gt;=0.9,30,IF(G2325&gt;=0.8,25,IF(G2325&gt;=0.7,20,IF(G2325&gt;=0.6,15,IF(G2325&gt;=0.5,10,IF(G2325&gt;=0.4,5,0)))))),"")</x:f>
        <x:v>25</x:v>
      </x:c>
      <x:c r="P2325" s="1" t="n">
        <x:f>IF(ISNUMBER(K2325),IF(K2325&lt;0,"",IF(K2325&gt;1,25,IF(K2325&gt;=0.75,20,IF(K2325&gt;=0.5,15,IF(K2325&gt;=0.25,10,5))))),"")</x:f>
        <x:v>5</x:v>
      </x:c>
      <x:c r="Q2325" s="1" t="n">
        <x:f>IF(NOT(ISNUMBER(L2325)),"",IF(AND(L2325&gt;=0,MOD(L2325,1)=0),MAX(0,25-5*L2325),""))</x:f>
        <x:v>0</x:v>
      </x:c>
      <x:c r="R2325" s="1" t="n">
        <x:f>IF(NOT(ISNUMBER(F2325)),"",IF(AND(F2325&gt;0,MOD(F2325,1)=0),IF(F2325&gt;=700,5,IF(F2325&gt;=500,4,IF(F2325&gt;=350,3,IF(F2325&gt;=200,2,1)))),""))</x:f>
        <x:v>3</x:v>
      </x:c>
      <x:c r="S2325" s="1" t="n">
        <x:f>IF(COUNT(O2325:R2325)=4,SUM(O2325:R2325),"")</x:f>
        <x:v>33</x:v>
      </x:c>
      <x:c r="T2325" s="1" t="n">
        <x:f>IF(OR(COUNT(O2325:R2325)&lt;&gt;4,COUNT('Top 15'!$B$35:$E$35)&lt;&gt;4,MIN('Top 15'!$B$35:$E$35)&lt;0,SUM('Top 15'!$B$35:$E$35)&lt;=0),"",ROUND(85*(O2325/30*'Top 15'!$B$35+P2325/25*'Top 15'!$C$35+Q2325/25*'Top 15'!$D$35+R2325/5*'Top 15'!$E$35)/SUM('Top 15'!$B$35:$E$35),6))</x:f>
        <x:v>33</x:v>
      </x:c>
      <x:c r="U2325" s="1" t="str">
        <x:f>IF(A2325="","",IF(AND(M2325="Verified",N2325="Verified"),"Verified",IF(AND(M2325="Listed",N2325="Listed"),"Listed","Mixed")))</x:f>
        <x:v>Listed</x:v>
      </x:c>
      <x:c r="V2325" s="1" t="str">
        <x:f>IF(A2325="","",IF(AK2325&lt;&gt;1,"Duplicate source ID",IF(COUNTIFS('Staff Review'!$A$8:$A$507,A2325)&gt;1,"Duplicate review ID",IF(H2325&lt;&gt;"Yes","Outside scope",IF(J2325="Yes","Already served",IF(NOT(ISNUMBER(T2325)),"Missing data","Candidate"))))))</x:f>
        <x:v>Candidate</x:v>
      </x:c>
      <x:c r="W2325" s="1" t="n">
        <x:f>IF(AL2325=0,"",1+COUNTIFS($AL$2051:$AL$2550,1,$T$2051:$T$2550,"&gt;"&amp;T2325)+COUNTIFS($AL$2051:$AL$2550,1,$T$2051:$T$2550,T2325,$G$2051:$G$2550,"&gt;"&amp;G2325)+COUNTIFS($AL$2051:$AL$2550,1,$T$2051:$T$2550,T2325,$G$2051:$G$2550,G2325,$F$2051:$F$2550,"&gt;"&amp;F2325)+COUNTIFS($AL$2051:$AL$2550,1,$T$2051:$T$2550,T2325,$G$2051:$G$2550,G2325,$F$2051:$F$2550,F2325,$AM$2051:$AM$2550,"&lt;"&amp;AM2325))</x:f>
        <x:v>236</x:v>
      </x:c>
      <x:c r="X2325" s="1" t="n">
        <x:f>IF(AL2325=0,"",1+COUNTIFS($AL$2051:$AL$2550,1,$T$2051:$T$2550,"&gt;"&amp;T2325))</x:f>
        <x:v>233</x:v>
      </x:c>
      <x:c r="Y2325" s="1" t="n">
        <x:f>IF(AND(H2325="Yes",OR(LEN('School Search'!$B$5)=0,ISNUMBER(SEARCH('School Search'!$B$5,B2325&amp;" "&amp;E2325&amp;" "&amp;A2325))),OR('School Search'!$D$5="All",C2325='School Search'!$D$5),OR('School Search'!$G$5="All eligible",AND('School Search'!$G$5="Not marked served",J2325&lt;&gt;"Yes"),AND('School Search'!$G$5="Missing data",V2325="Missing data"),AND('School Search'!$G$5="Marked served",J2325="Yes"))),1,0)</x:f>
        <x:v>1</x:v>
      </x:c>
      <x:c r="Z2325" s="1" t="n">
        <x:f>IF(Y2325=0,"",COUNTIFS($Y$2051:$Y$2550,1,$AO$2051:$AO$2550,"&lt;"&amp;AO2325)+COUNTIFS($Y$2051:Y2325,1,$AO$2051:AO2325,AO2325))</x:f>
        <x:v>236</x:v>
      </x:c>
      <x:c r="AA2325" s="1" t="str">
        <x:f>IF(NOT(ISNUMBER(S2325)),"Missing demographic or access input",TEXT(G2325,"0%")&amp;" economic need; "&amp;TEXT(K2325,"0.00")&amp;" mi fresh access; "&amp;L2325&amp;" nearby resources")</x:f>
        <x:v>84% economic need; 0.19 mi fresh access; 9 nearby resources</x:v>
      </x:c>
      <x:c r="AB2325" s="1" t="n">
        <x:f>IF(OR(A2325="",COUNTIFS($A$1531:$A$2030,A2325)&lt;&gt;1),0,MATCH(A2325,$A$1531:$A$2030,0))</x:f>
        <x:v>275</x:v>
      </x:c>
      <x:c r="AC2325" s="1" t="str">
        <x:f>IF(AB2325=0,"",INDEX($E$1531:$E$2030,AB2325))</x:f>
        <x:v>GFM Food Corporation</x:v>
      </x:c>
      <x:c r="AD2325" s="1" t="str">
        <x:f>IF(AB2325=0,"",INDEX($F$1531:$F$2030,AB2325))</x:f>
        <x:v>180 W Duncannon Ave, Philadelphia, PA, 19120</x:v>
      </x:c>
      <x:c r="AE2325" s="1" t="str">
        <x:f>IF(A2325="","",F276)</x:f>
        <x:v>5100 N 3RD ST</x:v>
      </x:c>
      <x:c r="AF2325" s="1" t="n">
        <x:f>IF(ISNUMBER(I276),I276,"")</x:f>
        <x:v>40.02843729</x:v>
      </x:c>
      <x:c r="AG2325" s="1" t="n">
        <x:f>IF(ISNUMBER(J276),J276,"")</x:f>
        <x:v>-75.12941126</x:v>
      </x:c>
      <x:c r="AH2325" s="1" t="str">
        <x:f>IF(I2325=0,"Not contacted",IF(INDEX('Staff Review'!$J$8:$J$507,I2325)="","Not contacted",INDEX('Staff Review'!$J$8:$J$507,I2325)))</x:f>
        <x:v>Not contacted</x:v>
      </x:c>
      <x:c r="AI2325" s="1" t="str">
        <x:f>IF(I2325=0,"No",IF(AND(COUNT(INDEX('Staff Review'!$D$8:$D$507,I2325))=1,INDEX('Staff Review'!$D$8:$D$507,I2325)&gt;=0,COUNT(INDEX('Staff Review'!$E$8:$E$507,I2325))=1,INDEX('Staff Review'!$E$8:$E$507,I2325)&gt;0,INDEX('Staff Review'!$E$8:$E$507,I2325)&lt;='Top 15'!$E$5,'Top 15'!$E$5-INDEX('Staff Review'!$E$8:$E$507,I2325)&lt;='Top 15'!$H$5,LEN(INDEX('Staff Review'!$H$8:$H$507,I2325))&gt;0),"Yes","No"))</x:f>
        <x:v>No</x:v>
      </x:c>
      <x:c r="AJ2325" s="1" t="str">
        <x:f>IF(I2325=0,"No",IF(COUNT(INDEX('Staff Review'!$F$8:$F$507,I2325))&lt;&gt;1,"No",IF(AND(INDEX('Staff Review'!$F$8:$F$507,I2325)&gt;=0,MOD(INDEX('Staff Review'!$F$8:$F$507,I2325),1)=0,COUNT(INDEX('Staff Review'!$G$8:$G$507,I2325))=1,INDEX('Staff Review'!$G$8:$G$507,I2325)&gt;0,INDEX('Staff Review'!$G$8:$G$507,I2325)&lt;='Top 15'!$E$5,'Top 15'!$E$5-INDEX('Staff Review'!$G$8:$G$507,I2325)&lt;='Top 15'!$H$5,LEN(INDEX('Staff Review'!$H$8:$H$507,I2325))&gt;0),"Yes","No")))</x:f>
        <x:v>No</x:v>
      </x:c>
      <x:c r="AK2325" s="1" t="n">
        <x:f>IF(A2325="",0,COUNTIFS($A$2:$A$501,A2325))</x:f>
        <x:v>1</x:v>
      </x:c>
      <x:c r="AL2325" s="1" t="n">
        <x:f>IF(V2325="Candidate",1,0)</x:f>
        <x:v>1</x:v>
      </x:c>
      <x:c r="AM2325" s="1" t="n">
        <x:f>IF(A2325="",0,VALUE(A2325))</x:f>
        <x:v>7390</x:v>
      </x:c>
      <x:c r="AN2325" s="1" t="n">
        <x:f>IF(OR(A2325="",COUNTIFS($T$41:$T$540,A2325)&lt;&gt;1),0,MATCH(A2325,$T$41:$T$540,0))</x:f>
        <x:v>275</x:v>
      </x:c>
      <x:c r="AO2325" t="n">
        <x:f>IF(ISNUMBER(W2325),W2325,10000+AM2325)</x:f>
        <x:v>236</x:v>
      </x:c>
    </x:row>
    <x:row r="2326" ht="22" customHeight="1">
      <x:c r="A2326" s="1" t="str">
        <x:f>IF(A277="","",A277)</x:f>
        <x:v>7400</x:v>
      </x:c>
      <x:c r="B2326" s="1" t="str">
        <x:f>IF(A2326="","",B277)</x:f>
        <x:v>Olney Elementary School</x:v>
      </x:c>
      <x:c r="C2326" s="1" t="str">
        <x:f>IF(A2326="","",C277)</x:f>
        <x:v>District</x:v>
      </x:c>
      <x:c r="D2326" s="1" t="str">
        <x:f>IF(A2326="","",E277)</x:f>
        <x:v>Elementary-Middle</x:v>
      </x:c>
      <x:c r="E2326" s="1" t="str">
        <x:f>IF(A2326="","",H277)</x:f>
        <x:v>19120</x:v>
      </x:c>
      <x:c r="F2326" s="1" t="n">
        <x:f>IF(ISNUMBER(K277),K277,"")</x:f>
        <x:v>666</x:v>
      </x:c>
      <x:c r="G2326" s="1" t="n">
        <x:f>IF(ISNUMBER(L277),L277,"")</x:f>
        <x:v>0.8247</x:v>
      </x:c>
      <x:c r="H2326" s="1" t="str">
        <x:f>IF(A2326="","",IF(AND(UPPER(G277)="PHILADELPHIA",OR(C2326="District",AND(C2326="Charter",D277="Yes"))),"Yes","No"))</x:f>
        <x:v>Yes</x:v>
      </x:c>
      <x:c r="I2326" s="1" t="n">
        <x:f>IF(OR(A2326="",COUNTIFS('Staff Review'!$A$8:$A$507,A2326)&lt;&gt;1),0,MATCH(A2326,'Staff Review'!$A$8:$A$507,0))</x:f>
        <x:v>210</x:v>
      </x:c>
      <x:c r="J2326" s="1" t="str">
        <x:f>IF(I2326=0,"No",IF(INDEX('Staff Review'!$C$8:$C$507,I2326)="Yes","Yes","No"))</x:f>
        <x:v>No</x:v>
      </x:c>
      <x:c r="K2326" s="1" t="n">
        <x:f>IF(AI2326="Yes",INDEX('Staff Review'!$D$8:$D$507,I2326),IF(AB2326=0,"",IF(COUNT(INDEX($C$1531:$C$2030,AB2326))=1,INDEX($C$1531:$C$2030,AB2326),"")))</x:f>
        <x:v>0.1645698818839141</x:v>
      </x:c>
      <x:c r="L2326" s="1" t="n">
        <x:f>IF(AJ2326="Yes",INDEX('Staff Review'!$F$8:$F$507,I2326),IF(AB2326=0,"",IF(COUNT(INDEX($G$1531:$G$2030,AB2326))=1,INDEX($G$1531:$G$2030,AB2326),"")))</x:f>
        <x:v>8</x:v>
      </x:c>
      <x:c r="M2326" s="1" t="str">
        <x:f>IF(A2326="","",IF(AI2326="Yes","Verified","Listed"))</x:f>
        <x:v>Listed</x:v>
      </x:c>
      <x:c r="N2326" s="1" t="str">
        <x:f>IF(A2326="","",IF(AJ2326="Yes","Verified","Listed"))</x:f>
        <x:v>Listed</x:v>
      </x:c>
      <x:c r="O2326" s="1" t="n">
        <x:f>IF(AND(ISNUMBER(G2326),G2326&gt;=0,G2326&lt;=1),IF(G2326&gt;=0.9,30,IF(G2326&gt;=0.8,25,IF(G2326&gt;=0.7,20,IF(G2326&gt;=0.6,15,IF(G2326&gt;=0.5,10,IF(G2326&gt;=0.4,5,0)))))),"")</x:f>
        <x:v>25</x:v>
      </x:c>
      <x:c r="P2326" s="1" t="n">
        <x:f>IF(ISNUMBER(K2326),IF(K2326&lt;0,"",IF(K2326&gt;1,25,IF(K2326&gt;=0.75,20,IF(K2326&gt;=0.5,15,IF(K2326&gt;=0.25,10,5))))),"")</x:f>
        <x:v>5</x:v>
      </x:c>
      <x:c r="Q2326" s="1" t="n">
        <x:f>IF(NOT(ISNUMBER(L2326)),"",IF(AND(L2326&gt;=0,MOD(L2326,1)=0),MAX(0,25-5*L2326),""))</x:f>
        <x:v>0</x:v>
      </x:c>
      <x:c r="R2326" s="1" t="n">
        <x:f>IF(NOT(ISNUMBER(F2326)),"",IF(AND(F2326&gt;0,MOD(F2326,1)=0),IF(F2326&gt;=700,5,IF(F2326&gt;=500,4,IF(F2326&gt;=350,3,IF(F2326&gt;=200,2,1)))),""))</x:f>
        <x:v>4</x:v>
      </x:c>
      <x:c r="S2326" s="1" t="n">
        <x:f>IF(COUNT(O2326:R2326)=4,SUM(O2326:R2326),"")</x:f>
        <x:v>34</x:v>
      </x:c>
      <x:c r="T2326" s="1" t="n">
        <x:f>IF(OR(COUNT(O2326:R2326)&lt;&gt;4,COUNT('Top 15'!$B$35:$E$35)&lt;&gt;4,MIN('Top 15'!$B$35:$E$35)&lt;0,SUM('Top 15'!$B$35:$E$35)&lt;=0),"",ROUND(85*(O2326/30*'Top 15'!$B$35+P2326/25*'Top 15'!$C$35+Q2326/25*'Top 15'!$D$35+R2326/5*'Top 15'!$E$35)/SUM('Top 15'!$B$35:$E$35),6))</x:f>
        <x:v>34</x:v>
      </x:c>
      <x:c r="U2326" s="1" t="str">
        <x:f>IF(A2326="","",IF(AND(M2326="Verified",N2326="Verified"),"Verified",IF(AND(M2326="Listed",N2326="Listed"),"Listed","Mixed")))</x:f>
        <x:v>Listed</x:v>
      </x:c>
      <x:c r="V2326" s="1" t="str">
        <x:f>IF(A2326="","",IF(AK2326&lt;&gt;1,"Duplicate source ID",IF(COUNTIFS('Staff Review'!$A$8:$A$507,A2326)&gt;1,"Duplicate review ID",IF(H2326&lt;&gt;"Yes","Outside scope",IF(J2326="Yes","Already served",IF(NOT(ISNUMBER(T2326)),"Missing data","Candidate"))))))</x:f>
        <x:v>Candidate</x:v>
      </x:c>
      <x:c r="W2326" s="1" t="n">
        <x:f>IF(AL2326=0,"",1+COUNTIFS($AL$2051:$AL$2550,1,$T$2051:$T$2550,"&gt;"&amp;T2326)+COUNTIFS($AL$2051:$AL$2550,1,$T$2051:$T$2550,T2326,$G$2051:$G$2550,"&gt;"&amp;G2326)+COUNTIFS($AL$2051:$AL$2550,1,$T$2051:$T$2550,T2326,$G$2051:$G$2550,G2326,$F$2051:$F$2550,"&gt;"&amp;F2326)+COUNTIFS($AL$2051:$AL$2550,1,$T$2051:$T$2550,T2326,$G$2051:$G$2550,G2326,$F$2051:$F$2550,F2326,$AM$2051:$AM$2550,"&lt;"&amp;AM2326))</x:f>
        <x:v>226</x:v>
      </x:c>
      <x:c r="X2326" s="1" t="n">
        <x:f>IF(AL2326=0,"",1+COUNTIFS($AL$2051:$AL$2550,1,$T$2051:$T$2550,"&gt;"&amp;T2326))</x:f>
        <x:v>221</x:v>
      </x:c>
      <x:c r="Y2326" s="1" t="n">
        <x:f>IF(AND(H2326="Yes",OR(LEN('School Search'!$B$5)=0,ISNUMBER(SEARCH('School Search'!$B$5,B2326&amp;" "&amp;E2326&amp;" "&amp;A2326))),OR('School Search'!$D$5="All",C2326='School Search'!$D$5),OR('School Search'!$G$5="All eligible",AND('School Search'!$G$5="Not marked served",J2326&lt;&gt;"Yes"),AND('School Search'!$G$5="Missing data",V2326="Missing data"),AND('School Search'!$G$5="Marked served",J2326="Yes"))),1,0)</x:f>
        <x:v>1</x:v>
      </x:c>
      <x:c r="Z2326" s="1" t="n">
        <x:f>IF(Y2326=0,"",COUNTIFS($Y$2051:$Y$2550,1,$AO$2051:$AO$2550,"&lt;"&amp;AO2326)+COUNTIFS($Y$2051:Y2326,1,$AO$2051:AO2326,AO2326))</x:f>
        <x:v>226</x:v>
      </x:c>
      <x:c r="AA2326" s="1" t="str">
        <x:f>IF(NOT(ISNUMBER(S2326)),"Missing demographic or access input",TEXT(G2326,"0%")&amp;" economic need; "&amp;TEXT(K2326,"0.00")&amp;" mi fresh access; "&amp;L2326&amp;" nearby resources")</x:f>
        <x:v>82% economic need; 0.16 mi fresh access; 8 nearby resources</x:v>
      </x:c>
      <x:c r="AB2326" s="1" t="n">
        <x:f>IF(OR(A2326="",COUNTIFS($A$1531:$A$2030,A2326)&lt;&gt;1),0,MATCH(A2326,$A$1531:$A$2030,0))</x:f>
        <x:v>276</x:v>
      </x:c>
      <x:c r="AC2326" s="1" t="str">
        <x:f>IF(AB2326=0,"",INDEX($E$1531:$E$2030,AB2326))</x:f>
        <x:v>Compare &amp; Save</x:v>
      </x:c>
      <x:c r="AD2326" s="1" t="str">
        <x:f>IF(AB2326=0,"",INDEX($F$1531:$F$2030,AB2326))</x:f>
        <x:v>5201 Rising Sun Ave, Philadelphia, PA, 19120</x:v>
      </x:c>
      <x:c r="AE2326" s="1" t="str">
        <x:f>IF(A2326="","",F277)</x:f>
        <x:v>5301 N WATER ST</x:v>
      </x:c>
      <x:c r="AF2326" s="1" t="n">
        <x:f>IF(ISNUMBER(I277),I277,"")</x:f>
        <x:v>40.03058672</x:v>
      </x:c>
      <x:c r="AG2326" s="1" t="n">
        <x:f>IF(ISNUMBER(J277),J277,"")</x:f>
        <x:v>-75.12134354</x:v>
      </x:c>
      <x:c r="AH2326" s="1" t="str">
        <x:f>IF(I2326=0,"Not contacted",IF(INDEX('Staff Review'!$J$8:$J$507,I2326)="","Not contacted",INDEX('Staff Review'!$J$8:$J$507,I2326)))</x:f>
        <x:v>Not contacted</x:v>
      </x:c>
      <x:c r="AI2326" s="1" t="str">
        <x:f>IF(I2326=0,"No",IF(AND(COUNT(INDEX('Staff Review'!$D$8:$D$507,I2326))=1,INDEX('Staff Review'!$D$8:$D$507,I2326)&gt;=0,COUNT(INDEX('Staff Review'!$E$8:$E$507,I2326))=1,INDEX('Staff Review'!$E$8:$E$507,I2326)&gt;0,INDEX('Staff Review'!$E$8:$E$507,I2326)&lt;='Top 15'!$E$5,'Top 15'!$E$5-INDEX('Staff Review'!$E$8:$E$507,I2326)&lt;='Top 15'!$H$5,LEN(INDEX('Staff Review'!$H$8:$H$507,I2326))&gt;0),"Yes","No"))</x:f>
        <x:v>No</x:v>
      </x:c>
      <x:c r="AJ2326" s="1" t="str">
        <x:f>IF(I2326=0,"No",IF(COUNT(INDEX('Staff Review'!$F$8:$F$507,I2326))&lt;&gt;1,"No",IF(AND(INDEX('Staff Review'!$F$8:$F$507,I2326)&gt;=0,MOD(INDEX('Staff Review'!$F$8:$F$507,I2326),1)=0,COUNT(INDEX('Staff Review'!$G$8:$G$507,I2326))=1,INDEX('Staff Review'!$G$8:$G$507,I2326)&gt;0,INDEX('Staff Review'!$G$8:$G$507,I2326)&lt;='Top 15'!$E$5,'Top 15'!$E$5-INDEX('Staff Review'!$G$8:$G$507,I2326)&lt;='Top 15'!$H$5,LEN(INDEX('Staff Review'!$H$8:$H$507,I2326))&gt;0),"Yes","No")))</x:f>
        <x:v>No</x:v>
      </x:c>
      <x:c r="AK2326" s="1" t="n">
        <x:f>IF(A2326="",0,COUNTIFS($A$2:$A$501,A2326))</x:f>
        <x:v>1</x:v>
      </x:c>
      <x:c r="AL2326" s="1" t="n">
        <x:f>IF(V2326="Candidate",1,0)</x:f>
        <x:v>1</x:v>
      </x:c>
      <x:c r="AM2326" s="1" t="n">
        <x:f>IF(A2326="",0,VALUE(A2326))</x:f>
        <x:v>7400</x:v>
      </x:c>
      <x:c r="AN2326" s="1" t="n">
        <x:f>IF(OR(A2326="",COUNTIFS($T$41:$T$540,A2326)&lt;&gt;1),0,MATCH(A2326,$T$41:$T$540,0))</x:f>
        <x:v>276</x:v>
      </x:c>
      <x:c r="AO2326" t="n">
        <x:f>IF(ISNUMBER(W2326),W2326,10000+AM2326)</x:f>
        <x:v>226</x:v>
      </x:c>
    </x:row>
    <x:row r="2327" ht="22" customHeight="1">
      <x:c r="A2327" s="1" t="str">
        <x:f>IF(A278="","",A278)</x:f>
        <x:v>7430</x:v>
      </x:c>
      <x:c r="B2327" s="1" t="str">
        <x:f>IF(A2327="","",B278)</x:f>
        <x:v>James J. Sullivan School</x:v>
      </x:c>
      <x:c r="C2327" s="1" t="str">
        <x:f>IF(A2327="","",C278)</x:f>
        <x:v>District</x:v>
      </x:c>
      <x:c r="D2327" s="1" t="str">
        <x:f>IF(A2327="","",E278)</x:f>
        <x:v>Elementary</x:v>
      </x:c>
      <x:c r="E2327" s="1" t="str">
        <x:f>IF(A2327="","",H278)</x:f>
        <x:v>19124</x:v>
      </x:c>
      <x:c r="F2327" s="1" t="n">
        <x:f>IF(ISNUMBER(K278),K278,"")</x:f>
        <x:v>378</x:v>
      </x:c>
      <x:c r="G2327" s="1" t="n">
        <x:f>IF(ISNUMBER(L278),L278,"")</x:f>
        <x:v>0.864</x:v>
      </x:c>
      <x:c r="H2327" s="1" t="str">
        <x:f>IF(A2327="","",IF(AND(UPPER(G278)="PHILADELPHIA",OR(C2327="District",AND(C2327="Charter",D278="Yes"))),"Yes","No"))</x:f>
        <x:v>Yes</x:v>
      </x:c>
      <x:c r="I2327" s="1" t="n">
        <x:f>IF(OR(A2327="",COUNTIFS('Staff Review'!$A$8:$A$507,A2327)&lt;&gt;1),0,MATCH(A2327,'Staff Review'!$A$8:$A$507,0))</x:f>
        <x:v>127</x:v>
      </x:c>
      <x:c r="J2327" s="1" t="str">
        <x:f>IF(I2327=0,"No",IF(INDEX('Staff Review'!$C$8:$C$507,I2327)="Yes","Yes","No"))</x:f>
        <x:v>No</x:v>
      </x:c>
      <x:c r="K2327" s="1" t="n">
        <x:f>IF(AI2327="Yes",INDEX('Staff Review'!$D$8:$D$507,I2327),IF(AB2327=0,"",IF(COUNT(INDEX($C$1531:$C$2030,AB2327))=1,INDEX($C$1531:$C$2030,AB2327),"")))</x:f>
        <x:v>0.2466658414993645</x:v>
      </x:c>
      <x:c r="L2327" s="1" t="n">
        <x:f>IF(AJ2327="Yes",INDEX('Staff Review'!$F$8:$F$507,I2327),IF(AB2327=0,"",IF(COUNT(INDEX($G$1531:$G$2030,AB2327))=1,INDEX($G$1531:$G$2030,AB2327),"")))</x:f>
        <x:v>8</x:v>
      </x:c>
      <x:c r="M2327" s="1" t="str">
        <x:f>IF(A2327="","",IF(AI2327="Yes","Verified","Listed"))</x:f>
        <x:v>Listed</x:v>
      </x:c>
      <x:c r="N2327" s="1" t="str">
        <x:f>IF(A2327="","",IF(AJ2327="Yes","Verified","Listed"))</x:f>
        <x:v>Listed</x:v>
      </x:c>
      <x:c r="O2327" s="1" t="n">
        <x:f>IF(AND(ISNUMBER(G2327),G2327&gt;=0,G2327&lt;=1),IF(G2327&gt;=0.9,30,IF(G2327&gt;=0.8,25,IF(G2327&gt;=0.7,20,IF(G2327&gt;=0.6,15,IF(G2327&gt;=0.5,10,IF(G2327&gt;=0.4,5,0)))))),"")</x:f>
        <x:v>25</x:v>
      </x:c>
      <x:c r="P2327" s="1" t="n">
        <x:f>IF(ISNUMBER(K2327),IF(K2327&lt;0,"",IF(K2327&gt;1,25,IF(K2327&gt;=0.75,20,IF(K2327&gt;=0.5,15,IF(K2327&gt;=0.25,10,5))))),"")</x:f>
        <x:v>5</x:v>
      </x:c>
      <x:c r="Q2327" s="1" t="n">
        <x:f>IF(NOT(ISNUMBER(L2327)),"",IF(AND(L2327&gt;=0,MOD(L2327,1)=0),MAX(0,25-5*L2327),""))</x:f>
        <x:v>0</x:v>
      </x:c>
      <x:c r="R2327" s="1" t="n">
        <x:f>IF(NOT(ISNUMBER(F2327)),"",IF(AND(F2327&gt;0,MOD(F2327,1)=0),IF(F2327&gt;=700,5,IF(F2327&gt;=500,4,IF(F2327&gt;=350,3,IF(F2327&gt;=200,2,1)))),""))</x:f>
        <x:v>3</x:v>
      </x:c>
      <x:c r="S2327" s="1" t="n">
        <x:f>IF(COUNT(O2327:R2327)=4,SUM(O2327:R2327),"")</x:f>
        <x:v>33</x:v>
      </x:c>
      <x:c r="T2327" s="1" t="n">
        <x:f>IF(OR(COUNT(O2327:R2327)&lt;&gt;4,COUNT('Top 15'!$B$35:$E$35)&lt;&gt;4,MIN('Top 15'!$B$35:$E$35)&lt;0,SUM('Top 15'!$B$35:$E$35)&lt;=0),"",ROUND(85*(O2327/30*'Top 15'!$B$35+P2327/25*'Top 15'!$C$35+Q2327/25*'Top 15'!$D$35+R2327/5*'Top 15'!$E$35)/SUM('Top 15'!$B$35:$E$35),6))</x:f>
        <x:v>33</x:v>
      </x:c>
      <x:c r="U2327" s="1" t="str">
        <x:f>IF(A2327="","",IF(AND(M2327="Verified",N2327="Verified"),"Verified",IF(AND(M2327="Listed",N2327="Listed"),"Listed","Mixed")))</x:f>
        <x:v>Listed</x:v>
      </x:c>
      <x:c r="V2327" s="1" t="str">
        <x:f>IF(A2327="","",IF(AK2327&lt;&gt;1,"Duplicate source ID",IF(COUNTIFS('Staff Review'!$A$8:$A$507,A2327)&gt;1,"Duplicate review ID",IF(H2327&lt;&gt;"Yes","Outside scope",IF(J2327="Yes","Already served",IF(NOT(ISNUMBER(T2327)),"Missing data","Candidate"))))))</x:f>
        <x:v>Candidate</x:v>
      </x:c>
      <x:c r="W2327" s="1" t="n">
        <x:f>IF(AL2327=0,"",1+COUNTIFS($AL$2051:$AL$2550,1,$T$2051:$T$2550,"&gt;"&amp;T2327)+COUNTIFS($AL$2051:$AL$2550,1,$T$2051:$T$2550,T2327,$G$2051:$G$2550,"&gt;"&amp;G2327)+COUNTIFS($AL$2051:$AL$2550,1,$T$2051:$T$2550,T2327,$G$2051:$G$2550,G2327,$F$2051:$F$2550,"&gt;"&amp;F2327)+COUNTIFS($AL$2051:$AL$2550,1,$T$2051:$T$2550,T2327,$G$2051:$G$2550,G2327,$F$2051:$F$2550,F2327,$AM$2051:$AM$2550,"&lt;"&amp;AM2327))</x:f>
        <x:v>234</x:v>
      </x:c>
      <x:c r="X2327" s="1" t="n">
        <x:f>IF(AL2327=0,"",1+COUNTIFS($AL$2051:$AL$2550,1,$T$2051:$T$2550,"&gt;"&amp;T2327))</x:f>
        <x:v>233</x:v>
      </x:c>
      <x:c r="Y2327" s="1" t="n">
        <x:f>IF(AND(H2327="Yes",OR(LEN('School Search'!$B$5)=0,ISNUMBER(SEARCH('School Search'!$B$5,B2327&amp;" "&amp;E2327&amp;" "&amp;A2327))),OR('School Search'!$D$5="All",C2327='School Search'!$D$5),OR('School Search'!$G$5="All eligible",AND('School Search'!$G$5="Not marked served",J2327&lt;&gt;"Yes"),AND('School Search'!$G$5="Missing data",V2327="Missing data"),AND('School Search'!$G$5="Marked served",J2327="Yes"))),1,0)</x:f>
        <x:v>1</x:v>
      </x:c>
      <x:c r="Z2327" s="1" t="n">
        <x:f>IF(Y2327=0,"",COUNTIFS($Y$2051:$Y$2550,1,$AO$2051:$AO$2550,"&lt;"&amp;AO2327)+COUNTIFS($Y$2051:Y2327,1,$AO$2051:AO2327,AO2327))</x:f>
        <x:v>234</x:v>
      </x:c>
      <x:c r="AA2327" s="1" t="str">
        <x:f>IF(NOT(ISNUMBER(S2327)),"Missing demographic or access input",TEXT(G2327,"0%")&amp;" economic need; "&amp;TEXT(K2327,"0.00")&amp;" mi fresh access; "&amp;L2327&amp;" nearby resources")</x:f>
        <x:v>86% economic need; 0.25 mi fresh access; 8 nearby resources</x:v>
      </x:c>
      <x:c r="AB2327" s="1" t="n">
        <x:f>IF(OR(A2327="",COUNTIFS($A$1531:$A$2030,A2327)&lt;&gt;1),0,MATCH(A2327,$A$1531:$A$2030,0))</x:f>
        <x:v>277</x:v>
      </x:c>
      <x:c r="AC2327" s="1" t="str">
        <x:f>IF(AB2327=0,"",INDEX($E$1531:$E$2030,AB2327))</x:f>
        <x:v>ShopRite of Bridge and Harbison 495</x:v>
      </x:c>
      <x:c r="AD2327" s="1" t="str">
        <x:f>IF(AB2327=0,"",INDEX($F$1531:$F$2030,AB2327))</x:f>
        <x:v>5597 Tulip St, Philadelphia, PA, 19124</x:v>
      </x:c>
      <x:c r="AE2327" s="1" t="str">
        <x:f>IF(A2327="","",F278)</x:f>
        <x:v>5300 DITMAN ST</x:v>
      </x:c>
      <x:c r="AF2327" s="1" t="n">
        <x:f>IF(ISNUMBER(I278),I278,"")</x:f>
        <x:v>40.01529786</x:v>
      </x:c>
      <x:c r="AG2327" s="1" t="n">
        <x:f>IF(ISNUMBER(J278),J278,"")</x:f>
        <x:v>-75.06706036</x:v>
      </x:c>
      <x:c r="AH2327" s="1" t="str">
        <x:f>IF(I2327=0,"Not contacted",IF(INDEX('Staff Review'!$J$8:$J$507,I2327)="","Not contacted",INDEX('Staff Review'!$J$8:$J$507,I2327)))</x:f>
        <x:v>Not contacted</x:v>
      </x:c>
      <x:c r="AI2327" s="1" t="str">
        <x:f>IF(I2327=0,"No",IF(AND(COUNT(INDEX('Staff Review'!$D$8:$D$507,I2327))=1,INDEX('Staff Review'!$D$8:$D$507,I2327)&gt;=0,COUNT(INDEX('Staff Review'!$E$8:$E$507,I2327))=1,INDEX('Staff Review'!$E$8:$E$507,I2327)&gt;0,INDEX('Staff Review'!$E$8:$E$507,I2327)&lt;='Top 15'!$E$5,'Top 15'!$E$5-INDEX('Staff Review'!$E$8:$E$507,I2327)&lt;='Top 15'!$H$5,LEN(INDEX('Staff Review'!$H$8:$H$507,I2327))&gt;0),"Yes","No"))</x:f>
        <x:v>No</x:v>
      </x:c>
      <x:c r="AJ2327" s="1" t="str">
        <x:f>IF(I2327=0,"No",IF(COUNT(INDEX('Staff Review'!$F$8:$F$507,I2327))&lt;&gt;1,"No",IF(AND(INDEX('Staff Review'!$F$8:$F$507,I2327)&gt;=0,MOD(INDEX('Staff Review'!$F$8:$F$507,I2327),1)=0,COUNT(INDEX('Staff Review'!$G$8:$G$507,I2327))=1,INDEX('Staff Review'!$G$8:$G$507,I2327)&gt;0,INDEX('Staff Review'!$G$8:$G$507,I2327)&lt;='Top 15'!$E$5,'Top 15'!$E$5-INDEX('Staff Review'!$G$8:$G$507,I2327)&lt;='Top 15'!$H$5,LEN(INDEX('Staff Review'!$H$8:$H$507,I2327))&gt;0),"Yes","No")))</x:f>
        <x:v>No</x:v>
      </x:c>
      <x:c r="AK2327" s="1" t="n">
        <x:f>IF(A2327="",0,COUNTIFS($A$2:$A$501,A2327))</x:f>
        <x:v>1</x:v>
      </x:c>
      <x:c r="AL2327" s="1" t="n">
        <x:f>IF(V2327="Candidate",1,0)</x:f>
        <x:v>1</x:v>
      </x:c>
      <x:c r="AM2327" s="1" t="n">
        <x:f>IF(A2327="",0,VALUE(A2327))</x:f>
        <x:v>7430</x:v>
      </x:c>
      <x:c r="AN2327" s="1" t="n">
        <x:f>IF(OR(A2327="",COUNTIFS($T$41:$T$540,A2327)&lt;&gt;1),0,MATCH(A2327,$T$41:$T$540,0))</x:f>
        <x:v>277</x:v>
      </x:c>
      <x:c r="AO2327" t="n">
        <x:f>IF(ISNUMBER(W2327),W2327,10000+AM2327)</x:f>
        <x:v>234</x:v>
      </x:c>
    </x:row>
    <x:row r="2328" ht="22" customHeight="1">
      <x:c r="A2328" s="1" t="str">
        <x:f>IF(A279="","",A279)</x:f>
        <x:v>7440</x:v>
      </x:c>
      <x:c r="B2328" s="1" t="str">
        <x:f>IF(A2328="","",B279)</x:f>
        <x:v>Bayard Taylor School</x:v>
      </x:c>
      <x:c r="C2328" s="1" t="str">
        <x:f>IF(A2328="","",C279)</x:f>
        <x:v>District</x:v>
      </x:c>
      <x:c r="D2328" s="1" t="str">
        <x:f>IF(A2328="","",E279)</x:f>
        <x:v>Elementary</x:v>
      </x:c>
      <x:c r="E2328" s="1" t="str">
        <x:f>IF(A2328="","",H279)</x:f>
        <x:v>19140</x:v>
      </x:c>
      <x:c r="F2328" s="1" t="n">
        <x:f>IF(ISNUMBER(K279),K279,"")</x:f>
        <x:v>359</x:v>
      </x:c>
      <x:c r="G2328" s="1" t="n">
        <x:f>IF(ISNUMBER(L279),L279,"")</x:f>
        <x:v>0.8635</x:v>
      </x:c>
      <x:c r="H2328" s="1" t="str">
        <x:f>IF(A2328="","",IF(AND(UPPER(G279)="PHILADELPHIA",OR(C2328="District",AND(C2328="Charter",D279="Yes"))),"Yes","No"))</x:f>
        <x:v>Yes</x:v>
      </x:c>
      <x:c r="I2328" s="1" t="n">
        <x:f>IF(OR(A2328="",COUNTIFS('Staff Review'!$A$8:$A$507,A2328)&lt;&gt;1),0,MATCH(A2328,'Staff Review'!$A$8:$A$507,0))</x:f>
        <x:v>27</x:v>
      </x:c>
      <x:c r="J2328" s="1" t="str">
        <x:f>IF(I2328=0,"No",IF(INDEX('Staff Review'!$C$8:$C$507,I2328)="Yes","Yes","No"))</x:f>
        <x:v>No</x:v>
      </x:c>
      <x:c r="K2328" s="1" t="n">
        <x:f>IF(AI2328="Yes",INDEX('Staff Review'!$D$8:$D$507,I2328),IF(AB2328=0,"",IF(COUNT(INDEX($C$1531:$C$2030,AB2328))=1,INDEX($C$1531:$C$2030,AB2328),"")))</x:f>
        <x:v>0.3832553292704573</x:v>
      </x:c>
      <x:c r="L2328" s="1" t="n">
        <x:f>IF(AJ2328="Yes",INDEX('Staff Review'!$F$8:$F$507,I2328),IF(AB2328=0,"",IF(COUNT(INDEX($G$1531:$G$2030,AB2328))=1,INDEX($G$1531:$G$2030,AB2328),"")))</x:f>
        <x:v>12</x:v>
      </x:c>
      <x:c r="M2328" s="1" t="str">
        <x:f>IF(A2328="","",IF(AI2328="Yes","Verified","Listed"))</x:f>
        <x:v>Listed</x:v>
      </x:c>
      <x:c r="N2328" s="1" t="str">
        <x:f>IF(A2328="","",IF(AJ2328="Yes","Verified","Listed"))</x:f>
        <x:v>Listed</x:v>
      </x:c>
      <x:c r="O2328" s="1" t="n">
        <x:f>IF(AND(ISNUMBER(G2328),G2328&gt;=0,G2328&lt;=1),IF(G2328&gt;=0.9,30,IF(G2328&gt;=0.8,25,IF(G2328&gt;=0.7,20,IF(G2328&gt;=0.6,15,IF(G2328&gt;=0.5,10,IF(G2328&gt;=0.4,5,0)))))),"")</x:f>
        <x:v>25</x:v>
      </x:c>
      <x:c r="P2328" s="1" t="n">
        <x:f>IF(ISNUMBER(K2328),IF(K2328&lt;0,"",IF(K2328&gt;1,25,IF(K2328&gt;=0.75,20,IF(K2328&gt;=0.5,15,IF(K2328&gt;=0.25,10,5))))),"")</x:f>
        <x:v>10</x:v>
      </x:c>
      <x:c r="Q2328" s="1" t="n">
        <x:f>IF(NOT(ISNUMBER(L2328)),"",IF(AND(L2328&gt;=0,MOD(L2328,1)=0),MAX(0,25-5*L2328),""))</x:f>
        <x:v>0</x:v>
      </x:c>
      <x:c r="R2328" s="1" t="n">
        <x:f>IF(NOT(ISNUMBER(F2328)),"",IF(AND(F2328&gt;0,MOD(F2328,1)=0),IF(F2328&gt;=700,5,IF(F2328&gt;=500,4,IF(F2328&gt;=350,3,IF(F2328&gt;=200,2,1)))),""))</x:f>
        <x:v>3</x:v>
      </x:c>
      <x:c r="S2328" s="1" t="n">
        <x:f>IF(COUNT(O2328:R2328)=4,SUM(O2328:R2328),"")</x:f>
        <x:v>38</x:v>
      </x:c>
      <x:c r="T2328" s="1" t="n">
        <x:f>IF(OR(COUNT(O2328:R2328)&lt;&gt;4,COUNT('Top 15'!$B$35:$E$35)&lt;&gt;4,MIN('Top 15'!$B$35:$E$35)&lt;0,SUM('Top 15'!$B$35:$E$35)&lt;=0),"",ROUND(85*(O2328/30*'Top 15'!$B$35+P2328/25*'Top 15'!$C$35+Q2328/25*'Top 15'!$D$35+R2328/5*'Top 15'!$E$35)/SUM('Top 15'!$B$35:$E$35),6))</x:f>
        <x:v>38</x:v>
      </x:c>
      <x:c r="U2328" s="1" t="str">
        <x:f>IF(A2328="","",IF(AND(M2328="Verified",N2328="Verified"),"Verified",IF(AND(M2328="Listed",N2328="Listed"),"Listed","Mixed")))</x:f>
        <x:v>Listed</x:v>
      </x:c>
      <x:c r="V2328" s="1" t="str">
        <x:f>IF(A2328="","",IF(AK2328&lt;&gt;1,"Duplicate source ID",IF(COUNTIFS('Staff Review'!$A$8:$A$507,A2328)&gt;1,"Duplicate review ID",IF(H2328&lt;&gt;"Yes","Outside scope",IF(J2328="Yes","Already served",IF(NOT(ISNUMBER(T2328)),"Missing data","Candidate"))))))</x:f>
        <x:v>Candidate</x:v>
      </x:c>
      <x:c r="W2328" s="1" t="n">
        <x:f>IF(AL2328=0,"",1+COUNTIFS($AL$2051:$AL$2550,1,$T$2051:$T$2550,"&gt;"&amp;T2328)+COUNTIFS($AL$2051:$AL$2550,1,$T$2051:$T$2550,T2328,$G$2051:$G$2550,"&gt;"&amp;G2328)+COUNTIFS($AL$2051:$AL$2550,1,$T$2051:$T$2550,T2328,$G$2051:$G$2550,G2328,$F$2051:$F$2550,"&gt;"&amp;F2328)+COUNTIFS($AL$2051:$AL$2550,1,$T$2051:$T$2550,T2328,$G$2051:$G$2550,G2328,$F$2051:$F$2550,F2328,$AM$2051:$AM$2550,"&lt;"&amp;AM2328))</x:f>
        <x:v>173</x:v>
      </x:c>
      <x:c r="X2328" s="1" t="n">
        <x:f>IF(AL2328=0,"",1+COUNTIFS($AL$2051:$AL$2550,1,$T$2051:$T$2550,"&gt;"&amp;T2328))</x:f>
        <x:v>166</x:v>
      </x:c>
      <x:c r="Y2328" s="1" t="n">
        <x:f>IF(AND(H2328="Yes",OR(LEN('School Search'!$B$5)=0,ISNUMBER(SEARCH('School Search'!$B$5,B2328&amp;" "&amp;E2328&amp;" "&amp;A2328))),OR('School Search'!$D$5="All",C2328='School Search'!$D$5),OR('School Search'!$G$5="All eligible",AND('School Search'!$G$5="Not marked served",J2328&lt;&gt;"Yes"),AND('School Search'!$G$5="Missing data",V2328="Missing data"),AND('School Search'!$G$5="Marked served",J2328="Yes"))),1,0)</x:f>
        <x:v>1</x:v>
      </x:c>
      <x:c r="Z2328" s="1" t="n">
        <x:f>IF(Y2328=0,"",COUNTIFS($Y$2051:$Y$2550,1,$AO$2051:$AO$2550,"&lt;"&amp;AO2328)+COUNTIFS($Y$2051:Y2328,1,$AO$2051:AO2328,AO2328))</x:f>
        <x:v>173</x:v>
      </x:c>
      <x:c r="AA2328" s="1" t="str">
        <x:f>IF(NOT(ISNUMBER(S2328)),"Missing demographic or access input",TEXT(G2328,"0%")&amp;" economic need; "&amp;TEXT(K2328,"0.00")&amp;" mi fresh access; "&amp;L2328&amp;" nearby resources")</x:f>
        <x:v>86% economic need; 0.38 mi fresh access; 12 nearby resources</x:v>
      </x:c>
      <x:c r="AB2328" s="1" t="n">
        <x:f>IF(OR(A2328="",COUNTIFS($A$1531:$A$2030,A2328)&lt;&gt;1),0,MATCH(A2328,$A$1531:$A$2030,0))</x:f>
        <x:v>278</x:v>
      </x:c>
      <x:c r="AC2328" s="1" t="str">
        <x:f>IF(AB2328=0,"",INDEX($E$1531:$E$2030,AB2328))</x:f>
        <x:v>COUSINS SUPERMARKET INC. #2</x:v>
      </x:c>
      <x:c r="AD2328" s="1" t="str">
        <x:f>IF(AB2328=0,"",INDEX($F$1531:$F$2030,AB2328))</x:f>
        <x:v>4037 N 5th St, Philadelphia, PA, 19140</x:v>
      </x:c>
      <x:c r="AE2328" s="1" t="str">
        <x:f>IF(A2328="","",F279)</x:f>
        <x:v>3698 N RANDOLPH ST</x:v>
      </x:c>
      <x:c r="AF2328" s="1" t="n">
        <x:f>IF(ISNUMBER(I279),I279,"")</x:f>
        <x:v>40.00753033</x:v>
      </x:c>
      <x:c r="AG2328" s="1" t="n">
        <x:f>IF(ISNUMBER(J279),J279,"")</x:f>
        <x:v>-75.13793972</x:v>
      </x:c>
      <x:c r="AH2328" s="1" t="str">
        <x:f>IF(I2328=0,"Not contacted",IF(INDEX('Staff Review'!$J$8:$J$507,I2328)="","Not contacted",INDEX('Staff Review'!$J$8:$J$507,I2328)))</x:f>
        <x:v>Not contacted</x:v>
      </x:c>
      <x:c r="AI2328" s="1" t="str">
        <x:f>IF(I2328=0,"No",IF(AND(COUNT(INDEX('Staff Review'!$D$8:$D$507,I2328))=1,INDEX('Staff Review'!$D$8:$D$507,I2328)&gt;=0,COUNT(INDEX('Staff Review'!$E$8:$E$507,I2328))=1,INDEX('Staff Review'!$E$8:$E$507,I2328)&gt;0,INDEX('Staff Review'!$E$8:$E$507,I2328)&lt;='Top 15'!$E$5,'Top 15'!$E$5-INDEX('Staff Review'!$E$8:$E$507,I2328)&lt;='Top 15'!$H$5,LEN(INDEX('Staff Review'!$H$8:$H$507,I2328))&gt;0),"Yes","No"))</x:f>
        <x:v>No</x:v>
      </x:c>
      <x:c r="AJ2328" s="1" t="str">
        <x:f>IF(I2328=0,"No",IF(COUNT(INDEX('Staff Review'!$F$8:$F$507,I2328))&lt;&gt;1,"No",IF(AND(INDEX('Staff Review'!$F$8:$F$507,I2328)&gt;=0,MOD(INDEX('Staff Review'!$F$8:$F$507,I2328),1)=0,COUNT(INDEX('Staff Review'!$G$8:$G$507,I2328))=1,INDEX('Staff Review'!$G$8:$G$507,I2328)&gt;0,INDEX('Staff Review'!$G$8:$G$507,I2328)&lt;='Top 15'!$E$5,'Top 15'!$E$5-INDEX('Staff Review'!$G$8:$G$507,I2328)&lt;='Top 15'!$H$5,LEN(INDEX('Staff Review'!$H$8:$H$507,I2328))&gt;0),"Yes","No")))</x:f>
        <x:v>No</x:v>
      </x:c>
      <x:c r="AK2328" s="1" t="n">
        <x:f>IF(A2328="",0,COUNTIFS($A$2:$A$501,A2328))</x:f>
        <x:v>1</x:v>
      </x:c>
      <x:c r="AL2328" s="1" t="n">
        <x:f>IF(V2328="Candidate",1,0)</x:f>
        <x:v>1</x:v>
      </x:c>
      <x:c r="AM2328" s="1" t="n">
        <x:f>IF(A2328="",0,VALUE(A2328))</x:f>
        <x:v>7440</x:v>
      </x:c>
      <x:c r="AN2328" s="1" t="n">
        <x:f>IF(OR(A2328="",COUNTIFS($T$41:$T$540,A2328)&lt;&gt;1),0,MATCH(A2328,$T$41:$T$540,0))</x:f>
        <x:v>278</x:v>
      </x:c>
      <x:c r="AO2328" t="n">
        <x:f>IF(ISNUMBER(W2328),W2328,10000+AM2328)</x:f>
        <x:v>173</x:v>
      </x:c>
    </x:row>
    <x:row r="2329" ht="22" customHeight="1">
      <x:c r="A2329" s="1" t="str">
        <x:f>IF(A280="","",A280)</x:f>
        <x:v>7460</x:v>
      </x:c>
      <x:c r="B2329" s="1" t="str">
        <x:f>IF(A2329="","",B280)</x:f>
        <x:v>William H. Ziegler School</x:v>
      </x:c>
      <x:c r="C2329" s="1" t="str">
        <x:f>IF(A2329="","",C280)</x:f>
        <x:v>District</x:v>
      </x:c>
      <x:c r="D2329" s="1" t="str">
        <x:f>IF(A2329="","",E280)</x:f>
        <x:v>Elementary-Middle</x:v>
      </x:c>
      <x:c r="E2329" s="1" t="str">
        <x:f>IF(A2329="","",H280)</x:f>
        <x:v>19149</x:v>
      </x:c>
      <x:c r="F2329" s="1" t="n">
        <x:f>IF(ISNUMBER(K280),K280,"")</x:f>
        <x:v>507</x:v>
      </x:c>
      <x:c r="G2329" s="1" t="n">
        <x:f>IF(ISNUMBER(L280),L280,"")</x:f>
        <x:v>0.8134</x:v>
      </x:c>
      <x:c r="H2329" s="1" t="str">
        <x:f>IF(A2329="","",IF(AND(UPPER(G280)="PHILADELPHIA",OR(C2329="District",AND(C2329="Charter",D280="Yes"))),"Yes","No"))</x:f>
        <x:v>Yes</x:v>
      </x:c>
      <x:c r="I2329" s="1" t="n">
        <x:f>IF(OR(A2329="",COUNTIFS('Staff Review'!$A$8:$A$507,A2329)&lt;&gt;1),0,MATCH(A2329,'Staff Review'!$A$8:$A$507,0))</x:f>
        <x:v>319</x:v>
      </x:c>
      <x:c r="J2329" s="1" t="str">
        <x:f>IF(I2329=0,"No",IF(INDEX('Staff Review'!$C$8:$C$507,I2329)="Yes","Yes","No"))</x:f>
        <x:v>No</x:v>
      </x:c>
      <x:c r="K2329" s="1" t="n">
        <x:f>IF(AI2329="Yes",INDEX('Staff Review'!$D$8:$D$507,I2329),IF(AB2329=0,"",IF(COUNT(INDEX($C$1531:$C$2030,AB2329))=1,INDEX($C$1531:$C$2030,AB2329),"")))</x:f>
        <x:v>0.4804050832420565</x:v>
      </x:c>
      <x:c r="L2329" s="1" t="n">
        <x:f>IF(AJ2329="Yes",INDEX('Staff Review'!$F$8:$F$507,I2329),IF(AB2329=0,"",IF(COUNT(INDEX($G$1531:$G$2030,AB2329))=1,INDEX($G$1531:$G$2030,AB2329),"")))</x:f>
        <x:v>5</x:v>
      </x:c>
      <x:c r="M2329" s="1" t="str">
        <x:f>IF(A2329="","",IF(AI2329="Yes","Verified","Listed"))</x:f>
        <x:v>Listed</x:v>
      </x:c>
      <x:c r="N2329" s="1" t="str">
        <x:f>IF(A2329="","",IF(AJ2329="Yes","Verified","Listed"))</x:f>
        <x:v>Listed</x:v>
      </x:c>
      <x:c r="O2329" s="1" t="n">
        <x:f>IF(AND(ISNUMBER(G2329),G2329&gt;=0,G2329&lt;=1),IF(G2329&gt;=0.9,30,IF(G2329&gt;=0.8,25,IF(G2329&gt;=0.7,20,IF(G2329&gt;=0.6,15,IF(G2329&gt;=0.5,10,IF(G2329&gt;=0.4,5,0)))))),"")</x:f>
        <x:v>25</x:v>
      </x:c>
      <x:c r="P2329" s="1" t="n">
        <x:f>IF(ISNUMBER(K2329),IF(K2329&lt;0,"",IF(K2329&gt;1,25,IF(K2329&gt;=0.75,20,IF(K2329&gt;=0.5,15,IF(K2329&gt;=0.25,10,5))))),"")</x:f>
        <x:v>10</x:v>
      </x:c>
      <x:c r="Q2329" s="1" t="n">
        <x:f>IF(NOT(ISNUMBER(L2329)),"",IF(AND(L2329&gt;=0,MOD(L2329,1)=0),MAX(0,25-5*L2329),""))</x:f>
        <x:v>0</x:v>
      </x:c>
      <x:c r="R2329" s="1" t="n">
        <x:f>IF(NOT(ISNUMBER(F2329)),"",IF(AND(F2329&gt;0,MOD(F2329,1)=0),IF(F2329&gt;=700,5,IF(F2329&gt;=500,4,IF(F2329&gt;=350,3,IF(F2329&gt;=200,2,1)))),""))</x:f>
        <x:v>4</x:v>
      </x:c>
      <x:c r="S2329" s="1" t="n">
        <x:f>IF(COUNT(O2329:R2329)=4,SUM(O2329:R2329),"")</x:f>
        <x:v>39</x:v>
      </x:c>
      <x:c r="T2329" s="1" t="n">
        <x:f>IF(OR(COUNT(O2329:R2329)&lt;&gt;4,COUNT('Top 15'!$B$35:$E$35)&lt;&gt;4,MIN('Top 15'!$B$35:$E$35)&lt;0,SUM('Top 15'!$B$35:$E$35)&lt;=0),"",ROUND(85*(O2329/30*'Top 15'!$B$35+P2329/25*'Top 15'!$C$35+Q2329/25*'Top 15'!$D$35+R2329/5*'Top 15'!$E$35)/SUM('Top 15'!$B$35:$E$35),6))</x:f>
        <x:v>39</x:v>
      </x:c>
      <x:c r="U2329" s="1" t="str">
        <x:f>IF(A2329="","",IF(AND(M2329="Verified",N2329="Verified"),"Verified",IF(AND(M2329="Listed",N2329="Listed"),"Listed","Mixed")))</x:f>
        <x:v>Listed</x:v>
      </x:c>
      <x:c r="V2329" s="1" t="str">
        <x:f>IF(A2329="","",IF(AK2329&lt;&gt;1,"Duplicate source ID",IF(COUNTIFS('Staff Review'!$A$8:$A$507,A2329)&gt;1,"Duplicate review ID",IF(H2329&lt;&gt;"Yes","Outside scope",IF(J2329="Yes","Already served",IF(NOT(ISNUMBER(T2329)),"Missing data","Candidate"))))))</x:f>
        <x:v>Candidate</x:v>
      </x:c>
      <x:c r="W2329" s="1" t="n">
        <x:f>IF(AL2329=0,"",1+COUNTIFS($AL$2051:$AL$2550,1,$T$2051:$T$2550,"&gt;"&amp;T2329)+COUNTIFS($AL$2051:$AL$2550,1,$T$2051:$T$2550,T2329,$G$2051:$G$2550,"&gt;"&amp;G2329)+COUNTIFS($AL$2051:$AL$2550,1,$T$2051:$T$2550,T2329,$G$2051:$G$2550,G2329,$F$2051:$F$2550,"&gt;"&amp;F2329)+COUNTIFS($AL$2051:$AL$2550,1,$T$2051:$T$2550,T2329,$G$2051:$G$2550,G2329,$F$2051:$F$2550,F2329,$AM$2051:$AM$2550,"&lt;"&amp;AM2329))</x:f>
        <x:v>159</x:v>
      </x:c>
      <x:c r="X2329" s="1" t="n">
        <x:f>IF(AL2329=0,"",1+COUNTIFS($AL$2051:$AL$2550,1,$T$2051:$T$2550,"&gt;"&amp;T2329))</x:f>
        <x:v>148</x:v>
      </x:c>
      <x:c r="Y2329" s="1" t="n">
        <x:f>IF(AND(H2329="Yes",OR(LEN('School Search'!$B$5)=0,ISNUMBER(SEARCH('School Search'!$B$5,B2329&amp;" "&amp;E2329&amp;" "&amp;A2329))),OR('School Search'!$D$5="All",C2329='School Search'!$D$5),OR('School Search'!$G$5="All eligible",AND('School Search'!$G$5="Not marked served",J2329&lt;&gt;"Yes"),AND('School Search'!$G$5="Missing data",V2329="Missing data"),AND('School Search'!$G$5="Marked served",J2329="Yes"))),1,0)</x:f>
        <x:v>1</x:v>
      </x:c>
      <x:c r="Z2329" s="1" t="n">
        <x:f>IF(Y2329=0,"",COUNTIFS($Y$2051:$Y$2550,1,$AO$2051:$AO$2550,"&lt;"&amp;AO2329)+COUNTIFS($Y$2051:Y2329,1,$AO$2051:AO2329,AO2329))</x:f>
        <x:v>159</x:v>
      </x:c>
      <x:c r="AA2329" s="1" t="str">
        <x:f>IF(NOT(ISNUMBER(S2329)),"Missing demographic or access input",TEXT(G2329,"0%")&amp;" economic need; "&amp;TEXT(K2329,"0.00")&amp;" mi fresh access; "&amp;L2329&amp;" nearby resources")</x:f>
        <x:v>81% economic need; 0.48 mi fresh access; 5 nearby resources</x:v>
      </x:c>
      <x:c r="AB2329" s="1" t="n">
        <x:f>IF(OR(A2329="",COUNTIFS($A$1531:$A$2030,A2329)&lt;&gt;1),0,MATCH(A2329,$A$1531:$A$2030,0))</x:f>
        <x:v>279</x:v>
      </x:c>
      <x:c r="AC2329" s="1" t="str">
        <x:f>IF(AB2329=0,"",INDEX($E$1531:$E$2030,AB2329))</x:f>
        <x:v>Cousins Grocery Market Inc.</x:v>
      </x:c>
      <x:c r="AD2329" s="1" t="str">
        <x:f>IF(AB2329=0,"",INDEX($F$1531:$F$2030,AB2329))</x:f>
        <x:v>1607 Bridge St, Philadelphia, PA, 19124</x:v>
      </x:c>
      <x:c r="AE2329" s="1" t="str">
        <x:f>IF(A2329="","",F280)</x:f>
        <x:v>5935 SAUL ST</x:v>
      </x:c>
      <x:c r="AF2329" s="1" t="n">
        <x:f>IF(ISNUMBER(I280),I280,"")</x:f>
        <x:v>40.03003725</x:v>
      </x:c>
      <x:c r="AG2329" s="1" t="n">
        <x:f>IF(ISNUMBER(J280),J280,"")</x:f>
        <x:v>-75.07570448</x:v>
      </x:c>
      <x:c r="AH2329" s="1" t="str">
        <x:f>IF(I2329=0,"Not contacted",IF(INDEX('Staff Review'!$J$8:$J$507,I2329)="","Not contacted",INDEX('Staff Review'!$J$8:$J$507,I2329)))</x:f>
        <x:v>Not contacted</x:v>
      </x:c>
      <x:c r="AI2329" s="1" t="str">
        <x:f>IF(I2329=0,"No",IF(AND(COUNT(INDEX('Staff Review'!$D$8:$D$507,I2329))=1,INDEX('Staff Review'!$D$8:$D$507,I2329)&gt;=0,COUNT(INDEX('Staff Review'!$E$8:$E$507,I2329))=1,INDEX('Staff Review'!$E$8:$E$507,I2329)&gt;0,INDEX('Staff Review'!$E$8:$E$507,I2329)&lt;='Top 15'!$E$5,'Top 15'!$E$5-INDEX('Staff Review'!$E$8:$E$507,I2329)&lt;='Top 15'!$H$5,LEN(INDEX('Staff Review'!$H$8:$H$507,I2329))&gt;0),"Yes","No"))</x:f>
        <x:v>No</x:v>
      </x:c>
      <x:c r="AJ2329" s="1" t="str">
        <x:f>IF(I2329=0,"No",IF(COUNT(INDEX('Staff Review'!$F$8:$F$507,I2329))&lt;&gt;1,"No",IF(AND(INDEX('Staff Review'!$F$8:$F$507,I2329)&gt;=0,MOD(INDEX('Staff Review'!$F$8:$F$507,I2329),1)=0,COUNT(INDEX('Staff Review'!$G$8:$G$507,I2329))=1,INDEX('Staff Review'!$G$8:$G$507,I2329)&gt;0,INDEX('Staff Review'!$G$8:$G$507,I2329)&lt;='Top 15'!$E$5,'Top 15'!$E$5-INDEX('Staff Review'!$G$8:$G$507,I2329)&lt;='Top 15'!$H$5,LEN(INDEX('Staff Review'!$H$8:$H$507,I2329))&gt;0),"Yes","No")))</x:f>
        <x:v>No</x:v>
      </x:c>
      <x:c r="AK2329" s="1" t="n">
        <x:f>IF(A2329="",0,COUNTIFS($A$2:$A$501,A2329))</x:f>
        <x:v>1</x:v>
      </x:c>
      <x:c r="AL2329" s="1" t="n">
        <x:f>IF(V2329="Candidate",1,0)</x:f>
        <x:v>1</x:v>
      </x:c>
      <x:c r="AM2329" s="1" t="n">
        <x:f>IF(A2329="",0,VALUE(A2329))</x:f>
        <x:v>7460</x:v>
      </x:c>
      <x:c r="AN2329" s="1" t="n">
        <x:f>IF(OR(A2329="",COUNTIFS($T$41:$T$540,A2329)&lt;&gt;1),0,MATCH(A2329,$T$41:$T$540,0))</x:f>
        <x:v>279</x:v>
      </x:c>
      <x:c r="AO2329" t="n">
        <x:f>IF(ISNUMBER(W2329),W2329,10000+AM2329)</x:f>
        <x:v>159</x:v>
      </x:c>
    </x:row>
    <x:row r="2330" ht="22" customHeight="1">
      <x:c r="A2330" s="1" t="str">
        <x:f>IF(A281="","",A281)</x:f>
        <x:v>7470</x:v>
      </x:c>
      <x:c r="B2330" s="1" t="str">
        <x:f>IF(A2330="","",B281)</x:f>
        <x:v>Bridesburg School</x:v>
      </x:c>
      <x:c r="C2330" s="1" t="str">
        <x:f>IF(A2330="","",C281)</x:f>
        <x:v>District</x:v>
      </x:c>
      <x:c r="D2330" s="1" t="str">
        <x:f>IF(A2330="","",E281)</x:f>
        <x:v>Elementary-Middle</x:v>
      </x:c>
      <x:c r="E2330" s="1" t="str">
        <x:f>IF(A2330="","",H281)</x:f>
        <x:v>19137</x:v>
      </x:c>
      <x:c r="F2330" s="1" t="n">
        <x:f>IF(ISNUMBER(K281),K281,"")</x:f>
        <x:v>522</x:v>
      </x:c>
      <x:c r="G2330" s="1" t="n">
        <x:f>IF(ISNUMBER(L281),L281,"")</x:f>
        <x:v>0.6934</x:v>
      </x:c>
      <x:c r="H2330" s="1" t="str">
        <x:f>IF(A2330="","",IF(AND(UPPER(G281)="PHILADELPHIA",OR(C2330="District",AND(C2330="Charter",D281="Yes"))),"Yes","No"))</x:f>
        <x:v>Yes</x:v>
      </x:c>
      <x:c r="I2330" s="1" t="n">
        <x:f>IF(OR(A2330="",COUNTIFS('Staff Review'!$A$8:$A$507,A2330)&lt;&gt;1),0,MATCH(A2330,'Staff Review'!$A$8:$A$507,0))</x:f>
        <x:v>34</x:v>
      </x:c>
      <x:c r="J2330" s="1" t="str">
        <x:f>IF(I2330=0,"No",IF(INDEX('Staff Review'!$C$8:$C$507,I2330)="Yes","Yes","No"))</x:f>
        <x:v>No</x:v>
      </x:c>
      <x:c r="K2330" s="1" t="n">
        <x:f>IF(AI2330="Yes",INDEX('Staff Review'!$D$8:$D$507,I2330),IF(AB2330=0,"",IF(COUNT(INDEX($C$1531:$C$2030,AB2330))=1,INDEX($C$1531:$C$2030,AB2330),"")))</x:f>
        <x:v>0.7903587969166054</x:v>
      </x:c>
      <x:c r="L2330" s="1" t="n">
        <x:f>IF(AJ2330="Yes",INDEX('Staff Review'!$F$8:$F$507,I2330),IF(AB2330=0,"",IF(COUNT(INDEX($G$1531:$G$2030,AB2330))=1,INDEX($G$1531:$G$2030,AB2330),"")))</x:f>
        <x:v>1</x:v>
      </x:c>
      <x:c r="M2330" s="1" t="str">
        <x:f>IF(A2330="","",IF(AI2330="Yes","Verified","Listed"))</x:f>
        <x:v>Listed</x:v>
      </x:c>
      <x:c r="N2330" s="1" t="str">
        <x:f>IF(A2330="","",IF(AJ2330="Yes","Verified","Listed"))</x:f>
        <x:v>Listed</x:v>
      </x:c>
      <x:c r="O2330" s="1" t="n">
        <x:f>IF(AND(ISNUMBER(G2330),G2330&gt;=0,G2330&lt;=1),IF(G2330&gt;=0.9,30,IF(G2330&gt;=0.8,25,IF(G2330&gt;=0.7,20,IF(G2330&gt;=0.6,15,IF(G2330&gt;=0.5,10,IF(G2330&gt;=0.4,5,0)))))),"")</x:f>
        <x:v>15</x:v>
      </x:c>
      <x:c r="P2330" s="1" t="n">
        <x:f>IF(ISNUMBER(K2330),IF(K2330&lt;0,"",IF(K2330&gt;1,25,IF(K2330&gt;=0.75,20,IF(K2330&gt;=0.5,15,IF(K2330&gt;=0.25,10,5))))),"")</x:f>
        <x:v>20</x:v>
      </x:c>
      <x:c r="Q2330" s="1" t="n">
        <x:f>IF(NOT(ISNUMBER(L2330)),"",IF(AND(L2330&gt;=0,MOD(L2330,1)=0),MAX(0,25-5*L2330),""))</x:f>
        <x:v>20</x:v>
      </x:c>
      <x:c r="R2330" s="1" t="n">
        <x:f>IF(NOT(ISNUMBER(F2330)),"",IF(AND(F2330&gt;0,MOD(F2330,1)=0),IF(F2330&gt;=700,5,IF(F2330&gt;=500,4,IF(F2330&gt;=350,3,IF(F2330&gt;=200,2,1)))),""))</x:f>
        <x:v>4</x:v>
      </x:c>
      <x:c r="S2330" s="1" t="n">
        <x:f>IF(COUNT(O2330:R2330)=4,SUM(O2330:R2330),"")</x:f>
        <x:v>59</x:v>
      </x:c>
      <x:c r="T2330" s="1" t="n">
        <x:f>IF(OR(COUNT(O2330:R2330)&lt;&gt;4,COUNT('Top 15'!$B$35:$E$35)&lt;&gt;4,MIN('Top 15'!$B$35:$E$35)&lt;0,SUM('Top 15'!$B$35:$E$35)&lt;=0),"",ROUND(85*(O2330/30*'Top 15'!$B$35+P2330/25*'Top 15'!$C$35+Q2330/25*'Top 15'!$D$35+R2330/5*'Top 15'!$E$35)/SUM('Top 15'!$B$35:$E$35),6))</x:f>
        <x:v>59</x:v>
      </x:c>
      <x:c r="U2330" s="1" t="str">
        <x:f>IF(A2330="","",IF(AND(M2330="Verified",N2330="Verified"),"Verified",IF(AND(M2330="Listed",N2330="Listed"),"Listed","Mixed")))</x:f>
        <x:v>Listed</x:v>
      </x:c>
      <x:c r="V2330" s="1" t="str">
        <x:f>IF(A2330="","",IF(AK2330&lt;&gt;1,"Duplicate source ID",IF(COUNTIFS('Staff Review'!$A$8:$A$507,A2330)&gt;1,"Duplicate review ID",IF(H2330&lt;&gt;"Yes","Outside scope",IF(J2330="Yes","Already served",IF(NOT(ISNUMBER(T2330)),"Missing data","Candidate"))))))</x:f>
        <x:v>Candidate</x:v>
      </x:c>
      <x:c r="W2330" s="1" t="n">
        <x:f>IF(AL2330=0,"",1+COUNTIFS($AL$2051:$AL$2550,1,$T$2051:$T$2550,"&gt;"&amp;T2330)+COUNTIFS($AL$2051:$AL$2550,1,$T$2051:$T$2550,T2330,$G$2051:$G$2550,"&gt;"&amp;G2330)+COUNTIFS($AL$2051:$AL$2550,1,$T$2051:$T$2550,T2330,$G$2051:$G$2550,G2330,$F$2051:$F$2550,"&gt;"&amp;F2330)+COUNTIFS($AL$2051:$AL$2550,1,$T$2051:$T$2550,T2330,$G$2051:$G$2550,G2330,$F$2051:$F$2550,F2330,$AM$2051:$AM$2550,"&lt;"&amp;AM2330))</x:f>
        <x:v>16</x:v>
      </x:c>
      <x:c r="X2330" s="1" t="n">
        <x:f>IF(AL2330=0,"",1+COUNTIFS($AL$2051:$AL$2550,1,$T$2051:$T$2550,"&gt;"&amp;T2330))</x:f>
        <x:v>16</x:v>
      </x:c>
      <x:c r="Y2330" s="1" t="n">
        <x:f>IF(AND(H2330="Yes",OR(LEN('School Search'!$B$5)=0,ISNUMBER(SEARCH('School Search'!$B$5,B2330&amp;" "&amp;E2330&amp;" "&amp;A2330))),OR('School Search'!$D$5="All",C2330='School Search'!$D$5),OR('School Search'!$G$5="All eligible",AND('School Search'!$G$5="Not marked served",J2330&lt;&gt;"Yes"),AND('School Search'!$G$5="Missing data",V2330="Missing data"),AND('School Search'!$G$5="Marked served",J2330="Yes"))),1,0)</x:f>
        <x:v>1</x:v>
      </x:c>
      <x:c r="Z2330" s="1" t="n">
        <x:f>IF(Y2330=0,"",COUNTIFS($Y$2051:$Y$2550,1,$AO$2051:$AO$2550,"&lt;"&amp;AO2330)+COUNTIFS($Y$2051:Y2330,1,$AO$2051:AO2330,AO2330))</x:f>
        <x:v>16</x:v>
      </x:c>
      <x:c r="AA2330" s="1" t="str">
        <x:f>IF(NOT(ISNUMBER(S2330)),"Missing demographic or access input",TEXT(G2330,"0%")&amp;" economic need; "&amp;TEXT(K2330,"0.00")&amp;" mi fresh access; "&amp;L2330&amp;" nearby resources")</x:f>
        <x:v>69% economic need; 0.79 mi fresh access; 1 nearby resources</x:v>
      </x:c>
      <x:c r="AB2330" s="1" t="n">
        <x:f>IF(OR(A2330="",COUNTIFS($A$1531:$A$2030,A2330)&lt;&gt;1),0,MATCH(A2330,$A$1531:$A$2030,0))</x:f>
        <x:v>280</x:v>
      </x:c>
      <x:c r="AC2330" s="1" t="str">
        <x:f>IF(AB2330=0,"",INDEX($E$1531:$E$2030,AB2330))</x:f>
        <x:v>ShopRite of Bridge and Harbison 495</x:v>
      </x:c>
      <x:c r="AD2330" s="1" t="str">
        <x:f>IF(AB2330=0,"",INDEX($F$1531:$F$2030,AB2330))</x:f>
        <x:v>5597 Tulip St, Philadelphia, PA, 19124</x:v>
      </x:c>
      <x:c r="AE2330" s="1" t="str">
        <x:f>IF(A2330="","",F281)</x:f>
        <x:v>2824 JENKS ST</x:v>
      </x:c>
      <x:c r="AF2330" s="1" t="n">
        <x:f>IF(ISNUMBER(I281),I281,"")</x:f>
        <x:v>40.00030082</x:v>
      </x:c>
      <x:c r="AG2330" s="1" t="n">
        <x:f>IF(ISNUMBER(J281),J281,"")</x:f>
        <x:v>-75.06660471</x:v>
      </x:c>
      <x:c r="AH2330" s="1" t="str">
        <x:f>IF(I2330=0,"Not contacted",IF(INDEX('Staff Review'!$J$8:$J$507,I2330)="","Not contacted",INDEX('Staff Review'!$J$8:$J$507,I2330)))</x:f>
        <x:v>Not contacted</x:v>
      </x:c>
      <x:c r="AI2330" s="1" t="str">
        <x:f>IF(I2330=0,"No",IF(AND(COUNT(INDEX('Staff Review'!$D$8:$D$507,I2330))=1,INDEX('Staff Review'!$D$8:$D$507,I2330)&gt;=0,COUNT(INDEX('Staff Review'!$E$8:$E$507,I2330))=1,INDEX('Staff Review'!$E$8:$E$507,I2330)&gt;0,INDEX('Staff Review'!$E$8:$E$507,I2330)&lt;='Top 15'!$E$5,'Top 15'!$E$5-INDEX('Staff Review'!$E$8:$E$507,I2330)&lt;='Top 15'!$H$5,LEN(INDEX('Staff Review'!$H$8:$H$507,I2330))&gt;0),"Yes","No"))</x:f>
        <x:v>No</x:v>
      </x:c>
      <x:c r="AJ2330" s="1" t="str">
        <x:f>IF(I2330=0,"No",IF(COUNT(INDEX('Staff Review'!$F$8:$F$507,I2330))&lt;&gt;1,"No",IF(AND(INDEX('Staff Review'!$F$8:$F$507,I2330)&gt;=0,MOD(INDEX('Staff Review'!$F$8:$F$507,I2330),1)=0,COUNT(INDEX('Staff Review'!$G$8:$G$507,I2330))=1,INDEX('Staff Review'!$G$8:$G$507,I2330)&gt;0,INDEX('Staff Review'!$G$8:$G$507,I2330)&lt;='Top 15'!$E$5,'Top 15'!$E$5-INDEX('Staff Review'!$G$8:$G$507,I2330)&lt;='Top 15'!$H$5,LEN(INDEX('Staff Review'!$H$8:$H$507,I2330))&gt;0),"Yes","No")))</x:f>
        <x:v>No</x:v>
      </x:c>
      <x:c r="AK2330" s="1" t="n">
        <x:f>IF(A2330="",0,COUNTIFS($A$2:$A$501,A2330))</x:f>
        <x:v>1</x:v>
      </x:c>
      <x:c r="AL2330" s="1" t="n">
        <x:f>IF(V2330="Candidate",1,0)</x:f>
        <x:v>1</x:v>
      </x:c>
      <x:c r="AM2330" s="1" t="n">
        <x:f>IF(A2330="",0,VALUE(A2330))</x:f>
        <x:v>7470</x:v>
      </x:c>
      <x:c r="AN2330" s="1" t="n">
        <x:f>IF(OR(A2330="",COUNTIFS($T$41:$T$540,A2330)&lt;&gt;1),0,MATCH(A2330,$T$41:$T$540,0))</x:f>
        <x:v>280</x:v>
      </x:c>
      <x:c r="AO2330" t="n">
        <x:f>IF(ISNUMBER(W2330),W2330,10000+AM2330)</x:f>
        <x:v>16</x:v>
      </x:c>
    </x:row>
    <x:row r="2331" ht="22" customHeight="1">
      <x:c r="A2331" s="1" t="str">
        <x:f>IF(A282="","",A282)</x:f>
        <x:v>7490</x:v>
      </x:c>
      <x:c r="B2331" s="1" t="str">
        <x:f>IF(A2331="","",B282)</x:f>
        <x:v>Prince Hall School</x:v>
      </x:c>
      <x:c r="C2331" s="1" t="str">
        <x:f>IF(A2331="","",C282)</x:f>
        <x:v>District</x:v>
      </x:c>
      <x:c r="D2331" s="1" t="str">
        <x:f>IF(A2331="","",E282)</x:f>
        <x:v>Elementary</x:v>
      </x:c>
      <x:c r="E2331" s="1" t="str">
        <x:f>IF(A2331="","",H282)</x:f>
        <x:v>19141</x:v>
      </x:c>
      <x:c r="F2331" s="1" t="n">
        <x:f>IF(ISNUMBER(K282),K282,"")</x:f>
        <x:v>317</x:v>
      </x:c>
      <x:c r="G2331" s="1" t="n">
        <x:f>IF(ISNUMBER(L282),L282,"")</x:f>
        <x:v>0.9169</x:v>
      </x:c>
      <x:c r="H2331" s="1" t="str">
        <x:f>IF(A2331="","",IF(AND(UPPER(G282)="PHILADELPHIA",OR(C2331="District",AND(C2331="Charter",D282="Yes"))),"Yes","No"))</x:f>
        <x:v>Yes</x:v>
      </x:c>
      <x:c r="I2331" s="1" t="n">
        <x:f>IF(OR(A2331="",COUNTIFS('Staff Review'!$A$8:$A$507,A2331)&lt;&gt;1),0,MATCH(A2331,'Staff Review'!$A$8:$A$507,0))</x:f>
        <x:v>245</x:v>
      </x:c>
      <x:c r="J2331" s="1" t="str">
        <x:f>IF(I2331=0,"No",IF(INDEX('Staff Review'!$C$8:$C$507,I2331)="Yes","Yes","No"))</x:f>
        <x:v>No</x:v>
      </x:c>
      <x:c r="K2331" s="1" t="n">
        <x:f>IF(AI2331="Yes",INDEX('Staff Review'!$D$8:$D$507,I2331),IF(AB2331=0,"",IF(COUNT(INDEX($C$1531:$C$2030,AB2331))=1,INDEX($C$1531:$C$2030,AB2331),"")))</x:f>
        <x:v>0.35373085831047146</x:v>
      </x:c>
      <x:c r="L2331" s="1" t="n">
        <x:f>IF(AJ2331="Yes",INDEX('Staff Review'!$F$8:$F$507,I2331),IF(AB2331=0,"",IF(COUNT(INDEX($G$1531:$G$2030,AB2331))=1,INDEX($G$1531:$G$2030,AB2331),"")))</x:f>
        <x:v>12</x:v>
      </x:c>
      <x:c r="M2331" s="1" t="str">
        <x:f>IF(A2331="","",IF(AI2331="Yes","Verified","Listed"))</x:f>
        <x:v>Listed</x:v>
      </x:c>
      <x:c r="N2331" s="1" t="str">
        <x:f>IF(A2331="","",IF(AJ2331="Yes","Verified","Listed"))</x:f>
        <x:v>Listed</x:v>
      </x:c>
      <x:c r="O2331" s="1" t="n">
        <x:f>IF(AND(ISNUMBER(G2331),G2331&gt;=0,G2331&lt;=1),IF(G2331&gt;=0.9,30,IF(G2331&gt;=0.8,25,IF(G2331&gt;=0.7,20,IF(G2331&gt;=0.6,15,IF(G2331&gt;=0.5,10,IF(G2331&gt;=0.4,5,0)))))),"")</x:f>
        <x:v>30</x:v>
      </x:c>
      <x:c r="P2331" s="1" t="n">
        <x:f>IF(ISNUMBER(K2331),IF(K2331&lt;0,"",IF(K2331&gt;1,25,IF(K2331&gt;=0.75,20,IF(K2331&gt;=0.5,15,IF(K2331&gt;=0.25,10,5))))),"")</x:f>
        <x:v>10</x:v>
      </x:c>
      <x:c r="Q2331" s="1" t="n">
        <x:f>IF(NOT(ISNUMBER(L2331)),"",IF(AND(L2331&gt;=0,MOD(L2331,1)=0),MAX(0,25-5*L2331),""))</x:f>
        <x:v>0</x:v>
      </x:c>
      <x:c r="R2331" s="1" t="n">
        <x:f>IF(NOT(ISNUMBER(F2331)),"",IF(AND(F2331&gt;0,MOD(F2331,1)=0),IF(F2331&gt;=700,5,IF(F2331&gt;=500,4,IF(F2331&gt;=350,3,IF(F2331&gt;=200,2,1)))),""))</x:f>
        <x:v>2</x:v>
      </x:c>
      <x:c r="S2331" s="1" t="n">
        <x:f>IF(COUNT(O2331:R2331)=4,SUM(O2331:R2331),"")</x:f>
        <x:v>42</x:v>
      </x:c>
      <x:c r="T2331" s="1" t="n">
        <x:f>IF(OR(COUNT(O2331:R2331)&lt;&gt;4,COUNT('Top 15'!$B$35:$E$35)&lt;&gt;4,MIN('Top 15'!$B$35:$E$35)&lt;0,SUM('Top 15'!$B$35:$E$35)&lt;=0),"",ROUND(85*(O2331/30*'Top 15'!$B$35+P2331/25*'Top 15'!$C$35+Q2331/25*'Top 15'!$D$35+R2331/5*'Top 15'!$E$35)/SUM('Top 15'!$B$35:$E$35),6))</x:f>
        <x:v>42</x:v>
      </x:c>
      <x:c r="U2331" s="1" t="str">
        <x:f>IF(A2331="","",IF(AND(M2331="Verified",N2331="Verified"),"Verified",IF(AND(M2331="Listed",N2331="Listed"),"Listed","Mixed")))</x:f>
        <x:v>Listed</x:v>
      </x:c>
      <x:c r="V2331" s="1" t="str">
        <x:f>IF(A2331="","",IF(AK2331&lt;&gt;1,"Duplicate source ID",IF(COUNTIFS('Staff Review'!$A$8:$A$507,A2331)&gt;1,"Duplicate review ID",IF(H2331&lt;&gt;"Yes","Outside scope",IF(J2331="Yes","Already served",IF(NOT(ISNUMBER(T2331)),"Missing data","Candidate"))))))</x:f>
        <x:v>Candidate</x:v>
      </x:c>
      <x:c r="W2331" s="1" t="n">
        <x:f>IF(AL2331=0,"",1+COUNTIFS($AL$2051:$AL$2550,1,$T$2051:$T$2550,"&gt;"&amp;T2331)+COUNTIFS($AL$2051:$AL$2550,1,$T$2051:$T$2550,T2331,$G$2051:$G$2550,"&gt;"&amp;G2331)+COUNTIFS($AL$2051:$AL$2550,1,$T$2051:$T$2550,T2331,$G$2051:$G$2550,G2331,$F$2051:$F$2550,"&gt;"&amp;F2331)+COUNTIFS($AL$2051:$AL$2550,1,$T$2051:$T$2550,T2331,$G$2051:$G$2550,G2331,$F$2051:$F$2550,F2331,$AM$2051:$AM$2550,"&lt;"&amp;AM2331))</x:f>
        <x:v>106</x:v>
      </x:c>
      <x:c r="X2331" s="1" t="n">
        <x:f>IF(AL2331=0,"",1+COUNTIFS($AL$2051:$AL$2550,1,$T$2051:$T$2550,"&gt;"&amp;T2331))</x:f>
        <x:v>101</x:v>
      </x:c>
      <x:c r="Y2331" s="1" t="n">
        <x:f>IF(AND(H2331="Yes",OR(LEN('School Search'!$B$5)=0,ISNUMBER(SEARCH('School Search'!$B$5,B2331&amp;" "&amp;E2331&amp;" "&amp;A2331))),OR('School Search'!$D$5="All",C2331='School Search'!$D$5),OR('School Search'!$G$5="All eligible",AND('School Search'!$G$5="Not marked served",J2331&lt;&gt;"Yes"),AND('School Search'!$G$5="Missing data",V2331="Missing data"),AND('School Search'!$G$5="Marked served",J2331="Yes"))),1,0)</x:f>
        <x:v>1</x:v>
      </x:c>
      <x:c r="Z2331" s="1" t="n">
        <x:f>IF(Y2331=0,"",COUNTIFS($Y$2051:$Y$2550,1,$AO$2051:$AO$2550,"&lt;"&amp;AO2331)+COUNTIFS($Y$2051:Y2331,1,$AO$2051:AO2331,AO2331))</x:f>
        <x:v>106</x:v>
      </x:c>
      <x:c r="AA2331" s="1" t="str">
        <x:f>IF(NOT(ISNUMBER(S2331)),"Missing demographic or access input",TEXT(G2331,"0%")&amp;" economic need; "&amp;TEXT(K2331,"0.00")&amp;" mi fresh access; "&amp;L2331&amp;" nearby resources")</x:f>
        <x:v>92% economic need; 0.35 mi fresh access; 12 nearby resources</x:v>
      </x:c>
      <x:c r="AB2331" s="1" t="n">
        <x:f>IF(OR(A2331="",COUNTIFS($A$1531:$A$2030,A2331)&lt;&gt;1),0,MATCH(A2331,$A$1531:$A$2030,0))</x:f>
        <x:v>281</x:v>
      </x:c>
      <x:c r="AC2331" s="1" t="str">
        <x:f>IF(AB2331=0,"",INDEX($E$1531:$E$2030,AB2331))</x:f>
        <x:v>ALDI 60011 60011</x:v>
      </x:c>
      <x:c r="AD2331" s="1" t="str">
        <x:f>IF(AB2331=0,"",INDEX($F$1531:$F$2030,AB2331))</x:f>
        <x:v>6119 N Broad St, Philadelphia, PA, 19141</x:v>
      </x:c>
      <x:c r="AE2331" s="1" t="str">
        <x:f>IF(A2331="","",F282)</x:f>
        <x:v>6101 N GRATZ ST</x:v>
      </x:c>
      <x:c r="AF2331" s="1" t="n">
        <x:f>IF(ISNUMBER(I282),I282,"")</x:f>
        <x:v>40.04770742</x:v>
      </x:c>
      <x:c r="AG2331" s="1" t="n">
        <x:f>IF(ISNUMBER(J282),J282,"")</x:f>
        <x:v>-75.14956052</x:v>
      </x:c>
      <x:c r="AH2331" s="1" t="str">
        <x:f>IF(I2331=0,"Not contacted",IF(INDEX('Staff Review'!$J$8:$J$507,I2331)="","Not contacted",INDEX('Staff Review'!$J$8:$J$507,I2331)))</x:f>
        <x:v>Not contacted</x:v>
      </x:c>
      <x:c r="AI2331" s="1" t="str">
        <x:f>IF(I2331=0,"No",IF(AND(COUNT(INDEX('Staff Review'!$D$8:$D$507,I2331))=1,INDEX('Staff Review'!$D$8:$D$507,I2331)&gt;=0,COUNT(INDEX('Staff Review'!$E$8:$E$507,I2331))=1,INDEX('Staff Review'!$E$8:$E$507,I2331)&gt;0,INDEX('Staff Review'!$E$8:$E$507,I2331)&lt;='Top 15'!$E$5,'Top 15'!$E$5-INDEX('Staff Review'!$E$8:$E$507,I2331)&lt;='Top 15'!$H$5,LEN(INDEX('Staff Review'!$H$8:$H$507,I2331))&gt;0),"Yes","No"))</x:f>
        <x:v>No</x:v>
      </x:c>
      <x:c r="AJ2331" s="1" t="str">
        <x:f>IF(I2331=0,"No",IF(COUNT(INDEX('Staff Review'!$F$8:$F$507,I2331))&lt;&gt;1,"No",IF(AND(INDEX('Staff Review'!$F$8:$F$507,I2331)&gt;=0,MOD(INDEX('Staff Review'!$F$8:$F$507,I2331),1)=0,COUNT(INDEX('Staff Review'!$G$8:$G$507,I2331))=1,INDEX('Staff Review'!$G$8:$G$507,I2331)&gt;0,INDEX('Staff Review'!$G$8:$G$507,I2331)&lt;='Top 15'!$E$5,'Top 15'!$E$5-INDEX('Staff Review'!$G$8:$G$507,I2331)&lt;='Top 15'!$H$5,LEN(INDEX('Staff Review'!$H$8:$H$507,I2331))&gt;0),"Yes","No")))</x:f>
        <x:v>No</x:v>
      </x:c>
      <x:c r="AK2331" s="1" t="n">
        <x:f>IF(A2331="",0,COUNTIFS($A$2:$A$501,A2331))</x:f>
        <x:v>1</x:v>
      </x:c>
      <x:c r="AL2331" s="1" t="n">
        <x:f>IF(V2331="Candidate",1,0)</x:f>
        <x:v>1</x:v>
      </x:c>
      <x:c r="AM2331" s="1" t="n">
        <x:f>IF(A2331="",0,VALUE(A2331))</x:f>
        <x:v>7490</x:v>
      </x:c>
      <x:c r="AN2331" s="1" t="n">
        <x:f>IF(OR(A2331="",COUNTIFS($T$41:$T$540,A2331)&lt;&gt;1),0,MATCH(A2331,$T$41:$T$540,0))</x:f>
        <x:v>281</x:v>
      </x:c>
      <x:c r="AO2331" t="n">
        <x:f>IF(ISNUMBER(W2331),W2331,10000+AM2331)</x:f>
        <x:v>106</x:v>
      </x:c>
    </x:row>
    <x:row r="2332" ht="22" customHeight="1">
      <x:c r="A2332" s="1" t="str">
        <x:f>IF(A283="","",A283)</x:f>
        <x:v>7500</x:v>
      </x:c>
      <x:c r="B2332" s="1" t="str">
        <x:f>IF(A2332="","",B283)</x:f>
        <x:v>Feltonville School of Arts and Sciences</x:v>
      </x:c>
      <x:c r="C2332" s="1" t="str">
        <x:f>IF(A2332="","",C283)</x:f>
        <x:v>District</x:v>
      </x:c>
      <x:c r="D2332" s="1" t="str">
        <x:f>IF(A2332="","",E283)</x:f>
        <x:v>Middle</x:v>
      </x:c>
      <x:c r="E2332" s="1" t="str">
        <x:f>IF(A2332="","",H283)</x:f>
        <x:v>19120</x:v>
      </x:c>
      <x:c r="F2332" s="1" t="n">
        <x:f>IF(ISNUMBER(K283),K283,"")</x:f>
        <x:v>505</x:v>
      </x:c>
      <x:c r="G2332" s="1" t="n">
        <x:f>IF(ISNUMBER(L283),L283,"")</x:f>
        <x:v>0.8429</x:v>
      </x:c>
      <x:c r="H2332" s="1" t="str">
        <x:f>IF(A2332="","",IF(AND(UPPER(G283)="PHILADELPHIA",OR(C2332="District",AND(C2332="Charter",D283="Yes"))),"Yes","No"))</x:f>
        <x:v>Yes</x:v>
      </x:c>
      <x:c r="I2332" s="1" t="n">
        <x:f>IF(OR(A2332="",COUNTIFS('Staff Review'!$A$8:$A$507,A2332)&lt;&gt;1),0,MATCH(A2332,'Staff Review'!$A$8:$A$507,0))</x:f>
        <x:v>74</x:v>
      </x:c>
      <x:c r="J2332" s="1" t="str">
        <x:f>IF(I2332=0,"No",IF(INDEX('Staff Review'!$C$8:$C$507,I2332)="Yes","Yes","No"))</x:f>
        <x:v>No</x:v>
      </x:c>
      <x:c r="K2332" s="1" t="n">
        <x:f>IF(AI2332="Yes",INDEX('Staff Review'!$D$8:$D$507,I2332),IF(AB2332=0,"",IF(COUNT(INDEX($C$1531:$C$2030,AB2332))=1,INDEX($C$1531:$C$2030,AB2332),"")))</x:f>
        <x:v>0.22562896148912306</x:v>
      </x:c>
      <x:c r="L2332" s="1" t="n">
        <x:f>IF(AJ2332="Yes",INDEX('Staff Review'!$F$8:$F$507,I2332),IF(AB2332=0,"",IF(COUNT(INDEX($G$1531:$G$2030,AB2332))=1,INDEX($G$1531:$G$2030,AB2332),"")))</x:f>
        <x:v>7</x:v>
      </x:c>
      <x:c r="M2332" s="1" t="str">
        <x:f>IF(A2332="","",IF(AI2332="Yes","Verified","Listed"))</x:f>
        <x:v>Listed</x:v>
      </x:c>
      <x:c r="N2332" s="1" t="str">
        <x:f>IF(A2332="","",IF(AJ2332="Yes","Verified","Listed"))</x:f>
        <x:v>Listed</x:v>
      </x:c>
      <x:c r="O2332" s="1" t="n">
        <x:f>IF(AND(ISNUMBER(G2332),G2332&gt;=0,G2332&lt;=1),IF(G2332&gt;=0.9,30,IF(G2332&gt;=0.8,25,IF(G2332&gt;=0.7,20,IF(G2332&gt;=0.6,15,IF(G2332&gt;=0.5,10,IF(G2332&gt;=0.4,5,0)))))),"")</x:f>
        <x:v>25</x:v>
      </x:c>
      <x:c r="P2332" s="1" t="n">
        <x:f>IF(ISNUMBER(K2332),IF(K2332&lt;0,"",IF(K2332&gt;1,25,IF(K2332&gt;=0.75,20,IF(K2332&gt;=0.5,15,IF(K2332&gt;=0.25,10,5))))),"")</x:f>
        <x:v>5</x:v>
      </x:c>
      <x:c r="Q2332" s="1" t="n">
        <x:f>IF(NOT(ISNUMBER(L2332)),"",IF(AND(L2332&gt;=0,MOD(L2332,1)=0),MAX(0,25-5*L2332),""))</x:f>
        <x:v>0</x:v>
      </x:c>
      <x:c r="R2332" s="1" t="n">
        <x:f>IF(NOT(ISNUMBER(F2332)),"",IF(AND(F2332&gt;0,MOD(F2332,1)=0),IF(F2332&gt;=700,5,IF(F2332&gt;=500,4,IF(F2332&gt;=350,3,IF(F2332&gt;=200,2,1)))),""))</x:f>
        <x:v>4</x:v>
      </x:c>
      <x:c r="S2332" s="1" t="n">
        <x:f>IF(COUNT(O2332:R2332)=4,SUM(O2332:R2332),"")</x:f>
        <x:v>34</x:v>
      </x:c>
      <x:c r="T2332" s="1" t="n">
        <x:f>IF(OR(COUNT(O2332:R2332)&lt;&gt;4,COUNT('Top 15'!$B$35:$E$35)&lt;&gt;4,MIN('Top 15'!$B$35:$E$35)&lt;0,SUM('Top 15'!$B$35:$E$35)&lt;=0),"",ROUND(85*(O2332/30*'Top 15'!$B$35+P2332/25*'Top 15'!$C$35+Q2332/25*'Top 15'!$D$35+R2332/5*'Top 15'!$E$35)/SUM('Top 15'!$B$35:$E$35),6))</x:f>
        <x:v>34</x:v>
      </x:c>
      <x:c r="U2332" s="1" t="str">
        <x:f>IF(A2332="","",IF(AND(M2332="Verified",N2332="Verified"),"Verified",IF(AND(M2332="Listed",N2332="Listed"),"Listed","Mixed")))</x:f>
        <x:v>Listed</x:v>
      </x:c>
      <x:c r="V2332" s="1" t="str">
        <x:f>IF(A2332="","",IF(AK2332&lt;&gt;1,"Duplicate source ID",IF(COUNTIFS('Staff Review'!$A$8:$A$507,A2332)&gt;1,"Duplicate review ID",IF(H2332&lt;&gt;"Yes","Outside scope",IF(J2332="Yes","Already served",IF(NOT(ISNUMBER(T2332)),"Missing data","Candidate"))))))</x:f>
        <x:v>Candidate</x:v>
      </x:c>
      <x:c r="W2332" s="1" t="n">
        <x:f>IF(AL2332=0,"",1+COUNTIFS($AL$2051:$AL$2550,1,$T$2051:$T$2550,"&gt;"&amp;T2332)+COUNTIFS($AL$2051:$AL$2550,1,$T$2051:$T$2550,T2332,$G$2051:$G$2550,"&gt;"&amp;G2332)+COUNTIFS($AL$2051:$AL$2550,1,$T$2051:$T$2550,T2332,$G$2051:$G$2550,G2332,$F$2051:$F$2550,"&gt;"&amp;F2332)+COUNTIFS($AL$2051:$AL$2550,1,$T$2051:$T$2550,T2332,$G$2051:$G$2550,G2332,$F$2051:$F$2550,F2332,$AM$2051:$AM$2550,"&lt;"&amp;AM2332))</x:f>
        <x:v>223</x:v>
      </x:c>
      <x:c r="X2332" s="1" t="n">
        <x:f>IF(AL2332=0,"",1+COUNTIFS($AL$2051:$AL$2550,1,$T$2051:$T$2550,"&gt;"&amp;T2332))</x:f>
        <x:v>221</x:v>
      </x:c>
      <x:c r="Y2332" s="1" t="n">
        <x:f>IF(AND(H2332="Yes",OR(LEN('School Search'!$B$5)=0,ISNUMBER(SEARCH('School Search'!$B$5,B2332&amp;" "&amp;E2332&amp;" "&amp;A2332))),OR('School Search'!$D$5="All",C2332='School Search'!$D$5),OR('School Search'!$G$5="All eligible",AND('School Search'!$G$5="Not marked served",J2332&lt;&gt;"Yes"),AND('School Search'!$G$5="Missing data",V2332="Missing data"),AND('School Search'!$G$5="Marked served",J2332="Yes"))),1,0)</x:f>
        <x:v>1</x:v>
      </x:c>
      <x:c r="Z2332" s="1" t="n">
        <x:f>IF(Y2332=0,"",COUNTIFS($Y$2051:$Y$2550,1,$AO$2051:$AO$2550,"&lt;"&amp;AO2332)+COUNTIFS($Y$2051:Y2332,1,$AO$2051:AO2332,AO2332))</x:f>
        <x:v>223</x:v>
      </x:c>
      <x:c r="AA2332" s="1" t="str">
        <x:f>IF(NOT(ISNUMBER(S2332)),"Missing demographic or access input",TEXT(G2332,"0%")&amp;" economic need; "&amp;TEXT(K2332,"0.00")&amp;" mi fresh access; "&amp;L2332&amp;" nearby resources")</x:f>
        <x:v>84% economic need; 0.23 mi fresh access; 7 nearby resources</x:v>
      </x:c>
      <x:c r="AB2332" s="1" t="n">
        <x:f>IF(OR(A2332="",COUNTIFS($A$1531:$A$2030,A2332)&lt;&gt;1),0,MATCH(A2332,$A$1531:$A$2030,0))</x:f>
        <x:v>282</x:v>
      </x:c>
      <x:c r="AC2332" s="1" t="str">
        <x:f>IF(AB2332=0,"",INDEX($E$1531:$E$2030,AB2332))</x:f>
        <x:v>Compare &amp; Save Supermarket</x:v>
      </x:c>
      <x:c r="AD2332" s="1" t="str">
        <x:f>IF(AB2332=0,"",INDEX($F$1531:$F$2030,AB2332))</x:f>
        <x:v>405 E Wyoming Ave, Philadelphia, PA, 19120</x:v>
      </x:c>
      <x:c r="AE2332" s="1" t="str">
        <x:f>IF(A2332="","",F283)</x:f>
        <x:v>210 E COURTLAND ST</x:v>
      </x:c>
      <x:c r="AF2332" s="1" t="n">
        <x:f>IF(ISNUMBER(I283),I283,"")</x:f>
        <x:v>40.019437</x:v>
      </x:c>
      <x:c r="AG2332" s="1" t="n">
        <x:f>IF(ISNUMBER(J283),J283,"")</x:f>
        <x:v>-75.121675</x:v>
      </x:c>
      <x:c r="AH2332" s="1" t="str">
        <x:f>IF(I2332=0,"Not contacted",IF(INDEX('Staff Review'!$J$8:$J$507,I2332)="","Not contacted",INDEX('Staff Review'!$J$8:$J$507,I2332)))</x:f>
        <x:v>Not contacted</x:v>
      </x:c>
      <x:c r="AI2332" s="1" t="str">
        <x:f>IF(I2332=0,"No",IF(AND(COUNT(INDEX('Staff Review'!$D$8:$D$507,I2332))=1,INDEX('Staff Review'!$D$8:$D$507,I2332)&gt;=0,COUNT(INDEX('Staff Review'!$E$8:$E$507,I2332))=1,INDEX('Staff Review'!$E$8:$E$507,I2332)&gt;0,INDEX('Staff Review'!$E$8:$E$507,I2332)&lt;='Top 15'!$E$5,'Top 15'!$E$5-INDEX('Staff Review'!$E$8:$E$507,I2332)&lt;='Top 15'!$H$5,LEN(INDEX('Staff Review'!$H$8:$H$507,I2332))&gt;0),"Yes","No"))</x:f>
        <x:v>No</x:v>
      </x:c>
      <x:c r="AJ2332" s="1" t="str">
        <x:f>IF(I2332=0,"No",IF(COUNT(INDEX('Staff Review'!$F$8:$F$507,I2332))&lt;&gt;1,"No",IF(AND(INDEX('Staff Review'!$F$8:$F$507,I2332)&gt;=0,MOD(INDEX('Staff Review'!$F$8:$F$507,I2332),1)=0,COUNT(INDEX('Staff Review'!$G$8:$G$507,I2332))=1,INDEX('Staff Review'!$G$8:$G$507,I2332)&gt;0,INDEX('Staff Review'!$G$8:$G$507,I2332)&lt;='Top 15'!$E$5,'Top 15'!$E$5-INDEX('Staff Review'!$G$8:$G$507,I2332)&lt;='Top 15'!$H$5,LEN(INDEX('Staff Review'!$H$8:$H$507,I2332))&gt;0),"Yes","No")))</x:f>
        <x:v>No</x:v>
      </x:c>
      <x:c r="AK2332" s="1" t="n">
        <x:f>IF(A2332="",0,COUNTIFS($A$2:$A$501,A2332))</x:f>
        <x:v>1</x:v>
      </x:c>
      <x:c r="AL2332" s="1" t="n">
        <x:f>IF(V2332="Candidate",1,0)</x:f>
        <x:v>1</x:v>
      </x:c>
      <x:c r="AM2332" s="1" t="n">
        <x:f>IF(A2332="",0,VALUE(A2332))</x:f>
        <x:v>7500</x:v>
      </x:c>
      <x:c r="AN2332" s="1" t="n">
        <x:f>IF(OR(A2332="",COUNTIFS($T$41:$T$540,A2332)&lt;&gt;1),0,MATCH(A2332,$T$41:$T$540,0))</x:f>
        <x:v>282</x:v>
      </x:c>
      <x:c r="AO2332" t="n">
        <x:f>IF(ISNUMBER(W2332),W2332,10000+AM2332)</x:f>
        <x:v>223</x:v>
      </x:c>
    </x:row>
    <x:row r="2333" ht="22" customHeight="1">
      <x:c r="A2333" s="1" t="str">
        <x:f>IF(A284="","",A284)</x:f>
        <x:v>7510</x:v>
      </x:c>
      <x:c r="B2333" s="1" t="str">
        <x:f>IF(A2333="","",B284)</x:f>
        <x:v>Mary M. Bethune School</x:v>
      </x:c>
      <x:c r="C2333" s="1" t="str">
        <x:f>IF(A2333="","",C284)</x:f>
        <x:v>District</x:v>
      </x:c>
      <x:c r="D2333" s="1" t="str">
        <x:f>IF(A2333="","",E284)</x:f>
        <x:v>Elementary-Middle</x:v>
      </x:c>
      <x:c r="E2333" s="1" t="str">
        <x:f>IF(A2333="","",H284)</x:f>
        <x:v>19140</x:v>
      </x:c>
      <x:c r="F2333" s="1" t="n">
        <x:f>IF(ISNUMBER(K284),K284,"")</x:f>
        <x:v>353</x:v>
      </x:c>
      <x:c r="G2333" s="1" t="n">
        <x:f>IF(ISNUMBER(L284),L284,"")</x:f>
        <x:v>0.9214</x:v>
      </x:c>
      <x:c r="H2333" s="1" t="str">
        <x:f>IF(A2333="","",IF(AND(UPPER(G284)="PHILADELPHIA",OR(C2333="District",AND(C2333="Charter",D284="Yes"))),"Yes","No"))</x:f>
        <x:v>Yes</x:v>
      </x:c>
      <x:c r="I2333" s="1" t="n">
        <x:f>IF(OR(A2333="",COUNTIFS('Staff Review'!$A$8:$A$507,A2333)&lt;&gt;1),0,MATCH(A2333,'Staff Review'!$A$8:$A$507,0))</x:f>
        <x:v>178</x:v>
      </x:c>
      <x:c r="J2333" s="1" t="str">
        <x:f>IF(I2333=0,"No",IF(INDEX('Staff Review'!$C$8:$C$507,I2333)="Yes","Yes","No"))</x:f>
        <x:v>No</x:v>
      </x:c>
      <x:c r="K2333" s="1" t="n">
        <x:f>IF(AI2333="Yes",INDEX('Staff Review'!$D$8:$D$507,I2333),IF(AB2333=0,"",IF(COUNT(INDEX($C$1531:$C$2030,AB2333))=1,INDEX($C$1531:$C$2030,AB2333),"")))</x:f>
        <x:v>0.6757956764185941</x:v>
      </x:c>
      <x:c r="L2333" s="1" t="n">
        <x:f>IF(AJ2333="Yes",INDEX('Staff Review'!$F$8:$F$507,I2333),IF(AB2333=0,"",IF(COUNT(INDEX($G$1531:$G$2030,AB2333))=1,INDEX($G$1531:$G$2030,AB2333),"")))</x:f>
        <x:v>10</x:v>
      </x:c>
      <x:c r="M2333" s="1" t="str">
        <x:f>IF(A2333="","",IF(AI2333="Yes","Verified","Listed"))</x:f>
        <x:v>Listed</x:v>
      </x:c>
      <x:c r="N2333" s="1" t="str">
        <x:f>IF(A2333="","",IF(AJ2333="Yes","Verified","Listed"))</x:f>
        <x:v>Listed</x:v>
      </x:c>
      <x:c r="O2333" s="1" t="n">
        <x:f>IF(AND(ISNUMBER(G2333),G2333&gt;=0,G2333&lt;=1),IF(G2333&gt;=0.9,30,IF(G2333&gt;=0.8,25,IF(G2333&gt;=0.7,20,IF(G2333&gt;=0.6,15,IF(G2333&gt;=0.5,10,IF(G2333&gt;=0.4,5,0)))))),"")</x:f>
        <x:v>30</x:v>
      </x:c>
      <x:c r="P2333" s="1" t="n">
        <x:f>IF(ISNUMBER(K2333),IF(K2333&lt;0,"",IF(K2333&gt;1,25,IF(K2333&gt;=0.75,20,IF(K2333&gt;=0.5,15,IF(K2333&gt;=0.25,10,5))))),"")</x:f>
        <x:v>15</x:v>
      </x:c>
      <x:c r="Q2333" s="1" t="n">
        <x:f>IF(NOT(ISNUMBER(L2333)),"",IF(AND(L2333&gt;=0,MOD(L2333,1)=0),MAX(0,25-5*L2333),""))</x:f>
        <x:v>0</x:v>
      </x:c>
      <x:c r="R2333" s="1" t="n">
        <x:f>IF(NOT(ISNUMBER(F2333)),"",IF(AND(F2333&gt;0,MOD(F2333,1)=0),IF(F2333&gt;=700,5,IF(F2333&gt;=500,4,IF(F2333&gt;=350,3,IF(F2333&gt;=200,2,1)))),""))</x:f>
        <x:v>3</x:v>
      </x:c>
      <x:c r="S2333" s="1" t="n">
        <x:f>IF(COUNT(O2333:R2333)=4,SUM(O2333:R2333),"")</x:f>
        <x:v>48</x:v>
      </x:c>
      <x:c r="T2333" s="1" t="n">
        <x:f>IF(OR(COUNT(O2333:R2333)&lt;&gt;4,COUNT('Top 15'!$B$35:$E$35)&lt;&gt;4,MIN('Top 15'!$B$35:$E$35)&lt;0,SUM('Top 15'!$B$35:$E$35)&lt;=0),"",ROUND(85*(O2333/30*'Top 15'!$B$35+P2333/25*'Top 15'!$C$35+Q2333/25*'Top 15'!$D$35+R2333/5*'Top 15'!$E$35)/SUM('Top 15'!$B$35:$E$35),6))</x:f>
        <x:v>48</x:v>
      </x:c>
      <x:c r="U2333" s="1" t="str">
        <x:f>IF(A2333="","",IF(AND(M2333="Verified",N2333="Verified"),"Verified",IF(AND(M2333="Listed",N2333="Listed"),"Listed","Mixed")))</x:f>
        <x:v>Listed</x:v>
      </x:c>
      <x:c r="V2333" s="1" t="str">
        <x:f>IF(A2333="","",IF(AK2333&lt;&gt;1,"Duplicate source ID",IF(COUNTIFS('Staff Review'!$A$8:$A$507,A2333)&gt;1,"Duplicate review ID",IF(H2333&lt;&gt;"Yes","Outside scope",IF(J2333="Yes","Already served",IF(NOT(ISNUMBER(T2333)),"Missing data","Candidate"))))))</x:f>
        <x:v>Candidate</x:v>
      </x:c>
      <x:c r="W2333" s="1" t="n">
        <x:f>IF(AL2333=0,"",1+COUNTIFS($AL$2051:$AL$2550,1,$T$2051:$T$2550,"&gt;"&amp;T2333)+COUNTIFS($AL$2051:$AL$2550,1,$T$2051:$T$2550,T2333,$G$2051:$G$2550,"&gt;"&amp;G2333)+COUNTIFS($AL$2051:$AL$2550,1,$T$2051:$T$2550,T2333,$G$2051:$G$2550,G2333,$F$2051:$F$2550,"&gt;"&amp;F2333)+COUNTIFS($AL$2051:$AL$2550,1,$T$2051:$T$2550,T2333,$G$2051:$G$2550,G2333,$F$2051:$F$2550,F2333,$AM$2051:$AM$2550,"&lt;"&amp;AM2333))</x:f>
        <x:v>58</x:v>
      </x:c>
      <x:c r="X2333" s="1" t="n">
        <x:f>IF(AL2333=0,"",1+COUNTIFS($AL$2051:$AL$2550,1,$T$2051:$T$2550,"&gt;"&amp;T2333))</x:f>
        <x:v>56</x:v>
      </x:c>
      <x:c r="Y2333" s="1" t="n">
        <x:f>IF(AND(H2333="Yes",OR(LEN('School Search'!$B$5)=0,ISNUMBER(SEARCH('School Search'!$B$5,B2333&amp;" "&amp;E2333&amp;" "&amp;A2333))),OR('School Search'!$D$5="All",C2333='School Search'!$D$5),OR('School Search'!$G$5="All eligible",AND('School Search'!$G$5="Not marked served",J2333&lt;&gt;"Yes"),AND('School Search'!$G$5="Missing data",V2333="Missing data"),AND('School Search'!$G$5="Marked served",J2333="Yes"))),1,0)</x:f>
        <x:v>1</x:v>
      </x:c>
      <x:c r="Z2333" s="1" t="n">
        <x:f>IF(Y2333=0,"",COUNTIFS($Y$2051:$Y$2550,1,$AO$2051:$AO$2550,"&lt;"&amp;AO2333)+COUNTIFS($Y$2051:Y2333,1,$AO$2051:AO2333,AO2333))</x:f>
        <x:v>58</x:v>
      </x:c>
      <x:c r="AA2333" s="1" t="str">
        <x:f>IF(NOT(ISNUMBER(S2333)),"Missing demographic or access input",TEXT(G2333,"0%")&amp;" economic need; "&amp;TEXT(K2333,"0.00")&amp;" mi fresh access; "&amp;L2333&amp;" nearby resources")</x:f>
        <x:v>92% economic need; 0.68 mi fresh access; 10 nearby resources</x:v>
      </x:c>
      <x:c r="AB2333" s="1" t="n">
        <x:f>IF(OR(A2333="",COUNTIFS($A$1531:$A$2030,A2333)&lt;&gt;1),0,MATCH(A2333,$A$1531:$A$2030,0))</x:f>
        <x:v>283</x:v>
      </x:c>
      <x:c r="AC2333" s="1" t="str">
        <x:f>IF(AB2333=0,"",INDEX($E$1531:$E$2030,AB2333))</x:f>
        <x:v>Save A Lot 60136</x:v>
      </x:c>
      <x:c r="AD2333" s="1" t="str">
        <x:f>IF(AB2333=0,"",INDEX($F$1531:$F$2030,AB2333))</x:f>
        <x:v>400 W Allegheny Ave, Philadelphia, PA, 19133</x:v>
      </x:c>
      <x:c r="AE2333" s="1" t="str">
        <x:f>IF(A2333="","",F284)</x:f>
        <x:v>3301 OLD YORK RD</x:v>
      </x:c>
      <x:c r="AF2333" s="1" t="n">
        <x:f>IF(ISNUMBER(I284),I284,"")</x:f>
        <x:v>40.00269526</x:v>
      </x:c>
      <x:c r="AG2333" s="1" t="n">
        <x:f>IF(ISNUMBER(J284),J284,"")</x:f>
        <x:v>-75.14872828</x:v>
      </x:c>
      <x:c r="AH2333" s="1" t="str">
        <x:f>IF(I2333=0,"Not contacted",IF(INDEX('Staff Review'!$J$8:$J$507,I2333)="","Not contacted",INDEX('Staff Review'!$J$8:$J$507,I2333)))</x:f>
        <x:v>Not contacted</x:v>
      </x:c>
      <x:c r="AI2333" s="1" t="str">
        <x:f>IF(I2333=0,"No",IF(AND(COUNT(INDEX('Staff Review'!$D$8:$D$507,I2333))=1,INDEX('Staff Review'!$D$8:$D$507,I2333)&gt;=0,COUNT(INDEX('Staff Review'!$E$8:$E$507,I2333))=1,INDEX('Staff Review'!$E$8:$E$507,I2333)&gt;0,INDEX('Staff Review'!$E$8:$E$507,I2333)&lt;='Top 15'!$E$5,'Top 15'!$E$5-INDEX('Staff Review'!$E$8:$E$507,I2333)&lt;='Top 15'!$H$5,LEN(INDEX('Staff Review'!$H$8:$H$507,I2333))&gt;0),"Yes","No"))</x:f>
        <x:v>No</x:v>
      </x:c>
      <x:c r="AJ2333" s="1" t="str">
        <x:f>IF(I2333=0,"No",IF(COUNT(INDEX('Staff Review'!$F$8:$F$507,I2333))&lt;&gt;1,"No",IF(AND(INDEX('Staff Review'!$F$8:$F$507,I2333)&gt;=0,MOD(INDEX('Staff Review'!$F$8:$F$507,I2333),1)=0,COUNT(INDEX('Staff Review'!$G$8:$G$507,I2333))=1,INDEX('Staff Review'!$G$8:$G$507,I2333)&gt;0,INDEX('Staff Review'!$G$8:$G$507,I2333)&lt;='Top 15'!$E$5,'Top 15'!$E$5-INDEX('Staff Review'!$G$8:$G$507,I2333)&lt;='Top 15'!$H$5,LEN(INDEX('Staff Review'!$H$8:$H$507,I2333))&gt;0),"Yes","No")))</x:f>
        <x:v>No</x:v>
      </x:c>
      <x:c r="AK2333" s="1" t="n">
        <x:f>IF(A2333="",0,COUNTIFS($A$2:$A$501,A2333))</x:f>
        <x:v>1</x:v>
      </x:c>
      <x:c r="AL2333" s="1" t="n">
        <x:f>IF(V2333="Candidate",1,0)</x:f>
        <x:v>1</x:v>
      </x:c>
      <x:c r="AM2333" s="1" t="n">
        <x:f>IF(A2333="",0,VALUE(A2333))</x:f>
        <x:v>7510</x:v>
      </x:c>
      <x:c r="AN2333" s="1" t="n">
        <x:f>IF(OR(A2333="",COUNTIFS($T$41:$T$540,A2333)&lt;&gt;1),0,MATCH(A2333,$T$41:$T$540,0))</x:f>
        <x:v>283</x:v>
      </x:c>
      <x:c r="AO2333" t="n">
        <x:f>IF(ISNUMBER(W2333),W2333,10000+AM2333)</x:f>
        <x:v>58</x:v>
      </x:c>
    </x:row>
    <x:row r="2334" ht="22" customHeight="1">
      <x:c r="A2334" s="1" t="str">
        <x:f>IF(A285="","",A285)</x:f>
        <x:v>7530</x:v>
      </x:c>
      <x:c r="B2334" s="1" t="str">
        <x:f>IF(A2334="","",B285)</x:f>
        <x:v>William Rowen School</x:v>
      </x:c>
      <x:c r="C2334" s="1" t="str">
        <x:f>IF(A2334="","",C285)</x:f>
        <x:v>District</x:v>
      </x:c>
      <x:c r="D2334" s="1" t="str">
        <x:f>IF(A2334="","",E285)</x:f>
        <x:v>Elementary</x:v>
      </x:c>
      <x:c r="E2334" s="1" t="str">
        <x:f>IF(A2334="","",H285)</x:f>
        <x:v>19126</x:v>
      </x:c>
      <x:c r="F2334" s="1" t="n">
        <x:f>IF(ISNUMBER(K285),K285,"")</x:f>
        <x:v>272</x:v>
      </x:c>
      <x:c r="G2334" s="1" t="n">
        <x:f>IF(ISNUMBER(L285),L285,"")</x:f>
        <x:v>0.8357</x:v>
      </x:c>
      <x:c r="H2334" s="1" t="str">
        <x:f>IF(A2334="","",IF(AND(UPPER(G285)="PHILADELPHIA",OR(C2334="District",AND(C2334="Charter",D285="Yes"))),"Yes","No"))</x:f>
        <x:v>Yes</x:v>
      </x:c>
      <x:c r="I2334" s="1" t="n">
        <x:f>IF(OR(A2334="",COUNTIFS('Staff Review'!$A$8:$A$507,A2334)&lt;&gt;1),0,MATCH(A2334,'Staff Review'!$A$8:$A$507,0))</x:f>
        <x:v>323</x:v>
      </x:c>
      <x:c r="J2334" s="1" t="str">
        <x:f>IF(I2334=0,"No",IF(INDEX('Staff Review'!$C$8:$C$507,I2334)="Yes","Yes","No"))</x:f>
        <x:v>No</x:v>
      </x:c>
      <x:c r="K2334" s="1" t="n">
        <x:f>IF(AI2334="Yes",INDEX('Staff Review'!$D$8:$D$507,I2334),IF(AB2334=0,"",IF(COUNT(INDEX($C$1531:$C$2030,AB2334))=1,INDEX($C$1531:$C$2030,AB2334),"")))</x:f>
        <x:v>0.6957903531749603</x:v>
      </x:c>
      <x:c r="L2334" s="1" t="n">
        <x:f>IF(AJ2334="Yes",INDEX('Staff Review'!$F$8:$F$507,I2334),IF(AB2334=0,"",IF(COUNT(INDEX($G$1531:$G$2030,AB2334))=1,INDEX($G$1531:$G$2030,AB2334),"")))</x:f>
        <x:v>9</x:v>
      </x:c>
      <x:c r="M2334" s="1" t="str">
        <x:f>IF(A2334="","",IF(AI2334="Yes","Verified","Listed"))</x:f>
        <x:v>Listed</x:v>
      </x:c>
      <x:c r="N2334" s="1" t="str">
        <x:f>IF(A2334="","",IF(AJ2334="Yes","Verified","Listed"))</x:f>
        <x:v>Listed</x:v>
      </x:c>
      <x:c r="O2334" s="1" t="n">
        <x:f>IF(AND(ISNUMBER(G2334),G2334&gt;=0,G2334&lt;=1),IF(G2334&gt;=0.9,30,IF(G2334&gt;=0.8,25,IF(G2334&gt;=0.7,20,IF(G2334&gt;=0.6,15,IF(G2334&gt;=0.5,10,IF(G2334&gt;=0.4,5,0)))))),"")</x:f>
        <x:v>25</x:v>
      </x:c>
      <x:c r="P2334" s="1" t="n">
        <x:f>IF(ISNUMBER(K2334),IF(K2334&lt;0,"",IF(K2334&gt;1,25,IF(K2334&gt;=0.75,20,IF(K2334&gt;=0.5,15,IF(K2334&gt;=0.25,10,5))))),"")</x:f>
        <x:v>15</x:v>
      </x:c>
      <x:c r="Q2334" s="1" t="n">
        <x:f>IF(NOT(ISNUMBER(L2334)),"",IF(AND(L2334&gt;=0,MOD(L2334,1)=0),MAX(0,25-5*L2334),""))</x:f>
        <x:v>0</x:v>
      </x:c>
      <x:c r="R2334" s="1" t="n">
        <x:f>IF(NOT(ISNUMBER(F2334)),"",IF(AND(F2334&gt;0,MOD(F2334,1)=0),IF(F2334&gt;=700,5,IF(F2334&gt;=500,4,IF(F2334&gt;=350,3,IF(F2334&gt;=200,2,1)))),""))</x:f>
        <x:v>2</x:v>
      </x:c>
      <x:c r="S2334" s="1" t="n">
        <x:f>IF(COUNT(O2334:R2334)=4,SUM(O2334:R2334),"")</x:f>
        <x:v>42</x:v>
      </x:c>
      <x:c r="T2334" s="1" t="n">
        <x:f>IF(OR(COUNT(O2334:R2334)&lt;&gt;4,COUNT('Top 15'!$B$35:$E$35)&lt;&gt;4,MIN('Top 15'!$B$35:$E$35)&lt;0,SUM('Top 15'!$B$35:$E$35)&lt;=0),"",ROUND(85*(O2334/30*'Top 15'!$B$35+P2334/25*'Top 15'!$C$35+Q2334/25*'Top 15'!$D$35+R2334/5*'Top 15'!$E$35)/SUM('Top 15'!$B$35:$E$35),6))</x:f>
        <x:v>42</x:v>
      </x:c>
      <x:c r="U2334" s="1" t="str">
        <x:f>IF(A2334="","",IF(AND(M2334="Verified",N2334="Verified"),"Verified",IF(AND(M2334="Listed",N2334="Listed"),"Listed","Mixed")))</x:f>
        <x:v>Listed</x:v>
      </x:c>
      <x:c r="V2334" s="1" t="str">
        <x:f>IF(A2334="","",IF(AK2334&lt;&gt;1,"Duplicate source ID",IF(COUNTIFS('Staff Review'!$A$8:$A$507,A2334)&gt;1,"Duplicate review ID",IF(H2334&lt;&gt;"Yes","Outside scope",IF(J2334="Yes","Already served",IF(NOT(ISNUMBER(T2334)),"Missing data","Candidate"))))))</x:f>
        <x:v>Candidate</x:v>
      </x:c>
      <x:c r="W2334" s="1" t="n">
        <x:f>IF(AL2334=0,"",1+COUNTIFS($AL$2051:$AL$2550,1,$T$2051:$T$2550,"&gt;"&amp;T2334)+COUNTIFS($AL$2051:$AL$2550,1,$T$2051:$T$2550,T2334,$G$2051:$G$2550,"&gt;"&amp;G2334)+COUNTIFS($AL$2051:$AL$2550,1,$T$2051:$T$2550,T2334,$G$2051:$G$2550,G2334,$F$2051:$F$2550,"&gt;"&amp;F2334)+COUNTIFS($AL$2051:$AL$2550,1,$T$2051:$T$2550,T2334,$G$2051:$G$2550,G2334,$F$2051:$F$2550,F2334,$AM$2051:$AM$2550,"&lt;"&amp;AM2334))</x:f>
        <x:v>122</x:v>
      </x:c>
      <x:c r="X2334" s="1" t="n">
        <x:f>IF(AL2334=0,"",1+COUNTIFS($AL$2051:$AL$2550,1,$T$2051:$T$2550,"&gt;"&amp;T2334))</x:f>
        <x:v>101</x:v>
      </x:c>
      <x:c r="Y2334" s="1" t="n">
        <x:f>IF(AND(H2334="Yes",OR(LEN('School Search'!$B$5)=0,ISNUMBER(SEARCH('School Search'!$B$5,B2334&amp;" "&amp;E2334&amp;" "&amp;A2334))),OR('School Search'!$D$5="All",C2334='School Search'!$D$5),OR('School Search'!$G$5="All eligible",AND('School Search'!$G$5="Not marked served",J2334&lt;&gt;"Yes"),AND('School Search'!$G$5="Missing data",V2334="Missing data"),AND('School Search'!$G$5="Marked served",J2334="Yes"))),1,0)</x:f>
        <x:v>1</x:v>
      </x:c>
      <x:c r="Z2334" s="1" t="n">
        <x:f>IF(Y2334=0,"",COUNTIFS($Y$2051:$Y$2550,1,$AO$2051:$AO$2550,"&lt;"&amp;AO2334)+COUNTIFS($Y$2051:Y2334,1,$AO$2051:AO2334,AO2334))</x:f>
        <x:v>122</x:v>
      </x:c>
      <x:c r="AA2334" s="1" t="str">
        <x:f>IF(NOT(ISNUMBER(S2334)),"Missing demographic or access input",TEXT(G2334,"0%")&amp;" economic need; "&amp;TEXT(K2334,"0.00")&amp;" mi fresh access; "&amp;L2334&amp;" nearby resources")</x:f>
        <x:v>84% economic need; 0.70 mi fresh access; 9 nearby resources</x:v>
      </x:c>
      <x:c r="AB2334" s="1" t="n">
        <x:f>IF(OR(A2334="",COUNTIFS($A$1531:$A$2030,A2334)&lt;&gt;1),0,MATCH(A2334,$A$1531:$A$2030,0))</x:f>
        <x:v>284</x:v>
      </x:c>
      <x:c r="AC2334" s="1" t="str">
        <x:f>IF(AB2334=0,"",INDEX($E$1531:$E$2030,AB2334))</x:f>
        <x:v>MELROSE PARK HAR INC DBA HAN AH R</x:v>
      </x:c>
      <x:c r="AD2334" s="1" t="str">
        <x:f>IF(AB2334=0,"",INDEX($F$1531:$F$2030,AB2334))</x:f>
        <x:v>7320 Old York Rd, Elkins Park, PA, 19027</x:v>
      </x:c>
      <x:c r="AE2334" s="1" t="str">
        <x:f>IF(A2334="","",F285)</x:f>
        <x:v>6841 N 19TH ST</x:v>
      </x:c>
      <x:c r="AF2334" s="1" t="n">
        <x:f>IF(ISNUMBER(I285),I285,"")</x:f>
        <x:v>40.05930676</x:v>
      </x:c>
      <x:c r="AG2334" s="1" t="n">
        <x:f>IF(ISNUMBER(J285),J285,"")</x:f>
        <x:v>-75.1486472</x:v>
      </x:c>
      <x:c r="AH2334" s="1" t="str">
        <x:f>IF(I2334=0,"Not contacted",IF(INDEX('Staff Review'!$J$8:$J$507,I2334)="","Not contacted",INDEX('Staff Review'!$J$8:$J$507,I2334)))</x:f>
        <x:v>Not contacted</x:v>
      </x:c>
      <x:c r="AI2334" s="1" t="str">
        <x:f>IF(I2334=0,"No",IF(AND(COUNT(INDEX('Staff Review'!$D$8:$D$507,I2334))=1,INDEX('Staff Review'!$D$8:$D$507,I2334)&gt;=0,COUNT(INDEX('Staff Review'!$E$8:$E$507,I2334))=1,INDEX('Staff Review'!$E$8:$E$507,I2334)&gt;0,INDEX('Staff Review'!$E$8:$E$507,I2334)&lt;='Top 15'!$E$5,'Top 15'!$E$5-INDEX('Staff Review'!$E$8:$E$507,I2334)&lt;='Top 15'!$H$5,LEN(INDEX('Staff Review'!$H$8:$H$507,I2334))&gt;0),"Yes","No"))</x:f>
        <x:v>No</x:v>
      </x:c>
      <x:c r="AJ2334" s="1" t="str">
        <x:f>IF(I2334=0,"No",IF(COUNT(INDEX('Staff Review'!$F$8:$F$507,I2334))&lt;&gt;1,"No",IF(AND(INDEX('Staff Review'!$F$8:$F$507,I2334)&gt;=0,MOD(INDEX('Staff Review'!$F$8:$F$507,I2334),1)=0,COUNT(INDEX('Staff Review'!$G$8:$G$507,I2334))=1,INDEX('Staff Review'!$G$8:$G$507,I2334)&gt;0,INDEX('Staff Review'!$G$8:$G$507,I2334)&lt;='Top 15'!$E$5,'Top 15'!$E$5-INDEX('Staff Review'!$G$8:$G$507,I2334)&lt;='Top 15'!$H$5,LEN(INDEX('Staff Review'!$H$8:$H$507,I2334))&gt;0),"Yes","No")))</x:f>
        <x:v>No</x:v>
      </x:c>
      <x:c r="AK2334" s="1" t="n">
        <x:f>IF(A2334="",0,COUNTIFS($A$2:$A$501,A2334))</x:f>
        <x:v>1</x:v>
      </x:c>
      <x:c r="AL2334" s="1" t="n">
        <x:f>IF(V2334="Candidate",1,0)</x:f>
        <x:v>1</x:v>
      </x:c>
      <x:c r="AM2334" s="1" t="n">
        <x:f>IF(A2334="",0,VALUE(A2334))</x:f>
        <x:v>7530</x:v>
      </x:c>
      <x:c r="AN2334" s="1" t="n">
        <x:f>IF(OR(A2334="",COUNTIFS($T$41:$T$540,A2334)&lt;&gt;1),0,MATCH(A2334,$T$41:$T$540,0))</x:f>
        <x:v>284</x:v>
      </x:c>
      <x:c r="AO2334" t="n">
        <x:f>IF(ISNUMBER(W2334),W2334,10000+AM2334)</x:f>
        <x:v>122</x:v>
      </x:c>
    </x:row>
    <x:row r="2335" ht="22" customHeight="1">
      <x:c r="A2335" s="1" t="str">
        <x:f>IF(A286="","",A286)</x:f>
        <x:v>7730</x:v>
      </x:c>
      <x:c r="B2335" s="1" t="str">
        <x:f>IF(A2335="","",B286)</x:f>
        <x:v>Roberto Clemente Middle School</x:v>
      </x:c>
      <x:c r="C2335" s="1" t="str">
        <x:f>IF(A2335="","",C286)</x:f>
        <x:v>District</x:v>
      </x:c>
      <x:c r="D2335" s="1" t="str">
        <x:f>IF(A2335="","",E286)</x:f>
        <x:v>Middle</x:v>
      </x:c>
      <x:c r="E2335" s="1" t="str">
        <x:f>IF(A2335="","",H286)</x:f>
        <x:v>19140</x:v>
      </x:c>
      <x:c r="F2335" s="1" t="n">
        <x:f>IF(ISNUMBER(K286),K286,"")</x:f>
        <x:v>279</x:v>
      </x:c>
      <x:c r="G2335" s="1" t="n">
        <x:f>IF(ISNUMBER(L286),L286,"")</x:f>
        <x:v>0.8776</x:v>
      </x:c>
      <x:c r="H2335" s="1" t="str">
        <x:f>IF(A2335="","",IF(AND(UPPER(G286)="PHILADELPHIA",OR(C2335="District",AND(C2335="Charter",D286="Yes"))),"Yes","No"))</x:f>
        <x:v>Yes</x:v>
      </x:c>
      <x:c r="I2335" s="1" t="n">
        <x:f>IF(OR(A2335="",COUNTIFS('Staff Review'!$A$8:$A$507,A2335)&lt;&gt;1),0,MATCH(A2335,'Staff Review'!$A$8:$A$507,0))</x:f>
        <x:v>254</x:v>
      </x:c>
      <x:c r="J2335" s="1" t="str">
        <x:f>IF(I2335=0,"No",IF(INDEX('Staff Review'!$C$8:$C$507,I2335)="Yes","Yes","No"))</x:f>
        <x:v>No</x:v>
      </x:c>
      <x:c r="K2335" s="1" t="n">
        <x:f>IF(AI2335="Yes",INDEX('Staff Review'!$D$8:$D$507,I2335),IF(AB2335=0,"",IF(COUNT(INDEX($C$1531:$C$2030,AB2335))=1,INDEX($C$1531:$C$2030,AB2335),"")))</x:f>
        <x:v>0.5155406128169018</x:v>
      </x:c>
      <x:c r="L2335" s="1" t="n">
        <x:f>IF(AJ2335="Yes",INDEX('Staff Review'!$F$8:$F$507,I2335),IF(AB2335=0,"",IF(COUNT(INDEX($G$1531:$G$2030,AB2335))=1,INDEX($G$1531:$G$2030,AB2335),"")))</x:f>
        <x:v>9</x:v>
      </x:c>
      <x:c r="M2335" s="1" t="str">
        <x:f>IF(A2335="","",IF(AI2335="Yes","Verified","Listed"))</x:f>
        <x:v>Listed</x:v>
      </x:c>
      <x:c r="N2335" s="1" t="str">
        <x:f>IF(A2335="","",IF(AJ2335="Yes","Verified","Listed"))</x:f>
        <x:v>Listed</x:v>
      </x:c>
      <x:c r="O2335" s="1" t="n">
        <x:f>IF(AND(ISNUMBER(G2335),G2335&gt;=0,G2335&lt;=1),IF(G2335&gt;=0.9,30,IF(G2335&gt;=0.8,25,IF(G2335&gt;=0.7,20,IF(G2335&gt;=0.6,15,IF(G2335&gt;=0.5,10,IF(G2335&gt;=0.4,5,0)))))),"")</x:f>
        <x:v>25</x:v>
      </x:c>
      <x:c r="P2335" s="1" t="n">
        <x:f>IF(ISNUMBER(K2335),IF(K2335&lt;0,"",IF(K2335&gt;1,25,IF(K2335&gt;=0.75,20,IF(K2335&gt;=0.5,15,IF(K2335&gt;=0.25,10,5))))),"")</x:f>
        <x:v>15</x:v>
      </x:c>
      <x:c r="Q2335" s="1" t="n">
        <x:f>IF(NOT(ISNUMBER(L2335)),"",IF(AND(L2335&gt;=0,MOD(L2335,1)=0),MAX(0,25-5*L2335),""))</x:f>
        <x:v>0</x:v>
      </x:c>
      <x:c r="R2335" s="1" t="n">
        <x:f>IF(NOT(ISNUMBER(F2335)),"",IF(AND(F2335&gt;0,MOD(F2335,1)=0),IF(F2335&gt;=700,5,IF(F2335&gt;=500,4,IF(F2335&gt;=350,3,IF(F2335&gt;=200,2,1)))),""))</x:f>
        <x:v>2</x:v>
      </x:c>
      <x:c r="S2335" s="1" t="n">
        <x:f>IF(COUNT(O2335:R2335)=4,SUM(O2335:R2335),"")</x:f>
        <x:v>42</x:v>
      </x:c>
      <x:c r="T2335" s="1" t="n">
        <x:f>IF(OR(COUNT(O2335:R2335)&lt;&gt;4,COUNT('Top 15'!$B$35:$E$35)&lt;&gt;4,MIN('Top 15'!$B$35:$E$35)&lt;0,SUM('Top 15'!$B$35:$E$35)&lt;=0),"",ROUND(85*(O2335/30*'Top 15'!$B$35+P2335/25*'Top 15'!$C$35+Q2335/25*'Top 15'!$D$35+R2335/5*'Top 15'!$E$35)/SUM('Top 15'!$B$35:$E$35),6))</x:f>
        <x:v>42</x:v>
      </x:c>
      <x:c r="U2335" s="1" t="str">
        <x:f>IF(A2335="","",IF(AND(M2335="Verified",N2335="Verified"),"Verified",IF(AND(M2335="Listed",N2335="Listed"),"Listed","Mixed")))</x:f>
        <x:v>Listed</x:v>
      </x:c>
      <x:c r="V2335" s="1" t="str">
        <x:f>IF(A2335="","",IF(AK2335&lt;&gt;1,"Duplicate source ID",IF(COUNTIFS('Staff Review'!$A$8:$A$507,A2335)&gt;1,"Duplicate review ID",IF(H2335&lt;&gt;"Yes","Outside scope",IF(J2335="Yes","Already served",IF(NOT(ISNUMBER(T2335)),"Missing data","Candidate"))))))</x:f>
        <x:v>Candidate</x:v>
      </x:c>
      <x:c r="W2335" s="1" t="n">
        <x:f>IF(AL2335=0,"",1+COUNTIFS($AL$2051:$AL$2550,1,$T$2051:$T$2550,"&gt;"&amp;T2335)+COUNTIFS($AL$2051:$AL$2550,1,$T$2051:$T$2550,T2335,$G$2051:$G$2550,"&gt;"&amp;G2335)+COUNTIFS($AL$2051:$AL$2550,1,$T$2051:$T$2550,T2335,$G$2051:$G$2550,G2335,$F$2051:$F$2550,"&gt;"&amp;F2335)+COUNTIFS($AL$2051:$AL$2550,1,$T$2051:$T$2550,T2335,$G$2051:$G$2550,G2335,$F$2051:$F$2550,F2335,$AM$2051:$AM$2550,"&lt;"&amp;AM2335))</x:f>
        <x:v>115</x:v>
      </x:c>
      <x:c r="X2335" s="1" t="n">
        <x:f>IF(AL2335=0,"",1+COUNTIFS($AL$2051:$AL$2550,1,$T$2051:$T$2550,"&gt;"&amp;T2335))</x:f>
        <x:v>101</x:v>
      </x:c>
      <x:c r="Y2335" s="1" t="n">
        <x:f>IF(AND(H2335="Yes",OR(LEN('School Search'!$B$5)=0,ISNUMBER(SEARCH('School Search'!$B$5,B2335&amp;" "&amp;E2335&amp;" "&amp;A2335))),OR('School Search'!$D$5="All",C2335='School Search'!$D$5),OR('School Search'!$G$5="All eligible",AND('School Search'!$G$5="Not marked served",J2335&lt;&gt;"Yes"),AND('School Search'!$G$5="Missing data",V2335="Missing data"),AND('School Search'!$G$5="Marked served",J2335="Yes"))),1,0)</x:f>
        <x:v>1</x:v>
      </x:c>
      <x:c r="Z2335" s="1" t="n">
        <x:f>IF(Y2335=0,"",COUNTIFS($Y$2051:$Y$2550,1,$AO$2051:$AO$2550,"&lt;"&amp;AO2335)+COUNTIFS($Y$2051:Y2335,1,$AO$2051:AO2335,AO2335))</x:f>
        <x:v>115</x:v>
      </x:c>
      <x:c r="AA2335" s="1" t="str">
        <x:f>IF(NOT(ISNUMBER(S2335)),"Missing demographic or access input",TEXT(G2335,"0%")&amp;" economic need; "&amp;TEXT(K2335,"0.00")&amp;" mi fresh access; "&amp;L2335&amp;" nearby resources")</x:f>
        <x:v>88% economic need; 0.52 mi fresh access; 9 nearby resources</x:v>
      </x:c>
      <x:c r="AB2335" s="1" t="n">
        <x:f>IF(OR(A2335="",COUNTIFS($A$1531:$A$2030,A2335)&lt;&gt;1),0,MATCH(A2335,$A$1531:$A$2030,0))</x:f>
        <x:v>285</x:v>
      </x:c>
      <x:c r="AC2335" s="1" t="str">
        <x:f>IF(AB2335=0,"",INDEX($E$1531:$E$2030,AB2335))</x:f>
        <x:v>COUSINS SUPERMARKET INC. #2</x:v>
      </x:c>
      <x:c r="AD2335" s="1" t="str">
        <x:f>IF(AB2335=0,"",INDEX($F$1531:$F$2030,AB2335))</x:f>
        <x:v>4037 N 5th St, Philadelphia, PA, 19140</x:v>
      </x:c>
      <x:c r="AE2335" s="1" t="str">
        <x:f>IF(A2335="","",F286)</x:f>
        <x:v>122 W ERIE AVE</x:v>
      </x:c>
      <x:c r="AF2335" s="1" t="n">
        <x:f>IF(ISNUMBER(I286),I286,"")</x:f>
        <x:v>40.006819</x:v>
      </x:c>
      <x:c r="AG2335" s="1" t="n">
        <x:f>IF(ISNUMBER(J286),J286,"")</x:f>
        <x:v>-75.129736</x:v>
      </x:c>
      <x:c r="AH2335" s="1" t="str">
        <x:f>IF(I2335=0,"Not contacted",IF(INDEX('Staff Review'!$J$8:$J$507,I2335)="","Not contacted",INDEX('Staff Review'!$J$8:$J$507,I2335)))</x:f>
        <x:v>Not contacted</x:v>
      </x:c>
      <x:c r="AI2335" s="1" t="str">
        <x:f>IF(I2335=0,"No",IF(AND(COUNT(INDEX('Staff Review'!$D$8:$D$507,I2335))=1,INDEX('Staff Review'!$D$8:$D$507,I2335)&gt;=0,COUNT(INDEX('Staff Review'!$E$8:$E$507,I2335))=1,INDEX('Staff Review'!$E$8:$E$507,I2335)&gt;0,INDEX('Staff Review'!$E$8:$E$507,I2335)&lt;='Top 15'!$E$5,'Top 15'!$E$5-INDEX('Staff Review'!$E$8:$E$507,I2335)&lt;='Top 15'!$H$5,LEN(INDEX('Staff Review'!$H$8:$H$507,I2335))&gt;0),"Yes","No"))</x:f>
        <x:v>No</x:v>
      </x:c>
      <x:c r="AJ2335" s="1" t="str">
        <x:f>IF(I2335=0,"No",IF(COUNT(INDEX('Staff Review'!$F$8:$F$507,I2335))&lt;&gt;1,"No",IF(AND(INDEX('Staff Review'!$F$8:$F$507,I2335)&gt;=0,MOD(INDEX('Staff Review'!$F$8:$F$507,I2335),1)=0,COUNT(INDEX('Staff Review'!$G$8:$G$507,I2335))=1,INDEX('Staff Review'!$G$8:$G$507,I2335)&gt;0,INDEX('Staff Review'!$G$8:$G$507,I2335)&lt;='Top 15'!$E$5,'Top 15'!$E$5-INDEX('Staff Review'!$G$8:$G$507,I2335)&lt;='Top 15'!$H$5,LEN(INDEX('Staff Review'!$H$8:$H$507,I2335))&gt;0),"Yes","No")))</x:f>
        <x:v>No</x:v>
      </x:c>
      <x:c r="AK2335" s="1" t="n">
        <x:f>IF(A2335="",0,COUNTIFS($A$2:$A$501,A2335))</x:f>
        <x:v>1</x:v>
      </x:c>
      <x:c r="AL2335" s="1" t="n">
        <x:f>IF(V2335="Candidate",1,0)</x:f>
        <x:v>1</x:v>
      </x:c>
      <x:c r="AM2335" s="1" t="n">
        <x:f>IF(A2335="",0,VALUE(A2335))</x:f>
        <x:v>7730</x:v>
      </x:c>
      <x:c r="AN2335" s="1" t="n">
        <x:f>IF(OR(A2335="",COUNTIFS($T$41:$T$540,A2335)&lt;&gt;1),0,MATCH(A2335,$T$41:$T$540,0))</x:f>
        <x:v>285</x:v>
      </x:c>
      <x:c r="AO2335" t="n">
        <x:f>IF(ISNUMBER(W2335),W2335,10000+AM2335)</x:f>
        <x:v>115</x:v>
      </x:c>
    </x:row>
    <x:row r="2336" ht="22" customHeight="1">
      <x:c r="A2336" s="1" t="str">
        <x:f>IF(A287="","",A287)</x:f>
        <x:v>8010</x:v>
      </x:c>
      <x:c r="B2336" s="1" t="str">
        <x:f>IF(A2336="","",B287)</x:f>
        <x:v>Abraham Lincoln High School</x:v>
      </x:c>
      <x:c r="C2336" s="1" t="str">
        <x:f>IF(A2336="","",C287)</x:f>
        <x:v>District</x:v>
      </x:c>
      <x:c r="D2336" s="1" t="str">
        <x:f>IF(A2336="","",E287)</x:f>
        <x:v>High</x:v>
      </x:c>
      <x:c r="E2336" s="1" t="str">
        <x:f>IF(A2336="","",H287)</x:f>
        <x:v>19136</x:v>
      </x:c>
      <x:c r="F2336" s="1" t="n">
        <x:f>IF(ISNUMBER(K287),K287,"")</x:f>
        <x:v>2332</x:v>
      </x:c>
      <x:c r="G2336" s="1" t="n">
        <x:f>IF(ISNUMBER(L287),L287,"")</x:f>
        <x:v>0.7382</x:v>
      </x:c>
      <x:c r="H2336" s="1" t="str">
        <x:f>IF(A2336="","",IF(AND(UPPER(G287)="PHILADELPHIA",OR(C2336="District",AND(C2336="Charter",D287="Yes"))),"Yes","No"))</x:f>
        <x:v>Yes</x:v>
      </x:c>
      <x:c r="I2336" s="1" t="n">
        <x:f>IF(OR(A2336="",COUNTIFS('Staff Review'!$A$8:$A$507,A2336)&lt;&gt;1),0,MATCH(A2336,'Staff Review'!$A$8:$A$507,0))</x:f>
        <x:v>2</x:v>
      </x:c>
      <x:c r="J2336" s="1" t="str">
        <x:f>IF(I2336=0,"No",IF(INDEX('Staff Review'!$C$8:$C$507,I2336)="Yes","Yes","No"))</x:f>
        <x:v>No</x:v>
      </x:c>
      <x:c r="K2336" s="1" t="n">
        <x:f>IF(AI2336="Yes",INDEX('Staff Review'!$D$8:$D$507,I2336),IF(AB2336=0,"",IF(COUNT(INDEX($C$1531:$C$2030,AB2336))=1,INDEX($C$1531:$C$2030,AB2336),"")))</x:f>
        <x:v>0.5308778189847569</x:v>
      </x:c>
      <x:c r="L2336" s="1" t="n">
        <x:f>IF(AJ2336="Yes",INDEX('Staff Review'!$F$8:$F$507,I2336),IF(AB2336=0,"",IF(COUNT(INDEX($G$1531:$G$2030,AB2336))=1,INDEX($G$1531:$G$2030,AB2336),"")))</x:f>
        <x:v>2</x:v>
      </x:c>
      <x:c r="M2336" s="1" t="str">
        <x:f>IF(A2336="","",IF(AI2336="Yes","Verified","Listed"))</x:f>
        <x:v>Listed</x:v>
      </x:c>
      <x:c r="N2336" s="1" t="str">
        <x:f>IF(A2336="","",IF(AJ2336="Yes","Verified","Listed"))</x:f>
        <x:v>Listed</x:v>
      </x:c>
      <x:c r="O2336" s="1" t="n">
        <x:f>IF(AND(ISNUMBER(G2336),G2336&gt;=0,G2336&lt;=1),IF(G2336&gt;=0.9,30,IF(G2336&gt;=0.8,25,IF(G2336&gt;=0.7,20,IF(G2336&gt;=0.6,15,IF(G2336&gt;=0.5,10,IF(G2336&gt;=0.4,5,0)))))),"")</x:f>
        <x:v>20</x:v>
      </x:c>
      <x:c r="P2336" s="1" t="n">
        <x:f>IF(ISNUMBER(K2336),IF(K2336&lt;0,"",IF(K2336&gt;1,25,IF(K2336&gt;=0.75,20,IF(K2336&gt;=0.5,15,IF(K2336&gt;=0.25,10,5))))),"")</x:f>
        <x:v>15</x:v>
      </x:c>
      <x:c r="Q2336" s="1" t="n">
        <x:f>IF(NOT(ISNUMBER(L2336)),"",IF(AND(L2336&gt;=0,MOD(L2336,1)=0),MAX(0,25-5*L2336),""))</x:f>
        <x:v>15</x:v>
      </x:c>
      <x:c r="R2336" s="1" t="n">
        <x:f>IF(NOT(ISNUMBER(F2336)),"",IF(AND(F2336&gt;0,MOD(F2336,1)=0),IF(F2336&gt;=700,5,IF(F2336&gt;=500,4,IF(F2336&gt;=350,3,IF(F2336&gt;=200,2,1)))),""))</x:f>
        <x:v>5</x:v>
      </x:c>
      <x:c r="S2336" s="1" t="n">
        <x:f>IF(COUNT(O2336:R2336)=4,SUM(O2336:R2336),"")</x:f>
        <x:v>55</x:v>
      </x:c>
      <x:c r="T2336" s="1" t="n">
        <x:f>IF(OR(COUNT(O2336:R2336)&lt;&gt;4,COUNT('Top 15'!$B$35:$E$35)&lt;&gt;4,MIN('Top 15'!$B$35:$E$35)&lt;0,SUM('Top 15'!$B$35:$E$35)&lt;=0),"",ROUND(85*(O2336/30*'Top 15'!$B$35+P2336/25*'Top 15'!$C$35+Q2336/25*'Top 15'!$D$35+R2336/5*'Top 15'!$E$35)/SUM('Top 15'!$B$35:$E$35),6))</x:f>
        <x:v>55</x:v>
      </x:c>
      <x:c r="U2336" s="1" t="str">
        <x:f>IF(A2336="","",IF(AND(M2336="Verified",N2336="Verified"),"Verified",IF(AND(M2336="Listed",N2336="Listed"),"Listed","Mixed")))</x:f>
        <x:v>Listed</x:v>
      </x:c>
      <x:c r="V2336" s="1" t="str">
        <x:f>IF(A2336="","",IF(AK2336&lt;&gt;1,"Duplicate source ID",IF(COUNTIFS('Staff Review'!$A$8:$A$507,A2336)&gt;1,"Duplicate review ID",IF(H2336&lt;&gt;"Yes","Outside scope",IF(J2336="Yes","Already served",IF(NOT(ISNUMBER(T2336)),"Missing data","Candidate"))))))</x:f>
        <x:v>Candidate</x:v>
      </x:c>
      <x:c r="W2336" s="1" t="n">
        <x:f>IF(AL2336=0,"",1+COUNTIFS($AL$2051:$AL$2550,1,$T$2051:$T$2550,"&gt;"&amp;T2336)+COUNTIFS($AL$2051:$AL$2550,1,$T$2051:$T$2550,T2336,$G$2051:$G$2550,"&gt;"&amp;G2336)+COUNTIFS($AL$2051:$AL$2550,1,$T$2051:$T$2550,T2336,$G$2051:$G$2550,G2336,$F$2051:$F$2550,"&gt;"&amp;F2336)+COUNTIFS($AL$2051:$AL$2550,1,$T$2051:$T$2550,T2336,$G$2051:$G$2550,G2336,$F$2051:$F$2550,F2336,$AM$2051:$AM$2550,"&lt;"&amp;AM2336))</x:f>
        <x:v>27</x:v>
      </x:c>
      <x:c r="X2336" s="1" t="n">
        <x:f>IF(AL2336=0,"",1+COUNTIFS($AL$2051:$AL$2550,1,$T$2051:$T$2550,"&gt;"&amp;T2336))</x:f>
        <x:v>24</x:v>
      </x:c>
      <x:c r="Y2336" s="1" t="n">
        <x:f>IF(AND(H2336="Yes",OR(LEN('School Search'!$B$5)=0,ISNUMBER(SEARCH('School Search'!$B$5,B2336&amp;" "&amp;E2336&amp;" "&amp;A2336))),OR('School Search'!$D$5="All",C2336='School Search'!$D$5),OR('School Search'!$G$5="All eligible",AND('School Search'!$G$5="Not marked served",J2336&lt;&gt;"Yes"),AND('School Search'!$G$5="Missing data",V2336="Missing data"),AND('School Search'!$G$5="Marked served",J2336="Yes"))),1,0)</x:f>
        <x:v>1</x:v>
      </x:c>
      <x:c r="Z2336" s="1" t="n">
        <x:f>IF(Y2336=0,"",COUNTIFS($Y$2051:$Y$2550,1,$AO$2051:$AO$2550,"&lt;"&amp;AO2336)+COUNTIFS($Y$2051:Y2336,1,$AO$2051:AO2336,AO2336))</x:f>
        <x:v>27</x:v>
      </x:c>
      <x:c r="AA2336" s="1" t="str">
        <x:f>IF(NOT(ISNUMBER(S2336)),"Missing demographic or access input",TEXT(G2336,"0%")&amp;" economic need; "&amp;TEXT(K2336,"0.00")&amp;" mi fresh access; "&amp;L2336&amp;" nearby resources")</x:f>
        <x:v>74% economic need; 0.53 mi fresh access; 2 nearby resources</x:v>
      </x:c>
      <x:c r="AB2336" s="1" t="n">
        <x:f>IF(OR(A2336="",COUNTIFS($A$1531:$A$2030,A2336)&lt;&gt;1),0,MATCH(A2336,$A$1531:$A$2030,0))</x:f>
        <x:v>286</x:v>
      </x:c>
      <x:c r="AC2336" s="1" t="str">
        <x:f>IF(AB2336=0,"",INDEX($E$1531:$E$2030,AB2336))</x:f>
        <x:v>No.1 Asian Supermarket Inc</x:v>
      </x:c>
      <x:c r="AD2336" s="1" t="str">
        <x:f>IF(AB2336=0,"",INDEX($F$1531:$F$2030,AB2336))</x:f>
        <x:v>2842 Saint Vincent St, Philadelphia, PA, 19149</x:v>
      </x:c>
      <x:c r="AE2336" s="1" t="str">
        <x:f>IF(A2336="","",F287)</x:f>
        <x:v>3201 RYAN AVE</x:v>
      </x:c>
      <x:c r="AF2336" s="1" t="n">
        <x:f>IF(ISNUMBER(I287),I287,"")</x:f>
        <x:v>40.04310838</x:v>
      </x:c>
      <x:c r="AG2336" s="1" t="n">
        <x:f>IF(ISNUMBER(J287),J287,"")</x:f>
        <x:v>-75.04479221</x:v>
      </x:c>
      <x:c r="AH2336" s="1" t="str">
        <x:f>IF(I2336=0,"Not contacted",IF(INDEX('Staff Review'!$J$8:$J$507,I2336)="","Not contacted",INDEX('Staff Review'!$J$8:$J$507,I2336)))</x:f>
        <x:v>Not contacted</x:v>
      </x:c>
      <x:c r="AI2336" s="1" t="str">
        <x:f>IF(I2336=0,"No",IF(AND(COUNT(INDEX('Staff Review'!$D$8:$D$507,I2336))=1,INDEX('Staff Review'!$D$8:$D$507,I2336)&gt;=0,COUNT(INDEX('Staff Review'!$E$8:$E$507,I2336))=1,INDEX('Staff Review'!$E$8:$E$507,I2336)&gt;0,INDEX('Staff Review'!$E$8:$E$507,I2336)&lt;='Top 15'!$E$5,'Top 15'!$E$5-INDEX('Staff Review'!$E$8:$E$507,I2336)&lt;='Top 15'!$H$5,LEN(INDEX('Staff Review'!$H$8:$H$507,I2336))&gt;0),"Yes","No"))</x:f>
        <x:v>No</x:v>
      </x:c>
      <x:c r="AJ2336" s="1" t="str">
        <x:f>IF(I2336=0,"No",IF(COUNT(INDEX('Staff Review'!$F$8:$F$507,I2336))&lt;&gt;1,"No",IF(AND(INDEX('Staff Review'!$F$8:$F$507,I2336)&gt;=0,MOD(INDEX('Staff Review'!$F$8:$F$507,I2336),1)=0,COUNT(INDEX('Staff Review'!$G$8:$G$507,I2336))=1,INDEX('Staff Review'!$G$8:$G$507,I2336)&gt;0,INDEX('Staff Review'!$G$8:$G$507,I2336)&lt;='Top 15'!$E$5,'Top 15'!$E$5-INDEX('Staff Review'!$G$8:$G$507,I2336)&lt;='Top 15'!$H$5,LEN(INDEX('Staff Review'!$H$8:$H$507,I2336))&gt;0),"Yes","No")))</x:f>
        <x:v>No</x:v>
      </x:c>
      <x:c r="AK2336" s="1" t="n">
        <x:f>IF(A2336="",0,COUNTIFS($A$2:$A$501,A2336))</x:f>
        <x:v>1</x:v>
      </x:c>
      <x:c r="AL2336" s="1" t="n">
        <x:f>IF(V2336="Candidate",1,0)</x:f>
        <x:v>1</x:v>
      </x:c>
      <x:c r="AM2336" s="1" t="n">
        <x:f>IF(A2336="",0,VALUE(A2336))</x:f>
        <x:v>8010</x:v>
      </x:c>
      <x:c r="AN2336" s="1" t="n">
        <x:f>IF(OR(A2336="",COUNTIFS($T$41:$T$540,A2336)&lt;&gt;1),0,MATCH(A2336,$T$41:$T$540,0))</x:f>
        <x:v>286</x:v>
      </x:c>
      <x:c r="AO2336" t="n">
        <x:f>IF(ISNUMBER(W2336),W2336,10000+AM2336)</x:f>
        <x:v>27</x:v>
      </x:c>
    </x:row>
    <x:row r="2337" ht="22" customHeight="1">
      <x:c r="A2337" s="1" t="str">
        <x:f>IF(A288="","",A288)</x:f>
        <x:v>8020</x:v>
      </x:c>
      <x:c r="B2337" s="1" t="str">
        <x:f>IF(A2337="","",B288)</x:f>
        <x:v>Northeast High School</x:v>
      </x:c>
      <x:c r="C2337" s="1" t="str">
        <x:f>IF(A2337="","",C288)</x:f>
        <x:v>District</x:v>
      </x:c>
      <x:c r="D2337" s="1" t="str">
        <x:f>IF(A2337="","",E288)</x:f>
        <x:v>High</x:v>
      </x:c>
      <x:c r="E2337" s="1" t="str">
        <x:f>IF(A2337="","",H288)</x:f>
        <x:v>19111</x:v>
      </x:c>
      <x:c r="F2337" s="1" t="n">
        <x:f>IF(ISNUMBER(K288),K288,"")</x:f>
        <x:v>3541</x:v>
      </x:c>
      <x:c r="G2337" s="1" t="n">
        <x:f>IF(ISNUMBER(L288),L288,"")</x:f>
        <x:v>0.7192</x:v>
      </x:c>
      <x:c r="H2337" s="1" t="str">
        <x:f>IF(A2337="","",IF(AND(UPPER(G288)="PHILADELPHIA",OR(C2337="District",AND(C2337="Charter",D288="Yes"))),"Yes","No"))</x:f>
        <x:v>Yes</x:v>
      </x:c>
      <x:c r="I2337" s="1" t="n">
        <x:f>IF(OR(A2337="",COUNTIFS('Staff Review'!$A$8:$A$507,A2337)&lt;&gt;1),0,MATCH(A2337,'Staff Review'!$A$8:$A$507,0))</x:f>
        <x:v>206</x:v>
      </x:c>
      <x:c r="J2337" s="1" t="str">
        <x:f>IF(I2337=0,"No",IF(INDEX('Staff Review'!$C$8:$C$507,I2337)="Yes","Yes","No"))</x:f>
        <x:v>No</x:v>
      </x:c>
      <x:c r="K2337" s="1" t="n">
        <x:f>IF(AI2337="Yes",INDEX('Staff Review'!$D$8:$D$507,I2337),IF(AB2337=0,"",IF(COUNT(INDEX($C$1531:$C$2030,AB2337))=1,INDEX($C$1531:$C$2030,AB2337),"")))</x:f>
        <x:v>0.37970186361207736</x:v>
      </x:c>
      <x:c r="L2337" s="1" t="n">
        <x:f>IF(AJ2337="Yes",INDEX('Staff Review'!$F$8:$F$507,I2337),IF(AB2337=0,"",IF(COUNT(INDEX($G$1531:$G$2030,AB2337))=1,INDEX($G$1531:$G$2030,AB2337),"")))</x:f>
        <x:v>0</x:v>
      </x:c>
      <x:c r="M2337" s="1" t="str">
        <x:f>IF(A2337="","",IF(AI2337="Yes","Verified","Listed"))</x:f>
        <x:v>Listed</x:v>
      </x:c>
      <x:c r="N2337" s="1" t="str">
        <x:f>IF(A2337="","",IF(AJ2337="Yes","Verified","Listed"))</x:f>
        <x:v>Listed</x:v>
      </x:c>
      <x:c r="O2337" s="1" t="n">
        <x:f>IF(AND(ISNUMBER(G2337),G2337&gt;=0,G2337&lt;=1),IF(G2337&gt;=0.9,30,IF(G2337&gt;=0.8,25,IF(G2337&gt;=0.7,20,IF(G2337&gt;=0.6,15,IF(G2337&gt;=0.5,10,IF(G2337&gt;=0.4,5,0)))))),"")</x:f>
        <x:v>20</x:v>
      </x:c>
      <x:c r="P2337" s="1" t="n">
        <x:f>IF(ISNUMBER(K2337),IF(K2337&lt;0,"",IF(K2337&gt;1,25,IF(K2337&gt;=0.75,20,IF(K2337&gt;=0.5,15,IF(K2337&gt;=0.25,10,5))))),"")</x:f>
        <x:v>10</x:v>
      </x:c>
      <x:c r="Q2337" s="1" t="n">
        <x:f>IF(NOT(ISNUMBER(L2337)),"",IF(AND(L2337&gt;=0,MOD(L2337,1)=0),MAX(0,25-5*L2337),""))</x:f>
        <x:v>25</x:v>
      </x:c>
      <x:c r="R2337" s="1" t="n">
        <x:f>IF(NOT(ISNUMBER(F2337)),"",IF(AND(F2337&gt;0,MOD(F2337,1)=0),IF(F2337&gt;=700,5,IF(F2337&gt;=500,4,IF(F2337&gt;=350,3,IF(F2337&gt;=200,2,1)))),""))</x:f>
        <x:v>5</x:v>
      </x:c>
      <x:c r="S2337" s="1" t="n">
        <x:f>IF(COUNT(O2337:R2337)=4,SUM(O2337:R2337),"")</x:f>
        <x:v>60</x:v>
      </x:c>
      <x:c r="T2337" s="1" t="n">
        <x:f>IF(OR(COUNT(O2337:R2337)&lt;&gt;4,COUNT('Top 15'!$B$35:$E$35)&lt;&gt;4,MIN('Top 15'!$B$35:$E$35)&lt;0,SUM('Top 15'!$B$35:$E$35)&lt;=0),"",ROUND(85*(O2337/30*'Top 15'!$B$35+P2337/25*'Top 15'!$C$35+Q2337/25*'Top 15'!$D$35+R2337/5*'Top 15'!$E$35)/SUM('Top 15'!$B$35:$E$35),6))</x:f>
        <x:v>60</x:v>
      </x:c>
      <x:c r="U2337" s="1" t="str">
        <x:f>IF(A2337="","",IF(AND(M2337="Verified",N2337="Verified"),"Verified",IF(AND(M2337="Listed",N2337="Listed"),"Listed","Mixed")))</x:f>
        <x:v>Listed</x:v>
      </x:c>
      <x:c r="V2337" s="1" t="str">
        <x:f>IF(A2337="","",IF(AK2337&lt;&gt;1,"Duplicate source ID",IF(COUNTIFS('Staff Review'!$A$8:$A$507,A2337)&gt;1,"Duplicate review ID",IF(H2337&lt;&gt;"Yes","Outside scope",IF(J2337="Yes","Already served",IF(NOT(ISNUMBER(T2337)),"Missing data","Candidate"))))))</x:f>
        <x:v>Candidate</x:v>
      </x:c>
      <x:c r="W2337" s="1" t="n">
        <x:f>IF(AL2337=0,"",1+COUNTIFS($AL$2051:$AL$2550,1,$T$2051:$T$2550,"&gt;"&amp;T2337)+COUNTIFS($AL$2051:$AL$2550,1,$T$2051:$T$2550,T2337,$G$2051:$G$2550,"&gt;"&amp;G2337)+COUNTIFS($AL$2051:$AL$2550,1,$T$2051:$T$2550,T2337,$G$2051:$G$2550,G2337,$F$2051:$F$2550,"&gt;"&amp;F2337)+COUNTIFS($AL$2051:$AL$2550,1,$T$2051:$T$2550,T2337,$G$2051:$G$2550,G2337,$F$2051:$F$2550,F2337,$AM$2051:$AM$2550,"&lt;"&amp;AM2337))</x:f>
        <x:v>11</x:v>
      </x:c>
      <x:c r="X2337" s="1" t="n">
        <x:f>IF(AL2337=0,"",1+COUNTIFS($AL$2051:$AL$2550,1,$T$2051:$T$2550,"&gt;"&amp;T2337))</x:f>
        <x:v>10</x:v>
      </x:c>
      <x:c r="Y2337" s="1" t="n">
        <x:f>IF(AND(H2337="Yes",OR(LEN('School Search'!$B$5)=0,ISNUMBER(SEARCH('School Search'!$B$5,B2337&amp;" "&amp;E2337&amp;" "&amp;A2337))),OR('School Search'!$D$5="All",C2337='School Search'!$D$5),OR('School Search'!$G$5="All eligible",AND('School Search'!$G$5="Not marked served",J2337&lt;&gt;"Yes"),AND('School Search'!$G$5="Missing data",V2337="Missing data"),AND('School Search'!$G$5="Marked served",J2337="Yes"))),1,0)</x:f>
        <x:v>1</x:v>
      </x:c>
      <x:c r="Z2337" s="1" t="n">
        <x:f>IF(Y2337=0,"",COUNTIFS($Y$2051:$Y$2550,1,$AO$2051:$AO$2550,"&lt;"&amp;AO2337)+COUNTIFS($Y$2051:Y2337,1,$AO$2051:AO2337,AO2337))</x:f>
        <x:v>11</x:v>
      </x:c>
      <x:c r="AA2337" s="1" t="str">
        <x:f>IF(NOT(ISNUMBER(S2337)),"Missing demographic or access input",TEXT(G2337,"0%")&amp;" economic need; "&amp;TEXT(K2337,"0.00")&amp;" mi fresh access; "&amp;L2337&amp;" nearby resources")</x:f>
        <x:v>72% economic need; 0.38 mi fresh access; 0 nearby resources</x:v>
      </x:c>
      <x:c r="AB2337" s="1" t="n">
        <x:f>IF(OR(A2337="",COUNTIFS($A$1531:$A$2030,A2337)&lt;&gt;1),0,MATCH(A2337,$A$1531:$A$2030,0))</x:f>
        <x:v>287</x:v>
      </x:c>
      <x:c r="AC2337" s="1" t="str">
        <x:f>IF(AB2337=0,"",INDEX($E$1531:$E$2030,AB2337))</x:f>
        <x:v>Jumbo Meat Market</x:v>
      </x:c>
      <x:c r="AD2337" s="1" t="str">
        <x:f>IF(AB2337=0,"",INDEX($F$1531:$F$2030,AB2337))</x:f>
        <x:v>7322 Castor Ave, Philadelphia, PA, 19152</x:v>
      </x:c>
      <x:c r="AE2337" s="1" t="str">
        <x:f>IF(A2337="","",F288)</x:f>
        <x:v>1601 COTTMAN AVE</x:v>
      </x:c>
      <x:c r="AF2337" s="1" t="n">
        <x:f>IF(ISNUMBER(I288),I288,"")</x:f>
        <x:v>40.05564409</x:v>
      </x:c>
      <x:c r="AG2337" s="1" t="n">
        <x:f>IF(ISNUMBER(J288),J288,"")</x:f>
        <x:v>-75.07118355</x:v>
      </x:c>
      <x:c r="AH2337" s="1" t="str">
        <x:f>IF(I2337=0,"Not contacted",IF(INDEX('Staff Review'!$J$8:$J$507,I2337)="","Not contacted",INDEX('Staff Review'!$J$8:$J$507,I2337)))</x:f>
        <x:v>Not contacted</x:v>
      </x:c>
      <x:c r="AI2337" s="1" t="str">
        <x:f>IF(I2337=0,"No",IF(AND(COUNT(INDEX('Staff Review'!$D$8:$D$507,I2337))=1,INDEX('Staff Review'!$D$8:$D$507,I2337)&gt;=0,COUNT(INDEX('Staff Review'!$E$8:$E$507,I2337))=1,INDEX('Staff Review'!$E$8:$E$507,I2337)&gt;0,INDEX('Staff Review'!$E$8:$E$507,I2337)&lt;='Top 15'!$E$5,'Top 15'!$E$5-INDEX('Staff Review'!$E$8:$E$507,I2337)&lt;='Top 15'!$H$5,LEN(INDEX('Staff Review'!$H$8:$H$507,I2337))&gt;0),"Yes","No"))</x:f>
        <x:v>No</x:v>
      </x:c>
      <x:c r="AJ2337" s="1" t="str">
        <x:f>IF(I2337=0,"No",IF(COUNT(INDEX('Staff Review'!$F$8:$F$507,I2337))&lt;&gt;1,"No",IF(AND(INDEX('Staff Review'!$F$8:$F$507,I2337)&gt;=0,MOD(INDEX('Staff Review'!$F$8:$F$507,I2337),1)=0,COUNT(INDEX('Staff Review'!$G$8:$G$507,I2337))=1,INDEX('Staff Review'!$G$8:$G$507,I2337)&gt;0,INDEX('Staff Review'!$G$8:$G$507,I2337)&lt;='Top 15'!$E$5,'Top 15'!$E$5-INDEX('Staff Review'!$G$8:$G$507,I2337)&lt;='Top 15'!$H$5,LEN(INDEX('Staff Review'!$H$8:$H$507,I2337))&gt;0),"Yes","No")))</x:f>
        <x:v>No</x:v>
      </x:c>
      <x:c r="AK2337" s="1" t="n">
        <x:f>IF(A2337="",0,COUNTIFS($A$2:$A$501,A2337))</x:f>
        <x:v>1</x:v>
      </x:c>
      <x:c r="AL2337" s="1" t="n">
        <x:f>IF(V2337="Candidate",1,0)</x:f>
        <x:v>1</x:v>
      </x:c>
      <x:c r="AM2337" s="1" t="n">
        <x:f>IF(A2337="",0,VALUE(A2337))</x:f>
        <x:v>8020</x:v>
      </x:c>
      <x:c r="AN2337" s="1" t="n">
        <x:f>IF(OR(A2337="",COUNTIFS($T$41:$T$540,A2337)&lt;&gt;1),0,MATCH(A2337,$T$41:$T$540,0))</x:f>
        <x:v>287</x:v>
      </x:c>
      <x:c r="AO2337" t="n">
        <x:f>IF(ISNUMBER(W2337),W2337,10000+AM2337)</x:f>
        <x:v>11</x:v>
      </x:c>
    </x:row>
    <x:row r="2338" ht="22" customHeight="1">
      <x:c r="A2338" s="1" t="str">
        <x:f>IF(A289="","",A289)</x:f>
        <x:v>8030</x:v>
      </x:c>
      <x:c r="B2338" s="1" t="str">
        <x:f>IF(A2338="","",B289)</x:f>
        <x:v>George Washington High School</x:v>
      </x:c>
      <x:c r="C2338" s="1" t="str">
        <x:f>IF(A2338="","",C289)</x:f>
        <x:v>District</x:v>
      </x:c>
      <x:c r="D2338" s="1" t="str">
        <x:f>IF(A2338="","",E289)</x:f>
        <x:v>High</x:v>
      </x:c>
      <x:c r="E2338" s="1" t="str">
        <x:f>IF(A2338="","",H289)</x:f>
        <x:v>19116</x:v>
      </x:c>
      <x:c r="F2338" s="1" t="n">
        <x:f>IF(ISNUMBER(K289),K289,"")</x:f>
        <x:v>1795</x:v>
      </x:c>
      <x:c r="G2338" s="1" t="n">
        <x:f>IF(ISNUMBER(L289),L289,"")</x:f>
        <x:v>0.6978</x:v>
      </x:c>
      <x:c r="H2338" s="1" t="str">
        <x:f>IF(A2338="","",IF(AND(UPPER(G289)="PHILADELPHIA",OR(C2338="District",AND(C2338="Charter",D289="Yes"))),"Yes","No"))</x:f>
        <x:v>Yes</x:v>
      </x:c>
      <x:c r="I2338" s="1" t="n">
        <x:f>IF(OR(A2338="",COUNTIFS('Staff Review'!$A$8:$A$507,A2338)&lt;&gt;1),0,MATCH(A2338,'Staff Review'!$A$8:$A$507,0))</x:f>
        <x:v>97</x:v>
      </x:c>
      <x:c r="J2338" s="1" t="str">
        <x:f>IF(I2338=0,"No",IF(INDEX('Staff Review'!$C$8:$C$507,I2338)="Yes","Yes","No"))</x:f>
        <x:v>No</x:v>
      </x:c>
      <x:c r="K2338" s="1" t="n">
        <x:f>IF(AI2338="Yes",INDEX('Staff Review'!$D$8:$D$507,I2338),IF(AB2338=0,"",IF(COUNT(INDEX($C$1531:$C$2030,AB2338))=1,INDEX($C$1531:$C$2030,AB2338),"")))</x:f>
        <x:v>0.10160074514179536</x:v>
      </x:c>
      <x:c r="L2338" s="1" t="n">
        <x:f>IF(AJ2338="Yes",INDEX('Staff Review'!$F$8:$F$507,I2338),IF(AB2338=0,"",IF(COUNT(INDEX($G$1531:$G$2030,AB2338))=1,INDEX($G$1531:$G$2030,AB2338),"")))</x:f>
        <x:v>3</x:v>
      </x:c>
      <x:c r="M2338" s="1" t="str">
        <x:f>IF(A2338="","",IF(AI2338="Yes","Verified","Listed"))</x:f>
        <x:v>Listed</x:v>
      </x:c>
      <x:c r="N2338" s="1" t="str">
        <x:f>IF(A2338="","",IF(AJ2338="Yes","Verified","Listed"))</x:f>
        <x:v>Listed</x:v>
      </x:c>
      <x:c r="O2338" s="1" t="n">
        <x:f>IF(AND(ISNUMBER(G2338),G2338&gt;=0,G2338&lt;=1),IF(G2338&gt;=0.9,30,IF(G2338&gt;=0.8,25,IF(G2338&gt;=0.7,20,IF(G2338&gt;=0.6,15,IF(G2338&gt;=0.5,10,IF(G2338&gt;=0.4,5,0)))))),"")</x:f>
        <x:v>15</x:v>
      </x:c>
      <x:c r="P2338" s="1" t="n">
        <x:f>IF(ISNUMBER(K2338),IF(K2338&lt;0,"",IF(K2338&gt;1,25,IF(K2338&gt;=0.75,20,IF(K2338&gt;=0.5,15,IF(K2338&gt;=0.25,10,5))))),"")</x:f>
        <x:v>5</x:v>
      </x:c>
      <x:c r="Q2338" s="1" t="n">
        <x:f>IF(NOT(ISNUMBER(L2338)),"",IF(AND(L2338&gt;=0,MOD(L2338,1)=0),MAX(0,25-5*L2338),""))</x:f>
        <x:v>10</x:v>
      </x:c>
      <x:c r="R2338" s="1" t="n">
        <x:f>IF(NOT(ISNUMBER(F2338)),"",IF(AND(F2338&gt;0,MOD(F2338,1)=0),IF(F2338&gt;=700,5,IF(F2338&gt;=500,4,IF(F2338&gt;=350,3,IF(F2338&gt;=200,2,1)))),""))</x:f>
        <x:v>5</x:v>
      </x:c>
      <x:c r="S2338" s="1" t="n">
        <x:f>IF(COUNT(O2338:R2338)=4,SUM(O2338:R2338),"")</x:f>
        <x:v>35</x:v>
      </x:c>
      <x:c r="T2338" s="1" t="n">
        <x:f>IF(OR(COUNT(O2338:R2338)&lt;&gt;4,COUNT('Top 15'!$B$35:$E$35)&lt;&gt;4,MIN('Top 15'!$B$35:$E$35)&lt;0,SUM('Top 15'!$B$35:$E$35)&lt;=0),"",ROUND(85*(O2338/30*'Top 15'!$B$35+P2338/25*'Top 15'!$C$35+Q2338/25*'Top 15'!$D$35+R2338/5*'Top 15'!$E$35)/SUM('Top 15'!$B$35:$E$35),6))</x:f>
        <x:v>35</x:v>
      </x:c>
      <x:c r="U2338" s="1" t="str">
        <x:f>IF(A2338="","",IF(AND(M2338="Verified",N2338="Verified"),"Verified",IF(AND(M2338="Listed",N2338="Listed"),"Listed","Mixed")))</x:f>
        <x:v>Listed</x:v>
      </x:c>
      <x:c r="V2338" s="1" t="str">
        <x:f>IF(A2338="","",IF(AK2338&lt;&gt;1,"Duplicate source ID",IF(COUNTIFS('Staff Review'!$A$8:$A$507,A2338)&gt;1,"Duplicate review ID",IF(H2338&lt;&gt;"Yes","Outside scope",IF(J2338="Yes","Already served",IF(NOT(ISNUMBER(T2338)),"Missing data","Candidate"))))))</x:f>
        <x:v>Candidate</x:v>
      </x:c>
      <x:c r="W2338" s="1" t="n">
        <x:f>IF(AL2338=0,"",1+COUNTIFS($AL$2051:$AL$2550,1,$T$2051:$T$2550,"&gt;"&amp;T2338)+COUNTIFS($AL$2051:$AL$2550,1,$T$2051:$T$2550,T2338,$G$2051:$G$2550,"&gt;"&amp;G2338)+COUNTIFS($AL$2051:$AL$2550,1,$T$2051:$T$2550,T2338,$G$2051:$G$2550,G2338,$F$2051:$F$2550,"&gt;"&amp;F2338)+COUNTIFS($AL$2051:$AL$2550,1,$T$2051:$T$2550,T2338,$G$2051:$G$2550,G2338,$F$2051:$F$2550,F2338,$AM$2051:$AM$2550,"&lt;"&amp;AM2338))</x:f>
        <x:v>217</x:v>
      </x:c>
      <x:c r="X2338" s="1" t="n">
        <x:f>IF(AL2338=0,"",1+COUNTIFS($AL$2051:$AL$2550,1,$T$2051:$T$2550,"&gt;"&amp;T2338))</x:f>
        <x:v>210</x:v>
      </x:c>
      <x:c r="Y2338" s="1" t="n">
        <x:f>IF(AND(H2338="Yes",OR(LEN('School Search'!$B$5)=0,ISNUMBER(SEARCH('School Search'!$B$5,B2338&amp;" "&amp;E2338&amp;" "&amp;A2338))),OR('School Search'!$D$5="All",C2338='School Search'!$D$5),OR('School Search'!$G$5="All eligible",AND('School Search'!$G$5="Not marked served",J2338&lt;&gt;"Yes"),AND('School Search'!$G$5="Missing data",V2338="Missing data"),AND('School Search'!$G$5="Marked served",J2338="Yes"))),1,0)</x:f>
        <x:v>1</x:v>
      </x:c>
      <x:c r="Z2338" s="1" t="n">
        <x:f>IF(Y2338=0,"",COUNTIFS($Y$2051:$Y$2550,1,$AO$2051:$AO$2550,"&lt;"&amp;AO2338)+COUNTIFS($Y$2051:Y2338,1,$AO$2051:AO2338,AO2338))</x:f>
        <x:v>217</x:v>
      </x:c>
      <x:c r="AA2338" s="1" t="str">
        <x:f>IF(NOT(ISNUMBER(S2338)),"Missing demographic or access input",TEXT(G2338,"0%")&amp;" economic need; "&amp;TEXT(K2338,"0.00")&amp;" mi fresh access; "&amp;L2338&amp;" nearby resources")</x:f>
        <x:v>70% economic need; 0.10 mi fresh access; 3 nearby resources</x:v>
      </x:c>
      <x:c r="AB2338" s="1" t="n">
        <x:f>IF(OR(A2338="",COUNTIFS($A$1531:$A$2030,A2338)&lt;&gt;1),0,MATCH(A2338,$A$1531:$A$2030,0))</x:f>
        <x:v>288</x:v>
      </x:c>
      <x:c r="AC2338" s="1" t="str">
        <x:f>IF(AB2338=0,"",INDEX($E$1531:$E$2030,AB2338))</x:f>
        <x:v>Ali Baba Bakery Inc</x:v>
      </x:c>
      <x:c r="AD2338" s="1" t="str">
        <x:f>IF(AB2338=0,"",INDEX($F$1531:$F$2030,AB2338))</x:f>
        <x:v>10184 Bustleton Ave, Philadelphia, PA, 19116</x:v>
      </x:c>
      <x:c r="AE2338" s="1" t="str">
        <x:f>IF(A2338="","",F289)</x:f>
        <x:v>10175 BUSTLETON AVE</x:v>
      </x:c>
      <x:c r="AF2338" s="1" t="n">
        <x:f>IF(ISNUMBER(I289),I289,"")</x:f>
        <x:v>40.10598577</x:v>
      </x:c>
      <x:c r="AG2338" s="1" t="n">
        <x:f>IF(ISNUMBER(J289),J289,"")</x:f>
        <x:v>-75.02723013</x:v>
      </x:c>
      <x:c r="AH2338" s="1" t="str">
        <x:f>IF(I2338=0,"Not contacted",IF(INDEX('Staff Review'!$J$8:$J$507,I2338)="","Not contacted",INDEX('Staff Review'!$J$8:$J$507,I2338)))</x:f>
        <x:v>Not contacted</x:v>
      </x:c>
      <x:c r="AI2338" s="1" t="str">
        <x:f>IF(I2338=0,"No",IF(AND(COUNT(INDEX('Staff Review'!$D$8:$D$507,I2338))=1,INDEX('Staff Review'!$D$8:$D$507,I2338)&gt;=0,COUNT(INDEX('Staff Review'!$E$8:$E$507,I2338))=1,INDEX('Staff Review'!$E$8:$E$507,I2338)&gt;0,INDEX('Staff Review'!$E$8:$E$507,I2338)&lt;='Top 15'!$E$5,'Top 15'!$E$5-INDEX('Staff Review'!$E$8:$E$507,I2338)&lt;='Top 15'!$H$5,LEN(INDEX('Staff Review'!$H$8:$H$507,I2338))&gt;0),"Yes","No"))</x:f>
        <x:v>No</x:v>
      </x:c>
      <x:c r="AJ2338" s="1" t="str">
        <x:f>IF(I2338=0,"No",IF(COUNT(INDEX('Staff Review'!$F$8:$F$507,I2338))&lt;&gt;1,"No",IF(AND(INDEX('Staff Review'!$F$8:$F$507,I2338)&gt;=0,MOD(INDEX('Staff Review'!$F$8:$F$507,I2338),1)=0,COUNT(INDEX('Staff Review'!$G$8:$G$507,I2338))=1,INDEX('Staff Review'!$G$8:$G$507,I2338)&gt;0,INDEX('Staff Review'!$G$8:$G$507,I2338)&lt;='Top 15'!$E$5,'Top 15'!$E$5-INDEX('Staff Review'!$G$8:$G$507,I2338)&lt;='Top 15'!$H$5,LEN(INDEX('Staff Review'!$H$8:$H$507,I2338))&gt;0),"Yes","No")))</x:f>
        <x:v>No</x:v>
      </x:c>
      <x:c r="AK2338" s="1" t="n">
        <x:f>IF(A2338="",0,COUNTIFS($A$2:$A$501,A2338))</x:f>
        <x:v>1</x:v>
      </x:c>
      <x:c r="AL2338" s="1" t="n">
        <x:f>IF(V2338="Candidate",1,0)</x:f>
        <x:v>1</x:v>
      </x:c>
      <x:c r="AM2338" s="1" t="n">
        <x:f>IF(A2338="",0,VALUE(A2338))</x:f>
        <x:v>8030</x:v>
      </x:c>
      <x:c r="AN2338" s="1" t="n">
        <x:f>IF(OR(A2338="",COUNTIFS($T$41:$T$540,A2338)&lt;&gt;1),0,MATCH(A2338,$T$41:$T$540,0))</x:f>
        <x:v>288</x:v>
      </x:c>
      <x:c r="AO2338" t="n">
        <x:f>IF(ISNUMBER(W2338),W2338,10000+AM2338)</x:f>
        <x:v>217</x:v>
      </x:c>
    </x:row>
    <x:row r="2339" ht="22" customHeight="1">
      <x:c r="A2339" s="1" t="str">
        <x:f>IF(A290="","",A290)</x:f>
        <x:v>8040</x:v>
      </x:c>
      <x:c r="B2339" s="1" t="str">
        <x:f>IF(A2339="","",B290)</x:f>
        <x:v>Arts Academy at Benjamin Rush</x:v>
      </x:c>
      <x:c r="C2339" s="1" t="str">
        <x:f>IF(A2339="","",C290)</x:f>
        <x:v>District</x:v>
      </x:c>
      <x:c r="D2339" s="1" t="str">
        <x:f>IF(A2339="","",E290)</x:f>
        <x:v>High</x:v>
      </x:c>
      <x:c r="E2339" s="1" t="str">
        <x:f>IF(A2339="","",H290)</x:f>
        <x:v>19154</x:v>
      </x:c>
      <x:c r="F2339" s="1" t="n">
        <x:f>IF(ISNUMBER(K290),K290,"")</x:f>
        <x:v>602</x:v>
      </x:c>
      <x:c r="G2339" s="1" t="n">
        <x:f>IF(ISNUMBER(L290),L290,"")</x:f>
        <x:v>0.5581</x:v>
      </x:c>
      <x:c r="H2339" s="1" t="str">
        <x:f>IF(A2339="","",IF(AND(UPPER(G290)="PHILADELPHIA",OR(C2339="District",AND(C2339="Charter",D290="Yes"))),"Yes","No"))</x:f>
        <x:v>Yes</x:v>
      </x:c>
      <x:c r="I2339" s="1" t="n">
        <x:f>IF(OR(A2339="",COUNTIFS('Staff Review'!$A$8:$A$507,A2339)&lt;&gt;1),0,MATCH(A2339,'Staff Review'!$A$8:$A$507,0))</x:f>
        <x:v>24</x:v>
      </x:c>
      <x:c r="J2339" s="1" t="str">
        <x:f>IF(I2339=0,"No",IF(INDEX('Staff Review'!$C$8:$C$507,I2339)="Yes","Yes","No"))</x:f>
        <x:v>No</x:v>
      </x:c>
      <x:c r="K2339" s="1" t="n">
        <x:f>IF(AI2339="Yes",INDEX('Staff Review'!$D$8:$D$507,I2339),IF(AB2339=0,"",IF(COUNT(INDEX($C$1531:$C$2030,AB2339))=1,INDEX($C$1531:$C$2030,AB2339),"")))</x:f>
        <x:v>0.3281166835630559</x:v>
      </x:c>
      <x:c r="L2339" s="1" t="n">
        <x:f>IF(AJ2339="Yes",INDEX('Staff Review'!$F$8:$F$507,I2339),IF(AB2339=0,"",IF(COUNT(INDEX($G$1531:$G$2030,AB2339))=1,INDEX($G$1531:$G$2030,AB2339),"")))</x:f>
        <x:v>0</x:v>
      </x:c>
      <x:c r="M2339" s="1" t="str">
        <x:f>IF(A2339="","",IF(AI2339="Yes","Verified","Listed"))</x:f>
        <x:v>Listed</x:v>
      </x:c>
      <x:c r="N2339" s="1" t="str">
        <x:f>IF(A2339="","",IF(AJ2339="Yes","Verified","Listed"))</x:f>
        <x:v>Listed</x:v>
      </x:c>
      <x:c r="O2339" s="1" t="n">
        <x:f>IF(AND(ISNUMBER(G2339),G2339&gt;=0,G2339&lt;=1),IF(G2339&gt;=0.9,30,IF(G2339&gt;=0.8,25,IF(G2339&gt;=0.7,20,IF(G2339&gt;=0.6,15,IF(G2339&gt;=0.5,10,IF(G2339&gt;=0.4,5,0)))))),"")</x:f>
        <x:v>10</x:v>
      </x:c>
      <x:c r="P2339" s="1" t="n">
        <x:f>IF(ISNUMBER(K2339),IF(K2339&lt;0,"",IF(K2339&gt;1,25,IF(K2339&gt;=0.75,20,IF(K2339&gt;=0.5,15,IF(K2339&gt;=0.25,10,5))))),"")</x:f>
        <x:v>10</x:v>
      </x:c>
      <x:c r="Q2339" s="1" t="n">
        <x:f>IF(NOT(ISNUMBER(L2339)),"",IF(AND(L2339&gt;=0,MOD(L2339,1)=0),MAX(0,25-5*L2339),""))</x:f>
        <x:v>25</x:v>
      </x:c>
      <x:c r="R2339" s="1" t="n">
        <x:f>IF(NOT(ISNUMBER(F2339)),"",IF(AND(F2339&gt;0,MOD(F2339,1)=0),IF(F2339&gt;=700,5,IF(F2339&gt;=500,4,IF(F2339&gt;=350,3,IF(F2339&gt;=200,2,1)))),""))</x:f>
        <x:v>4</x:v>
      </x:c>
      <x:c r="S2339" s="1" t="n">
        <x:f>IF(COUNT(O2339:R2339)=4,SUM(O2339:R2339),"")</x:f>
        <x:v>49</x:v>
      </x:c>
      <x:c r="T2339" s="1" t="n">
        <x:f>IF(OR(COUNT(O2339:R2339)&lt;&gt;4,COUNT('Top 15'!$B$35:$E$35)&lt;&gt;4,MIN('Top 15'!$B$35:$E$35)&lt;0,SUM('Top 15'!$B$35:$E$35)&lt;=0),"",ROUND(85*(O2339/30*'Top 15'!$B$35+P2339/25*'Top 15'!$C$35+Q2339/25*'Top 15'!$D$35+R2339/5*'Top 15'!$E$35)/SUM('Top 15'!$B$35:$E$35),6))</x:f>
        <x:v>49</x:v>
      </x:c>
      <x:c r="U2339" s="1" t="str">
        <x:f>IF(A2339="","",IF(AND(M2339="Verified",N2339="Verified"),"Verified",IF(AND(M2339="Listed",N2339="Listed"),"Listed","Mixed")))</x:f>
        <x:v>Listed</x:v>
      </x:c>
      <x:c r="V2339" s="1" t="str">
        <x:f>IF(A2339="","",IF(AK2339&lt;&gt;1,"Duplicate source ID",IF(COUNTIFS('Staff Review'!$A$8:$A$507,A2339)&gt;1,"Duplicate review ID",IF(H2339&lt;&gt;"Yes","Outside scope",IF(J2339="Yes","Already served",IF(NOT(ISNUMBER(T2339)),"Missing data","Candidate"))))))</x:f>
        <x:v>Candidate</x:v>
      </x:c>
      <x:c r="W2339" s="1" t="n">
        <x:f>IF(AL2339=0,"",1+COUNTIFS($AL$2051:$AL$2550,1,$T$2051:$T$2550,"&gt;"&amp;T2339)+COUNTIFS($AL$2051:$AL$2550,1,$T$2051:$T$2550,T2339,$G$2051:$G$2550,"&gt;"&amp;G2339)+COUNTIFS($AL$2051:$AL$2550,1,$T$2051:$T$2550,T2339,$G$2051:$G$2550,G2339,$F$2051:$F$2550,"&gt;"&amp;F2339)+COUNTIFS($AL$2051:$AL$2550,1,$T$2051:$T$2550,T2339,$G$2051:$G$2550,G2339,$F$2051:$F$2550,F2339,$AM$2051:$AM$2550,"&lt;"&amp;AM2339))</x:f>
        <x:v>55</x:v>
      </x:c>
      <x:c r="X2339" s="1" t="n">
        <x:f>IF(AL2339=0,"",1+COUNTIFS($AL$2051:$AL$2550,1,$T$2051:$T$2550,"&gt;"&amp;T2339))</x:f>
        <x:v>46</x:v>
      </x:c>
      <x:c r="Y2339" s="1" t="n">
        <x:f>IF(AND(H2339="Yes",OR(LEN('School Search'!$B$5)=0,ISNUMBER(SEARCH('School Search'!$B$5,B2339&amp;" "&amp;E2339&amp;" "&amp;A2339))),OR('School Search'!$D$5="All",C2339='School Search'!$D$5),OR('School Search'!$G$5="All eligible",AND('School Search'!$G$5="Not marked served",J2339&lt;&gt;"Yes"),AND('School Search'!$G$5="Missing data",V2339="Missing data"),AND('School Search'!$G$5="Marked served",J2339="Yes"))),1,0)</x:f>
        <x:v>1</x:v>
      </x:c>
      <x:c r="Z2339" s="1" t="n">
        <x:f>IF(Y2339=0,"",COUNTIFS($Y$2051:$Y$2550,1,$AO$2051:$AO$2550,"&lt;"&amp;AO2339)+COUNTIFS($Y$2051:Y2339,1,$AO$2051:AO2339,AO2339))</x:f>
        <x:v>55</x:v>
      </x:c>
      <x:c r="AA2339" s="1" t="str">
        <x:f>IF(NOT(ISNUMBER(S2339)),"Missing demographic or access input",TEXT(G2339,"0%")&amp;" economic need; "&amp;TEXT(K2339,"0.00")&amp;" mi fresh access; "&amp;L2339&amp;" nearby resources")</x:f>
        <x:v>56% economic need; 0.33 mi fresh access; 0 nearby resources</x:v>
      </x:c>
      <x:c r="AB2339" s="1" t="n">
        <x:f>IF(OR(A2339="",COUNTIFS($A$1531:$A$2030,A2339)&lt;&gt;1),0,MATCH(A2339,$A$1531:$A$2030,0))</x:f>
        <x:v>289</x:v>
      </x:c>
      <x:c r="AC2339" s="1" t="str">
        <x:f>IF(AB2339=0,"",INDEX($E$1531:$E$2030,AB2339))</x:f>
        <x:v>Grocery Outlet Of Woodhaven 750</x:v>
      </x:c>
      <x:c r="AD2339" s="1" t="str">
        <x:f>IF(AB2339=0,"",INDEX($F$1531:$F$2030,AB2339))</x:f>
        <x:v>4016 Woodhaven Rd, Philadelphia, PA, 19154</x:v>
      </x:c>
      <x:c r="AE2339" s="1" t="str">
        <x:f>IF(A2339="","",F290)</x:f>
        <x:v>11081 KNIGHTS RD</x:v>
      </x:c>
      <x:c r="AF2339" s="1" t="n">
        <x:f>IF(ISNUMBER(I290),I290,"")</x:f>
        <x:v>40.08253275</x:v>
      </x:c>
      <x:c r="AG2339" s="1" t="n">
        <x:f>IF(ISNUMBER(J290),J290,"")</x:f>
        <x:v>-74.9752061</x:v>
      </x:c>
      <x:c r="AH2339" s="1" t="str">
        <x:f>IF(I2339=0,"Not contacted",IF(INDEX('Staff Review'!$J$8:$J$507,I2339)="","Not contacted",INDEX('Staff Review'!$J$8:$J$507,I2339)))</x:f>
        <x:v>Not contacted</x:v>
      </x:c>
      <x:c r="AI2339" s="1" t="str">
        <x:f>IF(I2339=0,"No",IF(AND(COUNT(INDEX('Staff Review'!$D$8:$D$507,I2339))=1,INDEX('Staff Review'!$D$8:$D$507,I2339)&gt;=0,COUNT(INDEX('Staff Review'!$E$8:$E$507,I2339))=1,INDEX('Staff Review'!$E$8:$E$507,I2339)&gt;0,INDEX('Staff Review'!$E$8:$E$507,I2339)&lt;='Top 15'!$E$5,'Top 15'!$E$5-INDEX('Staff Review'!$E$8:$E$507,I2339)&lt;='Top 15'!$H$5,LEN(INDEX('Staff Review'!$H$8:$H$507,I2339))&gt;0),"Yes","No"))</x:f>
        <x:v>No</x:v>
      </x:c>
      <x:c r="AJ2339" s="1" t="str">
        <x:f>IF(I2339=0,"No",IF(COUNT(INDEX('Staff Review'!$F$8:$F$507,I2339))&lt;&gt;1,"No",IF(AND(INDEX('Staff Review'!$F$8:$F$507,I2339)&gt;=0,MOD(INDEX('Staff Review'!$F$8:$F$507,I2339),1)=0,COUNT(INDEX('Staff Review'!$G$8:$G$507,I2339))=1,INDEX('Staff Review'!$G$8:$G$507,I2339)&gt;0,INDEX('Staff Review'!$G$8:$G$507,I2339)&lt;='Top 15'!$E$5,'Top 15'!$E$5-INDEX('Staff Review'!$G$8:$G$507,I2339)&lt;='Top 15'!$H$5,LEN(INDEX('Staff Review'!$H$8:$H$507,I2339))&gt;0),"Yes","No")))</x:f>
        <x:v>No</x:v>
      </x:c>
      <x:c r="AK2339" s="1" t="n">
        <x:f>IF(A2339="",0,COUNTIFS($A$2:$A$501,A2339))</x:f>
        <x:v>1</x:v>
      </x:c>
      <x:c r="AL2339" s="1" t="n">
        <x:f>IF(V2339="Candidate",1,0)</x:f>
        <x:v>1</x:v>
      </x:c>
      <x:c r="AM2339" s="1" t="n">
        <x:f>IF(A2339="",0,VALUE(A2339))</x:f>
        <x:v>8040</x:v>
      </x:c>
      <x:c r="AN2339" s="1" t="n">
        <x:f>IF(OR(A2339="",COUNTIFS($T$41:$T$540,A2339)&lt;&gt;1),0,MATCH(A2339,$T$41:$T$540,0))</x:f>
        <x:v>289</x:v>
      </x:c>
      <x:c r="AO2339" t="n">
        <x:f>IF(ISNUMBER(W2339),W2339,10000+AM2339)</x:f>
        <x:v>55</x:v>
      </x:c>
    </x:row>
    <x:row r="2340" ht="22" customHeight="1">
      <x:c r="A2340" s="1" t="str">
        <x:f>IF(A291="","",A291)</x:f>
        <x:v>8070</x:v>
      </x:c>
      <x:c r="B2340" s="1" t="str">
        <x:f>IF(A2340="","",B291)</x:f>
        <x:v>OIC Career and Academic Development Institute</x:v>
      </x:c>
      <x:c r="C2340" s="1" t="str">
        <x:f>IF(A2340="","",C291)</x:f>
        <x:v>Contracted</x:v>
      </x:c>
      <x:c r="D2340" s="1" t="str">
        <x:f>IF(A2340="","",E291)</x:f>
        <x:v>Transition/Overage School</x:v>
      </x:c>
      <x:c r="E2340" s="1" t="str">
        <x:f>IF(A2340="","",H291)</x:f>
        <x:v>19123</x:v>
      </x:c>
      <x:c r="F2340" s="1" t="n">
        <x:f>IF(ISNUMBER(K291),K291,"")</x:f>
        <x:v>163</x:v>
      </x:c>
      <x:c r="G2340" s="1" t="str">
        <x:f>IF(ISNUMBER(L291),L291,"")</x:f>
      </x:c>
      <x:c r="H2340" s="1" t="str">
        <x:f>IF(A2340="","",IF(AND(UPPER(G291)="PHILADELPHIA",OR(C2340="District",AND(C2340="Charter",D291="Yes"))),"Yes","No"))</x:f>
        <x:v>No</x:v>
      </x:c>
      <x:c r="I2340" s="1" t="n">
        <x:f>IF(OR(A2340="",COUNTIFS('Staff Review'!$A$8:$A$507,A2340)&lt;&gt;1),0,MATCH(A2340,'Staff Review'!$A$8:$A$507,0))</x:f>
        <x:v>209</x:v>
      </x:c>
      <x:c r="J2340" s="1" t="str">
        <x:f>IF(I2340=0,"No",IF(INDEX('Staff Review'!$C$8:$C$507,I2340)="Yes","Yes","No"))</x:f>
        <x:v>No</x:v>
      </x:c>
      <x:c r="K2340" s="1" t="n">
        <x:f>IF(AI2340="Yes",INDEX('Staff Review'!$D$8:$D$507,I2340),IF(AB2340=0,"",IF(COUNT(INDEX($C$1531:$C$2030,AB2340))=1,INDEX($C$1531:$C$2030,AB2340),"")))</x:f>
        <x:v>0.15291218927303687</x:v>
      </x:c>
      <x:c r="L2340" s="1" t="n">
        <x:f>IF(AJ2340="Yes",INDEX('Staff Review'!$F$8:$F$507,I2340),IF(AB2340=0,"",IF(COUNT(INDEX($G$1531:$G$2030,AB2340))=1,INDEX($G$1531:$G$2030,AB2340),"")))</x:f>
        <x:v>8</x:v>
      </x:c>
      <x:c r="M2340" s="1" t="str">
        <x:f>IF(A2340="","",IF(AI2340="Yes","Verified","Listed"))</x:f>
        <x:v>Listed</x:v>
      </x:c>
      <x:c r="N2340" s="1" t="str">
        <x:f>IF(A2340="","",IF(AJ2340="Yes","Verified","Listed"))</x:f>
        <x:v>Listed</x:v>
      </x:c>
      <x:c r="O2340" s="1" t="str">
        <x:f>IF(AND(ISNUMBER(G2340),G2340&gt;=0,G2340&lt;=1),IF(G2340&gt;=0.9,30,IF(G2340&gt;=0.8,25,IF(G2340&gt;=0.7,20,IF(G2340&gt;=0.6,15,IF(G2340&gt;=0.5,10,IF(G2340&gt;=0.4,5,0)))))),"")</x:f>
      </x:c>
      <x:c r="P2340" s="1" t="n">
        <x:f>IF(ISNUMBER(K2340),IF(K2340&lt;0,"",IF(K2340&gt;1,25,IF(K2340&gt;=0.75,20,IF(K2340&gt;=0.5,15,IF(K2340&gt;=0.25,10,5))))),"")</x:f>
        <x:v>5</x:v>
      </x:c>
      <x:c r="Q2340" s="1" t="n">
        <x:f>IF(NOT(ISNUMBER(L2340)),"",IF(AND(L2340&gt;=0,MOD(L2340,1)=0),MAX(0,25-5*L2340),""))</x:f>
        <x:v>0</x:v>
      </x:c>
      <x:c r="R2340" s="1" t="n">
        <x:f>IF(NOT(ISNUMBER(F2340)),"",IF(AND(F2340&gt;0,MOD(F2340,1)=0),IF(F2340&gt;=700,5,IF(F2340&gt;=500,4,IF(F2340&gt;=350,3,IF(F2340&gt;=200,2,1)))),""))</x:f>
        <x:v>1</x:v>
      </x:c>
      <x:c r="S2340" s="1" t="str">
        <x:f>IF(COUNT(O2340:R2340)=4,SUM(O2340:R2340),"")</x:f>
      </x:c>
      <x:c r="T2340" s="1" t="str">
        <x:f>IF(OR(COUNT(O2340:R2340)&lt;&gt;4,COUNT('Top 15'!$B$35:$E$35)&lt;&gt;4,MIN('Top 15'!$B$35:$E$35)&lt;0,SUM('Top 15'!$B$35:$E$35)&lt;=0),"",ROUND(85*(O2340/30*'Top 15'!$B$35+P2340/25*'Top 15'!$C$35+Q2340/25*'Top 15'!$D$35+R2340/5*'Top 15'!$E$35)/SUM('Top 15'!$B$35:$E$35),6))</x:f>
      </x:c>
      <x:c r="U2340" s="1" t="str">
        <x:f>IF(A2340="","",IF(AND(M2340="Verified",N2340="Verified"),"Verified",IF(AND(M2340="Listed",N2340="Listed"),"Listed","Mixed")))</x:f>
        <x:v>Listed</x:v>
      </x:c>
      <x:c r="V2340" s="1" t="str">
        <x:f>IF(A2340="","",IF(AK2340&lt;&gt;1,"Duplicate source ID",IF(COUNTIFS('Staff Review'!$A$8:$A$507,A2340)&gt;1,"Duplicate review ID",IF(H2340&lt;&gt;"Yes","Outside scope",IF(J2340="Yes","Already served",IF(NOT(ISNUMBER(T2340)),"Missing data","Candidate"))))))</x:f>
        <x:v>Outside scope</x:v>
      </x:c>
      <x:c r="W2340" s="1" t="str">
        <x:f>IF(AL2340=0,"",1+COUNTIFS($AL$2051:$AL$2550,1,$T$2051:$T$2550,"&gt;"&amp;T2340)+COUNTIFS($AL$2051:$AL$2550,1,$T$2051:$T$2550,T2340,$G$2051:$G$2550,"&gt;"&amp;G2340)+COUNTIFS($AL$2051:$AL$2550,1,$T$2051:$T$2550,T2340,$G$2051:$G$2550,G2340,$F$2051:$F$2550,"&gt;"&amp;F2340)+COUNTIFS($AL$2051:$AL$2550,1,$T$2051:$T$2550,T2340,$G$2051:$G$2550,G2340,$F$2051:$F$2550,F2340,$AM$2051:$AM$2550,"&lt;"&amp;AM2340))</x:f>
      </x:c>
      <x:c r="X2340" s="1" t="str">
        <x:f>IF(AL2340=0,"",1+COUNTIFS($AL$2051:$AL$2550,1,$T$2051:$T$2550,"&gt;"&amp;T2340))</x:f>
      </x:c>
      <x:c r="Y2340" s="1" t="n">
        <x:f>IF(AND(H2340="Yes",OR(LEN('School Search'!$B$5)=0,ISNUMBER(SEARCH('School Search'!$B$5,B2340&amp;" "&amp;E2340&amp;" "&amp;A2340))),OR('School Search'!$D$5="All",C2340='School Search'!$D$5),OR('School Search'!$G$5="All eligible",AND('School Search'!$G$5="Not marked served",J2340&lt;&gt;"Yes"),AND('School Search'!$G$5="Missing data",V2340="Missing data"),AND('School Search'!$G$5="Marked served",J2340="Yes"))),1,0)</x:f>
        <x:v>0</x:v>
      </x:c>
      <x:c r="Z2340" s="1" t="str">
        <x:f>IF(Y2340=0,"",COUNTIFS($Y$2051:$Y$2550,1,$AO$2051:$AO$2550,"&lt;"&amp;AO2340)+COUNTIFS($Y$2051:Y2340,1,$AO$2051:AO2340,AO2340))</x:f>
      </x:c>
      <x:c r="AA2340" s="1" t="str">
        <x:f>IF(NOT(ISNUMBER(S2340)),"Missing demographic or access input",TEXT(G2340,"0%")&amp;" economic need; "&amp;TEXT(K2340,"0.00")&amp;" mi fresh access; "&amp;L2340&amp;" nearby resources")</x:f>
        <x:v>Missing demographic or access input</x:v>
      </x:c>
      <x:c r="AB2340" s="1" t="n">
        <x:f>IF(OR(A2340="",COUNTIFS($A$1531:$A$2030,A2340)&lt;&gt;1),0,MATCH(A2340,$A$1531:$A$2030,0))</x:f>
        <x:v>290</x:v>
      </x:c>
      <x:c r="AC2340" s="1" t="str">
        <x:f>IF(AB2340=0,"",INDEX($E$1531:$E$2030,AB2340))</x:f>
        <x:v>Target T3285</x:v>
      </x:c>
      <x:c r="AD2340" s="1" t="str">
        <x:f>IF(AB2340=0,"",INDEX($F$1531:$F$2030,AB2340))</x:f>
        <x:v>456 N 5th St, Philadelphia, PA, 19123</x:v>
      </x:c>
      <x:c r="AE2340" s="1" t="str">
        <x:f>IF(A2340="","",F291)</x:f>
        <x:v>444 N 3RD ST</x:v>
      </x:c>
      <x:c r="AF2340" s="1" t="n">
        <x:f>IF(ISNUMBER(I291),I291,"")</x:f>
        <x:v>39.958322</x:v>
      </x:c>
      <x:c r="AG2340" s="1" t="n">
        <x:f>IF(ISNUMBER(J291),J291,"")</x:f>
        <x:v>-75.144801</x:v>
      </x:c>
      <x:c r="AH2340" s="1" t="str">
        <x:f>IF(I2340=0,"Not contacted",IF(INDEX('Staff Review'!$J$8:$J$507,I2340)="","Not contacted",INDEX('Staff Review'!$J$8:$J$507,I2340)))</x:f>
        <x:v>Not contacted</x:v>
      </x:c>
      <x:c r="AI2340" s="1" t="str">
        <x:f>IF(I2340=0,"No",IF(AND(COUNT(INDEX('Staff Review'!$D$8:$D$507,I2340))=1,INDEX('Staff Review'!$D$8:$D$507,I2340)&gt;=0,COUNT(INDEX('Staff Review'!$E$8:$E$507,I2340))=1,INDEX('Staff Review'!$E$8:$E$507,I2340)&gt;0,INDEX('Staff Review'!$E$8:$E$507,I2340)&lt;='Top 15'!$E$5,'Top 15'!$E$5-INDEX('Staff Review'!$E$8:$E$507,I2340)&lt;='Top 15'!$H$5,LEN(INDEX('Staff Review'!$H$8:$H$507,I2340))&gt;0),"Yes","No"))</x:f>
        <x:v>No</x:v>
      </x:c>
      <x:c r="AJ2340" s="1" t="str">
        <x:f>IF(I2340=0,"No",IF(COUNT(INDEX('Staff Review'!$F$8:$F$507,I2340))&lt;&gt;1,"No",IF(AND(INDEX('Staff Review'!$F$8:$F$507,I2340)&gt;=0,MOD(INDEX('Staff Review'!$F$8:$F$507,I2340),1)=0,COUNT(INDEX('Staff Review'!$G$8:$G$507,I2340))=1,INDEX('Staff Review'!$G$8:$G$507,I2340)&gt;0,INDEX('Staff Review'!$G$8:$G$507,I2340)&lt;='Top 15'!$E$5,'Top 15'!$E$5-INDEX('Staff Review'!$G$8:$G$507,I2340)&lt;='Top 15'!$H$5,LEN(INDEX('Staff Review'!$H$8:$H$507,I2340))&gt;0),"Yes","No")))</x:f>
        <x:v>No</x:v>
      </x:c>
      <x:c r="AK2340" s="1" t="n">
        <x:f>IF(A2340="",0,COUNTIFS($A$2:$A$501,A2340))</x:f>
        <x:v>1</x:v>
      </x:c>
      <x:c r="AL2340" s="1" t="n">
        <x:f>IF(V2340="Candidate",1,0)</x:f>
        <x:v>0</x:v>
      </x:c>
      <x:c r="AM2340" s="1" t="n">
        <x:f>IF(A2340="",0,VALUE(A2340))</x:f>
        <x:v>8070</x:v>
      </x:c>
      <x:c r="AN2340" s="1" t="n">
        <x:f>IF(OR(A2340="",COUNTIFS($T$41:$T$540,A2340)&lt;&gt;1),0,MATCH(A2340,$T$41:$T$540,0))</x:f>
        <x:v>290</x:v>
      </x:c>
      <x:c r="AO2340" t="n">
        <x:f>IF(ISNUMBER(W2340),W2340,10000+AM2340)</x:f>
        <x:v>18070</x:v>
      </x:c>
    </x:row>
    <x:row r="2341" ht="22" customHeight="1">
      <x:c r="A2341" s="1" t="str">
        <x:f>IF(A292="","",A292)</x:f>
        <x:v>8080</x:v>
      </x:c>
      <x:c r="B2341" s="1" t="str">
        <x:f>IF(A2341="","",B292)</x:f>
        <x:v>Excel Academy North</x:v>
      </x:c>
      <x:c r="C2341" s="1" t="str">
        <x:f>IF(A2341="","",C292)</x:f>
        <x:v>Contracted</x:v>
      </x:c>
      <x:c r="D2341" s="1" t="str">
        <x:f>IF(A2341="","",E292)</x:f>
        <x:v>Transition/Overage School</x:v>
      </x:c>
      <x:c r="E2341" s="1" t="str">
        <x:f>IF(A2341="","",H292)</x:f>
        <x:v>19121</x:v>
      </x:c>
      <x:c r="F2341" s="1" t="n">
        <x:f>IF(ISNUMBER(K292),K292,"")</x:f>
        <x:v>189</x:v>
      </x:c>
      <x:c r="G2341" s="1" t="str">
        <x:f>IF(ISNUMBER(L292),L292,"")</x:f>
      </x:c>
      <x:c r="H2341" s="1" t="str">
        <x:f>IF(A2341="","",IF(AND(UPPER(G292)="PHILADELPHIA",OR(C2341="District",AND(C2341="Charter",D292="Yes"))),"Yes","No"))</x:f>
        <x:v>No</x:v>
      </x:c>
      <x:c r="I2341" s="1" t="n">
        <x:f>IF(OR(A2341="",COUNTIFS('Staff Review'!$A$8:$A$507,A2341)&lt;&gt;1),0,MATCH(A2341,'Staff Review'!$A$8:$A$507,0))</x:f>
        <x:v>68</x:v>
      </x:c>
      <x:c r="J2341" s="1" t="str">
        <x:f>IF(I2341=0,"No",IF(INDEX('Staff Review'!$C$8:$C$507,I2341)="Yes","Yes","No"))</x:f>
        <x:v>No</x:v>
      </x:c>
      <x:c r="K2341" s="1" t="n">
        <x:f>IF(AI2341="Yes",INDEX('Staff Review'!$D$8:$D$507,I2341),IF(AB2341=0,"",IF(COUNT(INDEX($C$1531:$C$2030,AB2341))=1,INDEX($C$1531:$C$2030,AB2341),"")))</x:f>
        <x:v>0.42951750596672367</x:v>
      </x:c>
      <x:c r="L2341" s="1" t="n">
        <x:f>IF(AJ2341="Yes",INDEX('Staff Review'!$F$8:$F$507,I2341),IF(AB2341=0,"",IF(COUNT(INDEX($G$1531:$G$2030,AB2341))=1,INDEX($G$1531:$G$2030,AB2341),"")))</x:f>
        <x:v>12</x:v>
      </x:c>
      <x:c r="M2341" s="1" t="str">
        <x:f>IF(A2341="","",IF(AI2341="Yes","Verified","Listed"))</x:f>
        <x:v>Listed</x:v>
      </x:c>
      <x:c r="N2341" s="1" t="str">
        <x:f>IF(A2341="","",IF(AJ2341="Yes","Verified","Listed"))</x:f>
        <x:v>Listed</x:v>
      </x:c>
      <x:c r="O2341" s="1" t="str">
        <x:f>IF(AND(ISNUMBER(G2341),G2341&gt;=0,G2341&lt;=1),IF(G2341&gt;=0.9,30,IF(G2341&gt;=0.8,25,IF(G2341&gt;=0.7,20,IF(G2341&gt;=0.6,15,IF(G2341&gt;=0.5,10,IF(G2341&gt;=0.4,5,0)))))),"")</x:f>
      </x:c>
      <x:c r="P2341" s="1" t="n">
        <x:f>IF(ISNUMBER(K2341),IF(K2341&lt;0,"",IF(K2341&gt;1,25,IF(K2341&gt;=0.75,20,IF(K2341&gt;=0.5,15,IF(K2341&gt;=0.25,10,5))))),"")</x:f>
        <x:v>10</x:v>
      </x:c>
      <x:c r="Q2341" s="1" t="n">
        <x:f>IF(NOT(ISNUMBER(L2341)),"",IF(AND(L2341&gt;=0,MOD(L2341,1)=0),MAX(0,25-5*L2341),""))</x:f>
        <x:v>0</x:v>
      </x:c>
      <x:c r="R2341" s="1" t="n">
        <x:f>IF(NOT(ISNUMBER(F2341)),"",IF(AND(F2341&gt;0,MOD(F2341,1)=0),IF(F2341&gt;=700,5,IF(F2341&gt;=500,4,IF(F2341&gt;=350,3,IF(F2341&gt;=200,2,1)))),""))</x:f>
        <x:v>1</x:v>
      </x:c>
      <x:c r="S2341" s="1" t="str">
        <x:f>IF(COUNT(O2341:R2341)=4,SUM(O2341:R2341),"")</x:f>
      </x:c>
      <x:c r="T2341" s="1" t="str">
        <x:f>IF(OR(COUNT(O2341:R2341)&lt;&gt;4,COUNT('Top 15'!$B$35:$E$35)&lt;&gt;4,MIN('Top 15'!$B$35:$E$35)&lt;0,SUM('Top 15'!$B$35:$E$35)&lt;=0),"",ROUND(85*(O2341/30*'Top 15'!$B$35+P2341/25*'Top 15'!$C$35+Q2341/25*'Top 15'!$D$35+R2341/5*'Top 15'!$E$35)/SUM('Top 15'!$B$35:$E$35),6))</x:f>
      </x:c>
      <x:c r="U2341" s="1" t="str">
        <x:f>IF(A2341="","",IF(AND(M2341="Verified",N2341="Verified"),"Verified",IF(AND(M2341="Listed",N2341="Listed"),"Listed","Mixed")))</x:f>
        <x:v>Listed</x:v>
      </x:c>
      <x:c r="V2341" s="1" t="str">
        <x:f>IF(A2341="","",IF(AK2341&lt;&gt;1,"Duplicate source ID",IF(COUNTIFS('Staff Review'!$A$8:$A$507,A2341)&gt;1,"Duplicate review ID",IF(H2341&lt;&gt;"Yes","Outside scope",IF(J2341="Yes","Already served",IF(NOT(ISNUMBER(T2341)),"Missing data","Candidate"))))))</x:f>
        <x:v>Outside scope</x:v>
      </x:c>
      <x:c r="W2341" s="1" t="str">
        <x:f>IF(AL2341=0,"",1+COUNTIFS($AL$2051:$AL$2550,1,$T$2051:$T$2550,"&gt;"&amp;T2341)+COUNTIFS($AL$2051:$AL$2550,1,$T$2051:$T$2550,T2341,$G$2051:$G$2550,"&gt;"&amp;G2341)+COUNTIFS($AL$2051:$AL$2550,1,$T$2051:$T$2550,T2341,$G$2051:$G$2550,G2341,$F$2051:$F$2550,"&gt;"&amp;F2341)+COUNTIFS($AL$2051:$AL$2550,1,$T$2051:$T$2550,T2341,$G$2051:$G$2550,G2341,$F$2051:$F$2550,F2341,$AM$2051:$AM$2550,"&lt;"&amp;AM2341))</x:f>
      </x:c>
      <x:c r="X2341" s="1" t="str">
        <x:f>IF(AL2341=0,"",1+COUNTIFS($AL$2051:$AL$2550,1,$T$2051:$T$2550,"&gt;"&amp;T2341))</x:f>
      </x:c>
      <x:c r="Y2341" s="1" t="n">
        <x:f>IF(AND(H2341="Yes",OR(LEN('School Search'!$B$5)=0,ISNUMBER(SEARCH('School Search'!$B$5,B2341&amp;" "&amp;E2341&amp;" "&amp;A2341))),OR('School Search'!$D$5="All",C2341='School Search'!$D$5),OR('School Search'!$G$5="All eligible",AND('School Search'!$G$5="Not marked served",J2341&lt;&gt;"Yes"),AND('School Search'!$G$5="Missing data",V2341="Missing data"),AND('School Search'!$G$5="Marked served",J2341="Yes"))),1,0)</x:f>
        <x:v>0</x:v>
      </x:c>
      <x:c r="Z2341" s="1" t="str">
        <x:f>IF(Y2341=0,"",COUNTIFS($Y$2051:$Y$2550,1,$AO$2051:$AO$2550,"&lt;"&amp;AO2341)+COUNTIFS($Y$2051:Y2341,1,$AO$2051:AO2341,AO2341))</x:f>
      </x:c>
      <x:c r="AA2341" s="1" t="str">
        <x:f>IF(NOT(ISNUMBER(S2341)),"Missing demographic or access input",TEXT(G2341,"0%")&amp;" economic need; "&amp;TEXT(K2341,"0.00")&amp;" mi fresh access; "&amp;L2341&amp;" nearby resources")</x:f>
        <x:v>Missing demographic or access input</x:v>
      </x:c>
      <x:c r="AB2341" s="1" t="n">
        <x:f>IF(OR(A2341="",COUNTIFS($A$1531:$A$2030,A2341)&lt;&gt;1),0,MATCH(A2341,$A$1531:$A$2030,0))</x:f>
        <x:v>291</x:v>
      </x:c>
      <x:c r="AC2341" s="1" t="str">
        <x:f>IF(AB2341=0,"",INDEX($E$1531:$E$2030,AB2341))</x:f>
        <x:v>Sharswood Grocery Outlet 731</x:v>
      </x:c>
      <x:c r="AD2341" s="1" t="str">
        <x:f>IF(AB2341=0,"",INDEX($F$1531:$F$2030,AB2341))</x:f>
        <x:v>2077 Ridge Ave, Philadelphia, PA, 19121</x:v>
      </x:c>
      <x:c r="AE2341" s="1" t="str">
        <x:f>IF(A2341="","",F292)</x:f>
        <x:v>1435 N 26TH ST</x:v>
      </x:c>
      <x:c r="AF2341" s="1" t="n">
        <x:f>IF(ISNUMBER(I292),I292,"")</x:f>
        <x:v>39.978134</x:v>
      </x:c>
      <x:c r="AG2341" s="1" t="n">
        <x:f>IF(ISNUMBER(J292),J292,"")</x:f>
        <x:v>-75.177658</x:v>
      </x:c>
      <x:c r="AH2341" s="1" t="str">
        <x:f>IF(I2341=0,"Not contacted",IF(INDEX('Staff Review'!$J$8:$J$507,I2341)="","Not contacted",INDEX('Staff Review'!$J$8:$J$507,I2341)))</x:f>
        <x:v>Not contacted</x:v>
      </x:c>
      <x:c r="AI2341" s="1" t="str">
        <x:f>IF(I2341=0,"No",IF(AND(COUNT(INDEX('Staff Review'!$D$8:$D$507,I2341))=1,INDEX('Staff Review'!$D$8:$D$507,I2341)&gt;=0,COUNT(INDEX('Staff Review'!$E$8:$E$507,I2341))=1,INDEX('Staff Review'!$E$8:$E$507,I2341)&gt;0,INDEX('Staff Review'!$E$8:$E$507,I2341)&lt;='Top 15'!$E$5,'Top 15'!$E$5-INDEX('Staff Review'!$E$8:$E$507,I2341)&lt;='Top 15'!$H$5,LEN(INDEX('Staff Review'!$H$8:$H$507,I2341))&gt;0),"Yes","No"))</x:f>
        <x:v>No</x:v>
      </x:c>
      <x:c r="AJ2341" s="1" t="str">
        <x:f>IF(I2341=0,"No",IF(COUNT(INDEX('Staff Review'!$F$8:$F$507,I2341))&lt;&gt;1,"No",IF(AND(INDEX('Staff Review'!$F$8:$F$507,I2341)&gt;=0,MOD(INDEX('Staff Review'!$F$8:$F$507,I2341),1)=0,COUNT(INDEX('Staff Review'!$G$8:$G$507,I2341))=1,INDEX('Staff Review'!$G$8:$G$507,I2341)&gt;0,INDEX('Staff Review'!$G$8:$G$507,I2341)&lt;='Top 15'!$E$5,'Top 15'!$E$5-INDEX('Staff Review'!$G$8:$G$507,I2341)&lt;='Top 15'!$H$5,LEN(INDEX('Staff Review'!$H$8:$H$507,I2341))&gt;0),"Yes","No")))</x:f>
        <x:v>No</x:v>
      </x:c>
      <x:c r="AK2341" s="1" t="n">
        <x:f>IF(A2341="",0,COUNTIFS($A$2:$A$501,A2341))</x:f>
        <x:v>1</x:v>
      </x:c>
      <x:c r="AL2341" s="1" t="n">
        <x:f>IF(V2341="Candidate",1,0)</x:f>
        <x:v>0</x:v>
      </x:c>
      <x:c r="AM2341" s="1" t="n">
        <x:f>IF(A2341="",0,VALUE(A2341))</x:f>
        <x:v>8080</x:v>
      </x:c>
      <x:c r="AN2341" s="1" t="n">
        <x:f>IF(OR(A2341="",COUNTIFS($T$41:$T$540,A2341)&lt;&gt;1),0,MATCH(A2341,$T$41:$T$540,0))</x:f>
        <x:v>291</x:v>
      </x:c>
      <x:c r="AO2341" t="n">
        <x:f>IF(ISNUMBER(W2341),W2341,10000+AM2341)</x:f>
        <x:v>18080</x:v>
      </x:c>
    </x:row>
    <x:row r="2342" ht="22" customHeight="1">
      <x:c r="A2342" s="1" t="str">
        <x:f>IF(A293="","",A293)</x:f>
        <x:v>8090</x:v>
      </x:c>
      <x:c r="B2342" s="1" t="str">
        <x:f>IF(A2342="","",B293)</x:f>
        <x:v>Swenson Arts and Technology High School</x:v>
      </x:c>
      <x:c r="C2342" s="1" t="str">
        <x:f>IF(A2342="","",C293)</x:f>
        <x:v>District</x:v>
      </x:c>
      <x:c r="D2342" s="1" t="str">
        <x:f>IF(A2342="","",E293)</x:f>
        <x:v>High</x:v>
      </x:c>
      <x:c r="E2342" s="1" t="str">
        <x:f>IF(A2342="","",H293)</x:f>
        <x:v>19114</x:v>
      </x:c>
      <x:c r="F2342" s="1" t="n">
        <x:f>IF(ISNUMBER(K293),K293,"")</x:f>
        <x:v>780</x:v>
      </x:c>
      <x:c r="G2342" s="1" t="n">
        <x:f>IF(ISNUMBER(L293),L293,"")</x:f>
        <x:v>0.7313</x:v>
      </x:c>
      <x:c r="H2342" s="1" t="str">
        <x:f>IF(A2342="","",IF(AND(UPPER(G293)="PHILADELPHIA",OR(C2342="District",AND(C2342="Charter",D293="Yes"))),"Yes","No"))</x:f>
        <x:v>Yes</x:v>
      </x:c>
      <x:c r="I2342" s="1" t="n">
        <x:f>IF(OR(A2342="",COUNTIFS('Staff Review'!$A$8:$A$507,A2342)&lt;&gt;1),0,MATCH(A2342,'Staff Review'!$A$8:$A$507,0))</x:f>
        <x:v>279</x:v>
      </x:c>
      <x:c r="J2342" s="1" t="str">
        <x:f>IF(I2342=0,"No",IF(INDEX('Staff Review'!$C$8:$C$507,I2342)="Yes","Yes","No"))</x:f>
        <x:v>No</x:v>
      </x:c>
      <x:c r="K2342" s="1" t="n">
        <x:f>IF(AI2342="Yes",INDEX('Staff Review'!$D$8:$D$507,I2342),IF(AB2342=0,"",IF(COUNT(INDEX($C$1531:$C$2030,AB2342))=1,INDEX($C$1531:$C$2030,AB2342),"")))</x:f>
        <x:v>0.7464393445321578</x:v>
      </x:c>
      <x:c r="L2342" s="1" t="n">
        <x:f>IF(AJ2342="Yes",INDEX('Staff Review'!$F$8:$F$507,I2342),IF(AB2342=0,"",IF(COUNT(INDEX($G$1531:$G$2030,AB2342))=1,INDEX($G$1531:$G$2030,AB2342),"")))</x:f>
        <x:v>2</x:v>
      </x:c>
      <x:c r="M2342" s="1" t="str">
        <x:f>IF(A2342="","",IF(AI2342="Yes","Verified","Listed"))</x:f>
        <x:v>Listed</x:v>
      </x:c>
      <x:c r="N2342" s="1" t="str">
        <x:f>IF(A2342="","",IF(AJ2342="Yes","Verified","Listed"))</x:f>
        <x:v>Listed</x:v>
      </x:c>
      <x:c r="O2342" s="1" t="n">
        <x:f>IF(AND(ISNUMBER(G2342),G2342&gt;=0,G2342&lt;=1),IF(G2342&gt;=0.9,30,IF(G2342&gt;=0.8,25,IF(G2342&gt;=0.7,20,IF(G2342&gt;=0.6,15,IF(G2342&gt;=0.5,10,IF(G2342&gt;=0.4,5,0)))))),"")</x:f>
        <x:v>20</x:v>
      </x:c>
      <x:c r="P2342" s="1" t="n">
        <x:f>IF(ISNUMBER(K2342),IF(K2342&lt;0,"",IF(K2342&gt;1,25,IF(K2342&gt;=0.75,20,IF(K2342&gt;=0.5,15,IF(K2342&gt;=0.25,10,5))))),"")</x:f>
        <x:v>15</x:v>
      </x:c>
      <x:c r="Q2342" s="1" t="n">
        <x:f>IF(NOT(ISNUMBER(L2342)),"",IF(AND(L2342&gt;=0,MOD(L2342,1)=0),MAX(0,25-5*L2342),""))</x:f>
        <x:v>15</x:v>
      </x:c>
      <x:c r="R2342" s="1" t="n">
        <x:f>IF(NOT(ISNUMBER(F2342)),"",IF(AND(F2342&gt;0,MOD(F2342,1)=0),IF(F2342&gt;=700,5,IF(F2342&gt;=500,4,IF(F2342&gt;=350,3,IF(F2342&gt;=200,2,1)))),""))</x:f>
        <x:v>5</x:v>
      </x:c>
      <x:c r="S2342" s="1" t="n">
        <x:f>IF(COUNT(O2342:R2342)=4,SUM(O2342:R2342),"")</x:f>
        <x:v>55</x:v>
      </x:c>
      <x:c r="T2342" s="1" t="n">
        <x:f>IF(OR(COUNT(O2342:R2342)&lt;&gt;4,COUNT('Top 15'!$B$35:$E$35)&lt;&gt;4,MIN('Top 15'!$B$35:$E$35)&lt;0,SUM('Top 15'!$B$35:$E$35)&lt;=0),"",ROUND(85*(O2342/30*'Top 15'!$B$35+P2342/25*'Top 15'!$C$35+Q2342/25*'Top 15'!$D$35+R2342/5*'Top 15'!$E$35)/SUM('Top 15'!$B$35:$E$35),6))</x:f>
        <x:v>55</x:v>
      </x:c>
      <x:c r="U2342" s="1" t="str">
        <x:f>IF(A2342="","",IF(AND(M2342="Verified",N2342="Verified"),"Verified",IF(AND(M2342="Listed",N2342="Listed"),"Listed","Mixed")))</x:f>
        <x:v>Listed</x:v>
      </x:c>
      <x:c r="V2342" s="1" t="str">
        <x:f>IF(A2342="","",IF(AK2342&lt;&gt;1,"Duplicate source ID",IF(COUNTIFS('Staff Review'!$A$8:$A$507,A2342)&gt;1,"Duplicate review ID",IF(H2342&lt;&gt;"Yes","Outside scope",IF(J2342="Yes","Already served",IF(NOT(ISNUMBER(T2342)),"Missing data","Candidate"))))))</x:f>
        <x:v>Candidate</x:v>
      </x:c>
      <x:c r="W2342" s="1" t="n">
        <x:f>IF(AL2342=0,"",1+COUNTIFS($AL$2051:$AL$2550,1,$T$2051:$T$2550,"&gt;"&amp;T2342)+COUNTIFS($AL$2051:$AL$2550,1,$T$2051:$T$2550,T2342,$G$2051:$G$2550,"&gt;"&amp;G2342)+COUNTIFS($AL$2051:$AL$2550,1,$T$2051:$T$2550,T2342,$G$2051:$G$2550,G2342,$F$2051:$F$2550,"&gt;"&amp;F2342)+COUNTIFS($AL$2051:$AL$2550,1,$T$2051:$T$2550,T2342,$G$2051:$G$2550,G2342,$F$2051:$F$2550,F2342,$AM$2051:$AM$2550,"&lt;"&amp;AM2342))</x:f>
        <x:v>28</x:v>
      </x:c>
      <x:c r="X2342" s="1" t="n">
        <x:f>IF(AL2342=0,"",1+COUNTIFS($AL$2051:$AL$2550,1,$T$2051:$T$2550,"&gt;"&amp;T2342))</x:f>
        <x:v>24</x:v>
      </x:c>
      <x:c r="Y2342" s="1" t="n">
        <x:f>IF(AND(H2342="Yes",OR(LEN('School Search'!$B$5)=0,ISNUMBER(SEARCH('School Search'!$B$5,B2342&amp;" "&amp;E2342&amp;" "&amp;A2342))),OR('School Search'!$D$5="All",C2342='School Search'!$D$5),OR('School Search'!$G$5="All eligible",AND('School Search'!$G$5="Not marked served",J2342&lt;&gt;"Yes"),AND('School Search'!$G$5="Missing data",V2342="Missing data"),AND('School Search'!$G$5="Marked served",J2342="Yes"))),1,0)</x:f>
        <x:v>1</x:v>
      </x:c>
      <x:c r="Z2342" s="1" t="n">
        <x:f>IF(Y2342=0,"",COUNTIFS($Y$2051:$Y$2550,1,$AO$2051:$AO$2550,"&lt;"&amp;AO2342)+COUNTIFS($Y$2051:Y2342,1,$AO$2051:AO2342,AO2342))</x:f>
        <x:v>28</x:v>
      </x:c>
      <x:c r="AA2342" s="1" t="str">
        <x:f>IF(NOT(ISNUMBER(S2342)),"Missing demographic or access input",TEXT(G2342,"0%")&amp;" economic need; "&amp;TEXT(K2342,"0.00")&amp;" mi fresh access; "&amp;L2342&amp;" nearby resources")</x:f>
        <x:v>73% economic need; 0.75 mi fresh access; 2 nearby resources</x:v>
      </x:c>
      <x:c r="AB2342" s="1" t="n">
        <x:f>IF(OR(A2342="",COUNTIFS($A$1531:$A$2030,A2342)&lt;&gt;1),0,MATCH(A2342,$A$1531:$A$2030,0))</x:f>
        <x:v>292</x:v>
      </x:c>
      <x:c r="AC2342" s="1" t="str">
        <x:f>IF(AB2342=0,"",INDEX($E$1531:$E$2030,AB2342))</x:f>
        <x:v>B Js Wholesale Club 22</x:v>
      </x:c>
      <x:c r="AD2342" s="1" t="str">
        <x:f>IF(AB2342=0,"",INDEX($F$1531:$F$2030,AB2342))</x:f>
        <x:v>2054 Red Lion Rd, Philadelphia, PA, 19115</x:v>
      </x:c>
      <x:c r="AE2342" s="1" t="str">
        <x:f>IF(A2342="","",F293)</x:f>
        <x:v>2750 RED LION RD</x:v>
      </x:c>
      <x:c r="AF2342" s="1" t="n">
        <x:f>IF(ISNUMBER(I293),I293,"")</x:f>
        <x:v>40.0921093</x:v>
      </x:c>
      <x:c r="AG2342" s="1" t="n">
        <x:f>IF(ISNUMBER(J293),J293,"")</x:f>
        <x:v>-75.01398863</x:v>
      </x:c>
      <x:c r="AH2342" s="1" t="str">
        <x:f>IF(I2342=0,"Not contacted",IF(INDEX('Staff Review'!$J$8:$J$507,I2342)="","Not contacted",INDEX('Staff Review'!$J$8:$J$507,I2342)))</x:f>
        <x:v>Not contacted</x:v>
      </x:c>
      <x:c r="AI2342" s="1" t="str">
        <x:f>IF(I2342=0,"No",IF(AND(COUNT(INDEX('Staff Review'!$D$8:$D$507,I2342))=1,INDEX('Staff Review'!$D$8:$D$507,I2342)&gt;=0,COUNT(INDEX('Staff Review'!$E$8:$E$507,I2342))=1,INDEX('Staff Review'!$E$8:$E$507,I2342)&gt;0,INDEX('Staff Review'!$E$8:$E$507,I2342)&lt;='Top 15'!$E$5,'Top 15'!$E$5-INDEX('Staff Review'!$E$8:$E$507,I2342)&lt;='Top 15'!$H$5,LEN(INDEX('Staff Review'!$H$8:$H$507,I2342))&gt;0),"Yes","No"))</x:f>
        <x:v>No</x:v>
      </x:c>
      <x:c r="AJ2342" s="1" t="str">
        <x:f>IF(I2342=0,"No",IF(COUNT(INDEX('Staff Review'!$F$8:$F$507,I2342))&lt;&gt;1,"No",IF(AND(INDEX('Staff Review'!$F$8:$F$507,I2342)&gt;=0,MOD(INDEX('Staff Review'!$F$8:$F$507,I2342),1)=0,COUNT(INDEX('Staff Review'!$G$8:$G$507,I2342))=1,INDEX('Staff Review'!$G$8:$G$507,I2342)&gt;0,INDEX('Staff Review'!$G$8:$G$507,I2342)&lt;='Top 15'!$E$5,'Top 15'!$E$5-INDEX('Staff Review'!$G$8:$G$507,I2342)&lt;='Top 15'!$H$5,LEN(INDEX('Staff Review'!$H$8:$H$507,I2342))&gt;0),"Yes","No")))</x:f>
        <x:v>No</x:v>
      </x:c>
      <x:c r="AK2342" s="1" t="n">
        <x:f>IF(A2342="",0,COUNTIFS($A$2:$A$501,A2342))</x:f>
        <x:v>1</x:v>
      </x:c>
      <x:c r="AL2342" s="1" t="n">
        <x:f>IF(V2342="Candidate",1,0)</x:f>
        <x:v>1</x:v>
      </x:c>
      <x:c r="AM2342" s="1" t="n">
        <x:f>IF(A2342="",0,VALUE(A2342))</x:f>
        <x:v>8090</x:v>
      </x:c>
      <x:c r="AN2342" s="1" t="n">
        <x:f>IF(OR(A2342="",COUNTIFS($T$41:$T$540,A2342)&lt;&gt;1),0,MATCH(A2342,$T$41:$T$540,0))</x:f>
        <x:v>292</x:v>
      </x:c>
      <x:c r="AO2342" t="n">
        <x:f>IF(ISNUMBER(W2342),W2342,10000+AM2342)</x:f>
        <x:v>28</x:v>
      </x:c>
    </x:row>
    <x:row r="2343" ht="22" customHeight="1">
      <x:c r="A2343" s="1" t="str">
        <x:f>IF(A294="","",A294)</x:f>
        <x:v>8100</x:v>
      </x:c>
      <x:c r="B2343" s="1" t="str">
        <x:f>IF(A2343="","",B294)</x:f>
        <x:v>Gateway to College - Community College of Philadelphia</x:v>
      </x:c>
      <x:c r="C2343" s="1" t="str">
        <x:f>IF(A2343="","",C294)</x:f>
        <x:v>Contracted</x:v>
      </x:c>
      <x:c r="D2343" s="1" t="str">
        <x:f>IF(A2343="","",E294)</x:f>
        <x:v>Transition/Overage School</x:v>
      </x:c>
      <x:c r="E2343" s="1" t="str">
        <x:f>IF(A2343="","",H294)</x:f>
        <x:v>19130</x:v>
      </x:c>
      <x:c r="F2343" s="1" t="n">
        <x:f>IF(ISNUMBER(K294),K294,"")</x:f>
        <x:v>66</x:v>
      </x:c>
      <x:c r="G2343" s="1" t="str">
        <x:f>IF(ISNUMBER(L294),L294,"")</x:f>
      </x:c>
      <x:c r="H2343" s="1" t="str">
        <x:f>IF(A2343="","",IF(AND(UPPER(G294)="PHILADELPHIA",OR(C2343="District",AND(C2343="Charter",D294="Yes"))),"Yes","No"))</x:f>
        <x:v>No</x:v>
      </x:c>
      <x:c r="I2343" s="1" t="n">
        <x:f>IF(OR(A2343="",COUNTIFS('Staff Review'!$A$8:$A$507,A2343)&lt;&gt;1),0,MATCH(A2343,'Staff Review'!$A$8:$A$507,0))</x:f>
        <x:v>88</x:v>
      </x:c>
      <x:c r="J2343" s="1" t="str">
        <x:f>IF(I2343=0,"No",IF(INDEX('Staff Review'!$C$8:$C$507,I2343)="Yes","Yes","No"))</x:f>
        <x:v>No</x:v>
      </x:c>
      <x:c r="K2343" s="1" t="n">
        <x:f>IF(AI2343="Yes",INDEX('Staff Review'!$D$8:$D$507,I2343),IF(AB2343=0,"",IF(COUNT(INDEX($C$1531:$C$2030,AB2343))=1,INDEX($C$1531:$C$2030,AB2343),"")))</x:f>
        <x:v>0.21434327892512375</x:v>
      </x:c>
      <x:c r="L2343" s="1" t="n">
        <x:f>IF(AJ2343="Yes",INDEX('Staff Review'!$F$8:$F$507,I2343),IF(AB2343=0,"",IF(COUNT(INDEX($G$1531:$G$2030,AB2343))=1,INDEX($G$1531:$G$2030,AB2343),"")))</x:f>
        <x:v>8</x:v>
      </x:c>
      <x:c r="M2343" s="1" t="str">
        <x:f>IF(A2343="","",IF(AI2343="Yes","Verified","Listed"))</x:f>
        <x:v>Listed</x:v>
      </x:c>
      <x:c r="N2343" s="1" t="str">
        <x:f>IF(A2343="","",IF(AJ2343="Yes","Verified","Listed"))</x:f>
        <x:v>Listed</x:v>
      </x:c>
      <x:c r="O2343" s="1" t="str">
        <x:f>IF(AND(ISNUMBER(G2343),G2343&gt;=0,G2343&lt;=1),IF(G2343&gt;=0.9,30,IF(G2343&gt;=0.8,25,IF(G2343&gt;=0.7,20,IF(G2343&gt;=0.6,15,IF(G2343&gt;=0.5,10,IF(G2343&gt;=0.4,5,0)))))),"")</x:f>
      </x:c>
      <x:c r="P2343" s="1" t="n">
        <x:f>IF(ISNUMBER(K2343),IF(K2343&lt;0,"",IF(K2343&gt;1,25,IF(K2343&gt;=0.75,20,IF(K2343&gt;=0.5,15,IF(K2343&gt;=0.25,10,5))))),"")</x:f>
        <x:v>5</x:v>
      </x:c>
      <x:c r="Q2343" s="1" t="n">
        <x:f>IF(NOT(ISNUMBER(L2343)),"",IF(AND(L2343&gt;=0,MOD(L2343,1)=0),MAX(0,25-5*L2343),""))</x:f>
        <x:v>0</x:v>
      </x:c>
      <x:c r="R2343" s="1" t="n">
        <x:f>IF(NOT(ISNUMBER(F2343)),"",IF(AND(F2343&gt;0,MOD(F2343,1)=0),IF(F2343&gt;=700,5,IF(F2343&gt;=500,4,IF(F2343&gt;=350,3,IF(F2343&gt;=200,2,1)))),""))</x:f>
        <x:v>1</x:v>
      </x:c>
      <x:c r="S2343" s="1" t="str">
        <x:f>IF(COUNT(O2343:R2343)=4,SUM(O2343:R2343),"")</x:f>
      </x:c>
      <x:c r="T2343" s="1" t="str">
        <x:f>IF(OR(COUNT(O2343:R2343)&lt;&gt;4,COUNT('Top 15'!$B$35:$E$35)&lt;&gt;4,MIN('Top 15'!$B$35:$E$35)&lt;0,SUM('Top 15'!$B$35:$E$35)&lt;=0),"",ROUND(85*(O2343/30*'Top 15'!$B$35+P2343/25*'Top 15'!$C$35+Q2343/25*'Top 15'!$D$35+R2343/5*'Top 15'!$E$35)/SUM('Top 15'!$B$35:$E$35),6))</x:f>
      </x:c>
      <x:c r="U2343" s="1" t="str">
        <x:f>IF(A2343="","",IF(AND(M2343="Verified",N2343="Verified"),"Verified",IF(AND(M2343="Listed",N2343="Listed"),"Listed","Mixed")))</x:f>
        <x:v>Listed</x:v>
      </x:c>
      <x:c r="V2343" s="1" t="str">
        <x:f>IF(A2343="","",IF(AK2343&lt;&gt;1,"Duplicate source ID",IF(COUNTIFS('Staff Review'!$A$8:$A$507,A2343)&gt;1,"Duplicate review ID",IF(H2343&lt;&gt;"Yes","Outside scope",IF(J2343="Yes","Already served",IF(NOT(ISNUMBER(T2343)),"Missing data","Candidate"))))))</x:f>
        <x:v>Outside scope</x:v>
      </x:c>
      <x:c r="W2343" s="1" t="str">
        <x:f>IF(AL2343=0,"",1+COUNTIFS($AL$2051:$AL$2550,1,$T$2051:$T$2550,"&gt;"&amp;T2343)+COUNTIFS($AL$2051:$AL$2550,1,$T$2051:$T$2550,T2343,$G$2051:$G$2550,"&gt;"&amp;G2343)+COUNTIFS($AL$2051:$AL$2550,1,$T$2051:$T$2550,T2343,$G$2051:$G$2550,G2343,$F$2051:$F$2550,"&gt;"&amp;F2343)+COUNTIFS($AL$2051:$AL$2550,1,$T$2051:$T$2550,T2343,$G$2051:$G$2550,G2343,$F$2051:$F$2550,F2343,$AM$2051:$AM$2550,"&lt;"&amp;AM2343))</x:f>
      </x:c>
      <x:c r="X2343" s="1" t="str">
        <x:f>IF(AL2343=0,"",1+COUNTIFS($AL$2051:$AL$2550,1,$T$2051:$T$2550,"&gt;"&amp;T2343))</x:f>
      </x:c>
      <x:c r="Y2343" s="1" t="n">
        <x:f>IF(AND(H2343="Yes",OR(LEN('School Search'!$B$5)=0,ISNUMBER(SEARCH('School Search'!$B$5,B2343&amp;" "&amp;E2343&amp;" "&amp;A2343))),OR('School Search'!$D$5="All",C2343='School Search'!$D$5),OR('School Search'!$G$5="All eligible",AND('School Search'!$G$5="Not marked served",J2343&lt;&gt;"Yes"),AND('School Search'!$G$5="Missing data",V2343="Missing data"),AND('School Search'!$G$5="Marked served",J2343="Yes"))),1,0)</x:f>
        <x:v>0</x:v>
      </x:c>
      <x:c r="Z2343" s="1" t="str">
        <x:f>IF(Y2343=0,"",COUNTIFS($Y$2051:$Y$2550,1,$AO$2051:$AO$2550,"&lt;"&amp;AO2343)+COUNTIFS($Y$2051:Y2343,1,$AO$2051:AO2343,AO2343))</x:f>
      </x:c>
      <x:c r="AA2343" s="1" t="str">
        <x:f>IF(NOT(ISNUMBER(S2343)),"Missing demographic or access input",TEXT(G2343,"0%")&amp;" economic need; "&amp;TEXT(K2343,"0.00")&amp;" mi fresh access; "&amp;L2343&amp;" nearby resources")</x:f>
        <x:v>Missing demographic or access input</x:v>
      </x:c>
      <x:c r="AB2343" s="1" t="n">
        <x:f>IF(OR(A2343="",COUNTIFS($A$1531:$A$2030,A2343)&lt;&gt;1),0,MATCH(A2343,$A$1531:$A$2030,0))</x:f>
        <x:v>293</x:v>
      </x:c>
      <x:c r="AC2343" s="1" t="str">
        <x:f>IF(AB2343=0,"",INDEX($E$1531:$E$2030,AB2343))</x:f>
        <x:v>Giant Food Store 6573</x:v>
      </x:c>
      <x:c r="AD2343" s="1" t="str">
        <x:f>IF(AB2343=0,"",INDEX($F$1531:$F$2030,AB2343))</x:f>
        <x:v>510 N Broad St, Philadelphia, PA, 19130</x:v>
      </x:c>
      <x:c r="AE2343" s="1" t="str">
        <x:f>IF(A2343="","",F294)</x:f>
        <x:v>1700 SPRING GARDEN ST</x:v>
      </x:c>
      <x:c r="AF2343" s="1" t="n">
        <x:f>IF(ISNUMBER(I294),I294,"")</x:f>
        <x:v>39.9629017</x:v>
      </x:c>
      <x:c r="AG2343" s="1" t="n">
        <x:f>IF(ISNUMBER(J294),J294,"")</x:f>
        <x:v>-75.16627046</x:v>
      </x:c>
      <x:c r="AH2343" s="1" t="str">
        <x:f>IF(I2343=0,"Not contacted",IF(INDEX('Staff Review'!$J$8:$J$507,I2343)="","Not contacted",INDEX('Staff Review'!$J$8:$J$507,I2343)))</x:f>
        <x:v>Not contacted</x:v>
      </x:c>
      <x:c r="AI2343" s="1" t="str">
        <x:f>IF(I2343=0,"No",IF(AND(COUNT(INDEX('Staff Review'!$D$8:$D$507,I2343))=1,INDEX('Staff Review'!$D$8:$D$507,I2343)&gt;=0,COUNT(INDEX('Staff Review'!$E$8:$E$507,I2343))=1,INDEX('Staff Review'!$E$8:$E$507,I2343)&gt;0,INDEX('Staff Review'!$E$8:$E$507,I2343)&lt;='Top 15'!$E$5,'Top 15'!$E$5-INDEX('Staff Review'!$E$8:$E$507,I2343)&lt;='Top 15'!$H$5,LEN(INDEX('Staff Review'!$H$8:$H$507,I2343))&gt;0),"Yes","No"))</x:f>
        <x:v>No</x:v>
      </x:c>
      <x:c r="AJ2343" s="1" t="str">
        <x:f>IF(I2343=0,"No",IF(COUNT(INDEX('Staff Review'!$F$8:$F$507,I2343))&lt;&gt;1,"No",IF(AND(INDEX('Staff Review'!$F$8:$F$507,I2343)&gt;=0,MOD(INDEX('Staff Review'!$F$8:$F$507,I2343),1)=0,COUNT(INDEX('Staff Review'!$G$8:$G$507,I2343))=1,INDEX('Staff Review'!$G$8:$G$507,I2343)&gt;0,INDEX('Staff Review'!$G$8:$G$507,I2343)&lt;='Top 15'!$E$5,'Top 15'!$E$5-INDEX('Staff Review'!$G$8:$G$507,I2343)&lt;='Top 15'!$H$5,LEN(INDEX('Staff Review'!$H$8:$H$507,I2343))&gt;0),"Yes","No")))</x:f>
        <x:v>No</x:v>
      </x:c>
      <x:c r="AK2343" s="1" t="n">
        <x:f>IF(A2343="",0,COUNTIFS($A$2:$A$501,A2343))</x:f>
        <x:v>1</x:v>
      </x:c>
      <x:c r="AL2343" s="1" t="n">
        <x:f>IF(V2343="Candidate",1,0)</x:f>
        <x:v>0</x:v>
      </x:c>
      <x:c r="AM2343" s="1" t="n">
        <x:f>IF(A2343="",0,VALUE(A2343))</x:f>
        <x:v>8100</x:v>
      </x:c>
      <x:c r="AN2343" s="1" t="n">
        <x:f>IF(OR(A2343="",COUNTIFS($T$41:$T$540,A2343)&lt;&gt;1),0,MATCH(A2343,$T$41:$T$540,0))</x:f>
        <x:v>293</x:v>
      </x:c>
      <x:c r="AO2343" t="n">
        <x:f>IF(ISNUMBER(W2343),W2343,10000+AM2343)</x:f>
        <x:v>18100</x:v>
      </x:c>
    </x:row>
    <x:row r="2344" ht="22" customHeight="1">
      <x:c r="A2344" s="1" t="str">
        <x:f>IF(A295="","",A295)</x:f>
        <x:v>8120</x:v>
      </x:c>
      <x:c r="B2344" s="1" t="str">
        <x:f>IF(A2344="","",B295)</x:f>
        <x:v>Castor Gardens Middle School</x:v>
      </x:c>
      <x:c r="C2344" s="1" t="str">
        <x:f>IF(A2344="","",C295)</x:f>
        <x:v>District</x:v>
      </x:c>
      <x:c r="D2344" s="1" t="str">
        <x:f>IF(A2344="","",E295)</x:f>
        <x:v>Middle</x:v>
      </x:c>
      <x:c r="E2344" s="1" t="str">
        <x:f>IF(A2344="","",H295)</x:f>
        <x:v>19111</x:v>
      </x:c>
      <x:c r="F2344" s="1" t="n">
        <x:f>IF(ISNUMBER(K295),K295,"")</x:f>
        <x:v>1340</x:v>
      </x:c>
      <x:c r="G2344" s="1" t="n">
        <x:f>IF(ISNUMBER(L295),L295,"")</x:f>
        <x:v>0.7573</x:v>
      </x:c>
      <x:c r="H2344" s="1" t="str">
        <x:f>IF(A2344="","",IF(AND(UPPER(G295)="PHILADELPHIA",OR(C2344="District",AND(C2344="Charter",D295="Yes"))),"Yes","No"))</x:f>
        <x:v>Yes</x:v>
      </x:c>
      <x:c r="I2344" s="1" t="n">
        <x:f>IF(OR(A2344="",COUNTIFS('Staff Review'!$A$8:$A$507,A2344)&lt;&gt;1),0,MATCH(A2344,'Staff Review'!$A$8:$A$507,0))</x:f>
        <x:v>37</x:v>
      </x:c>
      <x:c r="J2344" s="1" t="str">
        <x:f>IF(I2344=0,"No",IF(INDEX('Staff Review'!$C$8:$C$507,I2344)="Yes","Yes","No"))</x:f>
        <x:v>No</x:v>
      </x:c>
      <x:c r="K2344" s="1" t="n">
        <x:f>IF(AI2344="Yes",INDEX('Staff Review'!$D$8:$D$507,I2344),IF(AB2344=0,"",IF(COUNT(INDEX($C$1531:$C$2030,AB2344))=1,INDEX($C$1531:$C$2030,AB2344),"")))</x:f>
        <x:v>0.21854622660693576</x:v>
      </x:c>
      <x:c r="L2344" s="1" t="n">
        <x:f>IF(AJ2344="Yes",INDEX('Staff Review'!$F$8:$F$507,I2344),IF(AB2344=0,"",IF(COUNT(INDEX($G$1531:$G$2030,AB2344))=1,INDEX($G$1531:$G$2030,AB2344),"")))</x:f>
        <x:v>1</x:v>
      </x:c>
      <x:c r="M2344" s="1" t="str">
        <x:f>IF(A2344="","",IF(AI2344="Yes","Verified","Listed"))</x:f>
        <x:v>Listed</x:v>
      </x:c>
      <x:c r="N2344" s="1" t="str">
        <x:f>IF(A2344="","",IF(AJ2344="Yes","Verified","Listed"))</x:f>
        <x:v>Listed</x:v>
      </x:c>
      <x:c r="O2344" s="1" t="n">
        <x:f>IF(AND(ISNUMBER(G2344),G2344&gt;=0,G2344&lt;=1),IF(G2344&gt;=0.9,30,IF(G2344&gt;=0.8,25,IF(G2344&gt;=0.7,20,IF(G2344&gt;=0.6,15,IF(G2344&gt;=0.5,10,IF(G2344&gt;=0.4,5,0)))))),"")</x:f>
        <x:v>20</x:v>
      </x:c>
      <x:c r="P2344" s="1" t="n">
        <x:f>IF(ISNUMBER(K2344),IF(K2344&lt;0,"",IF(K2344&gt;1,25,IF(K2344&gt;=0.75,20,IF(K2344&gt;=0.5,15,IF(K2344&gt;=0.25,10,5))))),"")</x:f>
        <x:v>5</x:v>
      </x:c>
      <x:c r="Q2344" s="1" t="n">
        <x:f>IF(NOT(ISNUMBER(L2344)),"",IF(AND(L2344&gt;=0,MOD(L2344,1)=0),MAX(0,25-5*L2344),""))</x:f>
        <x:v>20</x:v>
      </x:c>
      <x:c r="R2344" s="1" t="n">
        <x:f>IF(NOT(ISNUMBER(F2344)),"",IF(AND(F2344&gt;0,MOD(F2344,1)=0),IF(F2344&gt;=700,5,IF(F2344&gt;=500,4,IF(F2344&gt;=350,3,IF(F2344&gt;=200,2,1)))),""))</x:f>
        <x:v>5</x:v>
      </x:c>
      <x:c r="S2344" s="1" t="n">
        <x:f>IF(COUNT(O2344:R2344)=4,SUM(O2344:R2344),"")</x:f>
        <x:v>50</x:v>
      </x:c>
      <x:c r="T2344" s="1" t="n">
        <x:f>IF(OR(COUNT(O2344:R2344)&lt;&gt;4,COUNT('Top 15'!$B$35:$E$35)&lt;&gt;4,MIN('Top 15'!$B$35:$E$35)&lt;0,SUM('Top 15'!$B$35:$E$35)&lt;=0),"",ROUND(85*(O2344/30*'Top 15'!$B$35+P2344/25*'Top 15'!$C$35+Q2344/25*'Top 15'!$D$35+R2344/5*'Top 15'!$E$35)/SUM('Top 15'!$B$35:$E$35),6))</x:f>
        <x:v>50</x:v>
      </x:c>
      <x:c r="U2344" s="1" t="str">
        <x:f>IF(A2344="","",IF(AND(M2344="Verified",N2344="Verified"),"Verified",IF(AND(M2344="Listed",N2344="Listed"),"Listed","Mixed")))</x:f>
        <x:v>Listed</x:v>
      </x:c>
      <x:c r="V2344" s="1" t="str">
        <x:f>IF(A2344="","",IF(AK2344&lt;&gt;1,"Duplicate source ID",IF(COUNTIFS('Staff Review'!$A$8:$A$507,A2344)&gt;1,"Duplicate review ID",IF(H2344&lt;&gt;"Yes","Outside scope",IF(J2344="Yes","Already served",IF(NOT(ISNUMBER(T2344)),"Missing data","Candidate"))))))</x:f>
        <x:v>Candidate</x:v>
      </x:c>
      <x:c r="W2344" s="1" t="n">
        <x:f>IF(AL2344=0,"",1+COUNTIFS($AL$2051:$AL$2550,1,$T$2051:$T$2550,"&gt;"&amp;T2344)+COUNTIFS($AL$2051:$AL$2550,1,$T$2051:$T$2550,T2344,$G$2051:$G$2550,"&gt;"&amp;G2344)+COUNTIFS($AL$2051:$AL$2550,1,$T$2051:$T$2550,T2344,$G$2051:$G$2550,G2344,$F$2051:$F$2550,"&gt;"&amp;F2344)+COUNTIFS($AL$2051:$AL$2550,1,$T$2051:$T$2550,T2344,$G$2051:$G$2550,G2344,$F$2051:$F$2550,F2344,$AM$2051:$AM$2550,"&lt;"&amp;AM2344))</x:f>
        <x:v>45</x:v>
      </x:c>
      <x:c r="X2344" s="1" t="n">
        <x:f>IF(AL2344=0,"",1+COUNTIFS($AL$2051:$AL$2550,1,$T$2051:$T$2550,"&gt;"&amp;T2344))</x:f>
        <x:v>39</x:v>
      </x:c>
      <x:c r="Y2344" s="1" t="n">
        <x:f>IF(AND(H2344="Yes",OR(LEN('School Search'!$B$5)=0,ISNUMBER(SEARCH('School Search'!$B$5,B2344&amp;" "&amp;E2344&amp;" "&amp;A2344))),OR('School Search'!$D$5="All",C2344='School Search'!$D$5),OR('School Search'!$G$5="All eligible",AND('School Search'!$G$5="Not marked served",J2344&lt;&gt;"Yes"),AND('School Search'!$G$5="Missing data",V2344="Missing data"),AND('School Search'!$G$5="Marked served",J2344="Yes"))),1,0)</x:f>
        <x:v>1</x:v>
      </x:c>
      <x:c r="Z2344" s="1" t="n">
        <x:f>IF(Y2344=0,"",COUNTIFS($Y$2051:$Y$2550,1,$AO$2051:$AO$2550,"&lt;"&amp;AO2344)+COUNTIFS($Y$2051:Y2344,1,$AO$2051:AO2344,AO2344))</x:f>
        <x:v>45</x:v>
      </x:c>
      <x:c r="AA2344" s="1" t="str">
        <x:f>IF(NOT(ISNUMBER(S2344)),"Missing demographic or access input",TEXT(G2344,"0%")&amp;" economic need; "&amp;TEXT(K2344,"0.00")&amp;" mi fresh access; "&amp;L2344&amp;" nearby resources")</x:f>
        <x:v>76% economic need; 0.22 mi fresh access; 1 nearby resources</x:v>
      </x:c>
      <x:c r="AB2344" s="1" t="n">
        <x:f>IF(OR(A2344="",COUNTIFS($A$1531:$A$2030,A2344)&lt;&gt;1),0,MATCH(A2344,$A$1531:$A$2030,0))</x:f>
        <x:v>294</x:v>
      </x:c>
      <x:c r="AC2344" s="1" t="str">
        <x:f>IF(AB2344=0,"",INDEX($E$1531:$E$2030,AB2344))</x:f>
        <x:v>Jumbo Meat Market</x:v>
      </x:c>
      <x:c r="AD2344" s="1" t="str">
        <x:f>IF(AB2344=0,"",INDEX($F$1531:$F$2030,AB2344))</x:f>
        <x:v>7322 Castor Ave, Philadelphia, PA, 19152</x:v>
      </x:c>
      <x:c r="AE2344" s="1" t="str">
        <x:f>IF(A2344="","",F295)</x:f>
        <x:v>1800 COTTMAN AVE</x:v>
      </x:c>
      <x:c r="AF2344" s="1" t="n">
        <x:f>IF(ISNUMBER(I295),I295,"")</x:f>
        <x:v>40.052367</x:v>
      </x:c>
      <x:c r="AG2344" s="1" t="n">
        <x:f>IF(ISNUMBER(J295),J295,"")</x:f>
        <x:v>-75.069086</x:v>
      </x:c>
      <x:c r="AH2344" s="1" t="str">
        <x:f>IF(I2344=0,"Not contacted",IF(INDEX('Staff Review'!$J$8:$J$507,I2344)="","Not contacted",INDEX('Staff Review'!$J$8:$J$507,I2344)))</x:f>
        <x:v>Not contacted</x:v>
      </x:c>
      <x:c r="AI2344" s="1" t="str">
        <x:f>IF(I2344=0,"No",IF(AND(COUNT(INDEX('Staff Review'!$D$8:$D$507,I2344))=1,INDEX('Staff Review'!$D$8:$D$507,I2344)&gt;=0,COUNT(INDEX('Staff Review'!$E$8:$E$507,I2344))=1,INDEX('Staff Review'!$E$8:$E$507,I2344)&gt;0,INDEX('Staff Review'!$E$8:$E$507,I2344)&lt;='Top 15'!$E$5,'Top 15'!$E$5-INDEX('Staff Review'!$E$8:$E$507,I2344)&lt;='Top 15'!$H$5,LEN(INDEX('Staff Review'!$H$8:$H$507,I2344))&gt;0),"Yes","No"))</x:f>
        <x:v>No</x:v>
      </x:c>
      <x:c r="AJ2344" s="1" t="str">
        <x:f>IF(I2344=0,"No",IF(COUNT(INDEX('Staff Review'!$F$8:$F$507,I2344))&lt;&gt;1,"No",IF(AND(INDEX('Staff Review'!$F$8:$F$507,I2344)&gt;=0,MOD(INDEX('Staff Review'!$F$8:$F$507,I2344),1)=0,COUNT(INDEX('Staff Review'!$G$8:$G$507,I2344))=1,INDEX('Staff Review'!$G$8:$G$507,I2344)&gt;0,INDEX('Staff Review'!$G$8:$G$507,I2344)&lt;='Top 15'!$E$5,'Top 15'!$E$5-INDEX('Staff Review'!$G$8:$G$507,I2344)&lt;='Top 15'!$H$5,LEN(INDEX('Staff Review'!$H$8:$H$507,I2344))&gt;0),"Yes","No")))</x:f>
        <x:v>No</x:v>
      </x:c>
      <x:c r="AK2344" s="1" t="n">
        <x:f>IF(A2344="",0,COUNTIFS($A$2:$A$501,A2344))</x:f>
        <x:v>1</x:v>
      </x:c>
      <x:c r="AL2344" s="1" t="n">
        <x:f>IF(V2344="Candidate",1,0)</x:f>
        <x:v>1</x:v>
      </x:c>
      <x:c r="AM2344" s="1" t="n">
        <x:f>IF(A2344="",0,VALUE(A2344))</x:f>
        <x:v>8120</x:v>
      </x:c>
      <x:c r="AN2344" s="1" t="n">
        <x:f>IF(OR(A2344="",COUNTIFS($T$41:$T$540,A2344)&lt;&gt;1),0,MATCH(A2344,$T$41:$T$540,0))</x:f>
        <x:v>294</x:v>
      </x:c>
      <x:c r="AO2344" t="n">
        <x:f>IF(ISNUMBER(W2344),W2344,10000+AM2344)</x:f>
        <x:v>45</x:v>
      </x:c>
    </x:row>
    <x:row r="2345" ht="22" customHeight="1">
      <x:c r="A2345" s="1" t="str">
        <x:f>IF(A296="","",A296)</x:f>
        <x:v>8130</x:v>
      </x:c>
      <x:c r="B2345" s="1" t="str">
        <x:f>IF(A2345="","",B296)</x:f>
        <x:v>Northeast Community Propel Academy</x:v>
      </x:c>
      <x:c r="C2345" s="1" t="str">
        <x:f>IF(A2345="","",C296)</x:f>
        <x:v>District</x:v>
      </x:c>
      <x:c r="D2345" s="1" t="str">
        <x:f>IF(A2345="","",E296)</x:f>
        <x:v>Elementary-Middle</x:v>
      </x:c>
      <x:c r="E2345" s="1" t="str">
        <x:f>IF(A2345="","",H296)</x:f>
        <x:v>19136</x:v>
      </x:c>
      <x:c r="F2345" s="1" t="n">
        <x:f>IF(ISNUMBER(K296),K296,"")</x:f>
        <x:v>1715</x:v>
      </x:c>
      <x:c r="G2345" s="1" t="n">
        <x:f>IF(ISNUMBER(L296),L296,"")</x:f>
        <x:v>0.7507</x:v>
      </x:c>
      <x:c r="H2345" s="1" t="str">
        <x:f>IF(A2345="","",IF(AND(UPPER(G296)="PHILADELPHIA",OR(C2345="District",AND(C2345="Charter",D296="Yes"))),"Yes","No"))</x:f>
        <x:v>Yes</x:v>
      </x:c>
      <x:c r="I2345" s="1" t="n">
        <x:f>IF(OR(A2345="",COUNTIFS('Staff Review'!$A$8:$A$507,A2345)&lt;&gt;1),0,MATCH(A2345,'Staff Review'!$A$8:$A$507,0))</x:f>
        <x:v>205</x:v>
      </x:c>
      <x:c r="J2345" s="1" t="str">
        <x:f>IF(I2345=0,"No",IF(INDEX('Staff Review'!$C$8:$C$507,I2345)="Yes","Yes","No"))</x:f>
        <x:v>No</x:v>
      </x:c>
      <x:c r="K2345" s="1" t="n">
        <x:f>IF(AI2345="Yes",INDEX('Staff Review'!$D$8:$D$507,I2345),IF(AB2345=0,"",IF(COUNT(INDEX($C$1531:$C$2030,AB2345))=1,INDEX($C$1531:$C$2030,AB2345),"")))</x:f>
        <x:v>0.6193303241956706</x:v>
      </x:c>
      <x:c r="L2345" s="1" t="n">
        <x:f>IF(AJ2345="Yes",INDEX('Staff Review'!$F$8:$F$507,I2345),IF(AB2345=0,"",IF(COUNT(INDEX($G$1531:$G$2030,AB2345))=1,INDEX($G$1531:$G$2030,AB2345),"")))</x:f>
        <x:v>2</x:v>
      </x:c>
      <x:c r="M2345" s="1" t="str">
        <x:f>IF(A2345="","",IF(AI2345="Yes","Verified","Listed"))</x:f>
        <x:v>Listed</x:v>
      </x:c>
      <x:c r="N2345" s="1" t="str">
        <x:f>IF(A2345="","",IF(AJ2345="Yes","Verified","Listed"))</x:f>
        <x:v>Listed</x:v>
      </x:c>
      <x:c r="O2345" s="1" t="n">
        <x:f>IF(AND(ISNUMBER(G2345),G2345&gt;=0,G2345&lt;=1),IF(G2345&gt;=0.9,30,IF(G2345&gt;=0.8,25,IF(G2345&gt;=0.7,20,IF(G2345&gt;=0.6,15,IF(G2345&gt;=0.5,10,IF(G2345&gt;=0.4,5,0)))))),"")</x:f>
        <x:v>20</x:v>
      </x:c>
      <x:c r="P2345" s="1" t="n">
        <x:f>IF(ISNUMBER(K2345),IF(K2345&lt;0,"",IF(K2345&gt;1,25,IF(K2345&gt;=0.75,20,IF(K2345&gt;=0.5,15,IF(K2345&gt;=0.25,10,5))))),"")</x:f>
        <x:v>15</x:v>
      </x:c>
      <x:c r="Q2345" s="1" t="n">
        <x:f>IF(NOT(ISNUMBER(L2345)),"",IF(AND(L2345&gt;=0,MOD(L2345,1)=0),MAX(0,25-5*L2345),""))</x:f>
        <x:v>15</x:v>
      </x:c>
      <x:c r="R2345" s="1" t="n">
        <x:f>IF(NOT(ISNUMBER(F2345)),"",IF(AND(F2345&gt;0,MOD(F2345,1)=0),IF(F2345&gt;=700,5,IF(F2345&gt;=500,4,IF(F2345&gt;=350,3,IF(F2345&gt;=200,2,1)))),""))</x:f>
        <x:v>5</x:v>
      </x:c>
      <x:c r="S2345" s="1" t="n">
        <x:f>IF(COUNT(O2345:R2345)=4,SUM(O2345:R2345),"")</x:f>
        <x:v>55</x:v>
      </x:c>
      <x:c r="T2345" s="1" t="n">
        <x:f>IF(OR(COUNT(O2345:R2345)&lt;&gt;4,COUNT('Top 15'!$B$35:$E$35)&lt;&gt;4,MIN('Top 15'!$B$35:$E$35)&lt;0,SUM('Top 15'!$B$35:$E$35)&lt;=0),"",ROUND(85*(O2345/30*'Top 15'!$B$35+P2345/25*'Top 15'!$C$35+Q2345/25*'Top 15'!$D$35+R2345/5*'Top 15'!$E$35)/SUM('Top 15'!$B$35:$E$35),6))</x:f>
        <x:v>55</x:v>
      </x:c>
      <x:c r="U2345" s="1" t="str">
        <x:f>IF(A2345="","",IF(AND(M2345="Verified",N2345="Verified"),"Verified",IF(AND(M2345="Listed",N2345="Listed"),"Listed","Mixed")))</x:f>
        <x:v>Listed</x:v>
      </x:c>
      <x:c r="V2345" s="1" t="str">
        <x:f>IF(A2345="","",IF(AK2345&lt;&gt;1,"Duplicate source ID",IF(COUNTIFS('Staff Review'!$A$8:$A$507,A2345)&gt;1,"Duplicate review ID",IF(H2345&lt;&gt;"Yes","Outside scope",IF(J2345="Yes","Already served",IF(NOT(ISNUMBER(T2345)),"Missing data","Candidate"))))))</x:f>
        <x:v>Candidate</x:v>
      </x:c>
      <x:c r="W2345" s="1" t="n">
        <x:f>IF(AL2345=0,"",1+COUNTIFS($AL$2051:$AL$2550,1,$T$2051:$T$2550,"&gt;"&amp;T2345)+COUNTIFS($AL$2051:$AL$2550,1,$T$2051:$T$2550,T2345,$G$2051:$G$2550,"&gt;"&amp;G2345)+COUNTIFS($AL$2051:$AL$2550,1,$T$2051:$T$2550,T2345,$G$2051:$G$2550,G2345,$F$2051:$F$2550,"&gt;"&amp;F2345)+COUNTIFS($AL$2051:$AL$2550,1,$T$2051:$T$2550,T2345,$G$2051:$G$2550,G2345,$F$2051:$F$2550,F2345,$AM$2051:$AM$2550,"&lt;"&amp;AM2345))</x:f>
        <x:v>26</x:v>
      </x:c>
      <x:c r="X2345" s="1" t="n">
        <x:f>IF(AL2345=0,"",1+COUNTIFS($AL$2051:$AL$2550,1,$T$2051:$T$2550,"&gt;"&amp;T2345))</x:f>
        <x:v>24</x:v>
      </x:c>
      <x:c r="Y2345" s="1" t="n">
        <x:f>IF(AND(H2345="Yes",OR(LEN('School Search'!$B$5)=0,ISNUMBER(SEARCH('School Search'!$B$5,B2345&amp;" "&amp;E2345&amp;" "&amp;A2345))),OR('School Search'!$D$5="All",C2345='School Search'!$D$5),OR('School Search'!$G$5="All eligible",AND('School Search'!$G$5="Not marked served",J2345&lt;&gt;"Yes"),AND('School Search'!$G$5="Missing data",V2345="Missing data"),AND('School Search'!$G$5="Marked served",J2345="Yes"))),1,0)</x:f>
        <x:v>1</x:v>
      </x:c>
      <x:c r="Z2345" s="1" t="n">
        <x:f>IF(Y2345=0,"",COUNTIFS($Y$2051:$Y$2550,1,$AO$2051:$AO$2550,"&lt;"&amp;AO2345)+COUNTIFS($Y$2051:Y2345,1,$AO$2051:AO2345,AO2345))</x:f>
        <x:v>26</x:v>
      </x:c>
      <x:c r="AA2345" s="1" t="str">
        <x:f>IF(NOT(ISNUMBER(S2345)),"Missing demographic or access input",TEXT(G2345,"0%")&amp;" economic need; "&amp;TEXT(K2345,"0.00")&amp;" mi fresh access; "&amp;L2345&amp;" nearby resources")</x:f>
        <x:v>75% economic need; 0.62 mi fresh access; 2 nearby resources</x:v>
      </x:c>
      <x:c r="AB2345" s="1" t="n">
        <x:f>IF(OR(A2345="",COUNTIFS($A$1531:$A$2030,A2345)&lt;&gt;1),0,MATCH(A2345,$A$1531:$A$2030,0))</x:f>
        <x:v>295</x:v>
      </x:c>
      <x:c r="AC2345" s="1" t="str">
        <x:f>IF(AB2345=0,"",INDEX($E$1531:$E$2030,AB2345))</x:f>
        <x:v>No.1 Asian Supermarket Inc</x:v>
      </x:c>
      <x:c r="AD2345" s="1" t="str">
        <x:f>IF(AB2345=0,"",INDEX($F$1531:$F$2030,AB2345))</x:f>
        <x:v>2842 Saint Vincent St, Philadelphia, PA, 19149</x:v>
      </x:c>
      <x:c r="AE2345" s="1" t="str">
        <x:f>IF(A2345="","",F296)</x:f>
        <x:v>7500 ROWLAND AVE</x:v>
      </x:c>
      <x:c r="AF2345" s="1" t="n">
        <x:f>IF(ISNUMBER(I296),I296,"")</x:f>
        <x:v>40.04577529</x:v>
      </x:c>
      <x:c r="AG2345" s="1" t="n">
        <x:f>IF(ISNUMBER(J296),J296,"")</x:f>
        <x:v>-75.04413273</x:v>
      </x:c>
      <x:c r="AH2345" s="1" t="str">
        <x:f>IF(I2345=0,"Not contacted",IF(INDEX('Staff Review'!$J$8:$J$507,I2345)="","Not contacted",INDEX('Staff Review'!$J$8:$J$507,I2345)))</x:f>
        <x:v>Not contacted</x:v>
      </x:c>
      <x:c r="AI2345" s="1" t="str">
        <x:f>IF(I2345=0,"No",IF(AND(COUNT(INDEX('Staff Review'!$D$8:$D$507,I2345))=1,INDEX('Staff Review'!$D$8:$D$507,I2345)&gt;=0,COUNT(INDEX('Staff Review'!$E$8:$E$507,I2345))=1,INDEX('Staff Review'!$E$8:$E$507,I2345)&gt;0,INDEX('Staff Review'!$E$8:$E$507,I2345)&lt;='Top 15'!$E$5,'Top 15'!$E$5-INDEX('Staff Review'!$E$8:$E$507,I2345)&lt;='Top 15'!$H$5,LEN(INDEX('Staff Review'!$H$8:$H$507,I2345))&gt;0),"Yes","No"))</x:f>
        <x:v>No</x:v>
      </x:c>
      <x:c r="AJ2345" s="1" t="str">
        <x:f>IF(I2345=0,"No",IF(COUNT(INDEX('Staff Review'!$F$8:$F$507,I2345))&lt;&gt;1,"No",IF(AND(INDEX('Staff Review'!$F$8:$F$507,I2345)&gt;=0,MOD(INDEX('Staff Review'!$F$8:$F$507,I2345),1)=0,COUNT(INDEX('Staff Review'!$G$8:$G$507,I2345))=1,INDEX('Staff Review'!$G$8:$G$507,I2345)&gt;0,INDEX('Staff Review'!$G$8:$G$507,I2345)&lt;='Top 15'!$E$5,'Top 15'!$E$5-INDEX('Staff Review'!$G$8:$G$507,I2345)&lt;='Top 15'!$H$5,LEN(INDEX('Staff Review'!$H$8:$H$507,I2345))&gt;0),"Yes","No")))</x:f>
        <x:v>No</x:v>
      </x:c>
      <x:c r="AK2345" s="1" t="n">
        <x:f>IF(A2345="",0,COUNTIFS($A$2:$A$501,A2345))</x:f>
        <x:v>1</x:v>
      </x:c>
      <x:c r="AL2345" s="1" t="n">
        <x:f>IF(V2345="Candidate",1,0)</x:f>
        <x:v>1</x:v>
      </x:c>
      <x:c r="AM2345" s="1" t="n">
        <x:f>IF(A2345="",0,VALUE(A2345))</x:f>
        <x:v>8130</x:v>
      </x:c>
      <x:c r="AN2345" s="1" t="n">
        <x:f>IF(OR(A2345="",COUNTIFS($T$41:$T$540,A2345)&lt;&gt;1),0,MATCH(A2345,$T$41:$T$540,0))</x:f>
        <x:v>295</x:v>
      </x:c>
      <x:c r="AO2345" t="n">
        <x:f>IF(ISNUMBER(W2345),W2345,10000+AM2345)</x:f>
        <x:v>26</x:v>
      </x:c>
    </x:row>
    <x:row r="2346" ht="22" customHeight="1">
      <x:c r="A2346" s="1" t="str">
        <x:f>IF(A297="","",A297)</x:f>
        <x:v>8160</x:v>
      </x:c>
      <x:c r="B2346" s="1" t="str">
        <x:f>IF(A2346="","",B297)</x:f>
        <x:v>Charles C.A. Baldi Middle School</x:v>
      </x:c>
      <x:c r="C2346" s="1" t="str">
        <x:f>IF(A2346="","",C297)</x:f>
        <x:v>District</x:v>
      </x:c>
      <x:c r="D2346" s="1" t="str">
        <x:f>IF(A2346="","",E297)</x:f>
        <x:v>Middle</x:v>
      </x:c>
      <x:c r="E2346" s="1" t="str">
        <x:f>IF(A2346="","",H297)</x:f>
        <x:v>19115</x:v>
      </x:c>
      <x:c r="F2346" s="1" t="n">
        <x:f>IF(ISNUMBER(K297),K297,"")</x:f>
        <x:v>1424</x:v>
      </x:c>
      <x:c r="G2346" s="1" t="n">
        <x:f>IF(ISNUMBER(L297),L297,"")</x:f>
        <x:v>0.6683</x:v>
      </x:c>
      <x:c r="H2346" s="1" t="str">
        <x:f>IF(A2346="","",IF(AND(UPPER(G297)="PHILADELPHIA",OR(C2346="District",AND(C2346="Charter",D297="Yes"))),"Yes","No"))</x:f>
        <x:v>Yes</x:v>
      </x:c>
      <x:c r="I2346" s="1" t="n">
        <x:f>IF(OR(A2346="",COUNTIFS('Staff Review'!$A$8:$A$507,A2346)&lt;&gt;1),0,MATCH(A2346,'Staff Review'!$A$8:$A$507,0))</x:f>
        <x:v>40</x:v>
      </x:c>
      <x:c r="J2346" s="1" t="str">
        <x:f>IF(I2346=0,"No",IF(INDEX('Staff Review'!$C$8:$C$507,I2346)="Yes","Yes","No"))</x:f>
        <x:v>No</x:v>
      </x:c>
      <x:c r="K2346" s="1" t="n">
        <x:f>IF(AI2346="Yes",INDEX('Staff Review'!$D$8:$D$507,I2346),IF(AB2346=0,"",IF(COUNT(INDEX($C$1531:$C$2030,AB2346))=1,INDEX($C$1531:$C$2030,AB2346),"")))</x:f>
        <x:v>0.5635164058751747</x:v>
      </x:c>
      <x:c r="L2346" s="1" t="n">
        <x:f>IF(AJ2346="Yes",INDEX('Staff Review'!$F$8:$F$507,I2346),IF(AB2346=0,"",IF(COUNT(INDEX($G$1531:$G$2030,AB2346))=1,INDEX($G$1531:$G$2030,AB2346),"")))</x:f>
        <x:v>0</x:v>
      </x:c>
      <x:c r="M2346" s="1" t="str">
        <x:f>IF(A2346="","",IF(AI2346="Yes","Verified","Listed"))</x:f>
        <x:v>Listed</x:v>
      </x:c>
      <x:c r="N2346" s="1" t="str">
        <x:f>IF(A2346="","",IF(AJ2346="Yes","Verified","Listed"))</x:f>
        <x:v>Listed</x:v>
      </x:c>
      <x:c r="O2346" s="1" t="n">
        <x:f>IF(AND(ISNUMBER(G2346),G2346&gt;=0,G2346&lt;=1),IF(G2346&gt;=0.9,30,IF(G2346&gt;=0.8,25,IF(G2346&gt;=0.7,20,IF(G2346&gt;=0.6,15,IF(G2346&gt;=0.5,10,IF(G2346&gt;=0.4,5,0)))))),"")</x:f>
        <x:v>15</x:v>
      </x:c>
      <x:c r="P2346" s="1" t="n">
        <x:f>IF(ISNUMBER(K2346),IF(K2346&lt;0,"",IF(K2346&gt;1,25,IF(K2346&gt;=0.75,20,IF(K2346&gt;=0.5,15,IF(K2346&gt;=0.25,10,5))))),"")</x:f>
        <x:v>15</x:v>
      </x:c>
      <x:c r="Q2346" s="1" t="n">
        <x:f>IF(NOT(ISNUMBER(L2346)),"",IF(AND(L2346&gt;=0,MOD(L2346,1)=0),MAX(0,25-5*L2346),""))</x:f>
        <x:v>25</x:v>
      </x:c>
      <x:c r="R2346" s="1" t="n">
        <x:f>IF(NOT(ISNUMBER(F2346)),"",IF(AND(F2346&gt;0,MOD(F2346,1)=0),IF(F2346&gt;=700,5,IF(F2346&gt;=500,4,IF(F2346&gt;=350,3,IF(F2346&gt;=200,2,1)))),""))</x:f>
        <x:v>5</x:v>
      </x:c>
      <x:c r="S2346" s="1" t="n">
        <x:f>IF(COUNT(O2346:R2346)=4,SUM(O2346:R2346),"")</x:f>
        <x:v>60</x:v>
      </x:c>
      <x:c r="T2346" s="1" t="n">
        <x:f>IF(OR(COUNT(O2346:R2346)&lt;&gt;4,COUNT('Top 15'!$B$35:$E$35)&lt;&gt;4,MIN('Top 15'!$B$35:$E$35)&lt;0,SUM('Top 15'!$B$35:$E$35)&lt;=0),"",ROUND(85*(O2346/30*'Top 15'!$B$35+P2346/25*'Top 15'!$C$35+Q2346/25*'Top 15'!$D$35+R2346/5*'Top 15'!$E$35)/SUM('Top 15'!$B$35:$E$35),6))</x:f>
        <x:v>60</x:v>
      </x:c>
      <x:c r="U2346" s="1" t="str">
        <x:f>IF(A2346="","",IF(AND(M2346="Verified",N2346="Verified"),"Verified",IF(AND(M2346="Listed",N2346="Listed"),"Listed","Mixed")))</x:f>
        <x:v>Listed</x:v>
      </x:c>
      <x:c r="V2346" s="1" t="str">
        <x:f>IF(A2346="","",IF(AK2346&lt;&gt;1,"Duplicate source ID",IF(COUNTIFS('Staff Review'!$A$8:$A$507,A2346)&gt;1,"Duplicate review ID",IF(H2346&lt;&gt;"Yes","Outside scope",IF(J2346="Yes","Already served",IF(NOT(ISNUMBER(T2346)),"Missing data","Candidate"))))))</x:f>
        <x:v>Candidate</x:v>
      </x:c>
      <x:c r="W2346" s="1" t="n">
        <x:f>IF(AL2346=0,"",1+COUNTIFS($AL$2051:$AL$2550,1,$T$2051:$T$2550,"&gt;"&amp;T2346)+COUNTIFS($AL$2051:$AL$2550,1,$T$2051:$T$2550,T2346,$G$2051:$G$2550,"&gt;"&amp;G2346)+COUNTIFS($AL$2051:$AL$2550,1,$T$2051:$T$2550,T2346,$G$2051:$G$2550,G2346,$F$2051:$F$2550,"&gt;"&amp;F2346)+COUNTIFS($AL$2051:$AL$2550,1,$T$2051:$T$2550,T2346,$G$2051:$G$2550,G2346,$F$2051:$F$2550,F2346,$AM$2051:$AM$2550,"&lt;"&amp;AM2346))</x:f>
        <x:v>14</x:v>
      </x:c>
      <x:c r="X2346" s="1" t="n">
        <x:f>IF(AL2346=0,"",1+COUNTIFS($AL$2051:$AL$2550,1,$T$2051:$T$2550,"&gt;"&amp;T2346))</x:f>
        <x:v>10</x:v>
      </x:c>
      <x:c r="Y2346" s="1" t="n">
        <x:f>IF(AND(H2346="Yes",OR(LEN('School Search'!$B$5)=0,ISNUMBER(SEARCH('School Search'!$B$5,B2346&amp;" "&amp;E2346&amp;" "&amp;A2346))),OR('School Search'!$D$5="All",C2346='School Search'!$D$5),OR('School Search'!$G$5="All eligible",AND('School Search'!$G$5="Not marked served",J2346&lt;&gt;"Yes"),AND('School Search'!$G$5="Missing data",V2346="Missing data"),AND('School Search'!$G$5="Marked served",J2346="Yes"))),1,0)</x:f>
        <x:v>1</x:v>
      </x:c>
      <x:c r="Z2346" s="1" t="n">
        <x:f>IF(Y2346=0,"",COUNTIFS($Y$2051:$Y$2550,1,$AO$2051:$AO$2550,"&lt;"&amp;AO2346)+COUNTIFS($Y$2051:Y2346,1,$AO$2051:AO2346,AO2346))</x:f>
        <x:v>14</x:v>
      </x:c>
      <x:c r="AA2346" s="1" t="str">
        <x:f>IF(NOT(ISNUMBER(S2346)),"Missing demographic or access input",TEXT(G2346,"0%")&amp;" economic need; "&amp;TEXT(K2346,"0.00")&amp;" mi fresh access; "&amp;L2346&amp;" nearby resources")</x:f>
        <x:v>67% economic need; 0.56 mi fresh access; 0 nearby resources</x:v>
      </x:c>
      <x:c r="AB2346" s="1" t="n">
        <x:f>IF(OR(A2346="",COUNTIFS($A$1531:$A$2030,A2346)&lt;&gt;1),0,MATCH(A2346,$A$1531:$A$2030,0))</x:f>
        <x:v>296</x:v>
      </x:c>
      <x:c r="AC2346" s="1" t="str">
        <x:f>IF(AB2346=0,"",INDEX($E$1531:$E$2030,AB2346))</x:f>
        <x:v>Kashmir Garden Super Market Inc</x:v>
      </x:c>
      <x:c r="AD2346" s="1" t="str">
        <x:f>IF(AB2346=0,"",INDEX($F$1531:$F$2030,AB2346))</x:f>
        <x:v>9325 Krewstown Rd, Philadelphia, PA, 19115</x:v>
      </x:c>
      <x:c r="AE2346" s="1" t="str">
        <x:f>IF(A2346="","",F297)</x:f>
        <x:v>8801 VERREE RD</x:v>
      </x:c>
      <x:c r="AF2346" s="1" t="n">
        <x:f>IF(ISNUMBER(I297),I297,"")</x:f>
        <x:v>40.09331609</x:v>
      </x:c>
      <x:c r="AG2346" s="1" t="n">
        <x:f>IF(ISNUMBER(J297),J297,"")</x:f>
        <x:v>-75.05217234</x:v>
      </x:c>
      <x:c r="AH2346" s="1" t="str">
        <x:f>IF(I2346=0,"Not contacted",IF(INDEX('Staff Review'!$J$8:$J$507,I2346)="","Not contacted",INDEX('Staff Review'!$J$8:$J$507,I2346)))</x:f>
        <x:v>Not contacted</x:v>
      </x:c>
      <x:c r="AI2346" s="1" t="str">
        <x:f>IF(I2346=0,"No",IF(AND(COUNT(INDEX('Staff Review'!$D$8:$D$507,I2346))=1,INDEX('Staff Review'!$D$8:$D$507,I2346)&gt;=0,COUNT(INDEX('Staff Review'!$E$8:$E$507,I2346))=1,INDEX('Staff Review'!$E$8:$E$507,I2346)&gt;0,INDEX('Staff Review'!$E$8:$E$507,I2346)&lt;='Top 15'!$E$5,'Top 15'!$E$5-INDEX('Staff Review'!$E$8:$E$507,I2346)&lt;='Top 15'!$H$5,LEN(INDEX('Staff Review'!$H$8:$H$507,I2346))&gt;0),"Yes","No"))</x:f>
        <x:v>No</x:v>
      </x:c>
      <x:c r="AJ2346" s="1" t="str">
        <x:f>IF(I2346=0,"No",IF(COUNT(INDEX('Staff Review'!$F$8:$F$507,I2346))&lt;&gt;1,"No",IF(AND(INDEX('Staff Review'!$F$8:$F$507,I2346)&gt;=0,MOD(INDEX('Staff Review'!$F$8:$F$507,I2346),1)=0,COUNT(INDEX('Staff Review'!$G$8:$G$507,I2346))=1,INDEX('Staff Review'!$G$8:$G$507,I2346)&gt;0,INDEX('Staff Review'!$G$8:$G$507,I2346)&lt;='Top 15'!$E$5,'Top 15'!$E$5-INDEX('Staff Review'!$G$8:$G$507,I2346)&lt;='Top 15'!$H$5,LEN(INDEX('Staff Review'!$H$8:$H$507,I2346))&gt;0),"Yes","No")))</x:f>
        <x:v>No</x:v>
      </x:c>
      <x:c r="AK2346" s="1" t="n">
        <x:f>IF(A2346="",0,COUNTIFS($A$2:$A$501,A2346))</x:f>
        <x:v>1</x:v>
      </x:c>
      <x:c r="AL2346" s="1" t="n">
        <x:f>IF(V2346="Candidate",1,0)</x:f>
        <x:v>1</x:v>
      </x:c>
      <x:c r="AM2346" s="1" t="n">
        <x:f>IF(A2346="",0,VALUE(A2346))</x:f>
        <x:v>8160</x:v>
      </x:c>
      <x:c r="AN2346" s="1" t="n">
        <x:f>IF(OR(A2346="",COUNTIFS($T$41:$T$540,A2346)&lt;&gt;1),0,MATCH(A2346,$T$41:$T$540,0))</x:f>
        <x:v>296</x:v>
      </x:c>
      <x:c r="AO2346" t="n">
        <x:f>IF(ISNUMBER(W2346),W2346,10000+AM2346)</x:f>
        <x:v>14</x:v>
      </x:c>
    </x:row>
    <x:row r="2347" ht="22" customHeight="1">
      <x:c r="A2347" s="1" t="str">
        <x:f>IF(A298="","",A298)</x:f>
        <x:v>8190</x:v>
      </x:c>
      <x:c r="B2347" s="1" t="str">
        <x:f>IF(A2347="","",B298)</x:f>
        <x:v>One Bright Ray - Fairhill</x:v>
      </x:c>
      <x:c r="C2347" s="1" t="str">
        <x:f>IF(A2347="","",C298)</x:f>
        <x:v>Contracted</x:v>
      </x:c>
      <x:c r="D2347" s="1" t="str">
        <x:f>IF(A2347="","",E298)</x:f>
        <x:v>Transition/Overage School</x:v>
      </x:c>
      <x:c r="E2347" s="1" t="str">
        <x:f>IF(A2347="","",H298)</x:f>
        <x:v>19133</x:v>
      </x:c>
      <x:c r="F2347" s="1" t="n">
        <x:f>IF(ISNUMBER(K298),K298,"")</x:f>
        <x:v>200</x:v>
      </x:c>
      <x:c r="G2347" s="1" t="str">
        <x:f>IF(ISNUMBER(L298),L298,"")</x:f>
      </x:c>
      <x:c r="H2347" s="1" t="str">
        <x:f>IF(A2347="","",IF(AND(UPPER(G298)="PHILADELPHIA",OR(C2347="District",AND(C2347="Charter",D298="Yes"))),"Yes","No"))</x:f>
        <x:v>No</x:v>
      </x:c>
      <x:c r="I2347" s="1" t="n">
        <x:f>IF(OR(A2347="",COUNTIFS('Staff Review'!$A$8:$A$507,A2347)&lt;&gt;1),0,MATCH(A2347,'Staff Review'!$A$8:$A$507,0))</x:f>
        <x:v>214</x:v>
      </x:c>
      <x:c r="J2347" s="1" t="str">
        <x:f>IF(I2347=0,"No",IF(INDEX('Staff Review'!$C$8:$C$507,I2347)="Yes","Yes","No"))</x:f>
        <x:v>No</x:v>
      </x:c>
      <x:c r="K2347" s="1" t="n">
        <x:f>IF(AI2347="Yes",INDEX('Staff Review'!$D$8:$D$507,I2347),IF(AB2347=0,"",IF(COUNT(INDEX($C$1531:$C$2030,AB2347))=1,INDEX($C$1531:$C$2030,AB2347),"")))</x:f>
        <x:v>0.3150754745130222</x:v>
      </x:c>
      <x:c r="L2347" s="1" t="n">
        <x:f>IF(AJ2347="Yes",INDEX('Staff Review'!$F$8:$F$507,I2347),IF(AB2347=0,"",IF(COUNT(INDEX($G$1531:$G$2030,AB2347))=1,INDEX($G$1531:$G$2030,AB2347),"")))</x:f>
        <x:v>13</x:v>
      </x:c>
      <x:c r="M2347" s="1" t="str">
        <x:f>IF(A2347="","",IF(AI2347="Yes","Verified","Listed"))</x:f>
        <x:v>Listed</x:v>
      </x:c>
      <x:c r="N2347" s="1" t="str">
        <x:f>IF(A2347="","",IF(AJ2347="Yes","Verified","Listed"))</x:f>
        <x:v>Listed</x:v>
      </x:c>
      <x:c r="O2347" s="1" t="str">
        <x:f>IF(AND(ISNUMBER(G2347),G2347&gt;=0,G2347&lt;=1),IF(G2347&gt;=0.9,30,IF(G2347&gt;=0.8,25,IF(G2347&gt;=0.7,20,IF(G2347&gt;=0.6,15,IF(G2347&gt;=0.5,10,IF(G2347&gt;=0.4,5,0)))))),"")</x:f>
      </x:c>
      <x:c r="P2347" s="1" t="n">
        <x:f>IF(ISNUMBER(K2347),IF(K2347&lt;0,"",IF(K2347&gt;1,25,IF(K2347&gt;=0.75,20,IF(K2347&gt;=0.5,15,IF(K2347&gt;=0.25,10,5))))),"")</x:f>
        <x:v>10</x:v>
      </x:c>
      <x:c r="Q2347" s="1" t="n">
        <x:f>IF(NOT(ISNUMBER(L2347)),"",IF(AND(L2347&gt;=0,MOD(L2347,1)=0),MAX(0,25-5*L2347),""))</x:f>
        <x:v>0</x:v>
      </x:c>
      <x:c r="R2347" s="1" t="n">
        <x:f>IF(NOT(ISNUMBER(F2347)),"",IF(AND(F2347&gt;0,MOD(F2347,1)=0),IF(F2347&gt;=700,5,IF(F2347&gt;=500,4,IF(F2347&gt;=350,3,IF(F2347&gt;=200,2,1)))),""))</x:f>
        <x:v>2</x:v>
      </x:c>
      <x:c r="S2347" s="1" t="str">
        <x:f>IF(COUNT(O2347:R2347)=4,SUM(O2347:R2347),"")</x:f>
      </x:c>
      <x:c r="T2347" s="1" t="str">
        <x:f>IF(OR(COUNT(O2347:R2347)&lt;&gt;4,COUNT('Top 15'!$B$35:$E$35)&lt;&gt;4,MIN('Top 15'!$B$35:$E$35)&lt;0,SUM('Top 15'!$B$35:$E$35)&lt;=0),"",ROUND(85*(O2347/30*'Top 15'!$B$35+P2347/25*'Top 15'!$C$35+Q2347/25*'Top 15'!$D$35+R2347/5*'Top 15'!$E$35)/SUM('Top 15'!$B$35:$E$35),6))</x:f>
      </x:c>
      <x:c r="U2347" s="1" t="str">
        <x:f>IF(A2347="","",IF(AND(M2347="Verified",N2347="Verified"),"Verified",IF(AND(M2347="Listed",N2347="Listed"),"Listed","Mixed")))</x:f>
        <x:v>Listed</x:v>
      </x:c>
      <x:c r="V2347" s="1" t="str">
        <x:f>IF(A2347="","",IF(AK2347&lt;&gt;1,"Duplicate source ID",IF(COUNTIFS('Staff Review'!$A$8:$A$507,A2347)&gt;1,"Duplicate review ID",IF(H2347&lt;&gt;"Yes","Outside scope",IF(J2347="Yes","Already served",IF(NOT(ISNUMBER(T2347)),"Missing data","Candidate"))))))</x:f>
        <x:v>Outside scope</x:v>
      </x:c>
      <x:c r="W2347" s="1" t="str">
        <x:f>IF(AL2347=0,"",1+COUNTIFS($AL$2051:$AL$2550,1,$T$2051:$T$2550,"&gt;"&amp;T2347)+COUNTIFS($AL$2051:$AL$2550,1,$T$2051:$T$2550,T2347,$G$2051:$G$2550,"&gt;"&amp;G2347)+COUNTIFS($AL$2051:$AL$2550,1,$T$2051:$T$2550,T2347,$G$2051:$G$2550,G2347,$F$2051:$F$2550,"&gt;"&amp;F2347)+COUNTIFS($AL$2051:$AL$2550,1,$T$2051:$T$2550,T2347,$G$2051:$G$2550,G2347,$F$2051:$F$2550,F2347,$AM$2051:$AM$2550,"&lt;"&amp;AM2347))</x:f>
      </x:c>
      <x:c r="X2347" s="1" t="str">
        <x:f>IF(AL2347=0,"",1+COUNTIFS($AL$2051:$AL$2550,1,$T$2051:$T$2550,"&gt;"&amp;T2347))</x:f>
      </x:c>
      <x:c r="Y2347" s="1" t="n">
        <x:f>IF(AND(H2347="Yes",OR(LEN('School Search'!$B$5)=0,ISNUMBER(SEARCH('School Search'!$B$5,B2347&amp;" "&amp;E2347&amp;" "&amp;A2347))),OR('School Search'!$D$5="All",C2347='School Search'!$D$5),OR('School Search'!$G$5="All eligible",AND('School Search'!$G$5="Not marked served",J2347&lt;&gt;"Yes"),AND('School Search'!$G$5="Missing data",V2347="Missing data"),AND('School Search'!$G$5="Marked served",J2347="Yes"))),1,0)</x:f>
        <x:v>0</x:v>
      </x:c>
      <x:c r="Z2347" s="1" t="str">
        <x:f>IF(Y2347=0,"",COUNTIFS($Y$2051:$Y$2550,1,$AO$2051:$AO$2550,"&lt;"&amp;AO2347)+COUNTIFS($Y$2051:Y2347,1,$AO$2051:AO2347,AO2347))</x:f>
      </x:c>
      <x:c r="AA2347" s="1" t="str">
        <x:f>IF(NOT(ISNUMBER(S2347)),"Missing demographic or access input",TEXT(G2347,"0%")&amp;" economic need; "&amp;TEXT(K2347,"0.00")&amp;" mi fresh access; "&amp;L2347&amp;" nearby resources")</x:f>
        <x:v>Missing demographic or access input</x:v>
      </x:c>
      <x:c r="AB2347" s="1" t="n">
        <x:f>IF(OR(A2347="",COUNTIFS($A$1531:$A$2030,A2347)&lt;&gt;1),0,MATCH(A2347,$A$1531:$A$2030,0))</x:f>
        <x:v>297</x:v>
      </x:c>
      <x:c r="AC2347" s="1" t="str">
        <x:f>IF(AB2347=0,"",INDEX($E$1531:$E$2030,AB2347))</x:f>
        <x:v>Save A Lot 60139</x:v>
      </x:c>
      <x:c r="AD2347" s="1" t="str">
        <x:f>IF(AB2347=0,"",INDEX($F$1531:$F$2030,AB2347))</x:f>
        <x:v>701 W Lehigh Ave, Philadelphia, PA, 19133</x:v>
      </x:c>
      <x:c r="AE2347" s="1" t="str">
        <x:f>IF(A2347="","",F298)</x:f>
        <x:v>2820 N 4TH ST</x:v>
      </x:c>
      <x:c r="AF2347" s="1" t="n">
        <x:f>IF(ISNUMBER(I298),I298,"")</x:f>
        <x:v>39.99376434</x:v>
      </x:c>
      <x:c r="AG2347" s="1" t="n">
        <x:f>IF(ISNUMBER(J298),J298,"")</x:f>
        <x:v>-75.13801882</x:v>
      </x:c>
      <x:c r="AH2347" s="1" t="str">
        <x:f>IF(I2347=0,"Not contacted",IF(INDEX('Staff Review'!$J$8:$J$507,I2347)="","Not contacted",INDEX('Staff Review'!$J$8:$J$507,I2347)))</x:f>
        <x:v>Not contacted</x:v>
      </x:c>
      <x:c r="AI2347" s="1" t="str">
        <x:f>IF(I2347=0,"No",IF(AND(COUNT(INDEX('Staff Review'!$D$8:$D$507,I2347))=1,INDEX('Staff Review'!$D$8:$D$507,I2347)&gt;=0,COUNT(INDEX('Staff Review'!$E$8:$E$507,I2347))=1,INDEX('Staff Review'!$E$8:$E$507,I2347)&gt;0,INDEX('Staff Review'!$E$8:$E$507,I2347)&lt;='Top 15'!$E$5,'Top 15'!$E$5-INDEX('Staff Review'!$E$8:$E$507,I2347)&lt;='Top 15'!$H$5,LEN(INDEX('Staff Review'!$H$8:$H$507,I2347))&gt;0),"Yes","No"))</x:f>
        <x:v>No</x:v>
      </x:c>
      <x:c r="AJ2347" s="1" t="str">
        <x:f>IF(I2347=0,"No",IF(COUNT(INDEX('Staff Review'!$F$8:$F$507,I2347))&lt;&gt;1,"No",IF(AND(INDEX('Staff Review'!$F$8:$F$507,I2347)&gt;=0,MOD(INDEX('Staff Review'!$F$8:$F$507,I2347),1)=0,COUNT(INDEX('Staff Review'!$G$8:$G$507,I2347))=1,INDEX('Staff Review'!$G$8:$G$507,I2347)&gt;0,INDEX('Staff Review'!$G$8:$G$507,I2347)&lt;='Top 15'!$E$5,'Top 15'!$E$5-INDEX('Staff Review'!$G$8:$G$507,I2347)&lt;='Top 15'!$H$5,LEN(INDEX('Staff Review'!$H$8:$H$507,I2347))&gt;0),"Yes","No")))</x:f>
        <x:v>No</x:v>
      </x:c>
      <x:c r="AK2347" s="1" t="n">
        <x:f>IF(A2347="",0,COUNTIFS($A$2:$A$501,A2347))</x:f>
        <x:v>1</x:v>
      </x:c>
      <x:c r="AL2347" s="1" t="n">
        <x:f>IF(V2347="Candidate",1,0)</x:f>
        <x:v>0</x:v>
      </x:c>
      <x:c r="AM2347" s="1" t="n">
        <x:f>IF(A2347="",0,VALUE(A2347))</x:f>
        <x:v>8190</x:v>
      </x:c>
      <x:c r="AN2347" s="1" t="n">
        <x:f>IF(OR(A2347="",COUNTIFS($T$41:$T$540,A2347)&lt;&gt;1),0,MATCH(A2347,$T$41:$T$540,0))</x:f>
        <x:v>297</x:v>
      </x:c>
      <x:c r="AO2347" t="n">
        <x:f>IF(ISNUMBER(W2347),W2347,10000+AM2347)</x:f>
        <x:v>18190</x:v>
      </x:c>
    </x:row>
    <x:row r="2348" ht="22" customHeight="1">
      <x:c r="A2348" s="1" t="str">
        <x:f>IF(A299="","",A299)</x:f>
        <x:v>8200</x:v>
      </x:c>
      <x:c r="B2348" s="1" t="str">
        <x:f>IF(A2348="","",B299)</x:f>
        <x:v>Ethan Allen School</x:v>
      </x:c>
      <x:c r="C2348" s="1" t="str">
        <x:f>IF(A2348="","",C299)</x:f>
        <x:v>District</x:v>
      </x:c>
      <x:c r="D2348" s="1" t="str">
        <x:f>IF(A2348="","",E299)</x:f>
        <x:v>Elementary-Middle</x:v>
      </x:c>
      <x:c r="E2348" s="1" t="str">
        <x:f>IF(A2348="","",H299)</x:f>
        <x:v>19149</x:v>
      </x:c>
      <x:c r="F2348" s="1" t="n">
        <x:f>IF(ISNUMBER(K299),K299,"")</x:f>
        <x:v>1018</x:v>
      </x:c>
      <x:c r="G2348" s="1" t="n">
        <x:f>IF(ISNUMBER(L299),L299,"")</x:f>
        <x:v>0.7507</x:v>
      </x:c>
      <x:c r="H2348" s="1" t="str">
        <x:f>IF(A2348="","",IF(AND(UPPER(G299)="PHILADELPHIA",OR(C2348="District",AND(C2348="Charter",D299="Yes"))),"Yes","No"))</x:f>
        <x:v>Yes</x:v>
      </x:c>
      <x:c r="I2348" s="1" t="n">
        <x:f>IF(OR(A2348="",COUNTIFS('Staff Review'!$A$8:$A$507,A2348)&lt;&gt;1),0,MATCH(A2348,'Staff Review'!$A$8:$A$507,0))</x:f>
        <x:v>65</x:v>
      </x:c>
      <x:c r="J2348" s="1" t="str">
        <x:f>IF(I2348=0,"No",IF(INDEX('Staff Review'!$C$8:$C$507,I2348)="Yes","Yes","No"))</x:f>
        <x:v>No</x:v>
      </x:c>
      <x:c r="K2348" s="1" t="n">
        <x:f>IF(AI2348="Yes",INDEX('Staff Review'!$D$8:$D$507,I2348),IF(AB2348=0,"",IF(COUNT(INDEX($C$1531:$C$2030,AB2348))=1,INDEX($C$1531:$C$2030,AB2348),"")))</x:f>
        <x:v>0.2829452474977819</x:v>
      </x:c>
      <x:c r="L2348" s="1" t="n">
        <x:f>IF(AJ2348="Yes",INDEX('Staff Review'!$F$8:$F$507,I2348),IF(AB2348=0,"",IF(COUNT(INDEX($G$1531:$G$2030,AB2348))=1,INDEX($G$1531:$G$2030,AB2348),"")))</x:f>
        <x:v>4</x:v>
      </x:c>
      <x:c r="M2348" s="1" t="str">
        <x:f>IF(A2348="","",IF(AI2348="Yes","Verified","Listed"))</x:f>
        <x:v>Listed</x:v>
      </x:c>
      <x:c r="N2348" s="1" t="str">
        <x:f>IF(A2348="","",IF(AJ2348="Yes","Verified","Listed"))</x:f>
        <x:v>Listed</x:v>
      </x:c>
      <x:c r="O2348" s="1" t="n">
        <x:f>IF(AND(ISNUMBER(G2348),G2348&gt;=0,G2348&lt;=1),IF(G2348&gt;=0.9,30,IF(G2348&gt;=0.8,25,IF(G2348&gt;=0.7,20,IF(G2348&gt;=0.6,15,IF(G2348&gt;=0.5,10,IF(G2348&gt;=0.4,5,0)))))),"")</x:f>
        <x:v>20</x:v>
      </x:c>
      <x:c r="P2348" s="1" t="n">
        <x:f>IF(ISNUMBER(K2348),IF(K2348&lt;0,"",IF(K2348&gt;1,25,IF(K2348&gt;=0.75,20,IF(K2348&gt;=0.5,15,IF(K2348&gt;=0.25,10,5))))),"")</x:f>
        <x:v>10</x:v>
      </x:c>
      <x:c r="Q2348" s="1" t="n">
        <x:f>IF(NOT(ISNUMBER(L2348)),"",IF(AND(L2348&gt;=0,MOD(L2348,1)=0),MAX(0,25-5*L2348),""))</x:f>
        <x:v>5</x:v>
      </x:c>
      <x:c r="R2348" s="1" t="n">
        <x:f>IF(NOT(ISNUMBER(F2348)),"",IF(AND(F2348&gt;0,MOD(F2348,1)=0),IF(F2348&gt;=700,5,IF(F2348&gt;=500,4,IF(F2348&gt;=350,3,IF(F2348&gt;=200,2,1)))),""))</x:f>
        <x:v>5</x:v>
      </x:c>
      <x:c r="S2348" s="1" t="n">
        <x:f>IF(COUNT(O2348:R2348)=4,SUM(O2348:R2348),"")</x:f>
        <x:v>40</x:v>
      </x:c>
      <x:c r="T2348" s="1" t="n">
        <x:f>IF(OR(COUNT(O2348:R2348)&lt;&gt;4,COUNT('Top 15'!$B$35:$E$35)&lt;&gt;4,MIN('Top 15'!$B$35:$E$35)&lt;0,SUM('Top 15'!$B$35:$E$35)&lt;=0),"",ROUND(85*(O2348/30*'Top 15'!$B$35+P2348/25*'Top 15'!$C$35+Q2348/25*'Top 15'!$D$35+R2348/5*'Top 15'!$E$35)/SUM('Top 15'!$B$35:$E$35),6))</x:f>
        <x:v>40</x:v>
      </x:c>
      <x:c r="U2348" s="1" t="str">
        <x:f>IF(A2348="","",IF(AND(M2348="Verified",N2348="Verified"),"Verified",IF(AND(M2348="Listed",N2348="Listed"),"Listed","Mixed")))</x:f>
        <x:v>Listed</x:v>
      </x:c>
      <x:c r="V2348" s="1" t="str">
        <x:f>IF(A2348="","",IF(AK2348&lt;&gt;1,"Duplicate source ID",IF(COUNTIFS('Staff Review'!$A$8:$A$507,A2348)&gt;1,"Duplicate review ID",IF(H2348&lt;&gt;"Yes","Outside scope",IF(J2348="Yes","Already served",IF(NOT(ISNUMBER(T2348)),"Missing data","Candidate"))))))</x:f>
        <x:v>Candidate</x:v>
      </x:c>
      <x:c r="W2348" s="1" t="n">
        <x:f>IF(AL2348=0,"",1+COUNTIFS($AL$2051:$AL$2550,1,$T$2051:$T$2550,"&gt;"&amp;T2348)+COUNTIFS($AL$2051:$AL$2550,1,$T$2051:$T$2550,T2348,$G$2051:$G$2550,"&gt;"&amp;G2348)+COUNTIFS($AL$2051:$AL$2550,1,$T$2051:$T$2550,T2348,$G$2051:$G$2550,G2348,$F$2051:$F$2550,"&gt;"&amp;F2348)+COUNTIFS($AL$2051:$AL$2550,1,$T$2051:$T$2550,T2348,$G$2051:$G$2550,G2348,$F$2051:$F$2550,F2348,$AM$2051:$AM$2550,"&lt;"&amp;AM2348))</x:f>
        <x:v>145</x:v>
      </x:c>
      <x:c r="X2348" s="1" t="n">
        <x:f>IF(AL2348=0,"",1+COUNTIFS($AL$2051:$AL$2550,1,$T$2051:$T$2550,"&gt;"&amp;T2348))</x:f>
        <x:v>133</x:v>
      </x:c>
      <x:c r="Y2348" s="1" t="n">
        <x:f>IF(AND(H2348="Yes",OR(LEN('School Search'!$B$5)=0,ISNUMBER(SEARCH('School Search'!$B$5,B2348&amp;" "&amp;E2348&amp;" "&amp;A2348))),OR('School Search'!$D$5="All",C2348='School Search'!$D$5),OR('School Search'!$G$5="All eligible",AND('School Search'!$G$5="Not marked served",J2348&lt;&gt;"Yes"),AND('School Search'!$G$5="Missing data",V2348="Missing data"),AND('School Search'!$G$5="Marked served",J2348="Yes"))),1,0)</x:f>
        <x:v>1</x:v>
      </x:c>
      <x:c r="Z2348" s="1" t="n">
        <x:f>IF(Y2348=0,"",COUNTIFS($Y$2051:$Y$2550,1,$AO$2051:$AO$2550,"&lt;"&amp;AO2348)+COUNTIFS($Y$2051:Y2348,1,$AO$2051:AO2348,AO2348))</x:f>
        <x:v>145</x:v>
      </x:c>
      <x:c r="AA2348" s="1" t="str">
        <x:f>IF(NOT(ISNUMBER(S2348)),"Missing demographic or access input",TEXT(G2348,"0%")&amp;" economic need; "&amp;TEXT(K2348,"0.00")&amp;" mi fresh access; "&amp;L2348&amp;" nearby resources")</x:f>
        <x:v>75% economic need; 0.28 mi fresh access; 4 nearby resources</x:v>
      </x:c>
      <x:c r="AB2348" s="1" t="n">
        <x:f>IF(OR(A2348="",COUNTIFS($A$1531:$A$2030,A2348)&lt;&gt;1),0,MATCH(A2348,$A$1531:$A$2030,0))</x:f>
        <x:v>298</x:v>
      </x:c>
      <x:c r="AC2348" s="1" t="str">
        <x:f>IF(AB2348=0,"",INDEX($E$1531:$E$2030,AB2348))</x:f>
        <x:v>Hung Vuong Food Market Lp</x:v>
      </x:c>
      <x:c r="AD2348" s="1" t="str">
        <x:f>IF(AB2348=0,"",INDEX($F$1531:$F$2030,AB2348))</x:f>
        <x:v>6410 Frankford Ave, Philadelphia, PA, 19135</x:v>
      </x:c>
      <x:c r="AE2348" s="1" t="str">
        <x:f>IF(A2348="","",F299)</x:f>
        <x:v>6329 BATTERSBY ST</x:v>
      </x:c>
      <x:c r="AF2348" s="1" t="n">
        <x:f>IF(ISNUMBER(I299),I299,"")</x:f>
        <x:v>40.0294252</x:v>
      </x:c>
      <x:c r="AG2348" s="1" t="n">
        <x:f>IF(ISNUMBER(J299),J299,"")</x:f>
        <x:v>-75.06268841</x:v>
      </x:c>
      <x:c r="AH2348" s="1" t="str">
        <x:f>IF(I2348=0,"Not contacted",IF(INDEX('Staff Review'!$J$8:$J$507,I2348)="","Not contacted",INDEX('Staff Review'!$J$8:$J$507,I2348)))</x:f>
        <x:v>Not contacted</x:v>
      </x:c>
      <x:c r="AI2348" s="1" t="str">
        <x:f>IF(I2348=0,"No",IF(AND(COUNT(INDEX('Staff Review'!$D$8:$D$507,I2348))=1,INDEX('Staff Review'!$D$8:$D$507,I2348)&gt;=0,COUNT(INDEX('Staff Review'!$E$8:$E$507,I2348))=1,INDEX('Staff Review'!$E$8:$E$507,I2348)&gt;0,INDEX('Staff Review'!$E$8:$E$507,I2348)&lt;='Top 15'!$E$5,'Top 15'!$E$5-INDEX('Staff Review'!$E$8:$E$507,I2348)&lt;='Top 15'!$H$5,LEN(INDEX('Staff Review'!$H$8:$H$507,I2348))&gt;0),"Yes","No"))</x:f>
        <x:v>No</x:v>
      </x:c>
      <x:c r="AJ2348" s="1" t="str">
        <x:f>IF(I2348=0,"No",IF(COUNT(INDEX('Staff Review'!$F$8:$F$507,I2348))&lt;&gt;1,"No",IF(AND(INDEX('Staff Review'!$F$8:$F$507,I2348)&gt;=0,MOD(INDEX('Staff Review'!$F$8:$F$507,I2348),1)=0,COUNT(INDEX('Staff Review'!$G$8:$G$507,I2348))=1,INDEX('Staff Review'!$G$8:$G$507,I2348)&gt;0,INDEX('Staff Review'!$G$8:$G$507,I2348)&lt;='Top 15'!$E$5,'Top 15'!$E$5-INDEX('Staff Review'!$G$8:$G$507,I2348)&lt;='Top 15'!$H$5,LEN(INDEX('Staff Review'!$H$8:$H$507,I2348))&gt;0),"Yes","No")))</x:f>
        <x:v>No</x:v>
      </x:c>
      <x:c r="AK2348" s="1" t="n">
        <x:f>IF(A2348="",0,COUNTIFS($A$2:$A$501,A2348))</x:f>
        <x:v>1</x:v>
      </x:c>
      <x:c r="AL2348" s="1" t="n">
        <x:f>IF(V2348="Candidate",1,0)</x:f>
        <x:v>1</x:v>
      </x:c>
      <x:c r="AM2348" s="1" t="n">
        <x:f>IF(A2348="",0,VALUE(A2348))</x:f>
        <x:v>8200</x:v>
      </x:c>
      <x:c r="AN2348" s="1" t="n">
        <x:f>IF(OR(A2348="",COUNTIFS($T$41:$T$540,A2348)&lt;&gt;1),0,MATCH(A2348,$T$41:$T$540,0))</x:f>
        <x:v>298</x:v>
      </x:c>
      <x:c r="AO2348" t="n">
        <x:f>IF(ISNUMBER(W2348),W2348,10000+AM2348)</x:f>
        <x:v>145</x:v>
      </x:c>
    </x:row>
    <x:row r="2349" ht="22" customHeight="1">
      <x:c r="A2349" s="1" t="str">
        <x:f>IF(A300="","",A300)</x:f>
        <x:v>8210</x:v>
      </x:c>
      <x:c r="B2349" s="1" t="str">
        <x:f>IF(A2349="","",B300)</x:f>
        <x:v>Joseph H. Brown School</x:v>
      </x:c>
      <x:c r="C2349" s="1" t="str">
        <x:f>IF(A2349="","",C300)</x:f>
        <x:v>District</x:v>
      </x:c>
      <x:c r="D2349" s="1" t="str">
        <x:f>IF(A2349="","",E300)</x:f>
        <x:v>Elementary-Middle</x:v>
      </x:c>
      <x:c r="E2349" s="1" t="str">
        <x:f>IF(A2349="","",H300)</x:f>
        <x:v>19136</x:v>
      </x:c>
      <x:c r="F2349" s="1" t="n">
        <x:f>IF(ISNUMBER(K300),K300,"")</x:f>
        <x:v>427</x:v>
      </x:c>
      <x:c r="G2349" s="1" t="n">
        <x:f>IF(ISNUMBER(L300),L300,"")</x:f>
        <x:v>0.8056</x:v>
      </x:c>
      <x:c r="H2349" s="1" t="str">
        <x:f>IF(A2349="","",IF(AND(UPPER(G300)="PHILADELPHIA",OR(C2349="District",AND(C2349="Charter",D300="Yes"))),"Yes","No"))</x:f>
        <x:v>Yes</x:v>
      </x:c>
      <x:c r="I2349" s="1" t="n">
        <x:f>IF(OR(A2349="",COUNTIFS('Staff Review'!$A$8:$A$507,A2349)&lt;&gt;1),0,MATCH(A2349,'Staff Review'!$A$8:$A$507,0))</x:f>
        <x:v>147</x:v>
      </x:c>
      <x:c r="J2349" s="1" t="str">
        <x:f>IF(I2349=0,"No",IF(INDEX('Staff Review'!$C$8:$C$507,I2349)="Yes","Yes","No"))</x:f>
        <x:v>No</x:v>
      </x:c>
      <x:c r="K2349" s="1" t="n">
        <x:f>IF(AI2349="Yes",INDEX('Staff Review'!$D$8:$D$507,I2349),IF(AB2349=0,"",IF(COUNT(INDEX($C$1531:$C$2030,AB2349))=1,INDEX($C$1531:$C$2030,AB2349),"")))</x:f>
        <x:v>0.9942284032941784</x:v>
      </x:c>
      <x:c r="L2349" s="1" t="n">
        <x:f>IF(AJ2349="Yes",INDEX('Staff Review'!$F$8:$F$507,I2349),IF(AB2349=0,"",IF(COUNT(INDEX($G$1531:$G$2030,AB2349))=1,INDEX($G$1531:$G$2030,AB2349),"")))</x:f>
        <x:v>1</x:v>
      </x:c>
      <x:c r="M2349" s="1" t="str">
        <x:f>IF(A2349="","",IF(AI2349="Yes","Verified","Listed"))</x:f>
        <x:v>Listed</x:v>
      </x:c>
      <x:c r="N2349" s="1" t="str">
        <x:f>IF(A2349="","",IF(AJ2349="Yes","Verified","Listed"))</x:f>
        <x:v>Listed</x:v>
      </x:c>
      <x:c r="O2349" s="1" t="n">
        <x:f>IF(AND(ISNUMBER(G2349),G2349&gt;=0,G2349&lt;=1),IF(G2349&gt;=0.9,30,IF(G2349&gt;=0.8,25,IF(G2349&gt;=0.7,20,IF(G2349&gt;=0.6,15,IF(G2349&gt;=0.5,10,IF(G2349&gt;=0.4,5,0)))))),"")</x:f>
        <x:v>25</x:v>
      </x:c>
      <x:c r="P2349" s="1" t="n">
        <x:f>IF(ISNUMBER(K2349),IF(K2349&lt;0,"",IF(K2349&gt;1,25,IF(K2349&gt;=0.75,20,IF(K2349&gt;=0.5,15,IF(K2349&gt;=0.25,10,5))))),"")</x:f>
        <x:v>20</x:v>
      </x:c>
      <x:c r="Q2349" s="1" t="n">
        <x:f>IF(NOT(ISNUMBER(L2349)),"",IF(AND(L2349&gt;=0,MOD(L2349,1)=0),MAX(0,25-5*L2349),""))</x:f>
        <x:v>20</x:v>
      </x:c>
      <x:c r="R2349" s="1" t="n">
        <x:f>IF(NOT(ISNUMBER(F2349)),"",IF(AND(F2349&gt;0,MOD(F2349,1)=0),IF(F2349&gt;=700,5,IF(F2349&gt;=500,4,IF(F2349&gt;=350,3,IF(F2349&gt;=200,2,1)))),""))</x:f>
        <x:v>3</x:v>
      </x:c>
      <x:c r="S2349" s="1" t="n">
        <x:f>IF(COUNT(O2349:R2349)=4,SUM(O2349:R2349),"")</x:f>
        <x:v>68</x:v>
      </x:c>
      <x:c r="T2349" s="1" t="n">
        <x:f>IF(OR(COUNT(O2349:R2349)&lt;&gt;4,COUNT('Top 15'!$B$35:$E$35)&lt;&gt;4,MIN('Top 15'!$B$35:$E$35)&lt;0,SUM('Top 15'!$B$35:$E$35)&lt;=0),"",ROUND(85*(O2349/30*'Top 15'!$B$35+P2349/25*'Top 15'!$C$35+Q2349/25*'Top 15'!$D$35+R2349/5*'Top 15'!$E$35)/SUM('Top 15'!$B$35:$E$35),6))</x:f>
        <x:v>68</x:v>
      </x:c>
      <x:c r="U2349" s="1" t="str">
        <x:f>IF(A2349="","",IF(AND(M2349="Verified",N2349="Verified"),"Verified",IF(AND(M2349="Listed",N2349="Listed"),"Listed","Mixed")))</x:f>
        <x:v>Listed</x:v>
      </x:c>
      <x:c r="V2349" s="1" t="str">
        <x:f>IF(A2349="","",IF(AK2349&lt;&gt;1,"Duplicate source ID",IF(COUNTIFS('Staff Review'!$A$8:$A$507,A2349)&gt;1,"Duplicate review ID",IF(H2349&lt;&gt;"Yes","Outside scope",IF(J2349="Yes","Already served",IF(NOT(ISNUMBER(T2349)),"Missing data","Candidate"))))))</x:f>
        <x:v>Candidate</x:v>
      </x:c>
      <x:c r="W2349" s="1" t="n">
        <x:f>IF(AL2349=0,"",1+COUNTIFS($AL$2051:$AL$2550,1,$T$2051:$T$2550,"&gt;"&amp;T2349)+COUNTIFS($AL$2051:$AL$2550,1,$T$2051:$T$2550,T2349,$G$2051:$G$2550,"&gt;"&amp;G2349)+COUNTIFS($AL$2051:$AL$2550,1,$T$2051:$T$2550,T2349,$G$2051:$G$2550,G2349,$F$2051:$F$2550,"&gt;"&amp;F2349)+COUNTIFS($AL$2051:$AL$2550,1,$T$2051:$T$2550,T2349,$G$2051:$G$2550,G2349,$F$2051:$F$2550,F2349,$AM$2051:$AM$2550,"&lt;"&amp;AM2349))</x:f>
        <x:v>2</x:v>
      </x:c>
      <x:c r="X2349" s="1" t="n">
        <x:f>IF(AL2349=0,"",1+COUNTIFS($AL$2051:$AL$2550,1,$T$2051:$T$2550,"&gt;"&amp;T2349))</x:f>
        <x:v>2</x:v>
      </x:c>
      <x:c r="Y2349" s="1" t="n">
        <x:f>IF(AND(H2349="Yes",OR(LEN('School Search'!$B$5)=0,ISNUMBER(SEARCH('School Search'!$B$5,B2349&amp;" "&amp;E2349&amp;" "&amp;A2349))),OR('School Search'!$D$5="All",C2349='School Search'!$D$5),OR('School Search'!$G$5="All eligible",AND('School Search'!$G$5="Not marked served",J2349&lt;&gt;"Yes"),AND('School Search'!$G$5="Missing data",V2349="Missing data"),AND('School Search'!$G$5="Marked served",J2349="Yes"))),1,0)</x:f>
        <x:v>1</x:v>
      </x:c>
      <x:c r="Z2349" s="1" t="n">
        <x:f>IF(Y2349=0,"",COUNTIFS($Y$2051:$Y$2550,1,$AO$2051:$AO$2550,"&lt;"&amp;AO2349)+COUNTIFS($Y$2051:Y2349,1,$AO$2051:AO2349,AO2349))</x:f>
        <x:v>2</x:v>
      </x:c>
      <x:c r="AA2349" s="1" t="str">
        <x:f>IF(NOT(ISNUMBER(S2349)),"Missing demographic or access input",TEXT(G2349,"0%")&amp;" economic need; "&amp;TEXT(K2349,"0.00")&amp;" mi fresh access; "&amp;L2349&amp;" nearby resources")</x:f>
        <x:v>81% economic need; 0.99 mi fresh access; 1 nearby resources</x:v>
      </x:c>
      <x:c r="AB2349" s="1" t="n">
        <x:f>IF(OR(A2349="",COUNTIFS($A$1531:$A$2030,A2349)&lt;&gt;1),0,MATCH(A2349,$A$1531:$A$2030,0))</x:f>
        <x:v>299</x:v>
      </x:c>
      <x:c r="AC2349" s="1" t="str">
        <x:f>IF(AB2349=0,"",INDEX($E$1531:$E$2030,AB2349))</x:f>
        <x:v>PJP Marketplace</x:v>
      </x:c>
      <x:c r="AD2349" s="1" t="str">
        <x:f>IF(AB2349=0,"",INDEX($F$1531:$F$2030,AB2349))</x:f>
        <x:v>8960 Frankford Avenue, Philadelphia, PA, 19136</x:v>
      </x:c>
      <x:c r="AE2349" s="1" t="str">
        <x:f>IF(A2349="","",F300)</x:f>
        <x:v>3600 STANWOOD ST</x:v>
      </x:c>
      <x:c r="AF2349" s="1" t="n">
        <x:f>IF(ISNUMBER(I300),I300,"")</x:f>
        <x:v>40.04392183</x:v>
      </x:c>
      <x:c r="AG2349" s="1" t="n">
        <x:f>IF(ISNUMBER(J300),J300,"")</x:f>
        <x:v>-75.02460195</x:v>
      </x:c>
      <x:c r="AH2349" s="1" t="str">
        <x:f>IF(I2349=0,"Not contacted",IF(INDEX('Staff Review'!$J$8:$J$507,I2349)="","Not contacted",INDEX('Staff Review'!$J$8:$J$507,I2349)))</x:f>
        <x:v>Not contacted</x:v>
      </x:c>
      <x:c r="AI2349" s="1" t="str">
        <x:f>IF(I2349=0,"No",IF(AND(COUNT(INDEX('Staff Review'!$D$8:$D$507,I2349))=1,INDEX('Staff Review'!$D$8:$D$507,I2349)&gt;=0,COUNT(INDEX('Staff Review'!$E$8:$E$507,I2349))=1,INDEX('Staff Review'!$E$8:$E$507,I2349)&gt;0,INDEX('Staff Review'!$E$8:$E$507,I2349)&lt;='Top 15'!$E$5,'Top 15'!$E$5-INDEX('Staff Review'!$E$8:$E$507,I2349)&lt;='Top 15'!$H$5,LEN(INDEX('Staff Review'!$H$8:$H$507,I2349))&gt;0),"Yes","No"))</x:f>
        <x:v>No</x:v>
      </x:c>
      <x:c r="AJ2349" s="1" t="str">
        <x:f>IF(I2349=0,"No",IF(COUNT(INDEX('Staff Review'!$F$8:$F$507,I2349))&lt;&gt;1,"No",IF(AND(INDEX('Staff Review'!$F$8:$F$507,I2349)&gt;=0,MOD(INDEX('Staff Review'!$F$8:$F$507,I2349),1)=0,COUNT(INDEX('Staff Review'!$G$8:$G$507,I2349))=1,INDEX('Staff Review'!$G$8:$G$507,I2349)&gt;0,INDEX('Staff Review'!$G$8:$G$507,I2349)&lt;='Top 15'!$E$5,'Top 15'!$E$5-INDEX('Staff Review'!$G$8:$G$507,I2349)&lt;='Top 15'!$H$5,LEN(INDEX('Staff Review'!$H$8:$H$507,I2349))&gt;0),"Yes","No")))</x:f>
        <x:v>No</x:v>
      </x:c>
      <x:c r="AK2349" s="1" t="n">
        <x:f>IF(A2349="",0,COUNTIFS($A$2:$A$501,A2349))</x:f>
        <x:v>1</x:v>
      </x:c>
      <x:c r="AL2349" s="1" t="n">
        <x:f>IF(V2349="Candidate",1,0)</x:f>
        <x:v>1</x:v>
      </x:c>
      <x:c r="AM2349" s="1" t="n">
        <x:f>IF(A2349="",0,VALUE(A2349))</x:f>
        <x:v>8210</x:v>
      </x:c>
      <x:c r="AN2349" s="1" t="n">
        <x:f>IF(OR(A2349="",COUNTIFS($T$41:$T$540,A2349)&lt;&gt;1),0,MATCH(A2349,$T$41:$T$540,0))</x:f>
        <x:v>299</x:v>
      </x:c>
      <x:c r="AO2349" t="n">
        <x:f>IF(ISNUMBER(W2349),W2349,10000+AM2349)</x:f>
        <x:v>2</x:v>
      </x:c>
    </x:row>
    <x:row r="2350" ht="22" customHeight="1">
      <x:c r="A2350" s="1" t="str">
        <x:f>IF(A301="","",A301)</x:f>
        <x:v>8230</x:v>
      </x:c>
      <x:c r="B2350" s="1" t="str">
        <x:f>IF(A2350="","",B301)</x:f>
        <x:v>Kennedy C. Crossan School</x:v>
      </x:c>
      <x:c r="C2350" s="1" t="str">
        <x:f>IF(A2350="","",C301)</x:f>
        <x:v>District</x:v>
      </x:c>
      <x:c r="D2350" s="1" t="str">
        <x:f>IF(A2350="","",E301)</x:f>
        <x:v>Elementary</x:v>
      </x:c>
      <x:c r="E2350" s="1" t="str">
        <x:f>IF(A2350="","",H301)</x:f>
        <x:v>19111</x:v>
      </x:c>
      <x:c r="F2350" s="1" t="n">
        <x:f>IF(ISNUMBER(K301),K301,"")</x:f>
        <x:v>318</x:v>
      </x:c>
      <x:c r="G2350" s="1" t="n">
        <x:f>IF(ISNUMBER(L301),L301,"")</x:f>
        <x:v>0.7358</x:v>
      </x:c>
      <x:c r="H2350" s="1" t="str">
        <x:f>IF(A2350="","",IF(AND(UPPER(G301)="PHILADELPHIA",OR(C2350="District",AND(C2350="Charter",D301="Yes"))),"Yes","No"))</x:f>
        <x:v>Yes</x:v>
      </x:c>
      <x:c r="I2350" s="1" t="n">
        <x:f>IF(OR(A2350="",COUNTIFS('Staff Review'!$A$8:$A$507,A2350)&lt;&gt;1),0,MATCH(A2350,'Staff Review'!$A$8:$A$507,0))</x:f>
        <x:v>156</x:v>
      </x:c>
      <x:c r="J2350" s="1" t="str">
        <x:f>IF(I2350=0,"No",IF(INDEX('Staff Review'!$C$8:$C$507,I2350)="Yes","Yes","No"))</x:f>
        <x:v>No</x:v>
      </x:c>
      <x:c r="K2350" s="1" t="n">
        <x:f>IF(AI2350="Yes",INDEX('Staff Review'!$D$8:$D$507,I2350),IF(AB2350=0,"",IF(COUNT(INDEX($C$1531:$C$2030,AB2350))=1,INDEX($C$1531:$C$2030,AB2350),"")))</x:f>
        <x:v>0.8246688424504663</x:v>
      </x:c>
      <x:c r="L2350" s="1" t="n">
        <x:f>IF(AJ2350="Yes",INDEX('Staff Review'!$F$8:$F$507,I2350),IF(AB2350=0,"",IF(COUNT(INDEX($G$1531:$G$2030,AB2350))=1,INDEX($G$1531:$G$2030,AB2350),"")))</x:f>
        <x:v>2</x:v>
      </x:c>
      <x:c r="M2350" s="1" t="str">
        <x:f>IF(A2350="","",IF(AI2350="Yes","Verified","Listed"))</x:f>
        <x:v>Listed</x:v>
      </x:c>
      <x:c r="N2350" s="1" t="str">
        <x:f>IF(A2350="","",IF(AJ2350="Yes","Verified","Listed"))</x:f>
        <x:v>Listed</x:v>
      </x:c>
      <x:c r="O2350" s="1" t="n">
        <x:f>IF(AND(ISNUMBER(G2350),G2350&gt;=0,G2350&lt;=1),IF(G2350&gt;=0.9,30,IF(G2350&gt;=0.8,25,IF(G2350&gt;=0.7,20,IF(G2350&gt;=0.6,15,IF(G2350&gt;=0.5,10,IF(G2350&gt;=0.4,5,0)))))),"")</x:f>
        <x:v>20</x:v>
      </x:c>
      <x:c r="P2350" s="1" t="n">
        <x:f>IF(ISNUMBER(K2350),IF(K2350&lt;0,"",IF(K2350&gt;1,25,IF(K2350&gt;=0.75,20,IF(K2350&gt;=0.5,15,IF(K2350&gt;=0.25,10,5))))),"")</x:f>
        <x:v>20</x:v>
      </x:c>
      <x:c r="Q2350" s="1" t="n">
        <x:f>IF(NOT(ISNUMBER(L2350)),"",IF(AND(L2350&gt;=0,MOD(L2350,1)=0),MAX(0,25-5*L2350),""))</x:f>
        <x:v>15</x:v>
      </x:c>
      <x:c r="R2350" s="1" t="n">
        <x:f>IF(NOT(ISNUMBER(F2350)),"",IF(AND(F2350&gt;0,MOD(F2350,1)=0),IF(F2350&gt;=700,5,IF(F2350&gt;=500,4,IF(F2350&gt;=350,3,IF(F2350&gt;=200,2,1)))),""))</x:f>
        <x:v>2</x:v>
      </x:c>
      <x:c r="S2350" s="1" t="n">
        <x:f>IF(COUNT(O2350:R2350)=4,SUM(O2350:R2350),"")</x:f>
        <x:v>57</x:v>
      </x:c>
      <x:c r="T2350" s="1" t="n">
        <x:f>IF(OR(COUNT(O2350:R2350)&lt;&gt;4,COUNT('Top 15'!$B$35:$E$35)&lt;&gt;4,MIN('Top 15'!$B$35:$E$35)&lt;0,SUM('Top 15'!$B$35:$E$35)&lt;=0),"",ROUND(85*(O2350/30*'Top 15'!$B$35+P2350/25*'Top 15'!$C$35+Q2350/25*'Top 15'!$D$35+R2350/5*'Top 15'!$E$35)/SUM('Top 15'!$B$35:$E$35),6))</x:f>
        <x:v>57</x:v>
      </x:c>
      <x:c r="U2350" s="1" t="str">
        <x:f>IF(A2350="","",IF(AND(M2350="Verified",N2350="Verified"),"Verified",IF(AND(M2350="Listed",N2350="Listed"),"Listed","Mixed")))</x:f>
        <x:v>Listed</x:v>
      </x:c>
      <x:c r="V2350" s="1" t="str">
        <x:f>IF(A2350="","",IF(AK2350&lt;&gt;1,"Duplicate source ID",IF(COUNTIFS('Staff Review'!$A$8:$A$507,A2350)&gt;1,"Duplicate review ID",IF(H2350&lt;&gt;"Yes","Outside scope",IF(J2350="Yes","Already served",IF(NOT(ISNUMBER(T2350)),"Missing data","Candidate"))))))</x:f>
        <x:v>Candidate</x:v>
      </x:c>
      <x:c r="W2350" s="1" t="n">
        <x:f>IF(AL2350=0,"",1+COUNTIFS($AL$2051:$AL$2550,1,$T$2051:$T$2550,"&gt;"&amp;T2350)+COUNTIFS($AL$2051:$AL$2550,1,$T$2051:$T$2550,T2350,$G$2051:$G$2550,"&gt;"&amp;G2350)+COUNTIFS($AL$2051:$AL$2550,1,$T$2051:$T$2550,T2350,$G$2051:$G$2550,G2350,$F$2051:$F$2550,"&gt;"&amp;F2350)+COUNTIFS($AL$2051:$AL$2550,1,$T$2051:$T$2550,T2350,$G$2051:$G$2550,G2350,$F$2051:$F$2550,F2350,$AM$2051:$AM$2550,"&lt;"&amp;AM2350))</x:f>
        <x:v>21</x:v>
      </x:c>
      <x:c r="X2350" s="1" t="n">
        <x:f>IF(AL2350=0,"",1+COUNTIFS($AL$2051:$AL$2550,1,$T$2051:$T$2550,"&gt;"&amp;T2350))</x:f>
        <x:v>20</x:v>
      </x:c>
      <x:c r="Y2350" s="1" t="n">
        <x:f>IF(AND(H2350="Yes",OR(LEN('School Search'!$B$5)=0,ISNUMBER(SEARCH('School Search'!$B$5,B2350&amp;" "&amp;E2350&amp;" "&amp;A2350))),OR('School Search'!$D$5="All",C2350='School Search'!$D$5),OR('School Search'!$G$5="All eligible",AND('School Search'!$G$5="Not marked served",J2350&lt;&gt;"Yes"),AND('School Search'!$G$5="Missing data",V2350="Missing data"),AND('School Search'!$G$5="Marked served",J2350="Yes"))),1,0)</x:f>
        <x:v>1</x:v>
      </x:c>
      <x:c r="Z2350" s="1" t="n">
        <x:f>IF(Y2350=0,"",COUNTIFS($Y$2051:$Y$2550,1,$AO$2051:$AO$2550,"&lt;"&amp;AO2350)+COUNTIFS($Y$2051:Y2350,1,$AO$2051:AO2350,AO2350))</x:f>
        <x:v>21</x:v>
      </x:c>
      <x:c r="AA2350" s="1" t="str">
        <x:f>IF(NOT(ISNUMBER(S2350)),"Missing demographic or access input",TEXT(G2350,"0%")&amp;" economic need; "&amp;TEXT(K2350,"0.00")&amp;" mi fresh access; "&amp;L2350&amp;" nearby resources")</x:f>
        <x:v>74% economic need; 0.82 mi fresh access; 2 nearby resources</x:v>
      </x:c>
      <x:c r="AB2350" s="1" t="n">
        <x:f>IF(OR(A2350="",COUNTIFS($A$1531:$A$2030,A2350)&lt;&gt;1),0,MATCH(A2350,$A$1531:$A$2030,0))</x:f>
        <x:v>300</x:v>
      </x:c>
      <x:c r="AC2350" s="1" t="str">
        <x:f>IF(AB2350=0,"",INDEX($E$1531:$E$2030,AB2350))</x:f>
        <x:v>ACME 787</x:v>
      </x:c>
      <x:c r="AD2350" s="1" t="str">
        <x:f>IF(AB2350=0,"",INDEX($F$1531:$F$2030,AB2350))</x:f>
        <x:v>6640 Oxford Ave, Philadelphia, PA, 19111</x:v>
      </x:c>
      <x:c r="AE2350" s="1" t="str">
        <x:f>IF(A2350="","",F301)</x:f>
        <x:v>7350 BINGHAM ST</x:v>
      </x:c>
      <x:c r="AF2350" s="1" t="n">
        <x:f>IF(ISNUMBER(I301),I301,"")</x:f>
        <x:v>40.06144841</x:v>
      </x:c>
      <x:c r="AG2350" s="1" t="n">
        <x:f>IF(ISNUMBER(J301),J301,"")</x:f>
        <x:v>-75.08155085</x:v>
      </x:c>
      <x:c r="AH2350" s="1" t="str">
        <x:f>IF(I2350=0,"Not contacted",IF(INDEX('Staff Review'!$J$8:$J$507,I2350)="","Not contacted",INDEX('Staff Review'!$J$8:$J$507,I2350)))</x:f>
        <x:v>Not contacted</x:v>
      </x:c>
      <x:c r="AI2350" s="1" t="str">
        <x:f>IF(I2350=0,"No",IF(AND(COUNT(INDEX('Staff Review'!$D$8:$D$507,I2350))=1,INDEX('Staff Review'!$D$8:$D$507,I2350)&gt;=0,COUNT(INDEX('Staff Review'!$E$8:$E$507,I2350))=1,INDEX('Staff Review'!$E$8:$E$507,I2350)&gt;0,INDEX('Staff Review'!$E$8:$E$507,I2350)&lt;='Top 15'!$E$5,'Top 15'!$E$5-INDEX('Staff Review'!$E$8:$E$507,I2350)&lt;='Top 15'!$H$5,LEN(INDEX('Staff Review'!$H$8:$H$507,I2350))&gt;0),"Yes","No"))</x:f>
        <x:v>No</x:v>
      </x:c>
      <x:c r="AJ2350" s="1" t="str">
        <x:f>IF(I2350=0,"No",IF(COUNT(INDEX('Staff Review'!$F$8:$F$507,I2350))&lt;&gt;1,"No",IF(AND(INDEX('Staff Review'!$F$8:$F$507,I2350)&gt;=0,MOD(INDEX('Staff Review'!$F$8:$F$507,I2350),1)=0,COUNT(INDEX('Staff Review'!$G$8:$G$507,I2350))=1,INDEX('Staff Review'!$G$8:$G$507,I2350)&gt;0,INDEX('Staff Review'!$G$8:$G$507,I2350)&lt;='Top 15'!$E$5,'Top 15'!$E$5-INDEX('Staff Review'!$G$8:$G$507,I2350)&lt;='Top 15'!$H$5,LEN(INDEX('Staff Review'!$H$8:$H$507,I2350))&gt;0),"Yes","No")))</x:f>
        <x:v>No</x:v>
      </x:c>
      <x:c r="AK2350" s="1" t="n">
        <x:f>IF(A2350="",0,COUNTIFS($A$2:$A$501,A2350))</x:f>
        <x:v>1</x:v>
      </x:c>
      <x:c r="AL2350" s="1" t="n">
        <x:f>IF(V2350="Candidate",1,0)</x:f>
        <x:v>1</x:v>
      </x:c>
      <x:c r="AM2350" s="1" t="n">
        <x:f>IF(A2350="",0,VALUE(A2350))</x:f>
        <x:v>8230</x:v>
      </x:c>
      <x:c r="AN2350" s="1" t="n">
        <x:f>IF(OR(A2350="",COUNTIFS($T$41:$T$540,A2350)&lt;&gt;1),0,MATCH(A2350,$T$41:$T$540,0))</x:f>
        <x:v>300</x:v>
      </x:c>
      <x:c r="AO2350" t="n">
        <x:f>IF(ISNUMBER(W2350),W2350,10000+AM2350)</x:f>
        <x:v>21</x:v>
      </x:c>
    </x:row>
    <x:row r="2351" ht="22" customHeight="1">
      <x:c r="A2351" s="1" t="str">
        <x:f>IF(A302="","",A302)</x:f>
        <x:v>8240</x:v>
      </x:c>
      <x:c r="B2351" s="1" t="str">
        <x:f>IF(A2351="","",B302)</x:f>
        <x:v>Hamilton Disston School</x:v>
      </x:c>
      <x:c r="C2351" s="1" t="str">
        <x:f>IF(A2351="","",C302)</x:f>
        <x:v>District</x:v>
      </x:c>
      <x:c r="D2351" s="1" t="str">
        <x:f>IF(A2351="","",E302)</x:f>
        <x:v>Elementary-Middle</x:v>
      </x:c>
      <x:c r="E2351" s="1" t="str">
        <x:f>IF(A2351="","",H302)</x:f>
        <x:v>19135</x:v>
      </x:c>
      <x:c r="F2351" s="1" t="n">
        <x:f>IF(ISNUMBER(K302),K302,"")</x:f>
        <x:v>686</x:v>
      </x:c>
      <x:c r="G2351" s="1" t="n">
        <x:f>IF(ISNUMBER(L302),L302,"")</x:f>
        <x:v>0.8148</x:v>
      </x:c>
      <x:c r="H2351" s="1" t="str">
        <x:f>IF(A2351="","",IF(AND(UPPER(G302)="PHILADELPHIA",OR(C2351="District",AND(C2351="Charter",D302="Yes"))),"Yes","No"))</x:f>
        <x:v>Yes</x:v>
      </x:c>
      <x:c r="I2351" s="1" t="n">
        <x:f>IF(OR(A2351="",COUNTIFS('Staff Review'!$A$8:$A$507,A2351)&lt;&gt;1),0,MATCH(A2351,'Staff Review'!$A$8:$A$507,0))</x:f>
        <x:v>106</x:v>
      </x:c>
      <x:c r="J2351" s="1" t="str">
        <x:f>IF(I2351=0,"No",IF(INDEX('Staff Review'!$C$8:$C$507,I2351)="Yes","Yes","No"))</x:f>
        <x:v>No</x:v>
      </x:c>
      <x:c r="K2351" s="1" t="n">
        <x:f>IF(AI2351="Yes",INDEX('Staff Review'!$D$8:$D$507,I2351),IF(AB2351=0,"",IF(COUNT(INDEX($C$1531:$C$2030,AB2351))=1,INDEX($C$1531:$C$2030,AB2351),"")))</x:f>
        <x:v>0.3144668970186295</x:v>
      </x:c>
      <x:c r="L2351" s="1" t="n">
        <x:f>IF(AJ2351="Yes",INDEX('Staff Review'!$F$8:$F$507,I2351),IF(AB2351=0,"",IF(COUNT(INDEX($G$1531:$G$2030,AB2351))=1,INDEX($G$1531:$G$2030,AB2351),"")))</x:f>
        <x:v>6</x:v>
      </x:c>
      <x:c r="M2351" s="1" t="str">
        <x:f>IF(A2351="","",IF(AI2351="Yes","Verified","Listed"))</x:f>
        <x:v>Listed</x:v>
      </x:c>
      <x:c r="N2351" s="1" t="str">
        <x:f>IF(A2351="","",IF(AJ2351="Yes","Verified","Listed"))</x:f>
        <x:v>Listed</x:v>
      </x:c>
      <x:c r="O2351" s="1" t="n">
        <x:f>IF(AND(ISNUMBER(G2351),G2351&gt;=0,G2351&lt;=1),IF(G2351&gt;=0.9,30,IF(G2351&gt;=0.8,25,IF(G2351&gt;=0.7,20,IF(G2351&gt;=0.6,15,IF(G2351&gt;=0.5,10,IF(G2351&gt;=0.4,5,0)))))),"")</x:f>
        <x:v>25</x:v>
      </x:c>
      <x:c r="P2351" s="1" t="n">
        <x:f>IF(ISNUMBER(K2351),IF(K2351&lt;0,"",IF(K2351&gt;1,25,IF(K2351&gt;=0.75,20,IF(K2351&gt;=0.5,15,IF(K2351&gt;=0.25,10,5))))),"")</x:f>
        <x:v>10</x:v>
      </x:c>
      <x:c r="Q2351" s="1" t="n">
        <x:f>IF(NOT(ISNUMBER(L2351)),"",IF(AND(L2351&gt;=0,MOD(L2351,1)=0),MAX(0,25-5*L2351),""))</x:f>
        <x:v>0</x:v>
      </x:c>
      <x:c r="R2351" s="1" t="n">
        <x:f>IF(NOT(ISNUMBER(F2351)),"",IF(AND(F2351&gt;0,MOD(F2351,1)=0),IF(F2351&gt;=700,5,IF(F2351&gt;=500,4,IF(F2351&gt;=350,3,IF(F2351&gt;=200,2,1)))),""))</x:f>
        <x:v>4</x:v>
      </x:c>
      <x:c r="S2351" s="1" t="n">
        <x:f>IF(COUNT(O2351:R2351)=4,SUM(O2351:R2351),"")</x:f>
        <x:v>39</x:v>
      </x:c>
      <x:c r="T2351" s="1" t="n">
        <x:f>IF(OR(COUNT(O2351:R2351)&lt;&gt;4,COUNT('Top 15'!$B$35:$E$35)&lt;&gt;4,MIN('Top 15'!$B$35:$E$35)&lt;0,SUM('Top 15'!$B$35:$E$35)&lt;=0),"",ROUND(85*(O2351/30*'Top 15'!$B$35+P2351/25*'Top 15'!$C$35+Q2351/25*'Top 15'!$D$35+R2351/5*'Top 15'!$E$35)/SUM('Top 15'!$B$35:$E$35),6))</x:f>
        <x:v>39</x:v>
      </x:c>
      <x:c r="U2351" s="1" t="str">
        <x:f>IF(A2351="","",IF(AND(M2351="Verified",N2351="Verified"),"Verified",IF(AND(M2351="Listed",N2351="Listed"),"Listed","Mixed")))</x:f>
        <x:v>Listed</x:v>
      </x:c>
      <x:c r="V2351" s="1" t="str">
        <x:f>IF(A2351="","",IF(AK2351&lt;&gt;1,"Duplicate source ID",IF(COUNTIFS('Staff Review'!$A$8:$A$507,A2351)&gt;1,"Duplicate review ID",IF(H2351&lt;&gt;"Yes","Outside scope",IF(J2351="Yes","Already served",IF(NOT(ISNUMBER(T2351)),"Missing data","Candidate"))))))</x:f>
        <x:v>Candidate</x:v>
      </x:c>
      <x:c r="W2351" s="1" t="n">
        <x:f>IF(AL2351=0,"",1+COUNTIFS($AL$2051:$AL$2550,1,$T$2051:$T$2550,"&gt;"&amp;T2351)+COUNTIFS($AL$2051:$AL$2550,1,$T$2051:$T$2550,T2351,$G$2051:$G$2550,"&gt;"&amp;G2351)+COUNTIFS($AL$2051:$AL$2550,1,$T$2051:$T$2550,T2351,$G$2051:$G$2550,G2351,$F$2051:$F$2550,"&gt;"&amp;F2351)+COUNTIFS($AL$2051:$AL$2550,1,$T$2051:$T$2550,T2351,$G$2051:$G$2550,G2351,$F$2051:$F$2550,F2351,$AM$2051:$AM$2550,"&lt;"&amp;AM2351))</x:f>
        <x:v>158</x:v>
      </x:c>
      <x:c r="X2351" s="1" t="n">
        <x:f>IF(AL2351=0,"",1+COUNTIFS($AL$2051:$AL$2550,1,$T$2051:$T$2550,"&gt;"&amp;T2351))</x:f>
        <x:v>148</x:v>
      </x:c>
      <x:c r="Y2351" s="1" t="n">
        <x:f>IF(AND(H2351="Yes",OR(LEN('School Search'!$B$5)=0,ISNUMBER(SEARCH('School Search'!$B$5,B2351&amp;" "&amp;E2351&amp;" "&amp;A2351))),OR('School Search'!$D$5="All",C2351='School Search'!$D$5),OR('School Search'!$G$5="All eligible",AND('School Search'!$G$5="Not marked served",J2351&lt;&gt;"Yes"),AND('School Search'!$G$5="Missing data",V2351="Missing data"),AND('School Search'!$G$5="Marked served",J2351="Yes"))),1,0)</x:f>
        <x:v>1</x:v>
      </x:c>
      <x:c r="Z2351" s="1" t="n">
        <x:f>IF(Y2351=0,"",COUNTIFS($Y$2051:$Y$2550,1,$AO$2051:$AO$2550,"&lt;"&amp;AO2351)+COUNTIFS($Y$2051:Y2351,1,$AO$2051:AO2351,AO2351))</x:f>
        <x:v>158</x:v>
      </x:c>
      <x:c r="AA2351" s="1" t="str">
        <x:f>IF(NOT(ISNUMBER(S2351)),"Missing demographic or access input",TEXT(G2351,"0%")&amp;" economic need; "&amp;TEXT(K2351,"0.00")&amp;" mi fresh access; "&amp;L2351&amp;" nearby resources")</x:f>
        <x:v>81% economic need; 0.31 mi fresh access; 6 nearby resources</x:v>
      </x:c>
      <x:c r="AB2351" s="1" t="n">
        <x:f>IF(OR(A2351="",COUNTIFS($A$1531:$A$2030,A2351)&lt;&gt;1),0,MATCH(A2351,$A$1531:$A$2030,0))</x:f>
        <x:v>301</x:v>
      </x:c>
      <x:c r="AC2351" s="1" t="str">
        <x:f>IF(AB2351=0,"",INDEX($E$1531:$E$2030,AB2351))</x:f>
        <x:v>SAVE-A-LOT 60132</x:v>
      </x:c>
      <x:c r="AD2351" s="1" t="str">
        <x:f>IF(AB2351=0,"",INDEX($F$1531:$F$2030,AB2351))</x:f>
        <x:v>6801 Frankford Ave, Philadelphia, PA, 19135</x:v>
      </x:c>
      <x:c r="AE2351" s="1" t="str">
        <x:f>IF(A2351="","",F302)</x:f>
        <x:v>6801 COTTAGE ST</x:v>
      </x:c>
      <x:c r="AF2351" s="1" t="n">
        <x:f>IF(ISNUMBER(I302),I302,"")</x:f>
        <x:v>40.02836911</x:v>
      </x:c>
      <x:c r="AG2351" s="1" t="n">
        <x:f>IF(ISNUMBER(J302),J302,"")</x:f>
        <x:v>-75.04658904</x:v>
      </x:c>
      <x:c r="AH2351" s="1" t="str">
        <x:f>IF(I2351=0,"Not contacted",IF(INDEX('Staff Review'!$J$8:$J$507,I2351)="","Not contacted",INDEX('Staff Review'!$J$8:$J$507,I2351)))</x:f>
        <x:v>Not contacted</x:v>
      </x:c>
      <x:c r="AI2351" s="1" t="str">
        <x:f>IF(I2351=0,"No",IF(AND(COUNT(INDEX('Staff Review'!$D$8:$D$507,I2351))=1,INDEX('Staff Review'!$D$8:$D$507,I2351)&gt;=0,COUNT(INDEX('Staff Review'!$E$8:$E$507,I2351))=1,INDEX('Staff Review'!$E$8:$E$507,I2351)&gt;0,INDEX('Staff Review'!$E$8:$E$507,I2351)&lt;='Top 15'!$E$5,'Top 15'!$E$5-INDEX('Staff Review'!$E$8:$E$507,I2351)&lt;='Top 15'!$H$5,LEN(INDEX('Staff Review'!$H$8:$H$507,I2351))&gt;0),"Yes","No"))</x:f>
        <x:v>No</x:v>
      </x:c>
      <x:c r="AJ2351" s="1" t="str">
        <x:f>IF(I2351=0,"No",IF(COUNT(INDEX('Staff Review'!$F$8:$F$507,I2351))&lt;&gt;1,"No",IF(AND(INDEX('Staff Review'!$F$8:$F$507,I2351)&gt;=0,MOD(INDEX('Staff Review'!$F$8:$F$507,I2351),1)=0,COUNT(INDEX('Staff Review'!$G$8:$G$507,I2351))=1,INDEX('Staff Review'!$G$8:$G$507,I2351)&gt;0,INDEX('Staff Review'!$G$8:$G$507,I2351)&lt;='Top 15'!$E$5,'Top 15'!$E$5-INDEX('Staff Review'!$G$8:$G$507,I2351)&lt;='Top 15'!$H$5,LEN(INDEX('Staff Review'!$H$8:$H$507,I2351))&gt;0),"Yes","No")))</x:f>
        <x:v>No</x:v>
      </x:c>
      <x:c r="AK2351" s="1" t="n">
        <x:f>IF(A2351="",0,COUNTIFS($A$2:$A$501,A2351))</x:f>
        <x:v>1</x:v>
      </x:c>
      <x:c r="AL2351" s="1" t="n">
        <x:f>IF(V2351="Candidate",1,0)</x:f>
        <x:v>1</x:v>
      </x:c>
      <x:c r="AM2351" s="1" t="n">
        <x:f>IF(A2351="",0,VALUE(A2351))</x:f>
        <x:v>8240</x:v>
      </x:c>
      <x:c r="AN2351" s="1" t="n">
        <x:f>IF(OR(A2351="",COUNTIFS($T$41:$T$540,A2351)&lt;&gt;1),0,MATCH(A2351,$T$41:$T$540,0))</x:f>
        <x:v>301</x:v>
      </x:c>
      <x:c r="AO2351" t="n">
        <x:f>IF(ISNUMBER(W2351),W2351,10000+AM2351)</x:f>
        <x:v>158</x:v>
      </x:c>
    </x:row>
    <x:row r="2352" ht="22" customHeight="1">
      <x:c r="A2352" s="1" t="str">
        <x:f>IF(A303="","",A303)</x:f>
        <x:v>8250</x:v>
      </x:c>
      <x:c r="B2352" s="1" t="str">
        <x:f>IF(A2352="","",B303)</x:f>
        <x:v>Edwin Forrest School</x:v>
      </x:c>
      <x:c r="C2352" s="1" t="str">
        <x:f>IF(A2352="","",C303)</x:f>
        <x:v>District</x:v>
      </x:c>
      <x:c r="D2352" s="1" t="str">
        <x:f>IF(A2352="","",E303)</x:f>
        <x:v>Elementary</x:v>
      </x:c>
      <x:c r="E2352" s="1" t="str">
        <x:f>IF(A2352="","",H303)</x:f>
        <x:v>19136</x:v>
      </x:c>
      <x:c r="F2352" s="1" t="n">
        <x:f>IF(ISNUMBER(K303),K303,"")</x:f>
        <x:v>798</x:v>
      </x:c>
      <x:c r="G2352" s="1" t="n">
        <x:f>IF(ISNUMBER(L303),L303,"")</x:f>
        <x:v>0.776</x:v>
      </x:c>
      <x:c r="H2352" s="1" t="str">
        <x:f>IF(A2352="","",IF(AND(UPPER(G303)="PHILADELPHIA",OR(C2352="District",AND(C2352="Charter",D303="Yes"))),"Yes","No"))</x:f>
        <x:v>Yes</x:v>
      </x:c>
      <x:c r="I2352" s="1" t="n">
        <x:f>IF(OR(A2352="",COUNTIFS('Staff Review'!$A$8:$A$507,A2352)&lt;&gt;1),0,MATCH(A2352,'Staff Review'!$A$8:$A$507,0))</x:f>
        <x:v>58</x:v>
      </x:c>
      <x:c r="J2352" s="1" t="str">
        <x:f>IF(I2352=0,"No",IF(INDEX('Staff Review'!$C$8:$C$507,I2352)="Yes","Yes","No"))</x:f>
        <x:v>No</x:v>
      </x:c>
      <x:c r="K2352" s="1" t="n">
        <x:f>IF(AI2352="Yes",INDEX('Staff Review'!$D$8:$D$507,I2352),IF(AB2352=0,"",IF(COUNT(INDEX($C$1531:$C$2030,AB2352))=1,INDEX($C$1531:$C$2030,AB2352),"")))</x:f>
        <x:v>0.7703459815748348</x:v>
      </x:c>
      <x:c r="L2352" s="1" t="n">
        <x:f>IF(AJ2352="Yes",INDEX('Staff Review'!$F$8:$F$507,I2352),IF(AB2352=0,"",IF(COUNT(INDEX($G$1531:$G$2030,AB2352))=1,INDEX($G$1531:$G$2030,AB2352),"")))</x:f>
        <x:v>3</x:v>
      </x:c>
      <x:c r="M2352" s="1" t="str">
        <x:f>IF(A2352="","",IF(AI2352="Yes","Verified","Listed"))</x:f>
        <x:v>Listed</x:v>
      </x:c>
      <x:c r="N2352" s="1" t="str">
        <x:f>IF(A2352="","",IF(AJ2352="Yes","Verified","Listed"))</x:f>
        <x:v>Listed</x:v>
      </x:c>
      <x:c r="O2352" s="1" t="n">
        <x:f>IF(AND(ISNUMBER(G2352),G2352&gt;=0,G2352&lt;=1),IF(G2352&gt;=0.9,30,IF(G2352&gt;=0.8,25,IF(G2352&gt;=0.7,20,IF(G2352&gt;=0.6,15,IF(G2352&gt;=0.5,10,IF(G2352&gt;=0.4,5,0)))))),"")</x:f>
        <x:v>20</x:v>
      </x:c>
      <x:c r="P2352" s="1" t="n">
        <x:f>IF(ISNUMBER(K2352),IF(K2352&lt;0,"",IF(K2352&gt;1,25,IF(K2352&gt;=0.75,20,IF(K2352&gt;=0.5,15,IF(K2352&gt;=0.25,10,5))))),"")</x:f>
        <x:v>20</x:v>
      </x:c>
      <x:c r="Q2352" s="1" t="n">
        <x:f>IF(NOT(ISNUMBER(L2352)),"",IF(AND(L2352&gt;=0,MOD(L2352,1)=0),MAX(0,25-5*L2352),""))</x:f>
        <x:v>10</x:v>
      </x:c>
      <x:c r="R2352" s="1" t="n">
        <x:f>IF(NOT(ISNUMBER(F2352)),"",IF(AND(F2352&gt;0,MOD(F2352,1)=0),IF(F2352&gt;=700,5,IF(F2352&gt;=500,4,IF(F2352&gt;=350,3,IF(F2352&gt;=200,2,1)))),""))</x:f>
        <x:v>5</x:v>
      </x:c>
      <x:c r="S2352" s="1" t="n">
        <x:f>IF(COUNT(O2352:R2352)=4,SUM(O2352:R2352),"")</x:f>
        <x:v>55</x:v>
      </x:c>
      <x:c r="T2352" s="1" t="n">
        <x:f>IF(OR(COUNT(O2352:R2352)&lt;&gt;4,COUNT('Top 15'!$B$35:$E$35)&lt;&gt;4,MIN('Top 15'!$B$35:$E$35)&lt;0,SUM('Top 15'!$B$35:$E$35)&lt;=0),"",ROUND(85*(O2352/30*'Top 15'!$B$35+P2352/25*'Top 15'!$C$35+Q2352/25*'Top 15'!$D$35+R2352/5*'Top 15'!$E$35)/SUM('Top 15'!$B$35:$E$35),6))</x:f>
        <x:v>55</x:v>
      </x:c>
      <x:c r="U2352" s="1" t="str">
        <x:f>IF(A2352="","",IF(AND(M2352="Verified",N2352="Verified"),"Verified",IF(AND(M2352="Listed",N2352="Listed"),"Listed","Mixed")))</x:f>
        <x:v>Listed</x:v>
      </x:c>
      <x:c r="V2352" s="1" t="str">
        <x:f>IF(A2352="","",IF(AK2352&lt;&gt;1,"Duplicate source ID",IF(COUNTIFS('Staff Review'!$A$8:$A$507,A2352)&gt;1,"Duplicate review ID",IF(H2352&lt;&gt;"Yes","Outside scope",IF(J2352="Yes","Already served",IF(NOT(ISNUMBER(T2352)),"Missing data","Candidate"))))))</x:f>
        <x:v>Candidate</x:v>
      </x:c>
      <x:c r="W2352" s="1" t="n">
        <x:f>IF(AL2352=0,"",1+COUNTIFS($AL$2051:$AL$2550,1,$T$2051:$T$2550,"&gt;"&amp;T2352)+COUNTIFS($AL$2051:$AL$2550,1,$T$2051:$T$2550,T2352,$G$2051:$G$2550,"&gt;"&amp;G2352)+COUNTIFS($AL$2051:$AL$2550,1,$T$2051:$T$2550,T2352,$G$2051:$G$2550,G2352,$F$2051:$F$2550,"&gt;"&amp;F2352)+COUNTIFS($AL$2051:$AL$2550,1,$T$2051:$T$2550,T2352,$G$2051:$G$2550,G2352,$F$2051:$F$2550,F2352,$AM$2051:$AM$2550,"&lt;"&amp;AM2352))</x:f>
        <x:v>25</x:v>
      </x:c>
      <x:c r="X2352" s="1" t="n">
        <x:f>IF(AL2352=0,"",1+COUNTIFS($AL$2051:$AL$2550,1,$T$2051:$T$2550,"&gt;"&amp;T2352))</x:f>
        <x:v>24</x:v>
      </x:c>
      <x:c r="Y2352" s="1" t="n">
        <x:f>IF(AND(H2352="Yes",OR(LEN('School Search'!$B$5)=0,ISNUMBER(SEARCH('School Search'!$B$5,B2352&amp;" "&amp;E2352&amp;" "&amp;A2352))),OR('School Search'!$D$5="All",C2352='School Search'!$D$5),OR('School Search'!$G$5="All eligible",AND('School Search'!$G$5="Not marked served",J2352&lt;&gt;"Yes"),AND('School Search'!$G$5="Missing data",V2352="Missing data"),AND('School Search'!$G$5="Marked served",J2352="Yes"))),1,0)</x:f>
        <x:v>1</x:v>
      </x:c>
      <x:c r="Z2352" s="1" t="n">
        <x:f>IF(Y2352=0,"",COUNTIFS($Y$2051:$Y$2550,1,$AO$2051:$AO$2550,"&lt;"&amp;AO2352)+COUNTIFS($Y$2051:Y2352,1,$AO$2051:AO2352,AO2352))</x:f>
        <x:v>25</x:v>
      </x:c>
      <x:c r="AA2352" s="1" t="str">
        <x:f>IF(NOT(ISNUMBER(S2352)),"Missing demographic or access input",TEXT(G2352,"0%")&amp;" economic need; "&amp;TEXT(K2352,"0.00")&amp;" mi fresh access; "&amp;L2352&amp;" nearby resources")</x:f>
        <x:v>78% economic need; 0.77 mi fresh access; 3 nearby resources</x:v>
      </x:c>
      <x:c r="AB2352" s="1" t="n">
        <x:f>IF(OR(A2352="",COUNTIFS($A$1531:$A$2030,A2352)&lt;&gt;1),0,MATCH(A2352,$A$1531:$A$2030,0))</x:f>
        <x:v>302</x:v>
      </x:c>
      <x:c r="AC2352" s="1" t="str">
        <x:f>IF(AB2352=0,"",INDEX($E$1531:$E$2030,AB2352))</x:f>
        <x:v>SAVE-A-LOT 60132</x:v>
      </x:c>
      <x:c r="AD2352" s="1" t="str">
        <x:f>IF(AB2352=0,"",INDEX($F$1531:$F$2030,AB2352))</x:f>
        <x:v>6801 Frankford Ave, Philadelphia, PA, 19135</x:v>
      </x:c>
      <x:c r="AE2352" s="1" t="str">
        <x:f>IF(A2352="","",F303)</x:f>
        <x:v>7300 COTTAGE ST</x:v>
      </x:c>
      <x:c r="AF2352" s="1" t="n">
        <x:f>IF(ISNUMBER(I303),I303,"")</x:f>
        <x:v>40.03444</x:v>
      </x:c>
      <x:c r="AG2352" s="1" t="n">
        <x:f>IF(ISNUMBER(J303),J303,"")</x:f>
        <x:v>-75.035891</x:v>
      </x:c>
      <x:c r="AH2352" s="1" t="str">
        <x:f>IF(I2352=0,"Not contacted",IF(INDEX('Staff Review'!$J$8:$J$507,I2352)="","Not contacted",INDEX('Staff Review'!$J$8:$J$507,I2352)))</x:f>
        <x:v>Not contacted</x:v>
      </x:c>
      <x:c r="AI2352" s="1" t="str">
        <x:f>IF(I2352=0,"No",IF(AND(COUNT(INDEX('Staff Review'!$D$8:$D$507,I2352))=1,INDEX('Staff Review'!$D$8:$D$507,I2352)&gt;=0,COUNT(INDEX('Staff Review'!$E$8:$E$507,I2352))=1,INDEX('Staff Review'!$E$8:$E$507,I2352)&gt;0,INDEX('Staff Review'!$E$8:$E$507,I2352)&lt;='Top 15'!$E$5,'Top 15'!$E$5-INDEX('Staff Review'!$E$8:$E$507,I2352)&lt;='Top 15'!$H$5,LEN(INDEX('Staff Review'!$H$8:$H$507,I2352))&gt;0),"Yes","No"))</x:f>
        <x:v>No</x:v>
      </x:c>
      <x:c r="AJ2352" s="1" t="str">
        <x:f>IF(I2352=0,"No",IF(COUNT(INDEX('Staff Review'!$F$8:$F$507,I2352))&lt;&gt;1,"No",IF(AND(INDEX('Staff Review'!$F$8:$F$507,I2352)&gt;=0,MOD(INDEX('Staff Review'!$F$8:$F$507,I2352),1)=0,COUNT(INDEX('Staff Review'!$G$8:$G$507,I2352))=1,INDEX('Staff Review'!$G$8:$G$507,I2352)&gt;0,INDEX('Staff Review'!$G$8:$G$507,I2352)&lt;='Top 15'!$E$5,'Top 15'!$E$5-INDEX('Staff Review'!$G$8:$G$507,I2352)&lt;='Top 15'!$H$5,LEN(INDEX('Staff Review'!$H$8:$H$507,I2352))&gt;0),"Yes","No")))</x:f>
        <x:v>No</x:v>
      </x:c>
      <x:c r="AK2352" s="1" t="n">
        <x:f>IF(A2352="",0,COUNTIFS($A$2:$A$501,A2352))</x:f>
        <x:v>1</x:v>
      </x:c>
      <x:c r="AL2352" s="1" t="n">
        <x:f>IF(V2352="Candidate",1,0)</x:f>
        <x:v>1</x:v>
      </x:c>
      <x:c r="AM2352" s="1" t="n">
        <x:f>IF(A2352="",0,VALUE(A2352))</x:f>
        <x:v>8250</x:v>
      </x:c>
      <x:c r="AN2352" s="1" t="n">
        <x:f>IF(OR(A2352="",COUNTIFS($T$41:$T$540,A2352)&lt;&gt;1),0,MATCH(A2352,$T$41:$T$540,0))</x:f>
        <x:v>302</x:v>
      </x:c>
      <x:c r="AO2352" t="n">
        <x:f>IF(ISNUMBER(W2352),W2352,10000+AM2352)</x:f>
        <x:v>25</x:v>
      </x:c>
    </x:row>
    <x:row r="2353" ht="22" customHeight="1">
      <x:c r="A2353" s="1" t="str">
        <x:f>IF(A304="","",A304)</x:f>
        <x:v>8260</x:v>
      </x:c>
      <x:c r="B2353" s="1" t="str">
        <x:f>IF(A2353="","",B304)</x:f>
        <x:v>Fox Chase School</x:v>
      </x:c>
      <x:c r="C2353" s="1" t="str">
        <x:f>IF(A2353="","",C304)</x:f>
        <x:v>District</x:v>
      </x:c>
      <x:c r="D2353" s="1" t="str">
        <x:f>IF(A2353="","",E304)</x:f>
        <x:v>Elementary</x:v>
      </x:c>
      <x:c r="E2353" s="1" t="str">
        <x:f>IF(A2353="","",H304)</x:f>
        <x:v>19111</x:v>
      </x:c>
      <x:c r="F2353" s="1" t="n">
        <x:f>IF(ISNUMBER(K304),K304,"")</x:f>
        <x:v>500</x:v>
      </x:c>
      <x:c r="G2353" s="1" t="n">
        <x:f>IF(ISNUMBER(L304),L304,"")</x:f>
        <x:v>0.6847</x:v>
      </x:c>
      <x:c r="H2353" s="1" t="str">
        <x:f>IF(A2353="","",IF(AND(UPPER(G304)="PHILADELPHIA",OR(C2353="District",AND(C2353="Charter",D304="Yes"))),"Yes","No"))</x:f>
        <x:v>Yes</x:v>
      </x:c>
      <x:c r="I2353" s="1" t="n">
        <x:f>IF(OR(A2353="",COUNTIFS('Staff Review'!$A$8:$A$507,A2353)&lt;&gt;1),0,MATCH(A2353,'Staff Review'!$A$8:$A$507,0))</x:f>
        <x:v>78</x:v>
      </x:c>
      <x:c r="J2353" s="1" t="str">
        <x:f>IF(I2353=0,"No",IF(INDEX('Staff Review'!$C$8:$C$507,I2353)="Yes","Yes","No"))</x:f>
        <x:v>No</x:v>
      </x:c>
      <x:c r="K2353" s="1" t="n">
        <x:f>IF(AI2353="Yes",INDEX('Staff Review'!$D$8:$D$507,I2353),IF(AB2353=0,"",IF(COUNT(INDEX($C$1531:$C$2030,AB2353))=1,INDEX($C$1531:$C$2030,AB2353),"")))</x:f>
        <x:v>0.8676567180951781</x:v>
      </x:c>
      <x:c r="L2353" s="1" t="n">
        <x:f>IF(AJ2353="Yes",INDEX('Staff Review'!$F$8:$F$507,I2353),IF(AB2353=0,"",IF(COUNT(INDEX($G$1531:$G$2030,AB2353))=1,INDEX($G$1531:$G$2030,AB2353),"")))</x:f>
        <x:v>2</x:v>
      </x:c>
      <x:c r="M2353" s="1" t="str">
        <x:f>IF(A2353="","",IF(AI2353="Yes","Verified","Listed"))</x:f>
        <x:v>Listed</x:v>
      </x:c>
      <x:c r="N2353" s="1" t="str">
        <x:f>IF(A2353="","",IF(AJ2353="Yes","Verified","Listed"))</x:f>
        <x:v>Listed</x:v>
      </x:c>
      <x:c r="O2353" s="1" t="n">
        <x:f>IF(AND(ISNUMBER(G2353),G2353&gt;=0,G2353&lt;=1),IF(G2353&gt;=0.9,30,IF(G2353&gt;=0.8,25,IF(G2353&gt;=0.7,20,IF(G2353&gt;=0.6,15,IF(G2353&gt;=0.5,10,IF(G2353&gt;=0.4,5,0)))))),"")</x:f>
        <x:v>15</x:v>
      </x:c>
      <x:c r="P2353" s="1" t="n">
        <x:f>IF(ISNUMBER(K2353),IF(K2353&lt;0,"",IF(K2353&gt;1,25,IF(K2353&gt;=0.75,20,IF(K2353&gt;=0.5,15,IF(K2353&gt;=0.25,10,5))))),"")</x:f>
        <x:v>20</x:v>
      </x:c>
      <x:c r="Q2353" s="1" t="n">
        <x:f>IF(NOT(ISNUMBER(L2353)),"",IF(AND(L2353&gt;=0,MOD(L2353,1)=0),MAX(0,25-5*L2353),""))</x:f>
        <x:v>15</x:v>
      </x:c>
      <x:c r="R2353" s="1" t="n">
        <x:f>IF(NOT(ISNUMBER(F2353)),"",IF(AND(F2353&gt;0,MOD(F2353,1)=0),IF(F2353&gt;=700,5,IF(F2353&gt;=500,4,IF(F2353&gt;=350,3,IF(F2353&gt;=200,2,1)))),""))</x:f>
        <x:v>4</x:v>
      </x:c>
      <x:c r="S2353" s="1" t="n">
        <x:f>IF(COUNT(O2353:R2353)=4,SUM(O2353:R2353),"")</x:f>
        <x:v>54</x:v>
      </x:c>
      <x:c r="T2353" s="1" t="n">
        <x:f>IF(OR(COUNT(O2353:R2353)&lt;&gt;4,COUNT('Top 15'!$B$35:$E$35)&lt;&gt;4,MIN('Top 15'!$B$35:$E$35)&lt;0,SUM('Top 15'!$B$35:$E$35)&lt;=0),"",ROUND(85*(O2353/30*'Top 15'!$B$35+P2353/25*'Top 15'!$C$35+Q2353/25*'Top 15'!$D$35+R2353/5*'Top 15'!$E$35)/SUM('Top 15'!$B$35:$E$35),6))</x:f>
        <x:v>54</x:v>
      </x:c>
      <x:c r="U2353" s="1" t="str">
        <x:f>IF(A2353="","",IF(AND(M2353="Verified",N2353="Verified"),"Verified",IF(AND(M2353="Listed",N2353="Listed"),"Listed","Mixed")))</x:f>
        <x:v>Listed</x:v>
      </x:c>
      <x:c r="V2353" s="1" t="str">
        <x:f>IF(A2353="","",IF(AK2353&lt;&gt;1,"Duplicate source ID",IF(COUNTIFS('Staff Review'!$A$8:$A$507,A2353)&gt;1,"Duplicate review ID",IF(H2353&lt;&gt;"Yes","Outside scope",IF(J2353="Yes","Already served",IF(NOT(ISNUMBER(T2353)),"Missing data","Candidate"))))))</x:f>
        <x:v>Candidate</x:v>
      </x:c>
      <x:c r="W2353" s="1" t="n">
        <x:f>IF(AL2353=0,"",1+COUNTIFS($AL$2051:$AL$2550,1,$T$2051:$T$2550,"&gt;"&amp;T2353)+COUNTIFS($AL$2051:$AL$2550,1,$T$2051:$T$2550,T2353,$G$2051:$G$2550,"&gt;"&amp;G2353)+COUNTIFS($AL$2051:$AL$2550,1,$T$2051:$T$2550,T2353,$G$2051:$G$2550,G2353,$F$2051:$F$2550,"&gt;"&amp;F2353)+COUNTIFS($AL$2051:$AL$2550,1,$T$2051:$T$2550,T2353,$G$2051:$G$2550,G2353,$F$2051:$F$2550,F2353,$AM$2051:$AM$2550,"&lt;"&amp;AM2353))</x:f>
        <x:v>34</x:v>
      </x:c>
      <x:c r="X2353" s="1" t="n">
        <x:f>IF(AL2353=0,"",1+COUNTIFS($AL$2051:$AL$2550,1,$T$2051:$T$2550,"&gt;"&amp;T2353))</x:f>
        <x:v>33</x:v>
      </x:c>
      <x:c r="Y2353" s="1" t="n">
        <x:f>IF(AND(H2353="Yes",OR(LEN('School Search'!$B$5)=0,ISNUMBER(SEARCH('School Search'!$B$5,B2353&amp;" "&amp;E2353&amp;" "&amp;A2353))),OR('School Search'!$D$5="All",C2353='School Search'!$D$5),OR('School Search'!$G$5="All eligible",AND('School Search'!$G$5="Not marked served",J2353&lt;&gt;"Yes"),AND('School Search'!$G$5="Missing data",V2353="Missing data"),AND('School Search'!$G$5="Marked served",J2353="Yes"))),1,0)</x:f>
        <x:v>1</x:v>
      </x:c>
      <x:c r="Z2353" s="1" t="n">
        <x:f>IF(Y2353=0,"",COUNTIFS($Y$2051:$Y$2550,1,$AO$2051:$AO$2550,"&lt;"&amp;AO2353)+COUNTIFS($Y$2051:Y2353,1,$AO$2051:AO2353,AO2353))</x:f>
        <x:v>34</x:v>
      </x:c>
      <x:c r="AA2353" s="1" t="str">
        <x:f>IF(NOT(ISNUMBER(S2353)),"Missing demographic or access input",TEXT(G2353,"0%")&amp;" economic need; "&amp;TEXT(K2353,"0.00")&amp;" mi fresh access; "&amp;L2353&amp;" nearby resources")</x:f>
        <x:v>68% economic need; 0.87 mi fresh access; 2 nearby resources</x:v>
      </x:c>
      <x:c r="AB2353" s="1" t="n">
        <x:f>IF(OR(A2353="",COUNTIFS($A$1531:$A$2030,A2353)&lt;&gt;1),0,MATCH(A2353,$A$1531:$A$2030,0))</x:f>
        <x:v>303</x:v>
      </x:c>
      <x:c r="AC2353" s="1" t="str">
        <x:f>IF(AB2353=0,"",INDEX($E$1531:$E$2030,AB2353))</x:f>
        <x:v>Giant Food Store 6509</x:v>
      </x:c>
      <x:c r="AD2353" s="1" t="str">
        <x:f>IF(AB2353=0,"",INDEX($F$1531:$F$2030,AB2353))</x:f>
        <x:v>737 Huntingdon Pike, Huntingdon Valley, PA, 19006</x:v>
      </x:c>
      <x:c r="AE2353" s="1" t="str">
        <x:f>IF(A2353="","",F304)</x:f>
        <x:v>500 RHAWN ST</x:v>
      </x:c>
      <x:c r="AF2353" s="1" t="n">
        <x:f>IF(ISNUMBER(I304),I304,"")</x:f>
        <x:v>40.076307</x:v>
      </x:c>
      <x:c r="AG2353" s="1" t="n">
        <x:f>IF(ISNUMBER(J304),J304,"")</x:f>
        <x:v>-75.082129</x:v>
      </x:c>
      <x:c r="AH2353" s="1" t="str">
        <x:f>IF(I2353=0,"Not contacted",IF(INDEX('Staff Review'!$J$8:$J$507,I2353)="","Not contacted",INDEX('Staff Review'!$J$8:$J$507,I2353)))</x:f>
        <x:v>Not contacted</x:v>
      </x:c>
      <x:c r="AI2353" s="1" t="str">
        <x:f>IF(I2353=0,"No",IF(AND(COUNT(INDEX('Staff Review'!$D$8:$D$507,I2353))=1,INDEX('Staff Review'!$D$8:$D$507,I2353)&gt;=0,COUNT(INDEX('Staff Review'!$E$8:$E$507,I2353))=1,INDEX('Staff Review'!$E$8:$E$507,I2353)&gt;0,INDEX('Staff Review'!$E$8:$E$507,I2353)&lt;='Top 15'!$E$5,'Top 15'!$E$5-INDEX('Staff Review'!$E$8:$E$507,I2353)&lt;='Top 15'!$H$5,LEN(INDEX('Staff Review'!$H$8:$H$507,I2353))&gt;0),"Yes","No"))</x:f>
        <x:v>No</x:v>
      </x:c>
      <x:c r="AJ2353" s="1" t="str">
        <x:f>IF(I2353=0,"No",IF(COUNT(INDEX('Staff Review'!$F$8:$F$507,I2353))&lt;&gt;1,"No",IF(AND(INDEX('Staff Review'!$F$8:$F$507,I2353)&gt;=0,MOD(INDEX('Staff Review'!$F$8:$F$507,I2353),1)=0,COUNT(INDEX('Staff Review'!$G$8:$G$507,I2353))=1,INDEX('Staff Review'!$G$8:$G$507,I2353)&gt;0,INDEX('Staff Review'!$G$8:$G$507,I2353)&lt;='Top 15'!$E$5,'Top 15'!$E$5-INDEX('Staff Review'!$G$8:$G$507,I2353)&lt;='Top 15'!$H$5,LEN(INDEX('Staff Review'!$H$8:$H$507,I2353))&gt;0),"Yes","No")))</x:f>
        <x:v>No</x:v>
      </x:c>
      <x:c r="AK2353" s="1" t="n">
        <x:f>IF(A2353="",0,COUNTIFS($A$2:$A$501,A2353))</x:f>
        <x:v>1</x:v>
      </x:c>
      <x:c r="AL2353" s="1" t="n">
        <x:f>IF(V2353="Candidate",1,0)</x:f>
        <x:v>1</x:v>
      </x:c>
      <x:c r="AM2353" s="1" t="n">
        <x:f>IF(A2353="",0,VALUE(A2353))</x:f>
        <x:v>8260</x:v>
      </x:c>
      <x:c r="AN2353" s="1" t="n">
        <x:f>IF(OR(A2353="",COUNTIFS($T$41:$T$540,A2353)&lt;&gt;1),0,MATCH(A2353,$T$41:$T$540,0))</x:f>
        <x:v>303</x:v>
      </x:c>
      <x:c r="AO2353" t="n">
        <x:f>IF(ISNUMBER(W2353),W2353,10000+AM2353)</x:f>
        <x:v>34</x:v>
      </x:c>
    </x:row>
    <x:row r="2354" ht="22" customHeight="1">
      <x:c r="A2354" s="1" t="str">
        <x:f>IF(A305="","",A305)</x:f>
        <x:v>8270</x:v>
      </x:c>
      <x:c r="B2354" s="1" t="str">
        <x:f>IF(A2354="","",B305)</x:f>
        <x:v>Thomas Holme School</x:v>
      </x:c>
      <x:c r="C2354" s="1" t="str">
        <x:f>IF(A2354="","",C305)</x:f>
        <x:v>District</x:v>
      </x:c>
      <x:c r="D2354" s="1" t="str">
        <x:f>IF(A2354="","",E305)</x:f>
        <x:v>Elementary-Middle</x:v>
      </x:c>
      <x:c r="E2354" s="1" t="str">
        <x:f>IF(A2354="","",H305)</x:f>
        <x:v>19114</x:v>
      </x:c>
      <x:c r="F2354" s="1" t="n">
        <x:f>IF(ISNUMBER(K305),K305,"")</x:f>
        <x:v>801</x:v>
      </x:c>
      <x:c r="G2354" s="1" t="n">
        <x:f>IF(ISNUMBER(L305),L305,"")</x:f>
        <x:v>0.7798</x:v>
      </x:c>
      <x:c r="H2354" s="1" t="str">
        <x:f>IF(A2354="","",IF(AND(UPPER(G305)="PHILADELPHIA",OR(C2354="District",AND(C2354="Charter",D305="Yes"))),"Yes","No"))</x:f>
        <x:v>Yes</x:v>
      </x:c>
      <x:c r="I2354" s="1" t="n">
        <x:f>IF(OR(A2354="",COUNTIFS('Staff Review'!$A$8:$A$507,A2354)&lt;&gt;1),0,MATCH(A2354,'Staff Review'!$A$8:$A$507,0))</x:f>
        <x:v>294</x:v>
      </x:c>
      <x:c r="J2354" s="1" t="str">
        <x:f>IF(I2354=0,"No",IF(INDEX('Staff Review'!$C$8:$C$507,I2354)="Yes","Yes","No"))</x:f>
        <x:v>No</x:v>
      </x:c>
      <x:c r="K2354" s="1" t="n">
        <x:f>IF(AI2354="Yes",INDEX('Staff Review'!$D$8:$D$507,I2354),IF(AB2354=0,"",IF(COUNT(INDEX($C$1531:$C$2030,AB2354))=1,INDEX($C$1531:$C$2030,AB2354),"")))</x:f>
        <x:v>0.2110836017486298</x:v>
      </x:c>
      <x:c r="L2354" s="1" t="n">
        <x:f>IF(AJ2354="Yes",INDEX('Staff Review'!$F$8:$F$507,I2354),IF(AB2354=0,"",IF(COUNT(INDEX($G$1531:$G$2030,AB2354))=1,INDEX($G$1531:$G$2030,AB2354),"")))</x:f>
        <x:v>1</x:v>
      </x:c>
      <x:c r="M2354" s="1" t="str">
        <x:f>IF(A2354="","",IF(AI2354="Yes","Verified","Listed"))</x:f>
        <x:v>Listed</x:v>
      </x:c>
      <x:c r="N2354" s="1" t="str">
        <x:f>IF(A2354="","",IF(AJ2354="Yes","Verified","Listed"))</x:f>
        <x:v>Listed</x:v>
      </x:c>
      <x:c r="O2354" s="1" t="n">
        <x:f>IF(AND(ISNUMBER(G2354),G2354&gt;=0,G2354&lt;=1),IF(G2354&gt;=0.9,30,IF(G2354&gt;=0.8,25,IF(G2354&gt;=0.7,20,IF(G2354&gt;=0.6,15,IF(G2354&gt;=0.5,10,IF(G2354&gt;=0.4,5,0)))))),"")</x:f>
        <x:v>20</x:v>
      </x:c>
      <x:c r="P2354" s="1" t="n">
        <x:f>IF(ISNUMBER(K2354),IF(K2354&lt;0,"",IF(K2354&gt;1,25,IF(K2354&gt;=0.75,20,IF(K2354&gt;=0.5,15,IF(K2354&gt;=0.25,10,5))))),"")</x:f>
        <x:v>5</x:v>
      </x:c>
      <x:c r="Q2354" s="1" t="n">
        <x:f>IF(NOT(ISNUMBER(L2354)),"",IF(AND(L2354&gt;=0,MOD(L2354,1)=0),MAX(0,25-5*L2354),""))</x:f>
        <x:v>20</x:v>
      </x:c>
      <x:c r="R2354" s="1" t="n">
        <x:f>IF(NOT(ISNUMBER(F2354)),"",IF(AND(F2354&gt;0,MOD(F2354,1)=0),IF(F2354&gt;=700,5,IF(F2354&gt;=500,4,IF(F2354&gt;=350,3,IF(F2354&gt;=200,2,1)))),""))</x:f>
        <x:v>5</x:v>
      </x:c>
      <x:c r="S2354" s="1" t="n">
        <x:f>IF(COUNT(O2354:R2354)=4,SUM(O2354:R2354),"")</x:f>
        <x:v>50</x:v>
      </x:c>
      <x:c r="T2354" s="1" t="n">
        <x:f>IF(OR(COUNT(O2354:R2354)&lt;&gt;4,COUNT('Top 15'!$B$35:$E$35)&lt;&gt;4,MIN('Top 15'!$B$35:$E$35)&lt;0,SUM('Top 15'!$B$35:$E$35)&lt;=0),"",ROUND(85*(O2354/30*'Top 15'!$B$35+P2354/25*'Top 15'!$C$35+Q2354/25*'Top 15'!$D$35+R2354/5*'Top 15'!$E$35)/SUM('Top 15'!$B$35:$E$35),6))</x:f>
        <x:v>50</x:v>
      </x:c>
      <x:c r="U2354" s="1" t="str">
        <x:f>IF(A2354="","",IF(AND(M2354="Verified",N2354="Verified"),"Verified",IF(AND(M2354="Listed",N2354="Listed"),"Listed","Mixed")))</x:f>
        <x:v>Listed</x:v>
      </x:c>
      <x:c r="V2354" s="1" t="str">
        <x:f>IF(A2354="","",IF(AK2354&lt;&gt;1,"Duplicate source ID",IF(COUNTIFS('Staff Review'!$A$8:$A$507,A2354)&gt;1,"Duplicate review ID",IF(H2354&lt;&gt;"Yes","Outside scope",IF(J2354="Yes","Already served",IF(NOT(ISNUMBER(T2354)),"Missing data","Candidate"))))))</x:f>
        <x:v>Candidate</x:v>
      </x:c>
      <x:c r="W2354" s="1" t="n">
        <x:f>IF(AL2354=0,"",1+COUNTIFS($AL$2051:$AL$2550,1,$T$2051:$T$2550,"&gt;"&amp;T2354)+COUNTIFS($AL$2051:$AL$2550,1,$T$2051:$T$2550,T2354,$G$2051:$G$2550,"&gt;"&amp;G2354)+COUNTIFS($AL$2051:$AL$2550,1,$T$2051:$T$2550,T2354,$G$2051:$G$2550,G2354,$F$2051:$F$2550,"&gt;"&amp;F2354)+COUNTIFS($AL$2051:$AL$2550,1,$T$2051:$T$2550,T2354,$G$2051:$G$2550,G2354,$F$2051:$F$2550,F2354,$AM$2051:$AM$2550,"&lt;"&amp;AM2354))</x:f>
        <x:v>43</x:v>
      </x:c>
      <x:c r="X2354" s="1" t="n">
        <x:f>IF(AL2354=0,"",1+COUNTIFS($AL$2051:$AL$2550,1,$T$2051:$T$2550,"&gt;"&amp;T2354))</x:f>
        <x:v>39</x:v>
      </x:c>
      <x:c r="Y2354" s="1" t="n">
        <x:f>IF(AND(H2354="Yes",OR(LEN('School Search'!$B$5)=0,ISNUMBER(SEARCH('School Search'!$B$5,B2354&amp;" "&amp;E2354&amp;" "&amp;A2354))),OR('School Search'!$D$5="All",C2354='School Search'!$D$5),OR('School Search'!$G$5="All eligible",AND('School Search'!$G$5="Not marked served",J2354&lt;&gt;"Yes"),AND('School Search'!$G$5="Missing data",V2354="Missing data"),AND('School Search'!$G$5="Marked served",J2354="Yes"))),1,0)</x:f>
        <x:v>1</x:v>
      </x:c>
      <x:c r="Z2354" s="1" t="n">
        <x:f>IF(Y2354=0,"",COUNTIFS($Y$2051:$Y$2550,1,$AO$2051:$AO$2550,"&lt;"&amp;AO2354)+COUNTIFS($Y$2051:Y2354,1,$AO$2051:AO2354,AO2354))</x:f>
        <x:v>43</x:v>
      </x:c>
      <x:c r="AA2354" s="1" t="str">
        <x:f>IF(NOT(ISNUMBER(S2354)),"Missing demographic or access input",TEXT(G2354,"0%")&amp;" economic need; "&amp;TEXT(K2354,"0.00")&amp;" mi fresh access; "&amp;L2354&amp;" nearby resources")</x:f>
        <x:v>78% economic need; 0.21 mi fresh access; 1 nearby resources</x:v>
      </x:c>
      <x:c r="AB2354" s="1" t="n">
        <x:f>IF(OR(A2354="",COUNTIFS($A$1531:$A$2030,A2354)&lt;&gt;1),0,MATCH(A2354,$A$1531:$A$2030,0))</x:f>
        <x:v>304</x:v>
      </x:c>
      <x:c r="AC2354" s="1" t="str">
        <x:f>IF(AB2354=0,"",INDEX($E$1531:$E$2030,AB2354))</x:f>
        <x:v>PJP Marketplace</x:v>
      </x:c>
      <x:c r="AD2354" s="1" t="str">
        <x:f>IF(AB2354=0,"",INDEX($F$1531:$F$2030,AB2354))</x:f>
        <x:v>8960 Frankford Avenue, Philadelphia, PA, 19136</x:v>
      </x:c>
      <x:c r="AE2354" s="1" t="str">
        <x:f>IF(A2354="","",F305)</x:f>
        <x:v>9125 ACADEMY RD</x:v>
      </x:c>
      <x:c r="AF2354" s="1" t="n">
        <x:f>IF(ISNUMBER(I305),I305,"")</x:f>
        <x:v>40.054988</x:v>
      </x:c>
      <x:c r="AG2354" s="1" t="n">
        <x:f>IF(ISNUMBER(J305),J305,"")</x:f>
        <x:v>-75.008965</x:v>
      </x:c>
      <x:c r="AH2354" s="1" t="str">
        <x:f>IF(I2354=0,"Not contacted",IF(INDEX('Staff Review'!$J$8:$J$507,I2354)="","Not contacted",INDEX('Staff Review'!$J$8:$J$507,I2354)))</x:f>
        <x:v>Not contacted</x:v>
      </x:c>
      <x:c r="AI2354" s="1" t="str">
        <x:f>IF(I2354=0,"No",IF(AND(COUNT(INDEX('Staff Review'!$D$8:$D$507,I2354))=1,INDEX('Staff Review'!$D$8:$D$507,I2354)&gt;=0,COUNT(INDEX('Staff Review'!$E$8:$E$507,I2354))=1,INDEX('Staff Review'!$E$8:$E$507,I2354)&gt;0,INDEX('Staff Review'!$E$8:$E$507,I2354)&lt;='Top 15'!$E$5,'Top 15'!$E$5-INDEX('Staff Review'!$E$8:$E$507,I2354)&lt;='Top 15'!$H$5,LEN(INDEX('Staff Review'!$H$8:$H$507,I2354))&gt;0),"Yes","No"))</x:f>
        <x:v>No</x:v>
      </x:c>
      <x:c r="AJ2354" s="1" t="str">
        <x:f>IF(I2354=0,"No",IF(COUNT(INDEX('Staff Review'!$F$8:$F$507,I2354))&lt;&gt;1,"No",IF(AND(INDEX('Staff Review'!$F$8:$F$507,I2354)&gt;=0,MOD(INDEX('Staff Review'!$F$8:$F$507,I2354),1)=0,COUNT(INDEX('Staff Review'!$G$8:$G$507,I2354))=1,INDEX('Staff Review'!$G$8:$G$507,I2354)&gt;0,INDEX('Staff Review'!$G$8:$G$507,I2354)&lt;='Top 15'!$E$5,'Top 15'!$E$5-INDEX('Staff Review'!$G$8:$G$507,I2354)&lt;='Top 15'!$H$5,LEN(INDEX('Staff Review'!$H$8:$H$507,I2354))&gt;0),"Yes","No")))</x:f>
        <x:v>No</x:v>
      </x:c>
      <x:c r="AK2354" s="1" t="n">
        <x:f>IF(A2354="",0,COUNTIFS($A$2:$A$501,A2354))</x:f>
        <x:v>1</x:v>
      </x:c>
      <x:c r="AL2354" s="1" t="n">
        <x:f>IF(V2354="Candidate",1,0)</x:f>
        <x:v>1</x:v>
      </x:c>
      <x:c r="AM2354" s="1" t="n">
        <x:f>IF(A2354="",0,VALUE(A2354))</x:f>
        <x:v>8270</x:v>
      </x:c>
      <x:c r="AN2354" s="1" t="n">
        <x:f>IF(OR(A2354="",COUNTIFS($T$41:$T$540,A2354)&lt;&gt;1),0,MATCH(A2354,$T$41:$T$540,0))</x:f>
        <x:v>304</x:v>
      </x:c>
      <x:c r="AO2354" t="n">
        <x:f>IF(ISNUMBER(W2354),W2354,10000+AM2354)</x:f>
        <x:v>43</x:v>
      </x:c>
    </x:row>
    <x:row r="2355" ht="22" customHeight="1">
      <x:c r="A2355" s="1" t="str">
        <x:f>IF(A306="","",A306)</x:f>
        <x:v>8300</x:v>
      </x:c>
      <x:c r="B2355" s="1" t="str">
        <x:f>IF(A2355="","",B306)</x:f>
        <x:v>Mayfair School</x:v>
      </x:c>
      <x:c r="C2355" s="1" t="str">
        <x:f>IF(A2355="","",C306)</x:f>
        <x:v>District</x:v>
      </x:c>
      <x:c r="D2355" s="1" t="str">
        <x:f>IF(A2355="","",E306)</x:f>
        <x:v>Elementary-Middle</x:v>
      </x:c>
      <x:c r="E2355" s="1" t="str">
        <x:f>IF(A2355="","",H306)</x:f>
        <x:v>19149</x:v>
      </x:c>
      <x:c r="F2355" s="1" t="n">
        <x:f>IF(ISNUMBER(K306),K306,"")</x:f>
        <x:v>1746</x:v>
      </x:c>
      <x:c r="G2355" s="1" t="n">
        <x:f>IF(ISNUMBER(L306),L306,"")</x:f>
        <x:v>0.7385</x:v>
      </x:c>
      <x:c r="H2355" s="1" t="str">
        <x:f>IF(A2355="","",IF(AND(UPPER(G306)="PHILADELPHIA",OR(C2355="District",AND(C2355="Charter",D306="Yes"))),"Yes","No"))</x:f>
        <x:v>Yes</x:v>
      </x:c>
      <x:c r="I2355" s="1" t="n">
        <x:f>IF(OR(A2355="",COUNTIFS('Staff Review'!$A$8:$A$507,A2355)&lt;&gt;1),0,MATCH(A2355,'Staff Review'!$A$8:$A$507,0))</x:f>
        <x:v>197</x:v>
      </x:c>
      <x:c r="J2355" s="1" t="str">
        <x:f>IF(I2355=0,"No",IF(INDEX('Staff Review'!$C$8:$C$507,I2355)="Yes","Yes","No"))</x:f>
        <x:v>No</x:v>
      </x:c>
      <x:c r="K2355" s="1" t="n">
        <x:f>IF(AI2355="Yes",INDEX('Staff Review'!$D$8:$D$507,I2355),IF(AB2355=0,"",IF(COUNT(INDEX($C$1531:$C$2030,AB2355))=1,INDEX($C$1531:$C$2030,AB2355),"")))</x:f>
        <x:v>0.18475066467909304</x:v>
      </x:c>
      <x:c r="L2355" s="1" t="n">
        <x:f>IF(AJ2355="Yes",INDEX('Staff Review'!$F$8:$F$507,I2355),IF(AB2355=0,"",IF(COUNT(INDEX($G$1531:$G$2030,AB2355))=1,INDEX($G$1531:$G$2030,AB2355),"")))</x:f>
        <x:v>2</x:v>
      </x:c>
      <x:c r="M2355" s="1" t="str">
        <x:f>IF(A2355="","",IF(AI2355="Yes","Verified","Listed"))</x:f>
        <x:v>Listed</x:v>
      </x:c>
      <x:c r="N2355" s="1" t="str">
        <x:f>IF(A2355="","",IF(AJ2355="Yes","Verified","Listed"))</x:f>
        <x:v>Listed</x:v>
      </x:c>
      <x:c r="O2355" s="1" t="n">
        <x:f>IF(AND(ISNUMBER(G2355),G2355&gt;=0,G2355&lt;=1),IF(G2355&gt;=0.9,30,IF(G2355&gt;=0.8,25,IF(G2355&gt;=0.7,20,IF(G2355&gt;=0.6,15,IF(G2355&gt;=0.5,10,IF(G2355&gt;=0.4,5,0)))))),"")</x:f>
        <x:v>20</x:v>
      </x:c>
      <x:c r="P2355" s="1" t="n">
        <x:f>IF(ISNUMBER(K2355),IF(K2355&lt;0,"",IF(K2355&gt;1,25,IF(K2355&gt;=0.75,20,IF(K2355&gt;=0.5,15,IF(K2355&gt;=0.25,10,5))))),"")</x:f>
        <x:v>5</x:v>
      </x:c>
      <x:c r="Q2355" s="1" t="n">
        <x:f>IF(NOT(ISNUMBER(L2355)),"",IF(AND(L2355&gt;=0,MOD(L2355,1)=0),MAX(0,25-5*L2355),""))</x:f>
        <x:v>15</x:v>
      </x:c>
      <x:c r="R2355" s="1" t="n">
        <x:f>IF(NOT(ISNUMBER(F2355)),"",IF(AND(F2355&gt;0,MOD(F2355,1)=0),IF(F2355&gt;=700,5,IF(F2355&gt;=500,4,IF(F2355&gt;=350,3,IF(F2355&gt;=200,2,1)))),""))</x:f>
        <x:v>5</x:v>
      </x:c>
      <x:c r="S2355" s="1" t="n">
        <x:f>IF(COUNT(O2355:R2355)=4,SUM(O2355:R2355),"")</x:f>
        <x:v>45</x:v>
      </x:c>
      <x:c r="T2355" s="1" t="n">
        <x:f>IF(OR(COUNT(O2355:R2355)&lt;&gt;4,COUNT('Top 15'!$B$35:$E$35)&lt;&gt;4,MIN('Top 15'!$B$35:$E$35)&lt;0,SUM('Top 15'!$B$35:$E$35)&lt;=0),"",ROUND(85*(O2355/30*'Top 15'!$B$35+P2355/25*'Top 15'!$C$35+Q2355/25*'Top 15'!$D$35+R2355/5*'Top 15'!$E$35)/SUM('Top 15'!$B$35:$E$35),6))</x:f>
        <x:v>45</x:v>
      </x:c>
      <x:c r="U2355" s="1" t="str">
        <x:f>IF(A2355="","",IF(AND(M2355="Verified",N2355="Verified"),"Verified",IF(AND(M2355="Listed",N2355="Listed"),"Listed","Mixed")))</x:f>
        <x:v>Listed</x:v>
      </x:c>
      <x:c r="V2355" s="1" t="str">
        <x:f>IF(A2355="","",IF(AK2355&lt;&gt;1,"Duplicate source ID",IF(COUNTIFS('Staff Review'!$A$8:$A$507,A2355)&gt;1,"Duplicate review ID",IF(H2355&lt;&gt;"Yes","Outside scope",IF(J2355="Yes","Already served",IF(NOT(ISNUMBER(T2355)),"Missing data","Candidate"))))))</x:f>
        <x:v>Candidate</x:v>
      </x:c>
      <x:c r="W2355" s="1" t="n">
        <x:f>IF(AL2355=0,"",1+COUNTIFS($AL$2051:$AL$2550,1,$T$2051:$T$2550,"&gt;"&amp;T2355)+COUNTIFS($AL$2051:$AL$2550,1,$T$2051:$T$2550,T2355,$G$2051:$G$2550,"&gt;"&amp;G2355)+COUNTIFS($AL$2051:$AL$2550,1,$T$2051:$T$2550,T2355,$G$2051:$G$2550,G2355,$F$2051:$F$2550,"&gt;"&amp;F2355)+COUNTIFS($AL$2051:$AL$2550,1,$T$2051:$T$2550,T2355,$G$2051:$G$2550,G2355,$F$2051:$F$2550,F2355,$AM$2051:$AM$2550,"&lt;"&amp;AM2355))</x:f>
        <x:v>78</x:v>
      </x:c>
      <x:c r="X2355" s="1" t="n">
        <x:f>IF(AL2355=0,"",1+COUNTIFS($AL$2051:$AL$2550,1,$T$2051:$T$2550,"&gt;"&amp;T2355))</x:f>
        <x:v>74</x:v>
      </x:c>
      <x:c r="Y2355" s="1" t="n">
        <x:f>IF(AND(H2355="Yes",OR(LEN('School Search'!$B$5)=0,ISNUMBER(SEARCH('School Search'!$B$5,B2355&amp;" "&amp;E2355&amp;" "&amp;A2355))),OR('School Search'!$D$5="All",C2355='School Search'!$D$5),OR('School Search'!$G$5="All eligible",AND('School Search'!$G$5="Not marked served",J2355&lt;&gt;"Yes"),AND('School Search'!$G$5="Missing data",V2355="Missing data"),AND('School Search'!$G$5="Marked served",J2355="Yes"))),1,0)</x:f>
        <x:v>1</x:v>
      </x:c>
      <x:c r="Z2355" s="1" t="n">
        <x:f>IF(Y2355=0,"",COUNTIFS($Y$2051:$Y$2550,1,$AO$2051:$AO$2550,"&lt;"&amp;AO2355)+COUNTIFS($Y$2051:Y2355,1,$AO$2051:AO2355,AO2355))</x:f>
        <x:v>78</x:v>
      </x:c>
      <x:c r="AA2355" s="1" t="str">
        <x:f>IF(NOT(ISNUMBER(S2355)),"Missing demographic or access input",TEXT(G2355,"0%")&amp;" economic need; "&amp;TEXT(K2355,"0.00")&amp;" mi fresh access; "&amp;L2355&amp;" nearby resources")</x:f>
        <x:v>74% economic need; 0.18 mi fresh access; 2 nearby resources</x:v>
      </x:c>
      <x:c r="AB2355" s="1" t="n">
        <x:f>IF(OR(A2355="",COUNTIFS($A$1531:$A$2030,A2355)&lt;&gt;1),0,MATCH(A2355,$A$1531:$A$2030,0))</x:f>
        <x:v>305</x:v>
      </x:c>
      <x:c r="AC2355" s="1" t="str">
        <x:f>IF(AB2355=0,"",INDEX($E$1531:$E$2030,AB2355))</x:f>
        <x:v>No.1 Asian Supermarket Inc</x:v>
      </x:c>
      <x:c r="AD2355" s="1" t="str">
        <x:f>IF(AB2355=0,"",INDEX($F$1531:$F$2030,AB2355))</x:f>
        <x:v>2842 Saint Vincent St, Philadelphia, PA, 19149</x:v>
      </x:c>
      <x:c r="AE2355" s="1" t="str">
        <x:f>IF(A2355="","",F306)</x:f>
        <x:v>3001 PRINCETON AVE</x:v>
      </x:c>
      <x:c r="AF2355" s="1" t="n">
        <x:f>IF(ISNUMBER(I306),I306,"")</x:f>
        <x:v>40.03945436</x:v>
      </x:c>
      <x:c r="AG2355" s="1" t="n">
        <x:f>IF(ISNUMBER(J306),J306,"")</x:f>
        <x:v>-75.05339332</x:v>
      </x:c>
      <x:c r="AH2355" s="1" t="str">
        <x:f>IF(I2355=0,"Not contacted",IF(INDEX('Staff Review'!$J$8:$J$507,I2355)="","Not contacted",INDEX('Staff Review'!$J$8:$J$507,I2355)))</x:f>
        <x:v>Not contacted</x:v>
      </x:c>
      <x:c r="AI2355" s="1" t="str">
        <x:f>IF(I2355=0,"No",IF(AND(COUNT(INDEX('Staff Review'!$D$8:$D$507,I2355))=1,INDEX('Staff Review'!$D$8:$D$507,I2355)&gt;=0,COUNT(INDEX('Staff Review'!$E$8:$E$507,I2355))=1,INDEX('Staff Review'!$E$8:$E$507,I2355)&gt;0,INDEX('Staff Review'!$E$8:$E$507,I2355)&lt;='Top 15'!$E$5,'Top 15'!$E$5-INDEX('Staff Review'!$E$8:$E$507,I2355)&lt;='Top 15'!$H$5,LEN(INDEX('Staff Review'!$H$8:$H$507,I2355))&gt;0),"Yes","No"))</x:f>
        <x:v>No</x:v>
      </x:c>
      <x:c r="AJ2355" s="1" t="str">
        <x:f>IF(I2355=0,"No",IF(COUNT(INDEX('Staff Review'!$F$8:$F$507,I2355))&lt;&gt;1,"No",IF(AND(INDEX('Staff Review'!$F$8:$F$507,I2355)&gt;=0,MOD(INDEX('Staff Review'!$F$8:$F$507,I2355),1)=0,COUNT(INDEX('Staff Review'!$G$8:$G$507,I2355))=1,INDEX('Staff Review'!$G$8:$G$507,I2355)&gt;0,INDEX('Staff Review'!$G$8:$G$507,I2355)&lt;='Top 15'!$E$5,'Top 15'!$E$5-INDEX('Staff Review'!$G$8:$G$507,I2355)&lt;='Top 15'!$H$5,LEN(INDEX('Staff Review'!$H$8:$H$507,I2355))&gt;0),"Yes","No")))</x:f>
        <x:v>No</x:v>
      </x:c>
      <x:c r="AK2355" s="1" t="n">
        <x:f>IF(A2355="",0,COUNTIFS($A$2:$A$501,A2355))</x:f>
        <x:v>1</x:v>
      </x:c>
      <x:c r="AL2355" s="1" t="n">
        <x:f>IF(V2355="Candidate",1,0)</x:f>
        <x:v>1</x:v>
      </x:c>
      <x:c r="AM2355" s="1" t="n">
        <x:f>IF(A2355="",0,VALUE(A2355))</x:f>
        <x:v>8300</x:v>
      </x:c>
      <x:c r="AN2355" s="1" t="n">
        <x:f>IF(OR(A2355="",COUNTIFS($T$41:$T$540,A2355)&lt;&gt;1),0,MATCH(A2355,$T$41:$T$540,0))</x:f>
        <x:v>305</x:v>
      </x:c>
      <x:c r="AO2355" t="n">
        <x:f>IF(ISNUMBER(W2355),W2355,10000+AM2355)</x:f>
        <x:v>78</x:v>
      </x:c>
    </x:row>
    <x:row r="2356" ht="22" customHeight="1">
      <x:c r="A2356" s="1" t="str">
        <x:f>IF(A307="","",A307)</x:f>
        <x:v>8310</x:v>
      </x:c>
      <x:c r="B2356" s="1" t="str">
        <x:f>IF(A2356="","",B307)</x:f>
        <x:v>J. Hampton Moore School</x:v>
      </x:c>
      <x:c r="C2356" s="1" t="str">
        <x:f>IF(A2356="","",C307)</x:f>
        <x:v>District</x:v>
      </x:c>
      <x:c r="D2356" s="1" t="str">
        <x:f>IF(A2356="","",E307)</x:f>
        <x:v>Elementary</x:v>
      </x:c>
      <x:c r="E2356" s="1" t="str">
        <x:f>IF(A2356="","",H307)</x:f>
        <x:v>19111</x:v>
      </x:c>
      <x:c r="F2356" s="1" t="n">
        <x:f>IF(ISNUMBER(K307),K307,"")</x:f>
        <x:v>1162</x:v>
      </x:c>
      <x:c r="G2356" s="1" t="n">
        <x:f>IF(ISNUMBER(L307),L307,"")</x:f>
        <x:v>0.7795</x:v>
      </x:c>
      <x:c r="H2356" s="1" t="str">
        <x:f>IF(A2356="","",IF(AND(UPPER(G307)="PHILADELPHIA",OR(C2356="District",AND(C2356="Charter",D307="Yes"))),"Yes","No"))</x:f>
        <x:v>Yes</x:v>
      </x:c>
      <x:c r="I2356" s="1" t="n">
        <x:f>IF(OR(A2356="",COUNTIFS('Staff Review'!$A$8:$A$507,A2356)&lt;&gt;1),0,MATCH(A2356,'Staff Review'!$A$8:$A$507,0))</x:f>
        <x:v>124</x:v>
      </x:c>
      <x:c r="J2356" s="1" t="str">
        <x:f>IF(I2356=0,"No",IF(INDEX('Staff Review'!$C$8:$C$507,I2356)="Yes","Yes","No"))</x:f>
        <x:v>No</x:v>
      </x:c>
      <x:c r="K2356" s="1" t="n">
        <x:f>IF(AI2356="Yes",INDEX('Staff Review'!$D$8:$D$507,I2356),IF(AB2356=0,"",IF(COUNT(INDEX($C$1531:$C$2030,AB2356))=1,INDEX($C$1531:$C$2030,AB2356),"")))</x:f>
        <x:v>0.48677921687658265</x:v>
      </x:c>
      <x:c r="L2356" s="1" t="n">
        <x:f>IF(AJ2356="Yes",INDEX('Staff Review'!$F$8:$F$507,I2356),IF(AB2356=0,"",IF(COUNT(INDEX($G$1531:$G$2030,AB2356))=1,INDEX($G$1531:$G$2030,AB2356),"")))</x:f>
        <x:v>2</x:v>
      </x:c>
      <x:c r="M2356" s="1" t="str">
        <x:f>IF(A2356="","",IF(AI2356="Yes","Verified","Listed"))</x:f>
        <x:v>Listed</x:v>
      </x:c>
      <x:c r="N2356" s="1" t="str">
        <x:f>IF(A2356="","",IF(AJ2356="Yes","Verified","Listed"))</x:f>
        <x:v>Listed</x:v>
      </x:c>
      <x:c r="O2356" s="1" t="n">
        <x:f>IF(AND(ISNUMBER(G2356),G2356&gt;=0,G2356&lt;=1),IF(G2356&gt;=0.9,30,IF(G2356&gt;=0.8,25,IF(G2356&gt;=0.7,20,IF(G2356&gt;=0.6,15,IF(G2356&gt;=0.5,10,IF(G2356&gt;=0.4,5,0)))))),"")</x:f>
        <x:v>20</x:v>
      </x:c>
      <x:c r="P2356" s="1" t="n">
        <x:f>IF(ISNUMBER(K2356),IF(K2356&lt;0,"",IF(K2356&gt;1,25,IF(K2356&gt;=0.75,20,IF(K2356&gt;=0.5,15,IF(K2356&gt;=0.25,10,5))))),"")</x:f>
        <x:v>10</x:v>
      </x:c>
      <x:c r="Q2356" s="1" t="n">
        <x:f>IF(NOT(ISNUMBER(L2356)),"",IF(AND(L2356&gt;=0,MOD(L2356,1)=0),MAX(0,25-5*L2356),""))</x:f>
        <x:v>15</x:v>
      </x:c>
      <x:c r="R2356" s="1" t="n">
        <x:f>IF(NOT(ISNUMBER(F2356)),"",IF(AND(F2356&gt;0,MOD(F2356,1)=0),IF(F2356&gt;=700,5,IF(F2356&gt;=500,4,IF(F2356&gt;=350,3,IF(F2356&gt;=200,2,1)))),""))</x:f>
        <x:v>5</x:v>
      </x:c>
      <x:c r="S2356" s="1" t="n">
        <x:f>IF(COUNT(O2356:R2356)=4,SUM(O2356:R2356),"")</x:f>
        <x:v>50</x:v>
      </x:c>
      <x:c r="T2356" s="1" t="n">
        <x:f>IF(OR(COUNT(O2356:R2356)&lt;&gt;4,COUNT('Top 15'!$B$35:$E$35)&lt;&gt;4,MIN('Top 15'!$B$35:$E$35)&lt;0,SUM('Top 15'!$B$35:$E$35)&lt;=0),"",ROUND(85*(O2356/30*'Top 15'!$B$35+P2356/25*'Top 15'!$C$35+Q2356/25*'Top 15'!$D$35+R2356/5*'Top 15'!$E$35)/SUM('Top 15'!$B$35:$E$35),6))</x:f>
        <x:v>50</x:v>
      </x:c>
      <x:c r="U2356" s="1" t="str">
        <x:f>IF(A2356="","",IF(AND(M2356="Verified",N2356="Verified"),"Verified",IF(AND(M2356="Listed",N2356="Listed"),"Listed","Mixed")))</x:f>
        <x:v>Listed</x:v>
      </x:c>
      <x:c r="V2356" s="1" t="str">
        <x:f>IF(A2356="","",IF(AK2356&lt;&gt;1,"Duplicate source ID",IF(COUNTIFS('Staff Review'!$A$8:$A$507,A2356)&gt;1,"Duplicate review ID",IF(H2356&lt;&gt;"Yes","Outside scope",IF(J2356="Yes","Already served",IF(NOT(ISNUMBER(T2356)),"Missing data","Candidate"))))))</x:f>
        <x:v>Candidate</x:v>
      </x:c>
      <x:c r="W2356" s="1" t="n">
        <x:f>IF(AL2356=0,"",1+COUNTIFS($AL$2051:$AL$2550,1,$T$2051:$T$2550,"&gt;"&amp;T2356)+COUNTIFS($AL$2051:$AL$2550,1,$T$2051:$T$2550,T2356,$G$2051:$G$2550,"&gt;"&amp;G2356)+COUNTIFS($AL$2051:$AL$2550,1,$T$2051:$T$2550,T2356,$G$2051:$G$2550,G2356,$F$2051:$F$2550,"&gt;"&amp;F2356)+COUNTIFS($AL$2051:$AL$2550,1,$T$2051:$T$2550,T2356,$G$2051:$G$2550,G2356,$F$2051:$F$2550,F2356,$AM$2051:$AM$2550,"&lt;"&amp;AM2356))</x:f>
        <x:v>44</x:v>
      </x:c>
      <x:c r="X2356" s="1" t="n">
        <x:f>IF(AL2356=0,"",1+COUNTIFS($AL$2051:$AL$2550,1,$T$2051:$T$2550,"&gt;"&amp;T2356))</x:f>
        <x:v>39</x:v>
      </x:c>
      <x:c r="Y2356" s="1" t="n">
        <x:f>IF(AND(H2356="Yes",OR(LEN('School Search'!$B$5)=0,ISNUMBER(SEARCH('School Search'!$B$5,B2356&amp;" "&amp;E2356&amp;" "&amp;A2356))),OR('School Search'!$D$5="All",C2356='School Search'!$D$5),OR('School Search'!$G$5="All eligible",AND('School Search'!$G$5="Not marked served",J2356&lt;&gt;"Yes"),AND('School Search'!$G$5="Missing data",V2356="Missing data"),AND('School Search'!$G$5="Marked served",J2356="Yes"))),1,0)</x:f>
        <x:v>1</x:v>
      </x:c>
      <x:c r="Z2356" s="1" t="n">
        <x:f>IF(Y2356=0,"",COUNTIFS($Y$2051:$Y$2550,1,$AO$2051:$AO$2550,"&lt;"&amp;AO2356)+COUNTIFS($Y$2051:Y2356,1,$AO$2051:AO2356,AO2356))</x:f>
        <x:v>44</x:v>
      </x:c>
      <x:c r="AA2356" s="1" t="str">
        <x:f>IF(NOT(ISNUMBER(S2356)),"Missing demographic or access input",TEXT(G2356,"0%")&amp;" economic need; "&amp;TEXT(K2356,"0.00")&amp;" mi fresh access; "&amp;L2356&amp;" nearby resources")</x:f>
        <x:v>78% economic need; 0.49 mi fresh access; 2 nearby resources</x:v>
      </x:c>
      <x:c r="AB2356" s="1" t="n">
        <x:f>IF(OR(A2356="",COUNTIFS($A$1531:$A$2030,A2356)&lt;&gt;1),0,MATCH(A2356,$A$1531:$A$2030,0))</x:f>
        <x:v>306</x:v>
      </x:c>
      <x:c r="AC2356" s="1" t="str">
        <x:f>IF(AB2356=0,"",INDEX($E$1531:$E$2030,AB2356))</x:f>
        <x:v>Meat Shoppers Plus LLC</x:v>
      </x:c>
      <x:c r="AD2356" s="1" t="str">
        <x:f>IF(AB2356=0,"",INDEX($F$1531:$F$2030,AB2356))</x:f>
        <x:v>6619 Castor Ave, Philadelphia, PA, 19149</x:v>
      </x:c>
      <x:c r="AE2356" s="1" t="str">
        <x:f>IF(A2356="","",F307)</x:f>
        <x:v>6900 SUMMERDALE AVE</x:v>
      </x:c>
      <x:c r="AF2356" s="1" t="n">
        <x:f>IF(ISNUMBER(I307),I307,"")</x:f>
        <x:v>40.049135</x:v>
      </x:c>
      <x:c r="AG2356" s="1" t="n">
        <x:f>IF(ISNUMBER(J307),J307,"")</x:f>
        <x:v>-75.076912</x:v>
      </x:c>
      <x:c r="AH2356" s="1" t="str">
        <x:f>IF(I2356=0,"Not contacted",IF(INDEX('Staff Review'!$J$8:$J$507,I2356)="","Not contacted",INDEX('Staff Review'!$J$8:$J$507,I2356)))</x:f>
        <x:v>Not contacted</x:v>
      </x:c>
      <x:c r="AI2356" s="1" t="str">
        <x:f>IF(I2356=0,"No",IF(AND(COUNT(INDEX('Staff Review'!$D$8:$D$507,I2356))=1,INDEX('Staff Review'!$D$8:$D$507,I2356)&gt;=0,COUNT(INDEX('Staff Review'!$E$8:$E$507,I2356))=1,INDEX('Staff Review'!$E$8:$E$507,I2356)&gt;0,INDEX('Staff Review'!$E$8:$E$507,I2356)&lt;='Top 15'!$E$5,'Top 15'!$E$5-INDEX('Staff Review'!$E$8:$E$507,I2356)&lt;='Top 15'!$H$5,LEN(INDEX('Staff Review'!$H$8:$H$507,I2356))&gt;0),"Yes","No"))</x:f>
        <x:v>No</x:v>
      </x:c>
      <x:c r="AJ2356" s="1" t="str">
        <x:f>IF(I2356=0,"No",IF(COUNT(INDEX('Staff Review'!$F$8:$F$507,I2356))&lt;&gt;1,"No",IF(AND(INDEX('Staff Review'!$F$8:$F$507,I2356)&gt;=0,MOD(INDEX('Staff Review'!$F$8:$F$507,I2356),1)=0,COUNT(INDEX('Staff Review'!$G$8:$G$507,I2356))=1,INDEX('Staff Review'!$G$8:$G$507,I2356)&gt;0,INDEX('Staff Review'!$G$8:$G$507,I2356)&lt;='Top 15'!$E$5,'Top 15'!$E$5-INDEX('Staff Review'!$G$8:$G$507,I2356)&lt;='Top 15'!$H$5,LEN(INDEX('Staff Review'!$H$8:$H$507,I2356))&gt;0),"Yes","No")))</x:f>
        <x:v>No</x:v>
      </x:c>
      <x:c r="AK2356" s="1" t="n">
        <x:f>IF(A2356="",0,COUNTIFS($A$2:$A$501,A2356))</x:f>
        <x:v>1</x:v>
      </x:c>
      <x:c r="AL2356" s="1" t="n">
        <x:f>IF(V2356="Candidate",1,0)</x:f>
        <x:v>1</x:v>
      </x:c>
      <x:c r="AM2356" s="1" t="n">
        <x:f>IF(A2356="",0,VALUE(A2356))</x:f>
        <x:v>8310</x:v>
      </x:c>
      <x:c r="AN2356" s="1" t="n">
        <x:f>IF(OR(A2356="",COUNTIFS($T$41:$T$540,A2356)&lt;&gt;1),0,MATCH(A2356,$T$41:$T$540,0))</x:f>
        <x:v>306</x:v>
      </x:c>
      <x:c r="AO2356" t="n">
        <x:f>IF(ISNUMBER(W2356),W2356,10000+AM2356)</x:f>
        <x:v>44</x:v>
      </x:c>
    </x:row>
    <x:row r="2357" ht="22" customHeight="1">
      <x:c r="A2357" s="1" t="str">
        <x:f>IF(A308="","",A308)</x:f>
        <x:v>8340</x:v>
      </x:c>
      <x:c r="B2357" s="1" t="str">
        <x:f>IF(A2357="","",B308)</x:f>
        <x:v>Solomon Solis-Cohen School</x:v>
      </x:c>
      <x:c r="C2357" s="1" t="str">
        <x:f>IF(A2357="","",C308)</x:f>
        <x:v>District</x:v>
      </x:c>
      <x:c r="D2357" s="1" t="str">
        <x:f>IF(A2357="","",E308)</x:f>
        <x:v>Elementary</x:v>
      </x:c>
      <x:c r="E2357" s="1" t="str">
        <x:f>IF(A2357="","",H308)</x:f>
        <x:v>19149</x:v>
      </x:c>
      <x:c r="F2357" s="1" t="n">
        <x:f>IF(ISNUMBER(K308),K308,"")</x:f>
        <x:v>1354</x:v>
      </x:c>
      <x:c r="G2357" s="1" t="n">
        <x:f>IF(ISNUMBER(L308),L308,"")</x:f>
        <x:v>0.7902</x:v>
      </x:c>
      <x:c r="H2357" s="1" t="str">
        <x:f>IF(A2357="","",IF(AND(UPPER(G308)="PHILADELPHIA",OR(C2357="District",AND(C2357="Charter",D308="Yes"))),"Yes","No"))</x:f>
        <x:v>Yes</x:v>
      </x:c>
      <x:c r="I2357" s="1" t="n">
        <x:f>IF(OR(A2357="",COUNTIFS('Staff Review'!$A$8:$A$507,A2357)&lt;&gt;1),0,MATCH(A2357,'Staff Review'!$A$8:$A$507,0))</x:f>
        <x:v>269</x:v>
      </x:c>
      <x:c r="J2357" s="1" t="str">
        <x:f>IF(I2357=0,"No",IF(INDEX('Staff Review'!$C$8:$C$507,I2357)="Yes","Yes","No"))</x:f>
        <x:v>No</x:v>
      </x:c>
      <x:c r="K2357" s="1" t="n">
        <x:f>IF(AI2357="Yes",INDEX('Staff Review'!$D$8:$D$507,I2357),IF(AB2357=0,"",IF(COUNT(INDEX($C$1531:$C$2030,AB2357))=1,INDEX($C$1531:$C$2030,AB2357),"")))</x:f>
        <x:v>0.36391859379799124</x:v>
      </x:c>
      <x:c r="L2357" s="1" t="n">
        <x:f>IF(AJ2357="Yes",INDEX('Staff Review'!$F$8:$F$507,I2357),IF(AB2357=0,"",IF(COUNT(INDEX($G$1531:$G$2030,AB2357))=1,INDEX($G$1531:$G$2030,AB2357),"")))</x:f>
        <x:v>3</x:v>
      </x:c>
      <x:c r="M2357" s="1" t="str">
        <x:f>IF(A2357="","",IF(AI2357="Yes","Verified","Listed"))</x:f>
        <x:v>Listed</x:v>
      </x:c>
      <x:c r="N2357" s="1" t="str">
        <x:f>IF(A2357="","",IF(AJ2357="Yes","Verified","Listed"))</x:f>
        <x:v>Listed</x:v>
      </x:c>
      <x:c r="O2357" s="1" t="n">
        <x:f>IF(AND(ISNUMBER(G2357),G2357&gt;=0,G2357&lt;=1),IF(G2357&gt;=0.9,30,IF(G2357&gt;=0.8,25,IF(G2357&gt;=0.7,20,IF(G2357&gt;=0.6,15,IF(G2357&gt;=0.5,10,IF(G2357&gt;=0.4,5,0)))))),"")</x:f>
        <x:v>20</x:v>
      </x:c>
      <x:c r="P2357" s="1" t="n">
        <x:f>IF(ISNUMBER(K2357),IF(K2357&lt;0,"",IF(K2357&gt;1,25,IF(K2357&gt;=0.75,20,IF(K2357&gt;=0.5,15,IF(K2357&gt;=0.25,10,5))))),"")</x:f>
        <x:v>10</x:v>
      </x:c>
      <x:c r="Q2357" s="1" t="n">
        <x:f>IF(NOT(ISNUMBER(L2357)),"",IF(AND(L2357&gt;=0,MOD(L2357,1)=0),MAX(0,25-5*L2357),""))</x:f>
        <x:v>10</x:v>
      </x:c>
      <x:c r="R2357" s="1" t="n">
        <x:f>IF(NOT(ISNUMBER(F2357)),"",IF(AND(F2357&gt;0,MOD(F2357,1)=0),IF(F2357&gt;=700,5,IF(F2357&gt;=500,4,IF(F2357&gt;=350,3,IF(F2357&gt;=200,2,1)))),""))</x:f>
        <x:v>5</x:v>
      </x:c>
      <x:c r="S2357" s="1" t="n">
        <x:f>IF(COUNT(O2357:R2357)=4,SUM(O2357:R2357),"")</x:f>
        <x:v>45</x:v>
      </x:c>
      <x:c r="T2357" s="1" t="n">
        <x:f>IF(OR(COUNT(O2357:R2357)&lt;&gt;4,COUNT('Top 15'!$B$35:$E$35)&lt;&gt;4,MIN('Top 15'!$B$35:$E$35)&lt;0,SUM('Top 15'!$B$35:$E$35)&lt;=0),"",ROUND(85*(O2357/30*'Top 15'!$B$35+P2357/25*'Top 15'!$C$35+Q2357/25*'Top 15'!$D$35+R2357/5*'Top 15'!$E$35)/SUM('Top 15'!$B$35:$E$35),6))</x:f>
        <x:v>45</x:v>
      </x:c>
      <x:c r="U2357" s="1" t="str">
        <x:f>IF(A2357="","",IF(AND(M2357="Verified",N2357="Verified"),"Verified",IF(AND(M2357="Listed",N2357="Listed"),"Listed","Mixed")))</x:f>
        <x:v>Listed</x:v>
      </x:c>
      <x:c r="V2357" s="1" t="str">
        <x:f>IF(A2357="","",IF(AK2357&lt;&gt;1,"Duplicate source ID",IF(COUNTIFS('Staff Review'!$A$8:$A$507,A2357)&gt;1,"Duplicate review ID",IF(H2357&lt;&gt;"Yes","Outside scope",IF(J2357="Yes","Already served",IF(NOT(ISNUMBER(T2357)),"Missing data","Candidate"))))))</x:f>
        <x:v>Candidate</x:v>
      </x:c>
      <x:c r="W2357" s="1" t="n">
        <x:f>IF(AL2357=0,"",1+COUNTIFS($AL$2051:$AL$2550,1,$T$2051:$T$2550,"&gt;"&amp;T2357)+COUNTIFS($AL$2051:$AL$2550,1,$T$2051:$T$2550,T2357,$G$2051:$G$2550,"&gt;"&amp;G2357)+COUNTIFS($AL$2051:$AL$2550,1,$T$2051:$T$2550,T2357,$G$2051:$G$2550,G2357,$F$2051:$F$2550,"&gt;"&amp;F2357)+COUNTIFS($AL$2051:$AL$2550,1,$T$2051:$T$2550,T2357,$G$2051:$G$2550,G2357,$F$2051:$F$2550,F2357,$AM$2051:$AM$2550,"&lt;"&amp;AM2357))</x:f>
        <x:v>77</x:v>
      </x:c>
      <x:c r="X2357" s="1" t="n">
        <x:f>IF(AL2357=0,"",1+COUNTIFS($AL$2051:$AL$2550,1,$T$2051:$T$2550,"&gt;"&amp;T2357))</x:f>
        <x:v>74</x:v>
      </x:c>
      <x:c r="Y2357" s="1" t="n">
        <x:f>IF(AND(H2357="Yes",OR(LEN('School Search'!$B$5)=0,ISNUMBER(SEARCH('School Search'!$B$5,B2357&amp;" "&amp;E2357&amp;" "&amp;A2357))),OR('School Search'!$D$5="All",C2357='School Search'!$D$5),OR('School Search'!$G$5="All eligible",AND('School Search'!$G$5="Not marked served",J2357&lt;&gt;"Yes"),AND('School Search'!$G$5="Missing data",V2357="Missing data"),AND('School Search'!$G$5="Marked served",J2357="Yes"))),1,0)</x:f>
        <x:v>1</x:v>
      </x:c>
      <x:c r="Z2357" s="1" t="n">
        <x:f>IF(Y2357=0,"",COUNTIFS($Y$2051:$Y$2550,1,$AO$2051:$AO$2550,"&lt;"&amp;AO2357)+COUNTIFS($Y$2051:Y2357,1,$AO$2051:AO2357,AO2357))</x:f>
        <x:v>77</x:v>
      </x:c>
      <x:c r="AA2357" s="1" t="str">
        <x:f>IF(NOT(ISNUMBER(S2357)),"Missing demographic or access input",TEXT(G2357,"0%")&amp;" economic need; "&amp;TEXT(K2357,"0.00")&amp;" mi fresh access; "&amp;L2357&amp;" nearby resources")</x:f>
        <x:v>79% economic need; 0.36 mi fresh access; 3 nearby resources</x:v>
      </x:c>
      <x:c r="AB2357" s="1" t="n">
        <x:f>IF(OR(A2357="",COUNTIFS($A$1531:$A$2030,A2357)&lt;&gt;1),0,MATCH(A2357,$A$1531:$A$2030,0))</x:f>
        <x:v>307</x:v>
      </x:c>
      <x:c r="AC2357" s="1" t="str">
        <x:f>IF(AB2357=0,"",INDEX($E$1531:$E$2030,AB2357))</x:f>
        <x:v>Acme 0299</x:v>
      </x:c>
      <x:c r="AD2357" s="1" t="str">
        <x:f>IF(AB2357=0,"",INDEX($F$1531:$F$2030,AB2357))</x:f>
        <x:v>2101 Cottman Ave, Philadelphia, PA, 19149</x:v>
      </x:c>
      <x:c r="AE2357" s="1" t="str">
        <x:f>IF(A2357="","",F308)</x:f>
        <x:v>7001 HORROCKS ST</x:v>
      </x:c>
      <x:c r="AF2357" s="1" t="n">
        <x:f>IF(ISNUMBER(I308),I308,"")</x:f>
        <x:v>40.044644</x:v>
      </x:c>
      <x:c r="AG2357" s="1" t="n">
        <x:f>IF(ISNUMBER(J308),J308,"")</x:f>
        <x:v>-75.064725</x:v>
      </x:c>
      <x:c r="AH2357" s="1" t="str">
        <x:f>IF(I2357=0,"Not contacted",IF(INDEX('Staff Review'!$J$8:$J$507,I2357)="","Not contacted",INDEX('Staff Review'!$J$8:$J$507,I2357)))</x:f>
        <x:v>Not contacted</x:v>
      </x:c>
      <x:c r="AI2357" s="1" t="str">
        <x:f>IF(I2357=0,"No",IF(AND(COUNT(INDEX('Staff Review'!$D$8:$D$507,I2357))=1,INDEX('Staff Review'!$D$8:$D$507,I2357)&gt;=0,COUNT(INDEX('Staff Review'!$E$8:$E$507,I2357))=1,INDEX('Staff Review'!$E$8:$E$507,I2357)&gt;0,INDEX('Staff Review'!$E$8:$E$507,I2357)&lt;='Top 15'!$E$5,'Top 15'!$E$5-INDEX('Staff Review'!$E$8:$E$507,I2357)&lt;='Top 15'!$H$5,LEN(INDEX('Staff Review'!$H$8:$H$507,I2357))&gt;0),"Yes","No"))</x:f>
        <x:v>No</x:v>
      </x:c>
      <x:c r="AJ2357" s="1" t="str">
        <x:f>IF(I2357=0,"No",IF(COUNT(INDEX('Staff Review'!$F$8:$F$507,I2357))&lt;&gt;1,"No",IF(AND(INDEX('Staff Review'!$F$8:$F$507,I2357)&gt;=0,MOD(INDEX('Staff Review'!$F$8:$F$507,I2357),1)=0,COUNT(INDEX('Staff Review'!$G$8:$G$507,I2357))=1,INDEX('Staff Review'!$G$8:$G$507,I2357)&gt;0,INDEX('Staff Review'!$G$8:$G$507,I2357)&lt;='Top 15'!$E$5,'Top 15'!$E$5-INDEX('Staff Review'!$G$8:$G$507,I2357)&lt;='Top 15'!$H$5,LEN(INDEX('Staff Review'!$H$8:$H$507,I2357))&gt;0),"Yes","No")))</x:f>
        <x:v>No</x:v>
      </x:c>
      <x:c r="AK2357" s="1" t="n">
        <x:f>IF(A2357="",0,COUNTIFS($A$2:$A$501,A2357))</x:f>
        <x:v>1</x:v>
      </x:c>
      <x:c r="AL2357" s="1" t="n">
        <x:f>IF(V2357="Candidate",1,0)</x:f>
        <x:v>1</x:v>
      </x:c>
      <x:c r="AM2357" s="1" t="n">
        <x:f>IF(A2357="",0,VALUE(A2357))</x:f>
        <x:v>8340</x:v>
      </x:c>
      <x:c r="AN2357" s="1" t="n">
        <x:f>IF(OR(A2357="",COUNTIFS($T$41:$T$540,A2357)&lt;&gt;1),0,MATCH(A2357,$T$41:$T$540,0))</x:f>
        <x:v>307</x:v>
      </x:c>
      <x:c r="AO2357" t="n">
        <x:f>IF(ISNUMBER(W2357),W2357,10000+AM2357)</x:f>
        <x:v>77</x:v>
      </x:c>
    </x:row>
    <x:row r="2358" ht="22" customHeight="1">
      <x:c r="A2358" s="1" t="str">
        <x:f>IF(A309="","",A309)</x:f>
        <x:v>8350</x:v>
      </x:c>
      <x:c r="B2358" s="1" t="str">
        <x:f>IF(A2358="","",B309)</x:f>
        <x:v>Gilbert Spruance School</x:v>
      </x:c>
      <x:c r="C2358" s="1" t="str">
        <x:f>IF(A2358="","",C309)</x:f>
        <x:v>District</x:v>
      </x:c>
      <x:c r="D2358" s="1" t="str">
        <x:f>IF(A2358="","",E309)</x:f>
        <x:v>Elementary-Middle</x:v>
      </x:c>
      <x:c r="E2358" s="1" t="str">
        <x:f>IF(A2358="","",H309)</x:f>
        <x:v>19149</x:v>
      </x:c>
      <x:c r="F2358" s="1" t="n">
        <x:f>IF(ISNUMBER(K309),K309,"")</x:f>
        <x:v>1259</x:v>
      </x:c>
      <x:c r="G2358" s="1" t="n">
        <x:f>IF(ISNUMBER(L309),L309,"")</x:f>
        <x:v>0.7877</x:v>
      </x:c>
      <x:c r="H2358" s="1" t="str">
        <x:f>IF(A2358="","",IF(AND(UPPER(G309)="PHILADELPHIA",OR(C2358="District",AND(C2358="Charter",D309="Yes"))),"Yes","No"))</x:f>
        <x:v>Yes</x:v>
      </x:c>
      <x:c r="I2358" s="1" t="n">
        <x:f>IF(OR(A2358="",COUNTIFS('Staff Review'!$A$8:$A$507,A2358)&lt;&gt;1),0,MATCH(A2358,'Staff Review'!$A$8:$A$507,0))</x:f>
        <x:v>98</x:v>
      </x:c>
      <x:c r="J2358" s="1" t="str">
        <x:f>IF(I2358=0,"No",IF(INDEX('Staff Review'!$C$8:$C$507,I2358)="Yes","Yes","No"))</x:f>
        <x:v>No</x:v>
      </x:c>
      <x:c r="K2358" s="1" t="n">
        <x:f>IF(AI2358="Yes",INDEX('Staff Review'!$D$8:$D$507,I2358),IF(AB2358=0,"",IF(COUNT(INDEX($C$1531:$C$2030,AB2358))=1,INDEX($C$1531:$C$2030,AB2358),"")))</x:f>
        <x:v>0.27189586889960465</x:v>
      </x:c>
      <x:c r="L2358" s="1" t="n">
        <x:f>IF(AJ2358="Yes",INDEX('Staff Review'!$F$8:$F$507,I2358),IF(AB2358=0,"",IF(COUNT(INDEX($G$1531:$G$2030,AB2358))=1,INDEX($G$1531:$G$2030,AB2358),"")))</x:f>
        <x:v>4</x:v>
      </x:c>
      <x:c r="M2358" s="1" t="str">
        <x:f>IF(A2358="","",IF(AI2358="Yes","Verified","Listed"))</x:f>
        <x:v>Listed</x:v>
      </x:c>
      <x:c r="N2358" s="1" t="str">
        <x:f>IF(A2358="","",IF(AJ2358="Yes","Verified","Listed"))</x:f>
        <x:v>Listed</x:v>
      </x:c>
      <x:c r="O2358" s="1" t="n">
        <x:f>IF(AND(ISNUMBER(G2358),G2358&gt;=0,G2358&lt;=1),IF(G2358&gt;=0.9,30,IF(G2358&gt;=0.8,25,IF(G2358&gt;=0.7,20,IF(G2358&gt;=0.6,15,IF(G2358&gt;=0.5,10,IF(G2358&gt;=0.4,5,0)))))),"")</x:f>
        <x:v>20</x:v>
      </x:c>
      <x:c r="P2358" s="1" t="n">
        <x:f>IF(ISNUMBER(K2358),IF(K2358&lt;0,"",IF(K2358&gt;1,25,IF(K2358&gt;=0.75,20,IF(K2358&gt;=0.5,15,IF(K2358&gt;=0.25,10,5))))),"")</x:f>
        <x:v>10</x:v>
      </x:c>
      <x:c r="Q2358" s="1" t="n">
        <x:f>IF(NOT(ISNUMBER(L2358)),"",IF(AND(L2358&gt;=0,MOD(L2358,1)=0),MAX(0,25-5*L2358),""))</x:f>
        <x:v>5</x:v>
      </x:c>
      <x:c r="R2358" s="1" t="n">
        <x:f>IF(NOT(ISNUMBER(F2358)),"",IF(AND(F2358&gt;0,MOD(F2358,1)=0),IF(F2358&gt;=700,5,IF(F2358&gt;=500,4,IF(F2358&gt;=350,3,IF(F2358&gt;=200,2,1)))),""))</x:f>
        <x:v>5</x:v>
      </x:c>
      <x:c r="S2358" s="1" t="n">
        <x:f>IF(COUNT(O2358:R2358)=4,SUM(O2358:R2358),"")</x:f>
        <x:v>40</x:v>
      </x:c>
      <x:c r="T2358" s="1" t="n">
        <x:f>IF(OR(COUNT(O2358:R2358)&lt;&gt;4,COUNT('Top 15'!$B$35:$E$35)&lt;&gt;4,MIN('Top 15'!$B$35:$E$35)&lt;0,SUM('Top 15'!$B$35:$E$35)&lt;=0),"",ROUND(85*(O2358/30*'Top 15'!$B$35+P2358/25*'Top 15'!$C$35+Q2358/25*'Top 15'!$D$35+R2358/5*'Top 15'!$E$35)/SUM('Top 15'!$B$35:$E$35),6))</x:f>
        <x:v>40</x:v>
      </x:c>
      <x:c r="U2358" s="1" t="str">
        <x:f>IF(A2358="","",IF(AND(M2358="Verified",N2358="Verified"),"Verified",IF(AND(M2358="Listed",N2358="Listed"),"Listed","Mixed")))</x:f>
        <x:v>Listed</x:v>
      </x:c>
      <x:c r="V2358" s="1" t="str">
        <x:f>IF(A2358="","",IF(AK2358&lt;&gt;1,"Duplicate source ID",IF(COUNTIFS('Staff Review'!$A$8:$A$507,A2358)&gt;1,"Duplicate review ID",IF(H2358&lt;&gt;"Yes","Outside scope",IF(J2358="Yes","Already served",IF(NOT(ISNUMBER(T2358)),"Missing data","Candidate"))))))</x:f>
        <x:v>Candidate</x:v>
      </x:c>
      <x:c r="W2358" s="1" t="n">
        <x:f>IF(AL2358=0,"",1+COUNTIFS($AL$2051:$AL$2550,1,$T$2051:$T$2550,"&gt;"&amp;T2358)+COUNTIFS($AL$2051:$AL$2550,1,$T$2051:$T$2550,T2358,$G$2051:$G$2550,"&gt;"&amp;G2358)+COUNTIFS($AL$2051:$AL$2550,1,$T$2051:$T$2550,T2358,$G$2051:$G$2550,G2358,$F$2051:$F$2550,"&gt;"&amp;F2358)+COUNTIFS($AL$2051:$AL$2550,1,$T$2051:$T$2550,T2358,$G$2051:$G$2550,G2358,$F$2051:$F$2550,F2358,$AM$2051:$AM$2550,"&lt;"&amp;AM2358))</x:f>
        <x:v>144</x:v>
      </x:c>
      <x:c r="X2358" s="1" t="n">
        <x:f>IF(AL2358=0,"",1+COUNTIFS($AL$2051:$AL$2550,1,$T$2051:$T$2550,"&gt;"&amp;T2358))</x:f>
        <x:v>133</x:v>
      </x:c>
      <x:c r="Y2358" s="1" t="n">
        <x:f>IF(AND(H2358="Yes",OR(LEN('School Search'!$B$5)=0,ISNUMBER(SEARCH('School Search'!$B$5,B2358&amp;" "&amp;E2358&amp;" "&amp;A2358))),OR('School Search'!$D$5="All",C2358='School Search'!$D$5),OR('School Search'!$G$5="All eligible",AND('School Search'!$G$5="Not marked served",J2358&lt;&gt;"Yes"),AND('School Search'!$G$5="Missing data",V2358="Missing data"),AND('School Search'!$G$5="Marked served",J2358="Yes"))),1,0)</x:f>
        <x:v>1</x:v>
      </x:c>
      <x:c r="Z2358" s="1" t="n">
        <x:f>IF(Y2358=0,"",COUNTIFS($Y$2051:$Y$2550,1,$AO$2051:$AO$2550,"&lt;"&amp;AO2358)+COUNTIFS($Y$2051:Y2358,1,$AO$2051:AO2358,AO2358))</x:f>
        <x:v>144</x:v>
      </x:c>
      <x:c r="AA2358" s="1" t="str">
        <x:f>IF(NOT(ISNUMBER(S2358)),"Missing demographic or access input",TEXT(G2358,"0%")&amp;" economic need; "&amp;TEXT(K2358,"0.00")&amp;" mi fresh access; "&amp;L2358&amp;" nearby resources")</x:f>
        <x:v>79% economic need; 0.27 mi fresh access; 4 nearby resources</x:v>
      </x:c>
      <x:c r="AB2358" s="1" t="n">
        <x:f>IF(OR(A2358="",COUNTIFS($A$1531:$A$2030,A2358)&lt;&gt;1),0,MATCH(A2358,$A$1531:$A$2030,0))</x:f>
        <x:v>308</x:v>
      </x:c>
      <x:c r="AC2358" s="1" t="str">
        <x:f>IF(AB2358=0,"",INDEX($E$1531:$E$2030,AB2358))</x:f>
        <x:v>Compare &amp; Save</x:v>
      </x:c>
      <x:c r="AD2358" s="1" t="str">
        <x:f>IF(AB2358=0,"",INDEX($F$1531:$F$2030,AB2358))</x:f>
        <x:v>6515 Castor Ave, Philadelphia, PA, 19149</x:v>
      </x:c>
      <x:c r="AE2358" s="1" t="str">
        <x:f>IF(A2358="","",F309)</x:f>
        <x:v>6401 HORROCKS ST</x:v>
      </x:c>
      <x:c r="AF2358" s="1" t="n">
        <x:f>IF(ISNUMBER(I309),I309,"")</x:f>
        <x:v>40.03756142</x:v>
      </x:c>
      <x:c r="AG2358" s="1" t="n">
        <x:f>IF(ISNUMBER(J309),J309,"")</x:f>
        <x:v>-75.07232936</x:v>
      </x:c>
      <x:c r="AH2358" s="1" t="str">
        <x:f>IF(I2358=0,"Not contacted",IF(INDEX('Staff Review'!$J$8:$J$507,I2358)="","Not contacted",INDEX('Staff Review'!$J$8:$J$507,I2358)))</x:f>
        <x:v>Not contacted</x:v>
      </x:c>
      <x:c r="AI2358" s="1" t="str">
        <x:f>IF(I2358=0,"No",IF(AND(COUNT(INDEX('Staff Review'!$D$8:$D$507,I2358))=1,INDEX('Staff Review'!$D$8:$D$507,I2358)&gt;=0,COUNT(INDEX('Staff Review'!$E$8:$E$507,I2358))=1,INDEX('Staff Review'!$E$8:$E$507,I2358)&gt;0,INDEX('Staff Review'!$E$8:$E$507,I2358)&lt;='Top 15'!$E$5,'Top 15'!$E$5-INDEX('Staff Review'!$E$8:$E$507,I2358)&lt;='Top 15'!$H$5,LEN(INDEX('Staff Review'!$H$8:$H$507,I2358))&gt;0),"Yes","No"))</x:f>
        <x:v>No</x:v>
      </x:c>
      <x:c r="AJ2358" s="1" t="str">
        <x:f>IF(I2358=0,"No",IF(COUNT(INDEX('Staff Review'!$F$8:$F$507,I2358))&lt;&gt;1,"No",IF(AND(INDEX('Staff Review'!$F$8:$F$507,I2358)&gt;=0,MOD(INDEX('Staff Review'!$F$8:$F$507,I2358),1)=0,COUNT(INDEX('Staff Review'!$G$8:$G$507,I2358))=1,INDEX('Staff Review'!$G$8:$G$507,I2358)&gt;0,INDEX('Staff Review'!$G$8:$G$507,I2358)&lt;='Top 15'!$E$5,'Top 15'!$E$5-INDEX('Staff Review'!$G$8:$G$507,I2358)&lt;='Top 15'!$H$5,LEN(INDEX('Staff Review'!$H$8:$H$507,I2358))&gt;0),"Yes","No")))</x:f>
        <x:v>No</x:v>
      </x:c>
      <x:c r="AK2358" s="1" t="n">
        <x:f>IF(A2358="",0,COUNTIFS($A$2:$A$501,A2358))</x:f>
        <x:v>1</x:v>
      </x:c>
      <x:c r="AL2358" s="1" t="n">
        <x:f>IF(V2358="Candidate",1,0)</x:f>
        <x:v>1</x:v>
      </x:c>
      <x:c r="AM2358" s="1" t="n">
        <x:f>IF(A2358="",0,VALUE(A2358))</x:f>
        <x:v>8350</x:v>
      </x:c>
      <x:c r="AN2358" s="1" t="n">
        <x:f>IF(OR(A2358="",COUNTIFS($T$41:$T$540,A2358)&lt;&gt;1),0,MATCH(A2358,$T$41:$T$540,0))</x:f>
        <x:v>308</x:v>
      </x:c>
      <x:c r="AO2358" t="n">
        <x:f>IF(ISNUMBER(W2358),W2358,10000+AM2358)</x:f>
        <x:v>144</x:v>
      </x:c>
    </x:row>
    <x:row r="2359" ht="22" customHeight="1">
      <x:c r="A2359" s="1" t="str">
        <x:f>IF(A310="","",A310)</x:f>
        <x:v>8360</x:v>
      </x:c>
      <x:c r="B2359" s="1" t="str">
        <x:f>IF(A2359="","",B310)</x:f>
        <x:v>Rhawnhurst School</x:v>
      </x:c>
      <x:c r="C2359" s="1" t="str">
        <x:f>IF(A2359="","",C310)</x:f>
        <x:v>District</x:v>
      </x:c>
      <x:c r="D2359" s="1" t="str">
        <x:f>IF(A2359="","",E310)</x:f>
        <x:v>Elementary</x:v>
      </x:c>
      <x:c r="E2359" s="1" t="str">
        <x:f>IF(A2359="","",H310)</x:f>
        <x:v>19152</x:v>
      </x:c>
      <x:c r="F2359" s="1" t="n">
        <x:f>IF(ISNUMBER(K310),K310,"")</x:f>
        <x:v>584</x:v>
      </x:c>
      <x:c r="G2359" s="1" t="n">
        <x:f>IF(ISNUMBER(L310),L310,"")</x:f>
        <x:v>0.7637</x:v>
      </x:c>
      <x:c r="H2359" s="1" t="str">
        <x:f>IF(A2359="","",IF(AND(UPPER(G310)="PHILADELPHIA",OR(C2359="District",AND(C2359="Charter",D310="Yes"))),"Yes","No"))</x:f>
        <x:v>Yes</x:v>
      </x:c>
      <x:c r="I2359" s="1" t="n">
        <x:f>IF(OR(A2359="",COUNTIFS('Staff Review'!$A$8:$A$507,A2359)&lt;&gt;1),0,MATCH(A2359,'Staff Review'!$A$8:$A$507,0))</x:f>
        <x:v>247</x:v>
      </x:c>
      <x:c r="J2359" s="1" t="str">
        <x:f>IF(I2359=0,"No",IF(INDEX('Staff Review'!$C$8:$C$507,I2359)="Yes","Yes","No"))</x:f>
        <x:v>No</x:v>
      </x:c>
      <x:c r="K2359" s="1" t="n">
        <x:f>IF(AI2359="Yes",INDEX('Staff Review'!$D$8:$D$507,I2359),IF(AB2359=0,"",IF(COUNT(INDEX($C$1531:$C$2030,AB2359))=1,INDEX($C$1531:$C$2030,AB2359),"")))</x:f>
        <x:v>0.5143721610507015</x:v>
      </x:c>
      <x:c r="L2359" s="1" t="n">
        <x:f>IF(AJ2359="Yes",INDEX('Staff Review'!$F$8:$F$507,I2359),IF(AB2359=0,"",IF(COUNT(INDEX($G$1531:$G$2030,AB2359))=1,INDEX($G$1531:$G$2030,AB2359),"")))</x:f>
        <x:v>0</x:v>
      </x:c>
      <x:c r="M2359" s="1" t="str">
        <x:f>IF(A2359="","",IF(AI2359="Yes","Verified","Listed"))</x:f>
        <x:v>Listed</x:v>
      </x:c>
      <x:c r="N2359" s="1" t="str">
        <x:f>IF(A2359="","",IF(AJ2359="Yes","Verified","Listed"))</x:f>
        <x:v>Listed</x:v>
      </x:c>
      <x:c r="O2359" s="1" t="n">
        <x:f>IF(AND(ISNUMBER(G2359),G2359&gt;=0,G2359&lt;=1),IF(G2359&gt;=0.9,30,IF(G2359&gt;=0.8,25,IF(G2359&gt;=0.7,20,IF(G2359&gt;=0.6,15,IF(G2359&gt;=0.5,10,IF(G2359&gt;=0.4,5,0)))))),"")</x:f>
        <x:v>20</x:v>
      </x:c>
      <x:c r="P2359" s="1" t="n">
        <x:f>IF(ISNUMBER(K2359),IF(K2359&lt;0,"",IF(K2359&gt;1,25,IF(K2359&gt;=0.75,20,IF(K2359&gt;=0.5,15,IF(K2359&gt;=0.25,10,5))))),"")</x:f>
        <x:v>15</x:v>
      </x:c>
      <x:c r="Q2359" s="1" t="n">
        <x:f>IF(NOT(ISNUMBER(L2359)),"",IF(AND(L2359&gt;=0,MOD(L2359,1)=0),MAX(0,25-5*L2359),""))</x:f>
        <x:v>25</x:v>
      </x:c>
      <x:c r="R2359" s="1" t="n">
        <x:f>IF(NOT(ISNUMBER(F2359)),"",IF(AND(F2359&gt;0,MOD(F2359,1)=0),IF(F2359&gt;=700,5,IF(F2359&gt;=500,4,IF(F2359&gt;=350,3,IF(F2359&gt;=200,2,1)))),""))</x:f>
        <x:v>4</x:v>
      </x:c>
      <x:c r="S2359" s="1" t="n">
        <x:f>IF(COUNT(O2359:R2359)=4,SUM(O2359:R2359),"")</x:f>
        <x:v>64</x:v>
      </x:c>
      <x:c r="T2359" s="1" t="n">
        <x:f>IF(OR(COUNT(O2359:R2359)&lt;&gt;4,COUNT('Top 15'!$B$35:$E$35)&lt;&gt;4,MIN('Top 15'!$B$35:$E$35)&lt;0,SUM('Top 15'!$B$35:$E$35)&lt;=0),"",ROUND(85*(O2359/30*'Top 15'!$B$35+P2359/25*'Top 15'!$C$35+Q2359/25*'Top 15'!$D$35+R2359/5*'Top 15'!$E$35)/SUM('Top 15'!$B$35:$E$35),6))</x:f>
        <x:v>64</x:v>
      </x:c>
      <x:c r="U2359" s="1" t="str">
        <x:f>IF(A2359="","",IF(AND(M2359="Verified",N2359="Verified"),"Verified",IF(AND(M2359="Listed",N2359="Listed"),"Listed","Mixed")))</x:f>
        <x:v>Listed</x:v>
      </x:c>
      <x:c r="V2359" s="1" t="str">
        <x:f>IF(A2359="","",IF(AK2359&lt;&gt;1,"Duplicate source ID",IF(COUNTIFS('Staff Review'!$A$8:$A$507,A2359)&gt;1,"Duplicate review ID",IF(H2359&lt;&gt;"Yes","Outside scope",IF(J2359="Yes","Already served",IF(NOT(ISNUMBER(T2359)),"Missing data","Candidate"))))))</x:f>
        <x:v>Candidate</x:v>
      </x:c>
      <x:c r="W2359" s="1" t="n">
        <x:f>IF(AL2359=0,"",1+COUNTIFS($AL$2051:$AL$2550,1,$T$2051:$T$2550,"&gt;"&amp;T2359)+COUNTIFS($AL$2051:$AL$2550,1,$T$2051:$T$2550,T2359,$G$2051:$G$2550,"&gt;"&amp;G2359)+COUNTIFS($AL$2051:$AL$2550,1,$T$2051:$T$2550,T2359,$G$2051:$G$2550,G2359,$F$2051:$F$2550,"&gt;"&amp;F2359)+COUNTIFS($AL$2051:$AL$2550,1,$T$2051:$T$2550,T2359,$G$2051:$G$2550,G2359,$F$2051:$F$2550,F2359,$AM$2051:$AM$2550,"&lt;"&amp;AM2359))</x:f>
        <x:v>6</x:v>
      </x:c>
      <x:c r="X2359" s="1" t="n">
        <x:f>IF(AL2359=0,"",1+COUNTIFS($AL$2051:$AL$2550,1,$T$2051:$T$2550,"&gt;"&amp;T2359))</x:f>
        <x:v>4</x:v>
      </x:c>
      <x:c r="Y2359" s="1" t="n">
        <x:f>IF(AND(H2359="Yes",OR(LEN('School Search'!$B$5)=0,ISNUMBER(SEARCH('School Search'!$B$5,B2359&amp;" "&amp;E2359&amp;" "&amp;A2359))),OR('School Search'!$D$5="All",C2359='School Search'!$D$5),OR('School Search'!$G$5="All eligible",AND('School Search'!$G$5="Not marked served",J2359&lt;&gt;"Yes"),AND('School Search'!$G$5="Missing data",V2359="Missing data"),AND('School Search'!$G$5="Marked served",J2359="Yes"))),1,0)</x:f>
        <x:v>1</x:v>
      </x:c>
      <x:c r="Z2359" s="1" t="n">
        <x:f>IF(Y2359=0,"",COUNTIFS($Y$2051:$Y$2550,1,$AO$2051:$AO$2550,"&lt;"&amp;AO2359)+COUNTIFS($Y$2051:Y2359,1,$AO$2051:AO2359,AO2359))</x:f>
        <x:v>6</x:v>
      </x:c>
      <x:c r="AA2359" s="1" t="str">
        <x:f>IF(NOT(ISNUMBER(S2359)),"Missing demographic or access input",TEXT(G2359,"0%")&amp;" economic need; "&amp;TEXT(K2359,"0.00")&amp;" mi fresh access; "&amp;L2359&amp;" nearby resources")</x:f>
        <x:v>76% economic need; 0.51 mi fresh access; 0 nearby resources</x:v>
      </x:c>
      <x:c r="AB2359" s="1" t="n">
        <x:f>IF(OR(A2359="",COUNTIFS($A$1531:$A$2030,A2359)&lt;&gt;1),0,MATCH(A2359,$A$1531:$A$2030,0))</x:f>
        <x:v>309</x:v>
      </x:c>
      <x:c r="AC2359" s="1" t="str">
        <x:f>IF(AB2359=0,"",INDEX($E$1531:$E$2030,AB2359))</x:f>
        <x:v>Jumbo Meat Market</x:v>
      </x:c>
      <x:c r="AD2359" s="1" t="str">
        <x:f>IF(AB2359=0,"",INDEX($F$1531:$F$2030,AB2359))</x:f>
        <x:v>7322 Castor Ave, Philadelphia, PA, 19152</x:v>
      </x:c>
      <x:c r="AE2359" s="1" t="str">
        <x:f>IF(A2359="","",F310)</x:f>
        <x:v>7809 CASTOR AVE</x:v>
      </x:c>
      <x:c r="AF2359" s="1" t="n">
        <x:f>IF(ISNUMBER(I310),I310,"")</x:f>
        <x:v>40.05869601</x:v>
      </x:c>
      <x:c r="AG2359" s="1" t="n">
        <x:f>IF(ISNUMBER(J310),J310,"")</x:f>
        <x:v>-75.05898166</x:v>
      </x:c>
      <x:c r="AH2359" s="1" t="str">
        <x:f>IF(I2359=0,"Not contacted",IF(INDEX('Staff Review'!$J$8:$J$507,I2359)="","Not contacted",INDEX('Staff Review'!$J$8:$J$507,I2359)))</x:f>
        <x:v>Not contacted</x:v>
      </x:c>
      <x:c r="AI2359" s="1" t="str">
        <x:f>IF(I2359=0,"No",IF(AND(COUNT(INDEX('Staff Review'!$D$8:$D$507,I2359))=1,INDEX('Staff Review'!$D$8:$D$507,I2359)&gt;=0,COUNT(INDEX('Staff Review'!$E$8:$E$507,I2359))=1,INDEX('Staff Review'!$E$8:$E$507,I2359)&gt;0,INDEX('Staff Review'!$E$8:$E$507,I2359)&lt;='Top 15'!$E$5,'Top 15'!$E$5-INDEX('Staff Review'!$E$8:$E$507,I2359)&lt;='Top 15'!$H$5,LEN(INDEX('Staff Review'!$H$8:$H$507,I2359))&gt;0),"Yes","No"))</x:f>
        <x:v>No</x:v>
      </x:c>
      <x:c r="AJ2359" s="1" t="str">
        <x:f>IF(I2359=0,"No",IF(COUNT(INDEX('Staff Review'!$F$8:$F$507,I2359))&lt;&gt;1,"No",IF(AND(INDEX('Staff Review'!$F$8:$F$507,I2359)&gt;=0,MOD(INDEX('Staff Review'!$F$8:$F$507,I2359),1)=0,COUNT(INDEX('Staff Review'!$G$8:$G$507,I2359))=1,INDEX('Staff Review'!$G$8:$G$507,I2359)&gt;0,INDEX('Staff Review'!$G$8:$G$507,I2359)&lt;='Top 15'!$E$5,'Top 15'!$E$5-INDEX('Staff Review'!$G$8:$G$507,I2359)&lt;='Top 15'!$H$5,LEN(INDEX('Staff Review'!$H$8:$H$507,I2359))&gt;0),"Yes","No")))</x:f>
        <x:v>No</x:v>
      </x:c>
      <x:c r="AK2359" s="1" t="n">
        <x:f>IF(A2359="",0,COUNTIFS($A$2:$A$501,A2359))</x:f>
        <x:v>1</x:v>
      </x:c>
      <x:c r="AL2359" s="1" t="n">
        <x:f>IF(V2359="Candidate",1,0)</x:f>
        <x:v>1</x:v>
      </x:c>
      <x:c r="AM2359" s="1" t="n">
        <x:f>IF(A2359="",0,VALUE(A2359))</x:f>
        <x:v>8360</x:v>
      </x:c>
      <x:c r="AN2359" s="1" t="n">
        <x:f>IF(OR(A2359="",COUNTIFS($T$41:$T$540,A2359)&lt;&gt;1),0,MATCH(A2359,$T$41:$T$540,0))</x:f>
        <x:v>309</x:v>
      </x:c>
      <x:c r="AO2359" t="n">
        <x:f>IF(ISNUMBER(W2359),W2359,10000+AM2359)</x:f>
        <x:v>6</x:v>
      </x:c>
    </x:row>
    <x:row r="2360" ht="22" customHeight="1">
      <x:c r="A2360" s="1" t="str">
        <x:f>IF(A311="","",A311)</x:f>
        <x:v>8370</x:v>
      </x:c>
      <x:c r="B2360" s="1" t="str">
        <x:f>IF(A2360="","",B311)</x:f>
        <x:v>Watson Comly School</x:v>
      </x:c>
      <x:c r="C2360" s="1" t="str">
        <x:f>IF(A2360="","",C311)</x:f>
        <x:v>District</x:v>
      </x:c>
      <x:c r="D2360" s="1" t="str">
        <x:f>IF(A2360="","",E311)</x:f>
        <x:v>Elementary</x:v>
      </x:c>
      <x:c r="E2360" s="1" t="str">
        <x:f>IF(A2360="","",H311)</x:f>
        <x:v>19116</x:v>
      </x:c>
      <x:c r="F2360" s="1" t="n">
        <x:f>IF(ISNUMBER(K311),K311,"")</x:f>
        <x:v>660</x:v>
      </x:c>
      <x:c r="G2360" s="1" t="n">
        <x:f>IF(ISNUMBER(L311),L311,"")</x:f>
        <x:v>0.6656</x:v>
      </x:c>
      <x:c r="H2360" s="1" t="str">
        <x:f>IF(A2360="","",IF(AND(UPPER(G311)="PHILADELPHIA",OR(C2360="District",AND(C2360="Charter",D311="Yes"))),"Yes","No"))</x:f>
        <x:v>Yes</x:v>
      </x:c>
      <x:c r="I2360" s="1" t="n">
        <x:f>IF(OR(A2360="",COUNTIFS('Staff Review'!$A$8:$A$507,A2360)&lt;&gt;1),0,MATCH(A2360,'Staff Review'!$A$8:$A$507,0))</x:f>
        <x:v>307</x:v>
      </x:c>
      <x:c r="J2360" s="1" t="str">
        <x:f>IF(I2360=0,"No",IF(INDEX('Staff Review'!$C$8:$C$507,I2360)="Yes","Yes","No"))</x:f>
        <x:v>No</x:v>
      </x:c>
      <x:c r="K2360" s="1" t="n">
        <x:f>IF(AI2360="Yes",INDEX('Staff Review'!$D$8:$D$507,I2360),IF(AB2360=0,"",IF(COUNT(INDEX($C$1531:$C$2030,AB2360))=1,INDEX($C$1531:$C$2030,AB2360),"")))</x:f>
        <x:v>0.42671826805716384</x:v>
      </x:c>
      <x:c r="L2360" s="1" t="n">
        <x:f>IF(AJ2360="Yes",INDEX('Staff Review'!$F$8:$F$507,I2360),IF(AB2360=0,"",IF(COUNT(INDEX($G$1531:$G$2030,AB2360))=1,INDEX($G$1531:$G$2030,AB2360),"")))</x:f>
        <x:v>1</x:v>
      </x:c>
      <x:c r="M2360" s="1" t="str">
        <x:f>IF(A2360="","",IF(AI2360="Yes","Verified","Listed"))</x:f>
        <x:v>Listed</x:v>
      </x:c>
      <x:c r="N2360" s="1" t="str">
        <x:f>IF(A2360="","",IF(AJ2360="Yes","Verified","Listed"))</x:f>
        <x:v>Listed</x:v>
      </x:c>
      <x:c r="O2360" s="1" t="n">
        <x:f>IF(AND(ISNUMBER(G2360),G2360&gt;=0,G2360&lt;=1),IF(G2360&gt;=0.9,30,IF(G2360&gt;=0.8,25,IF(G2360&gt;=0.7,20,IF(G2360&gt;=0.6,15,IF(G2360&gt;=0.5,10,IF(G2360&gt;=0.4,5,0)))))),"")</x:f>
        <x:v>15</x:v>
      </x:c>
      <x:c r="P2360" s="1" t="n">
        <x:f>IF(ISNUMBER(K2360),IF(K2360&lt;0,"",IF(K2360&gt;1,25,IF(K2360&gt;=0.75,20,IF(K2360&gt;=0.5,15,IF(K2360&gt;=0.25,10,5))))),"")</x:f>
        <x:v>10</x:v>
      </x:c>
      <x:c r="Q2360" s="1" t="n">
        <x:f>IF(NOT(ISNUMBER(L2360)),"",IF(AND(L2360&gt;=0,MOD(L2360,1)=0),MAX(0,25-5*L2360),""))</x:f>
        <x:v>20</x:v>
      </x:c>
      <x:c r="R2360" s="1" t="n">
        <x:f>IF(NOT(ISNUMBER(F2360)),"",IF(AND(F2360&gt;0,MOD(F2360,1)=0),IF(F2360&gt;=700,5,IF(F2360&gt;=500,4,IF(F2360&gt;=350,3,IF(F2360&gt;=200,2,1)))),""))</x:f>
        <x:v>4</x:v>
      </x:c>
      <x:c r="S2360" s="1" t="n">
        <x:f>IF(COUNT(O2360:R2360)=4,SUM(O2360:R2360),"")</x:f>
        <x:v>49</x:v>
      </x:c>
      <x:c r="T2360" s="1" t="n">
        <x:f>IF(OR(COUNT(O2360:R2360)&lt;&gt;4,COUNT('Top 15'!$B$35:$E$35)&lt;&gt;4,MIN('Top 15'!$B$35:$E$35)&lt;0,SUM('Top 15'!$B$35:$E$35)&lt;=0),"",ROUND(85*(O2360/30*'Top 15'!$B$35+P2360/25*'Top 15'!$C$35+Q2360/25*'Top 15'!$D$35+R2360/5*'Top 15'!$E$35)/SUM('Top 15'!$B$35:$E$35),6))</x:f>
        <x:v>49</x:v>
      </x:c>
      <x:c r="U2360" s="1" t="str">
        <x:f>IF(A2360="","",IF(AND(M2360="Verified",N2360="Verified"),"Verified",IF(AND(M2360="Listed",N2360="Listed"),"Listed","Mixed")))</x:f>
        <x:v>Listed</x:v>
      </x:c>
      <x:c r="V2360" s="1" t="str">
        <x:f>IF(A2360="","",IF(AK2360&lt;&gt;1,"Duplicate source ID",IF(COUNTIFS('Staff Review'!$A$8:$A$507,A2360)&gt;1,"Duplicate review ID",IF(H2360&lt;&gt;"Yes","Outside scope",IF(J2360="Yes","Already served",IF(NOT(ISNUMBER(T2360)),"Missing data","Candidate"))))))</x:f>
        <x:v>Candidate</x:v>
      </x:c>
      <x:c r="W2360" s="1" t="n">
        <x:f>IF(AL2360=0,"",1+COUNTIFS($AL$2051:$AL$2550,1,$T$2051:$T$2550,"&gt;"&amp;T2360)+COUNTIFS($AL$2051:$AL$2550,1,$T$2051:$T$2550,T2360,$G$2051:$G$2550,"&gt;"&amp;G2360)+COUNTIFS($AL$2051:$AL$2550,1,$T$2051:$T$2550,T2360,$G$2051:$G$2550,G2360,$F$2051:$F$2550,"&gt;"&amp;F2360)+COUNTIFS($AL$2051:$AL$2550,1,$T$2051:$T$2550,T2360,$G$2051:$G$2550,G2360,$F$2051:$F$2550,F2360,$AM$2051:$AM$2550,"&lt;"&amp;AM2360))</x:f>
        <x:v>54</x:v>
      </x:c>
      <x:c r="X2360" s="1" t="n">
        <x:f>IF(AL2360=0,"",1+COUNTIFS($AL$2051:$AL$2550,1,$T$2051:$T$2550,"&gt;"&amp;T2360))</x:f>
        <x:v>46</x:v>
      </x:c>
      <x:c r="Y2360" s="1" t="n">
        <x:f>IF(AND(H2360="Yes",OR(LEN('School Search'!$B$5)=0,ISNUMBER(SEARCH('School Search'!$B$5,B2360&amp;" "&amp;E2360&amp;" "&amp;A2360))),OR('School Search'!$D$5="All",C2360='School Search'!$D$5),OR('School Search'!$G$5="All eligible",AND('School Search'!$G$5="Not marked served",J2360&lt;&gt;"Yes"),AND('School Search'!$G$5="Missing data",V2360="Missing data"),AND('School Search'!$G$5="Marked served",J2360="Yes"))),1,0)</x:f>
        <x:v>1</x:v>
      </x:c>
      <x:c r="Z2360" s="1" t="n">
        <x:f>IF(Y2360=0,"",COUNTIFS($Y$2051:$Y$2550,1,$AO$2051:$AO$2550,"&lt;"&amp;AO2360)+COUNTIFS($Y$2051:Y2360,1,$AO$2051:AO2360,AO2360))</x:f>
        <x:v>54</x:v>
      </x:c>
      <x:c r="AA2360" s="1" t="str">
        <x:f>IF(NOT(ISNUMBER(S2360)),"Missing demographic or access input",TEXT(G2360,"0%")&amp;" economic need; "&amp;TEXT(K2360,"0.00")&amp;" mi fresh access; "&amp;L2360&amp;" nearby resources")</x:f>
        <x:v>67% economic need; 0.43 mi fresh access; 1 nearby resources</x:v>
      </x:c>
      <x:c r="AB2360" s="1" t="n">
        <x:f>IF(OR(A2360="",COUNTIFS($A$1531:$A$2030,A2360)&lt;&gt;1),0,MATCH(A2360,$A$1531:$A$2030,0))</x:f>
        <x:v>310</x:v>
      </x:c>
      <x:c r="AC2360" s="1" t="str">
        <x:f>IF(AB2360=0,"",INDEX($E$1531:$E$2030,AB2360))</x:f>
        <x:v>Net Cost Market 4</x:v>
      </x:c>
      <x:c r="AD2360" s="1" t="str">
        <x:f>IF(AB2360=0,"",INDEX($F$1531:$F$2030,AB2360))</x:f>
        <x:v>11701 Bustleton Ave, Philadelphia, PA, 19116</x:v>
      </x:c>
      <x:c r="AE2360" s="1" t="str">
        <x:f>IF(A2360="","",F311)</x:f>
        <x:v>1001 BYBERRY RD</x:v>
      </x:c>
      <x:c r="AF2360" s="1" t="n">
        <x:f>IF(ISNUMBER(I311),I311,"")</x:f>
        <x:v>40.12096486</x:v>
      </x:c>
      <x:c r="AG2360" s="1" t="n">
        <x:f>IF(ISNUMBER(J311),J311,"")</x:f>
        <x:v>-75.0091088</x:v>
      </x:c>
      <x:c r="AH2360" s="1" t="str">
        <x:f>IF(I2360=0,"Not contacted",IF(INDEX('Staff Review'!$J$8:$J$507,I2360)="","Not contacted",INDEX('Staff Review'!$J$8:$J$507,I2360)))</x:f>
        <x:v>Not contacted</x:v>
      </x:c>
      <x:c r="AI2360" s="1" t="str">
        <x:f>IF(I2360=0,"No",IF(AND(COUNT(INDEX('Staff Review'!$D$8:$D$507,I2360))=1,INDEX('Staff Review'!$D$8:$D$507,I2360)&gt;=0,COUNT(INDEX('Staff Review'!$E$8:$E$507,I2360))=1,INDEX('Staff Review'!$E$8:$E$507,I2360)&gt;0,INDEX('Staff Review'!$E$8:$E$507,I2360)&lt;='Top 15'!$E$5,'Top 15'!$E$5-INDEX('Staff Review'!$E$8:$E$507,I2360)&lt;='Top 15'!$H$5,LEN(INDEX('Staff Review'!$H$8:$H$507,I2360))&gt;0),"Yes","No"))</x:f>
        <x:v>No</x:v>
      </x:c>
      <x:c r="AJ2360" s="1" t="str">
        <x:f>IF(I2360=0,"No",IF(COUNT(INDEX('Staff Review'!$F$8:$F$507,I2360))&lt;&gt;1,"No",IF(AND(INDEX('Staff Review'!$F$8:$F$507,I2360)&gt;=0,MOD(INDEX('Staff Review'!$F$8:$F$507,I2360),1)=0,COUNT(INDEX('Staff Review'!$G$8:$G$507,I2360))=1,INDEX('Staff Review'!$G$8:$G$507,I2360)&gt;0,INDEX('Staff Review'!$G$8:$G$507,I2360)&lt;='Top 15'!$E$5,'Top 15'!$E$5-INDEX('Staff Review'!$G$8:$G$507,I2360)&lt;='Top 15'!$H$5,LEN(INDEX('Staff Review'!$H$8:$H$507,I2360))&gt;0),"Yes","No")))</x:f>
        <x:v>No</x:v>
      </x:c>
      <x:c r="AK2360" s="1" t="n">
        <x:f>IF(A2360="",0,COUNTIFS($A$2:$A$501,A2360))</x:f>
        <x:v>1</x:v>
      </x:c>
      <x:c r="AL2360" s="1" t="n">
        <x:f>IF(V2360="Candidate",1,0)</x:f>
        <x:v>1</x:v>
      </x:c>
      <x:c r="AM2360" s="1" t="n">
        <x:f>IF(A2360="",0,VALUE(A2360))</x:f>
        <x:v>8370</x:v>
      </x:c>
      <x:c r="AN2360" s="1" t="n">
        <x:f>IF(OR(A2360="",COUNTIFS($T$41:$T$540,A2360)&lt;&gt;1),0,MATCH(A2360,$T$41:$T$540,0))</x:f>
        <x:v>310</x:v>
      </x:c>
      <x:c r="AO2360" t="n">
        <x:f>IF(ISNUMBER(W2360),W2360,10000+AM2360)</x:f>
        <x:v>54</x:v>
      </x:c>
    </x:row>
    <x:row r="2361" ht="22" customHeight="1">
      <x:c r="A2361" s="1" t="str">
        <x:f>IF(A312="","",A312)</x:f>
        <x:v>8380</x:v>
      </x:c>
      <x:c r="B2361" s="1" t="str">
        <x:f>IF(A2361="","",B312)</x:f>
        <x:v>Louis H. Farrell School</x:v>
      </x:c>
      <x:c r="C2361" s="1" t="str">
        <x:f>IF(A2361="","",C312)</x:f>
        <x:v>District</x:v>
      </x:c>
      <x:c r="D2361" s="1" t="str">
        <x:f>IF(A2361="","",E312)</x:f>
        <x:v>Elementary-Middle</x:v>
      </x:c>
      <x:c r="E2361" s="1" t="str">
        <x:f>IF(A2361="","",H312)</x:f>
        <x:v>19152</x:v>
      </x:c>
      <x:c r="F2361" s="1" t="n">
        <x:f>IF(ISNUMBER(K312),K312,"")</x:f>
        <x:v>1255</x:v>
      </x:c>
      <x:c r="G2361" s="1" t="n">
        <x:f>IF(ISNUMBER(L312),L312,"")</x:f>
        <x:v>0.7148</x:v>
      </x:c>
      <x:c r="H2361" s="1" t="str">
        <x:f>IF(A2361="","",IF(AND(UPPER(G312)="PHILADELPHIA",OR(C2361="District",AND(C2361="Charter",D312="Yes"))),"Yes","No"))</x:f>
        <x:v>Yes</x:v>
      </x:c>
      <x:c r="I2361" s="1" t="n">
        <x:f>IF(OR(A2361="",COUNTIFS('Staff Review'!$A$8:$A$507,A2361)&lt;&gt;1),0,MATCH(A2361,'Staff Review'!$A$8:$A$507,0))</x:f>
        <x:v>172</x:v>
      </x:c>
      <x:c r="J2361" s="1" t="str">
        <x:f>IF(I2361=0,"No",IF(INDEX('Staff Review'!$C$8:$C$507,I2361)="Yes","Yes","No"))</x:f>
        <x:v>No</x:v>
      </x:c>
      <x:c r="K2361" s="1" t="n">
        <x:f>IF(AI2361="Yes",INDEX('Staff Review'!$D$8:$D$507,I2361),IF(AB2361=0,"",IF(COUNT(INDEX($C$1531:$C$2030,AB2361))=1,INDEX($C$1531:$C$2030,AB2361),"")))</x:f>
        <x:v>0.08152945042887899</x:v>
      </x:c>
      <x:c r="L2361" s="1" t="n">
        <x:f>IF(AJ2361="Yes",INDEX('Staff Review'!$F$8:$F$507,I2361),IF(AB2361=0,"",IF(COUNT(INDEX($G$1531:$G$2030,AB2361))=1,INDEX($G$1531:$G$2030,AB2361),"")))</x:f>
        <x:v>0</x:v>
      </x:c>
      <x:c r="M2361" s="1" t="str">
        <x:f>IF(A2361="","",IF(AI2361="Yes","Verified","Listed"))</x:f>
        <x:v>Listed</x:v>
      </x:c>
      <x:c r="N2361" s="1" t="str">
        <x:f>IF(A2361="","",IF(AJ2361="Yes","Verified","Listed"))</x:f>
        <x:v>Listed</x:v>
      </x:c>
      <x:c r="O2361" s="1" t="n">
        <x:f>IF(AND(ISNUMBER(G2361),G2361&gt;=0,G2361&lt;=1),IF(G2361&gt;=0.9,30,IF(G2361&gt;=0.8,25,IF(G2361&gt;=0.7,20,IF(G2361&gt;=0.6,15,IF(G2361&gt;=0.5,10,IF(G2361&gt;=0.4,5,0)))))),"")</x:f>
        <x:v>20</x:v>
      </x:c>
      <x:c r="P2361" s="1" t="n">
        <x:f>IF(ISNUMBER(K2361),IF(K2361&lt;0,"",IF(K2361&gt;1,25,IF(K2361&gt;=0.75,20,IF(K2361&gt;=0.5,15,IF(K2361&gt;=0.25,10,5))))),"")</x:f>
        <x:v>5</x:v>
      </x:c>
      <x:c r="Q2361" s="1" t="n">
        <x:f>IF(NOT(ISNUMBER(L2361)),"",IF(AND(L2361&gt;=0,MOD(L2361,1)=0),MAX(0,25-5*L2361),""))</x:f>
        <x:v>25</x:v>
      </x:c>
      <x:c r="R2361" s="1" t="n">
        <x:f>IF(NOT(ISNUMBER(F2361)),"",IF(AND(F2361&gt;0,MOD(F2361,1)=0),IF(F2361&gt;=700,5,IF(F2361&gt;=500,4,IF(F2361&gt;=350,3,IF(F2361&gt;=200,2,1)))),""))</x:f>
        <x:v>5</x:v>
      </x:c>
      <x:c r="S2361" s="1" t="n">
        <x:f>IF(COUNT(O2361:R2361)=4,SUM(O2361:R2361),"")</x:f>
        <x:v>55</x:v>
      </x:c>
      <x:c r="T2361" s="1" t="n">
        <x:f>IF(OR(COUNT(O2361:R2361)&lt;&gt;4,COUNT('Top 15'!$B$35:$E$35)&lt;&gt;4,MIN('Top 15'!$B$35:$E$35)&lt;0,SUM('Top 15'!$B$35:$E$35)&lt;=0),"",ROUND(85*(O2361/30*'Top 15'!$B$35+P2361/25*'Top 15'!$C$35+Q2361/25*'Top 15'!$D$35+R2361/5*'Top 15'!$E$35)/SUM('Top 15'!$B$35:$E$35),6))</x:f>
        <x:v>55</x:v>
      </x:c>
      <x:c r="U2361" s="1" t="str">
        <x:f>IF(A2361="","",IF(AND(M2361="Verified",N2361="Verified"),"Verified",IF(AND(M2361="Listed",N2361="Listed"),"Listed","Mixed")))</x:f>
        <x:v>Listed</x:v>
      </x:c>
      <x:c r="V2361" s="1" t="str">
        <x:f>IF(A2361="","",IF(AK2361&lt;&gt;1,"Duplicate source ID",IF(COUNTIFS('Staff Review'!$A$8:$A$507,A2361)&gt;1,"Duplicate review ID",IF(H2361&lt;&gt;"Yes","Outside scope",IF(J2361="Yes","Already served",IF(NOT(ISNUMBER(T2361)),"Missing data","Candidate"))))))</x:f>
        <x:v>Candidate</x:v>
      </x:c>
      <x:c r="W2361" s="1" t="n">
        <x:f>IF(AL2361=0,"",1+COUNTIFS($AL$2051:$AL$2550,1,$T$2051:$T$2550,"&gt;"&amp;T2361)+COUNTIFS($AL$2051:$AL$2550,1,$T$2051:$T$2550,T2361,$G$2051:$G$2550,"&gt;"&amp;G2361)+COUNTIFS($AL$2051:$AL$2550,1,$T$2051:$T$2550,T2361,$G$2051:$G$2550,G2361,$F$2051:$F$2550,"&gt;"&amp;F2361)+COUNTIFS($AL$2051:$AL$2550,1,$T$2051:$T$2550,T2361,$G$2051:$G$2550,G2361,$F$2051:$F$2550,F2361,$AM$2051:$AM$2550,"&lt;"&amp;AM2361))</x:f>
        <x:v>29</x:v>
      </x:c>
      <x:c r="X2361" s="1" t="n">
        <x:f>IF(AL2361=0,"",1+COUNTIFS($AL$2051:$AL$2550,1,$T$2051:$T$2550,"&gt;"&amp;T2361))</x:f>
        <x:v>24</x:v>
      </x:c>
      <x:c r="Y2361" s="1" t="n">
        <x:f>IF(AND(H2361="Yes",OR(LEN('School Search'!$B$5)=0,ISNUMBER(SEARCH('School Search'!$B$5,B2361&amp;" "&amp;E2361&amp;" "&amp;A2361))),OR('School Search'!$D$5="All",C2361='School Search'!$D$5),OR('School Search'!$G$5="All eligible",AND('School Search'!$G$5="Not marked served",J2361&lt;&gt;"Yes"),AND('School Search'!$G$5="Missing data",V2361="Missing data"),AND('School Search'!$G$5="Marked served",J2361="Yes"))),1,0)</x:f>
        <x:v>1</x:v>
      </x:c>
      <x:c r="Z2361" s="1" t="n">
        <x:f>IF(Y2361=0,"",COUNTIFS($Y$2051:$Y$2550,1,$AO$2051:$AO$2550,"&lt;"&amp;AO2361)+COUNTIFS($Y$2051:Y2361,1,$AO$2051:AO2361,AO2361))</x:f>
        <x:v>29</x:v>
      </x:c>
      <x:c r="AA2361" s="1" t="str">
        <x:f>IF(NOT(ISNUMBER(S2361)),"Missing demographic or access input",TEXT(G2361,"0%")&amp;" economic need; "&amp;TEXT(K2361,"0.00")&amp;" mi fresh access; "&amp;L2361&amp;" nearby resources")</x:f>
        <x:v>71% economic need; 0.08 mi fresh access; 0 nearby resources</x:v>
      </x:c>
      <x:c r="AB2361" s="1" t="n">
        <x:f>IF(OR(A2361="",COUNTIFS($A$1531:$A$2030,A2361)&lt;&gt;1),0,MATCH(A2361,$A$1531:$A$2030,0))</x:f>
        <x:v>311</x:v>
      </x:c>
      <x:c r="AC2361" s="1" t="str">
        <x:f>IF(AB2361=0,"",INDEX($E$1531:$E$2030,AB2361))</x:f>
        <x:v>Bell's Market</x:v>
      </x:c>
      <x:c r="AD2361" s="1" t="str">
        <x:f>IF(AB2361=0,"",INDEX($F$1531:$F$2030,AB2361))</x:f>
        <x:v>8330 Bustleton Ave, Philadelphia, PA, 19152</x:v>
      </x:c>
      <x:c r="AE2361" s="1" t="str">
        <x:f>IF(A2361="","",F312)</x:f>
        <x:v>8300 CASTOR AVE</x:v>
      </x:c>
      <x:c r="AF2361" s="1" t="n">
        <x:f>IF(ISNUMBER(I312),I312,"")</x:f>
        <x:v>40.06657162</x:v>
      </x:c>
      <x:c r="AG2361" s="1" t="n">
        <x:f>IF(ISNUMBER(J312),J312,"")</x:f>
        <x:v>-75.05241476</x:v>
      </x:c>
      <x:c r="AH2361" s="1" t="str">
        <x:f>IF(I2361=0,"Not contacted",IF(INDEX('Staff Review'!$J$8:$J$507,I2361)="","Not contacted",INDEX('Staff Review'!$J$8:$J$507,I2361)))</x:f>
        <x:v>Not contacted</x:v>
      </x:c>
      <x:c r="AI2361" s="1" t="str">
        <x:f>IF(I2361=0,"No",IF(AND(COUNT(INDEX('Staff Review'!$D$8:$D$507,I2361))=1,INDEX('Staff Review'!$D$8:$D$507,I2361)&gt;=0,COUNT(INDEX('Staff Review'!$E$8:$E$507,I2361))=1,INDEX('Staff Review'!$E$8:$E$507,I2361)&gt;0,INDEX('Staff Review'!$E$8:$E$507,I2361)&lt;='Top 15'!$E$5,'Top 15'!$E$5-INDEX('Staff Review'!$E$8:$E$507,I2361)&lt;='Top 15'!$H$5,LEN(INDEX('Staff Review'!$H$8:$H$507,I2361))&gt;0),"Yes","No"))</x:f>
        <x:v>No</x:v>
      </x:c>
      <x:c r="AJ2361" s="1" t="str">
        <x:f>IF(I2361=0,"No",IF(COUNT(INDEX('Staff Review'!$F$8:$F$507,I2361))&lt;&gt;1,"No",IF(AND(INDEX('Staff Review'!$F$8:$F$507,I2361)&gt;=0,MOD(INDEX('Staff Review'!$F$8:$F$507,I2361),1)=0,COUNT(INDEX('Staff Review'!$G$8:$G$507,I2361))=1,INDEX('Staff Review'!$G$8:$G$507,I2361)&gt;0,INDEX('Staff Review'!$G$8:$G$507,I2361)&lt;='Top 15'!$E$5,'Top 15'!$E$5-INDEX('Staff Review'!$G$8:$G$507,I2361)&lt;='Top 15'!$H$5,LEN(INDEX('Staff Review'!$H$8:$H$507,I2361))&gt;0),"Yes","No")))</x:f>
        <x:v>No</x:v>
      </x:c>
      <x:c r="AK2361" s="1" t="n">
        <x:f>IF(A2361="",0,COUNTIFS($A$2:$A$501,A2361))</x:f>
        <x:v>1</x:v>
      </x:c>
      <x:c r="AL2361" s="1" t="n">
        <x:f>IF(V2361="Candidate",1,0)</x:f>
        <x:v>1</x:v>
      </x:c>
      <x:c r="AM2361" s="1" t="n">
        <x:f>IF(A2361="",0,VALUE(A2361))</x:f>
        <x:v>8380</x:v>
      </x:c>
      <x:c r="AN2361" s="1" t="n">
        <x:f>IF(OR(A2361="",COUNTIFS($T$41:$T$540,A2361)&lt;&gt;1),0,MATCH(A2361,$T$41:$T$540,0))</x:f>
        <x:v>311</x:v>
      </x:c>
      <x:c r="AO2361" t="n">
        <x:f>IF(ISNUMBER(W2361),W2361,10000+AM2361)</x:f>
        <x:v>29</x:v>
      </x:c>
    </x:row>
    <x:row r="2362" ht="22" customHeight="1">
      <x:c r="A2362" s="1" t="str">
        <x:f>IF(A313="","",A313)</x:f>
        <x:v>8390</x:v>
      </x:c>
      <x:c r="B2362" s="1" t="str">
        <x:f>IF(A2362="","",B313)</x:f>
        <x:v>Aloysius L. Fitzpatrick School</x:v>
      </x:c>
      <x:c r="C2362" s="1" t="str">
        <x:f>IF(A2362="","",C313)</x:f>
        <x:v>District</x:v>
      </x:c>
      <x:c r="D2362" s="1" t="str">
        <x:f>IF(A2362="","",E313)</x:f>
        <x:v>Elementary-Middle</x:v>
      </x:c>
      <x:c r="E2362" s="1" t="str">
        <x:f>IF(A2362="","",H313)</x:f>
        <x:v>19154</x:v>
      </x:c>
      <x:c r="F2362" s="1" t="n">
        <x:f>IF(ISNUMBER(K313),K313,"")</x:f>
        <x:v>868</x:v>
      </x:c>
      <x:c r="G2362" s="1" t="n">
        <x:f>IF(ISNUMBER(L313),L313,"")</x:f>
        <x:v>0.7176</x:v>
      </x:c>
      <x:c r="H2362" s="1" t="str">
        <x:f>IF(A2362="","",IF(AND(UPPER(G313)="PHILADELPHIA",OR(C2362="District",AND(C2362="Charter",D313="Yes"))),"Yes","No"))</x:f>
        <x:v>Yes</x:v>
      </x:c>
      <x:c r="I2362" s="1" t="n">
        <x:f>IF(OR(A2362="",COUNTIFS('Staff Review'!$A$8:$A$507,A2362)&lt;&gt;1),0,MATCH(A2362,'Staff Review'!$A$8:$A$507,0))</x:f>
        <x:v>16</x:v>
      </x:c>
      <x:c r="J2362" s="1" t="str">
        <x:f>IF(I2362=0,"No",IF(INDEX('Staff Review'!$C$8:$C$507,I2362)="Yes","Yes","No"))</x:f>
        <x:v>No</x:v>
      </x:c>
      <x:c r="K2362" s="1" t="n">
        <x:f>IF(AI2362="Yes",INDEX('Staff Review'!$D$8:$D$507,I2362),IF(AB2362=0,"",IF(COUNT(INDEX($C$1531:$C$2030,AB2362))=1,INDEX($C$1531:$C$2030,AB2362),"")))</x:f>
        <x:v>0.4864590234509422</x:v>
      </x:c>
      <x:c r="L2362" s="1" t="n">
        <x:f>IF(AJ2362="Yes",INDEX('Staff Review'!$F$8:$F$507,I2362),IF(AB2362=0,"",IF(COUNT(INDEX($G$1531:$G$2030,AB2362))=1,INDEX($G$1531:$G$2030,AB2362),"")))</x:f>
        <x:v>0</x:v>
      </x:c>
      <x:c r="M2362" s="1" t="str">
        <x:f>IF(A2362="","",IF(AI2362="Yes","Verified","Listed"))</x:f>
        <x:v>Listed</x:v>
      </x:c>
      <x:c r="N2362" s="1" t="str">
        <x:f>IF(A2362="","",IF(AJ2362="Yes","Verified","Listed"))</x:f>
        <x:v>Listed</x:v>
      </x:c>
      <x:c r="O2362" s="1" t="n">
        <x:f>IF(AND(ISNUMBER(G2362),G2362&gt;=0,G2362&lt;=1),IF(G2362&gt;=0.9,30,IF(G2362&gt;=0.8,25,IF(G2362&gt;=0.7,20,IF(G2362&gt;=0.6,15,IF(G2362&gt;=0.5,10,IF(G2362&gt;=0.4,5,0)))))),"")</x:f>
        <x:v>20</x:v>
      </x:c>
      <x:c r="P2362" s="1" t="n">
        <x:f>IF(ISNUMBER(K2362),IF(K2362&lt;0,"",IF(K2362&gt;1,25,IF(K2362&gt;=0.75,20,IF(K2362&gt;=0.5,15,IF(K2362&gt;=0.25,10,5))))),"")</x:f>
        <x:v>10</x:v>
      </x:c>
      <x:c r="Q2362" s="1" t="n">
        <x:f>IF(NOT(ISNUMBER(L2362)),"",IF(AND(L2362&gt;=0,MOD(L2362,1)=0),MAX(0,25-5*L2362),""))</x:f>
        <x:v>25</x:v>
      </x:c>
      <x:c r="R2362" s="1" t="n">
        <x:f>IF(NOT(ISNUMBER(F2362)),"",IF(AND(F2362&gt;0,MOD(F2362,1)=0),IF(F2362&gt;=700,5,IF(F2362&gt;=500,4,IF(F2362&gt;=350,3,IF(F2362&gt;=200,2,1)))),""))</x:f>
        <x:v>5</x:v>
      </x:c>
      <x:c r="S2362" s="1" t="n">
        <x:f>IF(COUNT(O2362:R2362)=4,SUM(O2362:R2362),"")</x:f>
        <x:v>60</x:v>
      </x:c>
      <x:c r="T2362" s="1" t="n">
        <x:f>IF(OR(COUNT(O2362:R2362)&lt;&gt;4,COUNT('Top 15'!$B$35:$E$35)&lt;&gt;4,MIN('Top 15'!$B$35:$E$35)&lt;0,SUM('Top 15'!$B$35:$E$35)&lt;=0),"",ROUND(85*(O2362/30*'Top 15'!$B$35+P2362/25*'Top 15'!$C$35+Q2362/25*'Top 15'!$D$35+R2362/5*'Top 15'!$E$35)/SUM('Top 15'!$B$35:$E$35),6))</x:f>
        <x:v>60</x:v>
      </x:c>
      <x:c r="U2362" s="1" t="str">
        <x:f>IF(A2362="","",IF(AND(M2362="Verified",N2362="Verified"),"Verified",IF(AND(M2362="Listed",N2362="Listed"),"Listed","Mixed")))</x:f>
        <x:v>Listed</x:v>
      </x:c>
      <x:c r="V2362" s="1" t="str">
        <x:f>IF(A2362="","",IF(AK2362&lt;&gt;1,"Duplicate source ID",IF(COUNTIFS('Staff Review'!$A$8:$A$507,A2362)&gt;1,"Duplicate review ID",IF(H2362&lt;&gt;"Yes","Outside scope",IF(J2362="Yes","Already served",IF(NOT(ISNUMBER(T2362)),"Missing data","Candidate"))))))</x:f>
        <x:v>Candidate</x:v>
      </x:c>
      <x:c r="W2362" s="1" t="n">
        <x:f>IF(AL2362=0,"",1+COUNTIFS($AL$2051:$AL$2550,1,$T$2051:$T$2550,"&gt;"&amp;T2362)+COUNTIFS($AL$2051:$AL$2550,1,$T$2051:$T$2550,T2362,$G$2051:$G$2550,"&gt;"&amp;G2362)+COUNTIFS($AL$2051:$AL$2550,1,$T$2051:$T$2550,T2362,$G$2051:$G$2550,G2362,$F$2051:$F$2550,"&gt;"&amp;F2362)+COUNTIFS($AL$2051:$AL$2550,1,$T$2051:$T$2550,T2362,$G$2051:$G$2550,G2362,$F$2051:$F$2550,F2362,$AM$2051:$AM$2550,"&lt;"&amp;AM2362))</x:f>
        <x:v>12</x:v>
      </x:c>
      <x:c r="X2362" s="1" t="n">
        <x:f>IF(AL2362=0,"",1+COUNTIFS($AL$2051:$AL$2550,1,$T$2051:$T$2550,"&gt;"&amp;T2362))</x:f>
        <x:v>10</x:v>
      </x:c>
      <x:c r="Y2362" s="1" t="n">
        <x:f>IF(AND(H2362="Yes",OR(LEN('School Search'!$B$5)=0,ISNUMBER(SEARCH('School Search'!$B$5,B2362&amp;" "&amp;E2362&amp;" "&amp;A2362))),OR('School Search'!$D$5="All",C2362='School Search'!$D$5),OR('School Search'!$G$5="All eligible",AND('School Search'!$G$5="Not marked served",J2362&lt;&gt;"Yes"),AND('School Search'!$G$5="Missing data",V2362="Missing data"),AND('School Search'!$G$5="Marked served",J2362="Yes"))),1,0)</x:f>
        <x:v>1</x:v>
      </x:c>
      <x:c r="Z2362" s="1" t="n">
        <x:f>IF(Y2362=0,"",COUNTIFS($Y$2051:$Y$2550,1,$AO$2051:$AO$2550,"&lt;"&amp;AO2362)+COUNTIFS($Y$2051:Y2362,1,$AO$2051:AO2362,AO2362))</x:f>
        <x:v>12</x:v>
      </x:c>
      <x:c r="AA2362" s="1" t="str">
        <x:f>IF(NOT(ISNUMBER(S2362)),"Missing demographic or access input",TEXT(G2362,"0%")&amp;" economic need; "&amp;TEXT(K2362,"0.00")&amp;" mi fresh access; "&amp;L2362&amp;" nearby resources")</x:f>
        <x:v>72% economic need; 0.49 mi fresh access; 0 nearby resources</x:v>
      </x:c>
      <x:c r="AB2362" s="1" t="n">
        <x:f>IF(OR(A2362="",COUNTIFS($A$1531:$A$2030,A2362)&lt;&gt;1),0,MATCH(A2362,$A$1531:$A$2030,0))</x:f>
        <x:v>312</x:v>
      </x:c>
      <x:c r="AC2362" s="1" t="str">
        <x:f>IF(AB2362=0,"",INDEX($E$1531:$E$2030,AB2362))</x:f>
        <x:v>Grocery Outlet Of Woodhaven 750</x:v>
      </x:c>
      <x:c r="AD2362" s="1" t="str">
        <x:f>IF(AB2362=0,"",INDEX($F$1531:$F$2030,AB2362))</x:f>
        <x:v>4016 Woodhaven Rd, Philadelphia, PA, 19154</x:v>
      </x:c>
      <x:c r="AE2362" s="1" t="str">
        <x:f>IF(A2362="","",F313)</x:f>
        <x:v>11061 KNIGHTS RD</x:v>
      </x:c>
      <x:c r="AF2362" s="1" t="n">
        <x:f>IF(ISNUMBER(I313),I313,"")</x:f>
        <x:v>40.080306</x:v>
      </x:c>
      <x:c r="AG2362" s="1" t="n">
        <x:f>IF(ISNUMBER(J313),J313,"")</x:f>
        <x:v>-74.976529</x:v>
      </x:c>
      <x:c r="AH2362" s="1" t="str">
        <x:f>IF(I2362=0,"Not contacted",IF(INDEX('Staff Review'!$J$8:$J$507,I2362)="","Not contacted",INDEX('Staff Review'!$J$8:$J$507,I2362)))</x:f>
        <x:v>Not contacted</x:v>
      </x:c>
      <x:c r="AI2362" s="1" t="str">
        <x:f>IF(I2362=0,"No",IF(AND(COUNT(INDEX('Staff Review'!$D$8:$D$507,I2362))=1,INDEX('Staff Review'!$D$8:$D$507,I2362)&gt;=0,COUNT(INDEX('Staff Review'!$E$8:$E$507,I2362))=1,INDEX('Staff Review'!$E$8:$E$507,I2362)&gt;0,INDEX('Staff Review'!$E$8:$E$507,I2362)&lt;='Top 15'!$E$5,'Top 15'!$E$5-INDEX('Staff Review'!$E$8:$E$507,I2362)&lt;='Top 15'!$H$5,LEN(INDEX('Staff Review'!$H$8:$H$507,I2362))&gt;0),"Yes","No"))</x:f>
        <x:v>No</x:v>
      </x:c>
      <x:c r="AJ2362" s="1" t="str">
        <x:f>IF(I2362=0,"No",IF(COUNT(INDEX('Staff Review'!$F$8:$F$507,I2362))&lt;&gt;1,"No",IF(AND(INDEX('Staff Review'!$F$8:$F$507,I2362)&gt;=0,MOD(INDEX('Staff Review'!$F$8:$F$507,I2362),1)=0,COUNT(INDEX('Staff Review'!$G$8:$G$507,I2362))=1,INDEX('Staff Review'!$G$8:$G$507,I2362)&gt;0,INDEX('Staff Review'!$G$8:$G$507,I2362)&lt;='Top 15'!$E$5,'Top 15'!$E$5-INDEX('Staff Review'!$G$8:$G$507,I2362)&lt;='Top 15'!$H$5,LEN(INDEX('Staff Review'!$H$8:$H$507,I2362))&gt;0),"Yes","No")))</x:f>
        <x:v>No</x:v>
      </x:c>
      <x:c r="AK2362" s="1" t="n">
        <x:f>IF(A2362="",0,COUNTIFS($A$2:$A$501,A2362))</x:f>
        <x:v>1</x:v>
      </x:c>
      <x:c r="AL2362" s="1" t="n">
        <x:f>IF(V2362="Candidate",1,0)</x:f>
        <x:v>1</x:v>
      </x:c>
      <x:c r="AM2362" s="1" t="n">
        <x:f>IF(A2362="",0,VALUE(A2362))</x:f>
        <x:v>8390</x:v>
      </x:c>
      <x:c r="AN2362" s="1" t="n">
        <x:f>IF(OR(A2362="",COUNTIFS($T$41:$T$540,A2362)&lt;&gt;1),0,MATCH(A2362,$T$41:$T$540,0))</x:f>
        <x:v>312</x:v>
      </x:c>
      <x:c r="AO2362" t="n">
        <x:f>IF(ISNUMBER(W2362),W2362,10000+AM2362)</x:f>
        <x:v>12</x:v>
      </x:c>
    </x:row>
    <x:row r="2363" ht="22" customHeight="1">
      <x:c r="A2363" s="1" t="str">
        <x:f>IF(A314="","",A314)</x:f>
        <x:v>8400</x:v>
      </x:c>
      <x:c r="B2363" s="1" t="str">
        <x:f>IF(A2363="","",B314)</x:f>
        <x:v>Anne Frank School</x:v>
      </x:c>
      <x:c r="C2363" s="1" t="str">
        <x:f>IF(A2363="","",C314)</x:f>
        <x:v>District</x:v>
      </x:c>
      <x:c r="D2363" s="1" t="str">
        <x:f>IF(A2363="","",E314)</x:f>
        <x:v>Elementary</x:v>
      </x:c>
      <x:c r="E2363" s="1" t="str">
        <x:f>IF(A2363="","",H314)</x:f>
        <x:v>19115</x:v>
      </x:c>
      <x:c r="F2363" s="1" t="n">
        <x:f>IF(ISNUMBER(K314),K314,"")</x:f>
        <x:v>1687</x:v>
      </x:c>
      <x:c r="G2363" s="1" t="n">
        <x:f>IF(ISNUMBER(L314),L314,"")</x:f>
        <x:v>0.6848</x:v>
      </x:c>
      <x:c r="H2363" s="1" t="str">
        <x:f>IF(A2363="","",IF(AND(UPPER(G314)="PHILADELPHIA",OR(C2363="District",AND(C2363="Charter",D314="Yes"))),"Yes","No"))</x:f>
        <x:v>Yes</x:v>
      </x:c>
      <x:c r="I2363" s="1" t="n">
        <x:f>IF(OR(A2363="",COUNTIFS('Staff Review'!$A$8:$A$507,A2363)&lt;&gt;1),0,MATCH(A2363,'Staff Review'!$A$8:$A$507,0))</x:f>
        <x:v>22</x:v>
      </x:c>
      <x:c r="J2363" s="1" t="str">
        <x:f>IF(I2363=0,"No",IF(INDEX('Staff Review'!$C$8:$C$507,I2363)="Yes","Yes","No"))</x:f>
        <x:v>No</x:v>
      </x:c>
      <x:c r="K2363" s="1" t="n">
        <x:f>IF(AI2363="Yes",INDEX('Staff Review'!$D$8:$D$507,I2363),IF(AB2363=0,"",IF(COUNT(INDEX($C$1531:$C$2030,AB2363))=1,INDEX($C$1531:$C$2030,AB2363),"")))</x:f>
        <x:v>0.3258614986175544</x:v>
      </x:c>
      <x:c r="L2363" s="1" t="n">
        <x:f>IF(AJ2363="Yes",INDEX('Staff Review'!$F$8:$F$507,I2363),IF(AB2363=0,"",IF(COUNT(INDEX($G$1531:$G$2030,AB2363))=1,INDEX($G$1531:$G$2030,AB2363),"")))</x:f>
        <x:v>2</x:v>
      </x:c>
      <x:c r="M2363" s="1" t="str">
        <x:f>IF(A2363="","",IF(AI2363="Yes","Verified","Listed"))</x:f>
        <x:v>Listed</x:v>
      </x:c>
      <x:c r="N2363" s="1" t="str">
        <x:f>IF(A2363="","",IF(AJ2363="Yes","Verified","Listed"))</x:f>
        <x:v>Listed</x:v>
      </x:c>
      <x:c r="O2363" s="1" t="n">
        <x:f>IF(AND(ISNUMBER(G2363),G2363&gt;=0,G2363&lt;=1),IF(G2363&gt;=0.9,30,IF(G2363&gt;=0.8,25,IF(G2363&gt;=0.7,20,IF(G2363&gt;=0.6,15,IF(G2363&gt;=0.5,10,IF(G2363&gt;=0.4,5,0)))))),"")</x:f>
        <x:v>15</x:v>
      </x:c>
      <x:c r="P2363" s="1" t="n">
        <x:f>IF(ISNUMBER(K2363),IF(K2363&lt;0,"",IF(K2363&gt;1,25,IF(K2363&gt;=0.75,20,IF(K2363&gt;=0.5,15,IF(K2363&gt;=0.25,10,5))))),"")</x:f>
        <x:v>10</x:v>
      </x:c>
      <x:c r="Q2363" s="1" t="n">
        <x:f>IF(NOT(ISNUMBER(L2363)),"",IF(AND(L2363&gt;=0,MOD(L2363,1)=0),MAX(0,25-5*L2363),""))</x:f>
        <x:v>15</x:v>
      </x:c>
      <x:c r="R2363" s="1" t="n">
        <x:f>IF(NOT(ISNUMBER(F2363)),"",IF(AND(F2363&gt;0,MOD(F2363,1)=0),IF(F2363&gt;=700,5,IF(F2363&gt;=500,4,IF(F2363&gt;=350,3,IF(F2363&gt;=200,2,1)))),""))</x:f>
        <x:v>5</x:v>
      </x:c>
      <x:c r="S2363" s="1" t="n">
        <x:f>IF(COUNT(O2363:R2363)=4,SUM(O2363:R2363),"")</x:f>
        <x:v>45</x:v>
      </x:c>
      <x:c r="T2363" s="1" t="n">
        <x:f>IF(OR(COUNT(O2363:R2363)&lt;&gt;4,COUNT('Top 15'!$B$35:$E$35)&lt;&gt;4,MIN('Top 15'!$B$35:$E$35)&lt;0,SUM('Top 15'!$B$35:$E$35)&lt;=0),"",ROUND(85*(O2363/30*'Top 15'!$B$35+P2363/25*'Top 15'!$C$35+Q2363/25*'Top 15'!$D$35+R2363/5*'Top 15'!$E$35)/SUM('Top 15'!$B$35:$E$35),6))</x:f>
        <x:v>45</x:v>
      </x:c>
      <x:c r="U2363" s="1" t="str">
        <x:f>IF(A2363="","",IF(AND(M2363="Verified",N2363="Verified"),"Verified",IF(AND(M2363="Listed",N2363="Listed"),"Listed","Mixed")))</x:f>
        <x:v>Listed</x:v>
      </x:c>
      <x:c r="V2363" s="1" t="str">
        <x:f>IF(A2363="","",IF(AK2363&lt;&gt;1,"Duplicate source ID",IF(COUNTIFS('Staff Review'!$A$8:$A$507,A2363)&gt;1,"Duplicate review ID",IF(H2363&lt;&gt;"Yes","Outside scope",IF(J2363="Yes","Already served",IF(NOT(ISNUMBER(T2363)),"Missing data","Candidate"))))))</x:f>
        <x:v>Candidate</x:v>
      </x:c>
      <x:c r="W2363" s="1" t="n">
        <x:f>IF(AL2363=0,"",1+COUNTIFS($AL$2051:$AL$2550,1,$T$2051:$T$2550,"&gt;"&amp;T2363)+COUNTIFS($AL$2051:$AL$2550,1,$T$2051:$T$2550,T2363,$G$2051:$G$2550,"&gt;"&amp;G2363)+COUNTIFS($AL$2051:$AL$2550,1,$T$2051:$T$2550,T2363,$G$2051:$G$2550,G2363,$F$2051:$F$2550,"&gt;"&amp;F2363)+COUNTIFS($AL$2051:$AL$2550,1,$T$2051:$T$2550,T2363,$G$2051:$G$2550,G2363,$F$2051:$F$2550,F2363,$AM$2051:$AM$2550,"&lt;"&amp;AM2363))</x:f>
        <x:v>79</x:v>
      </x:c>
      <x:c r="X2363" s="1" t="n">
        <x:f>IF(AL2363=0,"",1+COUNTIFS($AL$2051:$AL$2550,1,$T$2051:$T$2550,"&gt;"&amp;T2363))</x:f>
        <x:v>74</x:v>
      </x:c>
      <x:c r="Y2363" s="1" t="n">
        <x:f>IF(AND(H2363="Yes",OR(LEN('School Search'!$B$5)=0,ISNUMBER(SEARCH('School Search'!$B$5,B2363&amp;" "&amp;E2363&amp;" "&amp;A2363))),OR('School Search'!$D$5="All",C2363='School Search'!$D$5),OR('School Search'!$G$5="All eligible",AND('School Search'!$G$5="Not marked served",J2363&lt;&gt;"Yes"),AND('School Search'!$G$5="Missing data",V2363="Missing data"),AND('School Search'!$G$5="Marked served",J2363="Yes"))),1,0)</x:f>
        <x:v>1</x:v>
      </x:c>
      <x:c r="Z2363" s="1" t="n">
        <x:f>IF(Y2363=0,"",COUNTIFS($Y$2051:$Y$2550,1,$AO$2051:$AO$2550,"&lt;"&amp;AO2363)+COUNTIFS($Y$2051:Y2363,1,$AO$2051:AO2363,AO2363))</x:f>
        <x:v>79</x:v>
      </x:c>
      <x:c r="AA2363" s="1" t="str">
        <x:f>IF(NOT(ISNUMBER(S2363)),"Missing demographic or access input",TEXT(G2363,"0%")&amp;" economic need; "&amp;TEXT(K2363,"0.00")&amp;" mi fresh access; "&amp;L2363&amp;" nearby resources")</x:f>
        <x:v>68% economic need; 0.33 mi fresh access; 2 nearby resources</x:v>
      </x:c>
      <x:c r="AB2363" s="1" t="n">
        <x:f>IF(OR(A2363="",COUNTIFS($A$1531:$A$2030,A2363)&lt;&gt;1),0,MATCH(A2363,$A$1531:$A$2030,0))</x:f>
        <x:v>313</x:v>
      </x:c>
      <x:c r="AC2363" s="1" t="str">
        <x:f>IF(AB2363=0,"",INDEX($E$1531:$E$2030,AB2363))</x:f>
        <x:v>House Of Kosher Inc</x:v>
      </x:c>
      <x:c r="AD2363" s="1" t="str">
        <x:f>IF(AB2363=0,"",INDEX($F$1531:$F$2030,AB2363))</x:f>
        <x:v>9806 Bustleton Ave, Philadelphia, PA, 19115</x:v>
      </x:c>
      <x:c r="AE2363" s="1" t="str">
        <x:f>IF(A2363="","",F314)</x:f>
        <x:v>2000 BOWLER ST</x:v>
      </x:c>
      <x:c r="AF2363" s="1" t="n">
        <x:f>IF(ISNUMBER(I314),I314,"")</x:f>
        <x:v>40.088288</x:v>
      </x:c>
      <x:c r="AG2363" s="1" t="n">
        <x:f>IF(ISNUMBER(J314),J314,"")</x:f>
        <x:v>-75.028222</x:v>
      </x:c>
      <x:c r="AH2363" s="1" t="str">
        <x:f>IF(I2363=0,"Not contacted",IF(INDEX('Staff Review'!$J$8:$J$507,I2363)="","Not contacted",INDEX('Staff Review'!$J$8:$J$507,I2363)))</x:f>
        <x:v>Not contacted</x:v>
      </x:c>
      <x:c r="AI2363" s="1" t="str">
        <x:f>IF(I2363=0,"No",IF(AND(COUNT(INDEX('Staff Review'!$D$8:$D$507,I2363))=1,INDEX('Staff Review'!$D$8:$D$507,I2363)&gt;=0,COUNT(INDEX('Staff Review'!$E$8:$E$507,I2363))=1,INDEX('Staff Review'!$E$8:$E$507,I2363)&gt;0,INDEX('Staff Review'!$E$8:$E$507,I2363)&lt;='Top 15'!$E$5,'Top 15'!$E$5-INDEX('Staff Review'!$E$8:$E$507,I2363)&lt;='Top 15'!$H$5,LEN(INDEX('Staff Review'!$H$8:$H$507,I2363))&gt;0),"Yes","No"))</x:f>
        <x:v>No</x:v>
      </x:c>
      <x:c r="AJ2363" s="1" t="str">
        <x:f>IF(I2363=0,"No",IF(COUNT(INDEX('Staff Review'!$F$8:$F$507,I2363))&lt;&gt;1,"No",IF(AND(INDEX('Staff Review'!$F$8:$F$507,I2363)&gt;=0,MOD(INDEX('Staff Review'!$F$8:$F$507,I2363),1)=0,COUNT(INDEX('Staff Review'!$G$8:$G$507,I2363))=1,INDEX('Staff Review'!$G$8:$G$507,I2363)&gt;0,INDEX('Staff Review'!$G$8:$G$507,I2363)&lt;='Top 15'!$E$5,'Top 15'!$E$5-INDEX('Staff Review'!$G$8:$G$507,I2363)&lt;='Top 15'!$H$5,LEN(INDEX('Staff Review'!$H$8:$H$507,I2363))&gt;0),"Yes","No")))</x:f>
        <x:v>No</x:v>
      </x:c>
      <x:c r="AK2363" s="1" t="n">
        <x:f>IF(A2363="",0,COUNTIFS($A$2:$A$501,A2363))</x:f>
        <x:v>1</x:v>
      </x:c>
      <x:c r="AL2363" s="1" t="n">
        <x:f>IF(V2363="Candidate",1,0)</x:f>
        <x:v>1</x:v>
      </x:c>
      <x:c r="AM2363" s="1" t="n">
        <x:f>IF(A2363="",0,VALUE(A2363))</x:f>
        <x:v>8400</x:v>
      </x:c>
      <x:c r="AN2363" s="1" t="n">
        <x:f>IF(OR(A2363="",COUNTIFS($T$41:$T$540,A2363)&lt;&gt;1),0,MATCH(A2363,$T$41:$T$540,0))</x:f>
        <x:v>313</x:v>
      </x:c>
      <x:c r="AO2363" t="n">
        <x:f>IF(ISNUMBER(W2363),W2363,10000+AM2363)</x:f>
        <x:v>79</x:v>
      </x:c>
    </x:row>
    <x:row r="2364" ht="22" customHeight="1">
      <x:c r="A2364" s="1" t="str">
        <x:f>IF(A315="","",A315)</x:f>
        <x:v>8410</x:v>
      </x:c>
      <x:c r="B2364" s="1" t="str">
        <x:f>IF(A2364="","",B315)</x:f>
        <x:v>Robert B. Pollock School</x:v>
      </x:c>
      <x:c r="C2364" s="1" t="str">
        <x:f>IF(A2364="","",C315)</x:f>
        <x:v>District</x:v>
      </x:c>
      <x:c r="D2364" s="1" t="str">
        <x:f>IF(A2364="","",E315)</x:f>
        <x:v>Elementary-Middle</x:v>
      </x:c>
      <x:c r="E2364" s="1" t="str">
        <x:f>IF(A2364="","",H315)</x:f>
        <x:v>19152</x:v>
      </x:c>
      <x:c r="F2364" s="1" t="n">
        <x:f>IF(ISNUMBER(K315),K315,"")</x:f>
        <x:v>900</x:v>
      </x:c>
      <x:c r="G2364" s="1" t="n">
        <x:f>IF(ISNUMBER(L315),L315,"")</x:f>
        <x:v>0.7341</x:v>
      </x:c>
      <x:c r="H2364" s="1" t="str">
        <x:f>IF(A2364="","",IF(AND(UPPER(G315)="PHILADELPHIA",OR(C2364="District",AND(C2364="Charter",D315="Yes"))),"Yes","No"))</x:f>
        <x:v>Yes</x:v>
      </x:c>
      <x:c r="I2364" s="1" t="n">
        <x:f>IF(OR(A2364="",COUNTIFS('Staff Review'!$A$8:$A$507,A2364)&lt;&gt;1),0,MATCH(A2364,'Staff Review'!$A$8:$A$507,0))</x:f>
        <x:v>251</x:v>
      </x:c>
      <x:c r="J2364" s="1" t="str">
        <x:f>IF(I2364=0,"No",IF(INDEX('Staff Review'!$C$8:$C$507,I2364)="Yes","Yes","No"))</x:f>
        <x:v>No</x:v>
      </x:c>
      <x:c r="K2364" s="1" t="n">
        <x:f>IF(AI2364="Yes",INDEX('Staff Review'!$D$8:$D$507,I2364),IF(AB2364=0,"",IF(COUNT(INDEX($C$1531:$C$2030,AB2364))=1,INDEX($C$1531:$C$2030,AB2364),"")))</x:f>
        <x:v>0.8076308631444649</x:v>
      </x:c>
      <x:c r="L2364" s="1" t="n">
        <x:f>IF(AJ2364="Yes",INDEX('Staff Review'!$F$8:$F$507,I2364),IF(AB2364=0,"",IF(COUNT(INDEX($G$1531:$G$2030,AB2364))=1,INDEX($G$1531:$G$2030,AB2364),"")))</x:f>
        <x:v>2</x:v>
      </x:c>
      <x:c r="M2364" s="1" t="str">
        <x:f>IF(A2364="","",IF(AI2364="Yes","Verified","Listed"))</x:f>
        <x:v>Listed</x:v>
      </x:c>
      <x:c r="N2364" s="1" t="str">
        <x:f>IF(A2364="","",IF(AJ2364="Yes","Verified","Listed"))</x:f>
        <x:v>Listed</x:v>
      </x:c>
      <x:c r="O2364" s="1" t="n">
        <x:f>IF(AND(ISNUMBER(G2364),G2364&gt;=0,G2364&lt;=1),IF(G2364&gt;=0.9,30,IF(G2364&gt;=0.8,25,IF(G2364&gt;=0.7,20,IF(G2364&gt;=0.6,15,IF(G2364&gt;=0.5,10,IF(G2364&gt;=0.4,5,0)))))),"")</x:f>
        <x:v>20</x:v>
      </x:c>
      <x:c r="P2364" s="1" t="n">
        <x:f>IF(ISNUMBER(K2364),IF(K2364&lt;0,"",IF(K2364&gt;1,25,IF(K2364&gt;=0.75,20,IF(K2364&gt;=0.5,15,IF(K2364&gt;=0.25,10,5))))),"")</x:f>
        <x:v>20</x:v>
      </x:c>
      <x:c r="Q2364" s="1" t="n">
        <x:f>IF(NOT(ISNUMBER(L2364)),"",IF(AND(L2364&gt;=0,MOD(L2364,1)=0),MAX(0,25-5*L2364),""))</x:f>
        <x:v>15</x:v>
      </x:c>
      <x:c r="R2364" s="1" t="n">
        <x:f>IF(NOT(ISNUMBER(F2364)),"",IF(AND(F2364&gt;0,MOD(F2364,1)=0),IF(F2364&gt;=700,5,IF(F2364&gt;=500,4,IF(F2364&gt;=350,3,IF(F2364&gt;=200,2,1)))),""))</x:f>
        <x:v>5</x:v>
      </x:c>
      <x:c r="S2364" s="1" t="n">
        <x:f>IF(COUNT(O2364:R2364)=4,SUM(O2364:R2364),"")</x:f>
        <x:v>60</x:v>
      </x:c>
      <x:c r="T2364" s="1" t="n">
        <x:f>IF(OR(COUNT(O2364:R2364)&lt;&gt;4,COUNT('Top 15'!$B$35:$E$35)&lt;&gt;4,MIN('Top 15'!$B$35:$E$35)&lt;0,SUM('Top 15'!$B$35:$E$35)&lt;=0),"",ROUND(85*(O2364/30*'Top 15'!$B$35+P2364/25*'Top 15'!$C$35+Q2364/25*'Top 15'!$D$35+R2364/5*'Top 15'!$E$35)/SUM('Top 15'!$B$35:$E$35),6))</x:f>
        <x:v>60</x:v>
      </x:c>
      <x:c r="U2364" s="1" t="str">
        <x:f>IF(A2364="","",IF(AND(M2364="Verified",N2364="Verified"),"Verified",IF(AND(M2364="Listed",N2364="Listed"),"Listed","Mixed")))</x:f>
        <x:v>Listed</x:v>
      </x:c>
      <x:c r="V2364" s="1" t="str">
        <x:f>IF(A2364="","",IF(AK2364&lt;&gt;1,"Duplicate source ID",IF(COUNTIFS('Staff Review'!$A$8:$A$507,A2364)&gt;1,"Duplicate review ID",IF(H2364&lt;&gt;"Yes","Outside scope",IF(J2364="Yes","Already served",IF(NOT(ISNUMBER(T2364)),"Missing data","Candidate"))))))</x:f>
        <x:v>Candidate</x:v>
      </x:c>
      <x:c r="W2364" s="1" t="n">
        <x:f>IF(AL2364=0,"",1+COUNTIFS($AL$2051:$AL$2550,1,$T$2051:$T$2550,"&gt;"&amp;T2364)+COUNTIFS($AL$2051:$AL$2550,1,$T$2051:$T$2550,T2364,$G$2051:$G$2550,"&gt;"&amp;G2364)+COUNTIFS($AL$2051:$AL$2550,1,$T$2051:$T$2550,T2364,$G$2051:$G$2550,G2364,$F$2051:$F$2550,"&gt;"&amp;F2364)+COUNTIFS($AL$2051:$AL$2550,1,$T$2051:$T$2550,T2364,$G$2051:$G$2550,G2364,$F$2051:$F$2550,F2364,$AM$2051:$AM$2550,"&lt;"&amp;AM2364))</x:f>
        <x:v>10</x:v>
      </x:c>
      <x:c r="X2364" s="1" t="n">
        <x:f>IF(AL2364=0,"",1+COUNTIFS($AL$2051:$AL$2550,1,$T$2051:$T$2550,"&gt;"&amp;T2364))</x:f>
        <x:v>10</x:v>
      </x:c>
      <x:c r="Y2364" s="1" t="n">
        <x:f>IF(AND(H2364="Yes",OR(LEN('School Search'!$B$5)=0,ISNUMBER(SEARCH('School Search'!$B$5,B2364&amp;" "&amp;E2364&amp;" "&amp;A2364))),OR('School Search'!$D$5="All",C2364='School Search'!$D$5),OR('School Search'!$G$5="All eligible",AND('School Search'!$G$5="Not marked served",J2364&lt;&gt;"Yes"),AND('School Search'!$G$5="Missing data",V2364="Missing data"),AND('School Search'!$G$5="Marked served",J2364="Yes"))),1,0)</x:f>
        <x:v>1</x:v>
      </x:c>
      <x:c r="Z2364" s="1" t="n">
        <x:f>IF(Y2364=0,"",COUNTIFS($Y$2051:$Y$2550,1,$AO$2051:$AO$2550,"&lt;"&amp;AO2364)+COUNTIFS($Y$2051:Y2364,1,$AO$2051:AO2364,AO2364))</x:f>
        <x:v>10</x:v>
      </x:c>
      <x:c r="AA2364" s="1" t="str">
        <x:f>IF(NOT(ISNUMBER(S2364)),"Missing demographic or access input",TEXT(G2364,"0%")&amp;" economic need; "&amp;TEXT(K2364,"0.00")&amp;" mi fresh access; "&amp;L2364&amp;" nearby resources")</x:f>
        <x:v>73% economic need; 0.81 mi fresh access; 2 nearby resources</x:v>
      </x:c>
      <x:c r="AB2364" s="1" t="n">
        <x:f>IF(OR(A2364="",COUNTIFS($A$1531:$A$2030,A2364)&lt;&gt;1),0,MATCH(A2364,$A$1531:$A$2030,0))</x:f>
        <x:v>314</x:v>
      </x:c>
      <x:c r="AC2364" s="1" t="str">
        <x:f>IF(AB2364=0,"",INDEX($E$1531:$E$2030,AB2364))</x:f>
        <x:v>Net Cost Market 9</x:v>
      </x:c>
      <x:c r="AD2364" s="1" t="str">
        <x:f>IF(AB2364=0,"",INDEX($F$1531:$F$2030,AB2364))</x:f>
        <x:v>2417 Welsh Rd, Philadelphia, PA, 19114</x:v>
      </x:c>
      <x:c r="AE2364" s="1" t="str">
        <x:f>IF(A2364="","",F315)</x:f>
        <x:v>2875 WELSH RD</x:v>
      </x:c>
      <x:c r="AF2364" s="1" t="n">
        <x:f>IF(ISNUMBER(I315),I315,"")</x:f>
        <x:v>40.060116</x:v>
      </x:c>
      <x:c r="AG2364" s="1" t="n">
        <x:f>IF(ISNUMBER(J315),J315,"")</x:f>
        <x:v>-75.02713</x:v>
      </x:c>
      <x:c r="AH2364" s="1" t="str">
        <x:f>IF(I2364=0,"Not contacted",IF(INDEX('Staff Review'!$J$8:$J$507,I2364)="","Not contacted",INDEX('Staff Review'!$J$8:$J$507,I2364)))</x:f>
        <x:v>Not contacted</x:v>
      </x:c>
      <x:c r="AI2364" s="1" t="str">
        <x:f>IF(I2364=0,"No",IF(AND(COUNT(INDEX('Staff Review'!$D$8:$D$507,I2364))=1,INDEX('Staff Review'!$D$8:$D$507,I2364)&gt;=0,COUNT(INDEX('Staff Review'!$E$8:$E$507,I2364))=1,INDEX('Staff Review'!$E$8:$E$507,I2364)&gt;0,INDEX('Staff Review'!$E$8:$E$507,I2364)&lt;='Top 15'!$E$5,'Top 15'!$E$5-INDEX('Staff Review'!$E$8:$E$507,I2364)&lt;='Top 15'!$H$5,LEN(INDEX('Staff Review'!$H$8:$H$507,I2364))&gt;0),"Yes","No"))</x:f>
        <x:v>No</x:v>
      </x:c>
      <x:c r="AJ2364" s="1" t="str">
        <x:f>IF(I2364=0,"No",IF(COUNT(INDEX('Staff Review'!$F$8:$F$507,I2364))&lt;&gt;1,"No",IF(AND(INDEX('Staff Review'!$F$8:$F$507,I2364)&gt;=0,MOD(INDEX('Staff Review'!$F$8:$F$507,I2364),1)=0,COUNT(INDEX('Staff Review'!$G$8:$G$507,I2364))=1,INDEX('Staff Review'!$G$8:$G$507,I2364)&gt;0,INDEX('Staff Review'!$G$8:$G$507,I2364)&lt;='Top 15'!$E$5,'Top 15'!$E$5-INDEX('Staff Review'!$G$8:$G$507,I2364)&lt;='Top 15'!$H$5,LEN(INDEX('Staff Review'!$H$8:$H$507,I2364))&gt;0),"Yes","No")))</x:f>
        <x:v>No</x:v>
      </x:c>
      <x:c r="AK2364" s="1" t="n">
        <x:f>IF(A2364="",0,COUNTIFS($A$2:$A$501,A2364))</x:f>
        <x:v>1</x:v>
      </x:c>
      <x:c r="AL2364" s="1" t="n">
        <x:f>IF(V2364="Candidate",1,0)</x:f>
        <x:v>1</x:v>
      </x:c>
      <x:c r="AM2364" s="1" t="n">
        <x:f>IF(A2364="",0,VALUE(A2364))</x:f>
        <x:v>8410</x:v>
      </x:c>
      <x:c r="AN2364" s="1" t="n">
        <x:f>IF(OR(A2364="",COUNTIFS($T$41:$T$540,A2364)&lt;&gt;1),0,MATCH(A2364,$T$41:$T$540,0))</x:f>
        <x:v>314</x:v>
      </x:c>
      <x:c r="AO2364" t="n">
        <x:f>IF(ISNUMBER(W2364),W2364,10000+AM2364)</x:f>
        <x:v>10</x:v>
      </x:c>
    </x:row>
    <x:row r="2365" ht="22" customHeight="1">
      <x:c r="A2365" s="1" t="str">
        <x:f>IF(A316="","",A316)</x:f>
        <x:v>8420</x:v>
      </x:c>
      <x:c r="B2365" s="1" t="str">
        <x:f>IF(A2365="","",B316)</x:f>
        <x:v>Stephen Decatur School</x:v>
      </x:c>
      <x:c r="C2365" s="1" t="str">
        <x:f>IF(A2365="","",C316)</x:f>
        <x:v>District</x:v>
      </x:c>
      <x:c r="D2365" s="1" t="str">
        <x:f>IF(A2365="","",E316)</x:f>
        <x:v>Elementary-Middle</x:v>
      </x:c>
      <x:c r="E2365" s="1" t="str">
        <x:f>IF(A2365="","",H316)</x:f>
        <x:v>19154</x:v>
      </x:c>
      <x:c r="F2365" s="1" t="n">
        <x:f>IF(ISNUMBER(K316),K316,"")</x:f>
        <x:v>1041</x:v>
      </x:c>
      <x:c r="G2365" s="1" t="n">
        <x:f>IF(ISNUMBER(L316),L316,"")</x:f>
        <x:v>0.6692</x:v>
      </x:c>
      <x:c r="H2365" s="1" t="str">
        <x:f>IF(A2365="","",IF(AND(UPPER(G316)="PHILADELPHIA",OR(C2365="District",AND(C2365="Charter",D316="Yes"))),"Yes","No"))</x:f>
        <x:v>Yes</x:v>
      </x:c>
      <x:c r="I2365" s="1" t="n">
        <x:f>IF(OR(A2365="",COUNTIFS('Staff Review'!$A$8:$A$507,A2365)&lt;&gt;1),0,MATCH(A2365,'Staff Review'!$A$8:$A$507,0))</x:f>
        <x:v>275</x:v>
      </x:c>
      <x:c r="J2365" s="1" t="str">
        <x:f>IF(I2365=0,"No",IF(INDEX('Staff Review'!$C$8:$C$507,I2365)="Yes","Yes","No"))</x:f>
        <x:v>No</x:v>
      </x:c>
      <x:c r="K2365" s="1" t="n">
        <x:f>IF(AI2365="Yes",INDEX('Staff Review'!$D$8:$D$507,I2365),IF(AB2365=0,"",IF(COUNT(INDEX($C$1531:$C$2030,AB2365))=1,INDEX($C$1531:$C$2030,AB2365),"")))</x:f>
        <x:v>0.6602426050811474</x:v>
      </x:c>
      <x:c r="L2365" s="1" t="n">
        <x:f>IF(AJ2365="Yes",INDEX('Staff Review'!$F$8:$F$507,I2365),IF(AB2365=0,"",IF(COUNT(INDEX($G$1531:$G$2030,AB2365))=1,INDEX($G$1531:$G$2030,AB2365),"")))</x:f>
        <x:v>1</x:v>
      </x:c>
      <x:c r="M2365" s="1" t="str">
        <x:f>IF(A2365="","",IF(AI2365="Yes","Verified","Listed"))</x:f>
        <x:v>Listed</x:v>
      </x:c>
      <x:c r="N2365" s="1" t="str">
        <x:f>IF(A2365="","",IF(AJ2365="Yes","Verified","Listed"))</x:f>
        <x:v>Listed</x:v>
      </x:c>
      <x:c r="O2365" s="1" t="n">
        <x:f>IF(AND(ISNUMBER(G2365),G2365&gt;=0,G2365&lt;=1),IF(G2365&gt;=0.9,30,IF(G2365&gt;=0.8,25,IF(G2365&gt;=0.7,20,IF(G2365&gt;=0.6,15,IF(G2365&gt;=0.5,10,IF(G2365&gt;=0.4,5,0)))))),"")</x:f>
        <x:v>15</x:v>
      </x:c>
      <x:c r="P2365" s="1" t="n">
        <x:f>IF(ISNUMBER(K2365),IF(K2365&lt;0,"",IF(K2365&gt;1,25,IF(K2365&gt;=0.75,20,IF(K2365&gt;=0.5,15,IF(K2365&gt;=0.25,10,5))))),"")</x:f>
        <x:v>15</x:v>
      </x:c>
      <x:c r="Q2365" s="1" t="n">
        <x:f>IF(NOT(ISNUMBER(L2365)),"",IF(AND(L2365&gt;=0,MOD(L2365,1)=0),MAX(0,25-5*L2365),""))</x:f>
        <x:v>20</x:v>
      </x:c>
      <x:c r="R2365" s="1" t="n">
        <x:f>IF(NOT(ISNUMBER(F2365)),"",IF(AND(F2365&gt;0,MOD(F2365,1)=0),IF(F2365&gt;=700,5,IF(F2365&gt;=500,4,IF(F2365&gt;=350,3,IF(F2365&gt;=200,2,1)))),""))</x:f>
        <x:v>5</x:v>
      </x:c>
      <x:c r="S2365" s="1" t="n">
        <x:f>IF(COUNT(O2365:R2365)=4,SUM(O2365:R2365),"")</x:f>
        <x:v>55</x:v>
      </x:c>
      <x:c r="T2365" s="1" t="n">
        <x:f>IF(OR(COUNT(O2365:R2365)&lt;&gt;4,COUNT('Top 15'!$B$35:$E$35)&lt;&gt;4,MIN('Top 15'!$B$35:$E$35)&lt;0,SUM('Top 15'!$B$35:$E$35)&lt;=0),"",ROUND(85*(O2365/30*'Top 15'!$B$35+P2365/25*'Top 15'!$C$35+Q2365/25*'Top 15'!$D$35+R2365/5*'Top 15'!$E$35)/SUM('Top 15'!$B$35:$E$35),6))</x:f>
        <x:v>55</x:v>
      </x:c>
      <x:c r="U2365" s="1" t="str">
        <x:f>IF(A2365="","",IF(AND(M2365="Verified",N2365="Verified"),"Verified",IF(AND(M2365="Listed",N2365="Listed"),"Listed","Mixed")))</x:f>
        <x:v>Listed</x:v>
      </x:c>
      <x:c r="V2365" s="1" t="str">
        <x:f>IF(A2365="","",IF(AK2365&lt;&gt;1,"Duplicate source ID",IF(COUNTIFS('Staff Review'!$A$8:$A$507,A2365)&gt;1,"Duplicate review ID",IF(H2365&lt;&gt;"Yes","Outside scope",IF(J2365="Yes","Already served",IF(NOT(ISNUMBER(T2365)),"Missing data","Candidate"))))))</x:f>
        <x:v>Candidate</x:v>
      </x:c>
      <x:c r="W2365" s="1" t="n">
        <x:f>IF(AL2365=0,"",1+COUNTIFS($AL$2051:$AL$2550,1,$T$2051:$T$2550,"&gt;"&amp;T2365)+COUNTIFS($AL$2051:$AL$2550,1,$T$2051:$T$2550,T2365,$G$2051:$G$2550,"&gt;"&amp;G2365)+COUNTIFS($AL$2051:$AL$2550,1,$T$2051:$T$2550,T2365,$G$2051:$G$2550,G2365,$F$2051:$F$2550,"&gt;"&amp;F2365)+COUNTIFS($AL$2051:$AL$2550,1,$T$2051:$T$2550,T2365,$G$2051:$G$2550,G2365,$F$2051:$F$2550,F2365,$AM$2051:$AM$2550,"&lt;"&amp;AM2365))</x:f>
        <x:v>32</x:v>
      </x:c>
      <x:c r="X2365" s="1" t="n">
        <x:f>IF(AL2365=0,"",1+COUNTIFS($AL$2051:$AL$2550,1,$T$2051:$T$2550,"&gt;"&amp;T2365))</x:f>
        <x:v>24</x:v>
      </x:c>
      <x:c r="Y2365" s="1" t="n">
        <x:f>IF(AND(H2365="Yes",OR(LEN('School Search'!$B$5)=0,ISNUMBER(SEARCH('School Search'!$B$5,B2365&amp;" "&amp;E2365&amp;" "&amp;A2365))),OR('School Search'!$D$5="All",C2365='School Search'!$D$5),OR('School Search'!$G$5="All eligible",AND('School Search'!$G$5="Not marked served",J2365&lt;&gt;"Yes"),AND('School Search'!$G$5="Missing data",V2365="Missing data"),AND('School Search'!$G$5="Marked served",J2365="Yes"))),1,0)</x:f>
        <x:v>1</x:v>
      </x:c>
      <x:c r="Z2365" s="1" t="n">
        <x:f>IF(Y2365=0,"",COUNTIFS($Y$2051:$Y$2550,1,$AO$2051:$AO$2550,"&lt;"&amp;AO2365)+COUNTIFS($Y$2051:Y2365,1,$AO$2051:AO2365,AO2365))</x:f>
        <x:v>32</x:v>
      </x:c>
      <x:c r="AA2365" s="1" t="str">
        <x:f>IF(NOT(ISNUMBER(S2365)),"Missing demographic or access input",TEXT(G2365,"0%")&amp;" economic need; "&amp;TEXT(K2365,"0.00")&amp;" mi fresh access; "&amp;L2365&amp;" nearby resources")</x:f>
        <x:v>67% economic need; 0.66 mi fresh access; 1 nearby resources</x:v>
      </x:c>
      <x:c r="AB2365" s="1" t="n">
        <x:f>IF(OR(A2365="",COUNTIFS($A$1531:$A$2030,A2365)&lt;&gt;1),0,MATCH(A2365,$A$1531:$A$2030,0))</x:f>
        <x:v>315</x:v>
      </x:c>
      <x:c r="AC2365" s="1" t="str">
        <x:f>IF(AB2365=0,"",INDEX($E$1531:$E$2030,AB2365))</x:f>
        <x:v>Sam's Club 6332</x:v>
      </x:c>
      <x:c r="AD2365" s="1" t="str">
        <x:f>IF(AB2365=0,"",INDEX($F$1531:$F$2030,AB2365))</x:f>
        <x:v>1000 Franklin Mills Cir, Philadelphia, PA, 19154</x:v>
      </x:c>
      <x:c r="AE2365" s="1" t="str">
        <x:f>IF(A2365="","",F316)</x:f>
        <x:v>3500 ACADEMY RD</x:v>
      </x:c>
      <x:c r="AF2365" s="1" t="n">
        <x:f>IF(ISNUMBER(I316),I316,"")</x:f>
        <x:v>40.095818</x:v>
      </x:c>
      <x:c r="AG2365" s="1" t="n">
        <x:f>IF(ISNUMBER(J316),J316,"")</x:f>
        <x:v>-74.970535</x:v>
      </x:c>
      <x:c r="AH2365" s="1" t="str">
        <x:f>IF(I2365=0,"Not contacted",IF(INDEX('Staff Review'!$J$8:$J$507,I2365)="","Not contacted",INDEX('Staff Review'!$J$8:$J$507,I2365)))</x:f>
        <x:v>Not contacted</x:v>
      </x:c>
      <x:c r="AI2365" s="1" t="str">
        <x:f>IF(I2365=0,"No",IF(AND(COUNT(INDEX('Staff Review'!$D$8:$D$507,I2365))=1,INDEX('Staff Review'!$D$8:$D$507,I2365)&gt;=0,COUNT(INDEX('Staff Review'!$E$8:$E$507,I2365))=1,INDEX('Staff Review'!$E$8:$E$507,I2365)&gt;0,INDEX('Staff Review'!$E$8:$E$507,I2365)&lt;='Top 15'!$E$5,'Top 15'!$E$5-INDEX('Staff Review'!$E$8:$E$507,I2365)&lt;='Top 15'!$H$5,LEN(INDEX('Staff Review'!$H$8:$H$507,I2365))&gt;0),"Yes","No"))</x:f>
        <x:v>No</x:v>
      </x:c>
      <x:c r="AJ2365" s="1" t="str">
        <x:f>IF(I2365=0,"No",IF(COUNT(INDEX('Staff Review'!$F$8:$F$507,I2365))&lt;&gt;1,"No",IF(AND(INDEX('Staff Review'!$F$8:$F$507,I2365)&gt;=0,MOD(INDEX('Staff Review'!$F$8:$F$507,I2365),1)=0,COUNT(INDEX('Staff Review'!$G$8:$G$507,I2365))=1,INDEX('Staff Review'!$G$8:$G$507,I2365)&gt;0,INDEX('Staff Review'!$G$8:$G$507,I2365)&lt;='Top 15'!$E$5,'Top 15'!$E$5-INDEX('Staff Review'!$G$8:$G$507,I2365)&lt;='Top 15'!$H$5,LEN(INDEX('Staff Review'!$H$8:$H$507,I2365))&gt;0),"Yes","No")))</x:f>
        <x:v>No</x:v>
      </x:c>
      <x:c r="AK2365" s="1" t="n">
        <x:f>IF(A2365="",0,COUNTIFS($A$2:$A$501,A2365))</x:f>
        <x:v>1</x:v>
      </x:c>
      <x:c r="AL2365" s="1" t="n">
        <x:f>IF(V2365="Candidate",1,0)</x:f>
        <x:v>1</x:v>
      </x:c>
      <x:c r="AM2365" s="1" t="n">
        <x:f>IF(A2365="",0,VALUE(A2365))</x:f>
        <x:v>8420</x:v>
      </x:c>
      <x:c r="AN2365" s="1" t="n">
        <x:f>IF(OR(A2365="",COUNTIFS($T$41:$T$540,A2365)&lt;&gt;1),0,MATCH(A2365,$T$41:$T$540,0))</x:f>
        <x:v>315</x:v>
      </x:c>
      <x:c r="AO2365" t="n">
        <x:f>IF(ISNUMBER(W2365),W2365,10000+AM2365)</x:f>
        <x:v>32</x:v>
      </x:c>
    </x:row>
    <x:row r="2366" ht="22" customHeight="1">
      <x:c r="A2366" s="1" t="str">
        <x:f>IF(A317="","",A317)</x:f>
        <x:v>8430</x:v>
      </x:c>
      <x:c r="B2366" s="1" t="str">
        <x:f>IF(A2366="","",B317)</x:f>
        <x:v>Joseph Greenberg School</x:v>
      </x:c>
      <x:c r="C2366" s="1" t="str">
        <x:f>IF(A2366="","",C317)</x:f>
        <x:v>District</x:v>
      </x:c>
      <x:c r="D2366" s="1" t="str">
        <x:f>IF(A2366="","",E317)</x:f>
        <x:v>Elementary-Middle</x:v>
      </x:c>
      <x:c r="E2366" s="1" t="str">
        <x:f>IF(A2366="","",H317)</x:f>
        <x:v>19115</x:v>
      </x:c>
      <x:c r="F2366" s="1" t="n">
        <x:f>IF(ISNUMBER(K317),K317,"")</x:f>
        <x:v>1048</x:v>
      </x:c>
      <x:c r="G2366" s="1" t="n">
        <x:f>IF(ISNUMBER(L317),L317,"")</x:f>
        <x:v>0.5234</x:v>
      </x:c>
      <x:c r="H2366" s="1" t="str">
        <x:f>IF(A2366="","",IF(AND(UPPER(G317)="PHILADELPHIA",OR(C2366="District",AND(C2366="Charter",D317="Yes"))),"Yes","No"))</x:f>
        <x:v>Yes</x:v>
      </x:c>
      <x:c r="I2366" s="1" t="n">
        <x:f>IF(OR(A2366="",COUNTIFS('Staff Review'!$A$8:$A$507,A2366)&lt;&gt;1),0,MATCH(A2366,'Staff Review'!$A$8:$A$507,0))</x:f>
        <x:v>146</x:v>
      </x:c>
      <x:c r="J2366" s="1" t="str">
        <x:f>IF(I2366=0,"No",IF(INDEX('Staff Review'!$C$8:$C$507,I2366)="Yes","Yes","No"))</x:f>
        <x:v>No</x:v>
      </x:c>
      <x:c r="K2366" s="1" t="n">
        <x:f>IF(AI2366="Yes",INDEX('Staff Review'!$D$8:$D$507,I2366),IF(AB2366=0,"",IF(COUNT(INDEX($C$1531:$C$2030,AB2366))=1,INDEX($C$1531:$C$2030,AB2366),"")))</x:f>
        <x:v>0.9058382307395104</x:v>
      </x:c>
      <x:c r="L2366" s="1" t="n">
        <x:f>IF(AJ2366="Yes",INDEX('Staff Review'!$F$8:$F$507,I2366),IF(AB2366=0,"",IF(COUNT(INDEX($G$1531:$G$2030,AB2366))=1,INDEX($G$1531:$G$2030,AB2366),"")))</x:f>
        <x:v>0</x:v>
      </x:c>
      <x:c r="M2366" s="1" t="str">
        <x:f>IF(A2366="","",IF(AI2366="Yes","Verified","Listed"))</x:f>
        <x:v>Listed</x:v>
      </x:c>
      <x:c r="N2366" s="1" t="str">
        <x:f>IF(A2366="","",IF(AJ2366="Yes","Verified","Listed"))</x:f>
        <x:v>Listed</x:v>
      </x:c>
      <x:c r="O2366" s="1" t="n">
        <x:f>IF(AND(ISNUMBER(G2366),G2366&gt;=0,G2366&lt;=1),IF(G2366&gt;=0.9,30,IF(G2366&gt;=0.8,25,IF(G2366&gt;=0.7,20,IF(G2366&gt;=0.6,15,IF(G2366&gt;=0.5,10,IF(G2366&gt;=0.4,5,0)))))),"")</x:f>
        <x:v>10</x:v>
      </x:c>
      <x:c r="P2366" s="1" t="n">
        <x:f>IF(ISNUMBER(K2366),IF(K2366&lt;0,"",IF(K2366&gt;1,25,IF(K2366&gt;=0.75,20,IF(K2366&gt;=0.5,15,IF(K2366&gt;=0.25,10,5))))),"")</x:f>
        <x:v>20</x:v>
      </x:c>
      <x:c r="Q2366" s="1" t="n">
        <x:f>IF(NOT(ISNUMBER(L2366)),"",IF(AND(L2366&gt;=0,MOD(L2366,1)=0),MAX(0,25-5*L2366),""))</x:f>
        <x:v>25</x:v>
      </x:c>
      <x:c r="R2366" s="1" t="n">
        <x:f>IF(NOT(ISNUMBER(F2366)),"",IF(AND(F2366&gt;0,MOD(F2366,1)=0),IF(F2366&gt;=700,5,IF(F2366&gt;=500,4,IF(F2366&gt;=350,3,IF(F2366&gt;=200,2,1)))),""))</x:f>
        <x:v>5</x:v>
      </x:c>
      <x:c r="S2366" s="1" t="n">
        <x:f>IF(COUNT(O2366:R2366)=4,SUM(O2366:R2366),"")</x:f>
        <x:v>60</x:v>
      </x:c>
      <x:c r="T2366" s="1" t="n">
        <x:f>IF(OR(COUNT(O2366:R2366)&lt;&gt;4,COUNT('Top 15'!$B$35:$E$35)&lt;&gt;4,MIN('Top 15'!$B$35:$E$35)&lt;0,SUM('Top 15'!$B$35:$E$35)&lt;=0),"",ROUND(85*(O2366/30*'Top 15'!$B$35+P2366/25*'Top 15'!$C$35+Q2366/25*'Top 15'!$D$35+R2366/5*'Top 15'!$E$35)/SUM('Top 15'!$B$35:$E$35),6))</x:f>
        <x:v>60</x:v>
      </x:c>
      <x:c r="U2366" s="1" t="str">
        <x:f>IF(A2366="","",IF(AND(M2366="Verified",N2366="Verified"),"Verified",IF(AND(M2366="Listed",N2366="Listed"),"Listed","Mixed")))</x:f>
        <x:v>Listed</x:v>
      </x:c>
      <x:c r="V2366" s="1" t="str">
        <x:f>IF(A2366="","",IF(AK2366&lt;&gt;1,"Duplicate source ID",IF(COUNTIFS('Staff Review'!$A$8:$A$507,A2366)&gt;1,"Duplicate review ID",IF(H2366&lt;&gt;"Yes","Outside scope",IF(J2366="Yes","Already served",IF(NOT(ISNUMBER(T2366)),"Missing data","Candidate"))))))</x:f>
        <x:v>Candidate</x:v>
      </x:c>
      <x:c r="W2366" s="1" t="n">
        <x:f>IF(AL2366=0,"",1+COUNTIFS($AL$2051:$AL$2550,1,$T$2051:$T$2550,"&gt;"&amp;T2366)+COUNTIFS($AL$2051:$AL$2550,1,$T$2051:$T$2550,T2366,$G$2051:$G$2550,"&gt;"&amp;G2366)+COUNTIFS($AL$2051:$AL$2550,1,$T$2051:$T$2550,T2366,$G$2051:$G$2550,G2366,$F$2051:$F$2550,"&gt;"&amp;F2366)+COUNTIFS($AL$2051:$AL$2550,1,$T$2051:$T$2550,T2366,$G$2051:$G$2550,G2366,$F$2051:$F$2550,F2366,$AM$2051:$AM$2550,"&lt;"&amp;AM2366))</x:f>
        <x:v>15</x:v>
      </x:c>
      <x:c r="X2366" s="1" t="n">
        <x:f>IF(AL2366=0,"",1+COUNTIFS($AL$2051:$AL$2550,1,$T$2051:$T$2550,"&gt;"&amp;T2366))</x:f>
        <x:v>10</x:v>
      </x:c>
      <x:c r="Y2366" s="1" t="n">
        <x:f>IF(AND(H2366="Yes",OR(LEN('School Search'!$B$5)=0,ISNUMBER(SEARCH('School Search'!$B$5,B2366&amp;" "&amp;E2366&amp;" "&amp;A2366))),OR('School Search'!$D$5="All",C2366='School Search'!$D$5),OR('School Search'!$G$5="All eligible",AND('School Search'!$G$5="Not marked served",J2366&lt;&gt;"Yes"),AND('School Search'!$G$5="Missing data",V2366="Missing data"),AND('School Search'!$G$5="Marked served",J2366="Yes"))),1,0)</x:f>
        <x:v>1</x:v>
      </x:c>
      <x:c r="Z2366" s="1" t="n">
        <x:f>IF(Y2366=0,"",COUNTIFS($Y$2051:$Y$2550,1,$AO$2051:$AO$2550,"&lt;"&amp;AO2366)+COUNTIFS($Y$2051:Y2366,1,$AO$2051:AO2366,AO2366))</x:f>
        <x:v>15</x:v>
      </x:c>
      <x:c r="AA2366" s="1" t="str">
        <x:f>IF(NOT(ISNUMBER(S2366)),"Missing demographic or access input",TEXT(G2366,"0%")&amp;" economic need; "&amp;TEXT(K2366,"0.00")&amp;" mi fresh access; "&amp;L2366&amp;" nearby resources")</x:f>
        <x:v>52% economic need; 0.91 mi fresh access; 0 nearby resources</x:v>
      </x:c>
      <x:c r="AB2366" s="1" t="n">
        <x:f>IF(OR(A2366="",COUNTIFS($A$1531:$A$2030,A2366)&lt;&gt;1),0,MATCH(A2366,$A$1531:$A$2030,0))</x:f>
        <x:v>316</x:v>
      </x:c>
      <x:c r="AC2366" s="1" t="str">
        <x:f>IF(AB2366=0,"",INDEX($E$1531:$E$2030,AB2366))</x:f>
        <x:v>Kashmir Garden Super Market Inc</x:v>
      </x:c>
      <x:c r="AD2366" s="1" t="str">
        <x:f>IF(AB2366=0,"",INDEX($F$1531:$F$2030,AB2366))</x:f>
        <x:v>9325 Krewstown Rd, Philadelphia, PA, 19115</x:v>
      </x:c>
      <x:c r="AE2366" s="1" t="str">
        <x:f>IF(A2366="","",F317)</x:f>
        <x:v>600 SHARON LN</x:v>
      </x:c>
      <x:c r="AF2366" s="1" t="n">
        <x:f>IF(ISNUMBER(I317),I317,"")</x:f>
        <x:v>40.09608652</x:v>
      </x:c>
      <x:c r="AG2366" s="1" t="n">
        <x:f>IF(ISNUMBER(J317),J317,"")</x:f>
        <x:v>-75.05771102</x:v>
      </x:c>
      <x:c r="AH2366" s="1" t="str">
        <x:f>IF(I2366=0,"Not contacted",IF(INDEX('Staff Review'!$J$8:$J$507,I2366)="","Not contacted",INDEX('Staff Review'!$J$8:$J$507,I2366)))</x:f>
        <x:v>Not contacted</x:v>
      </x:c>
      <x:c r="AI2366" s="1" t="str">
        <x:f>IF(I2366=0,"No",IF(AND(COUNT(INDEX('Staff Review'!$D$8:$D$507,I2366))=1,INDEX('Staff Review'!$D$8:$D$507,I2366)&gt;=0,COUNT(INDEX('Staff Review'!$E$8:$E$507,I2366))=1,INDEX('Staff Review'!$E$8:$E$507,I2366)&gt;0,INDEX('Staff Review'!$E$8:$E$507,I2366)&lt;='Top 15'!$E$5,'Top 15'!$E$5-INDEX('Staff Review'!$E$8:$E$507,I2366)&lt;='Top 15'!$H$5,LEN(INDEX('Staff Review'!$H$8:$H$507,I2366))&gt;0),"Yes","No"))</x:f>
        <x:v>No</x:v>
      </x:c>
      <x:c r="AJ2366" s="1" t="str">
        <x:f>IF(I2366=0,"No",IF(COUNT(INDEX('Staff Review'!$F$8:$F$507,I2366))&lt;&gt;1,"No",IF(AND(INDEX('Staff Review'!$F$8:$F$507,I2366)&gt;=0,MOD(INDEX('Staff Review'!$F$8:$F$507,I2366),1)=0,COUNT(INDEX('Staff Review'!$G$8:$G$507,I2366))=1,INDEX('Staff Review'!$G$8:$G$507,I2366)&gt;0,INDEX('Staff Review'!$G$8:$G$507,I2366)&lt;='Top 15'!$E$5,'Top 15'!$E$5-INDEX('Staff Review'!$G$8:$G$507,I2366)&lt;='Top 15'!$H$5,LEN(INDEX('Staff Review'!$H$8:$H$507,I2366))&gt;0),"Yes","No")))</x:f>
        <x:v>No</x:v>
      </x:c>
      <x:c r="AK2366" s="1" t="n">
        <x:f>IF(A2366="",0,COUNTIFS($A$2:$A$501,A2366))</x:f>
        <x:v>1</x:v>
      </x:c>
      <x:c r="AL2366" s="1" t="n">
        <x:f>IF(V2366="Candidate",1,0)</x:f>
        <x:v>1</x:v>
      </x:c>
      <x:c r="AM2366" s="1" t="n">
        <x:f>IF(A2366="",0,VALUE(A2366))</x:f>
        <x:v>8430</x:v>
      </x:c>
      <x:c r="AN2366" s="1" t="n">
        <x:f>IF(OR(A2366="",COUNTIFS($T$41:$T$540,A2366)&lt;&gt;1),0,MATCH(A2366,$T$41:$T$540,0))</x:f>
        <x:v>316</x:v>
      </x:c>
      <x:c r="AO2366" t="n">
        <x:f>IF(ISNUMBER(W2366),W2366,10000+AM2366)</x:f>
        <x:v>15</x:v>
      </x:c>
    </x:row>
    <x:row r="2367" ht="22" customHeight="1">
      <x:c r="A2367" s="1" t="str">
        <x:f>IF(A318="","",A318)</x:f>
        <x:v>8440</x:v>
      </x:c>
      <x:c r="B2367" s="1" t="str">
        <x:f>IF(A2367="","",B318)</x:f>
        <x:v>William H. Loesche School</x:v>
      </x:c>
      <x:c r="C2367" s="1" t="str">
        <x:f>IF(A2367="","",C318)</x:f>
        <x:v>District</x:v>
      </x:c>
      <x:c r="D2367" s="1" t="str">
        <x:f>IF(A2367="","",E318)</x:f>
        <x:v>Elementary</x:v>
      </x:c>
      <x:c r="E2367" s="1" t="str">
        <x:f>IF(A2367="","",H318)</x:f>
        <x:v>19116</x:v>
      </x:c>
      <x:c r="F2367" s="1" t="n">
        <x:f>IF(ISNUMBER(K318),K318,"")</x:f>
        <x:v>1276</x:v>
      </x:c>
      <x:c r="G2367" s="1" t="n">
        <x:f>IF(ISNUMBER(L318),L318,"")</x:f>
        <x:v>0.7346</x:v>
      </x:c>
      <x:c r="H2367" s="1" t="str">
        <x:f>IF(A2367="","",IF(AND(UPPER(G318)="PHILADELPHIA",OR(C2367="District",AND(C2367="Charter",D318="Yes"))),"Yes","No"))</x:f>
        <x:v>Yes</x:v>
      </x:c>
      <x:c r="I2367" s="1" t="n">
        <x:f>IF(OR(A2367="",COUNTIFS('Staff Review'!$A$8:$A$507,A2367)&lt;&gt;1),0,MATCH(A2367,'Staff Review'!$A$8:$A$507,0))</x:f>
        <x:v>318</x:v>
      </x:c>
      <x:c r="J2367" s="1" t="str">
        <x:f>IF(I2367=0,"No",IF(INDEX('Staff Review'!$C$8:$C$507,I2367)="Yes","Yes","No"))</x:f>
        <x:v>No</x:v>
      </x:c>
      <x:c r="K2367" s="1" t="n">
        <x:f>IF(AI2367="Yes",INDEX('Staff Review'!$D$8:$D$507,I2367),IF(AB2367=0,"",IF(COUNT(INDEX($C$1531:$C$2030,AB2367))=1,INDEX($C$1531:$C$2030,AB2367),"")))</x:f>
        <x:v>0.45647317626121353</x:v>
      </x:c>
      <x:c r="L2367" s="1" t="n">
        <x:f>IF(AJ2367="Yes",INDEX('Staff Review'!$F$8:$F$507,I2367),IF(AB2367=0,"",IF(COUNT(INDEX($G$1531:$G$2030,AB2367))=1,INDEX($G$1531:$G$2030,AB2367),"")))</x:f>
        <x:v>4</x:v>
      </x:c>
      <x:c r="M2367" s="1" t="str">
        <x:f>IF(A2367="","",IF(AI2367="Yes","Verified","Listed"))</x:f>
        <x:v>Listed</x:v>
      </x:c>
      <x:c r="N2367" s="1" t="str">
        <x:f>IF(A2367="","",IF(AJ2367="Yes","Verified","Listed"))</x:f>
        <x:v>Listed</x:v>
      </x:c>
      <x:c r="O2367" s="1" t="n">
        <x:f>IF(AND(ISNUMBER(G2367),G2367&gt;=0,G2367&lt;=1),IF(G2367&gt;=0.9,30,IF(G2367&gt;=0.8,25,IF(G2367&gt;=0.7,20,IF(G2367&gt;=0.6,15,IF(G2367&gt;=0.5,10,IF(G2367&gt;=0.4,5,0)))))),"")</x:f>
        <x:v>20</x:v>
      </x:c>
      <x:c r="P2367" s="1" t="n">
        <x:f>IF(ISNUMBER(K2367),IF(K2367&lt;0,"",IF(K2367&gt;1,25,IF(K2367&gt;=0.75,20,IF(K2367&gt;=0.5,15,IF(K2367&gt;=0.25,10,5))))),"")</x:f>
        <x:v>10</x:v>
      </x:c>
      <x:c r="Q2367" s="1" t="n">
        <x:f>IF(NOT(ISNUMBER(L2367)),"",IF(AND(L2367&gt;=0,MOD(L2367,1)=0),MAX(0,25-5*L2367),""))</x:f>
        <x:v>5</x:v>
      </x:c>
      <x:c r="R2367" s="1" t="n">
        <x:f>IF(NOT(ISNUMBER(F2367)),"",IF(AND(F2367&gt;0,MOD(F2367,1)=0),IF(F2367&gt;=700,5,IF(F2367&gt;=500,4,IF(F2367&gt;=350,3,IF(F2367&gt;=200,2,1)))),""))</x:f>
        <x:v>5</x:v>
      </x:c>
      <x:c r="S2367" s="1" t="n">
        <x:f>IF(COUNT(O2367:R2367)=4,SUM(O2367:R2367),"")</x:f>
        <x:v>40</x:v>
      </x:c>
      <x:c r="T2367" s="1" t="n">
        <x:f>IF(OR(COUNT(O2367:R2367)&lt;&gt;4,COUNT('Top 15'!$B$35:$E$35)&lt;&gt;4,MIN('Top 15'!$B$35:$E$35)&lt;0,SUM('Top 15'!$B$35:$E$35)&lt;=0),"",ROUND(85*(O2367/30*'Top 15'!$B$35+P2367/25*'Top 15'!$C$35+Q2367/25*'Top 15'!$D$35+R2367/5*'Top 15'!$E$35)/SUM('Top 15'!$B$35:$E$35),6))</x:f>
        <x:v>40</x:v>
      </x:c>
      <x:c r="U2367" s="1" t="str">
        <x:f>IF(A2367="","",IF(AND(M2367="Verified",N2367="Verified"),"Verified",IF(AND(M2367="Listed",N2367="Listed"),"Listed","Mixed")))</x:f>
        <x:v>Listed</x:v>
      </x:c>
      <x:c r="V2367" s="1" t="str">
        <x:f>IF(A2367="","",IF(AK2367&lt;&gt;1,"Duplicate source ID",IF(COUNTIFS('Staff Review'!$A$8:$A$507,A2367)&gt;1,"Duplicate review ID",IF(H2367&lt;&gt;"Yes","Outside scope",IF(J2367="Yes","Already served",IF(NOT(ISNUMBER(T2367)),"Missing data","Candidate"))))))</x:f>
        <x:v>Candidate</x:v>
      </x:c>
      <x:c r="W2367" s="1" t="n">
        <x:f>IF(AL2367=0,"",1+COUNTIFS($AL$2051:$AL$2550,1,$T$2051:$T$2550,"&gt;"&amp;T2367)+COUNTIFS($AL$2051:$AL$2550,1,$T$2051:$T$2550,T2367,$G$2051:$G$2550,"&gt;"&amp;G2367)+COUNTIFS($AL$2051:$AL$2550,1,$T$2051:$T$2550,T2367,$G$2051:$G$2550,G2367,$F$2051:$F$2550,"&gt;"&amp;F2367)+COUNTIFS($AL$2051:$AL$2550,1,$T$2051:$T$2550,T2367,$G$2051:$G$2550,G2367,$F$2051:$F$2550,F2367,$AM$2051:$AM$2550,"&lt;"&amp;AM2367))</x:f>
        <x:v>146</x:v>
      </x:c>
      <x:c r="X2367" s="1" t="n">
        <x:f>IF(AL2367=0,"",1+COUNTIFS($AL$2051:$AL$2550,1,$T$2051:$T$2550,"&gt;"&amp;T2367))</x:f>
        <x:v>133</x:v>
      </x:c>
      <x:c r="Y2367" s="1" t="n">
        <x:f>IF(AND(H2367="Yes",OR(LEN('School Search'!$B$5)=0,ISNUMBER(SEARCH('School Search'!$B$5,B2367&amp;" "&amp;E2367&amp;" "&amp;A2367))),OR('School Search'!$D$5="All",C2367='School Search'!$D$5),OR('School Search'!$G$5="All eligible",AND('School Search'!$G$5="Not marked served",J2367&lt;&gt;"Yes"),AND('School Search'!$G$5="Missing data",V2367="Missing data"),AND('School Search'!$G$5="Marked served",J2367="Yes"))),1,0)</x:f>
        <x:v>1</x:v>
      </x:c>
      <x:c r="Z2367" s="1" t="n">
        <x:f>IF(Y2367=0,"",COUNTIFS($Y$2051:$Y$2550,1,$AO$2051:$AO$2550,"&lt;"&amp;AO2367)+COUNTIFS($Y$2051:Y2367,1,$AO$2051:AO2367,AO2367))</x:f>
        <x:v>146</x:v>
      </x:c>
      <x:c r="AA2367" s="1" t="str">
        <x:f>IF(NOT(ISNUMBER(S2367)),"Missing demographic or access input",TEXT(G2367,"0%")&amp;" economic need; "&amp;TEXT(K2367,"0.00")&amp;" mi fresh access; "&amp;L2367&amp;" nearby resources")</x:f>
        <x:v>73% economic need; 0.46 mi fresh access; 4 nearby resources</x:v>
      </x:c>
      <x:c r="AB2367" s="1" t="n">
        <x:f>IF(OR(A2367="",COUNTIFS($A$1531:$A$2030,A2367)&lt;&gt;1),0,MATCH(A2367,$A$1531:$A$2030,0))</x:f>
        <x:v>317</x:v>
      </x:c>
      <x:c r="AC2367" s="1" t="str">
        <x:f>IF(AB2367=0,"",INDEX($E$1531:$E$2030,AB2367))</x:f>
        <x:v>Ali Baba Bakery Inc</x:v>
      </x:c>
      <x:c r="AD2367" s="1" t="str">
        <x:f>IF(AB2367=0,"",INDEX($F$1531:$F$2030,AB2367))</x:f>
        <x:v>10184 Bustleton Ave, Philadelphia, PA, 19116</x:v>
      </x:c>
      <x:c r="AE2367" s="1" t="str">
        <x:f>IF(A2367="","",F318)</x:f>
        <x:v>595 TOMLINSON RD</x:v>
      </x:c>
      <x:c r="AF2367" s="1" t="n">
        <x:f>IF(ISNUMBER(I318),I318,"")</x:f>
        <x:v>40.11358364</x:v>
      </x:c>
      <x:c r="AG2367" s="1" t="n">
        <x:f>IF(ISNUMBER(J318),J318,"")</x:f>
        <x:v>-75.02386784</x:v>
      </x:c>
      <x:c r="AH2367" s="1" t="str">
        <x:f>IF(I2367=0,"Not contacted",IF(INDEX('Staff Review'!$J$8:$J$507,I2367)="","Not contacted",INDEX('Staff Review'!$J$8:$J$507,I2367)))</x:f>
        <x:v>Not contacted</x:v>
      </x:c>
      <x:c r="AI2367" s="1" t="str">
        <x:f>IF(I2367=0,"No",IF(AND(COUNT(INDEX('Staff Review'!$D$8:$D$507,I2367))=1,INDEX('Staff Review'!$D$8:$D$507,I2367)&gt;=0,COUNT(INDEX('Staff Review'!$E$8:$E$507,I2367))=1,INDEX('Staff Review'!$E$8:$E$507,I2367)&gt;0,INDEX('Staff Review'!$E$8:$E$507,I2367)&lt;='Top 15'!$E$5,'Top 15'!$E$5-INDEX('Staff Review'!$E$8:$E$507,I2367)&lt;='Top 15'!$H$5,LEN(INDEX('Staff Review'!$H$8:$H$507,I2367))&gt;0),"Yes","No"))</x:f>
        <x:v>No</x:v>
      </x:c>
      <x:c r="AJ2367" s="1" t="str">
        <x:f>IF(I2367=0,"No",IF(COUNT(INDEX('Staff Review'!$F$8:$F$507,I2367))&lt;&gt;1,"No",IF(AND(INDEX('Staff Review'!$F$8:$F$507,I2367)&gt;=0,MOD(INDEX('Staff Review'!$F$8:$F$507,I2367),1)=0,COUNT(INDEX('Staff Review'!$G$8:$G$507,I2367))=1,INDEX('Staff Review'!$G$8:$G$507,I2367)&gt;0,INDEX('Staff Review'!$G$8:$G$507,I2367)&lt;='Top 15'!$E$5,'Top 15'!$E$5-INDEX('Staff Review'!$G$8:$G$507,I2367)&lt;='Top 15'!$H$5,LEN(INDEX('Staff Review'!$H$8:$H$507,I2367))&gt;0),"Yes","No")))</x:f>
        <x:v>No</x:v>
      </x:c>
      <x:c r="AK2367" s="1" t="n">
        <x:f>IF(A2367="",0,COUNTIFS($A$2:$A$501,A2367))</x:f>
        <x:v>1</x:v>
      </x:c>
      <x:c r="AL2367" s="1" t="n">
        <x:f>IF(V2367="Candidate",1,0)</x:f>
        <x:v>1</x:v>
      </x:c>
      <x:c r="AM2367" s="1" t="n">
        <x:f>IF(A2367="",0,VALUE(A2367))</x:f>
        <x:v>8440</x:v>
      </x:c>
      <x:c r="AN2367" s="1" t="n">
        <x:f>IF(OR(A2367="",COUNTIFS($T$41:$T$540,A2367)&lt;&gt;1),0,MATCH(A2367,$T$41:$T$540,0))</x:f>
        <x:v>317</x:v>
      </x:c>
      <x:c r="AO2367" t="n">
        <x:f>IF(ISNUMBER(W2367),W2367,10000+AM2367)</x:f>
        <x:v>146</x:v>
      </x:c>
    </x:row>
    <x:row r="2368" ht="22" customHeight="1">
      <x:c r="A2368" s="1" t="str">
        <x:f>IF(A319="","",A319)</x:f>
        <x:v>8450</x:v>
      </x:c>
      <x:c r="B2368" s="1" t="str">
        <x:f>IF(A2368="","",B319)</x:f>
        <x:v>YESPhilly</x:v>
      </x:c>
      <x:c r="C2368" s="1" t="str">
        <x:f>IF(A2368="","",C319)</x:f>
        <x:v>Contracted</x:v>
      </x:c>
      <x:c r="D2368" s="1" t="str">
        <x:f>IF(A2368="","",E319)</x:f>
        <x:v>Transition/Overage School</x:v>
      </x:c>
      <x:c r="E2368" s="1" t="str">
        <x:f>IF(A2368="","",H319)</x:f>
        <x:v>19132</x:v>
      </x:c>
      <x:c r="F2368" s="1" t="n">
        <x:f>IF(ISNUMBER(K319),K319,"")</x:f>
        <x:v>127</x:v>
      </x:c>
      <x:c r="G2368" s="1" t="str">
        <x:f>IF(ISNUMBER(L319),L319,"")</x:f>
      </x:c>
      <x:c r="H2368" s="1" t="str">
        <x:f>IF(A2368="","",IF(AND(UPPER(G319)="PHILADELPHIA",OR(C2368="District",AND(C2368="Charter",D319="Yes"))),"Yes","No"))</x:f>
        <x:v>No</x:v>
      </x:c>
      <x:c r="I2368" s="1" t="n">
        <x:f>IF(OR(A2368="",COUNTIFS('Staff Review'!$A$8:$A$507,A2368)&lt;&gt;1),0,MATCH(A2368,'Staff Review'!$A$8:$A$507,0))</x:f>
        <x:v>327</x:v>
      </x:c>
      <x:c r="J2368" s="1" t="str">
        <x:f>IF(I2368=0,"No",IF(INDEX('Staff Review'!$C$8:$C$507,I2368)="Yes","Yes","No"))</x:f>
        <x:v>No</x:v>
      </x:c>
      <x:c r="K2368" s="1" t="n">
        <x:f>IF(AI2368="Yes",INDEX('Staff Review'!$D$8:$D$507,I2368),IF(AB2368=0,"",IF(COUNT(INDEX($C$1531:$C$2030,AB2368))=1,INDEX($C$1531:$C$2030,AB2368),"")))</x:f>
        <x:v>0.5411770428723703</x:v>
      </x:c>
      <x:c r="L2368" s="1" t="n">
        <x:f>IF(AJ2368="Yes",INDEX('Staff Review'!$F$8:$F$507,I2368),IF(AB2368=0,"",IF(COUNT(INDEX($G$1531:$G$2030,AB2368))=1,INDEX($G$1531:$G$2030,AB2368),"")))</x:f>
        <x:v>15</x:v>
      </x:c>
      <x:c r="M2368" s="1" t="str">
        <x:f>IF(A2368="","",IF(AI2368="Yes","Verified","Listed"))</x:f>
        <x:v>Listed</x:v>
      </x:c>
      <x:c r="N2368" s="1" t="str">
        <x:f>IF(A2368="","",IF(AJ2368="Yes","Verified","Listed"))</x:f>
        <x:v>Listed</x:v>
      </x:c>
      <x:c r="O2368" s="1" t="str">
        <x:f>IF(AND(ISNUMBER(G2368),G2368&gt;=0,G2368&lt;=1),IF(G2368&gt;=0.9,30,IF(G2368&gt;=0.8,25,IF(G2368&gt;=0.7,20,IF(G2368&gt;=0.6,15,IF(G2368&gt;=0.5,10,IF(G2368&gt;=0.4,5,0)))))),"")</x:f>
      </x:c>
      <x:c r="P2368" s="1" t="n">
        <x:f>IF(ISNUMBER(K2368),IF(K2368&lt;0,"",IF(K2368&gt;1,25,IF(K2368&gt;=0.75,20,IF(K2368&gt;=0.5,15,IF(K2368&gt;=0.25,10,5))))),"")</x:f>
        <x:v>15</x:v>
      </x:c>
      <x:c r="Q2368" s="1" t="n">
        <x:f>IF(NOT(ISNUMBER(L2368)),"",IF(AND(L2368&gt;=0,MOD(L2368,1)=0),MAX(0,25-5*L2368),""))</x:f>
        <x:v>0</x:v>
      </x:c>
      <x:c r="R2368" s="1" t="n">
        <x:f>IF(NOT(ISNUMBER(F2368)),"",IF(AND(F2368&gt;0,MOD(F2368,1)=0),IF(F2368&gt;=700,5,IF(F2368&gt;=500,4,IF(F2368&gt;=350,3,IF(F2368&gt;=200,2,1)))),""))</x:f>
        <x:v>1</x:v>
      </x:c>
      <x:c r="S2368" s="1" t="str">
        <x:f>IF(COUNT(O2368:R2368)=4,SUM(O2368:R2368),"")</x:f>
      </x:c>
      <x:c r="T2368" s="1" t="str">
        <x:f>IF(OR(COUNT(O2368:R2368)&lt;&gt;4,COUNT('Top 15'!$B$35:$E$35)&lt;&gt;4,MIN('Top 15'!$B$35:$E$35)&lt;0,SUM('Top 15'!$B$35:$E$35)&lt;=0),"",ROUND(85*(O2368/30*'Top 15'!$B$35+P2368/25*'Top 15'!$C$35+Q2368/25*'Top 15'!$D$35+R2368/5*'Top 15'!$E$35)/SUM('Top 15'!$B$35:$E$35),6))</x:f>
      </x:c>
      <x:c r="U2368" s="1" t="str">
        <x:f>IF(A2368="","",IF(AND(M2368="Verified",N2368="Verified"),"Verified",IF(AND(M2368="Listed",N2368="Listed"),"Listed","Mixed")))</x:f>
        <x:v>Listed</x:v>
      </x:c>
      <x:c r="V2368" s="1" t="str">
        <x:f>IF(A2368="","",IF(AK2368&lt;&gt;1,"Duplicate source ID",IF(COUNTIFS('Staff Review'!$A$8:$A$507,A2368)&gt;1,"Duplicate review ID",IF(H2368&lt;&gt;"Yes","Outside scope",IF(J2368="Yes","Already served",IF(NOT(ISNUMBER(T2368)),"Missing data","Candidate"))))))</x:f>
        <x:v>Outside scope</x:v>
      </x:c>
      <x:c r="W2368" s="1" t="str">
        <x:f>IF(AL2368=0,"",1+COUNTIFS($AL$2051:$AL$2550,1,$T$2051:$T$2550,"&gt;"&amp;T2368)+COUNTIFS($AL$2051:$AL$2550,1,$T$2051:$T$2550,T2368,$G$2051:$G$2550,"&gt;"&amp;G2368)+COUNTIFS($AL$2051:$AL$2550,1,$T$2051:$T$2550,T2368,$G$2051:$G$2550,G2368,$F$2051:$F$2550,"&gt;"&amp;F2368)+COUNTIFS($AL$2051:$AL$2550,1,$T$2051:$T$2550,T2368,$G$2051:$G$2550,G2368,$F$2051:$F$2550,F2368,$AM$2051:$AM$2550,"&lt;"&amp;AM2368))</x:f>
      </x:c>
      <x:c r="X2368" s="1" t="str">
        <x:f>IF(AL2368=0,"",1+COUNTIFS($AL$2051:$AL$2550,1,$T$2051:$T$2550,"&gt;"&amp;T2368))</x:f>
      </x:c>
      <x:c r="Y2368" s="1" t="n">
        <x:f>IF(AND(H2368="Yes",OR(LEN('School Search'!$B$5)=0,ISNUMBER(SEARCH('School Search'!$B$5,B2368&amp;" "&amp;E2368&amp;" "&amp;A2368))),OR('School Search'!$D$5="All",C2368='School Search'!$D$5),OR('School Search'!$G$5="All eligible",AND('School Search'!$G$5="Not marked served",J2368&lt;&gt;"Yes"),AND('School Search'!$G$5="Missing data",V2368="Missing data"),AND('School Search'!$G$5="Marked served",J2368="Yes"))),1,0)</x:f>
        <x:v>0</x:v>
      </x:c>
      <x:c r="Z2368" s="1" t="str">
        <x:f>IF(Y2368=0,"",COUNTIFS($Y$2051:$Y$2550,1,$AO$2051:$AO$2550,"&lt;"&amp;AO2368)+COUNTIFS($Y$2051:Y2368,1,$AO$2051:AO2368,AO2368))</x:f>
      </x:c>
      <x:c r="AA2368" s="1" t="str">
        <x:f>IF(NOT(ISNUMBER(S2368)),"Missing demographic or access input",TEXT(G2368,"0%")&amp;" economic need; "&amp;TEXT(K2368,"0.00")&amp;" mi fresh access; "&amp;L2368&amp;" nearby resources")</x:f>
        <x:v>Missing demographic or access input</x:v>
      </x:c>
      <x:c r="AB2368" s="1" t="n">
        <x:f>IF(OR(A2368="",COUNTIFS($A$1531:$A$2030,A2368)&lt;&gt;1),0,MATCH(A2368,$A$1531:$A$2030,0))</x:f>
        <x:v>318</x:v>
      </x:c>
      <x:c r="AC2368" s="1" t="str">
        <x:f>IF(AB2368=0,"",INDEX($E$1531:$E$2030,AB2368))</x:f>
        <x:v>Save A Lot 60139</x:v>
      </x:c>
      <x:c r="AD2368" s="1" t="str">
        <x:f>IF(AB2368=0,"",INDEX($F$1531:$F$2030,AB2368))</x:f>
        <x:v>701 W Lehigh Ave, Philadelphia, PA, 19133</x:v>
      </x:c>
      <x:c r="AE2368" s="1" t="str">
        <x:f>IF(A2368="","",F319)</x:f>
        <x:v>2709 N BROAD ST</x:v>
      </x:c>
      <x:c r="AF2368" s="1" t="n">
        <x:f>IF(ISNUMBER(I319),I319,"")</x:f>
        <x:v>39.9944643</x:v>
      </x:c>
      <x:c r="AG2368" s="1" t="n">
        <x:f>IF(ISNUMBER(J319),J319,"")</x:f>
        <x:v>-75.1541276</x:v>
      </x:c>
      <x:c r="AH2368" s="1" t="str">
        <x:f>IF(I2368=0,"Not contacted",IF(INDEX('Staff Review'!$J$8:$J$507,I2368)="","Not contacted",INDEX('Staff Review'!$J$8:$J$507,I2368)))</x:f>
        <x:v>Not contacted</x:v>
      </x:c>
      <x:c r="AI2368" s="1" t="str">
        <x:f>IF(I2368=0,"No",IF(AND(COUNT(INDEX('Staff Review'!$D$8:$D$507,I2368))=1,INDEX('Staff Review'!$D$8:$D$507,I2368)&gt;=0,COUNT(INDEX('Staff Review'!$E$8:$E$507,I2368))=1,INDEX('Staff Review'!$E$8:$E$507,I2368)&gt;0,INDEX('Staff Review'!$E$8:$E$507,I2368)&lt;='Top 15'!$E$5,'Top 15'!$E$5-INDEX('Staff Review'!$E$8:$E$507,I2368)&lt;='Top 15'!$H$5,LEN(INDEX('Staff Review'!$H$8:$H$507,I2368))&gt;0),"Yes","No"))</x:f>
        <x:v>No</x:v>
      </x:c>
      <x:c r="AJ2368" s="1" t="str">
        <x:f>IF(I2368=0,"No",IF(COUNT(INDEX('Staff Review'!$F$8:$F$507,I2368))&lt;&gt;1,"No",IF(AND(INDEX('Staff Review'!$F$8:$F$507,I2368)&gt;=0,MOD(INDEX('Staff Review'!$F$8:$F$507,I2368),1)=0,COUNT(INDEX('Staff Review'!$G$8:$G$507,I2368))=1,INDEX('Staff Review'!$G$8:$G$507,I2368)&gt;0,INDEX('Staff Review'!$G$8:$G$507,I2368)&lt;='Top 15'!$E$5,'Top 15'!$E$5-INDEX('Staff Review'!$G$8:$G$507,I2368)&lt;='Top 15'!$H$5,LEN(INDEX('Staff Review'!$H$8:$H$507,I2368))&gt;0),"Yes","No")))</x:f>
        <x:v>No</x:v>
      </x:c>
      <x:c r="AK2368" s="1" t="n">
        <x:f>IF(A2368="",0,COUNTIFS($A$2:$A$501,A2368))</x:f>
        <x:v>1</x:v>
      </x:c>
      <x:c r="AL2368" s="1" t="n">
        <x:f>IF(V2368="Candidate",1,0)</x:f>
        <x:v>0</x:v>
      </x:c>
      <x:c r="AM2368" s="1" t="n">
        <x:f>IF(A2368="",0,VALUE(A2368))</x:f>
        <x:v>8450</x:v>
      </x:c>
      <x:c r="AN2368" s="1" t="n">
        <x:f>IF(OR(A2368="",COUNTIFS($T$41:$T$540,A2368)&lt;&gt;1),0,MATCH(A2368,$T$41:$T$540,0))</x:f>
        <x:v>318</x:v>
      </x:c>
      <x:c r="AO2368" t="n">
        <x:f>IF(ISNUMBER(W2368),W2368,10000+AM2368)</x:f>
        <x:v>18450</x:v>
      </x:c>
    </x:row>
    <x:row r="2369" ht="22" customHeight="1">
      <x:c r="A2369" s="1" t="str">
        <x:f>IF(A320="","",A320)</x:f>
        <x:v>8460</x:v>
      </x:c>
      <x:c r="B2369" s="1" t="str">
        <x:f>IF(A2369="","",B320)</x:f>
        <x:v>Philadelphia Learning Academy West</x:v>
      </x:c>
      <x:c r="C2369" s="1" t="str">
        <x:f>IF(A2369="","",C320)</x:f>
        <x:v>District</x:v>
      </x:c>
      <x:c r="D2369" s="1" t="str">
        <x:f>IF(A2369="","",E320)</x:f>
        <x:v>Transition/Overage School</x:v>
      </x:c>
      <x:c r="E2369" s="1" t="str">
        <x:f>IF(A2369="","",H320)</x:f>
        <x:v>19104</x:v>
      </x:c>
      <x:c r="F2369" s="1" t="n">
        <x:f>IF(ISNUMBER(K320),K320,"")</x:f>
        <x:v>60</x:v>
      </x:c>
      <x:c r="G2369" s="1" t="n">
        <x:f>IF(ISNUMBER(L320),L320,"")</x:f>
        <x:v>0.8983</x:v>
      </x:c>
      <x:c r="H2369" s="1" t="str">
        <x:f>IF(A2369="","",IF(AND(UPPER(G320)="PHILADELPHIA",OR(C2369="District",AND(C2369="Charter",D320="Yes"))),"Yes","No"))</x:f>
        <x:v>Yes</x:v>
      </x:c>
      <x:c r="I2369" s="1" t="n">
        <x:f>IF(OR(A2369="",COUNTIFS('Staff Review'!$A$8:$A$507,A2369)&lt;&gt;1),0,MATCH(A2369,'Staff Review'!$A$8:$A$507,0))</x:f>
        <x:v>238</x:v>
      </x:c>
      <x:c r="J2369" s="1" t="str">
        <x:f>IF(I2369=0,"No",IF(INDEX('Staff Review'!$C$8:$C$507,I2369)="Yes","Yes","No"))</x:f>
        <x:v>No</x:v>
      </x:c>
      <x:c r="K2369" s="1" t="n">
        <x:f>IF(AI2369="Yes",INDEX('Staff Review'!$D$8:$D$507,I2369),IF(AB2369=0,"",IF(COUNT(INDEX($C$1531:$C$2030,AB2369))=1,INDEX($C$1531:$C$2030,AB2369),"")))</x:f>
        <x:v>0.66104747662638</x:v>
      </x:c>
      <x:c r="L2369" s="1" t="n">
        <x:f>IF(AJ2369="Yes",INDEX('Staff Review'!$F$8:$F$507,I2369),IF(AB2369=0,"",IF(COUNT(INDEX($G$1531:$G$2030,AB2369))=1,INDEX($G$1531:$G$2030,AB2369),"")))</x:f>
        <x:v>11</x:v>
      </x:c>
      <x:c r="M2369" s="1" t="str">
        <x:f>IF(A2369="","",IF(AI2369="Yes","Verified","Listed"))</x:f>
        <x:v>Listed</x:v>
      </x:c>
      <x:c r="N2369" s="1" t="str">
        <x:f>IF(A2369="","",IF(AJ2369="Yes","Verified","Listed"))</x:f>
        <x:v>Listed</x:v>
      </x:c>
      <x:c r="O2369" s="1" t="n">
        <x:f>IF(AND(ISNUMBER(G2369),G2369&gt;=0,G2369&lt;=1),IF(G2369&gt;=0.9,30,IF(G2369&gt;=0.8,25,IF(G2369&gt;=0.7,20,IF(G2369&gt;=0.6,15,IF(G2369&gt;=0.5,10,IF(G2369&gt;=0.4,5,0)))))),"")</x:f>
        <x:v>25</x:v>
      </x:c>
      <x:c r="P2369" s="1" t="n">
        <x:f>IF(ISNUMBER(K2369),IF(K2369&lt;0,"",IF(K2369&gt;1,25,IF(K2369&gt;=0.75,20,IF(K2369&gt;=0.5,15,IF(K2369&gt;=0.25,10,5))))),"")</x:f>
        <x:v>15</x:v>
      </x:c>
      <x:c r="Q2369" s="1" t="n">
        <x:f>IF(NOT(ISNUMBER(L2369)),"",IF(AND(L2369&gt;=0,MOD(L2369,1)=0),MAX(0,25-5*L2369),""))</x:f>
        <x:v>0</x:v>
      </x:c>
      <x:c r="R2369" s="1" t="n">
        <x:f>IF(NOT(ISNUMBER(F2369)),"",IF(AND(F2369&gt;0,MOD(F2369,1)=0),IF(F2369&gt;=700,5,IF(F2369&gt;=500,4,IF(F2369&gt;=350,3,IF(F2369&gt;=200,2,1)))),""))</x:f>
        <x:v>1</x:v>
      </x:c>
      <x:c r="S2369" s="1" t="n">
        <x:f>IF(COUNT(O2369:R2369)=4,SUM(O2369:R2369),"")</x:f>
        <x:v>41</x:v>
      </x:c>
      <x:c r="T2369" s="1" t="n">
        <x:f>IF(OR(COUNT(O2369:R2369)&lt;&gt;4,COUNT('Top 15'!$B$35:$E$35)&lt;&gt;4,MIN('Top 15'!$B$35:$E$35)&lt;0,SUM('Top 15'!$B$35:$E$35)&lt;=0),"",ROUND(85*(O2369/30*'Top 15'!$B$35+P2369/25*'Top 15'!$C$35+Q2369/25*'Top 15'!$D$35+R2369/5*'Top 15'!$E$35)/SUM('Top 15'!$B$35:$E$35),6))</x:f>
        <x:v>41</x:v>
      </x:c>
      <x:c r="U2369" s="1" t="str">
        <x:f>IF(A2369="","",IF(AND(M2369="Verified",N2369="Verified"),"Verified",IF(AND(M2369="Listed",N2369="Listed"),"Listed","Mixed")))</x:f>
        <x:v>Listed</x:v>
      </x:c>
      <x:c r="V2369" s="1" t="str">
        <x:f>IF(A2369="","",IF(AK2369&lt;&gt;1,"Duplicate source ID",IF(COUNTIFS('Staff Review'!$A$8:$A$507,A2369)&gt;1,"Duplicate review ID",IF(H2369&lt;&gt;"Yes","Outside scope",IF(J2369="Yes","Already served",IF(NOT(ISNUMBER(T2369)),"Missing data","Candidate"))))))</x:f>
        <x:v>Candidate</x:v>
      </x:c>
      <x:c r="W2369" s="1" t="n">
        <x:f>IF(AL2369=0,"",1+COUNTIFS($AL$2051:$AL$2550,1,$T$2051:$T$2550,"&gt;"&amp;T2369)+COUNTIFS($AL$2051:$AL$2550,1,$T$2051:$T$2550,T2369,$G$2051:$G$2550,"&gt;"&amp;G2369)+COUNTIFS($AL$2051:$AL$2550,1,$T$2051:$T$2550,T2369,$G$2051:$G$2550,G2369,$F$2051:$F$2550,"&gt;"&amp;F2369)+COUNTIFS($AL$2051:$AL$2550,1,$T$2051:$T$2550,T2369,$G$2051:$G$2550,G2369,$F$2051:$F$2550,F2369,$AM$2051:$AM$2550,"&lt;"&amp;AM2369))</x:f>
        <x:v>131</x:v>
      </x:c>
      <x:c r="X2369" s="1" t="n">
        <x:f>IF(AL2369=0,"",1+COUNTIFS($AL$2051:$AL$2550,1,$T$2051:$T$2550,"&gt;"&amp;T2369))</x:f>
        <x:v>128</x:v>
      </x:c>
      <x:c r="Y2369" s="1" t="n">
        <x:f>IF(AND(H2369="Yes",OR(LEN('School Search'!$B$5)=0,ISNUMBER(SEARCH('School Search'!$B$5,B2369&amp;" "&amp;E2369&amp;" "&amp;A2369))),OR('School Search'!$D$5="All",C2369='School Search'!$D$5),OR('School Search'!$G$5="All eligible",AND('School Search'!$G$5="Not marked served",J2369&lt;&gt;"Yes"),AND('School Search'!$G$5="Missing data",V2369="Missing data"),AND('School Search'!$G$5="Marked served",J2369="Yes"))),1,0)</x:f>
        <x:v>1</x:v>
      </x:c>
      <x:c r="Z2369" s="1" t="n">
        <x:f>IF(Y2369=0,"",COUNTIFS($Y$2051:$Y$2550,1,$AO$2051:$AO$2550,"&lt;"&amp;AO2369)+COUNTIFS($Y$2051:Y2369,1,$AO$2051:AO2369,AO2369))</x:f>
        <x:v>131</x:v>
      </x:c>
      <x:c r="AA2369" s="1" t="str">
        <x:f>IF(NOT(ISNUMBER(S2369)),"Missing demographic or access input",TEXT(G2369,"0%")&amp;" economic need; "&amp;TEXT(K2369,"0.00")&amp;" mi fresh access; "&amp;L2369&amp;" nearby resources")</x:f>
        <x:v>90% economic need; 0.66 mi fresh access; 11 nearby resources</x:v>
      </x:c>
      <x:c r="AB2369" s="1" t="n">
        <x:f>IF(OR(A2369="",COUNTIFS($A$1531:$A$2030,A2369)&lt;&gt;1),0,MATCH(A2369,$A$1531:$A$2030,0))</x:f>
        <x:v>319</x:v>
      </x:c>
      <x:c r="AC2369" s="1" t="str">
        <x:f>IF(AB2369=0,"",INDEX($E$1531:$E$2030,AB2369))</x:f>
        <x:v>Cousin's Fresh Market 2 Inc</x:v>
      </x:c>
      <x:c r="AD2369" s="1" t="str">
        <x:f>IF(AB2369=0,"",INDEX($F$1531:$F$2030,AB2369))</x:f>
        <x:v>5429 W Girard Ave, Philadelphia, PA, 19131</x:v>
      </x:c>
      <x:c r="AE2369" s="1" t="str">
        <x:f>IF(A2369="","",F320)</x:f>
        <x:v>4300 WESTMINSTER AVE</x:v>
      </x:c>
      <x:c r="AF2369" s="1" t="n">
        <x:f>IF(ISNUMBER(I320),I320,"")</x:f>
        <x:v>39.96971371</x:v>
      </x:c>
      <x:c r="AG2369" s="1" t="n">
        <x:f>IF(ISNUMBER(J320),J320,"")</x:f>
        <x:v>-75.21013521</x:v>
      </x:c>
      <x:c r="AH2369" s="1" t="str">
        <x:f>IF(I2369=0,"Not contacted",IF(INDEX('Staff Review'!$J$8:$J$507,I2369)="","Not contacted",INDEX('Staff Review'!$J$8:$J$507,I2369)))</x:f>
        <x:v>Not contacted</x:v>
      </x:c>
      <x:c r="AI2369" s="1" t="str">
        <x:f>IF(I2369=0,"No",IF(AND(COUNT(INDEX('Staff Review'!$D$8:$D$507,I2369))=1,INDEX('Staff Review'!$D$8:$D$507,I2369)&gt;=0,COUNT(INDEX('Staff Review'!$E$8:$E$507,I2369))=1,INDEX('Staff Review'!$E$8:$E$507,I2369)&gt;0,INDEX('Staff Review'!$E$8:$E$507,I2369)&lt;='Top 15'!$E$5,'Top 15'!$E$5-INDEX('Staff Review'!$E$8:$E$507,I2369)&lt;='Top 15'!$H$5,LEN(INDEX('Staff Review'!$H$8:$H$507,I2369))&gt;0),"Yes","No"))</x:f>
        <x:v>No</x:v>
      </x:c>
      <x:c r="AJ2369" s="1" t="str">
        <x:f>IF(I2369=0,"No",IF(COUNT(INDEX('Staff Review'!$F$8:$F$507,I2369))&lt;&gt;1,"No",IF(AND(INDEX('Staff Review'!$F$8:$F$507,I2369)&gt;=0,MOD(INDEX('Staff Review'!$F$8:$F$507,I2369),1)=0,COUNT(INDEX('Staff Review'!$G$8:$G$507,I2369))=1,INDEX('Staff Review'!$G$8:$G$507,I2369)&gt;0,INDEX('Staff Review'!$G$8:$G$507,I2369)&lt;='Top 15'!$E$5,'Top 15'!$E$5-INDEX('Staff Review'!$G$8:$G$507,I2369)&lt;='Top 15'!$H$5,LEN(INDEX('Staff Review'!$H$8:$H$507,I2369))&gt;0),"Yes","No")))</x:f>
        <x:v>No</x:v>
      </x:c>
      <x:c r="AK2369" s="1" t="n">
        <x:f>IF(A2369="",0,COUNTIFS($A$2:$A$501,A2369))</x:f>
        <x:v>1</x:v>
      </x:c>
      <x:c r="AL2369" s="1" t="n">
        <x:f>IF(V2369="Candidate",1,0)</x:f>
        <x:v>1</x:v>
      </x:c>
      <x:c r="AM2369" s="1" t="n">
        <x:f>IF(A2369="",0,VALUE(A2369))</x:f>
        <x:v>8460</x:v>
      </x:c>
      <x:c r="AN2369" s="1" t="n">
        <x:f>IF(OR(A2369="",COUNTIFS($T$41:$T$540,A2369)&lt;&gt;1),0,MATCH(A2369,$T$41:$T$540,0))</x:f>
        <x:v>319</x:v>
      </x:c>
      <x:c r="AO2369" t="n">
        <x:f>IF(ISNUMBER(W2369),W2369,10000+AM2369)</x:f>
        <x:v>131</x:v>
      </x:c>
    </x:row>
    <x:row r="2370" ht="22" customHeight="1">
      <x:c r="A2370" s="1" t="str">
        <x:f>IF(A321="","",A321)</x:f>
        <x:v>8470</x:v>
      </x:c>
      <x:c r="B2370" s="1" t="str">
        <x:f>IF(A2370="","",B321)</x:f>
        <x:v>Philadelphia Learning Academy North</x:v>
      </x:c>
      <x:c r="C2370" s="1" t="str">
        <x:f>IF(A2370="","",C321)</x:f>
        <x:v>District</x:v>
      </x:c>
      <x:c r="D2370" s="1" t="str">
        <x:f>IF(A2370="","",E321)</x:f>
        <x:v>Transition/Overage School</x:v>
      </x:c>
      <x:c r="E2370" s="1" t="str">
        <x:f>IF(A2370="","",H321)</x:f>
        <x:v>19140</x:v>
      </x:c>
      <x:c r="F2370" s="1" t="n">
        <x:f>IF(ISNUMBER(K321),K321,"")</x:f>
        <x:v>67</x:v>
      </x:c>
      <x:c r="G2370" s="1" t="n">
        <x:f>IF(ISNUMBER(L321),L321,"")</x:f>
        <x:v>0.9016</x:v>
      </x:c>
      <x:c r="H2370" s="1" t="str">
        <x:f>IF(A2370="","",IF(AND(UPPER(G321)="PHILADELPHIA",OR(C2370="District",AND(C2370="Charter",D321="Yes"))),"Yes","No"))</x:f>
        <x:v>Yes</x:v>
      </x:c>
      <x:c r="I2370" s="1" t="n">
        <x:f>IF(OR(A2370="",COUNTIFS('Staff Review'!$A$8:$A$507,A2370)&lt;&gt;1),0,MATCH(A2370,'Staff Review'!$A$8:$A$507,0))</x:f>
        <x:v>237</x:v>
      </x:c>
      <x:c r="J2370" s="1" t="str">
        <x:f>IF(I2370=0,"No",IF(INDEX('Staff Review'!$C$8:$C$507,I2370)="Yes","Yes","No"))</x:f>
        <x:v>No</x:v>
      </x:c>
      <x:c r="K2370" s="1" t="n">
        <x:f>IF(AI2370="Yes",INDEX('Staff Review'!$D$8:$D$507,I2370),IF(AB2370=0,"",IF(COUNT(INDEX($C$1531:$C$2030,AB2370))=1,INDEX($C$1531:$C$2030,AB2370),"")))</x:f>
        <x:v>0.5181636732430546</x:v>
      </x:c>
      <x:c r="L2370" s="1" t="n">
        <x:f>IF(AJ2370="Yes",INDEX('Staff Review'!$F$8:$F$507,I2370),IF(AB2370=0,"",IF(COUNT(INDEX($G$1531:$G$2030,AB2370))=1,INDEX($G$1531:$G$2030,AB2370),"")))</x:f>
        <x:v>10</x:v>
      </x:c>
      <x:c r="M2370" s="1" t="str">
        <x:f>IF(A2370="","",IF(AI2370="Yes","Verified","Listed"))</x:f>
        <x:v>Listed</x:v>
      </x:c>
      <x:c r="N2370" s="1" t="str">
        <x:f>IF(A2370="","",IF(AJ2370="Yes","Verified","Listed"))</x:f>
        <x:v>Listed</x:v>
      </x:c>
      <x:c r="O2370" s="1" t="n">
        <x:f>IF(AND(ISNUMBER(G2370),G2370&gt;=0,G2370&lt;=1),IF(G2370&gt;=0.9,30,IF(G2370&gt;=0.8,25,IF(G2370&gt;=0.7,20,IF(G2370&gt;=0.6,15,IF(G2370&gt;=0.5,10,IF(G2370&gt;=0.4,5,0)))))),"")</x:f>
        <x:v>30</x:v>
      </x:c>
      <x:c r="P2370" s="1" t="n">
        <x:f>IF(ISNUMBER(K2370),IF(K2370&lt;0,"",IF(K2370&gt;1,25,IF(K2370&gt;=0.75,20,IF(K2370&gt;=0.5,15,IF(K2370&gt;=0.25,10,5))))),"")</x:f>
        <x:v>15</x:v>
      </x:c>
      <x:c r="Q2370" s="1" t="n">
        <x:f>IF(NOT(ISNUMBER(L2370)),"",IF(AND(L2370&gt;=0,MOD(L2370,1)=0),MAX(0,25-5*L2370),""))</x:f>
        <x:v>0</x:v>
      </x:c>
      <x:c r="R2370" s="1" t="n">
        <x:f>IF(NOT(ISNUMBER(F2370)),"",IF(AND(F2370&gt;0,MOD(F2370,1)=0),IF(F2370&gt;=700,5,IF(F2370&gt;=500,4,IF(F2370&gt;=350,3,IF(F2370&gt;=200,2,1)))),""))</x:f>
        <x:v>1</x:v>
      </x:c>
      <x:c r="S2370" s="1" t="n">
        <x:f>IF(COUNT(O2370:R2370)=4,SUM(O2370:R2370),"")</x:f>
        <x:v>46</x:v>
      </x:c>
      <x:c r="T2370" s="1" t="n">
        <x:f>IF(OR(COUNT(O2370:R2370)&lt;&gt;4,COUNT('Top 15'!$B$35:$E$35)&lt;&gt;4,MIN('Top 15'!$B$35:$E$35)&lt;0,SUM('Top 15'!$B$35:$E$35)&lt;=0),"",ROUND(85*(O2370/30*'Top 15'!$B$35+P2370/25*'Top 15'!$C$35+Q2370/25*'Top 15'!$D$35+R2370/5*'Top 15'!$E$35)/SUM('Top 15'!$B$35:$E$35),6))</x:f>
        <x:v>46</x:v>
      </x:c>
      <x:c r="U2370" s="1" t="str">
        <x:f>IF(A2370="","",IF(AND(M2370="Verified",N2370="Verified"),"Verified",IF(AND(M2370="Listed",N2370="Listed"),"Listed","Mixed")))</x:f>
        <x:v>Listed</x:v>
      </x:c>
      <x:c r="V2370" s="1" t="str">
        <x:f>IF(A2370="","",IF(AK2370&lt;&gt;1,"Duplicate source ID",IF(COUNTIFS('Staff Review'!$A$8:$A$507,A2370)&gt;1,"Duplicate review ID",IF(H2370&lt;&gt;"Yes","Outside scope",IF(J2370="Yes","Already served",IF(NOT(ISNUMBER(T2370)),"Missing data","Candidate"))))))</x:f>
        <x:v>Candidate</x:v>
      </x:c>
      <x:c r="W2370" s="1" t="n">
        <x:f>IF(AL2370=0,"",1+COUNTIFS($AL$2051:$AL$2550,1,$T$2051:$T$2550,"&gt;"&amp;T2370)+COUNTIFS($AL$2051:$AL$2550,1,$T$2051:$T$2550,T2370,$G$2051:$G$2550,"&gt;"&amp;G2370)+COUNTIFS($AL$2051:$AL$2550,1,$T$2051:$T$2550,T2370,$G$2051:$G$2550,G2370,$F$2051:$F$2550,"&gt;"&amp;F2370)+COUNTIFS($AL$2051:$AL$2550,1,$T$2051:$T$2550,T2370,$G$2051:$G$2550,G2370,$F$2051:$F$2550,F2370,$AM$2051:$AM$2550,"&lt;"&amp;AM2370))</x:f>
        <x:v>71</x:v>
      </x:c>
      <x:c r="X2370" s="1" t="n">
        <x:f>IF(AL2370=0,"",1+COUNTIFS($AL$2051:$AL$2550,1,$T$2051:$T$2550,"&gt;"&amp;T2370))</x:f>
        <x:v>71</x:v>
      </x:c>
      <x:c r="Y2370" s="1" t="n">
        <x:f>IF(AND(H2370="Yes",OR(LEN('School Search'!$B$5)=0,ISNUMBER(SEARCH('School Search'!$B$5,B2370&amp;" "&amp;E2370&amp;" "&amp;A2370))),OR('School Search'!$D$5="All",C2370='School Search'!$D$5),OR('School Search'!$G$5="All eligible",AND('School Search'!$G$5="Not marked served",J2370&lt;&gt;"Yes"),AND('School Search'!$G$5="Missing data",V2370="Missing data"),AND('School Search'!$G$5="Marked served",J2370="Yes"))),1,0)</x:f>
        <x:v>1</x:v>
      </x:c>
      <x:c r="Z2370" s="1" t="n">
        <x:f>IF(Y2370=0,"",COUNTIFS($Y$2051:$Y$2550,1,$AO$2051:$AO$2550,"&lt;"&amp;AO2370)+COUNTIFS($Y$2051:Y2370,1,$AO$2051:AO2370,AO2370))</x:f>
        <x:v>71</x:v>
      </x:c>
      <x:c r="AA2370" s="1" t="str">
        <x:f>IF(NOT(ISNUMBER(S2370)),"Missing demographic or access input",TEXT(G2370,"0%")&amp;" economic need; "&amp;TEXT(K2370,"0.00")&amp;" mi fresh access; "&amp;L2370&amp;" nearby resources")</x:f>
        <x:v>90% economic need; 0.52 mi fresh access; 10 nearby resources</x:v>
      </x:c>
      <x:c r="AB2370" s="1" t="n">
        <x:f>IF(OR(A2370="",COUNTIFS($A$1531:$A$2030,A2370)&lt;&gt;1),0,MATCH(A2370,$A$1531:$A$2030,0))</x:f>
        <x:v>320</x:v>
      </x:c>
      <x:c r="AC2370" s="1" t="str">
        <x:f>IF(AB2370=0,"",INDEX($E$1531:$E$2030,AB2370))</x:f>
        <x:v>COUSINS SUPERMARKET INC. #2</x:v>
      </x:c>
      <x:c r="AD2370" s="1" t="str">
        <x:f>IF(AB2370=0,"",INDEX($F$1531:$F$2030,AB2370))</x:f>
        <x:v>4037 N 5th St, Philadelphia, PA, 19140</x:v>
      </x:c>
      <x:c r="AE2370" s="1" t="str">
        <x:f>IF(A2370="","",F321)</x:f>
        <x:v>4224 N FRONT ST</x:v>
      </x:c>
      <x:c r="AF2370" s="1" t="n">
        <x:f>IF(ISNUMBER(I321),I321,"")</x:f>
        <x:v>40.01425525</x:v>
      </x:c>
      <x:c r="AG2370" s="1" t="n">
        <x:f>IF(ISNUMBER(J321),J321,"")</x:f>
        <x:v>-75.12599679</x:v>
      </x:c>
      <x:c r="AH2370" s="1" t="str">
        <x:f>IF(I2370=0,"Not contacted",IF(INDEX('Staff Review'!$J$8:$J$507,I2370)="","Not contacted",INDEX('Staff Review'!$J$8:$J$507,I2370)))</x:f>
        <x:v>Not contacted</x:v>
      </x:c>
      <x:c r="AI2370" s="1" t="str">
        <x:f>IF(I2370=0,"No",IF(AND(COUNT(INDEX('Staff Review'!$D$8:$D$507,I2370))=1,INDEX('Staff Review'!$D$8:$D$507,I2370)&gt;=0,COUNT(INDEX('Staff Review'!$E$8:$E$507,I2370))=1,INDEX('Staff Review'!$E$8:$E$507,I2370)&gt;0,INDEX('Staff Review'!$E$8:$E$507,I2370)&lt;='Top 15'!$E$5,'Top 15'!$E$5-INDEX('Staff Review'!$E$8:$E$507,I2370)&lt;='Top 15'!$H$5,LEN(INDEX('Staff Review'!$H$8:$H$507,I2370))&gt;0),"Yes","No"))</x:f>
        <x:v>No</x:v>
      </x:c>
      <x:c r="AJ2370" s="1" t="str">
        <x:f>IF(I2370=0,"No",IF(COUNT(INDEX('Staff Review'!$F$8:$F$507,I2370))&lt;&gt;1,"No",IF(AND(INDEX('Staff Review'!$F$8:$F$507,I2370)&gt;=0,MOD(INDEX('Staff Review'!$F$8:$F$507,I2370),1)=0,COUNT(INDEX('Staff Review'!$G$8:$G$507,I2370))=1,INDEX('Staff Review'!$G$8:$G$507,I2370)&gt;0,INDEX('Staff Review'!$G$8:$G$507,I2370)&lt;='Top 15'!$E$5,'Top 15'!$E$5-INDEX('Staff Review'!$G$8:$G$507,I2370)&lt;='Top 15'!$H$5,LEN(INDEX('Staff Review'!$H$8:$H$507,I2370))&gt;0),"Yes","No")))</x:f>
        <x:v>No</x:v>
      </x:c>
      <x:c r="AK2370" s="1" t="n">
        <x:f>IF(A2370="",0,COUNTIFS($A$2:$A$501,A2370))</x:f>
        <x:v>1</x:v>
      </x:c>
      <x:c r="AL2370" s="1" t="n">
        <x:f>IF(V2370="Candidate",1,0)</x:f>
        <x:v>1</x:v>
      </x:c>
      <x:c r="AM2370" s="1" t="n">
        <x:f>IF(A2370="",0,VALUE(A2370))</x:f>
        <x:v>8470</x:v>
      </x:c>
      <x:c r="AN2370" s="1" t="n">
        <x:f>IF(OR(A2370="",COUNTIFS($T$41:$T$540,A2370)&lt;&gt;1),0,MATCH(A2370,$T$41:$T$540,0))</x:f>
        <x:v>320</x:v>
      </x:c>
      <x:c r="AO2370" t="n">
        <x:f>IF(ISNUMBER(W2370),W2370,10000+AM2370)</x:f>
        <x:v>71</x:v>
      </x:c>
    </x:row>
    <x:row r="2371" ht="22" customHeight="1">
      <x:c r="A2371" s="1" t="str">
        <x:f>IF(A322="","",A322)</x:f>
        <x:v>8540</x:v>
      </x:c>
      <x:c r="B2371" s="1" t="str">
        <x:f>IF(A2371="","",B322)</x:f>
        <x:v>Pennypack House School</x:v>
      </x:c>
      <x:c r="C2371" s="1" t="str">
        <x:f>IF(A2371="","",C322)</x:f>
        <x:v>District</x:v>
      </x:c>
      <x:c r="D2371" s="1" t="str">
        <x:f>IF(A2371="","",E322)</x:f>
        <x:v>Transition/Overage School</x:v>
      </x:c>
      <x:c r="E2371" s="1" t="str">
        <x:f>IF(A2371="","",H322)</x:f>
        <x:v>19136</x:v>
      </x:c>
      <x:c r="F2371" s="1" t="n">
        <x:f>IF(ISNUMBER(K322),K322,"")</x:f>
        <x:v>75</x:v>
      </x:c>
      <x:c r="G2371" s="1" t="str">
        <x:f>IF(ISNUMBER(L322),L322,"")</x:f>
      </x:c>
      <x:c r="H2371" s="1" t="str">
        <x:f>IF(A2371="","",IF(AND(UPPER(G322)="PHILADELPHIA",OR(C2371="District",AND(C2371="Charter",D322="Yes"))),"Yes","No"))</x:f>
        <x:v>Yes</x:v>
      </x:c>
      <x:c r="I2371" s="1" t="n">
        <x:f>IF(OR(A2371="",COUNTIFS('Staff Review'!$A$8:$A$507,A2371)&lt;&gt;1),0,MATCH(A2371,'Staff Review'!$A$8:$A$507,0))</x:f>
        <x:v>228</x:v>
      </x:c>
      <x:c r="J2371" s="1" t="str">
        <x:f>IF(I2371=0,"No",IF(INDEX('Staff Review'!$C$8:$C$507,I2371)="Yes","Yes","No"))</x:f>
        <x:v>No</x:v>
      </x:c>
      <x:c r="K2371" s="1" t="n">
        <x:f>IF(AI2371="Yes",INDEX('Staff Review'!$D$8:$D$507,I2371),IF(AB2371=0,"",IF(COUNT(INDEX($C$1531:$C$2030,AB2371))=1,INDEX($C$1531:$C$2030,AB2371),"")))</x:f>
        <x:v>1.4877013342422842</x:v>
      </x:c>
      <x:c r="L2371" s="1" t="n">
        <x:f>IF(AJ2371="Yes",INDEX('Staff Review'!$F$8:$F$507,I2371),IF(AB2371=0,"",IF(COUNT(INDEX($G$1531:$G$2030,AB2371))=1,INDEX($G$1531:$G$2030,AB2371),"")))</x:f>
        <x:v>2</x:v>
      </x:c>
      <x:c r="M2371" s="1" t="str">
        <x:f>IF(A2371="","",IF(AI2371="Yes","Verified","Listed"))</x:f>
        <x:v>Listed</x:v>
      </x:c>
      <x:c r="N2371" s="1" t="str">
        <x:f>IF(A2371="","",IF(AJ2371="Yes","Verified","Listed"))</x:f>
        <x:v>Listed</x:v>
      </x:c>
      <x:c r="O2371" s="1" t="str">
        <x:f>IF(AND(ISNUMBER(G2371),G2371&gt;=0,G2371&lt;=1),IF(G2371&gt;=0.9,30,IF(G2371&gt;=0.8,25,IF(G2371&gt;=0.7,20,IF(G2371&gt;=0.6,15,IF(G2371&gt;=0.5,10,IF(G2371&gt;=0.4,5,0)))))),"")</x:f>
      </x:c>
      <x:c r="P2371" s="1" t="n">
        <x:f>IF(ISNUMBER(K2371),IF(K2371&lt;0,"",IF(K2371&gt;1,25,IF(K2371&gt;=0.75,20,IF(K2371&gt;=0.5,15,IF(K2371&gt;=0.25,10,5))))),"")</x:f>
        <x:v>25</x:v>
      </x:c>
      <x:c r="Q2371" s="1" t="n">
        <x:f>IF(NOT(ISNUMBER(L2371)),"",IF(AND(L2371&gt;=0,MOD(L2371,1)=0),MAX(0,25-5*L2371),""))</x:f>
        <x:v>15</x:v>
      </x:c>
      <x:c r="R2371" s="1" t="n">
        <x:f>IF(NOT(ISNUMBER(F2371)),"",IF(AND(F2371&gt;0,MOD(F2371,1)=0),IF(F2371&gt;=700,5,IF(F2371&gt;=500,4,IF(F2371&gt;=350,3,IF(F2371&gt;=200,2,1)))),""))</x:f>
        <x:v>1</x:v>
      </x:c>
      <x:c r="S2371" s="1" t="str">
        <x:f>IF(COUNT(O2371:R2371)=4,SUM(O2371:R2371),"")</x:f>
      </x:c>
      <x:c r="T2371" s="1" t="str">
        <x:f>IF(OR(COUNT(O2371:R2371)&lt;&gt;4,COUNT('Top 15'!$B$35:$E$35)&lt;&gt;4,MIN('Top 15'!$B$35:$E$35)&lt;0,SUM('Top 15'!$B$35:$E$35)&lt;=0),"",ROUND(85*(O2371/30*'Top 15'!$B$35+P2371/25*'Top 15'!$C$35+Q2371/25*'Top 15'!$D$35+R2371/5*'Top 15'!$E$35)/SUM('Top 15'!$B$35:$E$35),6))</x:f>
      </x:c>
      <x:c r="U2371" s="1" t="str">
        <x:f>IF(A2371="","",IF(AND(M2371="Verified",N2371="Verified"),"Verified",IF(AND(M2371="Listed",N2371="Listed"),"Listed","Mixed")))</x:f>
        <x:v>Listed</x:v>
      </x:c>
      <x:c r="V2371" s="1" t="str">
        <x:f>IF(A2371="","",IF(AK2371&lt;&gt;1,"Duplicate source ID",IF(COUNTIFS('Staff Review'!$A$8:$A$507,A2371)&gt;1,"Duplicate review ID",IF(H2371&lt;&gt;"Yes","Outside scope",IF(J2371="Yes","Already served",IF(NOT(ISNUMBER(T2371)),"Missing data","Candidate"))))))</x:f>
        <x:v>Missing data</x:v>
      </x:c>
      <x:c r="W2371" s="1" t="str">
        <x:f>IF(AL2371=0,"",1+COUNTIFS($AL$2051:$AL$2550,1,$T$2051:$T$2550,"&gt;"&amp;T2371)+COUNTIFS($AL$2051:$AL$2550,1,$T$2051:$T$2550,T2371,$G$2051:$G$2550,"&gt;"&amp;G2371)+COUNTIFS($AL$2051:$AL$2550,1,$T$2051:$T$2550,T2371,$G$2051:$G$2550,G2371,$F$2051:$F$2550,"&gt;"&amp;F2371)+COUNTIFS($AL$2051:$AL$2550,1,$T$2051:$T$2550,T2371,$G$2051:$G$2550,G2371,$F$2051:$F$2550,F2371,$AM$2051:$AM$2550,"&lt;"&amp;AM2371))</x:f>
      </x:c>
      <x:c r="X2371" s="1" t="str">
        <x:f>IF(AL2371=0,"",1+COUNTIFS($AL$2051:$AL$2550,1,$T$2051:$T$2550,"&gt;"&amp;T2371))</x:f>
      </x:c>
      <x:c r="Y2371" s="1" t="n">
        <x:f>IF(AND(H2371="Yes",OR(LEN('School Search'!$B$5)=0,ISNUMBER(SEARCH('School Search'!$B$5,B2371&amp;" "&amp;E2371&amp;" "&amp;A2371))),OR('School Search'!$D$5="All",C2371='School Search'!$D$5),OR('School Search'!$G$5="All eligible",AND('School Search'!$G$5="Not marked served",J2371&lt;&gt;"Yes"),AND('School Search'!$G$5="Missing data",V2371="Missing data"),AND('School Search'!$G$5="Marked served",J2371="Yes"))),1,0)</x:f>
        <x:v>1</x:v>
      </x:c>
      <x:c r="Z2371" s="1" t="n">
        <x:f>IF(Y2371=0,"",COUNTIFS($Y$2051:$Y$2550,1,$AO$2051:$AO$2550,"&lt;"&amp;AO2371)+COUNTIFS($Y$2051:Y2371,1,$AO$2051:AO2371,AO2371))</x:f>
        <x:v>303</x:v>
      </x:c>
      <x:c r="AA2371" s="1" t="str">
        <x:f>IF(NOT(ISNUMBER(S2371)),"Missing demographic or access input",TEXT(G2371,"0%")&amp;" economic need; "&amp;TEXT(K2371,"0.00")&amp;" mi fresh access; "&amp;L2371&amp;" nearby resources")</x:f>
        <x:v>Missing demographic or access input</x:v>
      </x:c>
      <x:c r="AB2371" s="1" t="n">
        <x:f>IF(OR(A2371="",COUNTIFS($A$1531:$A$2030,A2371)&lt;&gt;1),0,MATCH(A2371,$A$1531:$A$2030,0))</x:f>
        <x:v>321</x:v>
      </x:c>
      <x:c r="AC2371" s="1" t="str">
        <x:f>IF(AB2371=0,"",INDEX($E$1531:$E$2030,AB2371))</x:f>
        <x:v>PJP Marketplace</x:v>
      </x:c>
      <x:c r="AD2371" s="1" t="str">
        <x:f>IF(AB2371=0,"",INDEX($F$1531:$F$2030,AB2371))</x:f>
        <x:v>8960 Frankford Avenue, Philadelphia, PA, 19136</x:v>
      </x:c>
      <x:c r="AE2371" s="1" t="str">
        <x:f>IF(A2371="","",F322)</x:f>
        <x:v>7901 STATE RD</x:v>
      </x:c>
      <x:c r="AF2371" s="1" t="n">
        <x:f>IF(ISNUMBER(I322),I322,"")</x:f>
        <x:v>40.032021</x:v>
      </x:c>
      <x:c r="AG2371" s="1" t="n">
        <x:f>IF(ISNUMBER(J322),J322,"")</x:f>
        <x:v>-75.019689</x:v>
      </x:c>
      <x:c r="AH2371" s="1" t="str">
        <x:f>IF(I2371=0,"Not contacted",IF(INDEX('Staff Review'!$J$8:$J$507,I2371)="","Not contacted",INDEX('Staff Review'!$J$8:$J$507,I2371)))</x:f>
        <x:v>Not contacted</x:v>
      </x:c>
      <x:c r="AI2371" s="1" t="str">
        <x:f>IF(I2371=0,"No",IF(AND(COUNT(INDEX('Staff Review'!$D$8:$D$507,I2371))=1,INDEX('Staff Review'!$D$8:$D$507,I2371)&gt;=0,COUNT(INDEX('Staff Review'!$E$8:$E$507,I2371))=1,INDEX('Staff Review'!$E$8:$E$507,I2371)&gt;0,INDEX('Staff Review'!$E$8:$E$507,I2371)&lt;='Top 15'!$E$5,'Top 15'!$E$5-INDEX('Staff Review'!$E$8:$E$507,I2371)&lt;='Top 15'!$H$5,LEN(INDEX('Staff Review'!$H$8:$H$507,I2371))&gt;0),"Yes","No"))</x:f>
        <x:v>No</x:v>
      </x:c>
      <x:c r="AJ2371" s="1" t="str">
        <x:f>IF(I2371=0,"No",IF(COUNT(INDEX('Staff Review'!$F$8:$F$507,I2371))&lt;&gt;1,"No",IF(AND(INDEX('Staff Review'!$F$8:$F$507,I2371)&gt;=0,MOD(INDEX('Staff Review'!$F$8:$F$507,I2371),1)=0,COUNT(INDEX('Staff Review'!$G$8:$G$507,I2371))=1,INDEX('Staff Review'!$G$8:$G$507,I2371)&gt;0,INDEX('Staff Review'!$G$8:$G$507,I2371)&lt;='Top 15'!$E$5,'Top 15'!$E$5-INDEX('Staff Review'!$G$8:$G$507,I2371)&lt;='Top 15'!$H$5,LEN(INDEX('Staff Review'!$H$8:$H$507,I2371))&gt;0),"Yes","No")))</x:f>
        <x:v>No</x:v>
      </x:c>
      <x:c r="AK2371" s="1" t="n">
        <x:f>IF(A2371="",0,COUNTIFS($A$2:$A$501,A2371))</x:f>
        <x:v>1</x:v>
      </x:c>
      <x:c r="AL2371" s="1" t="n">
        <x:f>IF(V2371="Candidate",1,0)</x:f>
        <x:v>0</x:v>
      </x:c>
      <x:c r="AM2371" s="1" t="n">
        <x:f>IF(A2371="",0,VALUE(A2371))</x:f>
        <x:v>8540</x:v>
      </x:c>
      <x:c r="AN2371" s="1" t="n">
        <x:f>IF(OR(A2371="",COUNTIFS($T$41:$T$540,A2371)&lt;&gt;1),0,MATCH(A2371,$T$41:$T$540,0))</x:f>
        <x:v>321</x:v>
      </x:c>
      <x:c r="AO2371" t="n">
        <x:f>IF(ISNUMBER(W2371),W2371,10000+AM2371)</x:f>
        <x:v>18540</x:v>
      </x:c>
    </x:row>
    <x:row r="2372" ht="22" customHeight="1">
      <x:c r="A2372" s="1" t="str">
        <x:f>IF(A323="","",A323)</x:f>
        <x:v>8560</x:v>
      </x:c>
      <x:c r="B2372" s="1" t="str">
        <x:f>IF(A2372="","",B323)</x:f>
        <x:v>The Workshop High School</x:v>
      </x:c>
      <x:c r="C2372" s="1" t="str">
        <x:f>IF(A2372="","",C323)</x:f>
        <x:v>District</x:v>
      </x:c>
      <x:c r="D2372" s="1" t="str">
        <x:f>IF(A2372="","",E323)</x:f>
        <x:v>High</x:v>
      </x:c>
      <x:c r="E2372" s="1" t="str">
        <x:f>IF(A2372="","",H323)</x:f>
        <x:v>19139</x:v>
      </x:c>
      <x:c r="F2372" s="1" t="n">
        <x:f>IF(ISNUMBER(K323),K323,"")</x:f>
        <x:v>233</x:v>
      </x:c>
      <x:c r="G2372" s="1" t="n">
        <x:f>IF(ISNUMBER(L323),L323,"")</x:f>
        <x:v>0.8441</x:v>
      </x:c>
      <x:c r="H2372" s="1" t="str">
        <x:f>IF(A2372="","",IF(AND(UPPER(G323)="PHILADELPHIA",OR(C2372="District",AND(C2372="Charter",D323="Yes"))),"Yes","No"))</x:f>
        <x:v>Yes</x:v>
      </x:c>
      <x:c r="I2372" s="1" t="n">
        <x:f>IF(OR(A2372="",COUNTIFS('Staff Review'!$A$8:$A$507,A2372)&lt;&gt;1),0,MATCH(A2372,'Staff Review'!$A$8:$A$507,0))</x:f>
        <x:v>290</x:v>
      </x:c>
      <x:c r="J2372" s="1" t="str">
        <x:f>IF(I2372=0,"No",IF(INDEX('Staff Review'!$C$8:$C$507,I2372)="Yes","Yes","No"))</x:f>
        <x:v>No</x:v>
      </x:c>
      <x:c r="K2372" s="1" t="n">
        <x:f>IF(AI2372="Yes",INDEX('Staff Review'!$D$8:$D$507,I2372),IF(AB2372=0,"",IF(COUNT(INDEX($C$1531:$C$2030,AB2372))=1,INDEX($C$1531:$C$2030,AB2372),"")))</x:f>
        <x:v>0.40195766619653583</x:v>
      </x:c>
      <x:c r="L2372" s="1" t="n">
        <x:f>IF(AJ2372="Yes",INDEX('Staff Review'!$F$8:$F$507,I2372),IF(AB2372=0,"",IF(COUNT(INDEX($G$1531:$G$2030,AB2372))=1,INDEX($G$1531:$G$2030,AB2372),"")))</x:f>
        <x:v>11</x:v>
      </x:c>
      <x:c r="M2372" s="1" t="str">
        <x:f>IF(A2372="","",IF(AI2372="Yes","Verified","Listed"))</x:f>
        <x:v>Listed</x:v>
      </x:c>
      <x:c r="N2372" s="1" t="str">
        <x:f>IF(A2372="","",IF(AJ2372="Yes","Verified","Listed"))</x:f>
        <x:v>Listed</x:v>
      </x:c>
      <x:c r="O2372" s="1" t="n">
        <x:f>IF(AND(ISNUMBER(G2372),G2372&gt;=0,G2372&lt;=1),IF(G2372&gt;=0.9,30,IF(G2372&gt;=0.8,25,IF(G2372&gt;=0.7,20,IF(G2372&gt;=0.6,15,IF(G2372&gt;=0.5,10,IF(G2372&gt;=0.4,5,0)))))),"")</x:f>
        <x:v>25</x:v>
      </x:c>
      <x:c r="P2372" s="1" t="n">
        <x:f>IF(ISNUMBER(K2372),IF(K2372&lt;0,"",IF(K2372&gt;1,25,IF(K2372&gt;=0.75,20,IF(K2372&gt;=0.5,15,IF(K2372&gt;=0.25,10,5))))),"")</x:f>
        <x:v>10</x:v>
      </x:c>
      <x:c r="Q2372" s="1" t="n">
        <x:f>IF(NOT(ISNUMBER(L2372)),"",IF(AND(L2372&gt;=0,MOD(L2372,1)=0),MAX(0,25-5*L2372),""))</x:f>
        <x:v>0</x:v>
      </x:c>
      <x:c r="R2372" s="1" t="n">
        <x:f>IF(NOT(ISNUMBER(F2372)),"",IF(AND(F2372&gt;0,MOD(F2372,1)=0),IF(F2372&gt;=700,5,IF(F2372&gt;=500,4,IF(F2372&gt;=350,3,IF(F2372&gt;=200,2,1)))),""))</x:f>
        <x:v>2</x:v>
      </x:c>
      <x:c r="S2372" s="1" t="n">
        <x:f>IF(COUNT(O2372:R2372)=4,SUM(O2372:R2372),"")</x:f>
        <x:v>37</x:v>
      </x:c>
      <x:c r="T2372" s="1" t="n">
        <x:f>IF(OR(COUNT(O2372:R2372)&lt;&gt;4,COUNT('Top 15'!$B$35:$E$35)&lt;&gt;4,MIN('Top 15'!$B$35:$E$35)&lt;0,SUM('Top 15'!$B$35:$E$35)&lt;=0),"",ROUND(85*(O2372/30*'Top 15'!$B$35+P2372/25*'Top 15'!$C$35+Q2372/25*'Top 15'!$D$35+R2372/5*'Top 15'!$E$35)/SUM('Top 15'!$B$35:$E$35),6))</x:f>
        <x:v>37</x:v>
      </x:c>
      <x:c r="U2372" s="1" t="str">
        <x:f>IF(A2372="","",IF(AND(M2372="Verified",N2372="Verified"),"Verified",IF(AND(M2372="Listed",N2372="Listed"),"Listed","Mixed")))</x:f>
        <x:v>Listed</x:v>
      </x:c>
      <x:c r="V2372" s="1" t="str">
        <x:f>IF(A2372="","",IF(AK2372&lt;&gt;1,"Duplicate source ID",IF(COUNTIFS('Staff Review'!$A$8:$A$507,A2372)&gt;1,"Duplicate review ID",IF(H2372&lt;&gt;"Yes","Outside scope",IF(J2372="Yes","Already served",IF(NOT(ISNUMBER(T2372)),"Missing data","Candidate"))))))</x:f>
        <x:v>Candidate</x:v>
      </x:c>
      <x:c r="W2372" s="1" t="n">
        <x:f>IF(AL2372=0,"",1+COUNTIFS($AL$2051:$AL$2550,1,$T$2051:$T$2550,"&gt;"&amp;T2372)+COUNTIFS($AL$2051:$AL$2550,1,$T$2051:$T$2550,T2372,$G$2051:$G$2550,"&gt;"&amp;G2372)+COUNTIFS($AL$2051:$AL$2550,1,$T$2051:$T$2550,T2372,$G$2051:$G$2550,G2372,$F$2051:$F$2550,"&gt;"&amp;F2372)+COUNTIFS($AL$2051:$AL$2550,1,$T$2051:$T$2550,T2372,$G$2051:$G$2550,G2372,$F$2051:$F$2550,F2372,$AM$2051:$AM$2550,"&lt;"&amp;AM2372))</x:f>
        <x:v>197</x:v>
      </x:c>
      <x:c r="X2372" s="1" t="n">
        <x:f>IF(AL2372=0,"",1+COUNTIFS($AL$2051:$AL$2550,1,$T$2051:$T$2550,"&gt;"&amp;T2372))</x:f>
        <x:v>182</x:v>
      </x:c>
      <x:c r="Y2372" s="1" t="n">
        <x:f>IF(AND(H2372="Yes",OR(LEN('School Search'!$B$5)=0,ISNUMBER(SEARCH('School Search'!$B$5,B2372&amp;" "&amp;E2372&amp;" "&amp;A2372))),OR('School Search'!$D$5="All",C2372='School Search'!$D$5),OR('School Search'!$G$5="All eligible",AND('School Search'!$G$5="Not marked served",J2372&lt;&gt;"Yes"),AND('School Search'!$G$5="Missing data",V2372="Missing data"),AND('School Search'!$G$5="Marked served",J2372="Yes"))),1,0)</x:f>
        <x:v>1</x:v>
      </x:c>
      <x:c r="Z2372" s="1" t="n">
        <x:f>IF(Y2372=0,"",COUNTIFS($Y$2051:$Y$2550,1,$AO$2051:$AO$2550,"&lt;"&amp;AO2372)+COUNTIFS($Y$2051:Y2372,1,$AO$2051:AO2372,AO2372))</x:f>
        <x:v>197</x:v>
      </x:c>
      <x:c r="AA2372" s="1" t="str">
        <x:f>IF(NOT(ISNUMBER(S2372)),"Missing demographic or access input",TEXT(G2372,"0%")&amp;" economic need; "&amp;TEXT(K2372,"0.00")&amp;" mi fresh access; "&amp;L2372&amp;" nearby resources")</x:f>
        <x:v>84% economic need; 0.40 mi fresh access; 11 nearby resources</x:v>
      </x:c>
      <x:c r="AB2372" s="1" t="n">
        <x:f>IF(OR(A2372="",COUNTIFS($A$1531:$A$2030,A2372)&lt;&gt;1),0,MATCH(A2372,$A$1531:$A$2030,0))</x:f>
        <x:v>322</x:v>
      </x:c>
      <x:c r="AC2372" s="1" t="str">
        <x:f>IF(AB2372=0,"",INDEX($E$1531:$E$2030,AB2372))</x:f>
        <x:v>ALDI 54</x:v>
      </x:c>
      <x:c r="AD2372" s="1" t="str">
        <x:f>IF(AB2372=0,"",INDEX($F$1531:$F$2030,AB2372))</x:f>
        <x:v>4421 Market St, Philadelphia, PA, 19104</x:v>
      </x:c>
      <x:c r="AE2372" s="1" t="str">
        <x:f>IF(A2372="","",F323)</x:f>
        <x:v>221 S HANSON ST</x:v>
      </x:c>
      <x:c r="AF2372" s="1" t="n">
        <x:f>IF(ISNUMBER(I323),I323,"")</x:f>
        <x:v>39.95530589</x:v>
      </x:c>
      <x:c r="AG2372" s="1" t="n">
        <x:f>IF(ISNUMBER(J323),J323,"")</x:f>
        <x:v>-75.21855329</x:v>
      </x:c>
      <x:c r="AH2372" s="1" t="str">
        <x:f>IF(I2372=0,"Not contacted",IF(INDEX('Staff Review'!$J$8:$J$507,I2372)="","Not contacted",INDEX('Staff Review'!$J$8:$J$507,I2372)))</x:f>
        <x:v>Not contacted</x:v>
      </x:c>
      <x:c r="AI2372" s="1" t="str">
        <x:f>IF(I2372=0,"No",IF(AND(COUNT(INDEX('Staff Review'!$D$8:$D$507,I2372))=1,INDEX('Staff Review'!$D$8:$D$507,I2372)&gt;=0,COUNT(INDEX('Staff Review'!$E$8:$E$507,I2372))=1,INDEX('Staff Review'!$E$8:$E$507,I2372)&gt;0,INDEX('Staff Review'!$E$8:$E$507,I2372)&lt;='Top 15'!$E$5,'Top 15'!$E$5-INDEX('Staff Review'!$E$8:$E$507,I2372)&lt;='Top 15'!$H$5,LEN(INDEX('Staff Review'!$H$8:$H$507,I2372))&gt;0),"Yes","No"))</x:f>
        <x:v>No</x:v>
      </x:c>
      <x:c r="AJ2372" s="1" t="str">
        <x:f>IF(I2372=0,"No",IF(COUNT(INDEX('Staff Review'!$F$8:$F$507,I2372))&lt;&gt;1,"No",IF(AND(INDEX('Staff Review'!$F$8:$F$507,I2372)&gt;=0,MOD(INDEX('Staff Review'!$F$8:$F$507,I2372),1)=0,COUNT(INDEX('Staff Review'!$G$8:$G$507,I2372))=1,INDEX('Staff Review'!$G$8:$G$507,I2372)&gt;0,INDEX('Staff Review'!$G$8:$G$507,I2372)&lt;='Top 15'!$E$5,'Top 15'!$E$5-INDEX('Staff Review'!$G$8:$G$507,I2372)&lt;='Top 15'!$H$5,LEN(INDEX('Staff Review'!$H$8:$H$507,I2372))&gt;0),"Yes","No")))</x:f>
        <x:v>No</x:v>
      </x:c>
      <x:c r="AK2372" s="1" t="n">
        <x:f>IF(A2372="",0,COUNTIFS($A$2:$A$501,A2372))</x:f>
        <x:v>1</x:v>
      </x:c>
      <x:c r="AL2372" s="1" t="n">
        <x:f>IF(V2372="Candidate",1,0)</x:f>
        <x:v>1</x:v>
      </x:c>
      <x:c r="AM2372" s="1" t="n">
        <x:f>IF(A2372="",0,VALUE(A2372))</x:f>
        <x:v>8560</x:v>
      </x:c>
      <x:c r="AN2372" s="1" t="n">
        <x:f>IF(OR(A2372="",COUNTIFS($T$41:$T$540,A2372)&lt;&gt;1),0,MATCH(A2372,$T$41:$T$540,0))</x:f>
        <x:v>322</x:v>
      </x:c>
      <x:c r="AO2372" t="n">
        <x:f>IF(ISNUMBER(W2372),W2372,10000+AM2372)</x:f>
        <x:v>197</x:v>
      </x:c>
    </x:row>
    <x:row r="2373" ht="22" customHeight="1">
      <x:c r="A2373" s="1" t="str">
        <x:f>IF(A324="","",A324)</x:f>
        <x:v>8690</x:v>
      </x:c>
      <x:c r="B2373" s="1" t="str">
        <x:f>IF(A2373="","",B324)</x:f>
        <x:v>Crossroads Accelerated Academy</x:v>
      </x:c>
      <x:c r="C2373" s="1" t="str">
        <x:f>IF(A2373="","",C324)</x:f>
        <x:v>District</x:v>
      </x:c>
      <x:c r="D2373" s="1" t="str">
        <x:f>IF(A2373="","",E324)</x:f>
        <x:v>Transition/Overage School</x:v>
      </x:c>
      <x:c r="E2373" s="1" t="str">
        <x:f>IF(A2373="","",H324)</x:f>
        <x:v>19104</x:v>
      </x:c>
      <x:c r="F2373" s="1" t="n">
        <x:f>IF(ISNUMBER(K324),K324,"")</x:f>
        <x:v>55</x:v>
      </x:c>
      <x:c r="G2373" s="1" t="str">
        <x:f>IF(ISNUMBER(L324),L324,"")</x:f>
      </x:c>
      <x:c r="H2373" s="1" t="str">
        <x:f>IF(A2373="","",IF(AND(UPPER(G324)="PHILADELPHIA",OR(C2373="District",AND(C2373="Charter",D324="Yes"))),"Yes","No"))</x:f>
        <x:v>Yes</x:v>
      </x:c>
      <x:c r="I2373" s="1" t="n">
        <x:f>IF(OR(A2373="",COUNTIFS('Staff Review'!$A$8:$A$507,A2373)&lt;&gt;1),0,MATCH(A2373,'Staff Review'!$A$8:$A$507,0))</x:f>
        <x:v>47</x:v>
      </x:c>
      <x:c r="J2373" s="1" t="str">
        <x:f>IF(I2373=0,"No",IF(INDEX('Staff Review'!$C$8:$C$507,I2373)="Yes","Yes","No"))</x:f>
        <x:v>No</x:v>
      </x:c>
      <x:c r="K2373" s="1" t="n">
        <x:f>IF(AI2373="Yes",INDEX('Staff Review'!$D$8:$D$507,I2373),IF(AB2373=0,"",IF(COUNT(INDEX($C$1531:$C$2030,AB2373))=1,INDEX($C$1531:$C$2030,AB2373),"")))</x:f>
        <x:v>0.66104747662638</x:v>
      </x:c>
      <x:c r="L2373" s="1" t="n">
        <x:f>IF(AJ2373="Yes",INDEX('Staff Review'!$F$8:$F$507,I2373),IF(AB2373=0,"",IF(COUNT(INDEX($G$1531:$G$2030,AB2373))=1,INDEX($G$1531:$G$2030,AB2373),"")))</x:f>
        <x:v>11</x:v>
      </x:c>
      <x:c r="M2373" s="1" t="str">
        <x:f>IF(A2373="","",IF(AI2373="Yes","Verified","Listed"))</x:f>
        <x:v>Listed</x:v>
      </x:c>
      <x:c r="N2373" s="1" t="str">
        <x:f>IF(A2373="","",IF(AJ2373="Yes","Verified","Listed"))</x:f>
        <x:v>Listed</x:v>
      </x:c>
      <x:c r="O2373" s="1" t="str">
        <x:f>IF(AND(ISNUMBER(G2373),G2373&gt;=0,G2373&lt;=1),IF(G2373&gt;=0.9,30,IF(G2373&gt;=0.8,25,IF(G2373&gt;=0.7,20,IF(G2373&gt;=0.6,15,IF(G2373&gt;=0.5,10,IF(G2373&gt;=0.4,5,0)))))),"")</x:f>
      </x:c>
      <x:c r="P2373" s="1" t="n">
        <x:f>IF(ISNUMBER(K2373),IF(K2373&lt;0,"",IF(K2373&gt;1,25,IF(K2373&gt;=0.75,20,IF(K2373&gt;=0.5,15,IF(K2373&gt;=0.25,10,5))))),"")</x:f>
        <x:v>15</x:v>
      </x:c>
      <x:c r="Q2373" s="1" t="n">
        <x:f>IF(NOT(ISNUMBER(L2373)),"",IF(AND(L2373&gt;=0,MOD(L2373,1)=0),MAX(0,25-5*L2373),""))</x:f>
        <x:v>0</x:v>
      </x:c>
      <x:c r="R2373" s="1" t="n">
        <x:f>IF(NOT(ISNUMBER(F2373)),"",IF(AND(F2373&gt;0,MOD(F2373,1)=0),IF(F2373&gt;=700,5,IF(F2373&gt;=500,4,IF(F2373&gt;=350,3,IF(F2373&gt;=200,2,1)))),""))</x:f>
        <x:v>1</x:v>
      </x:c>
      <x:c r="S2373" s="1" t="str">
        <x:f>IF(COUNT(O2373:R2373)=4,SUM(O2373:R2373),"")</x:f>
      </x:c>
      <x:c r="T2373" s="1" t="str">
        <x:f>IF(OR(COUNT(O2373:R2373)&lt;&gt;4,COUNT('Top 15'!$B$35:$E$35)&lt;&gt;4,MIN('Top 15'!$B$35:$E$35)&lt;0,SUM('Top 15'!$B$35:$E$35)&lt;=0),"",ROUND(85*(O2373/30*'Top 15'!$B$35+P2373/25*'Top 15'!$C$35+Q2373/25*'Top 15'!$D$35+R2373/5*'Top 15'!$E$35)/SUM('Top 15'!$B$35:$E$35),6))</x:f>
      </x:c>
      <x:c r="U2373" s="1" t="str">
        <x:f>IF(A2373="","",IF(AND(M2373="Verified",N2373="Verified"),"Verified",IF(AND(M2373="Listed",N2373="Listed"),"Listed","Mixed")))</x:f>
        <x:v>Listed</x:v>
      </x:c>
      <x:c r="V2373" s="1" t="str">
        <x:f>IF(A2373="","",IF(AK2373&lt;&gt;1,"Duplicate source ID",IF(COUNTIFS('Staff Review'!$A$8:$A$507,A2373)&gt;1,"Duplicate review ID",IF(H2373&lt;&gt;"Yes","Outside scope",IF(J2373="Yes","Already served",IF(NOT(ISNUMBER(T2373)),"Missing data","Candidate"))))))</x:f>
        <x:v>Missing data</x:v>
      </x:c>
      <x:c r="W2373" s="1" t="str">
        <x:f>IF(AL2373=0,"",1+COUNTIFS($AL$2051:$AL$2550,1,$T$2051:$T$2550,"&gt;"&amp;T2373)+COUNTIFS($AL$2051:$AL$2550,1,$T$2051:$T$2550,T2373,$G$2051:$G$2550,"&gt;"&amp;G2373)+COUNTIFS($AL$2051:$AL$2550,1,$T$2051:$T$2550,T2373,$G$2051:$G$2550,G2373,$F$2051:$F$2550,"&gt;"&amp;F2373)+COUNTIFS($AL$2051:$AL$2550,1,$T$2051:$T$2550,T2373,$G$2051:$G$2550,G2373,$F$2051:$F$2550,F2373,$AM$2051:$AM$2550,"&lt;"&amp;AM2373))</x:f>
      </x:c>
      <x:c r="X2373" s="1" t="str">
        <x:f>IF(AL2373=0,"",1+COUNTIFS($AL$2051:$AL$2550,1,$T$2051:$T$2550,"&gt;"&amp;T2373))</x:f>
      </x:c>
      <x:c r="Y2373" s="1" t="n">
        <x:f>IF(AND(H2373="Yes",OR(LEN('School Search'!$B$5)=0,ISNUMBER(SEARCH('School Search'!$B$5,B2373&amp;" "&amp;E2373&amp;" "&amp;A2373))),OR('School Search'!$D$5="All",C2373='School Search'!$D$5),OR('School Search'!$G$5="All eligible",AND('School Search'!$G$5="Not marked served",J2373&lt;&gt;"Yes"),AND('School Search'!$G$5="Missing data",V2373="Missing data"),AND('School Search'!$G$5="Marked served",J2373="Yes"))),1,0)</x:f>
        <x:v>1</x:v>
      </x:c>
      <x:c r="Z2373" s="1" t="n">
        <x:f>IF(Y2373=0,"",COUNTIFS($Y$2051:$Y$2550,1,$AO$2051:$AO$2550,"&lt;"&amp;AO2373)+COUNTIFS($Y$2051:Y2373,1,$AO$2051:AO2373,AO2373))</x:f>
        <x:v>304</x:v>
      </x:c>
      <x:c r="AA2373" s="1" t="str">
        <x:f>IF(NOT(ISNUMBER(S2373)),"Missing demographic or access input",TEXT(G2373,"0%")&amp;" economic need; "&amp;TEXT(K2373,"0.00")&amp;" mi fresh access; "&amp;L2373&amp;" nearby resources")</x:f>
        <x:v>Missing demographic or access input</x:v>
      </x:c>
      <x:c r="AB2373" s="1" t="n">
        <x:f>IF(OR(A2373="",COUNTIFS($A$1531:$A$2030,A2373)&lt;&gt;1),0,MATCH(A2373,$A$1531:$A$2030,0))</x:f>
        <x:v>323</x:v>
      </x:c>
      <x:c r="AC2373" s="1" t="str">
        <x:f>IF(AB2373=0,"",INDEX($E$1531:$E$2030,AB2373))</x:f>
        <x:v>Cousin's Fresh Market 2 Inc</x:v>
      </x:c>
      <x:c r="AD2373" s="1" t="str">
        <x:f>IF(AB2373=0,"",INDEX($F$1531:$F$2030,AB2373))</x:f>
        <x:v>5429 W Girard Ave, Philadelphia, PA, 19131</x:v>
      </x:c>
      <x:c r="AE2373" s="1" t="str">
        <x:f>IF(A2373="","",F324)</x:f>
        <x:v>4300 WESTMINSTER AVE</x:v>
      </x:c>
      <x:c r="AF2373" s="1" t="n">
        <x:f>IF(ISNUMBER(I324),I324,"")</x:f>
        <x:v>39.96971371</x:v>
      </x:c>
      <x:c r="AG2373" s="1" t="n">
        <x:f>IF(ISNUMBER(J324),J324,"")</x:f>
        <x:v>-75.21013521</x:v>
      </x:c>
      <x:c r="AH2373" s="1" t="str">
        <x:f>IF(I2373=0,"Not contacted",IF(INDEX('Staff Review'!$J$8:$J$507,I2373)="","Not contacted",INDEX('Staff Review'!$J$8:$J$507,I2373)))</x:f>
        <x:v>Not contacted</x:v>
      </x:c>
      <x:c r="AI2373" s="1" t="str">
        <x:f>IF(I2373=0,"No",IF(AND(COUNT(INDEX('Staff Review'!$D$8:$D$507,I2373))=1,INDEX('Staff Review'!$D$8:$D$507,I2373)&gt;=0,COUNT(INDEX('Staff Review'!$E$8:$E$507,I2373))=1,INDEX('Staff Review'!$E$8:$E$507,I2373)&gt;0,INDEX('Staff Review'!$E$8:$E$507,I2373)&lt;='Top 15'!$E$5,'Top 15'!$E$5-INDEX('Staff Review'!$E$8:$E$507,I2373)&lt;='Top 15'!$H$5,LEN(INDEX('Staff Review'!$H$8:$H$507,I2373))&gt;0),"Yes","No"))</x:f>
        <x:v>No</x:v>
      </x:c>
      <x:c r="AJ2373" s="1" t="str">
        <x:f>IF(I2373=0,"No",IF(COUNT(INDEX('Staff Review'!$F$8:$F$507,I2373))&lt;&gt;1,"No",IF(AND(INDEX('Staff Review'!$F$8:$F$507,I2373)&gt;=0,MOD(INDEX('Staff Review'!$F$8:$F$507,I2373),1)=0,COUNT(INDEX('Staff Review'!$G$8:$G$507,I2373))=1,INDEX('Staff Review'!$G$8:$G$507,I2373)&gt;0,INDEX('Staff Review'!$G$8:$G$507,I2373)&lt;='Top 15'!$E$5,'Top 15'!$E$5-INDEX('Staff Review'!$G$8:$G$507,I2373)&lt;='Top 15'!$H$5,LEN(INDEX('Staff Review'!$H$8:$H$507,I2373))&gt;0),"Yes","No")))</x:f>
        <x:v>No</x:v>
      </x:c>
      <x:c r="AK2373" s="1" t="n">
        <x:f>IF(A2373="",0,COUNTIFS($A$2:$A$501,A2373))</x:f>
        <x:v>1</x:v>
      </x:c>
      <x:c r="AL2373" s="1" t="n">
        <x:f>IF(V2373="Candidate",1,0)</x:f>
        <x:v>0</x:v>
      </x:c>
      <x:c r="AM2373" s="1" t="n">
        <x:f>IF(A2373="",0,VALUE(A2373))</x:f>
        <x:v>8690</x:v>
      </x:c>
      <x:c r="AN2373" s="1" t="n">
        <x:f>IF(OR(A2373="",COUNTIFS($T$41:$T$540,A2373)&lt;&gt;1),0,MATCH(A2373,$T$41:$T$540,0))</x:f>
        <x:v>323</x:v>
      </x:c>
      <x:c r="AO2373" t="n">
        <x:f>IF(ISNUMBER(W2373),W2373,10000+AM2373)</x:f>
        <x:v>18690</x:v>
      </x:c>
    </x:row>
    <x:row r="2374" ht="22" customHeight="1">
      <x:c r="A2374" s="1" t="str">
        <x:f>IF(A325="","",A325)</x:f>
        <x:v>8770</x:v>
      </x:c>
      <x:c r="B2374" s="1" t="str">
        <x:f>IF(A2374="","",B325)</x:f>
        <x:v>Hancock, John Demonstration School</x:v>
      </x:c>
      <x:c r="C2374" s="1" t="str">
        <x:f>IF(A2374="","",C325)</x:f>
        <x:v>District</x:v>
      </x:c>
      <x:c r="D2374" s="1" t="str">
        <x:f>IF(A2374="","",E325)</x:f>
        <x:v>Elementary-Middle</x:v>
      </x:c>
      <x:c r="E2374" s="1" t="str">
        <x:f>IF(A2374="","",H325)</x:f>
        <x:v>19114</x:v>
      </x:c>
      <x:c r="F2374" s="1" t="n">
        <x:f>IF(ISNUMBER(K325),K325,"")</x:f>
        <x:v>869</x:v>
      </x:c>
      <x:c r="G2374" s="1" t="n">
        <x:f>IF(ISNUMBER(L325),L325,"")</x:f>
        <x:v>0.6716</x:v>
      </x:c>
      <x:c r="H2374" s="1" t="str">
        <x:f>IF(A2374="","",IF(AND(UPPER(G325)="PHILADELPHIA",OR(C2374="District",AND(C2374="Charter",D325="Yes"))),"Yes","No"))</x:f>
        <x:v>Yes</x:v>
      </x:c>
      <x:c r="I2374" s="1" t="n">
        <x:f>IF(OR(A2374="",COUNTIFS('Staff Review'!$A$8:$A$507,A2374)&lt;&gt;1),0,MATCH(A2374,'Staff Review'!$A$8:$A$507,0))</x:f>
        <x:v>107</x:v>
      </x:c>
      <x:c r="J2374" s="1" t="str">
        <x:f>IF(I2374=0,"No",IF(INDEX('Staff Review'!$C$8:$C$507,I2374)="Yes","Yes","No"))</x:f>
        <x:v>No</x:v>
      </x:c>
      <x:c r="K2374" s="1" t="n">
        <x:f>IF(AI2374="Yes",INDEX('Staff Review'!$D$8:$D$507,I2374),IF(AB2374=0,"",IF(COUNT(INDEX($C$1531:$C$2030,AB2374))=1,INDEX($C$1531:$C$2030,AB2374),"")))</x:f>
        <x:v>0.337097173993898</x:v>
      </x:c>
      <x:c r="L2374" s="1" t="n">
        <x:f>IF(AJ2374="Yes",INDEX('Staff Review'!$F$8:$F$507,I2374),IF(AB2374=0,"",IF(COUNT(INDEX($G$1531:$G$2030,AB2374))=1,INDEX($G$1531:$G$2030,AB2374),"")))</x:f>
        <x:v>0</x:v>
      </x:c>
      <x:c r="M2374" s="1" t="str">
        <x:f>IF(A2374="","",IF(AI2374="Yes","Verified","Listed"))</x:f>
        <x:v>Listed</x:v>
      </x:c>
      <x:c r="N2374" s="1" t="str">
        <x:f>IF(A2374="","",IF(AJ2374="Yes","Verified","Listed"))</x:f>
        <x:v>Listed</x:v>
      </x:c>
      <x:c r="O2374" s="1" t="n">
        <x:f>IF(AND(ISNUMBER(G2374),G2374&gt;=0,G2374&lt;=1),IF(G2374&gt;=0.9,30,IF(G2374&gt;=0.8,25,IF(G2374&gt;=0.7,20,IF(G2374&gt;=0.6,15,IF(G2374&gt;=0.5,10,IF(G2374&gt;=0.4,5,0)))))),"")</x:f>
        <x:v>15</x:v>
      </x:c>
      <x:c r="P2374" s="1" t="n">
        <x:f>IF(ISNUMBER(K2374),IF(K2374&lt;0,"",IF(K2374&gt;1,25,IF(K2374&gt;=0.75,20,IF(K2374&gt;=0.5,15,IF(K2374&gt;=0.25,10,5))))),"")</x:f>
        <x:v>10</x:v>
      </x:c>
      <x:c r="Q2374" s="1" t="n">
        <x:f>IF(NOT(ISNUMBER(L2374)),"",IF(AND(L2374&gt;=0,MOD(L2374,1)=0),MAX(0,25-5*L2374),""))</x:f>
        <x:v>25</x:v>
      </x:c>
      <x:c r="R2374" s="1" t="n">
        <x:f>IF(NOT(ISNUMBER(F2374)),"",IF(AND(F2374&gt;0,MOD(F2374,1)=0),IF(F2374&gt;=700,5,IF(F2374&gt;=500,4,IF(F2374&gt;=350,3,IF(F2374&gt;=200,2,1)))),""))</x:f>
        <x:v>5</x:v>
      </x:c>
      <x:c r="S2374" s="1" t="n">
        <x:f>IF(COUNT(O2374:R2374)=4,SUM(O2374:R2374),"")</x:f>
        <x:v>55</x:v>
      </x:c>
      <x:c r="T2374" s="1" t="n">
        <x:f>IF(OR(COUNT(O2374:R2374)&lt;&gt;4,COUNT('Top 15'!$B$35:$E$35)&lt;&gt;4,MIN('Top 15'!$B$35:$E$35)&lt;0,SUM('Top 15'!$B$35:$E$35)&lt;=0),"",ROUND(85*(O2374/30*'Top 15'!$B$35+P2374/25*'Top 15'!$C$35+Q2374/25*'Top 15'!$D$35+R2374/5*'Top 15'!$E$35)/SUM('Top 15'!$B$35:$E$35),6))</x:f>
        <x:v>55</x:v>
      </x:c>
      <x:c r="U2374" s="1" t="str">
        <x:f>IF(A2374="","",IF(AND(M2374="Verified",N2374="Verified"),"Verified",IF(AND(M2374="Listed",N2374="Listed"),"Listed","Mixed")))</x:f>
        <x:v>Listed</x:v>
      </x:c>
      <x:c r="V2374" s="1" t="str">
        <x:f>IF(A2374="","",IF(AK2374&lt;&gt;1,"Duplicate source ID",IF(COUNTIFS('Staff Review'!$A$8:$A$507,A2374)&gt;1,"Duplicate review ID",IF(H2374&lt;&gt;"Yes","Outside scope",IF(J2374="Yes","Already served",IF(NOT(ISNUMBER(T2374)),"Missing data","Candidate"))))))</x:f>
        <x:v>Candidate</x:v>
      </x:c>
      <x:c r="W2374" s="1" t="n">
        <x:f>IF(AL2374=0,"",1+COUNTIFS($AL$2051:$AL$2550,1,$T$2051:$T$2550,"&gt;"&amp;T2374)+COUNTIFS($AL$2051:$AL$2550,1,$T$2051:$T$2550,T2374,$G$2051:$G$2550,"&gt;"&amp;G2374)+COUNTIFS($AL$2051:$AL$2550,1,$T$2051:$T$2550,T2374,$G$2051:$G$2550,G2374,$F$2051:$F$2550,"&gt;"&amp;F2374)+COUNTIFS($AL$2051:$AL$2550,1,$T$2051:$T$2550,T2374,$G$2051:$G$2550,G2374,$F$2051:$F$2550,F2374,$AM$2051:$AM$2550,"&lt;"&amp;AM2374))</x:f>
        <x:v>31</x:v>
      </x:c>
      <x:c r="X2374" s="1" t="n">
        <x:f>IF(AL2374=0,"",1+COUNTIFS($AL$2051:$AL$2550,1,$T$2051:$T$2550,"&gt;"&amp;T2374))</x:f>
        <x:v>24</x:v>
      </x:c>
      <x:c r="Y2374" s="1" t="n">
        <x:f>IF(AND(H2374="Yes",OR(LEN('School Search'!$B$5)=0,ISNUMBER(SEARCH('School Search'!$B$5,B2374&amp;" "&amp;E2374&amp;" "&amp;A2374))),OR('School Search'!$D$5="All",C2374='School Search'!$D$5),OR('School Search'!$G$5="All eligible",AND('School Search'!$G$5="Not marked served",J2374&lt;&gt;"Yes"),AND('School Search'!$G$5="Missing data",V2374="Missing data"),AND('School Search'!$G$5="Marked served",J2374="Yes"))),1,0)</x:f>
        <x:v>1</x:v>
      </x:c>
      <x:c r="Z2374" s="1" t="n">
        <x:f>IF(Y2374=0,"",COUNTIFS($Y$2051:$Y$2550,1,$AO$2051:$AO$2550,"&lt;"&amp;AO2374)+COUNTIFS($Y$2051:Y2374,1,$AO$2051:AO2374,AO2374))</x:f>
        <x:v>31</x:v>
      </x:c>
      <x:c r="AA2374" s="1" t="str">
        <x:f>IF(NOT(ISNUMBER(S2374)),"Missing demographic or access input",TEXT(G2374,"0%")&amp;" economic need; "&amp;TEXT(K2374,"0.00")&amp;" mi fresh access; "&amp;L2374&amp;" nearby resources")</x:f>
        <x:v>67% economic need; 0.34 mi fresh access; 0 nearby resources</x:v>
      </x:c>
      <x:c r="AB2374" s="1" t="n">
        <x:f>IF(OR(A2374="",COUNTIFS($A$1531:$A$2030,A2374)&lt;&gt;1),0,MATCH(A2374,$A$1531:$A$2030,0))</x:f>
        <x:v>324</x:v>
      </x:c>
      <x:c r="AC2374" s="1" t="str">
        <x:f>IF(AB2374=0,"",INDEX($E$1531:$E$2030,AB2374))</x:f>
        <x:v>McMenamin Family Shop Rite 450</x:v>
      </x:c>
      <x:c r="AD2374" s="1" t="str">
        <x:f>IF(AB2374=0,"",INDEX($F$1531:$F$2030,AB2374))</x:f>
        <x:v>9910 Frankford Avenue, Philadelphia, PA, 19114</x:v>
      </x:c>
      <x:c r="AE2374" s="1" t="str">
        <x:f>IF(A2374="","",F325)</x:f>
        <x:v>3700 MORRELL AVE</x:v>
      </x:c>
      <x:c r="AF2374" s="1" t="n">
        <x:f>IF(ISNUMBER(I325),I325,"")</x:f>
        <x:v>40.06774728</x:v>
      </x:c>
      <x:c r="AG2374" s="1" t="n">
        <x:f>IF(ISNUMBER(J325),J325,"")</x:f>
        <x:v>-74.98842793</x:v>
      </x:c>
      <x:c r="AH2374" s="1" t="str">
        <x:f>IF(I2374=0,"Not contacted",IF(INDEX('Staff Review'!$J$8:$J$507,I2374)="","Not contacted",INDEX('Staff Review'!$J$8:$J$507,I2374)))</x:f>
        <x:v>Not contacted</x:v>
      </x:c>
      <x:c r="AI2374" s="1" t="str">
        <x:f>IF(I2374=0,"No",IF(AND(COUNT(INDEX('Staff Review'!$D$8:$D$507,I2374))=1,INDEX('Staff Review'!$D$8:$D$507,I2374)&gt;=0,COUNT(INDEX('Staff Review'!$E$8:$E$507,I2374))=1,INDEX('Staff Review'!$E$8:$E$507,I2374)&gt;0,INDEX('Staff Review'!$E$8:$E$507,I2374)&lt;='Top 15'!$E$5,'Top 15'!$E$5-INDEX('Staff Review'!$E$8:$E$507,I2374)&lt;='Top 15'!$H$5,LEN(INDEX('Staff Review'!$H$8:$H$507,I2374))&gt;0),"Yes","No"))</x:f>
        <x:v>No</x:v>
      </x:c>
      <x:c r="AJ2374" s="1" t="str">
        <x:f>IF(I2374=0,"No",IF(COUNT(INDEX('Staff Review'!$F$8:$F$507,I2374))&lt;&gt;1,"No",IF(AND(INDEX('Staff Review'!$F$8:$F$507,I2374)&gt;=0,MOD(INDEX('Staff Review'!$F$8:$F$507,I2374),1)=0,COUNT(INDEX('Staff Review'!$G$8:$G$507,I2374))=1,INDEX('Staff Review'!$G$8:$G$507,I2374)&gt;0,INDEX('Staff Review'!$G$8:$G$507,I2374)&lt;='Top 15'!$E$5,'Top 15'!$E$5-INDEX('Staff Review'!$G$8:$G$507,I2374)&lt;='Top 15'!$H$5,LEN(INDEX('Staff Review'!$H$8:$H$507,I2374))&gt;0),"Yes","No")))</x:f>
        <x:v>No</x:v>
      </x:c>
      <x:c r="AK2374" s="1" t="n">
        <x:f>IF(A2374="",0,COUNTIFS($A$2:$A$501,A2374))</x:f>
        <x:v>1</x:v>
      </x:c>
      <x:c r="AL2374" s="1" t="n">
        <x:f>IF(V2374="Candidate",1,0)</x:f>
        <x:v>1</x:v>
      </x:c>
      <x:c r="AM2374" s="1" t="n">
        <x:f>IF(A2374="",0,VALUE(A2374))</x:f>
        <x:v>8770</x:v>
      </x:c>
      <x:c r="AN2374" s="1" t="n">
        <x:f>IF(OR(A2374="",COUNTIFS($T$41:$T$540,A2374)&lt;&gt;1),0,MATCH(A2374,$T$41:$T$540,0))</x:f>
        <x:v>324</x:v>
      </x:c>
      <x:c r="AO2374" t="n">
        <x:f>IF(ISNUMBER(W2374),W2374,10000+AM2374)</x:f>
        <x:v>31</x:v>
      </x:c>
    </x:row>
    <x:row r="2375" ht="22" customHeight="1">
      <x:c r="A2375" s="1" t="str">
        <x:f>IF(A326="","",A326)</x:f>
        <x:v>8780</x:v>
      </x:c>
      <x:c r="B2375" s="1" t="str">
        <x:f>IF(A2375="","",B326)</x:f>
        <x:v>Philadelphia Virtual Academy</x:v>
      </x:c>
      <x:c r="C2375" s="1" t="str">
        <x:f>IF(A2375="","",C326)</x:f>
        <x:v>District</x:v>
      </x:c>
      <x:c r="D2375" s="1" t="str">
        <x:f>IF(A2375="","",E326)</x:f>
        <x:v>Elementary-Middle-High</x:v>
      </x:c>
      <x:c r="E2375" s="1" t="str">
        <x:f>IF(A2375="","",H326)</x:f>
        <x:v>19130</x:v>
      </x:c>
      <x:c r="F2375" s="1" t="n">
        <x:f>IF(ISNUMBER(K326),K326,"")</x:f>
        <x:v>1174</x:v>
      </x:c>
      <x:c r="G2375" s="1" t="n">
        <x:f>IF(ISNUMBER(L326),L326,"")</x:f>
        <x:v>0</x:v>
      </x:c>
      <x:c r="H2375" s="1" t="str">
        <x:f>IF(A2375="","",IF(AND(UPPER(G326)="PHILADELPHIA",OR(C2375="District",AND(C2375="Charter",D326="Yes"))),"Yes","No"))</x:f>
        <x:v>Yes</x:v>
      </x:c>
      <x:c r="I2375" s="1" t="n">
        <x:f>IF(OR(A2375="",COUNTIFS('Staff Review'!$A$8:$A$507,A2375)&lt;&gt;1),0,MATCH(A2375,'Staff Review'!$A$8:$A$507,0))</x:f>
        <x:v>242</x:v>
      </x:c>
      <x:c r="J2375" s="1" t="str">
        <x:f>IF(I2375=0,"No",IF(INDEX('Staff Review'!$C$8:$C$507,I2375)="Yes","Yes","No"))</x:f>
        <x:v>No</x:v>
      </x:c>
      <x:c r="K2375" s="1" t="n">
        <x:f>IF(AI2375="Yes",INDEX('Staff Review'!$D$8:$D$507,I2375),IF(AB2375=0,"",IF(COUNT(INDEX($C$1531:$C$2030,AB2375))=1,INDEX($C$1531:$C$2030,AB2375),"")))</x:f>
        <x:v>0.1365159900872243</x:v>
      </x:c>
      <x:c r="L2375" s="1" t="n">
        <x:f>IF(AJ2375="Yes",INDEX('Staff Review'!$F$8:$F$507,I2375),IF(AB2375=0,"",IF(COUNT(INDEX($G$1531:$G$2030,AB2375))=1,INDEX($G$1531:$G$2030,AB2375),"")))</x:f>
        <x:v>10</x:v>
      </x:c>
      <x:c r="M2375" s="1" t="str">
        <x:f>IF(A2375="","",IF(AI2375="Yes","Verified","Listed"))</x:f>
        <x:v>Listed</x:v>
      </x:c>
      <x:c r="N2375" s="1" t="str">
        <x:f>IF(A2375="","",IF(AJ2375="Yes","Verified","Listed"))</x:f>
        <x:v>Listed</x:v>
      </x:c>
      <x:c r="O2375" s="1" t="n">
        <x:f>IF(AND(ISNUMBER(G2375),G2375&gt;=0,G2375&lt;=1),IF(G2375&gt;=0.9,30,IF(G2375&gt;=0.8,25,IF(G2375&gt;=0.7,20,IF(G2375&gt;=0.6,15,IF(G2375&gt;=0.5,10,IF(G2375&gt;=0.4,5,0)))))),"")</x:f>
        <x:v>0</x:v>
      </x:c>
      <x:c r="P2375" s="1" t="n">
        <x:f>IF(ISNUMBER(K2375),IF(K2375&lt;0,"",IF(K2375&gt;1,25,IF(K2375&gt;=0.75,20,IF(K2375&gt;=0.5,15,IF(K2375&gt;=0.25,10,5))))),"")</x:f>
        <x:v>5</x:v>
      </x:c>
      <x:c r="Q2375" s="1" t="n">
        <x:f>IF(NOT(ISNUMBER(L2375)),"",IF(AND(L2375&gt;=0,MOD(L2375,1)=0),MAX(0,25-5*L2375),""))</x:f>
        <x:v>0</x:v>
      </x:c>
      <x:c r="R2375" s="1" t="n">
        <x:f>IF(NOT(ISNUMBER(F2375)),"",IF(AND(F2375&gt;0,MOD(F2375,1)=0),IF(F2375&gt;=700,5,IF(F2375&gt;=500,4,IF(F2375&gt;=350,3,IF(F2375&gt;=200,2,1)))),""))</x:f>
        <x:v>5</x:v>
      </x:c>
      <x:c r="S2375" s="1" t="n">
        <x:f>IF(COUNT(O2375:R2375)=4,SUM(O2375:R2375),"")</x:f>
        <x:v>10</x:v>
      </x:c>
      <x:c r="T2375" s="1" t="n">
        <x:f>IF(OR(COUNT(O2375:R2375)&lt;&gt;4,COUNT('Top 15'!$B$35:$E$35)&lt;&gt;4,MIN('Top 15'!$B$35:$E$35)&lt;0,SUM('Top 15'!$B$35:$E$35)&lt;=0),"",ROUND(85*(O2375/30*'Top 15'!$B$35+P2375/25*'Top 15'!$C$35+Q2375/25*'Top 15'!$D$35+R2375/5*'Top 15'!$E$35)/SUM('Top 15'!$B$35:$E$35),6))</x:f>
        <x:v>10</x:v>
      </x:c>
      <x:c r="U2375" s="1" t="str">
        <x:f>IF(A2375="","",IF(AND(M2375="Verified",N2375="Verified"),"Verified",IF(AND(M2375="Listed",N2375="Listed"),"Listed","Mixed")))</x:f>
        <x:v>Listed</x:v>
      </x:c>
      <x:c r="V2375" s="1" t="str">
        <x:f>IF(A2375="","",IF(AK2375&lt;&gt;1,"Duplicate source ID",IF(COUNTIFS('Staff Review'!$A$8:$A$507,A2375)&gt;1,"Duplicate review ID",IF(H2375&lt;&gt;"Yes","Outside scope",IF(J2375="Yes","Already served",IF(NOT(ISNUMBER(T2375)),"Missing data","Candidate"))))))</x:f>
        <x:v>Candidate</x:v>
      </x:c>
      <x:c r="W2375" s="1" t="n">
        <x:f>IF(AL2375=0,"",1+COUNTIFS($AL$2051:$AL$2550,1,$T$2051:$T$2550,"&gt;"&amp;T2375)+COUNTIFS($AL$2051:$AL$2550,1,$T$2051:$T$2550,T2375,$G$2051:$G$2550,"&gt;"&amp;G2375)+COUNTIFS($AL$2051:$AL$2550,1,$T$2051:$T$2550,T2375,$G$2051:$G$2550,G2375,$F$2051:$F$2550,"&gt;"&amp;F2375)+COUNTIFS($AL$2051:$AL$2550,1,$T$2051:$T$2550,T2375,$G$2051:$G$2550,G2375,$F$2051:$F$2550,F2375,$AM$2051:$AM$2550,"&lt;"&amp;AM2375))</x:f>
        <x:v>292</x:v>
      </x:c>
      <x:c r="X2375" s="1" t="n">
        <x:f>IF(AL2375=0,"",1+COUNTIFS($AL$2051:$AL$2550,1,$T$2051:$T$2550,"&gt;"&amp;T2375))</x:f>
        <x:v>290</x:v>
      </x:c>
      <x:c r="Y2375" s="1" t="n">
        <x:f>IF(AND(H2375="Yes",OR(LEN('School Search'!$B$5)=0,ISNUMBER(SEARCH('School Search'!$B$5,B2375&amp;" "&amp;E2375&amp;" "&amp;A2375))),OR('School Search'!$D$5="All",C2375='School Search'!$D$5),OR('School Search'!$G$5="All eligible",AND('School Search'!$G$5="Not marked served",J2375&lt;&gt;"Yes"),AND('School Search'!$G$5="Missing data",V2375="Missing data"),AND('School Search'!$G$5="Marked served",J2375="Yes"))),1,0)</x:f>
        <x:v>1</x:v>
      </x:c>
      <x:c r="Z2375" s="1" t="n">
        <x:f>IF(Y2375=0,"",COUNTIFS($Y$2051:$Y$2550,1,$AO$2051:$AO$2550,"&lt;"&amp;AO2375)+COUNTIFS($Y$2051:Y2375,1,$AO$2051:AO2375,AO2375))</x:f>
        <x:v>292</x:v>
      </x:c>
      <x:c r="AA2375" s="1" t="str">
        <x:f>IF(NOT(ISNUMBER(S2375)),"Missing demographic or access input",TEXT(G2375,"0%")&amp;" economic need; "&amp;TEXT(K2375,"0.00")&amp;" mi fresh access; "&amp;L2375&amp;" nearby resources")</x:f>
        <x:v>0% economic need; 0.14 mi fresh access; 10 nearby resources</x:v>
      </x:c>
      <x:c r="AB2375" s="1" t="n">
        <x:f>IF(OR(A2375="",COUNTIFS($A$1531:$A$2030,A2375)&lt;&gt;1),0,MATCH(A2375,$A$1531:$A$2030,0))</x:f>
        <x:v>325</x:v>
      </x:c>
      <x:c r="AC2375" s="1" t="str">
        <x:f>IF(AB2375=0,"",INDEX($E$1531:$E$2030,AB2375))</x:f>
        <x:v>Giant Food Store 6573</x:v>
      </x:c>
      <x:c r="AD2375" s="1" t="str">
        <x:f>IF(AB2375=0,"",INDEX($F$1531:$F$2030,AB2375))</x:f>
        <x:v>510 N Broad St, Philadelphia, PA, 19130</x:v>
      </x:c>
      <x:c r="AE2375" s="1" t="str">
        <x:f>IF(A2375="","",F326)</x:f>
        <x:v>440 N BROAD ST</x:v>
      </x:c>
      <x:c r="AF2375" s="1" t="n">
        <x:f>IF(ISNUMBER(I326),I326,"")</x:f>
        <x:v>39.96102159</x:v>
      </x:c>
      <x:c r="AG2375" s="1" t="n">
        <x:f>IF(ISNUMBER(J326),J326,"")</x:f>
        <x:v>-75.16264405</x:v>
      </x:c>
      <x:c r="AH2375" s="1" t="str">
        <x:f>IF(I2375=0,"Not contacted",IF(INDEX('Staff Review'!$J$8:$J$507,I2375)="","Not contacted",INDEX('Staff Review'!$J$8:$J$507,I2375)))</x:f>
        <x:v>Not contacted</x:v>
      </x:c>
      <x:c r="AI2375" s="1" t="str">
        <x:f>IF(I2375=0,"No",IF(AND(COUNT(INDEX('Staff Review'!$D$8:$D$507,I2375))=1,INDEX('Staff Review'!$D$8:$D$507,I2375)&gt;=0,COUNT(INDEX('Staff Review'!$E$8:$E$507,I2375))=1,INDEX('Staff Review'!$E$8:$E$507,I2375)&gt;0,INDEX('Staff Review'!$E$8:$E$507,I2375)&lt;='Top 15'!$E$5,'Top 15'!$E$5-INDEX('Staff Review'!$E$8:$E$507,I2375)&lt;='Top 15'!$H$5,LEN(INDEX('Staff Review'!$H$8:$H$507,I2375))&gt;0),"Yes","No"))</x:f>
        <x:v>No</x:v>
      </x:c>
      <x:c r="AJ2375" s="1" t="str">
        <x:f>IF(I2375=0,"No",IF(COUNT(INDEX('Staff Review'!$F$8:$F$507,I2375))&lt;&gt;1,"No",IF(AND(INDEX('Staff Review'!$F$8:$F$507,I2375)&gt;=0,MOD(INDEX('Staff Review'!$F$8:$F$507,I2375),1)=0,COUNT(INDEX('Staff Review'!$G$8:$G$507,I2375))=1,INDEX('Staff Review'!$G$8:$G$507,I2375)&gt;0,INDEX('Staff Review'!$G$8:$G$507,I2375)&lt;='Top 15'!$E$5,'Top 15'!$E$5-INDEX('Staff Review'!$G$8:$G$507,I2375)&lt;='Top 15'!$H$5,LEN(INDEX('Staff Review'!$H$8:$H$507,I2375))&gt;0),"Yes","No")))</x:f>
        <x:v>No</x:v>
      </x:c>
      <x:c r="AK2375" s="1" t="n">
        <x:f>IF(A2375="",0,COUNTIFS($A$2:$A$501,A2375))</x:f>
        <x:v>1</x:v>
      </x:c>
      <x:c r="AL2375" s="1" t="n">
        <x:f>IF(V2375="Candidate",1,0)</x:f>
        <x:v>1</x:v>
      </x:c>
      <x:c r="AM2375" s="1" t="n">
        <x:f>IF(A2375="",0,VALUE(A2375))</x:f>
        <x:v>8780</x:v>
      </x:c>
      <x:c r="AN2375" s="1" t="n">
        <x:f>IF(OR(A2375="",COUNTIFS($T$41:$T$540,A2375)&lt;&gt;1),0,MATCH(A2375,$T$41:$T$540,0))</x:f>
        <x:v>325</x:v>
      </x:c>
      <x:c r="AO2375" t="n">
        <x:f>IF(ISNUMBER(W2375),W2375,10000+AM2375)</x:f>
        <x:v>292</x:v>
      </x:c>
    </x:row>
    <x:row r="2376" ht="22" customHeight="1">
      <x:c r="A2376" s="1" t="str">
        <x:f>IF(A327="","",A327)</x:f>
        <x:v>8860</x:v>
      </x:c>
      <x:c r="B2376" s="1" t="str">
        <x:f>IF(A2376="","",B327)</x:f>
        <x:v>One Bright Ray - Mansion</x:v>
      </x:c>
      <x:c r="C2376" s="1" t="str">
        <x:f>IF(A2376="","",C327)</x:f>
        <x:v>Contracted</x:v>
      </x:c>
      <x:c r="D2376" s="1" t="str">
        <x:f>IF(A2376="","",E327)</x:f>
        <x:v>Transition/Overage School</x:v>
      </x:c>
      <x:c r="E2376" s="1" t="str">
        <x:f>IF(A2376="","",H327)</x:f>
        <x:v>19121</x:v>
      </x:c>
      <x:c r="F2376" s="1" t="n">
        <x:f>IF(ISNUMBER(K327),K327,"")</x:f>
        <x:v>105</x:v>
      </x:c>
      <x:c r="G2376" s="1" t="str">
        <x:f>IF(ISNUMBER(L327),L327,"")</x:f>
      </x:c>
      <x:c r="H2376" s="1" t="str">
        <x:f>IF(A2376="","",IF(AND(UPPER(G327)="PHILADELPHIA",OR(C2376="District",AND(C2376="Charter",D327="Yes"))),"Yes","No"))</x:f>
        <x:v>No</x:v>
      </x:c>
      <x:c r="I2376" s="1" t="n">
        <x:f>IF(OR(A2376="",COUNTIFS('Staff Review'!$A$8:$A$507,A2376)&lt;&gt;1),0,MATCH(A2376,'Staff Review'!$A$8:$A$507,0))</x:f>
        <x:v>215</x:v>
      </x:c>
      <x:c r="J2376" s="1" t="str">
        <x:f>IF(I2376=0,"No",IF(INDEX('Staff Review'!$C$8:$C$507,I2376)="Yes","Yes","No"))</x:f>
        <x:v>No</x:v>
      </x:c>
      <x:c r="K2376" s="1" t="n">
        <x:f>IF(AI2376="Yes",INDEX('Staff Review'!$D$8:$D$507,I2376),IF(AB2376=0,"",IF(COUNT(INDEX($C$1531:$C$2030,AB2376))=1,INDEX($C$1531:$C$2030,AB2376),"")))</x:f>
        <x:v>0.325702508834255</x:v>
      </x:c>
      <x:c r="L2376" s="1" t="n">
        <x:f>IF(AJ2376="Yes",INDEX('Staff Review'!$F$8:$F$507,I2376),IF(AB2376=0,"",IF(COUNT(INDEX($G$1531:$G$2030,AB2376))=1,INDEX($G$1531:$G$2030,AB2376),"")))</x:f>
        <x:v>12</x:v>
      </x:c>
      <x:c r="M2376" s="1" t="str">
        <x:f>IF(A2376="","",IF(AI2376="Yes","Verified","Listed"))</x:f>
        <x:v>Listed</x:v>
      </x:c>
      <x:c r="N2376" s="1" t="str">
        <x:f>IF(A2376="","",IF(AJ2376="Yes","Verified","Listed"))</x:f>
        <x:v>Listed</x:v>
      </x:c>
      <x:c r="O2376" s="1" t="str">
        <x:f>IF(AND(ISNUMBER(G2376),G2376&gt;=0,G2376&lt;=1),IF(G2376&gt;=0.9,30,IF(G2376&gt;=0.8,25,IF(G2376&gt;=0.7,20,IF(G2376&gt;=0.6,15,IF(G2376&gt;=0.5,10,IF(G2376&gt;=0.4,5,0)))))),"")</x:f>
      </x:c>
      <x:c r="P2376" s="1" t="n">
        <x:f>IF(ISNUMBER(K2376),IF(K2376&lt;0,"",IF(K2376&gt;1,25,IF(K2376&gt;=0.75,20,IF(K2376&gt;=0.5,15,IF(K2376&gt;=0.25,10,5))))),"")</x:f>
        <x:v>10</x:v>
      </x:c>
      <x:c r="Q2376" s="1" t="n">
        <x:f>IF(NOT(ISNUMBER(L2376)),"",IF(AND(L2376&gt;=0,MOD(L2376,1)=0),MAX(0,25-5*L2376),""))</x:f>
        <x:v>0</x:v>
      </x:c>
      <x:c r="R2376" s="1" t="n">
        <x:f>IF(NOT(ISNUMBER(F2376)),"",IF(AND(F2376&gt;0,MOD(F2376,1)=0),IF(F2376&gt;=700,5,IF(F2376&gt;=500,4,IF(F2376&gt;=350,3,IF(F2376&gt;=200,2,1)))),""))</x:f>
        <x:v>1</x:v>
      </x:c>
      <x:c r="S2376" s="1" t="str">
        <x:f>IF(COUNT(O2376:R2376)=4,SUM(O2376:R2376),"")</x:f>
      </x:c>
      <x:c r="T2376" s="1" t="str">
        <x:f>IF(OR(COUNT(O2376:R2376)&lt;&gt;4,COUNT('Top 15'!$B$35:$E$35)&lt;&gt;4,MIN('Top 15'!$B$35:$E$35)&lt;0,SUM('Top 15'!$B$35:$E$35)&lt;=0),"",ROUND(85*(O2376/30*'Top 15'!$B$35+P2376/25*'Top 15'!$C$35+Q2376/25*'Top 15'!$D$35+R2376/5*'Top 15'!$E$35)/SUM('Top 15'!$B$35:$E$35),6))</x:f>
      </x:c>
      <x:c r="U2376" s="1" t="str">
        <x:f>IF(A2376="","",IF(AND(M2376="Verified",N2376="Verified"),"Verified",IF(AND(M2376="Listed",N2376="Listed"),"Listed","Mixed")))</x:f>
        <x:v>Listed</x:v>
      </x:c>
      <x:c r="V2376" s="1" t="str">
        <x:f>IF(A2376="","",IF(AK2376&lt;&gt;1,"Duplicate source ID",IF(COUNTIFS('Staff Review'!$A$8:$A$507,A2376)&gt;1,"Duplicate review ID",IF(H2376&lt;&gt;"Yes","Outside scope",IF(J2376="Yes","Already served",IF(NOT(ISNUMBER(T2376)),"Missing data","Candidate"))))))</x:f>
        <x:v>Outside scope</x:v>
      </x:c>
      <x:c r="W2376" s="1" t="str">
        <x:f>IF(AL2376=0,"",1+COUNTIFS($AL$2051:$AL$2550,1,$T$2051:$T$2550,"&gt;"&amp;T2376)+COUNTIFS($AL$2051:$AL$2550,1,$T$2051:$T$2550,T2376,$G$2051:$G$2550,"&gt;"&amp;G2376)+COUNTIFS($AL$2051:$AL$2550,1,$T$2051:$T$2550,T2376,$G$2051:$G$2550,G2376,$F$2051:$F$2550,"&gt;"&amp;F2376)+COUNTIFS($AL$2051:$AL$2550,1,$T$2051:$T$2550,T2376,$G$2051:$G$2550,G2376,$F$2051:$F$2550,F2376,$AM$2051:$AM$2550,"&lt;"&amp;AM2376))</x:f>
      </x:c>
      <x:c r="X2376" s="1" t="str">
        <x:f>IF(AL2376=0,"",1+COUNTIFS($AL$2051:$AL$2550,1,$T$2051:$T$2550,"&gt;"&amp;T2376))</x:f>
      </x:c>
      <x:c r="Y2376" s="1" t="n">
        <x:f>IF(AND(H2376="Yes",OR(LEN('School Search'!$B$5)=0,ISNUMBER(SEARCH('School Search'!$B$5,B2376&amp;" "&amp;E2376&amp;" "&amp;A2376))),OR('School Search'!$D$5="All",C2376='School Search'!$D$5),OR('School Search'!$G$5="All eligible",AND('School Search'!$G$5="Not marked served",J2376&lt;&gt;"Yes"),AND('School Search'!$G$5="Missing data",V2376="Missing data"),AND('School Search'!$G$5="Marked served",J2376="Yes"))),1,0)</x:f>
        <x:v>0</x:v>
      </x:c>
      <x:c r="Z2376" s="1" t="str">
        <x:f>IF(Y2376=0,"",COUNTIFS($Y$2051:$Y$2550,1,$AO$2051:$AO$2550,"&lt;"&amp;AO2376)+COUNTIFS($Y$2051:Y2376,1,$AO$2051:AO2376,AO2376))</x:f>
      </x:c>
      <x:c r="AA2376" s="1" t="str">
        <x:f>IF(NOT(ISNUMBER(S2376)),"Missing demographic or access input",TEXT(G2376,"0%")&amp;" economic need; "&amp;TEXT(K2376,"0.00")&amp;" mi fresh access; "&amp;L2376&amp;" nearby resources")</x:f>
        <x:v>Missing demographic or access input</x:v>
      </x:c>
      <x:c r="AB2376" s="1" t="n">
        <x:f>IF(OR(A2376="",COUNTIFS($A$1531:$A$2030,A2376)&lt;&gt;1),0,MATCH(A2376,$A$1531:$A$2030,0))</x:f>
        <x:v>326</x:v>
      </x:c>
      <x:c r="AC2376" s="1" t="str">
        <x:f>IF(AB2376=0,"",INDEX($E$1531:$E$2030,AB2376))</x:f>
        <x:v>SAVE-A-LOT 60146</x:v>
      </x:c>
      <x:c r="AD2376" s="1" t="str">
        <x:f>IF(AB2376=0,"",INDEX($F$1531:$F$2030,AB2376))</x:f>
        <x:v>2801 W Dauphin St, Philadelphia, PA, 19132</x:v>
      </x:c>
      <x:c r="AE2376" s="1" t="str">
        <x:f>IF(A2376="","",F327)</x:f>
        <x:v>3133 RIDGE AVE</x:v>
      </x:c>
      <x:c r="AF2376" s="1" t="n">
        <x:f>IF(ISNUMBER(I327),I327,"")</x:f>
        <x:v>39.99074371</x:v>
      </x:c>
      <x:c r="AG2376" s="1" t="n">
        <x:f>IF(ISNUMBER(J327),J327,"")</x:f>
        <x:v>-75.18402464</x:v>
      </x:c>
      <x:c r="AH2376" s="1" t="str">
        <x:f>IF(I2376=0,"Not contacted",IF(INDEX('Staff Review'!$J$8:$J$507,I2376)="","Not contacted",INDEX('Staff Review'!$J$8:$J$507,I2376)))</x:f>
        <x:v>Not contacted</x:v>
      </x:c>
      <x:c r="AI2376" s="1" t="str">
        <x:f>IF(I2376=0,"No",IF(AND(COUNT(INDEX('Staff Review'!$D$8:$D$507,I2376))=1,INDEX('Staff Review'!$D$8:$D$507,I2376)&gt;=0,COUNT(INDEX('Staff Review'!$E$8:$E$507,I2376))=1,INDEX('Staff Review'!$E$8:$E$507,I2376)&gt;0,INDEX('Staff Review'!$E$8:$E$507,I2376)&lt;='Top 15'!$E$5,'Top 15'!$E$5-INDEX('Staff Review'!$E$8:$E$507,I2376)&lt;='Top 15'!$H$5,LEN(INDEX('Staff Review'!$H$8:$H$507,I2376))&gt;0),"Yes","No"))</x:f>
        <x:v>No</x:v>
      </x:c>
      <x:c r="AJ2376" s="1" t="str">
        <x:f>IF(I2376=0,"No",IF(COUNT(INDEX('Staff Review'!$F$8:$F$507,I2376))&lt;&gt;1,"No",IF(AND(INDEX('Staff Review'!$F$8:$F$507,I2376)&gt;=0,MOD(INDEX('Staff Review'!$F$8:$F$507,I2376),1)=0,COUNT(INDEX('Staff Review'!$G$8:$G$507,I2376))=1,INDEX('Staff Review'!$G$8:$G$507,I2376)&gt;0,INDEX('Staff Review'!$G$8:$G$507,I2376)&lt;='Top 15'!$E$5,'Top 15'!$E$5-INDEX('Staff Review'!$G$8:$G$507,I2376)&lt;='Top 15'!$H$5,LEN(INDEX('Staff Review'!$H$8:$H$507,I2376))&gt;0),"Yes","No")))</x:f>
        <x:v>No</x:v>
      </x:c>
      <x:c r="AK2376" s="1" t="n">
        <x:f>IF(A2376="",0,COUNTIFS($A$2:$A$501,A2376))</x:f>
        <x:v>1</x:v>
      </x:c>
      <x:c r="AL2376" s="1" t="n">
        <x:f>IF(V2376="Candidate",1,0)</x:f>
        <x:v>0</x:v>
      </x:c>
      <x:c r="AM2376" s="1" t="n">
        <x:f>IF(A2376="",0,VALUE(A2376))</x:f>
        <x:v>8860</x:v>
      </x:c>
      <x:c r="AN2376" s="1" t="n">
        <x:f>IF(OR(A2376="",COUNTIFS($T$41:$T$540,A2376)&lt;&gt;1),0,MATCH(A2376,$T$41:$T$540,0))</x:f>
        <x:v>326</x:v>
      </x:c>
      <x:c r="AO2376" t="n">
        <x:f>IF(ISNUMBER(W2376),W2376,10000+AM2376)</x:f>
        <x:v>18860</x:v>
      </x:c>
    </x:row>
    <x:row r="2377" ht="22" customHeight="1">
      <x:c r="A2377" s="1" t="str">
        <x:f>IF(A328="","",A328)</x:f>
        <x:v>8890</x:v>
      </x:c>
      <x:c r="B2377" s="1" t="str">
        <x:f>IF(A2377="","",B328)</x:f>
        <x:v>One Bright Ray - Simpson</x:v>
      </x:c>
      <x:c r="C2377" s="1" t="str">
        <x:f>IF(A2377="","",C328)</x:f>
        <x:v>Contracted</x:v>
      </x:c>
      <x:c r="D2377" s="1" t="str">
        <x:f>IF(A2377="","",E328)</x:f>
        <x:v>Transition/Overage School</x:v>
      </x:c>
      <x:c r="E2377" s="1" t="str">
        <x:f>IF(A2377="","",H328)</x:f>
        <x:v>19124</x:v>
      </x:c>
      <x:c r="F2377" s="1" t="n">
        <x:f>IF(ISNUMBER(K328),K328,"")</x:f>
        <x:v>226</x:v>
      </x:c>
      <x:c r="G2377" s="1" t="str">
        <x:f>IF(ISNUMBER(L328),L328,"")</x:f>
      </x:c>
      <x:c r="H2377" s="1" t="str">
        <x:f>IF(A2377="","",IF(AND(UPPER(G328)="PHILADELPHIA",OR(C2377="District",AND(C2377="Charter",D328="Yes"))),"Yes","No"))</x:f>
        <x:v>No</x:v>
      </x:c>
      <x:c r="I2377" s="1" t="n">
        <x:f>IF(OR(A2377="",COUNTIFS('Staff Review'!$A$8:$A$507,A2377)&lt;&gt;1),0,MATCH(A2377,'Staff Review'!$A$8:$A$507,0))</x:f>
        <x:v>216</x:v>
      </x:c>
      <x:c r="J2377" s="1" t="str">
        <x:f>IF(I2377=0,"No",IF(INDEX('Staff Review'!$C$8:$C$507,I2377)="Yes","Yes","No"))</x:f>
        <x:v>No</x:v>
      </x:c>
      <x:c r="K2377" s="1" t="n">
        <x:f>IF(AI2377="Yes",INDEX('Staff Review'!$D$8:$D$507,I2377),IF(AB2377=0,"",IF(COUNT(INDEX($C$1531:$C$2030,AB2377))=1,INDEX($C$1531:$C$2030,AB2377),"")))</x:f>
        <x:v>0.06493995312417583</x:v>
      </x:c>
      <x:c r="L2377" s="1" t="n">
        <x:f>IF(AJ2377="Yes",INDEX('Staff Review'!$F$8:$F$507,I2377),IF(AB2377=0,"",IF(COUNT(INDEX($G$1531:$G$2030,AB2377))=1,INDEX($G$1531:$G$2030,AB2377),"")))</x:f>
        <x:v>7</x:v>
      </x:c>
      <x:c r="M2377" s="1" t="str">
        <x:f>IF(A2377="","",IF(AI2377="Yes","Verified","Listed"))</x:f>
        <x:v>Listed</x:v>
      </x:c>
      <x:c r="N2377" s="1" t="str">
        <x:f>IF(A2377="","",IF(AJ2377="Yes","Verified","Listed"))</x:f>
        <x:v>Listed</x:v>
      </x:c>
      <x:c r="O2377" s="1" t="str">
        <x:f>IF(AND(ISNUMBER(G2377),G2377&gt;=0,G2377&lt;=1),IF(G2377&gt;=0.9,30,IF(G2377&gt;=0.8,25,IF(G2377&gt;=0.7,20,IF(G2377&gt;=0.6,15,IF(G2377&gt;=0.5,10,IF(G2377&gt;=0.4,5,0)))))),"")</x:f>
      </x:c>
      <x:c r="P2377" s="1" t="n">
        <x:f>IF(ISNUMBER(K2377),IF(K2377&lt;0,"",IF(K2377&gt;1,25,IF(K2377&gt;=0.75,20,IF(K2377&gt;=0.5,15,IF(K2377&gt;=0.25,10,5))))),"")</x:f>
        <x:v>5</x:v>
      </x:c>
      <x:c r="Q2377" s="1" t="n">
        <x:f>IF(NOT(ISNUMBER(L2377)),"",IF(AND(L2377&gt;=0,MOD(L2377,1)=0),MAX(0,25-5*L2377),""))</x:f>
        <x:v>0</x:v>
      </x:c>
      <x:c r="R2377" s="1" t="n">
        <x:f>IF(NOT(ISNUMBER(F2377)),"",IF(AND(F2377&gt;0,MOD(F2377,1)=0),IF(F2377&gt;=700,5,IF(F2377&gt;=500,4,IF(F2377&gt;=350,3,IF(F2377&gt;=200,2,1)))),""))</x:f>
        <x:v>2</x:v>
      </x:c>
      <x:c r="S2377" s="1" t="str">
        <x:f>IF(COUNT(O2377:R2377)=4,SUM(O2377:R2377),"")</x:f>
      </x:c>
      <x:c r="T2377" s="1" t="str">
        <x:f>IF(OR(COUNT(O2377:R2377)&lt;&gt;4,COUNT('Top 15'!$B$35:$E$35)&lt;&gt;4,MIN('Top 15'!$B$35:$E$35)&lt;0,SUM('Top 15'!$B$35:$E$35)&lt;=0),"",ROUND(85*(O2377/30*'Top 15'!$B$35+P2377/25*'Top 15'!$C$35+Q2377/25*'Top 15'!$D$35+R2377/5*'Top 15'!$E$35)/SUM('Top 15'!$B$35:$E$35),6))</x:f>
      </x:c>
      <x:c r="U2377" s="1" t="str">
        <x:f>IF(A2377="","",IF(AND(M2377="Verified",N2377="Verified"),"Verified",IF(AND(M2377="Listed",N2377="Listed"),"Listed","Mixed")))</x:f>
        <x:v>Listed</x:v>
      </x:c>
      <x:c r="V2377" s="1" t="str">
        <x:f>IF(A2377="","",IF(AK2377&lt;&gt;1,"Duplicate source ID",IF(COUNTIFS('Staff Review'!$A$8:$A$507,A2377)&gt;1,"Duplicate review ID",IF(H2377&lt;&gt;"Yes","Outside scope",IF(J2377="Yes","Already served",IF(NOT(ISNUMBER(T2377)),"Missing data","Candidate"))))))</x:f>
        <x:v>Outside scope</x:v>
      </x:c>
      <x:c r="W2377" s="1" t="str">
        <x:f>IF(AL2377=0,"",1+COUNTIFS($AL$2051:$AL$2550,1,$T$2051:$T$2550,"&gt;"&amp;T2377)+COUNTIFS($AL$2051:$AL$2550,1,$T$2051:$T$2550,T2377,$G$2051:$G$2550,"&gt;"&amp;G2377)+COUNTIFS($AL$2051:$AL$2550,1,$T$2051:$T$2550,T2377,$G$2051:$G$2550,G2377,$F$2051:$F$2550,"&gt;"&amp;F2377)+COUNTIFS($AL$2051:$AL$2550,1,$T$2051:$T$2550,T2377,$G$2051:$G$2550,G2377,$F$2051:$F$2550,F2377,$AM$2051:$AM$2550,"&lt;"&amp;AM2377))</x:f>
      </x:c>
      <x:c r="X2377" s="1" t="str">
        <x:f>IF(AL2377=0,"",1+COUNTIFS($AL$2051:$AL$2550,1,$T$2051:$T$2550,"&gt;"&amp;T2377))</x:f>
      </x:c>
      <x:c r="Y2377" s="1" t="n">
        <x:f>IF(AND(H2377="Yes",OR(LEN('School Search'!$B$5)=0,ISNUMBER(SEARCH('School Search'!$B$5,B2377&amp;" "&amp;E2377&amp;" "&amp;A2377))),OR('School Search'!$D$5="All",C2377='School Search'!$D$5),OR('School Search'!$G$5="All eligible",AND('School Search'!$G$5="Not marked served",J2377&lt;&gt;"Yes"),AND('School Search'!$G$5="Missing data",V2377="Missing data"),AND('School Search'!$G$5="Marked served",J2377="Yes"))),1,0)</x:f>
        <x:v>0</x:v>
      </x:c>
      <x:c r="Z2377" s="1" t="str">
        <x:f>IF(Y2377=0,"",COUNTIFS($Y$2051:$Y$2550,1,$AO$2051:$AO$2550,"&lt;"&amp;AO2377)+COUNTIFS($Y$2051:Y2377,1,$AO$2051:AO2377,AO2377))</x:f>
      </x:c>
      <x:c r="AA2377" s="1" t="str">
        <x:f>IF(NOT(ISNUMBER(S2377)),"Missing demographic or access input",TEXT(G2377,"0%")&amp;" economic need; "&amp;TEXT(K2377,"0.00")&amp;" mi fresh access; "&amp;L2377&amp;" nearby resources")</x:f>
        <x:v>Missing demographic or access input</x:v>
      </x:c>
      <x:c r="AB2377" s="1" t="n">
        <x:f>IF(OR(A2377="",COUNTIFS($A$1531:$A$2030,A2377)&lt;&gt;1),0,MATCH(A2377,$A$1531:$A$2030,0))</x:f>
        <x:v>327</x:v>
      </x:c>
      <x:c r="AC2377" s="1" t="str">
        <x:f>IF(AB2377=0,"",INDEX($E$1531:$E$2030,AB2377))</x:f>
        <x:v>Pa Fair Farm Food Corp/Fine Fare Supermarket</x:v>
      </x:c>
      <x:c r="AD2377" s="1" t="str">
        <x:f>IF(AB2377=0,"",INDEX($F$1531:$F$2030,AB2377))</x:f>
        <x:v>1240 E Erie Ave, Philadelphia, PA, 19124</x:v>
      </x:c>
      <x:c r="AE2377" s="1" t="str">
        <x:f>IF(A2377="","",F328)</x:f>
        <x:v>1142 E ERIE AVE</x:v>
      </x:c>
      <x:c r="AF2377" s="1" t="n">
        <x:f>IF(ISNUMBER(I328),I328,"")</x:f>
        <x:v>40.00528</x:v>
      </x:c>
      <x:c r="AG2377" s="1" t="n">
        <x:f>IF(ISNUMBER(J328),J328,"")</x:f>
        <x:v>-75.10560096</x:v>
      </x:c>
      <x:c r="AH2377" s="1" t="str">
        <x:f>IF(I2377=0,"Not contacted",IF(INDEX('Staff Review'!$J$8:$J$507,I2377)="","Not contacted",INDEX('Staff Review'!$J$8:$J$507,I2377)))</x:f>
        <x:v>Not contacted</x:v>
      </x:c>
      <x:c r="AI2377" s="1" t="str">
        <x:f>IF(I2377=0,"No",IF(AND(COUNT(INDEX('Staff Review'!$D$8:$D$507,I2377))=1,INDEX('Staff Review'!$D$8:$D$507,I2377)&gt;=0,COUNT(INDEX('Staff Review'!$E$8:$E$507,I2377))=1,INDEX('Staff Review'!$E$8:$E$507,I2377)&gt;0,INDEX('Staff Review'!$E$8:$E$507,I2377)&lt;='Top 15'!$E$5,'Top 15'!$E$5-INDEX('Staff Review'!$E$8:$E$507,I2377)&lt;='Top 15'!$H$5,LEN(INDEX('Staff Review'!$H$8:$H$507,I2377))&gt;0),"Yes","No"))</x:f>
        <x:v>No</x:v>
      </x:c>
      <x:c r="AJ2377" s="1" t="str">
        <x:f>IF(I2377=0,"No",IF(COUNT(INDEX('Staff Review'!$F$8:$F$507,I2377))&lt;&gt;1,"No",IF(AND(INDEX('Staff Review'!$F$8:$F$507,I2377)&gt;=0,MOD(INDEX('Staff Review'!$F$8:$F$507,I2377),1)=0,COUNT(INDEX('Staff Review'!$G$8:$G$507,I2377))=1,INDEX('Staff Review'!$G$8:$G$507,I2377)&gt;0,INDEX('Staff Review'!$G$8:$G$507,I2377)&lt;='Top 15'!$E$5,'Top 15'!$E$5-INDEX('Staff Review'!$G$8:$G$507,I2377)&lt;='Top 15'!$H$5,LEN(INDEX('Staff Review'!$H$8:$H$507,I2377))&gt;0),"Yes","No")))</x:f>
        <x:v>No</x:v>
      </x:c>
      <x:c r="AK2377" s="1" t="n">
        <x:f>IF(A2377="",0,COUNTIFS($A$2:$A$501,A2377))</x:f>
        <x:v>1</x:v>
      </x:c>
      <x:c r="AL2377" s="1" t="n">
        <x:f>IF(V2377="Candidate",1,0)</x:f>
        <x:v>0</x:v>
      </x:c>
      <x:c r="AM2377" s="1" t="n">
        <x:f>IF(A2377="",0,VALUE(A2377))</x:f>
        <x:v>8890</x:v>
      </x:c>
      <x:c r="AN2377" s="1" t="n">
        <x:f>IF(OR(A2377="",COUNTIFS($T$41:$T$540,A2377)&lt;&gt;1),0,MATCH(A2377,$T$41:$T$540,0))</x:f>
        <x:v>327</x:v>
      </x:c>
      <x:c r="AO2377" t="n">
        <x:f>IF(ISNUMBER(W2377),W2377,10000+AM2377)</x:f>
        <x:v>18890</x:v>
      </x:c>
    </x:row>
    <x:row r="2378" ht="22" customHeight="1">
      <x:c r="A2378" s="1" t="str">
        <x:f>IF(A329="","",A329)</x:f>
        <x:v>8891</x:v>
      </x:c>
      <x:c r="B2378" s="1" t="str">
        <x:f>IF(A2378="","",B329)</x:f>
        <x:v>One Bright Ray - Simpson Evening</x:v>
      </x:c>
      <x:c r="C2378" s="1" t="str">
        <x:f>IF(A2378="","",C329)</x:f>
        <x:v>Contracted</x:v>
      </x:c>
      <x:c r="D2378" s="1" t="str">
        <x:f>IF(A2378="","",E329)</x:f>
        <x:v>Transition/Overage School</x:v>
      </x:c>
      <x:c r="E2378" s="1" t="str">
        <x:f>IF(A2378="","",H329)</x:f>
        <x:v>19124</x:v>
      </x:c>
      <x:c r="F2378" s="1" t="n">
        <x:f>IF(ISNUMBER(K329),K329,"")</x:f>
        <x:v>131</x:v>
      </x:c>
      <x:c r="G2378" s="1" t="str">
        <x:f>IF(ISNUMBER(L329),L329,"")</x:f>
      </x:c>
      <x:c r="H2378" s="1" t="str">
        <x:f>IF(A2378="","",IF(AND(UPPER(G329)="PHILADELPHIA",OR(C2378="District",AND(C2378="Charter",D329="Yes"))),"Yes","No"))</x:f>
        <x:v>No</x:v>
      </x:c>
      <x:c r="I2378" s="1" t="n">
        <x:f>IF(OR(A2378="",COUNTIFS('Staff Review'!$A$8:$A$507,A2378)&lt;&gt;1),0,MATCH(A2378,'Staff Review'!$A$8:$A$507,0))</x:f>
        <x:v>217</x:v>
      </x:c>
      <x:c r="J2378" s="1" t="str">
        <x:f>IF(I2378=0,"No",IF(INDEX('Staff Review'!$C$8:$C$507,I2378)="Yes","Yes","No"))</x:f>
        <x:v>No</x:v>
      </x:c>
      <x:c r="K2378" s="1" t="n">
        <x:f>IF(AI2378="Yes",INDEX('Staff Review'!$D$8:$D$507,I2378),IF(AB2378=0,"",IF(COUNT(INDEX($C$1531:$C$2030,AB2378))=1,INDEX($C$1531:$C$2030,AB2378),"")))</x:f>
        <x:v>0.06490250839751906</x:v>
      </x:c>
      <x:c r="L2378" s="1" t="n">
        <x:f>IF(AJ2378="Yes",INDEX('Staff Review'!$F$8:$F$507,I2378),IF(AB2378=0,"",IF(COUNT(INDEX($G$1531:$G$2030,AB2378))=1,INDEX($G$1531:$G$2030,AB2378),"")))</x:f>
        <x:v>7</x:v>
      </x:c>
      <x:c r="M2378" s="1" t="str">
        <x:f>IF(A2378="","",IF(AI2378="Yes","Verified","Listed"))</x:f>
        <x:v>Listed</x:v>
      </x:c>
      <x:c r="N2378" s="1" t="str">
        <x:f>IF(A2378="","",IF(AJ2378="Yes","Verified","Listed"))</x:f>
        <x:v>Listed</x:v>
      </x:c>
      <x:c r="O2378" s="1" t="str">
        <x:f>IF(AND(ISNUMBER(G2378),G2378&gt;=0,G2378&lt;=1),IF(G2378&gt;=0.9,30,IF(G2378&gt;=0.8,25,IF(G2378&gt;=0.7,20,IF(G2378&gt;=0.6,15,IF(G2378&gt;=0.5,10,IF(G2378&gt;=0.4,5,0)))))),"")</x:f>
      </x:c>
      <x:c r="P2378" s="1" t="n">
        <x:f>IF(ISNUMBER(K2378),IF(K2378&lt;0,"",IF(K2378&gt;1,25,IF(K2378&gt;=0.75,20,IF(K2378&gt;=0.5,15,IF(K2378&gt;=0.25,10,5))))),"")</x:f>
        <x:v>5</x:v>
      </x:c>
      <x:c r="Q2378" s="1" t="n">
        <x:f>IF(NOT(ISNUMBER(L2378)),"",IF(AND(L2378&gt;=0,MOD(L2378,1)=0),MAX(0,25-5*L2378),""))</x:f>
        <x:v>0</x:v>
      </x:c>
      <x:c r="R2378" s="1" t="n">
        <x:f>IF(NOT(ISNUMBER(F2378)),"",IF(AND(F2378&gt;0,MOD(F2378,1)=0),IF(F2378&gt;=700,5,IF(F2378&gt;=500,4,IF(F2378&gt;=350,3,IF(F2378&gt;=200,2,1)))),""))</x:f>
        <x:v>1</x:v>
      </x:c>
      <x:c r="S2378" s="1" t="str">
        <x:f>IF(COUNT(O2378:R2378)=4,SUM(O2378:R2378),"")</x:f>
      </x:c>
      <x:c r="T2378" s="1" t="str">
        <x:f>IF(OR(COUNT(O2378:R2378)&lt;&gt;4,COUNT('Top 15'!$B$35:$E$35)&lt;&gt;4,MIN('Top 15'!$B$35:$E$35)&lt;0,SUM('Top 15'!$B$35:$E$35)&lt;=0),"",ROUND(85*(O2378/30*'Top 15'!$B$35+P2378/25*'Top 15'!$C$35+Q2378/25*'Top 15'!$D$35+R2378/5*'Top 15'!$E$35)/SUM('Top 15'!$B$35:$E$35),6))</x:f>
      </x:c>
      <x:c r="U2378" s="1" t="str">
        <x:f>IF(A2378="","",IF(AND(M2378="Verified",N2378="Verified"),"Verified",IF(AND(M2378="Listed",N2378="Listed"),"Listed","Mixed")))</x:f>
        <x:v>Listed</x:v>
      </x:c>
      <x:c r="V2378" s="1" t="str">
        <x:f>IF(A2378="","",IF(AK2378&lt;&gt;1,"Duplicate source ID",IF(COUNTIFS('Staff Review'!$A$8:$A$507,A2378)&gt;1,"Duplicate review ID",IF(H2378&lt;&gt;"Yes","Outside scope",IF(J2378="Yes","Already served",IF(NOT(ISNUMBER(T2378)),"Missing data","Candidate"))))))</x:f>
        <x:v>Outside scope</x:v>
      </x:c>
      <x:c r="W2378" s="1" t="str">
        <x:f>IF(AL2378=0,"",1+COUNTIFS($AL$2051:$AL$2550,1,$T$2051:$T$2550,"&gt;"&amp;T2378)+COUNTIFS($AL$2051:$AL$2550,1,$T$2051:$T$2550,T2378,$G$2051:$G$2550,"&gt;"&amp;G2378)+COUNTIFS($AL$2051:$AL$2550,1,$T$2051:$T$2550,T2378,$G$2051:$G$2550,G2378,$F$2051:$F$2550,"&gt;"&amp;F2378)+COUNTIFS($AL$2051:$AL$2550,1,$T$2051:$T$2550,T2378,$G$2051:$G$2550,G2378,$F$2051:$F$2550,F2378,$AM$2051:$AM$2550,"&lt;"&amp;AM2378))</x:f>
      </x:c>
      <x:c r="X2378" s="1" t="str">
        <x:f>IF(AL2378=0,"",1+COUNTIFS($AL$2051:$AL$2550,1,$T$2051:$T$2550,"&gt;"&amp;T2378))</x:f>
      </x:c>
      <x:c r="Y2378" s="1" t="n">
        <x:f>IF(AND(H2378="Yes",OR(LEN('School Search'!$B$5)=0,ISNUMBER(SEARCH('School Search'!$B$5,B2378&amp;" "&amp;E2378&amp;" "&amp;A2378))),OR('School Search'!$D$5="All",C2378='School Search'!$D$5),OR('School Search'!$G$5="All eligible",AND('School Search'!$G$5="Not marked served",J2378&lt;&gt;"Yes"),AND('School Search'!$G$5="Missing data",V2378="Missing data"),AND('School Search'!$G$5="Marked served",J2378="Yes"))),1,0)</x:f>
        <x:v>0</x:v>
      </x:c>
      <x:c r="Z2378" s="1" t="str">
        <x:f>IF(Y2378=0,"",COUNTIFS($Y$2051:$Y$2550,1,$AO$2051:$AO$2550,"&lt;"&amp;AO2378)+COUNTIFS($Y$2051:Y2378,1,$AO$2051:AO2378,AO2378))</x:f>
      </x:c>
      <x:c r="AA2378" s="1" t="str">
        <x:f>IF(NOT(ISNUMBER(S2378)),"Missing demographic or access input",TEXT(G2378,"0%")&amp;" economic need; "&amp;TEXT(K2378,"0.00")&amp;" mi fresh access; "&amp;L2378&amp;" nearby resources")</x:f>
        <x:v>Missing demographic or access input</x:v>
      </x:c>
      <x:c r="AB2378" s="1" t="n">
        <x:f>IF(OR(A2378="",COUNTIFS($A$1531:$A$2030,A2378)&lt;&gt;1),0,MATCH(A2378,$A$1531:$A$2030,0))</x:f>
        <x:v>328</x:v>
      </x:c>
      <x:c r="AC2378" s="1" t="str">
        <x:f>IF(AB2378=0,"",INDEX($E$1531:$E$2030,AB2378))</x:f>
        <x:v>Pa Fair Farm Food Corp/Fine Fare Supermarket</x:v>
      </x:c>
      <x:c r="AD2378" s="1" t="str">
        <x:f>IF(AB2378=0,"",INDEX($F$1531:$F$2030,AB2378))</x:f>
        <x:v>1240 E Erie Ave, Philadelphia, PA, 19124</x:v>
      </x:c>
      <x:c r="AE2378" s="1" t="str">
        <x:f>IF(A2378="","",F329)</x:f>
        <x:v>1142 E ERIE AVE</x:v>
      </x:c>
      <x:c r="AF2378" s="1" t="n">
        <x:f>IF(ISNUMBER(I329),I329,"")</x:f>
        <x:v>40.00526093</x:v>
      </x:c>
      <x:c r="AG2378" s="1" t="n">
        <x:f>IF(ISNUMBER(J329),J329,"")</x:f>
        <x:v>-75.10560837</x:v>
      </x:c>
      <x:c r="AH2378" s="1" t="str">
        <x:f>IF(I2378=0,"Not contacted",IF(INDEX('Staff Review'!$J$8:$J$507,I2378)="","Not contacted",INDEX('Staff Review'!$J$8:$J$507,I2378)))</x:f>
        <x:v>Not contacted</x:v>
      </x:c>
      <x:c r="AI2378" s="1" t="str">
        <x:f>IF(I2378=0,"No",IF(AND(COUNT(INDEX('Staff Review'!$D$8:$D$507,I2378))=1,INDEX('Staff Review'!$D$8:$D$507,I2378)&gt;=0,COUNT(INDEX('Staff Review'!$E$8:$E$507,I2378))=1,INDEX('Staff Review'!$E$8:$E$507,I2378)&gt;0,INDEX('Staff Review'!$E$8:$E$507,I2378)&lt;='Top 15'!$E$5,'Top 15'!$E$5-INDEX('Staff Review'!$E$8:$E$507,I2378)&lt;='Top 15'!$H$5,LEN(INDEX('Staff Review'!$H$8:$H$507,I2378))&gt;0),"Yes","No"))</x:f>
        <x:v>No</x:v>
      </x:c>
      <x:c r="AJ2378" s="1" t="str">
        <x:f>IF(I2378=0,"No",IF(COUNT(INDEX('Staff Review'!$F$8:$F$507,I2378))&lt;&gt;1,"No",IF(AND(INDEX('Staff Review'!$F$8:$F$507,I2378)&gt;=0,MOD(INDEX('Staff Review'!$F$8:$F$507,I2378),1)=0,COUNT(INDEX('Staff Review'!$G$8:$G$507,I2378))=1,INDEX('Staff Review'!$G$8:$G$507,I2378)&gt;0,INDEX('Staff Review'!$G$8:$G$507,I2378)&lt;='Top 15'!$E$5,'Top 15'!$E$5-INDEX('Staff Review'!$G$8:$G$507,I2378)&lt;='Top 15'!$H$5,LEN(INDEX('Staff Review'!$H$8:$H$507,I2378))&gt;0),"Yes","No")))</x:f>
        <x:v>No</x:v>
      </x:c>
      <x:c r="AK2378" s="1" t="n">
        <x:f>IF(A2378="",0,COUNTIFS($A$2:$A$501,A2378))</x:f>
        <x:v>1</x:v>
      </x:c>
      <x:c r="AL2378" s="1" t="n">
        <x:f>IF(V2378="Candidate",1,0)</x:f>
        <x:v>0</x:v>
      </x:c>
      <x:c r="AM2378" s="1" t="n">
        <x:f>IF(A2378="",0,VALUE(A2378))</x:f>
        <x:v>8891</x:v>
      </x:c>
      <x:c r="AN2378" s="1" t="n">
        <x:f>IF(OR(A2378="",COUNTIFS($T$41:$T$540,A2378)&lt;&gt;1),0,MATCH(A2378,$T$41:$T$540,0))</x:f>
        <x:v>328</x:v>
      </x:c>
      <x:c r="AO2378" t="n">
        <x:f>IF(ISNUMBER(W2378),W2378,10000+AM2378)</x:f>
        <x:v>18891</x:v>
      </x:c>
    </x:row>
    <x:row r="2379" ht="22" customHeight="1">
      <x:c r="A2379" s="1" t="str">
        <x:f>IF(A330="","",A330)</x:f>
        <x:v>8900</x:v>
      </x:c>
      <x:c r="B2379" s="1" t="str">
        <x:f>IF(A2379="","",B330)</x:f>
        <x:v>Re-Engagement Center</x:v>
      </x:c>
      <x:c r="C2379" s="1" t="str">
        <x:f>IF(A2379="","",C330)</x:f>
        <x:v>District</x:v>
      </x:c>
      <x:c r="D2379" s="1" t="str">
        <x:f>IF(A2379="","",E330)</x:f>
        <x:v>Transition/Overage School</x:v>
      </x:c>
      <x:c r="E2379" s="1" t="str">
        <x:f>IF(A2379="","",H330)</x:f>
        <x:v>19130</x:v>
      </x:c>
      <x:c r="F2379" s="1" t="n">
        <x:f>IF(ISNUMBER(K330),K330,"")</x:f>
        <x:v>1</x:v>
      </x:c>
      <x:c r="G2379" s="1" t="str">
        <x:f>IF(ISNUMBER(L330),L330,"")</x:f>
      </x:c>
      <x:c r="H2379" s="1" t="str">
        <x:f>IF(A2379="","",IF(AND(UPPER(G330)="PHILADELPHIA",OR(C2379="District",AND(C2379="Charter",D330="Yes"))),"Yes","No"))</x:f>
        <x:v>Yes</x:v>
      </x:c>
      <x:c r="I2379" s="1" t="n">
        <x:f>IF(OR(A2379="",COUNTIFS('Staff Review'!$A$8:$A$507,A2379)&lt;&gt;1),0,MATCH(A2379,'Staff Review'!$A$8:$A$507,0))</x:f>
        <x:v>246</x:v>
      </x:c>
      <x:c r="J2379" s="1" t="str">
        <x:f>IF(I2379=0,"No",IF(INDEX('Staff Review'!$C$8:$C$507,I2379)="Yes","Yes","No"))</x:f>
        <x:v>No</x:v>
      </x:c>
      <x:c r="K2379" s="1" t="n">
        <x:f>IF(AI2379="Yes",INDEX('Staff Review'!$D$8:$D$507,I2379),IF(AB2379=0,"",IF(COUNT(INDEX($C$1531:$C$2030,AB2379))=1,INDEX($C$1531:$C$2030,AB2379),"")))</x:f>
        <x:v>0.1365159900872243</x:v>
      </x:c>
      <x:c r="L2379" s="1" t="n">
        <x:f>IF(AJ2379="Yes",INDEX('Staff Review'!$F$8:$F$507,I2379),IF(AB2379=0,"",IF(COUNT(INDEX($G$1531:$G$2030,AB2379))=1,INDEX($G$1531:$G$2030,AB2379),"")))</x:f>
        <x:v>10</x:v>
      </x:c>
      <x:c r="M2379" s="1" t="str">
        <x:f>IF(A2379="","",IF(AI2379="Yes","Verified","Listed"))</x:f>
        <x:v>Listed</x:v>
      </x:c>
      <x:c r="N2379" s="1" t="str">
        <x:f>IF(A2379="","",IF(AJ2379="Yes","Verified","Listed"))</x:f>
        <x:v>Listed</x:v>
      </x:c>
      <x:c r="O2379" s="1" t="str">
        <x:f>IF(AND(ISNUMBER(G2379),G2379&gt;=0,G2379&lt;=1),IF(G2379&gt;=0.9,30,IF(G2379&gt;=0.8,25,IF(G2379&gt;=0.7,20,IF(G2379&gt;=0.6,15,IF(G2379&gt;=0.5,10,IF(G2379&gt;=0.4,5,0)))))),"")</x:f>
      </x:c>
      <x:c r="P2379" s="1" t="n">
        <x:f>IF(ISNUMBER(K2379),IF(K2379&lt;0,"",IF(K2379&gt;1,25,IF(K2379&gt;=0.75,20,IF(K2379&gt;=0.5,15,IF(K2379&gt;=0.25,10,5))))),"")</x:f>
        <x:v>5</x:v>
      </x:c>
      <x:c r="Q2379" s="1" t="n">
        <x:f>IF(NOT(ISNUMBER(L2379)),"",IF(AND(L2379&gt;=0,MOD(L2379,1)=0),MAX(0,25-5*L2379),""))</x:f>
        <x:v>0</x:v>
      </x:c>
      <x:c r="R2379" s="1" t="n">
        <x:f>IF(NOT(ISNUMBER(F2379)),"",IF(AND(F2379&gt;0,MOD(F2379,1)=0),IF(F2379&gt;=700,5,IF(F2379&gt;=500,4,IF(F2379&gt;=350,3,IF(F2379&gt;=200,2,1)))),""))</x:f>
        <x:v>1</x:v>
      </x:c>
      <x:c r="S2379" s="1" t="str">
        <x:f>IF(COUNT(O2379:R2379)=4,SUM(O2379:R2379),"")</x:f>
      </x:c>
      <x:c r="T2379" s="1" t="str">
        <x:f>IF(OR(COUNT(O2379:R2379)&lt;&gt;4,COUNT('Top 15'!$B$35:$E$35)&lt;&gt;4,MIN('Top 15'!$B$35:$E$35)&lt;0,SUM('Top 15'!$B$35:$E$35)&lt;=0),"",ROUND(85*(O2379/30*'Top 15'!$B$35+P2379/25*'Top 15'!$C$35+Q2379/25*'Top 15'!$D$35+R2379/5*'Top 15'!$E$35)/SUM('Top 15'!$B$35:$E$35),6))</x:f>
      </x:c>
      <x:c r="U2379" s="1" t="str">
        <x:f>IF(A2379="","",IF(AND(M2379="Verified",N2379="Verified"),"Verified",IF(AND(M2379="Listed",N2379="Listed"),"Listed","Mixed")))</x:f>
        <x:v>Listed</x:v>
      </x:c>
      <x:c r="V2379" s="1" t="str">
        <x:f>IF(A2379="","",IF(AK2379&lt;&gt;1,"Duplicate source ID",IF(COUNTIFS('Staff Review'!$A$8:$A$507,A2379)&gt;1,"Duplicate review ID",IF(H2379&lt;&gt;"Yes","Outside scope",IF(J2379="Yes","Already served",IF(NOT(ISNUMBER(T2379)),"Missing data","Candidate"))))))</x:f>
        <x:v>Missing data</x:v>
      </x:c>
      <x:c r="W2379" s="1" t="str">
        <x:f>IF(AL2379=0,"",1+COUNTIFS($AL$2051:$AL$2550,1,$T$2051:$T$2550,"&gt;"&amp;T2379)+COUNTIFS($AL$2051:$AL$2550,1,$T$2051:$T$2550,T2379,$G$2051:$G$2550,"&gt;"&amp;G2379)+COUNTIFS($AL$2051:$AL$2550,1,$T$2051:$T$2550,T2379,$G$2051:$G$2550,G2379,$F$2051:$F$2550,"&gt;"&amp;F2379)+COUNTIFS($AL$2051:$AL$2550,1,$T$2051:$T$2550,T2379,$G$2051:$G$2550,G2379,$F$2051:$F$2550,F2379,$AM$2051:$AM$2550,"&lt;"&amp;AM2379))</x:f>
      </x:c>
      <x:c r="X2379" s="1" t="str">
        <x:f>IF(AL2379=0,"",1+COUNTIFS($AL$2051:$AL$2550,1,$T$2051:$T$2550,"&gt;"&amp;T2379))</x:f>
      </x:c>
      <x:c r="Y2379" s="1" t="n">
        <x:f>IF(AND(H2379="Yes",OR(LEN('School Search'!$B$5)=0,ISNUMBER(SEARCH('School Search'!$B$5,B2379&amp;" "&amp;E2379&amp;" "&amp;A2379))),OR('School Search'!$D$5="All",C2379='School Search'!$D$5),OR('School Search'!$G$5="All eligible",AND('School Search'!$G$5="Not marked served",J2379&lt;&gt;"Yes"),AND('School Search'!$G$5="Missing data",V2379="Missing data"),AND('School Search'!$G$5="Marked served",J2379="Yes"))),1,0)</x:f>
        <x:v>1</x:v>
      </x:c>
      <x:c r="Z2379" s="1" t="n">
        <x:f>IF(Y2379=0,"",COUNTIFS($Y$2051:$Y$2550,1,$AO$2051:$AO$2550,"&lt;"&amp;AO2379)+COUNTIFS($Y$2051:Y2379,1,$AO$2051:AO2379,AO2379))</x:f>
        <x:v>305</x:v>
      </x:c>
      <x:c r="AA2379" s="1" t="str">
        <x:f>IF(NOT(ISNUMBER(S2379)),"Missing demographic or access input",TEXT(G2379,"0%")&amp;" economic need; "&amp;TEXT(K2379,"0.00")&amp;" mi fresh access; "&amp;L2379&amp;" nearby resources")</x:f>
        <x:v>Missing demographic or access input</x:v>
      </x:c>
      <x:c r="AB2379" s="1" t="n">
        <x:f>IF(OR(A2379="",COUNTIFS($A$1531:$A$2030,A2379)&lt;&gt;1),0,MATCH(A2379,$A$1531:$A$2030,0))</x:f>
        <x:v>329</x:v>
      </x:c>
      <x:c r="AC2379" s="1" t="str">
        <x:f>IF(AB2379=0,"",INDEX($E$1531:$E$2030,AB2379))</x:f>
        <x:v>Giant Food Store 6573</x:v>
      </x:c>
      <x:c r="AD2379" s="1" t="str">
        <x:f>IF(AB2379=0,"",INDEX($F$1531:$F$2030,AB2379))</x:f>
        <x:v>510 N Broad St, Philadelphia, PA, 19130</x:v>
      </x:c>
      <x:c r="AE2379" s="1" t="str">
        <x:f>IF(A2379="","",F330)</x:f>
        <x:v>440 N BROAD ST</x:v>
      </x:c>
      <x:c r="AF2379" s="1" t="n">
        <x:f>IF(ISNUMBER(I330),I330,"")</x:f>
        <x:v>39.96102159</x:v>
      </x:c>
      <x:c r="AG2379" s="1" t="n">
        <x:f>IF(ISNUMBER(J330),J330,"")</x:f>
        <x:v>-75.16264405</x:v>
      </x:c>
      <x:c r="AH2379" s="1" t="str">
        <x:f>IF(I2379=0,"Not contacted",IF(INDEX('Staff Review'!$J$8:$J$507,I2379)="","Not contacted",INDEX('Staff Review'!$J$8:$J$507,I2379)))</x:f>
        <x:v>Not contacted</x:v>
      </x:c>
      <x:c r="AI2379" s="1" t="str">
        <x:f>IF(I2379=0,"No",IF(AND(COUNT(INDEX('Staff Review'!$D$8:$D$507,I2379))=1,INDEX('Staff Review'!$D$8:$D$507,I2379)&gt;=0,COUNT(INDEX('Staff Review'!$E$8:$E$507,I2379))=1,INDEX('Staff Review'!$E$8:$E$507,I2379)&gt;0,INDEX('Staff Review'!$E$8:$E$507,I2379)&lt;='Top 15'!$E$5,'Top 15'!$E$5-INDEX('Staff Review'!$E$8:$E$507,I2379)&lt;='Top 15'!$H$5,LEN(INDEX('Staff Review'!$H$8:$H$507,I2379))&gt;0),"Yes","No"))</x:f>
        <x:v>No</x:v>
      </x:c>
      <x:c r="AJ2379" s="1" t="str">
        <x:f>IF(I2379=0,"No",IF(COUNT(INDEX('Staff Review'!$F$8:$F$507,I2379))&lt;&gt;1,"No",IF(AND(INDEX('Staff Review'!$F$8:$F$507,I2379)&gt;=0,MOD(INDEX('Staff Review'!$F$8:$F$507,I2379),1)=0,COUNT(INDEX('Staff Review'!$G$8:$G$507,I2379))=1,INDEX('Staff Review'!$G$8:$G$507,I2379)&gt;0,INDEX('Staff Review'!$G$8:$G$507,I2379)&lt;='Top 15'!$E$5,'Top 15'!$E$5-INDEX('Staff Review'!$G$8:$G$507,I2379)&lt;='Top 15'!$H$5,LEN(INDEX('Staff Review'!$H$8:$H$507,I2379))&gt;0),"Yes","No")))</x:f>
        <x:v>No</x:v>
      </x:c>
      <x:c r="AK2379" s="1" t="n">
        <x:f>IF(A2379="",0,COUNTIFS($A$2:$A$501,A2379))</x:f>
        <x:v>1</x:v>
      </x:c>
      <x:c r="AL2379" s="1" t="n">
        <x:f>IF(V2379="Candidate",1,0)</x:f>
        <x:v>0</x:v>
      </x:c>
      <x:c r="AM2379" s="1" t="n">
        <x:f>IF(A2379="",0,VALUE(A2379))</x:f>
        <x:v>8900</x:v>
      </x:c>
      <x:c r="AN2379" s="1" t="n">
        <x:f>IF(OR(A2379="",COUNTIFS($T$41:$T$540,A2379)&lt;&gt;1),0,MATCH(A2379,$T$41:$T$540,0))</x:f>
        <x:v>329</x:v>
      </x:c>
      <x:c r="AO2379" t="n">
        <x:f>IF(ISNUMBER(W2379),W2379,10000+AM2379)</x:f>
        <x:v>18900</x:v>
      </x:c>
    </x:row>
    <x:row r="2380" ht="22" customHeight="1">
      <x:c r="A2380" s="1" t="str">
        <x:f>IF(A331="","",A331)</x:f>
      </x:c>
      <x:c r="B2380" s="1" t="str">
        <x:f>IF(A2380="","",B331)</x:f>
      </x:c>
      <x:c r="C2380" s="1" t="str">
        <x:f>IF(A2380="","",C331)</x:f>
      </x:c>
      <x:c r="D2380" s="1" t="str">
        <x:f>IF(A2380="","",E331)</x:f>
      </x:c>
      <x:c r="E2380" s="1" t="str">
        <x:f>IF(A2380="","",H331)</x:f>
      </x:c>
      <x:c r="F2380" s="1" t="str">
        <x:f>IF(ISNUMBER(K331),K331,"")</x:f>
      </x:c>
      <x:c r="G2380" s="1" t="str">
        <x:f>IF(ISNUMBER(L331),L331,"")</x:f>
      </x:c>
      <x:c r="H2380" s="1" t="str">
        <x:f>IF(A2380="","",IF(AND(UPPER(G331)="PHILADELPHIA",OR(C2380="District",AND(C2380="Charter",D331="Yes"))),"Yes","No"))</x:f>
      </x:c>
      <x:c r="I2380" s="1" t="n">
        <x:f>IF(OR(A2380="",COUNTIFS('Staff Review'!$A$8:$A$507,A2380)&lt;&gt;1),0,MATCH(A2380,'Staff Review'!$A$8:$A$507,0))</x:f>
        <x:v>0</x:v>
      </x:c>
      <x:c r="J2380" s="1" t="str">
        <x:f>IF(I2380=0,"No",IF(INDEX('Staff Review'!$C$8:$C$507,I2380)="Yes","Yes","No"))</x:f>
        <x:v>No</x:v>
      </x:c>
      <x:c r="K2380" s="1" t="str">
        <x:f>IF(AI2380="Yes",INDEX('Staff Review'!$D$8:$D$507,I2380),IF(AB2380=0,"",IF(COUNT(INDEX($C$1531:$C$2030,AB2380))=1,INDEX($C$1531:$C$2030,AB2380),"")))</x:f>
      </x:c>
      <x:c r="L2380" s="1" t="str">
        <x:f>IF(AJ2380="Yes",INDEX('Staff Review'!$F$8:$F$507,I2380),IF(AB2380=0,"",IF(COUNT(INDEX($G$1531:$G$2030,AB2380))=1,INDEX($G$1531:$G$2030,AB2380),"")))</x:f>
      </x:c>
      <x:c r="M2380" s="1" t="str">
        <x:f>IF(A2380="","",IF(AI2380="Yes","Verified","Listed"))</x:f>
      </x:c>
      <x:c r="N2380" s="1" t="str">
        <x:f>IF(A2380="","",IF(AJ2380="Yes","Verified","Listed"))</x:f>
      </x:c>
      <x:c r="O2380" s="1" t="str">
        <x:f>IF(AND(ISNUMBER(G2380),G2380&gt;=0,G2380&lt;=1),IF(G2380&gt;=0.9,30,IF(G2380&gt;=0.8,25,IF(G2380&gt;=0.7,20,IF(G2380&gt;=0.6,15,IF(G2380&gt;=0.5,10,IF(G2380&gt;=0.4,5,0)))))),"")</x:f>
      </x:c>
      <x:c r="P2380" s="1" t="str">
        <x:f>IF(ISNUMBER(K2380),IF(K2380&lt;0,"",IF(K2380&gt;1,25,IF(K2380&gt;=0.75,20,IF(K2380&gt;=0.5,15,IF(K2380&gt;=0.25,10,5))))),"")</x:f>
      </x:c>
      <x:c r="Q2380" s="1" t="str">
        <x:f>IF(NOT(ISNUMBER(L2380)),"",IF(AND(L2380&gt;=0,MOD(L2380,1)=0),MAX(0,25-5*L2380),""))</x:f>
      </x:c>
      <x:c r="R2380" s="1" t="str">
        <x:f>IF(NOT(ISNUMBER(F2380)),"",IF(AND(F2380&gt;0,MOD(F2380,1)=0),IF(F2380&gt;=700,5,IF(F2380&gt;=500,4,IF(F2380&gt;=350,3,IF(F2380&gt;=200,2,1)))),""))</x:f>
      </x:c>
      <x:c r="S2380" s="1" t="str">
        <x:f>IF(COUNT(O2380:R2380)=4,SUM(O2380:R2380),"")</x:f>
      </x:c>
      <x:c r="T2380" s="1" t="str">
        <x:f>IF(OR(COUNT(O2380:R2380)&lt;&gt;4,COUNT('Top 15'!$B$35:$E$35)&lt;&gt;4,MIN('Top 15'!$B$35:$E$35)&lt;0,SUM('Top 15'!$B$35:$E$35)&lt;=0),"",ROUND(85*(O2380/30*'Top 15'!$B$35+P2380/25*'Top 15'!$C$35+Q2380/25*'Top 15'!$D$35+R2380/5*'Top 15'!$E$35)/SUM('Top 15'!$B$35:$E$35),6))</x:f>
      </x:c>
      <x:c r="U2380" s="1" t="str">
        <x:f>IF(A2380="","",IF(AND(M2380="Verified",N2380="Verified"),"Verified",IF(AND(M2380="Listed",N2380="Listed"),"Listed","Mixed")))</x:f>
      </x:c>
      <x:c r="V2380" s="1" t="str">
        <x:f>IF(A2380="","",IF(AK2380&lt;&gt;1,"Duplicate source ID",IF(COUNTIFS('Staff Review'!$A$8:$A$507,A2380)&gt;1,"Duplicate review ID",IF(H2380&lt;&gt;"Yes","Outside scope",IF(J2380="Yes","Already served",IF(NOT(ISNUMBER(T2380)),"Missing data","Candidate"))))))</x:f>
      </x:c>
      <x:c r="W2380" s="1" t="str">
        <x:f>IF(AL2380=0,"",1+COUNTIFS($AL$2051:$AL$2550,1,$T$2051:$T$2550,"&gt;"&amp;T2380)+COUNTIFS($AL$2051:$AL$2550,1,$T$2051:$T$2550,T2380,$G$2051:$G$2550,"&gt;"&amp;G2380)+COUNTIFS($AL$2051:$AL$2550,1,$T$2051:$T$2550,T2380,$G$2051:$G$2550,G2380,$F$2051:$F$2550,"&gt;"&amp;F2380)+COUNTIFS($AL$2051:$AL$2550,1,$T$2051:$T$2550,T2380,$G$2051:$G$2550,G2380,$F$2051:$F$2550,F2380,$AM$2051:$AM$2550,"&lt;"&amp;AM2380))</x:f>
      </x:c>
      <x:c r="X2380" s="1" t="str">
        <x:f>IF(AL2380=0,"",1+COUNTIFS($AL$2051:$AL$2550,1,$T$2051:$T$2550,"&gt;"&amp;T2380))</x:f>
      </x:c>
      <x:c r="Y2380" s="1" t="n">
        <x:f>IF(AND(H2380="Yes",OR(LEN('School Search'!$B$5)=0,ISNUMBER(SEARCH('School Search'!$B$5,B2380&amp;" "&amp;E2380&amp;" "&amp;A2380))),OR('School Search'!$D$5="All",C2380='School Search'!$D$5),OR('School Search'!$G$5="All eligible",AND('School Search'!$G$5="Not marked served",J2380&lt;&gt;"Yes"),AND('School Search'!$G$5="Missing data",V2380="Missing data"),AND('School Search'!$G$5="Marked served",J2380="Yes"))),1,0)</x:f>
        <x:v>0</x:v>
      </x:c>
      <x:c r="Z2380" s="1" t="str">
        <x:f>IF(Y2380=0,"",COUNTIFS($Y$2051:$Y$2550,1,$AO$2051:$AO$2550,"&lt;"&amp;AO2380)+COUNTIFS($Y$2051:Y2380,1,$AO$2051:AO2380,AO2380))</x:f>
      </x:c>
      <x:c r="AA2380" s="1" t="str">
        <x:f>IF(NOT(ISNUMBER(S2380)),"Missing demographic or access input",TEXT(G2380,"0%")&amp;" economic need; "&amp;TEXT(K2380,"0.00")&amp;" mi fresh access; "&amp;L2380&amp;" nearby resources")</x:f>
        <x:v>Missing demographic or access input</x:v>
      </x:c>
      <x:c r="AB2380" s="1" t="n">
        <x:f>IF(OR(A2380="",COUNTIFS($A$1531:$A$2030,A2380)&lt;&gt;1),0,MATCH(A2380,$A$1531:$A$2030,0))</x:f>
        <x:v>0</x:v>
      </x:c>
      <x:c r="AC2380" s="1" t="str">
        <x:f>IF(AB2380=0,"",INDEX($E$1531:$E$2030,AB2380))</x:f>
      </x:c>
      <x:c r="AD2380" s="1" t="str">
        <x:f>IF(AB2380=0,"",INDEX($F$1531:$F$2030,AB2380))</x:f>
      </x:c>
      <x:c r="AE2380" s="1" t="str">
        <x:f>IF(A2380="","",F331)</x:f>
      </x:c>
      <x:c r="AF2380" s="1" t="str">
        <x:f>IF(ISNUMBER(I331),I331,"")</x:f>
      </x:c>
      <x:c r="AG2380" s="1" t="str">
        <x:f>IF(ISNUMBER(J331),J331,"")</x:f>
      </x:c>
      <x:c r="AH2380" s="1" t="str">
        <x:f>IF(I2380=0,"Not contacted",IF(INDEX('Staff Review'!$J$8:$J$507,I2380)="","Not contacted",INDEX('Staff Review'!$J$8:$J$507,I2380)))</x:f>
        <x:v>Not contacted</x:v>
      </x:c>
      <x:c r="AI2380" s="1" t="str">
        <x:f>IF(I2380=0,"No",IF(AND(COUNT(INDEX('Staff Review'!$D$8:$D$507,I2380))=1,INDEX('Staff Review'!$D$8:$D$507,I2380)&gt;=0,COUNT(INDEX('Staff Review'!$E$8:$E$507,I2380))=1,INDEX('Staff Review'!$E$8:$E$507,I2380)&gt;0,INDEX('Staff Review'!$E$8:$E$507,I2380)&lt;='Top 15'!$E$5,'Top 15'!$E$5-INDEX('Staff Review'!$E$8:$E$507,I2380)&lt;='Top 15'!$H$5,LEN(INDEX('Staff Review'!$H$8:$H$507,I2380))&gt;0),"Yes","No"))</x:f>
        <x:v>No</x:v>
      </x:c>
      <x:c r="AJ2380" s="1" t="str">
        <x:f>IF(I2380=0,"No",IF(COUNT(INDEX('Staff Review'!$F$8:$F$507,I2380))&lt;&gt;1,"No",IF(AND(INDEX('Staff Review'!$F$8:$F$507,I2380)&gt;=0,MOD(INDEX('Staff Review'!$F$8:$F$507,I2380),1)=0,COUNT(INDEX('Staff Review'!$G$8:$G$507,I2380))=1,INDEX('Staff Review'!$G$8:$G$507,I2380)&gt;0,INDEX('Staff Review'!$G$8:$G$507,I2380)&lt;='Top 15'!$E$5,'Top 15'!$E$5-INDEX('Staff Review'!$G$8:$G$507,I2380)&lt;='Top 15'!$H$5,LEN(INDEX('Staff Review'!$H$8:$H$507,I2380))&gt;0),"Yes","No")))</x:f>
        <x:v>No</x:v>
      </x:c>
      <x:c r="AK2380" s="1" t="n">
        <x:f>IF(A2380="",0,COUNTIFS($A$2:$A$501,A2380))</x:f>
        <x:v>0</x:v>
      </x:c>
      <x:c r="AL2380" s="1" t="n">
        <x:f>IF(V2380="Candidate",1,0)</x:f>
        <x:v>0</x:v>
      </x:c>
      <x:c r="AM2380" s="1" t="n">
        <x:f>IF(A2380="",0,VALUE(A2380))</x:f>
        <x:v>0</x:v>
      </x:c>
      <x:c r="AN2380" s="1" t="n">
        <x:f>IF(OR(A2380="",COUNTIFS($T$41:$T$540,A2380)&lt;&gt;1),0,MATCH(A2380,$T$41:$T$540,0))</x:f>
        <x:v>0</x:v>
      </x:c>
      <x:c r="AO2380" t="n">
        <x:f>IF(ISNUMBER(W2380),W2380,10000+AM2380)</x:f>
        <x:v>10000</x:v>
      </x:c>
    </x:row>
    <x:row r="2381" ht="22" customHeight="1">
      <x:c r="A2381" s="1" t="str">
        <x:f>IF(A332="","",A332)</x:f>
      </x:c>
      <x:c r="B2381" s="1" t="str">
        <x:f>IF(A2381="","",B332)</x:f>
      </x:c>
      <x:c r="C2381" s="1" t="str">
        <x:f>IF(A2381="","",C332)</x:f>
      </x:c>
      <x:c r="D2381" s="1" t="str">
        <x:f>IF(A2381="","",E332)</x:f>
      </x:c>
      <x:c r="E2381" s="1" t="str">
        <x:f>IF(A2381="","",H332)</x:f>
      </x:c>
      <x:c r="F2381" s="1" t="str">
        <x:f>IF(ISNUMBER(K332),K332,"")</x:f>
      </x:c>
      <x:c r="G2381" s="1" t="str">
        <x:f>IF(ISNUMBER(L332),L332,"")</x:f>
      </x:c>
      <x:c r="H2381" s="1" t="str">
        <x:f>IF(A2381="","",IF(AND(UPPER(G332)="PHILADELPHIA",OR(C2381="District",AND(C2381="Charter",D332="Yes"))),"Yes","No"))</x:f>
      </x:c>
      <x:c r="I2381" s="1" t="n">
        <x:f>IF(OR(A2381="",COUNTIFS('Staff Review'!$A$8:$A$507,A2381)&lt;&gt;1),0,MATCH(A2381,'Staff Review'!$A$8:$A$507,0))</x:f>
        <x:v>0</x:v>
      </x:c>
      <x:c r="J2381" s="1" t="str">
        <x:f>IF(I2381=0,"No",IF(INDEX('Staff Review'!$C$8:$C$507,I2381)="Yes","Yes","No"))</x:f>
        <x:v>No</x:v>
      </x:c>
      <x:c r="K2381" s="1" t="str">
        <x:f>IF(AI2381="Yes",INDEX('Staff Review'!$D$8:$D$507,I2381),IF(AB2381=0,"",IF(COUNT(INDEX($C$1531:$C$2030,AB2381))=1,INDEX($C$1531:$C$2030,AB2381),"")))</x:f>
      </x:c>
      <x:c r="L2381" s="1" t="str">
        <x:f>IF(AJ2381="Yes",INDEX('Staff Review'!$F$8:$F$507,I2381),IF(AB2381=0,"",IF(COUNT(INDEX($G$1531:$G$2030,AB2381))=1,INDEX($G$1531:$G$2030,AB2381),"")))</x:f>
      </x:c>
      <x:c r="M2381" s="1" t="str">
        <x:f>IF(A2381="","",IF(AI2381="Yes","Verified","Listed"))</x:f>
      </x:c>
      <x:c r="N2381" s="1" t="str">
        <x:f>IF(A2381="","",IF(AJ2381="Yes","Verified","Listed"))</x:f>
      </x:c>
      <x:c r="O2381" s="1" t="str">
        <x:f>IF(AND(ISNUMBER(G2381),G2381&gt;=0,G2381&lt;=1),IF(G2381&gt;=0.9,30,IF(G2381&gt;=0.8,25,IF(G2381&gt;=0.7,20,IF(G2381&gt;=0.6,15,IF(G2381&gt;=0.5,10,IF(G2381&gt;=0.4,5,0)))))),"")</x:f>
      </x:c>
      <x:c r="P2381" s="1" t="str">
        <x:f>IF(ISNUMBER(K2381),IF(K2381&lt;0,"",IF(K2381&gt;1,25,IF(K2381&gt;=0.75,20,IF(K2381&gt;=0.5,15,IF(K2381&gt;=0.25,10,5))))),"")</x:f>
      </x:c>
      <x:c r="Q2381" s="1" t="str">
        <x:f>IF(NOT(ISNUMBER(L2381)),"",IF(AND(L2381&gt;=0,MOD(L2381,1)=0),MAX(0,25-5*L2381),""))</x:f>
      </x:c>
      <x:c r="R2381" s="1" t="str">
        <x:f>IF(NOT(ISNUMBER(F2381)),"",IF(AND(F2381&gt;0,MOD(F2381,1)=0),IF(F2381&gt;=700,5,IF(F2381&gt;=500,4,IF(F2381&gt;=350,3,IF(F2381&gt;=200,2,1)))),""))</x:f>
      </x:c>
      <x:c r="S2381" s="1" t="str">
        <x:f>IF(COUNT(O2381:R2381)=4,SUM(O2381:R2381),"")</x:f>
      </x:c>
      <x:c r="T2381" s="1" t="str">
        <x:f>IF(OR(COUNT(O2381:R2381)&lt;&gt;4,COUNT('Top 15'!$B$35:$E$35)&lt;&gt;4,MIN('Top 15'!$B$35:$E$35)&lt;0,SUM('Top 15'!$B$35:$E$35)&lt;=0),"",ROUND(85*(O2381/30*'Top 15'!$B$35+P2381/25*'Top 15'!$C$35+Q2381/25*'Top 15'!$D$35+R2381/5*'Top 15'!$E$35)/SUM('Top 15'!$B$35:$E$35),6))</x:f>
      </x:c>
      <x:c r="U2381" s="1" t="str">
        <x:f>IF(A2381="","",IF(AND(M2381="Verified",N2381="Verified"),"Verified",IF(AND(M2381="Listed",N2381="Listed"),"Listed","Mixed")))</x:f>
      </x:c>
      <x:c r="V2381" s="1" t="str">
        <x:f>IF(A2381="","",IF(AK2381&lt;&gt;1,"Duplicate source ID",IF(COUNTIFS('Staff Review'!$A$8:$A$507,A2381)&gt;1,"Duplicate review ID",IF(H2381&lt;&gt;"Yes","Outside scope",IF(J2381="Yes","Already served",IF(NOT(ISNUMBER(T2381)),"Missing data","Candidate"))))))</x:f>
      </x:c>
      <x:c r="W2381" s="1" t="str">
        <x:f>IF(AL2381=0,"",1+COUNTIFS($AL$2051:$AL$2550,1,$T$2051:$T$2550,"&gt;"&amp;T2381)+COUNTIFS($AL$2051:$AL$2550,1,$T$2051:$T$2550,T2381,$G$2051:$G$2550,"&gt;"&amp;G2381)+COUNTIFS($AL$2051:$AL$2550,1,$T$2051:$T$2550,T2381,$G$2051:$G$2550,G2381,$F$2051:$F$2550,"&gt;"&amp;F2381)+COUNTIFS($AL$2051:$AL$2550,1,$T$2051:$T$2550,T2381,$G$2051:$G$2550,G2381,$F$2051:$F$2550,F2381,$AM$2051:$AM$2550,"&lt;"&amp;AM2381))</x:f>
      </x:c>
      <x:c r="X2381" s="1" t="str">
        <x:f>IF(AL2381=0,"",1+COUNTIFS($AL$2051:$AL$2550,1,$T$2051:$T$2550,"&gt;"&amp;T2381))</x:f>
      </x:c>
      <x:c r="Y2381" s="1" t="n">
        <x:f>IF(AND(H2381="Yes",OR(LEN('School Search'!$B$5)=0,ISNUMBER(SEARCH('School Search'!$B$5,B2381&amp;" "&amp;E2381&amp;" "&amp;A2381))),OR('School Search'!$D$5="All",C2381='School Search'!$D$5),OR('School Search'!$G$5="All eligible",AND('School Search'!$G$5="Not marked served",J2381&lt;&gt;"Yes"),AND('School Search'!$G$5="Missing data",V2381="Missing data"),AND('School Search'!$G$5="Marked served",J2381="Yes"))),1,0)</x:f>
        <x:v>0</x:v>
      </x:c>
      <x:c r="Z2381" s="1" t="str">
        <x:f>IF(Y2381=0,"",COUNTIFS($Y$2051:$Y$2550,1,$AO$2051:$AO$2550,"&lt;"&amp;AO2381)+COUNTIFS($Y$2051:Y2381,1,$AO$2051:AO2381,AO2381))</x:f>
      </x:c>
      <x:c r="AA2381" s="1" t="str">
        <x:f>IF(NOT(ISNUMBER(S2381)),"Missing demographic or access input",TEXT(G2381,"0%")&amp;" economic need; "&amp;TEXT(K2381,"0.00")&amp;" mi fresh access; "&amp;L2381&amp;" nearby resources")</x:f>
        <x:v>Missing demographic or access input</x:v>
      </x:c>
      <x:c r="AB2381" s="1" t="n">
        <x:f>IF(OR(A2381="",COUNTIFS($A$1531:$A$2030,A2381)&lt;&gt;1),0,MATCH(A2381,$A$1531:$A$2030,0))</x:f>
        <x:v>0</x:v>
      </x:c>
      <x:c r="AC2381" s="1" t="str">
        <x:f>IF(AB2381=0,"",INDEX($E$1531:$E$2030,AB2381))</x:f>
      </x:c>
      <x:c r="AD2381" s="1" t="str">
        <x:f>IF(AB2381=0,"",INDEX($F$1531:$F$2030,AB2381))</x:f>
      </x:c>
      <x:c r="AE2381" s="1" t="str">
        <x:f>IF(A2381="","",F332)</x:f>
      </x:c>
      <x:c r="AF2381" s="1" t="str">
        <x:f>IF(ISNUMBER(I332),I332,"")</x:f>
      </x:c>
      <x:c r="AG2381" s="1" t="str">
        <x:f>IF(ISNUMBER(J332),J332,"")</x:f>
      </x:c>
      <x:c r="AH2381" s="1" t="str">
        <x:f>IF(I2381=0,"Not contacted",IF(INDEX('Staff Review'!$J$8:$J$507,I2381)="","Not contacted",INDEX('Staff Review'!$J$8:$J$507,I2381)))</x:f>
        <x:v>Not contacted</x:v>
      </x:c>
      <x:c r="AI2381" s="1" t="str">
        <x:f>IF(I2381=0,"No",IF(AND(COUNT(INDEX('Staff Review'!$D$8:$D$507,I2381))=1,INDEX('Staff Review'!$D$8:$D$507,I2381)&gt;=0,COUNT(INDEX('Staff Review'!$E$8:$E$507,I2381))=1,INDEX('Staff Review'!$E$8:$E$507,I2381)&gt;0,INDEX('Staff Review'!$E$8:$E$507,I2381)&lt;='Top 15'!$E$5,'Top 15'!$E$5-INDEX('Staff Review'!$E$8:$E$507,I2381)&lt;='Top 15'!$H$5,LEN(INDEX('Staff Review'!$H$8:$H$507,I2381))&gt;0),"Yes","No"))</x:f>
        <x:v>No</x:v>
      </x:c>
      <x:c r="AJ2381" s="1" t="str">
        <x:f>IF(I2381=0,"No",IF(COUNT(INDEX('Staff Review'!$F$8:$F$507,I2381))&lt;&gt;1,"No",IF(AND(INDEX('Staff Review'!$F$8:$F$507,I2381)&gt;=0,MOD(INDEX('Staff Review'!$F$8:$F$507,I2381),1)=0,COUNT(INDEX('Staff Review'!$G$8:$G$507,I2381))=1,INDEX('Staff Review'!$G$8:$G$507,I2381)&gt;0,INDEX('Staff Review'!$G$8:$G$507,I2381)&lt;='Top 15'!$E$5,'Top 15'!$E$5-INDEX('Staff Review'!$G$8:$G$507,I2381)&lt;='Top 15'!$H$5,LEN(INDEX('Staff Review'!$H$8:$H$507,I2381))&gt;0),"Yes","No")))</x:f>
        <x:v>No</x:v>
      </x:c>
      <x:c r="AK2381" s="1" t="n">
        <x:f>IF(A2381="",0,COUNTIFS($A$2:$A$501,A2381))</x:f>
        <x:v>0</x:v>
      </x:c>
      <x:c r="AL2381" s="1" t="n">
        <x:f>IF(V2381="Candidate",1,0)</x:f>
        <x:v>0</x:v>
      </x:c>
      <x:c r="AM2381" s="1" t="n">
        <x:f>IF(A2381="",0,VALUE(A2381))</x:f>
        <x:v>0</x:v>
      </x:c>
      <x:c r="AN2381" s="1" t="n">
        <x:f>IF(OR(A2381="",COUNTIFS($T$41:$T$540,A2381)&lt;&gt;1),0,MATCH(A2381,$T$41:$T$540,0))</x:f>
        <x:v>0</x:v>
      </x:c>
      <x:c r="AO2381" t="n">
        <x:f>IF(ISNUMBER(W2381),W2381,10000+AM2381)</x:f>
        <x:v>10000</x:v>
      </x:c>
    </x:row>
    <x:row r="2382" ht="22" customHeight="1">
      <x:c r="A2382" s="1" t="str">
        <x:f>IF(A333="","",A333)</x:f>
      </x:c>
      <x:c r="B2382" s="1" t="str">
        <x:f>IF(A2382="","",B333)</x:f>
      </x:c>
      <x:c r="C2382" s="1" t="str">
        <x:f>IF(A2382="","",C333)</x:f>
      </x:c>
      <x:c r="D2382" s="1" t="str">
        <x:f>IF(A2382="","",E333)</x:f>
      </x:c>
      <x:c r="E2382" s="1" t="str">
        <x:f>IF(A2382="","",H333)</x:f>
      </x:c>
      <x:c r="F2382" s="1" t="str">
        <x:f>IF(ISNUMBER(K333),K333,"")</x:f>
      </x:c>
      <x:c r="G2382" s="1" t="str">
        <x:f>IF(ISNUMBER(L333),L333,"")</x:f>
      </x:c>
      <x:c r="H2382" s="1" t="str">
        <x:f>IF(A2382="","",IF(AND(UPPER(G333)="PHILADELPHIA",OR(C2382="District",AND(C2382="Charter",D333="Yes"))),"Yes","No"))</x:f>
      </x:c>
      <x:c r="I2382" s="1" t="n">
        <x:f>IF(OR(A2382="",COUNTIFS('Staff Review'!$A$8:$A$507,A2382)&lt;&gt;1),0,MATCH(A2382,'Staff Review'!$A$8:$A$507,0))</x:f>
        <x:v>0</x:v>
      </x:c>
      <x:c r="J2382" s="1" t="str">
        <x:f>IF(I2382=0,"No",IF(INDEX('Staff Review'!$C$8:$C$507,I2382)="Yes","Yes","No"))</x:f>
        <x:v>No</x:v>
      </x:c>
      <x:c r="K2382" s="1" t="str">
        <x:f>IF(AI2382="Yes",INDEX('Staff Review'!$D$8:$D$507,I2382),IF(AB2382=0,"",IF(COUNT(INDEX($C$1531:$C$2030,AB2382))=1,INDEX($C$1531:$C$2030,AB2382),"")))</x:f>
      </x:c>
      <x:c r="L2382" s="1" t="str">
        <x:f>IF(AJ2382="Yes",INDEX('Staff Review'!$F$8:$F$507,I2382),IF(AB2382=0,"",IF(COUNT(INDEX($G$1531:$G$2030,AB2382))=1,INDEX($G$1531:$G$2030,AB2382),"")))</x:f>
      </x:c>
      <x:c r="M2382" s="1" t="str">
        <x:f>IF(A2382="","",IF(AI2382="Yes","Verified","Listed"))</x:f>
      </x:c>
      <x:c r="N2382" s="1" t="str">
        <x:f>IF(A2382="","",IF(AJ2382="Yes","Verified","Listed"))</x:f>
      </x:c>
      <x:c r="O2382" s="1" t="str">
        <x:f>IF(AND(ISNUMBER(G2382),G2382&gt;=0,G2382&lt;=1),IF(G2382&gt;=0.9,30,IF(G2382&gt;=0.8,25,IF(G2382&gt;=0.7,20,IF(G2382&gt;=0.6,15,IF(G2382&gt;=0.5,10,IF(G2382&gt;=0.4,5,0)))))),"")</x:f>
      </x:c>
      <x:c r="P2382" s="1" t="str">
        <x:f>IF(ISNUMBER(K2382),IF(K2382&lt;0,"",IF(K2382&gt;1,25,IF(K2382&gt;=0.75,20,IF(K2382&gt;=0.5,15,IF(K2382&gt;=0.25,10,5))))),"")</x:f>
      </x:c>
      <x:c r="Q2382" s="1" t="str">
        <x:f>IF(NOT(ISNUMBER(L2382)),"",IF(AND(L2382&gt;=0,MOD(L2382,1)=0),MAX(0,25-5*L2382),""))</x:f>
      </x:c>
      <x:c r="R2382" s="1" t="str">
        <x:f>IF(NOT(ISNUMBER(F2382)),"",IF(AND(F2382&gt;0,MOD(F2382,1)=0),IF(F2382&gt;=700,5,IF(F2382&gt;=500,4,IF(F2382&gt;=350,3,IF(F2382&gt;=200,2,1)))),""))</x:f>
      </x:c>
      <x:c r="S2382" s="1" t="str">
        <x:f>IF(COUNT(O2382:R2382)=4,SUM(O2382:R2382),"")</x:f>
      </x:c>
      <x:c r="T2382" s="1" t="str">
        <x:f>IF(OR(COUNT(O2382:R2382)&lt;&gt;4,COUNT('Top 15'!$B$35:$E$35)&lt;&gt;4,MIN('Top 15'!$B$35:$E$35)&lt;0,SUM('Top 15'!$B$35:$E$35)&lt;=0),"",ROUND(85*(O2382/30*'Top 15'!$B$35+P2382/25*'Top 15'!$C$35+Q2382/25*'Top 15'!$D$35+R2382/5*'Top 15'!$E$35)/SUM('Top 15'!$B$35:$E$35),6))</x:f>
      </x:c>
      <x:c r="U2382" s="1" t="str">
        <x:f>IF(A2382="","",IF(AND(M2382="Verified",N2382="Verified"),"Verified",IF(AND(M2382="Listed",N2382="Listed"),"Listed","Mixed")))</x:f>
      </x:c>
      <x:c r="V2382" s="1" t="str">
        <x:f>IF(A2382="","",IF(AK2382&lt;&gt;1,"Duplicate source ID",IF(COUNTIFS('Staff Review'!$A$8:$A$507,A2382)&gt;1,"Duplicate review ID",IF(H2382&lt;&gt;"Yes","Outside scope",IF(J2382="Yes","Already served",IF(NOT(ISNUMBER(T2382)),"Missing data","Candidate"))))))</x:f>
      </x:c>
      <x:c r="W2382" s="1" t="str">
        <x:f>IF(AL2382=0,"",1+COUNTIFS($AL$2051:$AL$2550,1,$T$2051:$T$2550,"&gt;"&amp;T2382)+COUNTIFS($AL$2051:$AL$2550,1,$T$2051:$T$2550,T2382,$G$2051:$G$2550,"&gt;"&amp;G2382)+COUNTIFS($AL$2051:$AL$2550,1,$T$2051:$T$2550,T2382,$G$2051:$G$2550,G2382,$F$2051:$F$2550,"&gt;"&amp;F2382)+COUNTIFS($AL$2051:$AL$2550,1,$T$2051:$T$2550,T2382,$G$2051:$G$2550,G2382,$F$2051:$F$2550,F2382,$AM$2051:$AM$2550,"&lt;"&amp;AM2382))</x:f>
      </x:c>
      <x:c r="X2382" s="1" t="str">
        <x:f>IF(AL2382=0,"",1+COUNTIFS($AL$2051:$AL$2550,1,$T$2051:$T$2550,"&gt;"&amp;T2382))</x:f>
      </x:c>
      <x:c r="Y2382" s="1" t="n">
        <x:f>IF(AND(H2382="Yes",OR(LEN('School Search'!$B$5)=0,ISNUMBER(SEARCH('School Search'!$B$5,B2382&amp;" "&amp;E2382&amp;" "&amp;A2382))),OR('School Search'!$D$5="All",C2382='School Search'!$D$5),OR('School Search'!$G$5="All eligible",AND('School Search'!$G$5="Not marked served",J2382&lt;&gt;"Yes"),AND('School Search'!$G$5="Missing data",V2382="Missing data"),AND('School Search'!$G$5="Marked served",J2382="Yes"))),1,0)</x:f>
        <x:v>0</x:v>
      </x:c>
      <x:c r="Z2382" s="1" t="str">
        <x:f>IF(Y2382=0,"",COUNTIFS($Y$2051:$Y$2550,1,$AO$2051:$AO$2550,"&lt;"&amp;AO2382)+COUNTIFS($Y$2051:Y2382,1,$AO$2051:AO2382,AO2382))</x:f>
      </x:c>
      <x:c r="AA2382" s="1" t="str">
        <x:f>IF(NOT(ISNUMBER(S2382)),"Missing demographic or access input",TEXT(G2382,"0%")&amp;" economic need; "&amp;TEXT(K2382,"0.00")&amp;" mi fresh access; "&amp;L2382&amp;" nearby resources")</x:f>
        <x:v>Missing demographic or access input</x:v>
      </x:c>
      <x:c r="AB2382" s="1" t="n">
        <x:f>IF(OR(A2382="",COUNTIFS($A$1531:$A$2030,A2382)&lt;&gt;1),0,MATCH(A2382,$A$1531:$A$2030,0))</x:f>
        <x:v>0</x:v>
      </x:c>
      <x:c r="AC2382" s="1" t="str">
        <x:f>IF(AB2382=0,"",INDEX($E$1531:$E$2030,AB2382))</x:f>
      </x:c>
      <x:c r="AD2382" s="1" t="str">
        <x:f>IF(AB2382=0,"",INDEX($F$1531:$F$2030,AB2382))</x:f>
      </x:c>
      <x:c r="AE2382" s="1" t="str">
        <x:f>IF(A2382="","",F333)</x:f>
      </x:c>
      <x:c r="AF2382" s="1" t="str">
        <x:f>IF(ISNUMBER(I333),I333,"")</x:f>
      </x:c>
      <x:c r="AG2382" s="1" t="str">
        <x:f>IF(ISNUMBER(J333),J333,"")</x:f>
      </x:c>
      <x:c r="AH2382" s="1" t="str">
        <x:f>IF(I2382=0,"Not contacted",IF(INDEX('Staff Review'!$J$8:$J$507,I2382)="","Not contacted",INDEX('Staff Review'!$J$8:$J$507,I2382)))</x:f>
        <x:v>Not contacted</x:v>
      </x:c>
      <x:c r="AI2382" s="1" t="str">
        <x:f>IF(I2382=0,"No",IF(AND(COUNT(INDEX('Staff Review'!$D$8:$D$507,I2382))=1,INDEX('Staff Review'!$D$8:$D$507,I2382)&gt;=0,COUNT(INDEX('Staff Review'!$E$8:$E$507,I2382))=1,INDEX('Staff Review'!$E$8:$E$507,I2382)&gt;0,INDEX('Staff Review'!$E$8:$E$507,I2382)&lt;='Top 15'!$E$5,'Top 15'!$E$5-INDEX('Staff Review'!$E$8:$E$507,I2382)&lt;='Top 15'!$H$5,LEN(INDEX('Staff Review'!$H$8:$H$507,I2382))&gt;0),"Yes","No"))</x:f>
        <x:v>No</x:v>
      </x:c>
      <x:c r="AJ2382" s="1" t="str">
        <x:f>IF(I2382=0,"No",IF(COUNT(INDEX('Staff Review'!$F$8:$F$507,I2382))&lt;&gt;1,"No",IF(AND(INDEX('Staff Review'!$F$8:$F$507,I2382)&gt;=0,MOD(INDEX('Staff Review'!$F$8:$F$507,I2382),1)=0,COUNT(INDEX('Staff Review'!$G$8:$G$507,I2382))=1,INDEX('Staff Review'!$G$8:$G$507,I2382)&gt;0,INDEX('Staff Review'!$G$8:$G$507,I2382)&lt;='Top 15'!$E$5,'Top 15'!$E$5-INDEX('Staff Review'!$G$8:$G$507,I2382)&lt;='Top 15'!$H$5,LEN(INDEX('Staff Review'!$H$8:$H$507,I2382))&gt;0),"Yes","No")))</x:f>
        <x:v>No</x:v>
      </x:c>
      <x:c r="AK2382" s="1" t="n">
        <x:f>IF(A2382="",0,COUNTIFS($A$2:$A$501,A2382))</x:f>
        <x:v>0</x:v>
      </x:c>
      <x:c r="AL2382" s="1" t="n">
        <x:f>IF(V2382="Candidate",1,0)</x:f>
        <x:v>0</x:v>
      </x:c>
      <x:c r="AM2382" s="1" t="n">
        <x:f>IF(A2382="",0,VALUE(A2382))</x:f>
        <x:v>0</x:v>
      </x:c>
      <x:c r="AN2382" s="1" t="n">
        <x:f>IF(OR(A2382="",COUNTIFS($T$41:$T$540,A2382)&lt;&gt;1),0,MATCH(A2382,$T$41:$T$540,0))</x:f>
        <x:v>0</x:v>
      </x:c>
      <x:c r="AO2382" t="n">
        <x:f>IF(ISNUMBER(W2382),W2382,10000+AM2382)</x:f>
        <x:v>10000</x:v>
      </x:c>
    </x:row>
    <x:row r="2383" ht="22" customHeight="1">
      <x:c r="A2383" s="1" t="str">
        <x:f>IF(A334="","",A334)</x:f>
      </x:c>
      <x:c r="B2383" s="1" t="str">
        <x:f>IF(A2383="","",B334)</x:f>
      </x:c>
      <x:c r="C2383" s="1" t="str">
        <x:f>IF(A2383="","",C334)</x:f>
      </x:c>
      <x:c r="D2383" s="1" t="str">
        <x:f>IF(A2383="","",E334)</x:f>
      </x:c>
      <x:c r="E2383" s="1" t="str">
        <x:f>IF(A2383="","",H334)</x:f>
      </x:c>
      <x:c r="F2383" s="1" t="str">
        <x:f>IF(ISNUMBER(K334),K334,"")</x:f>
      </x:c>
      <x:c r="G2383" s="1" t="str">
        <x:f>IF(ISNUMBER(L334),L334,"")</x:f>
      </x:c>
      <x:c r="H2383" s="1" t="str">
        <x:f>IF(A2383="","",IF(AND(UPPER(G334)="PHILADELPHIA",OR(C2383="District",AND(C2383="Charter",D334="Yes"))),"Yes","No"))</x:f>
      </x:c>
      <x:c r="I2383" s="1" t="n">
        <x:f>IF(OR(A2383="",COUNTIFS('Staff Review'!$A$8:$A$507,A2383)&lt;&gt;1),0,MATCH(A2383,'Staff Review'!$A$8:$A$507,0))</x:f>
        <x:v>0</x:v>
      </x:c>
      <x:c r="J2383" s="1" t="str">
        <x:f>IF(I2383=0,"No",IF(INDEX('Staff Review'!$C$8:$C$507,I2383)="Yes","Yes","No"))</x:f>
        <x:v>No</x:v>
      </x:c>
      <x:c r="K2383" s="1" t="str">
        <x:f>IF(AI2383="Yes",INDEX('Staff Review'!$D$8:$D$507,I2383),IF(AB2383=0,"",IF(COUNT(INDEX($C$1531:$C$2030,AB2383))=1,INDEX($C$1531:$C$2030,AB2383),"")))</x:f>
      </x:c>
      <x:c r="L2383" s="1" t="str">
        <x:f>IF(AJ2383="Yes",INDEX('Staff Review'!$F$8:$F$507,I2383),IF(AB2383=0,"",IF(COUNT(INDEX($G$1531:$G$2030,AB2383))=1,INDEX($G$1531:$G$2030,AB2383),"")))</x:f>
      </x:c>
      <x:c r="M2383" s="1" t="str">
        <x:f>IF(A2383="","",IF(AI2383="Yes","Verified","Listed"))</x:f>
      </x:c>
      <x:c r="N2383" s="1" t="str">
        <x:f>IF(A2383="","",IF(AJ2383="Yes","Verified","Listed"))</x:f>
      </x:c>
      <x:c r="O2383" s="1" t="str">
        <x:f>IF(AND(ISNUMBER(G2383),G2383&gt;=0,G2383&lt;=1),IF(G2383&gt;=0.9,30,IF(G2383&gt;=0.8,25,IF(G2383&gt;=0.7,20,IF(G2383&gt;=0.6,15,IF(G2383&gt;=0.5,10,IF(G2383&gt;=0.4,5,0)))))),"")</x:f>
      </x:c>
      <x:c r="P2383" s="1" t="str">
        <x:f>IF(ISNUMBER(K2383),IF(K2383&lt;0,"",IF(K2383&gt;1,25,IF(K2383&gt;=0.75,20,IF(K2383&gt;=0.5,15,IF(K2383&gt;=0.25,10,5))))),"")</x:f>
      </x:c>
      <x:c r="Q2383" s="1" t="str">
        <x:f>IF(NOT(ISNUMBER(L2383)),"",IF(AND(L2383&gt;=0,MOD(L2383,1)=0),MAX(0,25-5*L2383),""))</x:f>
      </x:c>
      <x:c r="R2383" s="1" t="str">
        <x:f>IF(NOT(ISNUMBER(F2383)),"",IF(AND(F2383&gt;0,MOD(F2383,1)=0),IF(F2383&gt;=700,5,IF(F2383&gt;=500,4,IF(F2383&gt;=350,3,IF(F2383&gt;=200,2,1)))),""))</x:f>
      </x:c>
      <x:c r="S2383" s="1" t="str">
        <x:f>IF(COUNT(O2383:R2383)=4,SUM(O2383:R2383),"")</x:f>
      </x:c>
      <x:c r="T2383" s="1" t="str">
        <x:f>IF(OR(COUNT(O2383:R2383)&lt;&gt;4,COUNT('Top 15'!$B$35:$E$35)&lt;&gt;4,MIN('Top 15'!$B$35:$E$35)&lt;0,SUM('Top 15'!$B$35:$E$35)&lt;=0),"",ROUND(85*(O2383/30*'Top 15'!$B$35+P2383/25*'Top 15'!$C$35+Q2383/25*'Top 15'!$D$35+R2383/5*'Top 15'!$E$35)/SUM('Top 15'!$B$35:$E$35),6))</x:f>
      </x:c>
      <x:c r="U2383" s="1" t="str">
        <x:f>IF(A2383="","",IF(AND(M2383="Verified",N2383="Verified"),"Verified",IF(AND(M2383="Listed",N2383="Listed"),"Listed","Mixed")))</x:f>
      </x:c>
      <x:c r="V2383" s="1" t="str">
        <x:f>IF(A2383="","",IF(AK2383&lt;&gt;1,"Duplicate source ID",IF(COUNTIFS('Staff Review'!$A$8:$A$507,A2383)&gt;1,"Duplicate review ID",IF(H2383&lt;&gt;"Yes","Outside scope",IF(J2383="Yes","Already served",IF(NOT(ISNUMBER(T2383)),"Missing data","Candidate"))))))</x:f>
      </x:c>
      <x:c r="W2383" s="1" t="str">
        <x:f>IF(AL2383=0,"",1+COUNTIFS($AL$2051:$AL$2550,1,$T$2051:$T$2550,"&gt;"&amp;T2383)+COUNTIFS($AL$2051:$AL$2550,1,$T$2051:$T$2550,T2383,$G$2051:$G$2550,"&gt;"&amp;G2383)+COUNTIFS($AL$2051:$AL$2550,1,$T$2051:$T$2550,T2383,$G$2051:$G$2550,G2383,$F$2051:$F$2550,"&gt;"&amp;F2383)+COUNTIFS($AL$2051:$AL$2550,1,$T$2051:$T$2550,T2383,$G$2051:$G$2550,G2383,$F$2051:$F$2550,F2383,$AM$2051:$AM$2550,"&lt;"&amp;AM2383))</x:f>
      </x:c>
      <x:c r="X2383" s="1" t="str">
        <x:f>IF(AL2383=0,"",1+COUNTIFS($AL$2051:$AL$2550,1,$T$2051:$T$2550,"&gt;"&amp;T2383))</x:f>
      </x:c>
      <x:c r="Y2383" s="1" t="n">
        <x:f>IF(AND(H2383="Yes",OR(LEN('School Search'!$B$5)=0,ISNUMBER(SEARCH('School Search'!$B$5,B2383&amp;" "&amp;E2383&amp;" "&amp;A2383))),OR('School Search'!$D$5="All",C2383='School Search'!$D$5),OR('School Search'!$G$5="All eligible",AND('School Search'!$G$5="Not marked served",J2383&lt;&gt;"Yes"),AND('School Search'!$G$5="Missing data",V2383="Missing data"),AND('School Search'!$G$5="Marked served",J2383="Yes"))),1,0)</x:f>
        <x:v>0</x:v>
      </x:c>
      <x:c r="Z2383" s="1" t="str">
        <x:f>IF(Y2383=0,"",COUNTIFS($Y$2051:$Y$2550,1,$AO$2051:$AO$2550,"&lt;"&amp;AO2383)+COUNTIFS($Y$2051:Y2383,1,$AO$2051:AO2383,AO2383))</x:f>
      </x:c>
      <x:c r="AA2383" s="1" t="str">
        <x:f>IF(NOT(ISNUMBER(S2383)),"Missing demographic or access input",TEXT(G2383,"0%")&amp;" economic need; "&amp;TEXT(K2383,"0.00")&amp;" mi fresh access; "&amp;L2383&amp;" nearby resources")</x:f>
        <x:v>Missing demographic or access input</x:v>
      </x:c>
      <x:c r="AB2383" s="1" t="n">
        <x:f>IF(OR(A2383="",COUNTIFS($A$1531:$A$2030,A2383)&lt;&gt;1),0,MATCH(A2383,$A$1531:$A$2030,0))</x:f>
        <x:v>0</x:v>
      </x:c>
      <x:c r="AC2383" s="1" t="str">
        <x:f>IF(AB2383=0,"",INDEX($E$1531:$E$2030,AB2383))</x:f>
      </x:c>
      <x:c r="AD2383" s="1" t="str">
        <x:f>IF(AB2383=0,"",INDEX($F$1531:$F$2030,AB2383))</x:f>
      </x:c>
      <x:c r="AE2383" s="1" t="str">
        <x:f>IF(A2383="","",F334)</x:f>
      </x:c>
      <x:c r="AF2383" s="1" t="str">
        <x:f>IF(ISNUMBER(I334),I334,"")</x:f>
      </x:c>
      <x:c r="AG2383" s="1" t="str">
        <x:f>IF(ISNUMBER(J334),J334,"")</x:f>
      </x:c>
      <x:c r="AH2383" s="1" t="str">
        <x:f>IF(I2383=0,"Not contacted",IF(INDEX('Staff Review'!$J$8:$J$507,I2383)="","Not contacted",INDEX('Staff Review'!$J$8:$J$507,I2383)))</x:f>
        <x:v>Not contacted</x:v>
      </x:c>
      <x:c r="AI2383" s="1" t="str">
        <x:f>IF(I2383=0,"No",IF(AND(COUNT(INDEX('Staff Review'!$D$8:$D$507,I2383))=1,INDEX('Staff Review'!$D$8:$D$507,I2383)&gt;=0,COUNT(INDEX('Staff Review'!$E$8:$E$507,I2383))=1,INDEX('Staff Review'!$E$8:$E$507,I2383)&gt;0,INDEX('Staff Review'!$E$8:$E$507,I2383)&lt;='Top 15'!$E$5,'Top 15'!$E$5-INDEX('Staff Review'!$E$8:$E$507,I2383)&lt;='Top 15'!$H$5,LEN(INDEX('Staff Review'!$H$8:$H$507,I2383))&gt;0),"Yes","No"))</x:f>
        <x:v>No</x:v>
      </x:c>
      <x:c r="AJ2383" s="1" t="str">
        <x:f>IF(I2383=0,"No",IF(COUNT(INDEX('Staff Review'!$F$8:$F$507,I2383))&lt;&gt;1,"No",IF(AND(INDEX('Staff Review'!$F$8:$F$507,I2383)&gt;=0,MOD(INDEX('Staff Review'!$F$8:$F$507,I2383),1)=0,COUNT(INDEX('Staff Review'!$G$8:$G$507,I2383))=1,INDEX('Staff Review'!$G$8:$G$507,I2383)&gt;0,INDEX('Staff Review'!$G$8:$G$507,I2383)&lt;='Top 15'!$E$5,'Top 15'!$E$5-INDEX('Staff Review'!$G$8:$G$507,I2383)&lt;='Top 15'!$H$5,LEN(INDEX('Staff Review'!$H$8:$H$507,I2383))&gt;0),"Yes","No")))</x:f>
        <x:v>No</x:v>
      </x:c>
      <x:c r="AK2383" s="1" t="n">
        <x:f>IF(A2383="",0,COUNTIFS($A$2:$A$501,A2383))</x:f>
        <x:v>0</x:v>
      </x:c>
      <x:c r="AL2383" s="1" t="n">
        <x:f>IF(V2383="Candidate",1,0)</x:f>
        <x:v>0</x:v>
      </x:c>
      <x:c r="AM2383" s="1" t="n">
        <x:f>IF(A2383="",0,VALUE(A2383))</x:f>
        <x:v>0</x:v>
      </x:c>
      <x:c r="AN2383" s="1" t="n">
        <x:f>IF(OR(A2383="",COUNTIFS($T$41:$T$540,A2383)&lt;&gt;1),0,MATCH(A2383,$T$41:$T$540,0))</x:f>
        <x:v>0</x:v>
      </x:c>
      <x:c r="AO2383" t="n">
        <x:f>IF(ISNUMBER(W2383),W2383,10000+AM2383)</x:f>
        <x:v>10000</x:v>
      </x:c>
    </x:row>
    <x:row r="2384" ht="22" customHeight="1">
      <x:c r="A2384" s="1" t="str">
        <x:f>IF(A335="","",A335)</x:f>
      </x:c>
      <x:c r="B2384" s="1" t="str">
        <x:f>IF(A2384="","",B335)</x:f>
      </x:c>
      <x:c r="C2384" s="1" t="str">
        <x:f>IF(A2384="","",C335)</x:f>
      </x:c>
      <x:c r="D2384" s="1" t="str">
        <x:f>IF(A2384="","",E335)</x:f>
      </x:c>
      <x:c r="E2384" s="1" t="str">
        <x:f>IF(A2384="","",H335)</x:f>
      </x:c>
      <x:c r="F2384" s="1" t="str">
        <x:f>IF(ISNUMBER(K335),K335,"")</x:f>
      </x:c>
      <x:c r="G2384" s="1" t="str">
        <x:f>IF(ISNUMBER(L335),L335,"")</x:f>
      </x:c>
      <x:c r="H2384" s="1" t="str">
        <x:f>IF(A2384="","",IF(AND(UPPER(G335)="PHILADELPHIA",OR(C2384="District",AND(C2384="Charter",D335="Yes"))),"Yes","No"))</x:f>
      </x:c>
      <x:c r="I2384" s="1" t="n">
        <x:f>IF(OR(A2384="",COUNTIFS('Staff Review'!$A$8:$A$507,A2384)&lt;&gt;1),0,MATCH(A2384,'Staff Review'!$A$8:$A$507,0))</x:f>
        <x:v>0</x:v>
      </x:c>
      <x:c r="J2384" s="1" t="str">
        <x:f>IF(I2384=0,"No",IF(INDEX('Staff Review'!$C$8:$C$507,I2384)="Yes","Yes","No"))</x:f>
        <x:v>No</x:v>
      </x:c>
      <x:c r="K2384" s="1" t="str">
        <x:f>IF(AI2384="Yes",INDEX('Staff Review'!$D$8:$D$507,I2384),IF(AB2384=0,"",IF(COUNT(INDEX($C$1531:$C$2030,AB2384))=1,INDEX($C$1531:$C$2030,AB2384),"")))</x:f>
      </x:c>
      <x:c r="L2384" s="1" t="str">
        <x:f>IF(AJ2384="Yes",INDEX('Staff Review'!$F$8:$F$507,I2384),IF(AB2384=0,"",IF(COUNT(INDEX($G$1531:$G$2030,AB2384))=1,INDEX($G$1531:$G$2030,AB2384),"")))</x:f>
      </x:c>
      <x:c r="M2384" s="1" t="str">
        <x:f>IF(A2384="","",IF(AI2384="Yes","Verified","Listed"))</x:f>
      </x:c>
      <x:c r="N2384" s="1" t="str">
        <x:f>IF(A2384="","",IF(AJ2384="Yes","Verified","Listed"))</x:f>
      </x:c>
      <x:c r="O2384" s="1" t="str">
        <x:f>IF(AND(ISNUMBER(G2384),G2384&gt;=0,G2384&lt;=1),IF(G2384&gt;=0.9,30,IF(G2384&gt;=0.8,25,IF(G2384&gt;=0.7,20,IF(G2384&gt;=0.6,15,IF(G2384&gt;=0.5,10,IF(G2384&gt;=0.4,5,0)))))),"")</x:f>
      </x:c>
      <x:c r="P2384" s="1" t="str">
        <x:f>IF(ISNUMBER(K2384),IF(K2384&lt;0,"",IF(K2384&gt;1,25,IF(K2384&gt;=0.75,20,IF(K2384&gt;=0.5,15,IF(K2384&gt;=0.25,10,5))))),"")</x:f>
      </x:c>
      <x:c r="Q2384" s="1" t="str">
        <x:f>IF(NOT(ISNUMBER(L2384)),"",IF(AND(L2384&gt;=0,MOD(L2384,1)=0),MAX(0,25-5*L2384),""))</x:f>
      </x:c>
      <x:c r="R2384" s="1" t="str">
        <x:f>IF(NOT(ISNUMBER(F2384)),"",IF(AND(F2384&gt;0,MOD(F2384,1)=0),IF(F2384&gt;=700,5,IF(F2384&gt;=500,4,IF(F2384&gt;=350,3,IF(F2384&gt;=200,2,1)))),""))</x:f>
      </x:c>
      <x:c r="S2384" s="1" t="str">
        <x:f>IF(COUNT(O2384:R2384)=4,SUM(O2384:R2384),"")</x:f>
      </x:c>
      <x:c r="T2384" s="1" t="str">
        <x:f>IF(OR(COUNT(O2384:R2384)&lt;&gt;4,COUNT('Top 15'!$B$35:$E$35)&lt;&gt;4,MIN('Top 15'!$B$35:$E$35)&lt;0,SUM('Top 15'!$B$35:$E$35)&lt;=0),"",ROUND(85*(O2384/30*'Top 15'!$B$35+P2384/25*'Top 15'!$C$35+Q2384/25*'Top 15'!$D$35+R2384/5*'Top 15'!$E$35)/SUM('Top 15'!$B$35:$E$35),6))</x:f>
      </x:c>
      <x:c r="U2384" s="1" t="str">
        <x:f>IF(A2384="","",IF(AND(M2384="Verified",N2384="Verified"),"Verified",IF(AND(M2384="Listed",N2384="Listed"),"Listed","Mixed")))</x:f>
      </x:c>
      <x:c r="V2384" s="1" t="str">
        <x:f>IF(A2384="","",IF(AK2384&lt;&gt;1,"Duplicate source ID",IF(COUNTIFS('Staff Review'!$A$8:$A$507,A2384)&gt;1,"Duplicate review ID",IF(H2384&lt;&gt;"Yes","Outside scope",IF(J2384="Yes","Already served",IF(NOT(ISNUMBER(T2384)),"Missing data","Candidate"))))))</x:f>
      </x:c>
      <x:c r="W2384" s="1" t="str">
        <x:f>IF(AL2384=0,"",1+COUNTIFS($AL$2051:$AL$2550,1,$T$2051:$T$2550,"&gt;"&amp;T2384)+COUNTIFS($AL$2051:$AL$2550,1,$T$2051:$T$2550,T2384,$G$2051:$G$2550,"&gt;"&amp;G2384)+COUNTIFS($AL$2051:$AL$2550,1,$T$2051:$T$2550,T2384,$G$2051:$G$2550,G2384,$F$2051:$F$2550,"&gt;"&amp;F2384)+COUNTIFS($AL$2051:$AL$2550,1,$T$2051:$T$2550,T2384,$G$2051:$G$2550,G2384,$F$2051:$F$2550,F2384,$AM$2051:$AM$2550,"&lt;"&amp;AM2384))</x:f>
      </x:c>
      <x:c r="X2384" s="1" t="str">
        <x:f>IF(AL2384=0,"",1+COUNTIFS($AL$2051:$AL$2550,1,$T$2051:$T$2550,"&gt;"&amp;T2384))</x:f>
      </x:c>
      <x:c r="Y2384" s="1" t="n">
        <x:f>IF(AND(H2384="Yes",OR(LEN('School Search'!$B$5)=0,ISNUMBER(SEARCH('School Search'!$B$5,B2384&amp;" "&amp;E2384&amp;" "&amp;A2384))),OR('School Search'!$D$5="All",C2384='School Search'!$D$5),OR('School Search'!$G$5="All eligible",AND('School Search'!$G$5="Not marked served",J2384&lt;&gt;"Yes"),AND('School Search'!$G$5="Missing data",V2384="Missing data"),AND('School Search'!$G$5="Marked served",J2384="Yes"))),1,0)</x:f>
        <x:v>0</x:v>
      </x:c>
      <x:c r="Z2384" s="1" t="str">
        <x:f>IF(Y2384=0,"",COUNTIFS($Y$2051:$Y$2550,1,$AO$2051:$AO$2550,"&lt;"&amp;AO2384)+COUNTIFS($Y$2051:Y2384,1,$AO$2051:AO2384,AO2384))</x:f>
      </x:c>
      <x:c r="AA2384" s="1" t="str">
        <x:f>IF(NOT(ISNUMBER(S2384)),"Missing demographic or access input",TEXT(G2384,"0%")&amp;" economic need; "&amp;TEXT(K2384,"0.00")&amp;" mi fresh access; "&amp;L2384&amp;" nearby resources")</x:f>
        <x:v>Missing demographic or access input</x:v>
      </x:c>
      <x:c r="AB2384" s="1" t="n">
        <x:f>IF(OR(A2384="",COUNTIFS($A$1531:$A$2030,A2384)&lt;&gt;1),0,MATCH(A2384,$A$1531:$A$2030,0))</x:f>
        <x:v>0</x:v>
      </x:c>
      <x:c r="AC2384" s="1" t="str">
        <x:f>IF(AB2384=0,"",INDEX($E$1531:$E$2030,AB2384))</x:f>
      </x:c>
      <x:c r="AD2384" s="1" t="str">
        <x:f>IF(AB2384=0,"",INDEX($F$1531:$F$2030,AB2384))</x:f>
      </x:c>
      <x:c r="AE2384" s="1" t="str">
        <x:f>IF(A2384="","",F335)</x:f>
      </x:c>
      <x:c r="AF2384" s="1" t="str">
        <x:f>IF(ISNUMBER(I335),I335,"")</x:f>
      </x:c>
      <x:c r="AG2384" s="1" t="str">
        <x:f>IF(ISNUMBER(J335),J335,"")</x:f>
      </x:c>
      <x:c r="AH2384" s="1" t="str">
        <x:f>IF(I2384=0,"Not contacted",IF(INDEX('Staff Review'!$J$8:$J$507,I2384)="","Not contacted",INDEX('Staff Review'!$J$8:$J$507,I2384)))</x:f>
        <x:v>Not contacted</x:v>
      </x:c>
      <x:c r="AI2384" s="1" t="str">
        <x:f>IF(I2384=0,"No",IF(AND(COUNT(INDEX('Staff Review'!$D$8:$D$507,I2384))=1,INDEX('Staff Review'!$D$8:$D$507,I2384)&gt;=0,COUNT(INDEX('Staff Review'!$E$8:$E$507,I2384))=1,INDEX('Staff Review'!$E$8:$E$507,I2384)&gt;0,INDEX('Staff Review'!$E$8:$E$507,I2384)&lt;='Top 15'!$E$5,'Top 15'!$E$5-INDEX('Staff Review'!$E$8:$E$507,I2384)&lt;='Top 15'!$H$5,LEN(INDEX('Staff Review'!$H$8:$H$507,I2384))&gt;0),"Yes","No"))</x:f>
        <x:v>No</x:v>
      </x:c>
      <x:c r="AJ2384" s="1" t="str">
        <x:f>IF(I2384=0,"No",IF(COUNT(INDEX('Staff Review'!$F$8:$F$507,I2384))&lt;&gt;1,"No",IF(AND(INDEX('Staff Review'!$F$8:$F$507,I2384)&gt;=0,MOD(INDEX('Staff Review'!$F$8:$F$507,I2384),1)=0,COUNT(INDEX('Staff Review'!$G$8:$G$507,I2384))=1,INDEX('Staff Review'!$G$8:$G$507,I2384)&gt;0,INDEX('Staff Review'!$G$8:$G$507,I2384)&lt;='Top 15'!$E$5,'Top 15'!$E$5-INDEX('Staff Review'!$G$8:$G$507,I2384)&lt;='Top 15'!$H$5,LEN(INDEX('Staff Review'!$H$8:$H$507,I2384))&gt;0),"Yes","No")))</x:f>
        <x:v>No</x:v>
      </x:c>
      <x:c r="AK2384" s="1" t="n">
        <x:f>IF(A2384="",0,COUNTIFS($A$2:$A$501,A2384))</x:f>
        <x:v>0</x:v>
      </x:c>
      <x:c r="AL2384" s="1" t="n">
        <x:f>IF(V2384="Candidate",1,0)</x:f>
        <x:v>0</x:v>
      </x:c>
      <x:c r="AM2384" s="1" t="n">
        <x:f>IF(A2384="",0,VALUE(A2384))</x:f>
        <x:v>0</x:v>
      </x:c>
      <x:c r="AN2384" s="1" t="n">
        <x:f>IF(OR(A2384="",COUNTIFS($T$41:$T$540,A2384)&lt;&gt;1),0,MATCH(A2384,$T$41:$T$540,0))</x:f>
        <x:v>0</x:v>
      </x:c>
      <x:c r="AO2384" t="n">
        <x:f>IF(ISNUMBER(W2384),W2384,10000+AM2384)</x:f>
        <x:v>10000</x:v>
      </x:c>
    </x:row>
    <x:row r="2385" ht="22" customHeight="1">
      <x:c r="A2385" s="1" t="str">
        <x:f>IF(A336="","",A336)</x:f>
      </x:c>
      <x:c r="B2385" s="1" t="str">
        <x:f>IF(A2385="","",B336)</x:f>
      </x:c>
      <x:c r="C2385" s="1" t="str">
        <x:f>IF(A2385="","",C336)</x:f>
      </x:c>
      <x:c r="D2385" s="1" t="str">
        <x:f>IF(A2385="","",E336)</x:f>
      </x:c>
      <x:c r="E2385" s="1" t="str">
        <x:f>IF(A2385="","",H336)</x:f>
      </x:c>
      <x:c r="F2385" s="1" t="str">
        <x:f>IF(ISNUMBER(K336),K336,"")</x:f>
      </x:c>
      <x:c r="G2385" s="1" t="str">
        <x:f>IF(ISNUMBER(L336),L336,"")</x:f>
      </x:c>
      <x:c r="H2385" s="1" t="str">
        <x:f>IF(A2385="","",IF(AND(UPPER(G336)="PHILADELPHIA",OR(C2385="District",AND(C2385="Charter",D336="Yes"))),"Yes","No"))</x:f>
      </x:c>
      <x:c r="I2385" s="1" t="n">
        <x:f>IF(OR(A2385="",COUNTIFS('Staff Review'!$A$8:$A$507,A2385)&lt;&gt;1),0,MATCH(A2385,'Staff Review'!$A$8:$A$507,0))</x:f>
        <x:v>0</x:v>
      </x:c>
      <x:c r="J2385" s="1" t="str">
        <x:f>IF(I2385=0,"No",IF(INDEX('Staff Review'!$C$8:$C$507,I2385)="Yes","Yes","No"))</x:f>
        <x:v>No</x:v>
      </x:c>
      <x:c r="K2385" s="1" t="str">
        <x:f>IF(AI2385="Yes",INDEX('Staff Review'!$D$8:$D$507,I2385),IF(AB2385=0,"",IF(COUNT(INDEX($C$1531:$C$2030,AB2385))=1,INDEX($C$1531:$C$2030,AB2385),"")))</x:f>
      </x:c>
      <x:c r="L2385" s="1" t="str">
        <x:f>IF(AJ2385="Yes",INDEX('Staff Review'!$F$8:$F$507,I2385),IF(AB2385=0,"",IF(COUNT(INDEX($G$1531:$G$2030,AB2385))=1,INDEX($G$1531:$G$2030,AB2385),"")))</x:f>
      </x:c>
      <x:c r="M2385" s="1" t="str">
        <x:f>IF(A2385="","",IF(AI2385="Yes","Verified","Listed"))</x:f>
      </x:c>
      <x:c r="N2385" s="1" t="str">
        <x:f>IF(A2385="","",IF(AJ2385="Yes","Verified","Listed"))</x:f>
      </x:c>
      <x:c r="O2385" s="1" t="str">
        <x:f>IF(AND(ISNUMBER(G2385),G2385&gt;=0,G2385&lt;=1),IF(G2385&gt;=0.9,30,IF(G2385&gt;=0.8,25,IF(G2385&gt;=0.7,20,IF(G2385&gt;=0.6,15,IF(G2385&gt;=0.5,10,IF(G2385&gt;=0.4,5,0)))))),"")</x:f>
      </x:c>
      <x:c r="P2385" s="1" t="str">
        <x:f>IF(ISNUMBER(K2385),IF(K2385&lt;0,"",IF(K2385&gt;1,25,IF(K2385&gt;=0.75,20,IF(K2385&gt;=0.5,15,IF(K2385&gt;=0.25,10,5))))),"")</x:f>
      </x:c>
      <x:c r="Q2385" s="1" t="str">
        <x:f>IF(NOT(ISNUMBER(L2385)),"",IF(AND(L2385&gt;=0,MOD(L2385,1)=0),MAX(0,25-5*L2385),""))</x:f>
      </x:c>
      <x:c r="R2385" s="1" t="str">
        <x:f>IF(NOT(ISNUMBER(F2385)),"",IF(AND(F2385&gt;0,MOD(F2385,1)=0),IF(F2385&gt;=700,5,IF(F2385&gt;=500,4,IF(F2385&gt;=350,3,IF(F2385&gt;=200,2,1)))),""))</x:f>
      </x:c>
      <x:c r="S2385" s="1" t="str">
        <x:f>IF(COUNT(O2385:R2385)=4,SUM(O2385:R2385),"")</x:f>
      </x:c>
      <x:c r="T2385" s="1" t="str">
        <x:f>IF(OR(COUNT(O2385:R2385)&lt;&gt;4,COUNT('Top 15'!$B$35:$E$35)&lt;&gt;4,MIN('Top 15'!$B$35:$E$35)&lt;0,SUM('Top 15'!$B$35:$E$35)&lt;=0),"",ROUND(85*(O2385/30*'Top 15'!$B$35+P2385/25*'Top 15'!$C$35+Q2385/25*'Top 15'!$D$35+R2385/5*'Top 15'!$E$35)/SUM('Top 15'!$B$35:$E$35),6))</x:f>
      </x:c>
      <x:c r="U2385" s="1" t="str">
        <x:f>IF(A2385="","",IF(AND(M2385="Verified",N2385="Verified"),"Verified",IF(AND(M2385="Listed",N2385="Listed"),"Listed","Mixed")))</x:f>
      </x:c>
      <x:c r="V2385" s="1" t="str">
        <x:f>IF(A2385="","",IF(AK2385&lt;&gt;1,"Duplicate source ID",IF(COUNTIFS('Staff Review'!$A$8:$A$507,A2385)&gt;1,"Duplicate review ID",IF(H2385&lt;&gt;"Yes","Outside scope",IF(J2385="Yes","Already served",IF(NOT(ISNUMBER(T2385)),"Missing data","Candidate"))))))</x:f>
      </x:c>
      <x:c r="W2385" s="1" t="str">
        <x:f>IF(AL2385=0,"",1+COUNTIFS($AL$2051:$AL$2550,1,$T$2051:$T$2550,"&gt;"&amp;T2385)+COUNTIFS($AL$2051:$AL$2550,1,$T$2051:$T$2550,T2385,$G$2051:$G$2550,"&gt;"&amp;G2385)+COUNTIFS($AL$2051:$AL$2550,1,$T$2051:$T$2550,T2385,$G$2051:$G$2550,G2385,$F$2051:$F$2550,"&gt;"&amp;F2385)+COUNTIFS($AL$2051:$AL$2550,1,$T$2051:$T$2550,T2385,$G$2051:$G$2550,G2385,$F$2051:$F$2550,F2385,$AM$2051:$AM$2550,"&lt;"&amp;AM2385))</x:f>
      </x:c>
      <x:c r="X2385" s="1" t="str">
        <x:f>IF(AL2385=0,"",1+COUNTIFS($AL$2051:$AL$2550,1,$T$2051:$T$2550,"&gt;"&amp;T2385))</x:f>
      </x:c>
      <x:c r="Y2385" s="1" t="n">
        <x:f>IF(AND(H2385="Yes",OR(LEN('School Search'!$B$5)=0,ISNUMBER(SEARCH('School Search'!$B$5,B2385&amp;" "&amp;E2385&amp;" "&amp;A2385))),OR('School Search'!$D$5="All",C2385='School Search'!$D$5),OR('School Search'!$G$5="All eligible",AND('School Search'!$G$5="Not marked served",J2385&lt;&gt;"Yes"),AND('School Search'!$G$5="Missing data",V2385="Missing data"),AND('School Search'!$G$5="Marked served",J2385="Yes"))),1,0)</x:f>
        <x:v>0</x:v>
      </x:c>
      <x:c r="Z2385" s="1" t="str">
        <x:f>IF(Y2385=0,"",COUNTIFS($Y$2051:$Y$2550,1,$AO$2051:$AO$2550,"&lt;"&amp;AO2385)+COUNTIFS($Y$2051:Y2385,1,$AO$2051:AO2385,AO2385))</x:f>
      </x:c>
      <x:c r="AA2385" s="1" t="str">
        <x:f>IF(NOT(ISNUMBER(S2385)),"Missing demographic or access input",TEXT(G2385,"0%")&amp;" economic need; "&amp;TEXT(K2385,"0.00")&amp;" mi fresh access; "&amp;L2385&amp;" nearby resources")</x:f>
        <x:v>Missing demographic or access input</x:v>
      </x:c>
      <x:c r="AB2385" s="1" t="n">
        <x:f>IF(OR(A2385="",COUNTIFS($A$1531:$A$2030,A2385)&lt;&gt;1),0,MATCH(A2385,$A$1531:$A$2030,0))</x:f>
        <x:v>0</x:v>
      </x:c>
      <x:c r="AC2385" s="1" t="str">
        <x:f>IF(AB2385=0,"",INDEX($E$1531:$E$2030,AB2385))</x:f>
      </x:c>
      <x:c r="AD2385" s="1" t="str">
        <x:f>IF(AB2385=0,"",INDEX($F$1531:$F$2030,AB2385))</x:f>
      </x:c>
      <x:c r="AE2385" s="1" t="str">
        <x:f>IF(A2385="","",F336)</x:f>
      </x:c>
      <x:c r="AF2385" s="1" t="str">
        <x:f>IF(ISNUMBER(I336),I336,"")</x:f>
      </x:c>
      <x:c r="AG2385" s="1" t="str">
        <x:f>IF(ISNUMBER(J336),J336,"")</x:f>
      </x:c>
      <x:c r="AH2385" s="1" t="str">
        <x:f>IF(I2385=0,"Not contacted",IF(INDEX('Staff Review'!$J$8:$J$507,I2385)="","Not contacted",INDEX('Staff Review'!$J$8:$J$507,I2385)))</x:f>
        <x:v>Not contacted</x:v>
      </x:c>
      <x:c r="AI2385" s="1" t="str">
        <x:f>IF(I2385=0,"No",IF(AND(COUNT(INDEX('Staff Review'!$D$8:$D$507,I2385))=1,INDEX('Staff Review'!$D$8:$D$507,I2385)&gt;=0,COUNT(INDEX('Staff Review'!$E$8:$E$507,I2385))=1,INDEX('Staff Review'!$E$8:$E$507,I2385)&gt;0,INDEX('Staff Review'!$E$8:$E$507,I2385)&lt;='Top 15'!$E$5,'Top 15'!$E$5-INDEX('Staff Review'!$E$8:$E$507,I2385)&lt;='Top 15'!$H$5,LEN(INDEX('Staff Review'!$H$8:$H$507,I2385))&gt;0),"Yes","No"))</x:f>
        <x:v>No</x:v>
      </x:c>
      <x:c r="AJ2385" s="1" t="str">
        <x:f>IF(I2385=0,"No",IF(COUNT(INDEX('Staff Review'!$F$8:$F$507,I2385))&lt;&gt;1,"No",IF(AND(INDEX('Staff Review'!$F$8:$F$507,I2385)&gt;=0,MOD(INDEX('Staff Review'!$F$8:$F$507,I2385),1)=0,COUNT(INDEX('Staff Review'!$G$8:$G$507,I2385))=1,INDEX('Staff Review'!$G$8:$G$507,I2385)&gt;0,INDEX('Staff Review'!$G$8:$G$507,I2385)&lt;='Top 15'!$E$5,'Top 15'!$E$5-INDEX('Staff Review'!$G$8:$G$507,I2385)&lt;='Top 15'!$H$5,LEN(INDEX('Staff Review'!$H$8:$H$507,I2385))&gt;0),"Yes","No")))</x:f>
        <x:v>No</x:v>
      </x:c>
      <x:c r="AK2385" s="1" t="n">
        <x:f>IF(A2385="",0,COUNTIFS($A$2:$A$501,A2385))</x:f>
        <x:v>0</x:v>
      </x:c>
      <x:c r="AL2385" s="1" t="n">
        <x:f>IF(V2385="Candidate",1,0)</x:f>
        <x:v>0</x:v>
      </x:c>
      <x:c r="AM2385" s="1" t="n">
        <x:f>IF(A2385="",0,VALUE(A2385))</x:f>
        <x:v>0</x:v>
      </x:c>
      <x:c r="AN2385" s="1" t="n">
        <x:f>IF(OR(A2385="",COUNTIFS($T$41:$T$540,A2385)&lt;&gt;1),0,MATCH(A2385,$T$41:$T$540,0))</x:f>
        <x:v>0</x:v>
      </x:c>
      <x:c r="AO2385" t="n">
        <x:f>IF(ISNUMBER(W2385),W2385,10000+AM2385)</x:f>
        <x:v>10000</x:v>
      </x:c>
    </x:row>
    <x:row r="2386" ht="22" customHeight="1">
      <x:c r="A2386" s="1" t="str">
        <x:f>IF(A337="","",A337)</x:f>
      </x:c>
      <x:c r="B2386" s="1" t="str">
        <x:f>IF(A2386="","",B337)</x:f>
      </x:c>
      <x:c r="C2386" s="1" t="str">
        <x:f>IF(A2386="","",C337)</x:f>
      </x:c>
      <x:c r="D2386" s="1" t="str">
        <x:f>IF(A2386="","",E337)</x:f>
      </x:c>
      <x:c r="E2386" s="1" t="str">
        <x:f>IF(A2386="","",H337)</x:f>
      </x:c>
      <x:c r="F2386" s="1" t="str">
        <x:f>IF(ISNUMBER(K337),K337,"")</x:f>
      </x:c>
      <x:c r="G2386" s="1" t="str">
        <x:f>IF(ISNUMBER(L337),L337,"")</x:f>
      </x:c>
      <x:c r="H2386" s="1" t="str">
        <x:f>IF(A2386="","",IF(AND(UPPER(G337)="PHILADELPHIA",OR(C2386="District",AND(C2386="Charter",D337="Yes"))),"Yes","No"))</x:f>
      </x:c>
      <x:c r="I2386" s="1" t="n">
        <x:f>IF(OR(A2386="",COUNTIFS('Staff Review'!$A$8:$A$507,A2386)&lt;&gt;1),0,MATCH(A2386,'Staff Review'!$A$8:$A$507,0))</x:f>
        <x:v>0</x:v>
      </x:c>
      <x:c r="J2386" s="1" t="str">
        <x:f>IF(I2386=0,"No",IF(INDEX('Staff Review'!$C$8:$C$507,I2386)="Yes","Yes","No"))</x:f>
        <x:v>No</x:v>
      </x:c>
      <x:c r="K2386" s="1" t="str">
        <x:f>IF(AI2386="Yes",INDEX('Staff Review'!$D$8:$D$507,I2386),IF(AB2386=0,"",IF(COUNT(INDEX($C$1531:$C$2030,AB2386))=1,INDEX($C$1531:$C$2030,AB2386),"")))</x:f>
      </x:c>
      <x:c r="L2386" s="1" t="str">
        <x:f>IF(AJ2386="Yes",INDEX('Staff Review'!$F$8:$F$507,I2386),IF(AB2386=0,"",IF(COUNT(INDEX($G$1531:$G$2030,AB2386))=1,INDEX($G$1531:$G$2030,AB2386),"")))</x:f>
      </x:c>
      <x:c r="M2386" s="1" t="str">
        <x:f>IF(A2386="","",IF(AI2386="Yes","Verified","Listed"))</x:f>
      </x:c>
      <x:c r="N2386" s="1" t="str">
        <x:f>IF(A2386="","",IF(AJ2386="Yes","Verified","Listed"))</x:f>
      </x:c>
      <x:c r="O2386" s="1" t="str">
        <x:f>IF(AND(ISNUMBER(G2386),G2386&gt;=0,G2386&lt;=1),IF(G2386&gt;=0.9,30,IF(G2386&gt;=0.8,25,IF(G2386&gt;=0.7,20,IF(G2386&gt;=0.6,15,IF(G2386&gt;=0.5,10,IF(G2386&gt;=0.4,5,0)))))),"")</x:f>
      </x:c>
      <x:c r="P2386" s="1" t="str">
        <x:f>IF(ISNUMBER(K2386),IF(K2386&lt;0,"",IF(K2386&gt;1,25,IF(K2386&gt;=0.75,20,IF(K2386&gt;=0.5,15,IF(K2386&gt;=0.25,10,5))))),"")</x:f>
      </x:c>
      <x:c r="Q2386" s="1" t="str">
        <x:f>IF(NOT(ISNUMBER(L2386)),"",IF(AND(L2386&gt;=0,MOD(L2386,1)=0),MAX(0,25-5*L2386),""))</x:f>
      </x:c>
      <x:c r="R2386" s="1" t="str">
        <x:f>IF(NOT(ISNUMBER(F2386)),"",IF(AND(F2386&gt;0,MOD(F2386,1)=0),IF(F2386&gt;=700,5,IF(F2386&gt;=500,4,IF(F2386&gt;=350,3,IF(F2386&gt;=200,2,1)))),""))</x:f>
      </x:c>
      <x:c r="S2386" s="1" t="str">
        <x:f>IF(COUNT(O2386:R2386)=4,SUM(O2386:R2386),"")</x:f>
      </x:c>
      <x:c r="T2386" s="1" t="str">
        <x:f>IF(OR(COUNT(O2386:R2386)&lt;&gt;4,COUNT('Top 15'!$B$35:$E$35)&lt;&gt;4,MIN('Top 15'!$B$35:$E$35)&lt;0,SUM('Top 15'!$B$35:$E$35)&lt;=0),"",ROUND(85*(O2386/30*'Top 15'!$B$35+P2386/25*'Top 15'!$C$35+Q2386/25*'Top 15'!$D$35+R2386/5*'Top 15'!$E$35)/SUM('Top 15'!$B$35:$E$35),6))</x:f>
      </x:c>
      <x:c r="U2386" s="1" t="str">
        <x:f>IF(A2386="","",IF(AND(M2386="Verified",N2386="Verified"),"Verified",IF(AND(M2386="Listed",N2386="Listed"),"Listed","Mixed")))</x:f>
      </x:c>
      <x:c r="V2386" s="1" t="str">
        <x:f>IF(A2386="","",IF(AK2386&lt;&gt;1,"Duplicate source ID",IF(COUNTIFS('Staff Review'!$A$8:$A$507,A2386)&gt;1,"Duplicate review ID",IF(H2386&lt;&gt;"Yes","Outside scope",IF(J2386="Yes","Already served",IF(NOT(ISNUMBER(T2386)),"Missing data","Candidate"))))))</x:f>
      </x:c>
      <x:c r="W2386" s="1" t="str">
        <x:f>IF(AL2386=0,"",1+COUNTIFS($AL$2051:$AL$2550,1,$T$2051:$T$2550,"&gt;"&amp;T2386)+COUNTIFS($AL$2051:$AL$2550,1,$T$2051:$T$2550,T2386,$G$2051:$G$2550,"&gt;"&amp;G2386)+COUNTIFS($AL$2051:$AL$2550,1,$T$2051:$T$2550,T2386,$G$2051:$G$2550,G2386,$F$2051:$F$2550,"&gt;"&amp;F2386)+COUNTIFS($AL$2051:$AL$2550,1,$T$2051:$T$2550,T2386,$G$2051:$G$2550,G2386,$F$2051:$F$2550,F2386,$AM$2051:$AM$2550,"&lt;"&amp;AM2386))</x:f>
      </x:c>
      <x:c r="X2386" s="1" t="str">
        <x:f>IF(AL2386=0,"",1+COUNTIFS($AL$2051:$AL$2550,1,$T$2051:$T$2550,"&gt;"&amp;T2386))</x:f>
      </x:c>
      <x:c r="Y2386" s="1" t="n">
        <x:f>IF(AND(H2386="Yes",OR(LEN('School Search'!$B$5)=0,ISNUMBER(SEARCH('School Search'!$B$5,B2386&amp;" "&amp;E2386&amp;" "&amp;A2386))),OR('School Search'!$D$5="All",C2386='School Search'!$D$5),OR('School Search'!$G$5="All eligible",AND('School Search'!$G$5="Not marked served",J2386&lt;&gt;"Yes"),AND('School Search'!$G$5="Missing data",V2386="Missing data"),AND('School Search'!$G$5="Marked served",J2386="Yes"))),1,0)</x:f>
        <x:v>0</x:v>
      </x:c>
      <x:c r="Z2386" s="1" t="str">
        <x:f>IF(Y2386=0,"",COUNTIFS($Y$2051:$Y$2550,1,$AO$2051:$AO$2550,"&lt;"&amp;AO2386)+COUNTIFS($Y$2051:Y2386,1,$AO$2051:AO2386,AO2386))</x:f>
      </x:c>
      <x:c r="AA2386" s="1" t="str">
        <x:f>IF(NOT(ISNUMBER(S2386)),"Missing demographic or access input",TEXT(G2386,"0%")&amp;" economic need; "&amp;TEXT(K2386,"0.00")&amp;" mi fresh access; "&amp;L2386&amp;" nearby resources")</x:f>
        <x:v>Missing demographic or access input</x:v>
      </x:c>
      <x:c r="AB2386" s="1" t="n">
        <x:f>IF(OR(A2386="",COUNTIFS($A$1531:$A$2030,A2386)&lt;&gt;1),0,MATCH(A2386,$A$1531:$A$2030,0))</x:f>
        <x:v>0</x:v>
      </x:c>
      <x:c r="AC2386" s="1" t="str">
        <x:f>IF(AB2386=0,"",INDEX($E$1531:$E$2030,AB2386))</x:f>
      </x:c>
      <x:c r="AD2386" s="1" t="str">
        <x:f>IF(AB2386=0,"",INDEX($F$1531:$F$2030,AB2386))</x:f>
      </x:c>
      <x:c r="AE2386" s="1" t="str">
        <x:f>IF(A2386="","",F337)</x:f>
      </x:c>
      <x:c r="AF2386" s="1" t="str">
        <x:f>IF(ISNUMBER(I337),I337,"")</x:f>
      </x:c>
      <x:c r="AG2386" s="1" t="str">
        <x:f>IF(ISNUMBER(J337),J337,"")</x:f>
      </x:c>
      <x:c r="AH2386" s="1" t="str">
        <x:f>IF(I2386=0,"Not contacted",IF(INDEX('Staff Review'!$J$8:$J$507,I2386)="","Not contacted",INDEX('Staff Review'!$J$8:$J$507,I2386)))</x:f>
        <x:v>Not contacted</x:v>
      </x:c>
      <x:c r="AI2386" s="1" t="str">
        <x:f>IF(I2386=0,"No",IF(AND(COUNT(INDEX('Staff Review'!$D$8:$D$507,I2386))=1,INDEX('Staff Review'!$D$8:$D$507,I2386)&gt;=0,COUNT(INDEX('Staff Review'!$E$8:$E$507,I2386))=1,INDEX('Staff Review'!$E$8:$E$507,I2386)&gt;0,INDEX('Staff Review'!$E$8:$E$507,I2386)&lt;='Top 15'!$E$5,'Top 15'!$E$5-INDEX('Staff Review'!$E$8:$E$507,I2386)&lt;='Top 15'!$H$5,LEN(INDEX('Staff Review'!$H$8:$H$507,I2386))&gt;0),"Yes","No"))</x:f>
        <x:v>No</x:v>
      </x:c>
      <x:c r="AJ2386" s="1" t="str">
        <x:f>IF(I2386=0,"No",IF(COUNT(INDEX('Staff Review'!$F$8:$F$507,I2386))&lt;&gt;1,"No",IF(AND(INDEX('Staff Review'!$F$8:$F$507,I2386)&gt;=0,MOD(INDEX('Staff Review'!$F$8:$F$507,I2386),1)=0,COUNT(INDEX('Staff Review'!$G$8:$G$507,I2386))=1,INDEX('Staff Review'!$G$8:$G$507,I2386)&gt;0,INDEX('Staff Review'!$G$8:$G$507,I2386)&lt;='Top 15'!$E$5,'Top 15'!$E$5-INDEX('Staff Review'!$G$8:$G$507,I2386)&lt;='Top 15'!$H$5,LEN(INDEX('Staff Review'!$H$8:$H$507,I2386))&gt;0),"Yes","No")))</x:f>
        <x:v>No</x:v>
      </x:c>
      <x:c r="AK2386" s="1" t="n">
        <x:f>IF(A2386="",0,COUNTIFS($A$2:$A$501,A2386))</x:f>
        <x:v>0</x:v>
      </x:c>
      <x:c r="AL2386" s="1" t="n">
        <x:f>IF(V2386="Candidate",1,0)</x:f>
        <x:v>0</x:v>
      </x:c>
      <x:c r="AM2386" s="1" t="n">
        <x:f>IF(A2386="",0,VALUE(A2386))</x:f>
        <x:v>0</x:v>
      </x:c>
      <x:c r="AN2386" s="1" t="n">
        <x:f>IF(OR(A2386="",COUNTIFS($T$41:$T$540,A2386)&lt;&gt;1),0,MATCH(A2386,$T$41:$T$540,0))</x:f>
        <x:v>0</x:v>
      </x:c>
      <x:c r="AO2386" t="n">
        <x:f>IF(ISNUMBER(W2386),W2386,10000+AM2386)</x:f>
        <x:v>10000</x:v>
      </x:c>
    </x:row>
    <x:row r="2387" ht="22" customHeight="1">
      <x:c r="A2387" s="1" t="str">
        <x:f>IF(A338="","",A338)</x:f>
      </x:c>
      <x:c r="B2387" s="1" t="str">
        <x:f>IF(A2387="","",B338)</x:f>
      </x:c>
      <x:c r="C2387" s="1" t="str">
        <x:f>IF(A2387="","",C338)</x:f>
      </x:c>
      <x:c r="D2387" s="1" t="str">
        <x:f>IF(A2387="","",E338)</x:f>
      </x:c>
      <x:c r="E2387" s="1" t="str">
        <x:f>IF(A2387="","",H338)</x:f>
      </x:c>
      <x:c r="F2387" s="1" t="str">
        <x:f>IF(ISNUMBER(K338),K338,"")</x:f>
      </x:c>
      <x:c r="G2387" s="1" t="str">
        <x:f>IF(ISNUMBER(L338),L338,"")</x:f>
      </x:c>
      <x:c r="H2387" s="1" t="str">
        <x:f>IF(A2387="","",IF(AND(UPPER(G338)="PHILADELPHIA",OR(C2387="District",AND(C2387="Charter",D338="Yes"))),"Yes","No"))</x:f>
      </x:c>
      <x:c r="I2387" s="1" t="n">
        <x:f>IF(OR(A2387="",COUNTIFS('Staff Review'!$A$8:$A$507,A2387)&lt;&gt;1),0,MATCH(A2387,'Staff Review'!$A$8:$A$507,0))</x:f>
        <x:v>0</x:v>
      </x:c>
      <x:c r="J2387" s="1" t="str">
        <x:f>IF(I2387=0,"No",IF(INDEX('Staff Review'!$C$8:$C$507,I2387)="Yes","Yes","No"))</x:f>
        <x:v>No</x:v>
      </x:c>
      <x:c r="K2387" s="1" t="str">
        <x:f>IF(AI2387="Yes",INDEX('Staff Review'!$D$8:$D$507,I2387),IF(AB2387=0,"",IF(COUNT(INDEX($C$1531:$C$2030,AB2387))=1,INDEX($C$1531:$C$2030,AB2387),"")))</x:f>
      </x:c>
      <x:c r="L2387" s="1" t="str">
        <x:f>IF(AJ2387="Yes",INDEX('Staff Review'!$F$8:$F$507,I2387),IF(AB2387=0,"",IF(COUNT(INDEX($G$1531:$G$2030,AB2387))=1,INDEX($G$1531:$G$2030,AB2387),"")))</x:f>
      </x:c>
      <x:c r="M2387" s="1" t="str">
        <x:f>IF(A2387="","",IF(AI2387="Yes","Verified","Listed"))</x:f>
      </x:c>
      <x:c r="N2387" s="1" t="str">
        <x:f>IF(A2387="","",IF(AJ2387="Yes","Verified","Listed"))</x:f>
      </x:c>
      <x:c r="O2387" s="1" t="str">
        <x:f>IF(AND(ISNUMBER(G2387),G2387&gt;=0,G2387&lt;=1),IF(G2387&gt;=0.9,30,IF(G2387&gt;=0.8,25,IF(G2387&gt;=0.7,20,IF(G2387&gt;=0.6,15,IF(G2387&gt;=0.5,10,IF(G2387&gt;=0.4,5,0)))))),"")</x:f>
      </x:c>
      <x:c r="P2387" s="1" t="str">
        <x:f>IF(ISNUMBER(K2387),IF(K2387&lt;0,"",IF(K2387&gt;1,25,IF(K2387&gt;=0.75,20,IF(K2387&gt;=0.5,15,IF(K2387&gt;=0.25,10,5))))),"")</x:f>
      </x:c>
      <x:c r="Q2387" s="1" t="str">
        <x:f>IF(NOT(ISNUMBER(L2387)),"",IF(AND(L2387&gt;=0,MOD(L2387,1)=0),MAX(0,25-5*L2387),""))</x:f>
      </x:c>
      <x:c r="R2387" s="1" t="str">
        <x:f>IF(NOT(ISNUMBER(F2387)),"",IF(AND(F2387&gt;0,MOD(F2387,1)=0),IF(F2387&gt;=700,5,IF(F2387&gt;=500,4,IF(F2387&gt;=350,3,IF(F2387&gt;=200,2,1)))),""))</x:f>
      </x:c>
      <x:c r="S2387" s="1" t="str">
        <x:f>IF(COUNT(O2387:R2387)=4,SUM(O2387:R2387),"")</x:f>
      </x:c>
      <x:c r="T2387" s="1" t="str">
        <x:f>IF(OR(COUNT(O2387:R2387)&lt;&gt;4,COUNT('Top 15'!$B$35:$E$35)&lt;&gt;4,MIN('Top 15'!$B$35:$E$35)&lt;0,SUM('Top 15'!$B$35:$E$35)&lt;=0),"",ROUND(85*(O2387/30*'Top 15'!$B$35+P2387/25*'Top 15'!$C$35+Q2387/25*'Top 15'!$D$35+R2387/5*'Top 15'!$E$35)/SUM('Top 15'!$B$35:$E$35),6))</x:f>
      </x:c>
      <x:c r="U2387" s="1" t="str">
        <x:f>IF(A2387="","",IF(AND(M2387="Verified",N2387="Verified"),"Verified",IF(AND(M2387="Listed",N2387="Listed"),"Listed","Mixed")))</x:f>
      </x:c>
      <x:c r="V2387" s="1" t="str">
        <x:f>IF(A2387="","",IF(AK2387&lt;&gt;1,"Duplicate source ID",IF(COUNTIFS('Staff Review'!$A$8:$A$507,A2387)&gt;1,"Duplicate review ID",IF(H2387&lt;&gt;"Yes","Outside scope",IF(J2387="Yes","Already served",IF(NOT(ISNUMBER(T2387)),"Missing data","Candidate"))))))</x:f>
      </x:c>
      <x:c r="W2387" s="1" t="str">
        <x:f>IF(AL2387=0,"",1+COUNTIFS($AL$2051:$AL$2550,1,$T$2051:$T$2550,"&gt;"&amp;T2387)+COUNTIFS($AL$2051:$AL$2550,1,$T$2051:$T$2550,T2387,$G$2051:$G$2550,"&gt;"&amp;G2387)+COUNTIFS($AL$2051:$AL$2550,1,$T$2051:$T$2550,T2387,$G$2051:$G$2550,G2387,$F$2051:$F$2550,"&gt;"&amp;F2387)+COUNTIFS($AL$2051:$AL$2550,1,$T$2051:$T$2550,T2387,$G$2051:$G$2550,G2387,$F$2051:$F$2550,F2387,$AM$2051:$AM$2550,"&lt;"&amp;AM2387))</x:f>
      </x:c>
      <x:c r="X2387" s="1" t="str">
        <x:f>IF(AL2387=0,"",1+COUNTIFS($AL$2051:$AL$2550,1,$T$2051:$T$2550,"&gt;"&amp;T2387))</x:f>
      </x:c>
      <x:c r="Y2387" s="1" t="n">
        <x:f>IF(AND(H2387="Yes",OR(LEN('School Search'!$B$5)=0,ISNUMBER(SEARCH('School Search'!$B$5,B2387&amp;" "&amp;E2387&amp;" "&amp;A2387))),OR('School Search'!$D$5="All",C2387='School Search'!$D$5),OR('School Search'!$G$5="All eligible",AND('School Search'!$G$5="Not marked served",J2387&lt;&gt;"Yes"),AND('School Search'!$G$5="Missing data",V2387="Missing data"),AND('School Search'!$G$5="Marked served",J2387="Yes"))),1,0)</x:f>
        <x:v>0</x:v>
      </x:c>
      <x:c r="Z2387" s="1" t="str">
        <x:f>IF(Y2387=0,"",COUNTIFS($Y$2051:$Y$2550,1,$AO$2051:$AO$2550,"&lt;"&amp;AO2387)+COUNTIFS($Y$2051:Y2387,1,$AO$2051:AO2387,AO2387))</x:f>
      </x:c>
      <x:c r="AA2387" s="1" t="str">
        <x:f>IF(NOT(ISNUMBER(S2387)),"Missing demographic or access input",TEXT(G2387,"0%")&amp;" economic need; "&amp;TEXT(K2387,"0.00")&amp;" mi fresh access; "&amp;L2387&amp;" nearby resources")</x:f>
        <x:v>Missing demographic or access input</x:v>
      </x:c>
      <x:c r="AB2387" s="1" t="n">
        <x:f>IF(OR(A2387="",COUNTIFS($A$1531:$A$2030,A2387)&lt;&gt;1),0,MATCH(A2387,$A$1531:$A$2030,0))</x:f>
        <x:v>0</x:v>
      </x:c>
      <x:c r="AC2387" s="1" t="str">
        <x:f>IF(AB2387=0,"",INDEX($E$1531:$E$2030,AB2387))</x:f>
      </x:c>
      <x:c r="AD2387" s="1" t="str">
        <x:f>IF(AB2387=0,"",INDEX($F$1531:$F$2030,AB2387))</x:f>
      </x:c>
      <x:c r="AE2387" s="1" t="str">
        <x:f>IF(A2387="","",F338)</x:f>
      </x:c>
      <x:c r="AF2387" s="1" t="str">
        <x:f>IF(ISNUMBER(I338),I338,"")</x:f>
      </x:c>
      <x:c r="AG2387" s="1" t="str">
        <x:f>IF(ISNUMBER(J338),J338,"")</x:f>
      </x:c>
      <x:c r="AH2387" s="1" t="str">
        <x:f>IF(I2387=0,"Not contacted",IF(INDEX('Staff Review'!$J$8:$J$507,I2387)="","Not contacted",INDEX('Staff Review'!$J$8:$J$507,I2387)))</x:f>
        <x:v>Not contacted</x:v>
      </x:c>
      <x:c r="AI2387" s="1" t="str">
        <x:f>IF(I2387=0,"No",IF(AND(COUNT(INDEX('Staff Review'!$D$8:$D$507,I2387))=1,INDEX('Staff Review'!$D$8:$D$507,I2387)&gt;=0,COUNT(INDEX('Staff Review'!$E$8:$E$507,I2387))=1,INDEX('Staff Review'!$E$8:$E$507,I2387)&gt;0,INDEX('Staff Review'!$E$8:$E$507,I2387)&lt;='Top 15'!$E$5,'Top 15'!$E$5-INDEX('Staff Review'!$E$8:$E$507,I2387)&lt;='Top 15'!$H$5,LEN(INDEX('Staff Review'!$H$8:$H$507,I2387))&gt;0),"Yes","No"))</x:f>
        <x:v>No</x:v>
      </x:c>
      <x:c r="AJ2387" s="1" t="str">
        <x:f>IF(I2387=0,"No",IF(COUNT(INDEX('Staff Review'!$F$8:$F$507,I2387))&lt;&gt;1,"No",IF(AND(INDEX('Staff Review'!$F$8:$F$507,I2387)&gt;=0,MOD(INDEX('Staff Review'!$F$8:$F$507,I2387),1)=0,COUNT(INDEX('Staff Review'!$G$8:$G$507,I2387))=1,INDEX('Staff Review'!$G$8:$G$507,I2387)&gt;0,INDEX('Staff Review'!$G$8:$G$507,I2387)&lt;='Top 15'!$E$5,'Top 15'!$E$5-INDEX('Staff Review'!$G$8:$G$507,I2387)&lt;='Top 15'!$H$5,LEN(INDEX('Staff Review'!$H$8:$H$507,I2387))&gt;0),"Yes","No")))</x:f>
        <x:v>No</x:v>
      </x:c>
      <x:c r="AK2387" s="1" t="n">
        <x:f>IF(A2387="",0,COUNTIFS($A$2:$A$501,A2387))</x:f>
        <x:v>0</x:v>
      </x:c>
      <x:c r="AL2387" s="1" t="n">
        <x:f>IF(V2387="Candidate",1,0)</x:f>
        <x:v>0</x:v>
      </x:c>
      <x:c r="AM2387" s="1" t="n">
        <x:f>IF(A2387="",0,VALUE(A2387))</x:f>
        <x:v>0</x:v>
      </x:c>
      <x:c r="AN2387" s="1" t="n">
        <x:f>IF(OR(A2387="",COUNTIFS($T$41:$T$540,A2387)&lt;&gt;1),0,MATCH(A2387,$T$41:$T$540,0))</x:f>
        <x:v>0</x:v>
      </x:c>
      <x:c r="AO2387" t="n">
        <x:f>IF(ISNUMBER(W2387),W2387,10000+AM2387)</x:f>
        <x:v>10000</x:v>
      </x:c>
    </x:row>
    <x:row r="2388" ht="22" customHeight="1">
      <x:c r="A2388" s="1" t="str">
        <x:f>IF(A339="","",A339)</x:f>
      </x:c>
      <x:c r="B2388" s="1" t="str">
        <x:f>IF(A2388="","",B339)</x:f>
      </x:c>
      <x:c r="C2388" s="1" t="str">
        <x:f>IF(A2388="","",C339)</x:f>
      </x:c>
      <x:c r="D2388" s="1" t="str">
        <x:f>IF(A2388="","",E339)</x:f>
      </x:c>
      <x:c r="E2388" s="1" t="str">
        <x:f>IF(A2388="","",H339)</x:f>
      </x:c>
      <x:c r="F2388" s="1" t="str">
        <x:f>IF(ISNUMBER(K339),K339,"")</x:f>
      </x:c>
      <x:c r="G2388" s="1" t="str">
        <x:f>IF(ISNUMBER(L339),L339,"")</x:f>
      </x:c>
      <x:c r="H2388" s="1" t="str">
        <x:f>IF(A2388="","",IF(AND(UPPER(G339)="PHILADELPHIA",OR(C2388="District",AND(C2388="Charter",D339="Yes"))),"Yes","No"))</x:f>
      </x:c>
      <x:c r="I2388" s="1" t="n">
        <x:f>IF(OR(A2388="",COUNTIFS('Staff Review'!$A$8:$A$507,A2388)&lt;&gt;1),0,MATCH(A2388,'Staff Review'!$A$8:$A$507,0))</x:f>
        <x:v>0</x:v>
      </x:c>
      <x:c r="J2388" s="1" t="str">
        <x:f>IF(I2388=0,"No",IF(INDEX('Staff Review'!$C$8:$C$507,I2388)="Yes","Yes","No"))</x:f>
        <x:v>No</x:v>
      </x:c>
      <x:c r="K2388" s="1" t="str">
        <x:f>IF(AI2388="Yes",INDEX('Staff Review'!$D$8:$D$507,I2388),IF(AB2388=0,"",IF(COUNT(INDEX($C$1531:$C$2030,AB2388))=1,INDEX($C$1531:$C$2030,AB2388),"")))</x:f>
      </x:c>
      <x:c r="L2388" s="1" t="str">
        <x:f>IF(AJ2388="Yes",INDEX('Staff Review'!$F$8:$F$507,I2388),IF(AB2388=0,"",IF(COUNT(INDEX($G$1531:$G$2030,AB2388))=1,INDEX($G$1531:$G$2030,AB2388),"")))</x:f>
      </x:c>
      <x:c r="M2388" s="1" t="str">
        <x:f>IF(A2388="","",IF(AI2388="Yes","Verified","Listed"))</x:f>
      </x:c>
      <x:c r="N2388" s="1" t="str">
        <x:f>IF(A2388="","",IF(AJ2388="Yes","Verified","Listed"))</x:f>
      </x:c>
      <x:c r="O2388" s="1" t="str">
        <x:f>IF(AND(ISNUMBER(G2388),G2388&gt;=0,G2388&lt;=1),IF(G2388&gt;=0.9,30,IF(G2388&gt;=0.8,25,IF(G2388&gt;=0.7,20,IF(G2388&gt;=0.6,15,IF(G2388&gt;=0.5,10,IF(G2388&gt;=0.4,5,0)))))),"")</x:f>
      </x:c>
      <x:c r="P2388" s="1" t="str">
        <x:f>IF(ISNUMBER(K2388),IF(K2388&lt;0,"",IF(K2388&gt;1,25,IF(K2388&gt;=0.75,20,IF(K2388&gt;=0.5,15,IF(K2388&gt;=0.25,10,5))))),"")</x:f>
      </x:c>
      <x:c r="Q2388" s="1" t="str">
        <x:f>IF(NOT(ISNUMBER(L2388)),"",IF(AND(L2388&gt;=0,MOD(L2388,1)=0),MAX(0,25-5*L2388),""))</x:f>
      </x:c>
      <x:c r="R2388" s="1" t="str">
        <x:f>IF(NOT(ISNUMBER(F2388)),"",IF(AND(F2388&gt;0,MOD(F2388,1)=0),IF(F2388&gt;=700,5,IF(F2388&gt;=500,4,IF(F2388&gt;=350,3,IF(F2388&gt;=200,2,1)))),""))</x:f>
      </x:c>
      <x:c r="S2388" s="1" t="str">
        <x:f>IF(COUNT(O2388:R2388)=4,SUM(O2388:R2388),"")</x:f>
      </x:c>
      <x:c r="T2388" s="1" t="str">
        <x:f>IF(OR(COUNT(O2388:R2388)&lt;&gt;4,COUNT('Top 15'!$B$35:$E$35)&lt;&gt;4,MIN('Top 15'!$B$35:$E$35)&lt;0,SUM('Top 15'!$B$35:$E$35)&lt;=0),"",ROUND(85*(O2388/30*'Top 15'!$B$35+P2388/25*'Top 15'!$C$35+Q2388/25*'Top 15'!$D$35+R2388/5*'Top 15'!$E$35)/SUM('Top 15'!$B$35:$E$35),6))</x:f>
      </x:c>
      <x:c r="U2388" s="1" t="str">
        <x:f>IF(A2388="","",IF(AND(M2388="Verified",N2388="Verified"),"Verified",IF(AND(M2388="Listed",N2388="Listed"),"Listed","Mixed")))</x:f>
      </x:c>
      <x:c r="V2388" s="1" t="str">
        <x:f>IF(A2388="","",IF(AK2388&lt;&gt;1,"Duplicate source ID",IF(COUNTIFS('Staff Review'!$A$8:$A$507,A2388)&gt;1,"Duplicate review ID",IF(H2388&lt;&gt;"Yes","Outside scope",IF(J2388="Yes","Already served",IF(NOT(ISNUMBER(T2388)),"Missing data","Candidate"))))))</x:f>
      </x:c>
      <x:c r="W2388" s="1" t="str">
        <x:f>IF(AL2388=0,"",1+COUNTIFS($AL$2051:$AL$2550,1,$T$2051:$T$2550,"&gt;"&amp;T2388)+COUNTIFS($AL$2051:$AL$2550,1,$T$2051:$T$2550,T2388,$G$2051:$G$2550,"&gt;"&amp;G2388)+COUNTIFS($AL$2051:$AL$2550,1,$T$2051:$T$2550,T2388,$G$2051:$G$2550,G2388,$F$2051:$F$2550,"&gt;"&amp;F2388)+COUNTIFS($AL$2051:$AL$2550,1,$T$2051:$T$2550,T2388,$G$2051:$G$2550,G2388,$F$2051:$F$2550,F2388,$AM$2051:$AM$2550,"&lt;"&amp;AM2388))</x:f>
      </x:c>
      <x:c r="X2388" s="1" t="str">
        <x:f>IF(AL2388=0,"",1+COUNTIFS($AL$2051:$AL$2550,1,$T$2051:$T$2550,"&gt;"&amp;T2388))</x:f>
      </x:c>
      <x:c r="Y2388" s="1" t="n">
        <x:f>IF(AND(H2388="Yes",OR(LEN('School Search'!$B$5)=0,ISNUMBER(SEARCH('School Search'!$B$5,B2388&amp;" "&amp;E2388&amp;" "&amp;A2388))),OR('School Search'!$D$5="All",C2388='School Search'!$D$5),OR('School Search'!$G$5="All eligible",AND('School Search'!$G$5="Not marked served",J2388&lt;&gt;"Yes"),AND('School Search'!$G$5="Missing data",V2388="Missing data"),AND('School Search'!$G$5="Marked served",J2388="Yes"))),1,0)</x:f>
        <x:v>0</x:v>
      </x:c>
      <x:c r="Z2388" s="1" t="str">
        <x:f>IF(Y2388=0,"",COUNTIFS($Y$2051:$Y$2550,1,$AO$2051:$AO$2550,"&lt;"&amp;AO2388)+COUNTIFS($Y$2051:Y2388,1,$AO$2051:AO2388,AO2388))</x:f>
      </x:c>
      <x:c r="AA2388" s="1" t="str">
        <x:f>IF(NOT(ISNUMBER(S2388)),"Missing demographic or access input",TEXT(G2388,"0%")&amp;" economic need; "&amp;TEXT(K2388,"0.00")&amp;" mi fresh access; "&amp;L2388&amp;" nearby resources")</x:f>
        <x:v>Missing demographic or access input</x:v>
      </x:c>
      <x:c r="AB2388" s="1" t="n">
        <x:f>IF(OR(A2388="",COUNTIFS($A$1531:$A$2030,A2388)&lt;&gt;1),0,MATCH(A2388,$A$1531:$A$2030,0))</x:f>
        <x:v>0</x:v>
      </x:c>
      <x:c r="AC2388" s="1" t="str">
        <x:f>IF(AB2388=0,"",INDEX($E$1531:$E$2030,AB2388))</x:f>
      </x:c>
      <x:c r="AD2388" s="1" t="str">
        <x:f>IF(AB2388=0,"",INDEX($F$1531:$F$2030,AB2388))</x:f>
      </x:c>
      <x:c r="AE2388" s="1" t="str">
        <x:f>IF(A2388="","",F339)</x:f>
      </x:c>
      <x:c r="AF2388" s="1" t="str">
        <x:f>IF(ISNUMBER(I339),I339,"")</x:f>
      </x:c>
      <x:c r="AG2388" s="1" t="str">
        <x:f>IF(ISNUMBER(J339),J339,"")</x:f>
      </x:c>
      <x:c r="AH2388" s="1" t="str">
        <x:f>IF(I2388=0,"Not contacted",IF(INDEX('Staff Review'!$J$8:$J$507,I2388)="","Not contacted",INDEX('Staff Review'!$J$8:$J$507,I2388)))</x:f>
        <x:v>Not contacted</x:v>
      </x:c>
      <x:c r="AI2388" s="1" t="str">
        <x:f>IF(I2388=0,"No",IF(AND(COUNT(INDEX('Staff Review'!$D$8:$D$507,I2388))=1,INDEX('Staff Review'!$D$8:$D$507,I2388)&gt;=0,COUNT(INDEX('Staff Review'!$E$8:$E$507,I2388))=1,INDEX('Staff Review'!$E$8:$E$507,I2388)&gt;0,INDEX('Staff Review'!$E$8:$E$507,I2388)&lt;='Top 15'!$E$5,'Top 15'!$E$5-INDEX('Staff Review'!$E$8:$E$507,I2388)&lt;='Top 15'!$H$5,LEN(INDEX('Staff Review'!$H$8:$H$507,I2388))&gt;0),"Yes","No"))</x:f>
        <x:v>No</x:v>
      </x:c>
      <x:c r="AJ2388" s="1" t="str">
        <x:f>IF(I2388=0,"No",IF(COUNT(INDEX('Staff Review'!$F$8:$F$507,I2388))&lt;&gt;1,"No",IF(AND(INDEX('Staff Review'!$F$8:$F$507,I2388)&gt;=0,MOD(INDEX('Staff Review'!$F$8:$F$507,I2388),1)=0,COUNT(INDEX('Staff Review'!$G$8:$G$507,I2388))=1,INDEX('Staff Review'!$G$8:$G$507,I2388)&gt;0,INDEX('Staff Review'!$G$8:$G$507,I2388)&lt;='Top 15'!$E$5,'Top 15'!$E$5-INDEX('Staff Review'!$G$8:$G$507,I2388)&lt;='Top 15'!$H$5,LEN(INDEX('Staff Review'!$H$8:$H$507,I2388))&gt;0),"Yes","No")))</x:f>
        <x:v>No</x:v>
      </x:c>
      <x:c r="AK2388" s="1" t="n">
        <x:f>IF(A2388="",0,COUNTIFS($A$2:$A$501,A2388))</x:f>
        <x:v>0</x:v>
      </x:c>
      <x:c r="AL2388" s="1" t="n">
        <x:f>IF(V2388="Candidate",1,0)</x:f>
        <x:v>0</x:v>
      </x:c>
      <x:c r="AM2388" s="1" t="n">
        <x:f>IF(A2388="",0,VALUE(A2388))</x:f>
        <x:v>0</x:v>
      </x:c>
      <x:c r="AN2388" s="1" t="n">
        <x:f>IF(OR(A2388="",COUNTIFS($T$41:$T$540,A2388)&lt;&gt;1),0,MATCH(A2388,$T$41:$T$540,0))</x:f>
        <x:v>0</x:v>
      </x:c>
      <x:c r="AO2388" t="n">
        <x:f>IF(ISNUMBER(W2388),W2388,10000+AM2388)</x:f>
        <x:v>10000</x:v>
      </x:c>
    </x:row>
    <x:row r="2389" ht="22" customHeight="1">
      <x:c r="A2389" s="1" t="str">
        <x:f>IF(A340="","",A340)</x:f>
      </x:c>
      <x:c r="B2389" s="1" t="str">
        <x:f>IF(A2389="","",B340)</x:f>
      </x:c>
      <x:c r="C2389" s="1" t="str">
        <x:f>IF(A2389="","",C340)</x:f>
      </x:c>
      <x:c r="D2389" s="1" t="str">
        <x:f>IF(A2389="","",E340)</x:f>
      </x:c>
      <x:c r="E2389" s="1" t="str">
        <x:f>IF(A2389="","",H340)</x:f>
      </x:c>
      <x:c r="F2389" s="1" t="str">
        <x:f>IF(ISNUMBER(K340),K340,"")</x:f>
      </x:c>
      <x:c r="G2389" s="1" t="str">
        <x:f>IF(ISNUMBER(L340),L340,"")</x:f>
      </x:c>
      <x:c r="H2389" s="1" t="str">
        <x:f>IF(A2389="","",IF(AND(UPPER(G340)="PHILADELPHIA",OR(C2389="District",AND(C2389="Charter",D340="Yes"))),"Yes","No"))</x:f>
      </x:c>
      <x:c r="I2389" s="1" t="n">
        <x:f>IF(OR(A2389="",COUNTIFS('Staff Review'!$A$8:$A$507,A2389)&lt;&gt;1),0,MATCH(A2389,'Staff Review'!$A$8:$A$507,0))</x:f>
        <x:v>0</x:v>
      </x:c>
      <x:c r="J2389" s="1" t="str">
        <x:f>IF(I2389=0,"No",IF(INDEX('Staff Review'!$C$8:$C$507,I2389)="Yes","Yes","No"))</x:f>
        <x:v>No</x:v>
      </x:c>
      <x:c r="K2389" s="1" t="str">
        <x:f>IF(AI2389="Yes",INDEX('Staff Review'!$D$8:$D$507,I2389),IF(AB2389=0,"",IF(COUNT(INDEX($C$1531:$C$2030,AB2389))=1,INDEX($C$1531:$C$2030,AB2389),"")))</x:f>
      </x:c>
      <x:c r="L2389" s="1" t="str">
        <x:f>IF(AJ2389="Yes",INDEX('Staff Review'!$F$8:$F$507,I2389),IF(AB2389=0,"",IF(COUNT(INDEX($G$1531:$G$2030,AB2389))=1,INDEX($G$1531:$G$2030,AB2389),"")))</x:f>
      </x:c>
      <x:c r="M2389" s="1" t="str">
        <x:f>IF(A2389="","",IF(AI2389="Yes","Verified","Listed"))</x:f>
      </x:c>
      <x:c r="N2389" s="1" t="str">
        <x:f>IF(A2389="","",IF(AJ2389="Yes","Verified","Listed"))</x:f>
      </x:c>
      <x:c r="O2389" s="1" t="str">
        <x:f>IF(AND(ISNUMBER(G2389),G2389&gt;=0,G2389&lt;=1),IF(G2389&gt;=0.9,30,IF(G2389&gt;=0.8,25,IF(G2389&gt;=0.7,20,IF(G2389&gt;=0.6,15,IF(G2389&gt;=0.5,10,IF(G2389&gt;=0.4,5,0)))))),"")</x:f>
      </x:c>
      <x:c r="P2389" s="1" t="str">
        <x:f>IF(ISNUMBER(K2389),IF(K2389&lt;0,"",IF(K2389&gt;1,25,IF(K2389&gt;=0.75,20,IF(K2389&gt;=0.5,15,IF(K2389&gt;=0.25,10,5))))),"")</x:f>
      </x:c>
      <x:c r="Q2389" s="1" t="str">
        <x:f>IF(NOT(ISNUMBER(L2389)),"",IF(AND(L2389&gt;=0,MOD(L2389,1)=0),MAX(0,25-5*L2389),""))</x:f>
      </x:c>
      <x:c r="R2389" s="1" t="str">
        <x:f>IF(NOT(ISNUMBER(F2389)),"",IF(AND(F2389&gt;0,MOD(F2389,1)=0),IF(F2389&gt;=700,5,IF(F2389&gt;=500,4,IF(F2389&gt;=350,3,IF(F2389&gt;=200,2,1)))),""))</x:f>
      </x:c>
      <x:c r="S2389" s="1" t="str">
        <x:f>IF(COUNT(O2389:R2389)=4,SUM(O2389:R2389),"")</x:f>
      </x:c>
      <x:c r="T2389" s="1" t="str">
        <x:f>IF(OR(COUNT(O2389:R2389)&lt;&gt;4,COUNT('Top 15'!$B$35:$E$35)&lt;&gt;4,MIN('Top 15'!$B$35:$E$35)&lt;0,SUM('Top 15'!$B$35:$E$35)&lt;=0),"",ROUND(85*(O2389/30*'Top 15'!$B$35+P2389/25*'Top 15'!$C$35+Q2389/25*'Top 15'!$D$35+R2389/5*'Top 15'!$E$35)/SUM('Top 15'!$B$35:$E$35),6))</x:f>
      </x:c>
      <x:c r="U2389" s="1" t="str">
        <x:f>IF(A2389="","",IF(AND(M2389="Verified",N2389="Verified"),"Verified",IF(AND(M2389="Listed",N2389="Listed"),"Listed","Mixed")))</x:f>
      </x:c>
      <x:c r="V2389" s="1" t="str">
        <x:f>IF(A2389="","",IF(AK2389&lt;&gt;1,"Duplicate source ID",IF(COUNTIFS('Staff Review'!$A$8:$A$507,A2389)&gt;1,"Duplicate review ID",IF(H2389&lt;&gt;"Yes","Outside scope",IF(J2389="Yes","Already served",IF(NOT(ISNUMBER(T2389)),"Missing data","Candidate"))))))</x:f>
      </x:c>
      <x:c r="W2389" s="1" t="str">
        <x:f>IF(AL2389=0,"",1+COUNTIFS($AL$2051:$AL$2550,1,$T$2051:$T$2550,"&gt;"&amp;T2389)+COUNTIFS($AL$2051:$AL$2550,1,$T$2051:$T$2550,T2389,$G$2051:$G$2550,"&gt;"&amp;G2389)+COUNTIFS($AL$2051:$AL$2550,1,$T$2051:$T$2550,T2389,$G$2051:$G$2550,G2389,$F$2051:$F$2550,"&gt;"&amp;F2389)+COUNTIFS($AL$2051:$AL$2550,1,$T$2051:$T$2550,T2389,$G$2051:$G$2550,G2389,$F$2051:$F$2550,F2389,$AM$2051:$AM$2550,"&lt;"&amp;AM2389))</x:f>
      </x:c>
      <x:c r="X2389" s="1" t="str">
        <x:f>IF(AL2389=0,"",1+COUNTIFS($AL$2051:$AL$2550,1,$T$2051:$T$2550,"&gt;"&amp;T2389))</x:f>
      </x:c>
      <x:c r="Y2389" s="1" t="n">
        <x:f>IF(AND(H2389="Yes",OR(LEN('School Search'!$B$5)=0,ISNUMBER(SEARCH('School Search'!$B$5,B2389&amp;" "&amp;E2389&amp;" "&amp;A2389))),OR('School Search'!$D$5="All",C2389='School Search'!$D$5),OR('School Search'!$G$5="All eligible",AND('School Search'!$G$5="Not marked served",J2389&lt;&gt;"Yes"),AND('School Search'!$G$5="Missing data",V2389="Missing data"),AND('School Search'!$G$5="Marked served",J2389="Yes"))),1,0)</x:f>
        <x:v>0</x:v>
      </x:c>
      <x:c r="Z2389" s="1" t="str">
        <x:f>IF(Y2389=0,"",COUNTIFS($Y$2051:$Y$2550,1,$AO$2051:$AO$2550,"&lt;"&amp;AO2389)+COUNTIFS($Y$2051:Y2389,1,$AO$2051:AO2389,AO2389))</x:f>
      </x:c>
      <x:c r="AA2389" s="1" t="str">
        <x:f>IF(NOT(ISNUMBER(S2389)),"Missing demographic or access input",TEXT(G2389,"0%")&amp;" economic need; "&amp;TEXT(K2389,"0.00")&amp;" mi fresh access; "&amp;L2389&amp;" nearby resources")</x:f>
        <x:v>Missing demographic or access input</x:v>
      </x:c>
      <x:c r="AB2389" s="1" t="n">
        <x:f>IF(OR(A2389="",COUNTIFS($A$1531:$A$2030,A2389)&lt;&gt;1),0,MATCH(A2389,$A$1531:$A$2030,0))</x:f>
        <x:v>0</x:v>
      </x:c>
      <x:c r="AC2389" s="1" t="str">
        <x:f>IF(AB2389=0,"",INDEX($E$1531:$E$2030,AB2389))</x:f>
      </x:c>
      <x:c r="AD2389" s="1" t="str">
        <x:f>IF(AB2389=0,"",INDEX($F$1531:$F$2030,AB2389))</x:f>
      </x:c>
      <x:c r="AE2389" s="1" t="str">
        <x:f>IF(A2389="","",F340)</x:f>
      </x:c>
      <x:c r="AF2389" s="1" t="str">
        <x:f>IF(ISNUMBER(I340),I340,"")</x:f>
      </x:c>
      <x:c r="AG2389" s="1" t="str">
        <x:f>IF(ISNUMBER(J340),J340,"")</x:f>
      </x:c>
      <x:c r="AH2389" s="1" t="str">
        <x:f>IF(I2389=0,"Not contacted",IF(INDEX('Staff Review'!$J$8:$J$507,I2389)="","Not contacted",INDEX('Staff Review'!$J$8:$J$507,I2389)))</x:f>
        <x:v>Not contacted</x:v>
      </x:c>
      <x:c r="AI2389" s="1" t="str">
        <x:f>IF(I2389=0,"No",IF(AND(COUNT(INDEX('Staff Review'!$D$8:$D$507,I2389))=1,INDEX('Staff Review'!$D$8:$D$507,I2389)&gt;=0,COUNT(INDEX('Staff Review'!$E$8:$E$507,I2389))=1,INDEX('Staff Review'!$E$8:$E$507,I2389)&gt;0,INDEX('Staff Review'!$E$8:$E$507,I2389)&lt;='Top 15'!$E$5,'Top 15'!$E$5-INDEX('Staff Review'!$E$8:$E$507,I2389)&lt;='Top 15'!$H$5,LEN(INDEX('Staff Review'!$H$8:$H$507,I2389))&gt;0),"Yes","No"))</x:f>
        <x:v>No</x:v>
      </x:c>
      <x:c r="AJ2389" s="1" t="str">
        <x:f>IF(I2389=0,"No",IF(COUNT(INDEX('Staff Review'!$F$8:$F$507,I2389))&lt;&gt;1,"No",IF(AND(INDEX('Staff Review'!$F$8:$F$507,I2389)&gt;=0,MOD(INDEX('Staff Review'!$F$8:$F$507,I2389),1)=0,COUNT(INDEX('Staff Review'!$G$8:$G$507,I2389))=1,INDEX('Staff Review'!$G$8:$G$507,I2389)&gt;0,INDEX('Staff Review'!$G$8:$G$507,I2389)&lt;='Top 15'!$E$5,'Top 15'!$E$5-INDEX('Staff Review'!$G$8:$G$507,I2389)&lt;='Top 15'!$H$5,LEN(INDEX('Staff Review'!$H$8:$H$507,I2389))&gt;0),"Yes","No")))</x:f>
        <x:v>No</x:v>
      </x:c>
      <x:c r="AK2389" s="1" t="n">
        <x:f>IF(A2389="",0,COUNTIFS($A$2:$A$501,A2389))</x:f>
        <x:v>0</x:v>
      </x:c>
      <x:c r="AL2389" s="1" t="n">
        <x:f>IF(V2389="Candidate",1,0)</x:f>
        <x:v>0</x:v>
      </x:c>
      <x:c r="AM2389" s="1" t="n">
        <x:f>IF(A2389="",0,VALUE(A2389))</x:f>
        <x:v>0</x:v>
      </x:c>
      <x:c r="AN2389" s="1" t="n">
        <x:f>IF(OR(A2389="",COUNTIFS($T$41:$T$540,A2389)&lt;&gt;1),0,MATCH(A2389,$T$41:$T$540,0))</x:f>
        <x:v>0</x:v>
      </x:c>
      <x:c r="AO2389" t="n">
        <x:f>IF(ISNUMBER(W2389),W2389,10000+AM2389)</x:f>
        <x:v>10000</x:v>
      </x:c>
    </x:row>
    <x:row r="2390" ht="22" customHeight="1">
      <x:c r="A2390" s="1" t="str">
        <x:f>IF(A341="","",A341)</x:f>
      </x:c>
      <x:c r="B2390" s="1" t="str">
        <x:f>IF(A2390="","",B341)</x:f>
      </x:c>
      <x:c r="C2390" s="1" t="str">
        <x:f>IF(A2390="","",C341)</x:f>
      </x:c>
      <x:c r="D2390" s="1" t="str">
        <x:f>IF(A2390="","",E341)</x:f>
      </x:c>
      <x:c r="E2390" s="1" t="str">
        <x:f>IF(A2390="","",H341)</x:f>
      </x:c>
      <x:c r="F2390" s="1" t="str">
        <x:f>IF(ISNUMBER(K341),K341,"")</x:f>
      </x:c>
      <x:c r="G2390" s="1" t="str">
        <x:f>IF(ISNUMBER(L341),L341,"")</x:f>
      </x:c>
      <x:c r="H2390" s="1" t="str">
        <x:f>IF(A2390="","",IF(AND(UPPER(G341)="PHILADELPHIA",OR(C2390="District",AND(C2390="Charter",D341="Yes"))),"Yes","No"))</x:f>
      </x:c>
      <x:c r="I2390" s="1" t="n">
        <x:f>IF(OR(A2390="",COUNTIFS('Staff Review'!$A$8:$A$507,A2390)&lt;&gt;1),0,MATCH(A2390,'Staff Review'!$A$8:$A$507,0))</x:f>
        <x:v>0</x:v>
      </x:c>
      <x:c r="J2390" s="1" t="str">
        <x:f>IF(I2390=0,"No",IF(INDEX('Staff Review'!$C$8:$C$507,I2390)="Yes","Yes","No"))</x:f>
        <x:v>No</x:v>
      </x:c>
      <x:c r="K2390" s="1" t="str">
        <x:f>IF(AI2390="Yes",INDEX('Staff Review'!$D$8:$D$507,I2390),IF(AB2390=0,"",IF(COUNT(INDEX($C$1531:$C$2030,AB2390))=1,INDEX($C$1531:$C$2030,AB2390),"")))</x:f>
      </x:c>
      <x:c r="L2390" s="1" t="str">
        <x:f>IF(AJ2390="Yes",INDEX('Staff Review'!$F$8:$F$507,I2390),IF(AB2390=0,"",IF(COUNT(INDEX($G$1531:$G$2030,AB2390))=1,INDEX($G$1531:$G$2030,AB2390),"")))</x:f>
      </x:c>
      <x:c r="M2390" s="1" t="str">
        <x:f>IF(A2390="","",IF(AI2390="Yes","Verified","Listed"))</x:f>
      </x:c>
      <x:c r="N2390" s="1" t="str">
        <x:f>IF(A2390="","",IF(AJ2390="Yes","Verified","Listed"))</x:f>
      </x:c>
      <x:c r="O2390" s="1" t="str">
        <x:f>IF(AND(ISNUMBER(G2390),G2390&gt;=0,G2390&lt;=1),IF(G2390&gt;=0.9,30,IF(G2390&gt;=0.8,25,IF(G2390&gt;=0.7,20,IF(G2390&gt;=0.6,15,IF(G2390&gt;=0.5,10,IF(G2390&gt;=0.4,5,0)))))),"")</x:f>
      </x:c>
      <x:c r="P2390" s="1" t="str">
        <x:f>IF(ISNUMBER(K2390),IF(K2390&lt;0,"",IF(K2390&gt;1,25,IF(K2390&gt;=0.75,20,IF(K2390&gt;=0.5,15,IF(K2390&gt;=0.25,10,5))))),"")</x:f>
      </x:c>
      <x:c r="Q2390" s="1" t="str">
        <x:f>IF(NOT(ISNUMBER(L2390)),"",IF(AND(L2390&gt;=0,MOD(L2390,1)=0),MAX(0,25-5*L2390),""))</x:f>
      </x:c>
      <x:c r="R2390" s="1" t="str">
        <x:f>IF(NOT(ISNUMBER(F2390)),"",IF(AND(F2390&gt;0,MOD(F2390,1)=0),IF(F2390&gt;=700,5,IF(F2390&gt;=500,4,IF(F2390&gt;=350,3,IF(F2390&gt;=200,2,1)))),""))</x:f>
      </x:c>
      <x:c r="S2390" s="1" t="str">
        <x:f>IF(COUNT(O2390:R2390)=4,SUM(O2390:R2390),"")</x:f>
      </x:c>
      <x:c r="T2390" s="1" t="str">
        <x:f>IF(OR(COUNT(O2390:R2390)&lt;&gt;4,COUNT('Top 15'!$B$35:$E$35)&lt;&gt;4,MIN('Top 15'!$B$35:$E$35)&lt;0,SUM('Top 15'!$B$35:$E$35)&lt;=0),"",ROUND(85*(O2390/30*'Top 15'!$B$35+P2390/25*'Top 15'!$C$35+Q2390/25*'Top 15'!$D$35+R2390/5*'Top 15'!$E$35)/SUM('Top 15'!$B$35:$E$35),6))</x:f>
      </x:c>
      <x:c r="U2390" s="1" t="str">
        <x:f>IF(A2390="","",IF(AND(M2390="Verified",N2390="Verified"),"Verified",IF(AND(M2390="Listed",N2390="Listed"),"Listed","Mixed")))</x:f>
      </x:c>
      <x:c r="V2390" s="1" t="str">
        <x:f>IF(A2390="","",IF(AK2390&lt;&gt;1,"Duplicate source ID",IF(COUNTIFS('Staff Review'!$A$8:$A$507,A2390)&gt;1,"Duplicate review ID",IF(H2390&lt;&gt;"Yes","Outside scope",IF(J2390="Yes","Already served",IF(NOT(ISNUMBER(T2390)),"Missing data","Candidate"))))))</x:f>
      </x:c>
      <x:c r="W2390" s="1" t="str">
        <x:f>IF(AL2390=0,"",1+COUNTIFS($AL$2051:$AL$2550,1,$T$2051:$T$2550,"&gt;"&amp;T2390)+COUNTIFS($AL$2051:$AL$2550,1,$T$2051:$T$2550,T2390,$G$2051:$G$2550,"&gt;"&amp;G2390)+COUNTIFS($AL$2051:$AL$2550,1,$T$2051:$T$2550,T2390,$G$2051:$G$2550,G2390,$F$2051:$F$2550,"&gt;"&amp;F2390)+COUNTIFS($AL$2051:$AL$2550,1,$T$2051:$T$2550,T2390,$G$2051:$G$2550,G2390,$F$2051:$F$2550,F2390,$AM$2051:$AM$2550,"&lt;"&amp;AM2390))</x:f>
      </x:c>
      <x:c r="X2390" s="1" t="str">
        <x:f>IF(AL2390=0,"",1+COUNTIFS($AL$2051:$AL$2550,1,$T$2051:$T$2550,"&gt;"&amp;T2390))</x:f>
      </x:c>
      <x:c r="Y2390" s="1" t="n">
        <x:f>IF(AND(H2390="Yes",OR(LEN('School Search'!$B$5)=0,ISNUMBER(SEARCH('School Search'!$B$5,B2390&amp;" "&amp;E2390&amp;" "&amp;A2390))),OR('School Search'!$D$5="All",C2390='School Search'!$D$5),OR('School Search'!$G$5="All eligible",AND('School Search'!$G$5="Not marked served",J2390&lt;&gt;"Yes"),AND('School Search'!$G$5="Missing data",V2390="Missing data"),AND('School Search'!$G$5="Marked served",J2390="Yes"))),1,0)</x:f>
        <x:v>0</x:v>
      </x:c>
      <x:c r="Z2390" s="1" t="str">
        <x:f>IF(Y2390=0,"",COUNTIFS($Y$2051:$Y$2550,1,$AO$2051:$AO$2550,"&lt;"&amp;AO2390)+COUNTIFS($Y$2051:Y2390,1,$AO$2051:AO2390,AO2390))</x:f>
      </x:c>
      <x:c r="AA2390" s="1" t="str">
        <x:f>IF(NOT(ISNUMBER(S2390)),"Missing demographic or access input",TEXT(G2390,"0%")&amp;" economic need; "&amp;TEXT(K2390,"0.00")&amp;" mi fresh access; "&amp;L2390&amp;" nearby resources")</x:f>
        <x:v>Missing demographic or access input</x:v>
      </x:c>
      <x:c r="AB2390" s="1" t="n">
        <x:f>IF(OR(A2390="",COUNTIFS($A$1531:$A$2030,A2390)&lt;&gt;1),0,MATCH(A2390,$A$1531:$A$2030,0))</x:f>
        <x:v>0</x:v>
      </x:c>
      <x:c r="AC2390" s="1" t="str">
        <x:f>IF(AB2390=0,"",INDEX($E$1531:$E$2030,AB2390))</x:f>
      </x:c>
      <x:c r="AD2390" s="1" t="str">
        <x:f>IF(AB2390=0,"",INDEX($F$1531:$F$2030,AB2390))</x:f>
      </x:c>
      <x:c r="AE2390" s="1" t="str">
        <x:f>IF(A2390="","",F341)</x:f>
      </x:c>
      <x:c r="AF2390" s="1" t="str">
        <x:f>IF(ISNUMBER(I341),I341,"")</x:f>
      </x:c>
      <x:c r="AG2390" s="1" t="str">
        <x:f>IF(ISNUMBER(J341),J341,"")</x:f>
      </x:c>
      <x:c r="AH2390" s="1" t="str">
        <x:f>IF(I2390=0,"Not contacted",IF(INDEX('Staff Review'!$J$8:$J$507,I2390)="","Not contacted",INDEX('Staff Review'!$J$8:$J$507,I2390)))</x:f>
        <x:v>Not contacted</x:v>
      </x:c>
      <x:c r="AI2390" s="1" t="str">
        <x:f>IF(I2390=0,"No",IF(AND(COUNT(INDEX('Staff Review'!$D$8:$D$507,I2390))=1,INDEX('Staff Review'!$D$8:$D$507,I2390)&gt;=0,COUNT(INDEX('Staff Review'!$E$8:$E$507,I2390))=1,INDEX('Staff Review'!$E$8:$E$507,I2390)&gt;0,INDEX('Staff Review'!$E$8:$E$507,I2390)&lt;='Top 15'!$E$5,'Top 15'!$E$5-INDEX('Staff Review'!$E$8:$E$507,I2390)&lt;='Top 15'!$H$5,LEN(INDEX('Staff Review'!$H$8:$H$507,I2390))&gt;0),"Yes","No"))</x:f>
        <x:v>No</x:v>
      </x:c>
      <x:c r="AJ2390" s="1" t="str">
        <x:f>IF(I2390=0,"No",IF(COUNT(INDEX('Staff Review'!$F$8:$F$507,I2390))&lt;&gt;1,"No",IF(AND(INDEX('Staff Review'!$F$8:$F$507,I2390)&gt;=0,MOD(INDEX('Staff Review'!$F$8:$F$507,I2390),1)=0,COUNT(INDEX('Staff Review'!$G$8:$G$507,I2390))=1,INDEX('Staff Review'!$G$8:$G$507,I2390)&gt;0,INDEX('Staff Review'!$G$8:$G$507,I2390)&lt;='Top 15'!$E$5,'Top 15'!$E$5-INDEX('Staff Review'!$G$8:$G$507,I2390)&lt;='Top 15'!$H$5,LEN(INDEX('Staff Review'!$H$8:$H$507,I2390))&gt;0),"Yes","No")))</x:f>
        <x:v>No</x:v>
      </x:c>
      <x:c r="AK2390" s="1" t="n">
        <x:f>IF(A2390="",0,COUNTIFS($A$2:$A$501,A2390))</x:f>
        <x:v>0</x:v>
      </x:c>
      <x:c r="AL2390" s="1" t="n">
        <x:f>IF(V2390="Candidate",1,0)</x:f>
        <x:v>0</x:v>
      </x:c>
      <x:c r="AM2390" s="1" t="n">
        <x:f>IF(A2390="",0,VALUE(A2390))</x:f>
        <x:v>0</x:v>
      </x:c>
      <x:c r="AN2390" s="1" t="n">
        <x:f>IF(OR(A2390="",COUNTIFS($T$41:$T$540,A2390)&lt;&gt;1),0,MATCH(A2390,$T$41:$T$540,0))</x:f>
        <x:v>0</x:v>
      </x:c>
      <x:c r="AO2390" t="n">
        <x:f>IF(ISNUMBER(W2390),W2390,10000+AM2390)</x:f>
        <x:v>10000</x:v>
      </x:c>
    </x:row>
    <x:row r="2391" ht="22" customHeight="1">
      <x:c r="A2391" s="1" t="str">
        <x:f>IF(A342="","",A342)</x:f>
      </x:c>
      <x:c r="B2391" s="1" t="str">
        <x:f>IF(A2391="","",B342)</x:f>
      </x:c>
      <x:c r="C2391" s="1" t="str">
        <x:f>IF(A2391="","",C342)</x:f>
      </x:c>
      <x:c r="D2391" s="1" t="str">
        <x:f>IF(A2391="","",E342)</x:f>
      </x:c>
      <x:c r="E2391" s="1" t="str">
        <x:f>IF(A2391="","",H342)</x:f>
      </x:c>
      <x:c r="F2391" s="1" t="str">
        <x:f>IF(ISNUMBER(K342),K342,"")</x:f>
      </x:c>
      <x:c r="G2391" s="1" t="str">
        <x:f>IF(ISNUMBER(L342),L342,"")</x:f>
      </x:c>
      <x:c r="H2391" s="1" t="str">
        <x:f>IF(A2391="","",IF(AND(UPPER(G342)="PHILADELPHIA",OR(C2391="District",AND(C2391="Charter",D342="Yes"))),"Yes","No"))</x:f>
      </x:c>
      <x:c r="I2391" s="1" t="n">
        <x:f>IF(OR(A2391="",COUNTIFS('Staff Review'!$A$8:$A$507,A2391)&lt;&gt;1),0,MATCH(A2391,'Staff Review'!$A$8:$A$507,0))</x:f>
        <x:v>0</x:v>
      </x:c>
      <x:c r="J2391" s="1" t="str">
        <x:f>IF(I2391=0,"No",IF(INDEX('Staff Review'!$C$8:$C$507,I2391)="Yes","Yes","No"))</x:f>
        <x:v>No</x:v>
      </x:c>
      <x:c r="K2391" s="1" t="str">
        <x:f>IF(AI2391="Yes",INDEX('Staff Review'!$D$8:$D$507,I2391),IF(AB2391=0,"",IF(COUNT(INDEX($C$1531:$C$2030,AB2391))=1,INDEX($C$1531:$C$2030,AB2391),"")))</x:f>
      </x:c>
      <x:c r="L2391" s="1" t="str">
        <x:f>IF(AJ2391="Yes",INDEX('Staff Review'!$F$8:$F$507,I2391),IF(AB2391=0,"",IF(COUNT(INDEX($G$1531:$G$2030,AB2391))=1,INDEX($G$1531:$G$2030,AB2391),"")))</x:f>
      </x:c>
      <x:c r="M2391" s="1" t="str">
        <x:f>IF(A2391="","",IF(AI2391="Yes","Verified","Listed"))</x:f>
      </x:c>
      <x:c r="N2391" s="1" t="str">
        <x:f>IF(A2391="","",IF(AJ2391="Yes","Verified","Listed"))</x:f>
      </x:c>
      <x:c r="O2391" s="1" t="str">
        <x:f>IF(AND(ISNUMBER(G2391),G2391&gt;=0,G2391&lt;=1),IF(G2391&gt;=0.9,30,IF(G2391&gt;=0.8,25,IF(G2391&gt;=0.7,20,IF(G2391&gt;=0.6,15,IF(G2391&gt;=0.5,10,IF(G2391&gt;=0.4,5,0)))))),"")</x:f>
      </x:c>
      <x:c r="P2391" s="1" t="str">
        <x:f>IF(ISNUMBER(K2391),IF(K2391&lt;0,"",IF(K2391&gt;1,25,IF(K2391&gt;=0.75,20,IF(K2391&gt;=0.5,15,IF(K2391&gt;=0.25,10,5))))),"")</x:f>
      </x:c>
      <x:c r="Q2391" s="1" t="str">
        <x:f>IF(NOT(ISNUMBER(L2391)),"",IF(AND(L2391&gt;=0,MOD(L2391,1)=0),MAX(0,25-5*L2391),""))</x:f>
      </x:c>
      <x:c r="R2391" s="1" t="str">
        <x:f>IF(NOT(ISNUMBER(F2391)),"",IF(AND(F2391&gt;0,MOD(F2391,1)=0),IF(F2391&gt;=700,5,IF(F2391&gt;=500,4,IF(F2391&gt;=350,3,IF(F2391&gt;=200,2,1)))),""))</x:f>
      </x:c>
      <x:c r="S2391" s="1" t="str">
        <x:f>IF(COUNT(O2391:R2391)=4,SUM(O2391:R2391),"")</x:f>
      </x:c>
      <x:c r="T2391" s="1" t="str">
        <x:f>IF(OR(COUNT(O2391:R2391)&lt;&gt;4,COUNT('Top 15'!$B$35:$E$35)&lt;&gt;4,MIN('Top 15'!$B$35:$E$35)&lt;0,SUM('Top 15'!$B$35:$E$35)&lt;=0),"",ROUND(85*(O2391/30*'Top 15'!$B$35+P2391/25*'Top 15'!$C$35+Q2391/25*'Top 15'!$D$35+R2391/5*'Top 15'!$E$35)/SUM('Top 15'!$B$35:$E$35),6))</x:f>
      </x:c>
      <x:c r="U2391" s="1" t="str">
        <x:f>IF(A2391="","",IF(AND(M2391="Verified",N2391="Verified"),"Verified",IF(AND(M2391="Listed",N2391="Listed"),"Listed","Mixed")))</x:f>
      </x:c>
      <x:c r="V2391" s="1" t="str">
        <x:f>IF(A2391="","",IF(AK2391&lt;&gt;1,"Duplicate source ID",IF(COUNTIFS('Staff Review'!$A$8:$A$507,A2391)&gt;1,"Duplicate review ID",IF(H2391&lt;&gt;"Yes","Outside scope",IF(J2391="Yes","Already served",IF(NOT(ISNUMBER(T2391)),"Missing data","Candidate"))))))</x:f>
      </x:c>
      <x:c r="W2391" s="1" t="str">
        <x:f>IF(AL2391=0,"",1+COUNTIFS($AL$2051:$AL$2550,1,$T$2051:$T$2550,"&gt;"&amp;T2391)+COUNTIFS($AL$2051:$AL$2550,1,$T$2051:$T$2550,T2391,$G$2051:$G$2550,"&gt;"&amp;G2391)+COUNTIFS($AL$2051:$AL$2550,1,$T$2051:$T$2550,T2391,$G$2051:$G$2550,G2391,$F$2051:$F$2550,"&gt;"&amp;F2391)+COUNTIFS($AL$2051:$AL$2550,1,$T$2051:$T$2550,T2391,$G$2051:$G$2550,G2391,$F$2051:$F$2550,F2391,$AM$2051:$AM$2550,"&lt;"&amp;AM2391))</x:f>
      </x:c>
      <x:c r="X2391" s="1" t="str">
        <x:f>IF(AL2391=0,"",1+COUNTIFS($AL$2051:$AL$2550,1,$T$2051:$T$2550,"&gt;"&amp;T2391))</x:f>
      </x:c>
      <x:c r="Y2391" s="1" t="n">
        <x:f>IF(AND(H2391="Yes",OR(LEN('School Search'!$B$5)=0,ISNUMBER(SEARCH('School Search'!$B$5,B2391&amp;" "&amp;E2391&amp;" "&amp;A2391))),OR('School Search'!$D$5="All",C2391='School Search'!$D$5),OR('School Search'!$G$5="All eligible",AND('School Search'!$G$5="Not marked served",J2391&lt;&gt;"Yes"),AND('School Search'!$G$5="Missing data",V2391="Missing data"),AND('School Search'!$G$5="Marked served",J2391="Yes"))),1,0)</x:f>
        <x:v>0</x:v>
      </x:c>
      <x:c r="Z2391" s="1" t="str">
        <x:f>IF(Y2391=0,"",COUNTIFS($Y$2051:$Y$2550,1,$AO$2051:$AO$2550,"&lt;"&amp;AO2391)+COUNTIFS($Y$2051:Y2391,1,$AO$2051:AO2391,AO2391))</x:f>
      </x:c>
      <x:c r="AA2391" s="1" t="str">
        <x:f>IF(NOT(ISNUMBER(S2391)),"Missing demographic or access input",TEXT(G2391,"0%")&amp;" economic need; "&amp;TEXT(K2391,"0.00")&amp;" mi fresh access; "&amp;L2391&amp;" nearby resources")</x:f>
        <x:v>Missing demographic or access input</x:v>
      </x:c>
      <x:c r="AB2391" s="1" t="n">
        <x:f>IF(OR(A2391="",COUNTIFS($A$1531:$A$2030,A2391)&lt;&gt;1),0,MATCH(A2391,$A$1531:$A$2030,0))</x:f>
        <x:v>0</x:v>
      </x:c>
      <x:c r="AC2391" s="1" t="str">
        <x:f>IF(AB2391=0,"",INDEX($E$1531:$E$2030,AB2391))</x:f>
      </x:c>
      <x:c r="AD2391" s="1" t="str">
        <x:f>IF(AB2391=0,"",INDEX($F$1531:$F$2030,AB2391))</x:f>
      </x:c>
      <x:c r="AE2391" s="1" t="str">
        <x:f>IF(A2391="","",F342)</x:f>
      </x:c>
      <x:c r="AF2391" s="1" t="str">
        <x:f>IF(ISNUMBER(I342),I342,"")</x:f>
      </x:c>
      <x:c r="AG2391" s="1" t="str">
        <x:f>IF(ISNUMBER(J342),J342,"")</x:f>
      </x:c>
      <x:c r="AH2391" s="1" t="str">
        <x:f>IF(I2391=0,"Not contacted",IF(INDEX('Staff Review'!$J$8:$J$507,I2391)="","Not contacted",INDEX('Staff Review'!$J$8:$J$507,I2391)))</x:f>
        <x:v>Not contacted</x:v>
      </x:c>
      <x:c r="AI2391" s="1" t="str">
        <x:f>IF(I2391=0,"No",IF(AND(COUNT(INDEX('Staff Review'!$D$8:$D$507,I2391))=1,INDEX('Staff Review'!$D$8:$D$507,I2391)&gt;=0,COUNT(INDEX('Staff Review'!$E$8:$E$507,I2391))=1,INDEX('Staff Review'!$E$8:$E$507,I2391)&gt;0,INDEX('Staff Review'!$E$8:$E$507,I2391)&lt;='Top 15'!$E$5,'Top 15'!$E$5-INDEX('Staff Review'!$E$8:$E$507,I2391)&lt;='Top 15'!$H$5,LEN(INDEX('Staff Review'!$H$8:$H$507,I2391))&gt;0),"Yes","No"))</x:f>
        <x:v>No</x:v>
      </x:c>
      <x:c r="AJ2391" s="1" t="str">
        <x:f>IF(I2391=0,"No",IF(COUNT(INDEX('Staff Review'!$F$8:$F$507,I2391))&lt;&gt;1,"No",IF(AND(INDEX('Staff Review'!$F$8:$F$507,I2391)&gt;=0,MOD(INDEX('Staff Review'!$F$8:$F$507,I2391),1)=0,COUNT(INDEX('Staff Review'!$G$8:$G$507,I2391))=1,INDEX('Staff Review'!$G$8:$G$507,I2391)&gt;0,INDEX('Staff Review'!$G$8:$G$507,I2391)&lt;='Top 15'!$E$5,'Top 15'!$E$5-INDEX('Staff Review'!$G$8:$G$507,I2391)&lt;='Top 15'!$H$5,LEN(INDEX('Staff Review'!$H$8:$H$507,I2391))&gt;0),"Yes","No")))</x:f>
        <x:v>No</x:v>
      </x:c>
      <x:c r="AK2391" s="1" t="n">
        <x:f>IF(A2391="",0,COUNTIFS($A$2:$A$501,A2391))</x:f>
        <x:v>0</x:v>
      </x:c>
      <x:c r="AL2391" s="1" t="n">
        <x:f>IF(V2391="Candidate",1,0)</x:f>
        <x:v>0</x:v>
      </x:c>
      <x:c r="AM2391" s="1" t="n">
        <x:f>IF(A2391="",0,VALUE(A2391))</x:f>
        <x:v>0</x:v>
      </x:c>
      <x:c r="AN2391" s="1" t="n">
        <x:f>IF(OR(A2391="",COUNTIFS($T$41:$T$540,A2391)&lt;&gt;1),0,MATCH(A2391,$T$41:$T$540,0))</x:f>
        <x:v>0</x:v>
      </x:c>
      <x:c r="AO2391" t="n">
        <x:f>IF(ISNUMBER(W2391),W2391,10000+AM2391)</x:f>
        <x:v>10000</x:v>
      </x:c>
    </x:row>
    <x:row r="2392" ht="22" customHeight="1">
      <x:c r="A2392" s="1" t="str">
        <x:f>IF(A343="","",A343)</x:f>
      </x:c>
      <x:c r="B2392" s="1" t="str">
        <x:f>IF(A2392="","",B343)</x:f>
      </x:c>
      <x:c r="C2392" s="1" t="str">
        <x:f>IF(A2392="","",C343)</x:f>
      </x:c>
      <x:c r="D2392" s="1" t="str">
        <x:f>IF(A2392="","",E343)</x:f>
      </x:c>
      <x:c r="E2392" s="1" t="str">
        <x:f>IF(A2392="","",H343)</x:f>
      </x:c>
      <x:c r="F2392" s="1" t="str">
        <x:f>IF(ISNUMBER(K343),K343,"")</x:f>
      </x:c>
      <x:c r="G2392" s="1" t="str">
        <x:f>IF(ISNUMBER(L343),L343,"")</x:f>
      </x:c>
      <x:c r="H2392" s="1" t="str">
        <x:f>IF(A2392="","",IF(AND(UPPER(G343)="PHILADELPHIA",OR(C2392="District",AND(C2392="Charter",D343="Yes"))),"Yes","No"))</x:f>
      </x:c>
      <x:c r="I2392" s="1" t="n">
        <x:f>IF(OR(A2392="",COUNTIFS('Staff Review'!$A$8:$A$507,A2392)&lt;&gt;1),0,MATCH(A2392,'Staff Review'!$A$8:$A$507,0))</x:f>
        <x:v>0</x:v>
      </x:c>
      <x:c r="J2392" s="1" t="str">
        <x:f>IF(I2392=0,"No",IF(INDEX('Staff Review'!$C$8:$C$507,I2392)="Yes","Yes","No"))</x:f>
        <x:v>No</x:v>
      </x:c>
      <x:c r="K2392" s="1" t="str">
        <x:f>IF(AI2392="Yes",INDEX('Staff Review'!$D$8:$D$507,I2392),IF(AB2392=0,"",IF(COUNT(INDEX($C$1531:$C$2030,AB2392))=1,INDEX($C$1531:$C$2030,AB2392),"")))</x:f>
      </x:c>
      <x:c r="L2392" s="1" t="str">
        <x:f>IF(AJ2392="Yes",INDEX('Staff Review'!$F$8:$F$507,I2392),IF(AB2392=0,"",IF(COUNT(INDEX($G$1531:$G$2030,AB2392))=1,INDEX($G$1531:$G$2030,AB2392),"")))</x:f>
      </x:c>
      <x:c r="M2392" s="1" t="str">
        <x:f>IF(A2392="","",IF(AI2392="Yes","Verified","Listed"))</x:f>
      </x:c>
      <x:c r="N2392" s="1" t="str">
        <x:f>IF(A2392="","",IF(AJ2392="Yes","Verified","Listed"))</x:f>
      </x:c>
      <x:c r="O2392" s="1" t="str">
        <x:f>IF(AND(ISNUMBER(G2392),G2392&gt;=0,G2392&lt;=1),IF(G2392&gt;=0.9,30,IF(G2392&gt;=0.8,25,IF(G2392&gt;=0.7,20,IF(G2392&gt;=0.6,15,IF(G2392&gt;=0.5,10,IF(G2392&gt;=0.4,5,0)))))),"")</x:f>
      </x:c>
      <x:c r="P2392" s="1" t="str">
        <x:f>IF(ISNUMBER(K2392),IF(K2392&lt;0,"",IF(K2392&gt;1,25,IF(K2392&gt;=0.75,20,IF(K2392&gt;=0.5,15,IF(K2392&gt;=0.25,10,5))))),"")</x:f>
      </x:c>
      <x:c r="Q2392" s="1" t="str">
        <x:f>IF(NOT(ISNUMBER(L2392)),"",IF(AND(L2392&gt;=0,MOD(L2392,1)=0),MAX(0,25-5*L2392),""))</x:f>
      </x:c>
      <x:c r="R2392" s="1" t="str">
        <x:f>IF(NOT(ISNUMBER(F2392)),"",IF(AND(F2392&gt;0,MOD(F2392,1)=0),IF(F2392&gt;=700,5,IF(F2392&gt;=500,4,IF(F2392&gt;=350,3,IF(F2392&gt;=200,2,1)))),""))</x:f>
      </x:c>
      <x:c r="S2392" s="1" t="str">
        <x:f>IF(COUNT(O2392:R2392)=4,SUM(O2392:R2392),"")</x:f>
      </x:c>
      <x:c r="T2392" s="1" t="str">
        <x:f>IF(OR(COUNT(O2392:R2392)&lt;&gt;4,COUNT('Top 15'!$B$35:$E$35)&lt;&gt;4,MIN('Top 15'!$B$35:$E$35)&lt;0,SUM('Top 15'!$B$35:$E$35)&lt;=0),"",ROUND(85*(O2392/30*'Top 15'!$B$35+P2392/25*'Top 15'!$C$35+Q2392/25*'Top 15'!$D$35+R2392/5*'Top 15'!$E$35)/SUM('Top 15'!$B$35:$E$35),6))</x:f>
      </x:c>
      <x:c r="U2392" s="1" t="str">
        <x:f>IF(A2392="","",IF(AND(M2392="Verified",N2392="Verified"),"Verified",IF(AND(M2392="Listed",N2392="Listed"),"Listed","Mixed")))</x:f>
      </x:c>
      <x:c r="V2392" s="1" t="str">
        <x:f>IF(A2392="","",IF(AK2392&lt;&gt;1,"Duplicate source ID",IF(COUNTIFS('Staff Review'!$A$8:$A$507,A2392)&gt;1,"Duplicate review ID",IF(H2392&lt;&gt;"Yes","Outside scope",IF(J2392="Yes","Already served",IF(NOT(ISNUMBER(T2392)),"Missing data","Candidate"))))))</x:f>
      </x:c>
      <x:c r="W2392" s="1" t="str">
        <x:f>IF(AL2392=0,"",1+COUNTIFS($AL$2051:$AL$2550,1,$T$2051:$T$2550,"&gt;"&amp;T2392)+COUNTIFS($AL$2051:$AL$2550,1,$T$2051:$T$2550,T2392,$G$2051:$G$2550,"&gt;"&amp;G2392)+COUNTIFS($AL$2051:$AL$2550,1,$T$2051:$T$2550,T2392,$G$2051:$G$2550,G2392,$F$2051:$F$2550,"&gt;"&amp;F2392)+COUNTIFS($AL$2051:$AL$2550,1,$T$2051:$T$2550,T2392,$G$2051:$G$2550,G2392,$F$2051:$F$2550,F2392,$AM$2051:$AM$2550,"&lt;"&amp;AM2392))</x:f>
      </x:c>
      <x:c r="X2392" s="1" t="str">
        <x:f>IF(AL2392=0,"",1+COUNTIFS($AL$2051:$AL$2550,1,$T$2051:$T$2550,"&gt;"&amp;T2392))</x:f>
      </x:c>
      <x:c r="Y2392" s="1" t="n">
        <x:f>IF(AND(H2392="Yes",OR(LEN('School Search'!$B$5)=0,ISNUMBER(SEARCH('School Search'!$B$5,B2392&amp;" "&amp;E2392&amp;" "&amp;A2392))),OR('School Search'!$D$5="All",C2392='School Search'!$D$5),OR('School Search'!$G$5="All eligible",AND('School Search'!$G$5="Not marked served",J2392&lt;&gt;"Yes"),AND('School Search'!$G$5="Missing data",V2392="Missing data"),AND('School Search'!$G$5="Marked served",J2392="Yes"))),1,0)</x:f>
        <x:v>0</x:v>
      </x:c>
      <x:c r="Z2392" s="1" t="str">
        <x:f>IF(Y2392=0,"",COUNTIFS($Y$2051:$Y$2550,1,$AO$2051:$AO$2550,"&lt;"&amp;AO2392)+COUNTIFS($Y$2051:Y2392,1,$AO$2051:AO2392,AO2392))</x:f>
      </x:c>
      <x:c r="AA2392" s="1" t="str">
        <x:f>IF(NOT(ISNUMBER(S2392)),"Missing demographic or access input",TEXT(G2392,"0%")&amp;" economic need; "&amp;TEXT(K2392,"0.00")&amp;" mi fresh access; "&amp;L2392&amp;" nearby resources")</x:f>
        <x:v>Missing demographic or access input</x:v>
      </x:c>
      <x:c r="AB2392" s="1" t="n">
        <x:f>IF(OR(A2392="",COUNTIFS($A$1531:$A$2030,A2392)&lt;&gt;1),0,MATCH(A2392,$A$1531:$A$2030,0))</x:f>
        <x:v>0</x:v>
      </x:c>
      <x:c r="AC2392" s="1" t="str">
        <x:f>IF(AB2392=0,"",INDEX($E$1531:$E$2030,AB2392))</x:f>
      </x:c>
      <x:c r="AD2392" s="1" t="str">
        <x:f>IF(AB2392=0,"",INDEX($F$1531:$F$2030,AB2392))</x:f>
      </x:c>
      <x:c r="AE2392" s="1" t="str">
        <x:f>IF(A2392="","",F343)</x:f>
      </x:c>
      <x:c r="AF2392" s="1" t="str">
        <x:f>IF(ISNUMBER(I343),I343,"")</x:f>
      </x:c>
      <x:c r="AG2392" s="1" t="str">
        <x:f>IF(ISNUMBER(J343),J343,"")</x:f>
      </x:c>
      <x:c r="AH2392" s="1" t="str">
        <x:f>IF(I2392=0,"Not contacted",IF(INDEX('Staff Review'!$J$8:$J$507,I2392)="","Not contacted",INDEX('Staff Review'!$J$8:$J$507,I2392)))</x:f>
        <x:v>Not contacted</x:v>
      </x:c>
      <x:c r="AI2392" s="1" t="str">
        <x:f>IF(I2392=0,"No",IF(AND(COUNT(INDEX('Staff Review'!$D$8:$D$507,I2392))=1,INDEX('Staff Review'!$D$8:$D$507,I2392)&gt;=0,COUNT(INDEX('Staff Review'!$E$8:$E$507,I2392))=1,INDEX('Staff Review'!$E$8:$E$507,I2392)&gt;0,INDEX('Staff Review'!$E$8:$E$507,I2392)&lt;='Top 15'!$E$5,'Top 15'!$E$5-INDEX('Staff Review'!$E$8:$E$507,I2392)&lt;='Top 15'!$H$5,LEN(INDEX('Staff Review'!$H$8:$H$507,I2392))&gt;0),"Yes","No"))</x:f>
        <x:v>No</x:v>
      </x:c>
      <x:c r="AJ2392" s="1" t="str">
        <x:f>IF(I2392=0,"No",IF(COUNT(INDEX('Staff Review'!$F$8:$F$507,I2392))&lt;&gt;1,"No",IF(AND(INDEX('Staff Review'!$F$8:$F$507,I2392)&gt;=0,MOD(INDEX('Staff Review'!$F$8:$F$507,I2392),1)=0,COUNT(INDEX('Staff Review'!$G$8:$G$507,I2392))=1,INDEX('Staff Review'!$G$8:$G$507,I2392)&gt;0,INDEX('Staff Review'!$G$8:$G$507,I2392)&lt;='Top 15'!$E$5,'Top 15'!$E$5-INDEX('Staff Review'!$G$8:$G$507,I2392)&lt;='Top 15'!$H$5,LEN(INDEX('Staff Review'!$H$8:$H$507,I2392))&gt;0),"Yes","No")))</x:f>
        <x:v>No</x:v>
      </x:c>
      <x:c r="AK2392" s="1" t="n">
        <x:f>IF(A2392="",0,COUNTIFS($A$2:$A$501,A2392))</x:f>
        <x:v>0</x:v>
      </x:c>
      <x:c r="AL2392" s="1" t="n">
        <x:f>IF(V2392="Candidate",1,0)</x:f>
        <x:v>0</x:v>
      </x:c>
      <x:c r="AM2392" s="1" t="n">
        <x:f>IF(A2392="",0,VALUE(A2392))</x:f>
        <x:v>0</x:v>
      </x:c>
      <x:c r="AN2392" s="1" t="n">
        <x:f>IF(OR(A2392="",COUNTIFS($T$41:$T$540,A2392)&lt;&gt;1),0,MATCH(A2392,$T$41:$T$540,0))</x:f>
        <x:v>0</x:v>
      </x:c>
      <x:c r="AO2392" t="n">
        <x:f>IF(ISNUMBER(W2392),W2392,10000+AM2392)</x:f>
        <x:v>10000</x:v>
      </x:c>
    </x:row>
    <x:row r="2393" ht="22" customHeight="1">
      <x:c r="A2393" s="1" t="str">
        <x:f>IF(A344="","",A344)</x:f>
      </x:c>
      <x:c r="B2393" s="1" t="str">
        <x:f>IF(A2393="","",B344)</x:f>
      </x:c>
      <x:c r="C2393" s="1" t="str">
        <x:f>IF(A2393="","",C344)</x:f>
      </x:c>
      <x:c r="D2393" s="1" t="str">
        <x:f>IF(A2393="","",E344)</x:f>
      </x:c>
      <x:c r="E2393" s="1" t="str">
        <x:f>IF(A2393="","",H344)</x:f>
      </x:c>
      <x:c r="F2393" s="1" t="str">
        <x:f>IF(ISNUMBER(K344),K344,"")</x:f>
      </x:c>
      <x:c r="G2393" s="1" t="str">
        <x:f>IF(ISNUMBER(L344),L344,"")</x:f>
      </x:c>
      <x:c r="H2393" s="1" t="str">
        <x:f>IF(A2393="","",IF(AND(UPPER(G344)="PHILADELPHIA",OR(C2393="District",AND(C2393="Charter",D344="Yes"))),"Yes","No"))</x:f>
      </x:c>
      <x:c r="I2393" s="1" t="n">
        <x:f>IF(OR(A2393="",COUNTIFS('Staff Review'!$A$8:$A$507,A2393)&lt;&gt;1),0,MATCH(A2393,'Staff Review'!$A$8:$A$507,0))</x:f>
        <x:v>0</x:v>
      </x:c>
      <x:c r="J2393" s="1" t="str">
        <x:f>IF(I2393=0,"No",IF(INDEX('Staff Review'!$C$8:$C$507,I2393)="Yes","Yes","No"))</x:f>
        <x:v>No</x:v>
      </x:c>
      <x:c r="K2393" s="1" t="str">
        <x:f>IF(AI2393="Yes",INDEX('Staff Review'!$D$8:$D$507,I2393),IF(AB2393=0,"",IF(COUNT(INDEX($C$1531:$C$2030,AB2393))=1,INDEX($C$1531:$C$2030,AB2393),"")))</x:f>
      </x:c>
      <x:c r="L2393" s="1" t="str">
        <x:f>IF(AJ2393="Yes",INDEX('Staff Review'!$F$8:$F$507,I2393),IF(AB2393=0,"",IF(COUNT(INDEX($G$1531:$G$2030,AB2393))=1,INDEX($G$1531:$G$2030,AB2393),"")))</x:f>
      </x:c>
      <x:c r="M2393" s="1" t="str">
        <x:f>IF(A2393="","",IF(AI2393="Yes","Verified","Listed"))</x:f>
      </x:c>
      <x:c r="N2393" s="1" t="str">
        <x:f>IF(A2393="","",IF(AJ2393="Yes","Verified","Listed"))</x:f>
      </x:c>
      <x:c r="O2393" s="1" t="str">
        <x:f>IF(AND(ISNUMBER(G2393),G2393&gt;=0,G2393&lt;=1),IF(G2393&gt;=0.9,30,IF(G2393&gt;=0.8,25,IF(G2393&gt;=0.7,20,IF(G2393&gt;=0.6,15,IF(G2393&gt;=0.5,10,IF(G2393&gt;=0.4,5,0)))))),"")</x:f>
      </x:c>
      <x:c r="P2393" s="1" t="str">
        <x:f>IF(ISNUMBER(K2393),IF(K2393&lt;0,"",IF(K2393&gt;1,25,IF(K2393&gt;=0.75,20,IF(K2393&gt;=0.5,15,IF(K2393&gt;=0.25,10,5))))),"")</x:f>
      </x:c>
      <x:c r="Q2393" s="1" t="str">
        <x:f>IF(NOT(ISNUMBER(L2393)),"",IF(AND(L2393&gt;=0,MOD(L2393,1)=0),MAX(0,25-5*L2393),""))</x:f>
      </x:c>
      <x:c r="R2393" s="1" t="str">
        <x:f>IF(NOT(ISNUMBER(F2393)),"",IF(AND(F2393&gt;0,MOD(F2393,1)=0),IF(F2393&gt;=700,5,IF(F2393&gt;=500,4,IF(F2393&gt;=350,3,IF(F2393&gt;=200,2,1)))),""))</x:f>
      </x:c>
      <x:c r="S2393" s="1" t="str">
        <x:f>IF(COUNT(O2393:R2393)=4,SUM(O2393:R2393),"")</x:f>
      </x:c>
      <x:c r="T2393" s="1" t="str">
        <x:f>IF(OR(COUNT(O2393:R2393)&lt;&gt;4,COUNT('Top 15'!$B$35:$E$35)&lt;&gt;4,MIN('Top 15'!$B$35:$E$35)&lt;0,SUM('Top 15'!$B$35:$E$35)&lt;=0),"",ROUND(85*(O2393/30*'Top 15'!$B$35+P2393/25*'Top 15'!$C$35+Q2393/25*'Top 15'!$D$35+R2393/5*'Top 15'!$E$35)/SUM('Top 15'!$B$35:$E$35),6))</x:f>
      </x:c>
      <x:c r="U2393" s="1" t="str">
        <x:f>IF(A2393="","",IF(AND(M2393="Verified",N2393="Verified"),"Verified",IF(AND(M2393="Listed",N2393="Listed"),"Listed","Mixed")))</x:f>
      </x:c>
      <x:c r="V2393" s="1" t="str">
        <x:f>IF(A2393="","",IF(AK2393&lt;&gt;1,"Duplicate source ID",IF(COUNTIFS('Staff Review'!$A$8:$A$507,A2393)&gt;1,"Duplicate review ID",IF(H2393&lt;&gt;"Yes","Outside scope",IF(J2393="Yes","Already served",IF(NOT(ISNUMBER(T2393)),"Missing data","Candidate"))))))</x:f>
      </x:c>
      <x:c r="W2393" s="1" t="str">
        <x:f>IF(AL2393=0,"",1+COUNTIFS($AL$2051:$AL$2550,1,$T$2051:$T$2550,"&gt;"&amp;T2393)+COUNTIFS($AL$2051:$AL$2550,1,$T$2051:$T$2550,T2393,$G$2051:$G$2550,"&gt;"&amp;G2393)+COUNTIFS($AL$2051:$AL$2550,1,$T$2051:$T$2550,T2393,$G$2051:$G$2550,G2393,$F$2051:$F$2550,"&gt;"&amp;F2393)+COUNTIFS($AL$2051:$AL$2550,1,$T$2051:$T$2550,T2393,$G$2051:$G$2550,G2393,$F$2051:$F$2550,F2393,$AM$2051:$AM$2550,"&lt;"&amp;AM2393))</x:f>
      </x:c>
      <x:c r="X2393" s="1" t="str">
        <x:f>IF(AL2393=0,"",1+COUNTIFS($AL$2051:$AL$2550,1,$T$2051:$T$2550,"&gt;"&amp;T2393))</x:f>
      </x:c>
      <x:c r="Y2393" s="1" t="n">
        <x:f>IF(AND(H2393="Yes",OR(LEN('School Search'!$B$5)=0,ISNUMBER(SEARCH('School Search'!$B$5,B2393&amp;" "&amp;E2393&amp;" "&amp;A2393))),OR('School Search'!$D$5="All",C2393='School Search'!$D$5),OR('School Search'!$G$5="All eligible",AND('School Search'!$G$5="Not marked served",J2393&lt;&gt;"Yes"),AND('School Search'!$G$5="Missing data",V2393="Missing data"),AND('School Search'!$G$5="Marked served",J2393="Yes"))),1,0)</x:f>
        <x:v>0</x:v>
      </x:c>
      <x:c r="Z2393" s="1" t="str">
        <x:f>IF(Y2393=0,"",COUNTIFS($Y$2051:$Y$2550,1,$AO$2051:$AO$2550,"&lt;"&amp;AO2393)+COUNTIFS($Y$2051:Y2393,1,$AO$2051:AO2393,AO2393))</x:f>
      </x:c>
      <x:c r="AA2393" s="1" t="str">
        <x:f>IF(NOT(ISNUMBER(S2393)),"Missing demographic or access input",TEXT(G2393,"0%")&amp;" economic need; "&amp;TEXT(K2393,"0.00")&amp;" mi fresh access; "&amp;L2393&amp;" nearby resources")</x:f>
        <x:v>Missing demographic or access input</x:v>
      </x:c>
      <x:c r="AB2393" s="1" t="n">
        <x:f>IF(OR(A2393="",COUNTIFS($A$1531:$A$2030,A2393)&lt;&gt;1),0,MATCH(A2393,$A$1531:$A$2030,0))</x:f>
        <x:v>0</x:v>
      </x:c>
      <x:c r="AC2393" s="1" t="str">
        <x:f>IF(AB2393=0,"",INDEX($E$1531:$E$2030,AB2393))</x:f>
      </x:c>
      <x:c r="AD2393" s="1" t="str">
        <x:f>IF(AB2393=0,"",INDEX($F$1531:$F$2030,AB2393))</x:f>
      </x:c>
      <x:c r="AE2393" s="1" t="str">
        <x:f>IF(A2393="","",F344)</x:f>
      </x:c>
      <x:c r="AF2393" s="1" t="str">
        <x:f>IF(ISNUMBER(I344),I344,"")</x:f>
      </x:c>
      <x:c r="AG2393" s="1" t="str">
        <x:f>IF(ISNUMBER(J344),J344,"")</x:f>
      </x:c>
      <x:c r="AH2393" s="1" t="str">
        <x:f>IF(I2393=0,"Not contacted",IF(INDEX('Staff Review'!$J$8:$J$507,I2393)="","Not contacted",INDEX('Staff Review'!$J$8:$J$507,I2393)))</x:f>
        <x:v>Not contacted</x:v>
      </x:c>
      <x:c r="AI2393" s="1" t="str">
        <x:f>IF(I2393=0,"No",IF(AND(COUNT(INDEX('Staff Review'!$D$8:$D$507,I2393))=1,INDEX('Staff Review'!$D$8:$D$507,I2393)&gt;=0,COUNT(INDEX('Staff Review'!$E$8:$E$507,I2393))=1,INDEX('Staff Review'!$E$8:$E$507,I2393)&gt;0,INDEX('Staff Review'!$E$8:$E$507,I2393)&lt;='Top 15'!$E$5,'Top 15'!$E$5-INDEX('Staff Review'!$E$8:$E$507,I2393)&lt;='Top 15'!$H$5,LEN(INDEX('Staff Review'!$H$8:$H$507,I2393))&gt;0),"Yes","No"))</x:f>
        <x:v>No</x:v>
      </x:c>
      <x:c r="AJ2393" s="1" t="str">
        <x:f>IF(I2393=0,"No",IF(COUNT(INDEX('Staff Review'!$F$8:$F$507,I2393))&lt;&gt;1,"No",IF(AND(INDEX('Staff Review'!$F$8:$F$507,I2393)&gt;=0,MOD(INDEX('Staff Review'!$F$8:$F$507,I2393),1)=0,COUNT(INDEX('Staff Review'!$G$8:$G$507,I2393))=1,INDEX('Staff Review'!$G$8:$G$507,I2393)&gt;0,INDEX('Staff Review'!$G$8:$G$507,I2393)&lt;='Top 15'!$E$5,'Top 15'!$E$5-INDEX('Staff Review'!$G$8:$G$507,I2393)&lt;='Top 15'!$H$5,LEN(INDEX('Staff Review'!$H$8:$H$507,I2393))&gt;0),"Yes","No")))</x:f>
        <x:v>No</x:v>
      </x:c>
      <x:c r="AK2393" s="1" t="n">
        <x:f>IF(A2393="",0,COUNTIFS($A$2:$A$501,A2393))</x:f>
        <x:v>0</x:v>
      </x:c>
      <x:c r="AL2393" s="1" t="n">
        <x:f>IF(V2393="Candidate",1,0)</x:f>
        <x:v>0</x:v>
      </x:c>
      <x:c r="AM2393" s="1" t="n">
        <x:f>IF(A2393="",0,VALUE(A2393))</x:f>
        <x:v>0</x:v>
      </x:c>
      <x:c r="AN2393" s="1" t="n">
        <x:f>IF(OR(A2393="",COUNTIFS($T$41:$T$540,A2393)&lt;&gt;1),0,MATCH(A2393,$T$41:$T$540,0))</x:f>
        <x:v>0</x:v>
      </x:c>
      <x:c r="AO2393" t="n">
        <x:f>IF(ISNUMBER(W2393),W2393,10000+AM2393)</x:f>
        <x:v>10000</x:v>
      </x:c>
    </x:row>
    <x:row r="2394" ht="22" customHeight="1">
      <x:c r="A2394" s="1" t="str">
        <x:f>IF(A345="","",A345)</x:f>
      </x:c>
      <x:c r="B2394" s="1" t="str">
        <x:f>IF(A2394="","",B345)</x:f>
      </x:c>
      <x:c r="C2394" s="1" t="str">
        <x:f>IF(A2394="","",C345)</x:f>
      </x:c>
      <x:c r="D2394" s="1" t="str">
        <x:f>IF(A2394="","",E345)</x:f>
      </x:c>
      <x:c r="E2394" s="1" t="str">
        <x:f>IF(A2394="","",H345)</x:f>
      </x:c>
      <x:c r="F2394" s="1" t="str">
        <x:f>IF(ISNUMBER(K345),K345,"")</x:f>
      </x:c>
      <x:c r="G2394" s="1" t="str">
        <x:f>IF(ISNUMBER(L345),L345,"")</x:f>
      </x:c>
      <x:c r="H2394" s="1" t="str">
        <x:f>IF(A2394="","",IF(AND(UPPER(G345)="PHILADELPHIA",OR(C2394="District",AND(C2394="Charter",D345="Yes"))),"Yes","No"))</x:f>
      </x:c>
      <x:c r="I2394" s="1" t="n">
        <x:f>IF(OR(A2394="",COUNTIFS('Staff Review'!$A$8:$A$507,A2394)&lt;&gt;1),0,MATCH(A2394,'Staff Review'!$A$8:$A$507,0))</x:f>
        <x:v>0</x:v>
      </x:c>
      <x:c r="J2394" s="1" t="str">
        <x:f>IF(I2394=0,"No",IF(INDEX('Staff Review'!$C$8:$C$507,I2394)="Yes","Yes","No"))</x:f>
        <x:v>No</x:v>
      </x:c>
      <x:c r="K2394" s="1" t="str">
        <x:f>IF(AI2394="Yes",INDEX('Staff Review'!$D$8:$D$507,I2394),IF(AB2394=0,"",IF(COUNT(INDEX($C$1531:$C$2030,AB2394))=1,INDEX($C$1531:$C$2030,AB2394),"")))</x:f>
      </x:c>
      <x:c r="L2394" s="1" t="str">
        <x:f>IF(AJ2394="Yes",INDEX('Staff Review'!$F$8:$F$507,I2394),IF(AB2394=0,"",IF(COUNT(INDEX($G$1531:$G$2030,AB2394))=1,INDEX($G$1531:$G$2030,AB2394),"")))</x:f>
      </x:c>
      <x:c r="M2394" s="1" t="str">
        <x:f>IF(A2394="","",IF(AI2394="Yes","Verified","Listed"))</x:f>
      </x:c>
      <x:c r="N2394" s="1" t="str">
        <x:f>IF(A2394="","",IF(AJ2394="Yes","Verified","Listed"))</x:f>
      </x:c>
      <x:c r="O2394" s="1" t="str">
        <x:f>IF(AND(ISNUMBER(G2394),G2394&gt;=0,G2394&lt;=1),IF(G2394&gt;=0.9,30,IF(G2394&gt;=0.8,25,IF(G2394&gt;=0.7,20,IF(G2394&gt;=0.6,15,IF(G2394&gt;=0.5,10,IF(G2394&gt;=0.4,5,0)))))),"")</x:f>
      </x:c>
      <x:c r="P2394" s="1" t="str">
        <x:f>IF(ISNUMBER(K2394),IF(K2394&lt;0,"",IF(K2394&gt;1,25,IF(K2394&gt;=0.75,20,IF(K2394&gt;=0.5,15,IF(K2394&gt;=0.25,10,5))))),"")</x:f>
      </x:c>
      <x:c r="Q2394" s="1" t="str">
        <x:f>IF(NOT(ISNUMBER(L2394)),"",IF(AND(L2394&gt;=0,MOD(L2394,1)=0),MAX(0,25-5*L2394),""))</x:f>
      </x:c>
      <x:c r="R2394" s="1" t="str">
        <x:f>IF(NOT(ISNUMBER(F2394)),"",IF(AND(F2394&gt;0,MOD(F2394,1)=0),IF(F2394&gt;=700,5,IF(F2394&gt;=500,4,IF(F2394&gt;=350,3,IF(F2394&gt;=200,2,1)))),""))</x:f>
      </x:c>
      <x:c r="S2394" s="1" t="str">
        <x:f>IF(COUNT(O2394:R2394)=4,SUM(O2394:R2394),"")</x:f>
      </x:c>
      <x:c r="T2394" s="1" t="str">
        <x:f>IF(OR(COUNT(O2394:R2394)&lt;&gt;4,COUNT('Top 15'!$B$35:$E$35)&lt;&gt;4,MIN('Top 15'!$B$35:$E$35)&lt;0,SUM('Top 15'!$B$35:$E$35)&lt;=0),"",ROUND(85*(O2394/30*'Top 15'!$B$35+P2394/25*'Top 15'!$C$35+Q2394/25*'Top 15'!$D$35+R2394/5*'Top 15'!$E$35)/SUM('Top 15'!$B$35:$E$35),6))</x:f>
      </x:c>
      <x:c r="U2394" s="1" t="str">
        <x:f>IF(A2394="","",IF(AND(M2394="Verified",N2394="Verified"),"Verified",IF(AND(M2394="Listed",N2394="Listed"),"Listed","Mixed")))</x:f>
      </x:c>
      <x:c r="V2394" s="1" t="str">
        <x:f>IF(A2394="","",IF(AK2394&lt;&gt;1,"Duplicate source ID",IF(COUNTIFS('Staff Review'!$A$8:$A$507,A2394)&gt;1,"Duplicate review ID",IF(H2394&lt;&gt;"Yes","Outside scope",IF(J2394="Yes","Already served",IF(NOT(ISNUMBER(T2394)),"Missing data","Candidate"))))))</x:f>
      </x:c>
      <x:c r="W2394" s="1" t="str">
        <x:f>IF(AL2394=0,"",1+COUNTIFS($AL$2051:$AL$2550,1,$T$2051:$T$2550,"&gt;"&amp;T2394)+COUNTIFS($AL$2051:$AL$2550,1,$T$2051:$T$2550,T2394,$G$2051:$G$2550,"&gt;"&amp;G2394)+COUNTIFS($AL$2051:$AL$2550,1,$T$2051:$T$2550,T2394,$G$2051:$G$2550,G2394,$F$2051:$F$2550,"&gt;"&amp;F2394)+COUNTIFS($AL$2051:$AL$2550,1,$T$2051:$T$2550,T2394,$G$2051:$G$2550,G2394,$F$2051:$F$2550,F2394,$AM$2051:$AM$2550,"&lt;"&amp;AM2394))</x:f>
      </x:c>
      <x:c r="X2394" s="1" t="str">
        <x:f>IF(AL2394=0,"",1+COUNTIFS($AL$2051:$AL$2550,1,$T$2051:$T$2550,"&gt;"&amp;T2394))</x:f>
      </x:c>
      <x:c r="Y2394" s="1" t="n">
        <x:f>IF(AND(H2394="Yes",OR(LEN('School Search'!$B$5)=0,ISNUMBER(SEARCH('School Search'!$B$5,B2394&amp;" "&amp;E2394&amp;" "&amp;A2394))),OR('School Search'!$D$5="All",C2394='School Search'!$D$5),OR('School Search'!$G$5="All eligible",AND('School Search'!$G$5="Not marked served",J2394&lt;&gt;"Yes"),AND('School Search'!$G$5="Missing data",V2394="Missing data"),AND('School Search'!$G$5="Marked served",J2394="Yes"))),1,0)</x:f>
        <x:v>0</x:v>
      </x:c>
      <x:c r="Z2394" s="1" t="str">
        <x:f>IF(Y2394=0,"",COUNTIFS($Y$2051:$Y$2550,1,$AO$2051:$AO$2550,"&lt;"&amp;AO2394)+COUNTIFS($Y$2051:Y2394,1,$AO$2051:AO2394,AO2394))</x:f>
      </x:c>
      <x:c r="AA2394" s="1" t="str">
        <x:f>IF(NOT(ISNUMBER(S2394)),"Missing demographic or access input",TEXT(G2394,"0%")&amp;" economic need; "&amp;TEXT(K2394,"0.00")&amp;" mi fresh access; "&amp;L2394&amp;" nearby resources")</x:f>
        <x:v>Missing demographic or access input</x:v>
      </x:c>
      <x:c r="AB2394" s="1" t="n">
        <x:f>IF(OR(A2394="",COUNTIFS($A$1531:$A$2030,A2394)&lt;&gt;1),0,MATCH(A2394,$A$1531:$A$2030,0))</x:f>
        <x:v>0</x:v>
      </x:c>
      <x:c r="AC2394" s="1" t="str">
        <x:f>IF(AB2394=0,"",INDEX($E$1531:$E$2030,AB2394))</x:f>
      </x:c>
      <x:c r="AD2394" s="1" t="str">
        <x:f>IF(AB2394=0,"",INDEX($F$1531:$F$2030,AB2394))</x:f>
      </x:c>
      <x:c r="AE2394" s="1" t="str">
        <x:f>IF(A2394="","",F345)</x:f>
      </x:c>
      <x:c r="AF2394" s="1" t="str">
        <x:f>IF(ISNUMBER(I345),I345,"")</x:f>
      </x:c>
      <x:c r="AG2394" s="1" t="str">
        <x:f>IF(ISNUMBER(J345),J345,"")</x:f>
      </x:c>
      <x:c r="AH2394" s="1" t="str">
        <x:f>IF(I2394=0,"Not contacted",IF(INDEX('Staff Review'!$J$8:$J$507,I2394)="","Not contacted",INDEX('Staff Review'!$J$8:$J$507,I2394)))</x:f>
        <x:v>Not contacted</x:v>
      </x:c>
      <x:c r="AI2394" s="1" t="str">
        <x:f>IF(I2394=0,"No",IF(AND(COUNT(INDEX('Staff Review'!$D$8:$D$507,I2394))=1,INDEX('Staff Review'!$D$8:$D$507,I2394)&gt;=0,COUNT(INDEX('Staff Review'!$E$8:$E$507,I2394))=1,INDEX('Staff Review'!$E$8:$E$507,I2394)&gt;0,INDEX('Staff Review'!$E$8:$E$507,I2394)&lt;='Top 15'!$E$5,'Top 15'!$E$5-INDEX('Staff Review'!$E$8:$E$507,I2394)&lt;='Top 15'!$H$5,LEN(INDEX('Staff Review'!$H$8:$H$507,I2394))&gt;0),"Yes","No"))</x:f>
        <x:v>No</x:v>
      </x:c>
      <x:c r="AJ2394" s="1" t="str">
        <x:f>IF(I2394=0,"No",IF(COUNT(INDEX('Staff Review'!$F$8:$F$507,I2394))&lt;&gt;1,"No",IF(AND(INDEX('Staff Review'!$F$8:$F$507,I2394)&gt;=0,MOD(INDEX('Staff Review'!$F$8:$F$507,I2394),1)=0,COUNT(INDEX('Staff Review'!$G$8:$G$507,I2394))=1,INDEX('Staff Review'!$G$8:$G$507,I2394)&gt;0,INDEX('Staff Review'!$G$8:$G$507,I2394)&lt;='Top 15'!$E$5,'Top 15'!$E$5-INDEX('Staff Review'!$G$8:$G$507,I2394)&lt;='Top 15'!$H$5,LEN(INDEX('Staff Review'!$H$8:$H$507,I2394))&gt;0),"Yes","No")))</x:f>
        <x:v>No</x:v>
      </x:c>
      <x:c r="AK2394" s="1" t="n">
        <x:f>IF(A2394="",0,COUNTIFS($A$2:$A$501,A2394))</x:f>
        <x:v>0</x:v>
      </x:c>
      <x:c r="AL2394" s="1" t="n">
        <x:f>IF(V2394="Candidate",1,0)</x:f>
        <x:v>0</x:v>
      </x:c>
      <x:c r="AM2394" s="1" t="n">
        <x:f>IF(A2394="",0,VALUE(A2394))</x:f>
        <x:v>0</x:v>
      </x:c>
      <x:c r="AN2394" s="1" t="n">
        <x:f>IF(OR(A2394="",COUNTIFS($T$41:$T$540,A2394)&lt;&gt;1),0,MATCH(A2394,$T$41:$T$540,0))</x:f>
        <x:v>0</x:v>
      </x:c>
      <x:c r="AO2394" t="n">
        <x:f>IF(ISNUMBER(W2394),W2394,10000+AM2394)</x:f>
        <x:v>10000</x:v>
      </x:c>
    </x:row>
    <x:row r="2395" ht="22" customHeight="1">
      <x:c r="A2395" s="1" t="str">
        <x:f>IF(A346="","",A346)</x:f>
      </x:c>
      <x:c r="B2395" s="1" t="str">
        <x:f>IF(A2395="","",B346)</x:f>
      </x:c>
      <x:c r="C2395" s="1" t="str">
        <x:f>IF(A2395="","",C346)</x:f>
      </x:c>
      <x:c r="D2395" s="1" t="str">
        <x:f>IF(A2395="","",E346)</x:f>
      </x:c>
      <x:c r="E2395" s="1" t="str">
        <x:f>IF(A2395="","",H346)</x:f>
      </x:c>
      <x:c r="F2395" s="1" t="str">
        <x:f>IF(ISNUMBER(K346),K346,"")</x:f>
      </x:c>
      <x:c r="G2395" s="1" t="str">
        <x:f>IF(ISNUMBER(L346),L346,"")</x:f>
      </x:c>
      <x:c r="H2395" s="1" t="str">
        <x:f>IF(A2395="","",IF(AND(UPPER(G346)="PHILADELPHIA",OR(C2395="District",AND(C2395="Charter",D346="Yes"))),"Yes","No"))</x:f>
      </x:c>
      <x:c r="I2395" s="1" t="n">
        <x:f>IF(OR(A2395="",COUNTIFS('Staff Review'!$A$8:$A$507,A2395)&lt;&gt;1),0,MATCH(A2395,'Staff Review'!$A$8:$A$507,0))</x:f>
        <x:v>0</x:v>
      </x:c>
      <x:c r="J2395" s="1" t="str">
        <x:f>IF(I2395=0,"No",IF(INDEX('Staff Review'!$C$8:$C$507,I2395)="Yes","Yes","No"))</x:f>
        <x:v>No</x:v>
      </x:c>
      <x:c r="K2395" s="1" t="str">
        <x:f>IF(AI2395="Yes",INDEX('Staff Review'!$D$8:$D$507,I2395),IF(AB2395=0,"",IF(COUNT(INDEX($C$1531:$C$2030,AB2395))=1,INDEX($C$1531:$C$2030,AB2395),"")))</x:f>
      </x:c>
      <x:c r="L2395" s="1" t="str">
        <x:f>IF(AJ2395="Yes",INDEX('Staff Review'!$F$8:$F$507,I2395),IF(AB2395=0,"",IF(COUNT(INDEX($G$1531:$G$2030,AB2395))=1,INDEX($G$1531:$G$2030,AB2395),"")))</x:f>
      </x:c>
      <x:c r="M2395" s="1" t="str">
        <x:f>IF(A2395="","",IF(AI2395="Yes","Verified","Listed"))</x:f>
      </x:c>
      <x:c r="N2395" s="1" t="str">
        <x:f>IF(A2395="","",IF(AJ2395="Yes","Verified","Listed"))</x:f>
      </x:c>
      <x:c r="O2395" s="1" t="str">
        <x:f>IF(AND(ISNUMBER(G2395),G2395&gt;=0,G2395&lt;=1),IF(G2395&gt;=0.9,30,IF(G2395&gt;=0.8,25,IF(G2395&gt;=0.7,20,IF(G2395&gt;=0.6,15,IF(G2395&gt;=0.5,10,IF(G2395&gt;=0.4,5,0)))))),"")</x:f>
      </x:c>
      <x:c r="P2395" s="1" t="str">
        <x:f>IF(ISNUMBER(K2395),IF(K2395&lt;0,"",IF(K2395&gt;1,25,IF(K2395&gt;=0.75,20,IF(K2395&gt;=0.5,15,IF(K2395&gt;=0.25,10,5))))),"")</x:f>
      </x:c>
      <x:c r="Q2395" s="1" t="str">
        <x:f>IF(NOT(ISNUMBER(L2395)),"",IF(AND(L2395&gt;=0,MOD(L2395,1)=0),MAX(0,25-5*L2395),""))</x:f>
      </x:c>
      <x:c r="R2395" s="1" t="str">
        <x:f>IF(NOT(ISNUMBER(F2395)),"",IF(AND(F2395&gt;0,MOD(F2395,1)=0),IF(F2395&gt;=700,5,IF(F2395&gt;=500,4,IF(F2395&gt;=350,3,IF(F2395&gt;=200,2,1)))),""))</x:f>
      </x:c>
      <x:c r="S2395" s="1" t="str">
        <x:f>IF(COUNT(O2395:R2395)=4,SUM(O2395:R2395),"")</x:f>
      </x:c>
      <x:c r="T2395" s="1" t="str">
        <x:f>IF(OR(COUNT(O2395:R2395)&lt;&gt;4,COUNT('Top 15'!$B$35:$E$35)&lt;&gt;4,MIN('Top 15'!$B$35:$E$35)&lt;0,SUM('Top 15'!$B$35:$E$35)&lt;=0),"",ROUND(85*(O2395/30*'Top 15'!$B$35+P2395/25*'Top 15'!$C$35+Q2395/25*'Top 15'!$D$35+R2395/5*'Top 15'!$E$35)/SUM('Top 15'!$B$35:$E$35),6))</x:f>
      </x:c>
      <x:c r="U2395" s="1" t="str">
        <x:f>IF(A2395="","",IF(AND(M2395="Verified",N2395="Verified"),"Verified",IF(AND(M2395="Listed",N2395="Listed"),"Listed","Mixed")))</x:f>
      </x:c>
      <x:c r="V2395" s="1" t="str">
        <x:f>IF(A2395="","",IF(AK2395&lt;&gt;1,"Duplicate source ID",IF(COUNTIFS('Staff Review'!$A$8:$A$507,A2395)&gt;1,"Duplicate review ID",IF(H2395&lt;&gt;"Yes","Outside scope",IF(J2395="Yes","Already served",IF(NOT(ISNUMBER(T2395)),"Missing data","Candidate"))))))</x:f>
      </x:c>
      <x:c r="W2395" s="1" t="str">
        <x:f>IF(AL2395=0,"",1+COUNTIFS($AL$2051:$AL$2550,1,$T$2051:$T$2550,"&gt;"&amp;T2395)+COUNTIFS($AL$2051:$AL$2550,1,$T$2051:$T$2550,T2395,$G$2051:$G$2550,"&gt;"&amp;G2395)+COUNTIFS($AL$2051:$AL$2550,1,$T$2051:$T$2550,T2395,$G$2051:$G$2550,G2395,$F$2051:$F$2550,"&gt;"&amp;F2395)+COUNTIFS($AL$2051:$AL$2550,1,$T$2051:$T$2550,T2395,$G$2051:$G$2550,G2395,$F$2051:$F$2550,F2395,$AM$2051:$AM$2550,"&lt;"&amp;AM2395))</x:f>
      </x:c>
      <x:c r="X2395" s="1" t="str">
        <x:f>IF(AL2395=0,"",1+COUNTIFS($AL$2051:$AL$2550,1,$T$2051:$T$2550,"&gt;"&amp;T2395))</x:f>
      </x:c>
      <x:c r="Y2395" s="1" t="n">
        <x:f>IF(AND(H2395="Yes",OR(LEN('School Search'!$B$5)=0,ISNUMBER(SEARCH('School Search'!$B$5,B2395&amp;" "&amp;E2395&amp;" "&amp;A2395))),OR('School Search'!$D$5="All",C2395='School Search'!$D$5),OR('School Search'!$G$5="All eligible",AND('School Search'!$G$5="Not marked served",J2395&lt;&gt;"Yes"),AND('School Search'!$G$5="Missing data",V2395="Missing data"),AND('School Search'!$G$5="Marked served",J2395="Yes"))),1,0)</x:f>
        <x:v>0</x:v>
      </x:c>
      <x:c r="Z2395" s="1" t="str">
        <x:f>IF(Y2395=0,"",COUNTIFS($Y$2051:$Y$2550,1,$AO$2051:$AO$2550,"&lt;"&amp;AO2395)+COUNTIFS($Y$2051:Y2395,1,$AO$2051:AO2395,AO2395))</x:f>
      </x:c>
      <x:c r="AA2395" s="1" t="str">
        <x:f>IF(NOT(ISNUMBER(S2395)),"Missing demographic or access input",TEXT(G2395,"0%")&amp;" economic need; "&amp;TEXT(K2395,"0.00")&amp;" mi fresh access; "&amp;L2395&amp;" nearby resources")</x:f>
        <x:v>Missing demographic or access input</x:v>
      </x:c>
      <x:c r="AB2395" s="1" t="n">
        <x:f>IF(OR(A2395="",COUNTIFS($A$1531:$A$2030,A2395)&lt;&gt;1),0,MATCH(A2395,$A$1531:$A$2030,0))</x:f>
        <x:v>0</x:v>
      </x:c>
      <x:c r="AC2395" s="1" t="str">
        <x:f>IF(AB2395=0,"",INDEX($E$1531:$E$2030,AB2395))</x:f>
      </x:c>
      <x:c r="AD2395" s="1" t="str">
        <x:f>IF(AB2395=0,"",INDEX($F$1531:$F$2030,AB2395))</x:f>
      </x:c>
      <x:c r="AE2395" s="1" t="str">
        <x:f>IF(A2395="","",F346)</x:f>
      </x:c>
      <x:c r="AF2395" s="1" t="str">
        <x:f>IF(ISNUMBER(I346),I346,"")</x:f>
      </x:c>
      <x:c r="AG2395" s="1" t="str">
        <x:f>IF(ISNUMBER(J346),J346,"")</x:f>
      </x:c>
      <x:c r="AH2395" s="1" t="str">
        <x:f>IF(I2395=0,"Not contacted",IF(INDEX('Staff Review'!$J$8:$J$507,I2395)="","Not contacted",INDEX('Staff Review'!$J$8:$J$507,I2395)))</x:f>
        <x:v>Not contacted</x:v>
      </x:c>
      <x:c r="AI2395" s="1" t="str">
        <x:f>IF(I2395=0,"No",IF(AND(COUNT(INDEX('Staff Review'!$D$8:$D$507,I2395))=1,INDEX('Staff Review'!$D$8:$D$507,I2395)&gt;=0,COUNT(INDEX('Staff Review'!$E$8:$E$507,I2395))=1,INDEX('Staff Review'!$E$8:$E$507,I2395)&gt;0,INDEX('Staff Review'!$E$8:$E$507,I2395)&lt;='Top 15'!$E$5,'Top 15'!$E$5-INDEX('Staff Review'!$E$8:$E$507,I2395)&lt;='Top 15'!$H$5,LEN(INDEX('Staff Review'!$H$8:$H$507,I2395))&gt;0),"Yes","No"))</x:f>
        <x:v>No</x:v>
      </x:c>
      <x:c r="AJ2395" s="1" t="str">
        <x:f>IF(I2395=0,"No",IF(COUNT(INDEX('Staff Review'!$F$8:$F$507,I2395))&lt;&gt;1,"No",IF(AND(INDEX('Staff Review'!$F$8:$F$507,I2395)&gt;=0,MOD(INDEX('Staff Review'!$F$8:$F$507,I2395),1)=0,COUNT(INDEX('Staff Review'!$G$8:$G$507,I2395))=1,INDEX('Staff Review'!$G$8:$G$507,I2395)&gt;0,INDEX('Staff Review'!$G$8:$G$507,I2395)&lt;='Top 15'!$E$5,'Top 15'!$E$5-INDEX('Staff Review'!$G$8:$G$507,I2395)&lt;='Top 15'!$H$5,LEN(INDEX('Staff Review'!$H$8:$H$507,I2395))&gt;0),"Yes","No")))</x:f>
        <x:v>No</x:v>
      </x:c>
      <x:c r="AK2395" s="1" t="n">
        <x:f>IF(A2395="",0,COUNTIFS($A$2:$A$501,A2395))</x:f>
        <x:v>0</x:v>
      </x:c>
      <x:c r="AL2395" s="1" t="n">
        <x:f>IF(V2395="Candidate",1,0)</x:f>
        <x:v>0</x:v>
      </x:c>
      <x:c r="AM2395" s="1" t="n">
        <x:f>IF(A2395="",0,VALUE(A2395))</x:f>
        <x:v>0</x:v>
      </x:c>
      <x:c r="AN2395" s="1" t="n">
        <x:f>IF(OR(A2395="",COUNTIFS($T$41:$T$540,A2395)&lt;&gt;1),0,MATCH(A2395,$T$41:$T$540,0))</x:f>
        <x:v>0</x:v>
      </x:c>
      <x:c r="AO2395" t="n">
        <x:f>IF(ISNUMBER(W2395),W2395,10000+AM2395)</x:f>
        <x:v>10000</x:v>
      </x:c>
    </x:row>
    <x:row r="2396" ht="22" customHeight="1">
      <x:c r="A2396" s="1" t="str">
        <x:f>IF(A347="","",A347)</x:f>
      </x:c>
      <x:c r="B2396" s="1" t="str">
        <x:f>IF(A2396="","",B347)</x:f>
      </x:c>
      <x:c r="C2396" s="1" t="str">
        <x:f>IF(A2396="","",C347)</x:f>
      </x:c>
      <x:c r="D2396" s="1" t="str">
        <x:f>IF(A2396="","",E347)</x:f>
      </x:c>
      <x:c r="E2396" s="1" t="str">
        <x:f>IF(A2396="","",H347)</x:f>
      </x:c>
      <x:c r="F2396" s="1" t="str">
        <x:f>IF(ISNUMBER(K347),K347,"")</x:f>
      </x:c>
      <x:c r="G2396" s="1" t="str">
        <x:f>IF(ISNUMBER(L347),L347,"")</x:f>
      </x:c>
      <x:c r="H2396" s="1" t="str">
        <x:f>IF(A2396="","",IF(AND(UPPER(G347)="PHILADELPHIA",OR(C2396="District",AND(C2396="Charter",D347="Yes"))),"Yes","No"))</x:f>
      </x:c>
      <x:c r="I2396" s="1" t="n">
        <x:f>IF(OR(A2396="",COUNTIFS('Staff Review'!$A$8:$A$507,A2396)&lt;&gt;1),0,MATCH(A2396,'Staff Review'!$A$8:$A$507,0))</x:f>
        <x:v>0</x:v>
      </x:c>
      <x:c r="J2396" s="1" t="str">
        <x:f>IF(I2396=0,"No",IF(INDEX('Staff Review'!$C$8:$C$507,I2396)="Yes","Yes","No"))</x:f>
        <x:v>No</x:v>
      </x:c>
      <x:c r="K2396" s="1" t="str">
        <x:f>IF(AI2396="Yes",INDEX('Staff Review'!$D$8:$D$507,I2396),IF(AB2396=0,"",IF(COUNT(INDEX($C$1531:$C$2030,AB2396))=1,INDEX($C$1531:$C$2030,AB2396),"")))</x:f>
      </x:c>
      <x:c r="L2396" s="1" t="str">
        <x:f>IF(AJ2396="Yes",INDEX('Staff Review'!$F$8:$F$507,I2396),IF(AB2396=0,"",IF(COUNT(INDEX($G$1531:$G$2030,AB2396))=1,INDEX($G$1531:$G$2030,AB2396),"")))</x:f>
      </x:c>
      <x:c r="M2396" s="1" t="str">
        <x:f>IF(A2396="","",IF(AI2396="Yes","Verified","Listed"))</x:f>
      </x:c>
      <x:c r="N2396" s="1" t="str">
        <x:f>IF(A2396="","",IF(AJ2396="Yes","Verified","Listed"))</x:f>
      </x:c>
      <x:c r="O2396" s="1" t="str">
        <x:f>IF(AND(ISNUMBER(G2396),G2396&gt;=0,G2396&lt;=1),IF(G2396&gt;=0.9,30,IF(G2396&gt;=0.8,25,IF(G2396&gt;=0.7,20,IF(G2396&gt;=0.6,15,IF(G2396&gt;=0.5,10,IF(G2396&gt;=0.4,5,0)))))),"")</x:f>
      </x:c>
      <x:c r="P2396" s="1" t="str">
        <x:f>IF(ISNUMBER(K2396),IF(K2396&lt;0,"",IF(K2396&gt;1,25,IF(K2396&gt;=0.75,20,IF(K2396&gt;=0.5,15,IF(K2396&gt;=0.25,10,5))))),"")</x:f>
      </x:c>
      <x:c r="Q2396" s="1" t="str">
        <x:f>IF(NOT(ISNUMBER(L2396)),"",IF(AND(L2396&gt;=0,MOD(L2396,1)=0),MAX(0,25-5*L2396),""))</x:f>
      </x:c>
      <x:c r="R2396" s="1" t="str">
        <x:f>IF(NOT(ISNUMBER(F2396)),"",IF(AND(F2396&gt;0,MOD(F2396,1)=0),IF(F2396&gt;=700,5,IF(F2396&gt;=500,4,IF(F2396&gt;=350,3,IF(F2396&gt;=200,2,1)))),""))</x:f>
      </x:c>
      <x:c r="S2396" s="1" t="str">
        <x:f>IF(COUNT(O2396:R2396)=4,SUM(O2396:R2396),"")</x:f>
      </x:c>
      <x:c r="T2396" s="1" t="str">
        <x:f>IF(OR(COUNT(O2396:R2396)&lt;&gt;4,COUNT('Top 15'!$B$35:$E$35)&lt;&gt;4,MIN('Top 15'!$B$35:$E$35)&lt;0,SUM('Top 15'!$B$35:$E$35)&lt;=0),"",ROUND(85*(O2396/30*'Top 15'!$B$35+P2396/25*'Top 15'!$C$35+Q2396/25*'Top 15'!$D$35+R2396/5*'Top 15'!$E$35)/SUM('Top 15'!$B$35:$E$35),6))</x:f>
      </x:c>
      <x:c r="U2396" s="1" t="str">
        <x:f>IF(A2396="","",IF(AND(M2396="Verified",N2396="Verified"),"Verified",IF(AND(M2396="Listed",N2396="Listed"),"Listed","Mixed")))</x:f>
      </x:c>
      <x:c r="V2396" s="1" t="str">
        <x:f>IF(A2396="","",IF(AK2396&lt;&gt;1,"Duplicate source ID",IF(COUNTIFS('Staff Review'!$A$8:$A$507,A2396)&gt;1,"Duplicate review ID",IF(H2396&lt;&gt;"Yes","Outside scope",IF(J2396="Yes","Already served",IF(NOT(ISNUMBER(T2396)),"Missing data","Candidate"))))))</x:f>
      </x:c>
      <x:c r="W2396" s="1" t="str">
        <x:f>IF(AL2396=0,"",1+COUNTIFS($AL$2051:$AL$2550,1,$T$2051:$T$2550,"&gt;"&amp;T2396)+COUNTIFS($AL$2051:$AL$2550,1,$T$2051:$T$2550,T2396,$G$2051:$G$2550,"&gt;"&amp;G2396)+COUNTIFS($AL$2051:$AL$2550,1,$T$2051:$T$2550,T2396,$G$2051:$G$2550,G2396,$F$2051:$F$2550,"&gt;"&amp;F2396)+COUNTIFS($AL$2051:$AL$2550,1,$T$2051:$T$2550,T2396,$G$2051:$G$2550,G2396,$F$2051:$F$2550,F2396,$AM$2051:$AM$2550,"&lt;"&amp;AM2396))</x:f>
      </x:c>
      <x:c r="X2396" s="1" t="str">
        <x:f>IF(AL2396=0,"",1+COUNTIFS($AL$2051:$AL$2550,1,$T$2051:$T$2550,"&gt;"&amp;T2396))</x:f>
      </x:c>
      <x:c r="Y2396" s="1" t="n">
        <x:f>IF(AND(H2396="Yes",OR(LEN('School Search'!$B$5)=0,ISNUMBER(SEARCH('School Search'!$B$5,B2396&amp;" "&amp;E2396&amp;" "&amp;A2396))),OR('School Search'!$D$5="All",C2396='School Search'!$D$5),OR('School Search'!$G$5="All eligible",AND('School Search'!$G$5="Not marked served",J2396&lt;&gt;"Yes"),AND('School Search'!$G$5="Missing data",V2396="Missing data"),AND('School Search'!$G$5="Marked served",J2396="Yes"))),1,0)</x:f>
        <x:v>0</x:v>
      </x:c>
      <x:c r="Z2396" s="1" t="str">
        <x:f>IF(Y2396=0,"",COUNTIFS($Y$2051:$Y$2550,1,$AO$2051:$AO$2550,"&lt;"&amp;AO2396)+COUNTIFS($Y$2051:Y2396,1,$AO$2051:AO2396,AO2396))</x:f>
      </x:c>
      <x:c r="AA2396" s="1" t="str">
        <x:f>IF(NOT(ISNUMBER(S2396)),"Missing demographic or access input",TEXT(G2396,"0%")&amp;" economic need; "&amp;TEXT(K2396,"0.00")&amp;" mi fresh access; "&amp;L2396&amp;" nearby resources")</x:f>
        <x:v>Missing demographic or access input</x:v>
      </x:c>
      <x:c r="AB2396" s="1" t="n">
        <x:f>IF(OR(A2396="",COUNTIFS($A$1531:$A$2030,A2396)&lt;&gt;1),0,MATCH(A2396,$A$1531:$A$2030,0))</x:f>
        <x:v>0</x:v>
      </x:c>
      <x:c r="AC2396" s="1" t="str">
        <x:f>IF(AB2396=0,"",INDEX($E$1531:$E$2030,AB2396))</x:f>
      </x:c>
      <x:c r="AD2396" s="1" t="str">
        <x:f>IF(AB2396=0,"",INDEX($F$1531:$F$2030,AB2396))</x:f>
      </x:c>
      <x:c r="AE2396" s="1" t="str">
        <x:f>IF(A2396="","",F347)</x:f>
      </x:c>
      <x:c r="AF2396" s="1" t="str">
        <x:f>IF(ISNUMBER(I347),I347,"")</x:f>
      </x:c>
      <x:c r="AG2396" s="1" t="str">
        <x:f>IF(ISNUMBER(J347),J347,"")</x:f>
      </x:c>
      <x:c r="AH2396" s="1" t="str">
        <x:f>IF(I2396=0,"Not contacted",IF(INDEX('Staff Review'!$J$8:$J$507,I2396)="","Not contacted",INDEX('Staff Review'!$J$8:$J$507,I2396)))</x:f>
        <x:v>Not contacted</x:v>
      </x:c>
      <x:c r="AI2396" s="1" t="str">
        <x:f>IF(I2396=0,"No",IF(AND(COUNT(INDEX('Staff Review'!$D$8:$D$507,I2396))=1,INDEX('Staff Review'!$D$8:$D$507,I2396)&gt;=0,COUNT(INDEX('Staff Review'!$E$8:$E$507,I2396))=1,INDEX('Staff Review'!$E$8:$E$507,I2396)&gt;0,INDEX('Staff Review'!$E$8:$E$507,I2396)&lt;='Top 15'!$E$5,'Top 15'!$E$5-INDEX('Staff Review'!$E$8:$E$507,I2396)&lt;='Top 15'!$H$5,LEN(INDEX('Staff Review'!$H$8:$H$507,I2396))&gt;0),"Yes","No"))</x:f>
        <x:v>No</x:v>
      </x:c>
      <x:c r="AJ2396" s="1" t="str">
        <x:f>IF(I2396=0,"No",IF(COUNT(INDEX('Staff Review'!$F$8:$F$507,I2396))&lt;&gt;1,"No",IF(AND(INDEX('Staff Review'!$F$8:$F$507,I2396)&gt;=0,MOD(INDEX('Staff Review'!$F$8:$F$507,I2396),1)=0,COUNT(INDEX('Staff Review'!$G$8:$G$507,I2396))=1,INDEX('Staff Review'!$G$8:$G$507,I2396)&gt;0,INDEX('Staff Review'!$G$8:$G$507,I2396)&lt;='Top 15'!$E$5,'Top 15'!$E$5-INDEX('Staff Review'!$G$8:$G$507,I2396)&lt;='Top 15'!$H$5,LEN(INDEX('Staff Review'!$H$8:$H$507,I2396))&gt;0),"Yes","No")))</x:f>
        <x:v>No</x:v>
      </x:c>
      <x:c r="AK2396" s="1" t="n">
        <x:f>IF(A2396="",0,COUNTIFS($A$2:$A$501,A2396))</x:f>
        <x:v>0</x:v>
      </x:c>
      <x:c r="AL2396" s="1" t="n">
        <x:f>IF(V2396="Candidate",1,0)</x:f>
        <x:v>0</x:v>
      </x:c>
      <x:c r="AM2396" s="1" t="n">
        <x:f>IF(A2396="",0,VALUE(A2396))</x:f>
        <x:v>0</x:v>
      </x:c>
      <x:c r="AN2396" s="1" t="n">
        <x:f>IF(OR(A2396="",COUNTIFS($T$41:$T$540,A2396)&lt;&gt;1),0,MATCH(A2396,$T$41:$T$540,0))</x:f>
        <x:v>0</x:v>
      </x:c>
      <x:c r="AO2396" t="n">
        <x:f>IF(ISNUMBER(W2396),W2396,10000+AM2396)</x:f>
        <x:v>10000</x:v>
      </x:c>
    </x:row>
    <x:row r="2397" ht="22" customHeight="1">
      <x:c r="A2397" s="1" t="str">
        <x:f>IF(A348="","",A348)</x:f>
      </x:c>
      <x:c r="B2397" s="1" t="str">
        <x:f>IF(A2397="","",B348)</x:f>
      </x:c>
      <x:c r="C2397" s="1" t="str">
        <x:f>IF(A2397="","",C348)</x:f>
      </x:c>
      <x:c r="D2397" s="1" t="str">
        <x:f>IF(A2397="","",E348)</x:f>
      </x:c>
      <x:c r="E2397" s="1" t="str">
        <x:f>IF(A2397="","",H348)</x:f>
      </x:c>
      <x:c r="F2397" s="1" t="str">
        <x:f>IF(ISNUMBER(K348),K348,"")</x:f>
      </x:c>
      <x:c r="G2397" s="1" t="str">
        <x:f>IF(ISNUMBER(L348),L348,"")</x:f>
      </x:c>
      <x:c r="H2397" s="1" t="str">
        <x:f>IF(A2397="","",IF(AND(UPPER(G348)="PHILADELPHIA",OR(C2397="District",AND(C2397="Charter",D348="Yes"))),"Yes","No"))</x:f>
      </x:c>
      <x:c r="I2397" s="1" t="n">
        <x:f>IF(OR(A2397="",COUNTIFS('Staff Review'!$A$8:$A$507,A2397)&lt;&gt;1),0,MATCH(A2397,'Staff Review'!$A$8:$A$507,0))</x:f>
        <x:v>0</x:v>
      </x:c>
      <x:c r="J2397" s="1" t="str">
        <x:f>IF(I2397=0,"No",IF(INDEX('Staff Review'!$C$8:$C$507,I2397)="Yes","Yes","No"))</x:f>
        <x:v>No</x:v>
      </x:c>
      <x:c r="K2397" s="1" t="str">
        <x:f>IF(AI2397="Yes",INDEX('Staff Review'!$D$8:$D$507,I2397),IF(AB2397=0,"",IF(COUNT(INDEX($C$1531:$C$2030,AB2397))=1,INDEX($C$1531:$C$2030,AB2397),"")))</x:f>
      </x:c>
      <x:c r="L2397" s="1" t="str">
        <x:f>IF(AJ2397="Yes",INDEX('Staff Review'!$F$8:$F$507,I2397),IF(AB2397=0,"",IF(COUNT(INDEX($G$1531:$G$2030,AB2397))=1,INDEX($G$1531:$G$2030,AB2397),"")))</x:f>
      </x:c>
      <x:c r="M2397" s="1" t="str">
        <x:f>IF(A2397="","",IF(AI2397="Yes","Verified","Listed"))</x:f>
      </x:c>
      <x:c r="N2397" s="1" t="str">
        <x:f>IF(A2397="","",IF(AJ2397="Yes","Verified","Listed"))</x:f>
      </x:c>
      <x:c r="O2397" s="1" t="str">
        <x:f>IF(AND(ISNUMBER(G2397),G2397&gt;=0,G2397&lt;=1),IF(G2397&gt;=0.9,30,IF(G2397&gt;=0.8,25,IF(G2397&gt;=0.7,20,IF(G2397&gt;=0.6,15,IF(G2397&gt;=0.5,10,IF(G2397&gt;=0.4,5,0)))))),"")</x:f>
      </x:c>
      <x:c r="P2397" s="1" t="str">
        <x:f>IF(ISNUMBER(K2397),IF(K2397&lt;0,"",IF(K2397&gt;1,25,IF(K2397&gt;=0.75,20,IF(K2397&gt;=0.5,15,IF(K2397&gt;=0.25,10,5))))),"")</x:f>
      </x:c>
      <x:c r="Q2397" s="1" t="str">
        <x:f>IF(NOT(ISNUMBER(L2397)),"",IF(AND(L2397&gt;=0,MOD(L2397,1)=0),MAX(0,25-5*L2397),""))</x:f>
      </x:c>
      <x:c r="R2397" s="1" t="str">
        <x:f>IF(NOT(ISNUMBER(F2397)),"",IF(AND(F2397&gt;0,MOD(F2397,1)=0),IF(F2397&gt;=700,5,IF(F2397&gt;=500,4,IF(F2397&gt;=350,3,IF(F2397&gt;=200,2,1)))),""))</x:f>
      </x:c>
      <x:c r="S2397" s="1" t="str">
        <x:f>IF(COUNT(O2397:R2397)=4,SUM(O2397:R2397),"")</x:f>
      </x:c>
      <x:c r="T2397" s="1" t="str">
        <x:f>IF(OR(COUNT(O2397:R2397)&lt;&gt;4,COUNT('Top 15'!$B$35:$E$35)&lt;&gt;4,MIN('Top 15'!$B$35:$E$35)&lt;0,SUM('Top 15'!$B$35:$E$35)&lt;=0),"",ROUND(85*(O2397/30*'Top 15'!$B$35+P2397/25*'Top 15'!$C$35+Q2397/25*'Top 15'!$D$35+R2397/5*'Top 15'!$E$35)/SUM('Top 15'!$B$35:$E$35),6))</x:f>
      </x:c>
      <x:c r="U2397" s="1" t="str">
        <x:f>IF(A2397="","",IF(AND(M2397="Verified",N2397="Verified"),"Verified",IF(AND(M2397="Listed",N2397="Listed"),"Listed","Mixed")))</x:f>
      </x:c>
      <x:c r="V2397" s="1" t="str">
        <x:f>IF(A2397="","",IF(AK2397&lt;&gt;1,"Duplicate source ID",IF(COUNTIFS('Staff Review'!$A$8:$A$507,A2397)&gt;1,"Duplicate review ID",IF(H2397&lt;&gt;"Yes","Outside scope",IF(J2397="Yes","Already served",IF(NOT(ISNUMBER(T2397)),"Missing data","Candidate"))))))</x:f>
      </x:c>
      <x:c r="W2397" s="1" t="str">
        <x:f>IF(AL2397=0,"",1+COUNTIFS($AL$2051:$AL$2550,1,$T$2051:$T$2550,"&gt;"&amp;T2397)+COUNTIFS($AL$2051:$AL$2550,1,$T$2051:$T$2550,T2397,$G$2051:$G$2550,"&gt;"&amp;G2397)+COUNTIFS($AL$2051:$AL$2550,1,$T$2051:$T$2550,T2397,$G$2051:$G$2550,G2397,$F$2051:$F$2550,"&gt;"&amp;F2397)+COUNTIFS($AL$2051:$AL$2550,1,$T$2051:$T$2550,T2397,$G$2051:$G$2550,G2397,$F$2051:$F$2550,F2397,$AM$2051:$AM$2550,"&lt;"&amp;AM2397))</x:f>
      </x:c>
      <x:c r="X2397" s="1" t="str">
        <x:f>IF(AL2397=0,"",1+COUNTIFS($AL$2051:$AL$2550,1,$T$2051:$T$2550,"&gt;"&amp;T2397))</x:f>
      </x:c>
      <x:c r="Y2397" s="1" t="n">
        <x:f>IF(AND(H2397="Yes",OR(LEN('School Search'!$B$5)=0,ISNUMBER(SEARCH('School Search'!$B$5,B2397&amp;" "&amp;E2397&amp;" "&amp;A2397))),OR('School Search'!$D$5="All",C2397='School Search'!$D$5),OR('School Search'!$G$5="All eligible",AND('School Search'!$G$5="Not marked served",J2397&lt;&gt;"Yes"),AND('School Search'!$G$5="Missing data",V2397="Missing data"),AND('School Search'!$G$5="Marked served",J2397="Yes"))),1,0)</x:f>
        <x:v>0</x:v>
      </x:c>
      <x:c r="Z2397" s="1" t="str">
        <x:f>IF(Y2397=0,"",COUNTIFS($Y$2051:$Y$2550,1,$AO$2051:$AO$2550,"&lt;"&amp;AO2397)+COUNTIFS($Y$2051:Y2397,1,$AO$2051:AO2397,AO2397))</x:f>
      </x:c>
      <x:c r="AA2397" s="1" t="str">
        <x:f>IF(NOT(ISNUMBER(S2397)),"Missing demographic or access input",TEXT(G2397,"0%")&amp;" economic need; "&amp;TEXT(K2397,"0.00")&amp;" mi fresh access; "&amp;L2397&amp;" nearby resources")</x:f>
        <x:v>Missing demographic or access input</x:v>
      </x:c>
      <x:c r="AB2397" s="1" t="n">
        <x:f>IF(OR(A2397="",COUNTIFS($A$1531:$A$2030,A2397)&lt;&gt;1),0,MATCH(A2397,$A$1531:$A$2030,0))</x:f>
        <x:v>0</x:v>
      </x:c>
      <x:c r="AC2397" s="1" t="str">
        <x:f>IF(AB2397=0,"",INDEX($E$1531:$E$2030,AB2397))</x:f>
      </x:c>
      <x:c r="AD2397" s="1" t="str">
        <x:f>IF(AB2397=0,"",INDEX($F$1531:$F$2030,AB2397))</x:f>
      </x:c>
      <x:c r="AE2397" s="1" t="str">
        <x:f>IF(A2397="","",F348)</x:f>
      </x:c>
      <x:c r="AF2397" s="1" t="str">
        <x:f>IF(ISNUMBER(I348),I348,"")</x:f>
      </x:c>
      <x:c r="AG2397" s="1" t="str">
        <x:f>IF(ISNUMBER(J348),J348,"")</x:f>
      </x:c>
      <x:c r="AH2397" s="1" t="str">
        <x:f>IF(I2397=0,"Not contacted",IF(INDEX('Staff Review'!$J$8:$J$507,I2397)="","Not contacted",INDEX('Staff Review'!$J$8:$J$507,I2397)))</x:f>
        <x:v>Not contacted</x:v>
      </x:c>
      <x:c r="AI2397" s="1" t="str">
        <x:f>IF(I2397=0,"No",IF(AND(COUNT(INDEX('Staff Review'!$D$8:$D$507,I2397))=1,INDEX('Staff Review'!$D$8:$D$507,I2397)&gt;=0,COUNT(INDEX('Staff Review'!$E$8:$E$507,I2397))=1,INDEX('Staff Review'!$E$8:$E$507,I2397)&gt;0,INDEX('Staff Review'!$E$8:$E$507,I2397)&lt;='Top 15'!$E$5,'Top 15'!$E$5-INDEX('Staff Review'!$E$8:$E$507,I2397)&lt;='Top 15'!$H$5,LEN(INDEX('Staff Review'!$H$8:$H$507,I2397))&gt;0),"Yes","No"))</x:f>
        <x:v>No</x:v>
      </x:c>
      <x:c r="AJ2397" s="1" t="str">
        <x:f>IF(I2397=0,"No",IF(COUNT(INDEX('Staff Review'!$F$8:$F$507,I2397))&lt;&gt;1,"No",IF(AND(INDEX('Staff Review'!$F$8:$F$507,I2397)&gt;=0,MOD(INDEX('Staff Review'!$F$8:$F$507,I2397),1)=0,COUNT(INDEX('Staff Review'!$G$8:$G$507,I2397))=1,INDEX('Staff Review'!$G$8:$G$507,I2397)&gt;0,INDEX('Staff Review'!$G$8:$G$507,I2397)&lt;='Top 15'!$E$5,'Top 15'!$E$5-INDEX('Staff Review'!$G$8:$G$507,I2397)&lt;='Top 15'!$H$5,LEN(INDEX('Staff Review'!$H$8:$H$507,I2397))&gt;0),"Yes","No")))</x:f>
        <x:v>No</x:v>
      </x:c>
      <x:c r="AK2397" s="1" t="n">
        <x:f>IF(A2397="",0,COUNTIFS($A$2:$A$501,A2397))</x:f>
        <x:v>0</x:v>
      </x:c>
      <x:c r="AL2397" s="1" t="n">
        <x:f>IF(V2397="Candidate",1,0)</x:f>
        <x:v>0</x:v>
      </x:c>
      <x:c r="AM2397" s="1" t="n">
        <x:f>IF(A2397="",0,VALUE(A2397))</x:f>
        <x:v>0</x:v>
      </x:c>
      <x:c r="AN2397" s="1" t="n">
        <x:f>IF(OR(A2397="",COUNTIFS($T$41:$T$540,A2397)&lt;&gt;1),0,MATCH(A2397,$T$41:$T$540,0))</x:f>
        <x:v>0</x:v>
      </x:c>
      <x:c r="AO2397" t="n">
        <x:f>IF(ISNUMBER(W2397),W2397,10000+AM2397)</x:f>
        <x:v>10000</x:v>
      </x:c>
    </x:row>
    <x:row r="2398" ht="22" customHeight="1">
      <x:c r="A2398" s="1" t="str">
        <x:f>IF(A349="","",A349)</x:f>
      </x:c>
      <x:c r="B2398" s="1" t="str">
        <x:f>IF(A2398="","",B349)</x:f>
      </x:c>
      <x:c r="C2398" s="1" t="str">
        <x:f>IF(A2398="","",C349)</x:f>
      </x:c>
      <x:c r="D2398" s="1" t="str">
        <x:f>IF(A2398="","",E349)</x:f>
      </x:c>
      <x:c r="E2398" s="1" t="str">
        <x:f>IF(A2398="","",H349)</x:f>
      </x:c>
      <x:c r="F2398" s="1" t="str">
        <x:f>IF(ISNUMBER(K349),K349,"")</x:f>
      </x:c>
      <x:c r="G2398" s="1" t="str">
        <x:f>IF(ISNUMBER(L349),L349,"")</x:f>
      </x:c>
      <x:c r="H2398" s="1" t="str">
        <x:f>IF(A2398="","",IF(AND(UPPER(G349)="PHILADELPHIA",OR(C2398="District",AND(C2398="Charter",D349="Yes"))),"Yes","No"))</x:f>
      </x:c>
      <x:c r="I2398" s="1" t="n">
        <x:f>IF(OR(A2398="",COUNTIFS('Staff Review'!$A$8:$A$507,A2398)&lt;&gt;1),0,MATCH(A2398,'Staff Review'!$A$8:$A$507,0))</x:f>
        <x:v>0</x:v>
      </x:c>
      <x:c r="J2398" s="1" t="str">
        <x:f>IF(I2398=0,"No",IF(INDEX('Staff Review'!$C$8:$C$507,I2398)="Yes","Yes","No"))</x:f>
        <x:v>No</x:v>
      </x:c>
      <x:c r="K2398" s="1" t="str">
        <x:f>IF(AI2398="Yes",INDEX('Staff Review'!$D$8:$D$507,I2398),IF(AB2398=0,"",IF(COUNT(INDEX($C$1531:$C$2030,AB2398))=1,INDEX($C$1531:$C$2030,AB2398),"")))</x:f>
      </x:c>
      <x:c r="L2398" s="1" t="str">
        <x:f>IF(AJ2398="Yes",INDEX('Staff Review'!$F$8:$F$507,I2398),IF(AB2398=0,"",IF(COUNT(INDEX($G$1531:$G$2030,AB2398))=1,INDEX($G$1531:$G$2030,AB2398),"")))</x:f>
      </x:c>
      <x:c r="M2398" s="1" t="str">
        <x:f>IF(A2398="","",IF(AI2398="Yes","Verified","Listed"))</x:f>
      </x:c>
      <x:c r="N2398" s="1" t="str">
        <x:f>IF(A2398="","",IF(AJ2398="Yes","Verified","Listed"))</x:f>
      </x:c>
      <x:c r="O2398" s="1" t="str">
        <x:f>IF(AND(ISNUMBER(G2398),G2398&gt;=0,G2398&lt;=1),IF(G2398&gt;=0.9,30,IF(G2398&gt;=0.8,25,IF(G2398&gt;=0.7,20,IF(G2398&gt;=0.6,15,IF(G2398&gt;=0.5,10,IF(G2398&gt;=0.4,5,0)))))),"")</x:f>
      </x:c>
      <x:c r="P2398" s="1" t="str">
        <x:f>IF(ISNUMBER(K2398),IF(K2398&lt;0,"",IF(K2398&gt;1,25,IF(K2398&gt;=0.75,20,IF(K2398&gt;=0.5,15,IF(K2398&gt;=0.25,10,5))))),"")</x:f>
      </x:c>
      <x:c r="Q2398" s="1" t="str">
        <x:f>IF(NOT(ISNUMBER(L2398)),"",IF(AND(L2398&gt;=0,MOD(L2398,1)=0),MAX(0,25-5*L2398),""))</x:f>
      </x:c>
      <x:c r="R2398" s="1" t="str">
        <x:f>IF(NOT(ISNUMBER(F2398)),"",IF(AND(F2398&gt;0,MOD(F2398,1)=0),IF(F2398&gt;=700,5,IF(F2398&gt;=500,4,IF(F2398&gt;=350,3,IF(F2398&gt;=200,2,1)))),""))</x:f>
      </x:c>
      <x:c r="S2398" s="1" t="str">
        <x:f>IF(COUNT(O2398:R2398)=4,SUM(O2398:R2398),"")</x:f>
      </x:c>
      <x:c r="T2398" s="1" t="str">
        <x:f>IF(OR(COUNT(O2398:R2398)&lt;&gt;4,COUNT('Top 15'!$B$35:$E$35)&lt;&gt;4,MIN('Top 15'!$B$35:$E$35)&lt;0,SUM('Top 15'!$B$35:$E$35)&lt;=0),"",ROUND(85*(O2398/30*'Top 15'!$B$35+P2398/25*'Top 15'!$C$35+Q2398/25*'Top 15'!$D$35+R2398/5*'Top 15'!$E$35)/SUM('Top 15'!$B$35:$E$35),6))</x:f>
      </x:c>
      <x:c r="U2398" s="1" t="str">
        <x:f>IF(A2398="","",IF(AND(M2398="Verified",N2398="Verified"),"Verified",IF(AND(M2398="Listed",N2398="Listed"),"Listed","Mixed")))</x:f>
      </x:c>
      <x:c r="V2398" s="1" t="str">
        <x:f>IF(A2398="","",IF(AK2398&lt;&gt;1,"Duplicate source ID",IF(COUNTIFS('Staff Review'!$A$8:$A$507,A2398)&gt;1,"Duplicate review ID",IF(H2398&lt;&gt;"Yes","Outside scope",IF(J2398="Yes","Already served",IF(NOT(ISNUMBER(T2398)),"Missing data","Candidate"))))))</x:f>
      </x:c>
      <x:c r="W2398" s="1" t="str">
        <x:f>IF(AL2398=0,"",1+COUNTIFS($AL$2051:$AL$2550,1,$T$2051:$T$2550,"&gt;"&amp;T2398)+COUNTIFS($AL$2051:$AL$2550,1,$T$2051:$T$2550,T2398,$G$2051:$G$2550,"&gt;"&amp;G2398)+COUNTIFS($AL$2051:$AL$2550,1,$T$2051:$T$2550,T2398,$G$2051:$G$2550,G2398,$F$2051:$F$2550,"&gt;"&amp;F2398)+COUNTIFS($AL$2051:$AL$2550,1,$T$2051:$T$2550,T2398,$G$2051:$G$2550,G2398,$F$2051:$F$2550,F2398,$AM$2051:$AM$2550,"&lt;"&amp;AM2398))</x:f>
      </x:c>
      <x:c r="X2398" s="1" t="str">
        <x:f>IF(AL2398=0,"",1+COUNTIFS($AL$2051:$AL$2550,1,$T$2051:$T$2550,"&gt;"&amp;T2398))</x:f>
      </x:c>
      <x:c r="Y2398" s="1" t="n">
        <x:f>IF(AND(H2398="Yes",OR(LEN('School Search'!$B$5)=0,ISNUMBER(SEARCH('School Search'!$B$5,B2398&amp;" "&amp;E2398&amp;" "&amp;A2398))),OR('School Search'!$D$5="All",C2398='School Search'!$D$5),OR('School Search'!$G$5="All eligible",AND('School Search'!$G$5="Not marked served",J2398&lt;&gt;"Yes"),AND('School Search'!$G$5="Missing data",V2398="Missing data"),AND('School Search'!$G$5="Marked served",J2398="Yes"))),1,0)</x:f>
        <x:v>0</x:v>
      </x:c>
      <x:c r="Z2398" s="1" t="str">
        <x:f>IF(Y2398=0,"",COUNTIFS($Y$2051:$Y$2550,1,$AO$2051:$AO$2550,"&lt;"&amp;AO2398)+COUNTIFS($Y$2051:Y2398,1,$AO$2051:AO2398,AO2398))</x:f>
      </x:c>
      <x:c r="AA2398" s="1" t="str">
        <x:f>IF(NOT(ISNUMBER(S2398)),"Missing demographic or access input",TEXT(G2398,"0%")&amp;" economic need; "&amp;TEXT(K2398,"0.00")&amp;" mi fresh access; "&amp;L2398&amp;" nearby resources")</x:f>
        <x:v>Missing demographic or access input</x:v>
      </x:c>
      <x:c r="AB2398" s="1" t="n">
        <x:f>IF(OR(A2398="",COUNTIFS($A$1531:$A$2030,A2398)&lt;&gt;1),0,MATCH(A2398,$A$1531:$A$2030,0))</x:f>
        <x:v>0</x:v>
      </x:c>
      <x:c r="AC2398" s="1" t="str">
        <x:f>IF(AB2398=0,"",INDEX($E$1531:$E$2030,AB2398))</x:f>
      </x:c>
      <x:c r="AD2398" s="1" t="str">
        <x:f>IF(AB2398=0,"",INDEX($F$1531:$F$2030,AB2398))</x:f>
      </x:c>
      <x:c r="AE2398" s="1" t="str">
        <x:f>IF(A2398="","",F349)</x:f>
      </x:c>
      <x:c r="AF2398" s="1" t="str">
        <x:f>IF(ISNUMBER(I349),I349,"")</x:f>
      </x:c>
      <x:c r="AG2398" s="1" t="str">
        <x:f>IF(ISNUMBER(J349),J349,"")</x:f>
      </x:c>
      <x:c r="AH2398" s="1" t="str">
        <x:f>IF(I2398=0,"Not contacted",IF(INDEX('Staff Review'!$J$8:$J$507,I2398)="","Not contacted",INDEX('Staff Review'!$J$8:$J$507,I2398)))</x:f>
        <x:v>Not contacted</x:v>
      </x:c>
      <x:c r="AI2398" s="1" t="str">
        <x:f>IF(I2398=0,"No",IF(AND(COUNT(INDEX('Staff Review'!$D$8:$D$507,I2398))=1,INDEX('Staff Review'!$D$8:$D$507,I2398)&gt;=0,COUNT(INDEX('Staff Review'!$E$8:$E$507,I2398))=1,INDEX('Staff Review'!$E$8:$E$507,I2398)&gt;0,INDEX('Staff Review'!$E$8:$E$507,I2398)&lt;='Top 15'!$E$5,'Top 15'!$E$5-INDEX('Staff Review'!$E$8:$E$507,I2398)&lt;='Top 15'!$H$5,LEN(INDEX('Staff Review'!$H$8:$H$507,I2398))&gt;0),"Yes","No"))</x:f>
        <x:v>No</x:v>
      </x:c>
      <x:c r="AJ2398" s="1" t="str">
        <x:f>IF(I2398=0,"No",IF(COUNT(INDEX('Staff Review'!$F$8:$F$507,I2398))&lt;&gt;1,"No",IF(AND(INDEX('Staff Review'!$F$8:$F$507,I2398)&gt;=0,MOD(INDEX('Staff Review'!$F$8:$F$507,I2398),1)=0,COUNT(INDEX('Staff Review'!$G$8:$G$507,I2398))=1,INDEX('Staff Review'!$G$8:$G$507,I2398)&gt;0,INDEX('Staff Review'!$G$8:$G$507,I2398)&lt;='Top 15'!$E$5,'Top 15'!$E$5-INDEX('Staff Review'!$G$8:$G$507,I2398)&lt;='Top 15'!$H$5,LEN(INDEX('Staff Review'!$H$8:$H$507,I2398))&gt;0),"Yes","No")))</x:f>
        <x:v>No</x:v>
      </x:c>
      <x:c r="AK2398" s="1" t="n">
        <x:f>IF(A2398="",0,COUNTIFS($A$2:$A$501,A2398))</x:f>
        <x:v>0</x:v>
      </x:c>
      <x:c r="AL2398" s="1" t="n">
        <x:f>IF(V2398="Candidate",1,0)</x:f>
        <x:v>0</x:v>
      </x:c>
      <x:c r="AM2398" s="1" t="n">
        <x:f>IF(A2398="",0,VALUE(A2398))</x:f>
        <x:v>0</x:v>
      </x:c>
      <x:c r="AN2398" s="1" t="n">
        <x:f>IF(OR(A2398="",COUNTIFS($T$41:$T$540,A2398)&lt;&gt;1),0,MATCH(A2398,$T$41:$T$540,0))</x:f>
        <x:v>0</x:v>
      </x:c>
      <x:c r="AO2398" t="n">
        <x:f>IF(ISNUMBER(W2398),W2398,10000+AM2398)</x:f>
        <x:v>10000</x:v>
      </x:c>
    </x:row>
    <x:row r="2399" ht="22" customHeight="1">
      <x:c r="A2399" s="1" t="str">
        <x:f>IF(A350="","",A350)</x:f>
      </x:c>
      <x:c r="B2399" s="1" t="str">
        <x:f>IF(A2399="","",B350)</x:f>
      </x:c>
      <x:c r="C2399" s="1" t="str">
        <x:f>IF(A2399="","",C350)</x:f>
      </x:c>
      <x:c r="D2399" s="1" t="str">
        <x:f>IF(A2399="","",E350)</x:f>
      </x:c>
      <x:c r="E2399" s="1" t="str">
        <x:f>IF(A2399="","",H350)</x:f>
      </x:c>
      <x:c r="F2399" s="1" t="str">
        <x:f>IF(ISNUMBER(K350),K350,"")</x:f>
      </x:c>
      <x:c r="G2399" s="1" t="str">
        <x:f>IF(ISNUMBER(L350),L350,"")</x:f>
      </x:c>
      <x:c r="H2399" s="1" t="str">
        <x:f>IF(A2399="","",IF(AND(UPPER(G350)="PHILADELPHIA",OR(C2399="District",AND(C2399="Charter",D350="Yes"))),"Yes","No"))</x:f>
      </x:c>
      <x:c r="I2399" s="1" t="n">
        <x:f>IF(OR(A2399="",COUNTIFS('Staff Review'!$A$8:$A$507,A2399)&lt;&gt;1),0,MATCH(A2399,'Staff Review'!$A$8:$A$507,0))</x:f>
        <x:v>0</x:v>
      </x:c>
      <x:c r="J2399" s="1" t="str">
        <x:f>IF(I2399=0,"No",IF(INDEX('Staff Review'!$C$8:$C$507,I2399)="Yes","Yes","No"))</x:f>
        <x:v>No</x:v>
      </x:c>
      <x:c r="K2399" s="1" t="str">
        <x:f>IF(AI2399="Yes",INDEX('Staff Review'!$D$8:$D$507,I2399),IF(AB2399=0,"",IF(COUNT(INDEX($C$1531:$C$2030,AB2399))=1,INDEX($C$1531:$C$2030,AB2399),"")))</x:f>
      </x:c>
      <x:c r="L2399" s="1" t="str">
        <x:f>IF(AJ2399="Yes",INDEX('Staff Review'!$F$8:$F$507,I2399),IF(AB2399=0,"",IF(COUNT(INDEX($G$1531:$G$2030,AB2399))=1,INDEX($G$1531:$G$2030,AB2399),"")))</x:f>
      </x:c>
      <x:c r="M2399" s="1" t="str">
        <x:f>IF(A2399="","",IF(AI2399="Yes","Verified","Listed"))</x:f>
      </x:c>
      <x:c r="N2399" s="1" t="str">
        <x:f>IF(A2399="","",IF(AJ2399="Yes","Verified","Listed"))</x:f>
      </x:c>
      <x:c r="O2399" s="1" t="str">
        <x:f>IF(AND(ISNUMBER(G2399),G2399&gt;=0,G2399&lt;=1),IF(G2399&gt;=0.9,30,IF(G2399&gt;=0.8,25,IF(G2399&gt;=0.7,20,IF(G2399&gt;=0.6,15,IF(G2399&gt;=0.5,10,IF(G2399&gt;=0.4,5,0)))))),"")</x:f>
      </x:c>
      <x:c r="P2399" s="1" t="str">
        <x:f>IF(ISNUMBER(K2399),IF(K2399&lt;0,"",IF(K2399&gt;1,25,IF(K2399&gt;=0.75,20,IF(K2399&gt;=0.5,15,IF(K2399&gt;=0.25,10,5))))),"")</x:f>
      </x:c>
      <x:c r="Q2399" s="1" t="str">
        <x:f>IF(NOT(ISNUMBER(L2399)),"",IF(AND(L2399&gt;=0,MOD(L2399,1)=0),MAX(0,25-5*L2399),""))</x:f>
      </x:c>
      <x:c r="R2399" s="1" t="str">
        <x:f>IF(NOT(ISNUMBER(F2399)),"",IF(AND(F2399&gt;0,MOD(F2399,1)=0),IF(F2399&gt;=700,5,IF(F2399&gt;=500,4,IF(F2399&gt;=350,3,IF(F2399&gt;=200,2,1)))),""))</x:f>
      </x:c>
      <x:c r="S2399" s="1" t="str">
        <x:f>IF(COUNT(O2399:R2399)=4,SUM(O2399:R2399),"")</x:f>
      </x:c>
      <x:c r="T2399" s="1" t="str">
        <x:f>IF(OR(COUNT(O2399:R2399)&lt;&gt;4,COUNT('Top 15'!$B$35:$E$35)&lt;&gt;4,MIN('Top 15'!$B$35:$E$35)&lt;0,SUM('Top 15'!$B$35:$E$35)&lt;=0),"",ROUND(85*(O2399/30*'Top 15'!$B$35+P2399/25*'Top 15'!$C$35+Q2399/25*'Top 15'!$D$35+R2399/5*'Top 15'!$E$35)/SUM('Top 15'!$B$35:$E$35),6))</x:f>
      </x:c>
      <x:c r="U2399" s="1" t="str">
        <x:f>IF(A2399="","",IF(AND(M2399="Verified",N2399="Verified"),"Verified",IF(AND(M2399="Listed",N2399="Listed"),"Listed","Mixed")))</x:f>
      </x:c>
      <x:c r="V2399" s="1" t="str">
        <x:f>IF(A2399="","",IF(AK2399&lt;&gt;1,"Duplicate source ID",IF(COUNTIFS('Staff Review'!$A$8:$A$507,A2399)&gt;1,"Duplicate review ID",IF(H2399&lt;&gt;"Yes","Outside scope",IF(J2399="Yes","Already served",IF(NOT(ISNUMBER(T2399)),"Missing data","Candidate"))))))</x:f>
      </x:c>
      <x:c r="W2399" s="1" t="str">
        <x:f>IF(AL2399=0,"",1+COUNTIFS($AL$2051:$AL$2550,1,$T$2051:$T$2550,"&gt;"&amp;T2399)+COUNTIFS($AL$2051:$AL$2550,1,$T$2051:$T$2550,T2399,$G$2051:$G$2550,"&gt;"&amp;G2399)+COUNTIFS($AL$2051:$AL$2550,1,$T$2051:$T$2550,T2399,$G$2051:$G$2550,G2399,$F$2051:$F$2550,"&gt;"&amp;F2399)+COUNTIFS($AL$2051:$AL$2550,1,$T$2051:$T$2550,T2399,$G$2051:$G$2550,G2399,$F$2051:$F$2550,F2399,$AM$2051:$AM$2550,"&lt;"&amp;AM2399))</x:f>
      </x:c>
      <x:c r="X2399" s="1" t="str">
        <x:f>IF(AL2399=0,"",1+COUNTIFS($AL$2051:$AL$2550,1,$T$2051:$T$2550,"&gt;"&amp;T2399))</x:f>
      </x:c>
      <x:c r="Y2399" s="1" t="n">
        <x:f>IF(AND(H2399="Yes",OR(LEN('School Search'!$B$5)=0,ISNUMBER(SEARCH('School Search'!$B$5,B2399&amp;" "&amp;E2399&amp;" "&amp;A2399))),OR('School Search'!$D$5="All",C2399='School Search'!$D$5),OR('School Search'!$G$5="All eligible",AND('School Search'!$G$5="Not marked served",J2399&lt;&gt;"Yes"),AND('School Search'!$G$5="Missing data",V2399="Missing data"),AND('School Search'!$G$5="Marked served",J2399="Yes"))),1,0)</x:f>
        <x:v>0</x:v>
      </x:c>
      <x:c r="Z2399" s="1" t="str">
        <x:f>IF(Y2399=0,"",COUNTIFS($Y$2051:$Y$2550,1,$AO$2051:$AO$2550,"&lt;"&amp;AO2399)+COUNTIFS($Y$2051:Y2399,1,$AO$2051:AO2399,AO2399))</x:f>
      </x:c>
      <x:c r="AA2399" s="1" t="str">
        <x:f>IF(NOT(ISNUMBER(S2399)),"Missing demographic or access input",TEXT(G2399,"0%")&amp;" economic need; "&amp;TEXT(K2399,"0.00")&amp;" mi fresh access; "&amp;L2399&amp;" nearby resources")</x:f>
        <x:v>Missing demographic or access input</x:v>
      </x:c>
      <x:c r="AB2399" s="1" t="n">
        <x:f>IF(OR(A2399="",COUNTIFS($A$1531:$A$2030,A2399)&lt;&gt;1),0,MATCH(A2399,$A$1531:$A$2030,0))</x:f>
        <x:v>0</x:v>
      </x:c>
      <x:c r="AC2399" s="1" t="str">
        <x:f>IF(AB2399=0,"",INDEX($E$1531:$E$2030,AB2399))</x:f>
      </x:c>
      <x:c r="AD2399" s="1" t="str">
        <x:f>IF(AB2399=0,"",INDEX($F$1531:$F$2030,AB2399))</x:f>
      </x:c>
      <x:c r="AE2399" s="1" t="str">
        <x:f>IF(A2399="","",F350)</x:f>
      </x:c>
      <x:c r="AF2399" s="1" t="str">
        <x:f>IF(ISNUMBER(I350),I350,"")</x:f>
      </x:c>
      <x:c r="AG2399" s="1" t="str">
        <x:f>IF(ISNUMBER(J350),J350,"")</x:f>
      </x:c>
      <x:c r="AH2399" s="1" t="str">
        <x:f>IF(I2399=0,"Not contacted",IF(INDEX('Staff Review'!$J$8:$J$507,I2399)="","Not contacted",INDEX('Staff Review'!$J$8:$J$507,I2399)))</x:f>
        <x:v>Not contacted</x:v>
      </x:c>
      <x:c r="AI2399" s="1" t="str">
        <x:f>IF(I2399=0,"No",IF(AND(COUNT(INDEX('Staff Review'!$D$8:$D$507,I2399))=1,INDEX('Staff Review'!$D$8:$D$507,I2399)&gt;=0,COUNT(INDEX('Staff Review'!$E$8:$E$507,I2399))=1,INDEX('Staff Review'!$E$8:$E$507,I2399)&gt;0,INDEX('Staff Review'!$E$8:$E$507,I2399)&lt;='Top 15'!$E$5,'Top 15'!$E$5-INDEX('Staff Review'!$E$8:$E$507,I2399)&lt;='Top 15'!$H$5,LEN(INDEX('Staff Review'!$H$8:$H$507,I2399))&gt;0),"Yes","No"))</x:f>
        <x:v>No</x:v>
      </x:c>
      <x:c r="AJ2399" s="1" t="str">
        <x:f>IF(I2399=0,"No",IF(COUNT(INDEX('Staff Review'!$F$8:$F$507,I2399))&lt;&gt;1,"No",IF(AND(INDEX('Staff Review'!$F$8:$F$507,I2399)&gt;=0,MOD(INDEX('Staff Review'!$F$8:$F$507,I2399),1)=0,COUNT(INDEX('Staff Review'!$G$8:$G$507,I2399))=1,INDEX('Staff Review'!$G$8:$G$507,I2399)&gt;0,INDEX('Staff Review'!$G$8:$G$507,I2399)&lt;='Top 15'!$E$5,'Top 15'!$E$5-INDEX('Staff Review'!$G$8:$G$507,I2399)&lt;='Top 15'!$H$5,LEN(INDEX('Staff Review'!$H$8:$H$507,I2399))&gt;0),"Yes","No")))</x:f>
        <x:v>No</x:v>
      </x:c>
      <x:c r="AK2399" s="1" t="n">
        <x:f>IF(A2399="",0,COUNTIFS($A$2:$A$501,A2399))</x:f>
        <x:v>0</x:v>
      </x:c>
      <x:c r="AL2399" s="1" t="n">
        <x:f>IF(V2399="Candidate",1,0)</x:f>
        <x:v>0</x:v>
      </x:c>
      <x:c r="AM2399" s="1" t="n">
        <x:f>IF(A2399="",0,VALUE(A2399))</x:f>
        <x:v>0</x:v>
      </x:c>
      <x:c r="AN2399" s="1" t="n">
        <x:f>IF(OR(A2399="",COUNTIFS($T$41:$T$540,A2399)&lt;&gt;1),0,MATCH(A2399,$T$41:$T$540,0))</x:f>
        <x:v>0</x:v>
      </x:c>
      <x:c r="AO2399" t="n">
        <x:f>IF(ISNUMBER(W2399),W2399,10000+AM2399)</x:f>
        <x:v>10000</x:v>
      </x:c>
    </x:row>
    <x:row r="2400" ht="22" customHeight="1">
      <x:c r="A2400" s="1" t="str">
        <x:f>IF(A351="","",A351)</x:f>
      </x:c>
      <x:c r="B2400" s="1" t="str">
        <x:f>IF(A2400="","",B351)</x:f>
      </x:c>
      <x:c r="C2400" s="1" t="str">
        <x:f>IF(A2400="","",C351)</x:f>
      </x:c>
      <x:c r="D2400" s="1" t="str">
        <x:f>IF(A2400="","",E351)</x:f>
      </x:c>
      <x:c r="E2400" s="1" t="str">
        <x:f>IF(A2400="","",H351)</x:f>
      </x:c>
      <x:c r="F2400" s="1" t="str">
        <x:f>IF(ISNUMBER(K351),K351,"")</x:f>
      </x:c>
      <x:c r="G2400" s="1" t="str">
        <x:f>IF(ISNUMBER(L351),L351,"")</x:f>
      </x:c>
      <x:c r="H2400" s="1" t="str">
        <x:f>IF(A2400="","",IF(AND(UPPER(G351)="PHILADELPHIA",OR(C2400="District",AND(C2400="Charter",D351="Yes"))),"Yes","No"))</x:f>
      </x:c>
      <x:c r="I2400" s="1" t="n">
        <x:f>IF(OR(A2400="",COUNTIFS('Staff Review'!$A$8:$A$507,A2400)&lt;&gt;1),0,MATCH(A2400,'Staff Review'!$A$8:$A$507,0))</x:f>
        <x:v>0</x:v>
      </x:c>
      <x:c r="J2400" s="1" t="str">
        <x:f>IF(I2400=0,"No",IF(INDEX('Staff Review'!$C$8:$C$507,I2400)="Yes","Yes","No"))</x:f>
        <x:v>No</x:v>
      </x:c>
      <x:c r="K2400" s="1" t="str">
        <x:f>IF(AI2400="Yes",INDEX('Staff Review'!$D$8:$D$507,I2400),IF(AB2400=0,"",IF(COUNT(INDEX($C$1531:$C$2030,AB2400))=1,INDEX($C$1531:$C$2030,AB2400),"")))</x:f>
      </x:c>
      <x:c r="L2400" s="1" t="str">
        <x:f>IF(AJ2400="Yes",INDEX('Staff Review'!$F$8:$F$507,I2400),IF(AB2400=0,"",IF(COUNT(INDEX($G$1531:$G$2030,AB2400))=1,INDEX($G$1531:$G$2030,AB2400),"")))</x:f>
      </x:c>
      <x:c r="M2400" s="1" t="str">
        <x:f>IF(A2400="","",IF(AI2400="Yes","Verified","Listed"))</x:f>
      </x:c>
      <x:c r="N2400" s="1" t="str">
        <x:f>IF(A2400="","",IF(AJ2400="Yes","Verified","Listed"))</x:f>
      </x:c>
      <x:c r="O2400" s="1" t="str">
        <x:f>IF(AND(ISNUMBER(G2400),G2400&gt;=0,G2400&lt;=1),IF(G2400&gt;=0.9,30,IF(G2400&gt;=0.8,25,IF(G2400&gt;=0.7,20,IF(G2400&gt;=0.6,15,IF(G2400&gt;=0.5,10,IF(G2400&gt;=0.4,5,0)))))),"")</x:f>
      </x:c>
      <x:c r="P2400" s="1" t="str">
        <x:f>IF(ISNUMBER(K2400),IF(K2400&lt;0,"",IF(K2400&gt;1,25,IF(K2400&gt;=0.75,20,IF(K2400&gt;=0.5,15,IF(K2400&gt;=0.25,10,5))))),"")</x:f>
      </x:c>
      <x:c r="Q2400" s="1" t="str">
        <x:f>IF(NOT(ISNUMBER(L2400)),"",IF(AND(L2400&gt;=0,MOD(L2400,1)=0),MAX(0,25-5*L2400),""))</x:f>
      </x:c>
      <x:c r="R2400" s="1" t="str">
        <x:f>IF(NOT(ISNUMBER(F2400)),"",IF(AND(F2400&gt;0,MOD(F2400,1)=0),IF(F2400&gt;=700,5,IF(F2400&gt;=500,4,IF(F2400&gt;=350,3,IF(F2400&gt;=200,2,1)))),""))</x:f>
      </x:c>
      <x:c r="S2400" s="1" t="str">
        <x:f>IF(COUNT(O2400:R2400)=4,SUM(O2400:R2400),"")</x:f>
      </x:c>
      <x:c r="T2400" s="1" t="str">
        <x:f>IF(OR(COUNT(O2400:R2400)&lt;&gt;4,COUNT('Top 15'!$B$35:$E$35)&lt;&gt;4,MIN('Top 15'!$B$35:$E$35)&lt;0,SUM('Top 15'!$B$35:$E$35)&lt;=0),"",ROUND(85*(O2400/30*'Top 15'!$B$35+P2400/25*'Top 15'!$C$35+Q2400/25*'Top 15'!$D$35+R2400/5*'Top 15'!$E$35)/SUM('Top 15'!$B$35:$E$35),6))</x:f>
      </x:c>
      <x:c r="U2400" s="1" t="str">
        <x:f>IF(A2400="","",IF(AND(M2400="Verified",N2400="Verified"),"Verified",IF(AND(M2400="Listed",N2400="Listed"),"Listed","Mixed")))</x:f>
      </x:c>
      <x:c r="V2400" s="1" t="str">
        <x:f>IF(A2400="","",IF(AK2400&lt;&gt;1,"Duplicate source ID",IF(COUNTIFS('Staff Review'!$A$8:$A$507,A2400)&gt;1,"Duplicate review ID",IF(H2400&lt;&gt;"Yes","Outside scope",IF(J2400="Yes","Already served",IF(NOT(ISNUMBER(T2400)),"Missing data","Candidate"))))))</x:f>
      </x:c>
      <x:c r="W2400" s="1" t="str">
        <x:f>IF(AL2400=0,"",1+COUNTIFS($AL$2051:$AL$2550,1,$T$2051:$T$2550,"&gt;"&amp;T2400)+COUNTIFS($AL$2051:$AL$2550,1,$T$2051:$T$2550,T2400,$G$2051:$G$2550,"&gt;"&amp;G2400)+COUNTIFS($AL$2051:$AL$2550,1,$T$2051:$T$2550,T2400,$G$2051:$G$2550,G2400,$F$2051:$F$2550,"&gt;"&amp;F2400)+COUNTIFS($AL$2051:$AL$2550,1,$T$2051:$T$2550,T2400,$G$2051:$G$2550,G2400,$F$2051:$F$2550,F2400,$AM$2051:$AM$2550,"&lt;"&amp;AM2400))</x:f>
      </x:c>
      <x:c r="X2400" s="1" t="str">
        <x:f>IF(AL2400=0,"",1+COUNTIFS($AL$2051:$AL$2550,1,$T$2051:$T$2550,"&gt;"&amp;T2400))</x:f>
      </x:c>
      <x:c r="Y2400" s="1" t="n">
        <x:f>IF(AND(H2400="Yes",OR(LEN('School Search'!$B$5)=0,ISNUMBER(SEARCH('School Search'!$B$5,B2400&amp;" "&amp;E2400&amp;" "&amp;A2400))),OR('School Search'!$D$5="All",C2400='School Search'!$D$5),OR('School Search'!$G$5="All eligible",AND('School Search'!$G$5="Not marked served",J2400&lt;&gt;"Yes"),AND('School Search'!$G$5="Missing data",V2400="Missing data"),AND('School Search'!$G$5="Marked served",J2400="Yes"))),1,0)</x:f>
        <x:v>0</x:v>
      </x:c>
      <x:c r="Z2400" s="1" t="str">
        <x:f>IF(Y2400=0,"",COUNTIFS($Y$2051:$Y$2550,1,$AO$2051:$AO$2550,"&lt;"&amp;AO2400)+COUNTIFS($Y$2051:Y2400,1,$AO$2051:AO2400,AO2400))</x:f>
      </x:c>
      <x:c r="AA2400" s="1" t="str">
        <x:f>IF(NOT(ISNUMBER(S2400)),"Missing demographic or access input",TEXT(G2400,"0%")&amp;" economic need; "&amp;TEXT(K2400,"0.00")&amp;" mi fresh access; "&amp;L2400&amp;" nearby resources")</x:f>
        <x:v>Missing demographic or access input</x:v>
      </x:c>
      <x:c r="AB2400" s="1" t="n">
        <x:f>IF(OR(A2400="",COUNTIFS($A$1531:$A$2030,A2400)&lt;&gt;1),0,MATCH(A2400,$A$1531:$A$2030,0))</x:f>
        <x:v>0</x:v>
      </x:c>
      <x:c r="AC2400" s="1" t="str">
        <x:f>IF(AB2400=0,"",INDEX($E$1531:$E$2030,AB2400))</x:f>
      </x:c>
      <x:c r="AD2400" s="1" t="str">
        <x:f>IF(AB2400=0,"",INDEX($F$1531:$F$2030,AB2400))</x:f>
      </x:c>
      <x:c r="AE2400" s="1" t="str">
        <x:f>IF(A2400="","",F351)</x:f>
      </x:c>
      <x:c r="AF2400" s="1" t="str">
        <x:f>IF(ISNUMBER(I351),I351,"")</x:f>
      </x:c>
      <x:c r="AG2400" s="1" t="str">
        <x:f>IF(ISNUMBER(J351),J351,"")</x:f>
      </x:c>
      <x:c r="AH2400" s="1" t="str">
        <x:f>IF(I2400=0,"Not contacted",IF(INDEX('Staff Review'!$J$8:$J$507,I2400)="","Not contacted",INDEX('Staff Review'!$J$8:$J$507,I2400)))</x:f>
        <x:v>Not contacted</x:v>
      </x:c>
      <x:c r="AI2400" s="1" t="str">
        <x:f>IF(I2400=0,"No",IF(AND(COUNT(INDEX('Staff Review'!$D$8:$D$507,I2400))=1,INDEX('Staff Review'!$D$8:$D$507,I2400)&gt;=0,COUNT(INDEX('Staff Review'!$E$8:$E$507,I2400))=1,INDEX('Staff Review'!$E$8:$E$507,I2400)&gt;0,INDEX('Staff Review'!$E$8:$E$507,I2400)&lt;='Top 15'!$E$5,'Top 15'!$E$5-INDEX('Staff Review'!$E$8:$E$507,I2400)&lt;='Top 15'!$H$5,LEN(INDEX('Staff Review'!$H$8:$H$507,I2400))&gt;0),"Yes","No"))</x:f>
        <x:v>No</x:v>
      </x:c>
      <x:c r="AJ2400" s="1" t="str">
        <x:f>IF(I2400=0,"No",IF(COUNT(INDEX('Staff Review'!$F$8:$F$507,I2400))&lt;&gt;1,"No",IF(AND(INDEX('Staff Review'!$F$8:$F$507,I2400)&gt;=0,MOD(INDEX('Staff Review'!$F$8:$F$507,I2400),1)=0,COUNT(INDEX('Staff Review'!$G$8:$G$507,I2400))=1,INDEX('Staff Review'!$G$8:$G$507,I2400)&gt;0,INDEX('Staff Review'!$G$8:$G$507,I2400)&lt;='Top 15'!$E$5,'Top 15'!$E$5-INDEX('Staff Review'!$G$8:$G$507,I2400)&lt;='Top 15'!$H$5,LEN(INDEX('Staff Review'!$H$8:$H$507,I2400))&gt;0),"Yes","No")))</x:f>
        <x:v>No</x:v>
      </x:c>
      <x:c r="AK2400" s="1" t="n">
        <x:f>IF(A2400="",0,COUNTIFS($A$2:$A$501,A2400))</x:f>
        <x:v>0</x:v>
      </x:c>
      <x:c r="AL2400" s="1" t="n">
        <x:f>IF(V2400="Candidate",1,0)</x:f>
        <x:v>0</x:v>
      </x:c>
      <x:c r="AM2400" s="1" t="n">
        <x:f>IF(A2400="",0,VALUE(A2400))</x:f>
        <x:v>0</x:v>
      </x:c>
      <x:c r="AN2400" s="1" t="n">
        <x:f>IF(OR(A2400="",COUNTIFS($T$41:$T$540,A2400)&lt;&gt;1),0,MATCH(A2400,$T$41:$T$540,0))</x:f>
        <x:v>0</x:v>
      </x:c>
      <x:c r="AO2400" t="n">
        <x:f>IF(ISNUMBER(W2400),W2400,10000+AM2400)</x:f>
        <x:v>10000</x:v>
      </x:c>
    </x:row>
    <x:row r="2401" ht="22" customHeight="1">
      <x:c r="A2401" s="1" t="str">
        <x:f>IF(A352="","",A352)</x:f>
      </x:c>
      <x:c r="B2401" s="1" t="str">
        <x:f>IF(A2401="","",B352)</x:f>
      </x:c>
      <x:c r="C2401" s="1" t="str">
        <x:f>IF(A2401="","",C352)</x:f>
      </x:c>
      <x:c r="D2401" s="1" t="str">
        <x:f>IF(A2401="","",E352)</x:f>
      </x:c>
      <x:c r="E2401" s="1" t="str">
        <x:f>IF(A2401="","",H352)</x:f>
      </x:c>
      <x:c r="F2401" s="1" t="str">
        <x:f>IF(ISNUMBER(K352),K352,"")</x:f>
      </x:c>
      <x:c r="G2401" s="1" t="str">
        <x:f>IF(ISNUMBER(L352),L352,"")</x:f>
      </x:c>
      <x:c r="H2401" s="1" t="str">
        <x:f>IF(A2401="","",IF(AND(UPPER(G352)="PHILADELPHIA",OR(C2401="District",AND(C2401="Charter",D352="Yes"))),"Yes","No"))</x:f>
      </x:c>
      <x:c r="I2401" s="1" t="n">
        <x:f>IF(OR(A2401="",COUNTIFS('Staff Review'!$A$8:$A$507,A2401)&lt;&gt;1),0,MATCH(A2401,'Staff Review'!$A$8:$A$507,0))</x:f>
        <x:v>0</x:v>
      </x:c>
      <x:c r="J2401" s="1" t="str">
        <x:f>IF(I2401=0,"No",IF(INDEX('Staff Review'!$C$8:$C$507,I2401)="Yes","Yes","No"))</x:f>
        <x:v>No</x:v>
      </x:c>
      <x:c r="K2401" s="1" t="str">
        <x:f>IF(AI2401="Yes",INDEX('Staff Review'!$D$8:$D$507,I2401),IF(AB2401=0,"",IF(COUNT(INDEX($C$1531:$C$2030,AB2401))=1,INDEX($C$1531:$C$2030,AB2401),"")))</x:f>
      </x:c>
      <x:c r="L2401" s="1" t="str">
        <x:f>IF(AJ2401="Yes",INDEX('Staff Review'!$F$8:$F$507,I2401),IF(AB2401=0,"",IF(COUNT(INDEX($G$1531:$G$2030,AB2401))=1,INDEX($G$1531:$G$2030,AB2401),"")))</x:f>
      </x:c>
      <x:c r="M2401" s="1" t="str">
        <x:f>IF(A2401="","",IF(AI2401="Yes","Verified","Listed"))</x:f>
      </x:c>
      <x:c r="N2401" s="1" t="str">
        <x:f>IF(A2401="","",IF(AJ2401="Yes","Verified","Listed"))</x:f>
      </x:c>
      <x:c r="O2401" s="1" t="str">
        <x:f>IF(AND(ISNUMBER(G2401),G2401&gt;=0,G2401&lt;=1),IF(G2401&gt;=0.9,30,IF(G2401&gt;=0.8,25,IF(G2401&gt;=0.7,20,IF(G2401&gt;=0.6,15,IF(G2401&gt;=0.5,10,IF(G2401&gt;=0.4,5,0)))))),"")</x:f>
      </x:c>
      <x:c r="P2401" s="1" t="str">
        <x:f>IF(ISNUMBER(K2401),IF(K2401&lt;0,"",IF(K2401&gt;1,25,IF(K2401&gt;=0.75,20,IF(K2401&gt;=0.5,15,IF(K2401&gt;=0.25,10,5))))),"")</x:f>
      </x:c>
      <x:c r="Q2401" s="1" t="str">
        <x:f>IF(NOT(ISNUMBER(L2401)),"",IF(AND(L2401&gt;=0,MOD(L2401,1)=0),MAX(0,25-5*L2401),""))</x:f>
      </x:c>
      <x:c r="R2401" s="1" t="str">
        <x:f>IF(NOT(ISNUMBER(F2401)),"",IF(AND(F2401&gt;0,MOD(F2401,1)=0),IF(F2401&gt;=700,5,IF(F2401&gt;=500,4,IF(F2401&gt;=350,3,IF(F2401&gt;=200,2,1)))),""))</x:f>
      </x:c>
      <x:c r="S2401" s="1" t="str">
        <x:f>IF(COUNT(O2401:R2401)=4,SUM(O2401:R2401),"")</x:f>
      </x:c>
      <x:c r="T2401" s="1" t="str">
        <x:f>IF(OR(COUNT(O2401:R2401)&lt;&gt;4,COUNT('Top 15'!$B$35:$E$35)&lt;&gt;4,MIN('Top 15'!$B$35:$E$35)&lt;0,SUM('Top 15'!$B$35:$E$35)&lt;=0),"",ROUND(85*(O2401/30*'Top 15'!$B$35+P2401/25*'Top 15'!$C$35+Q2401/25*'Top 15'!$D$35+R2401/5*'Top 15'!$E$35)/SUM('Top 15'!$B$35:$E$35),6))</x:f>
      </x:c>
      <x:c r="U2401" s="1" t="str">
        <x:f>IF(A2401="","",IF(AND(M2401="Verified",N2401="Verified"),"Verified",IF(AND(M2401="Listed",N2401="Listed"),"Listed","Mixed")))</x:f>
      </x:c>
      <x:c r="V2401" s="1" t="str">
        <x:f>IF(A2401="","",IF(AK2401&lt;&gt;1,"Duplicate source ID",IF(COUNTIFS('Staff Review'!$A$8:$A$507,A2401)&gt;1,"Duplicate review ID",IF(H2401&lt;&gt;"Yes","Outside scope",IF(J2401="Yes","Already served",IF(NOT(ISNUMBER(T2401)),"Missing data","Candidate"))))))</x:f>
      </x:c>
      <x:c r="W2401" s="1" t="str">
        <x:f>IF(AL2401=0,"",1+COUNTIFS($AL$2051:$AL$2550,1,$T$2051:$T$2550,"&gt;"&amp;T2401)+COUNTIFS($AL$2051:$AL$2550,1,$T$2051:$T$2550,T2401,$G$2051:$G$2550,"&gt;"&amp;G2401)+COUNTIFS($AL$2051:$AL$2550,1,$T$2051:$T$2550,T2401,$G$2051:$G$2550,G2401,$F$2051:$F$2550,"&gt;"&amp;F2401)+COUNTIFS($AL$2051:$AL$2550,1,$T$2051:$T$2550,T2401,$G$2051:$G$2550,G2401,$F$2051:$F$2550,F2401,$AM$2051:$AM$2550,"&lt;"&amp;AM2401))</x:f>
      </x:c>
      <x:c r="X2401" s="1" t="str">
        <x:f>IF(AL2401=0,"",1+COUNTIFS($AL$2051:$AL$2550,1,$T$2051:$T$2550,"&gt;"&amp;T2401))</x:f>
      </x:c>
      <x:c r="Y2401" s="1" t="n">
        <x:f>IF(AND(H2401="Yes",OR(LEN('School Search'!$B$5)=0,ISNUMBER(SEARCH('School Search'!$B$5,B2401&amp;" "&amp;E2401&amp;" "&amp;A2401))),OR('School Search'!$D$5="All",C2401='School Search'!$D$5),OR('School Search'!$G$5="All eligible",AND('School Search'!$G$5="Not marked served",J2401&lt;&gt;"Yes"),AND('School Search'!$G$5="Missing data",V2401="Missing data"),AND('School Search'!$G$5="Marked served",J2401="Yes"))),1,0)</x:f>
        <x:v>0</x:v>
      </x:c>
      <x:c r="Z2401" s="1" t="str">
        <x:f>IF(Y2401=0,"",COUNTIFS($Y$2051:$Y$2550,1,$AO$2051:$AO$2550,"&lt;"&amp;AO2401)+COUNTIFS($Y$2051:Y2401,1,$AO$2051:AO2401,AO2401))</x:f>
      </x:c>
      <x:c r="AA2401" s="1" t="str">
        <x:f>IF(NOT(ISNUMBER(S2401)),"Missing demographic or access input",TEXT(G2401,"0%")&amp;" economic need; "&amp;TEXT(K2401,"0.00")&amp;" mi fresh access; "&amp;L2401&amp;" nearby resources")</x:f>
        <x:v>Missing demographic or access input</x:v>
      </x:c>
      <x:c r="AB2401" s="1" t="n">
        <x:f>IF(OR(A2401="",COUNTIFS($A$1531:$A$2030,A2401)&lt;&gt;1),0,MATCH(A2401,$A$1531:$A$2030,0))</x:f>
        <x:v>0</x:v>
      </x:c>
      <x:c r="AC2401" s="1" t="str">
        <x:f>IF(AB2401=0,"",INDEX($E$1531:$E$2030,AB2401))</x:f>
      </x:c>
      <x:c r="AD2401" s="1" t="str">
        <x:f>IF(AB2401=0,"",INDEX($F$1531:$F$2030,AB2401))</x:f>
      </x:c>
      <x:c r="AE2401" s="1" t="str">
        <x:f>IF(A2401="","",F352)</x:f>
      </x:c>
      <x:c r="AF2401" s="1" t="str">
        <x:f>IF(ISNUMBER(I352),I352,"")</x:f>
      </x:c>
      <x:c r="AG2401" s="1" t="str">
        <x:f>IF(ISNUMBER(J352),J352,"")</x:f>
      </x:c>
      <x:c r="AH2401" s="1" t="str">
        <x:f>IF(I2401=0,"Not contacted",IF(INDEX('Staff Review'!$J$8:$J$507,I2401)="","Not contacted",INDEX('Staff Review'!$J$8:$J$507,I2401)))</x:f>
        <x:v>Not contacted</x:v>
      </x:c>
      <x:c r="AI2401" s="1" t="str">
        <x:f>IF(I2401=0,"No",IF(AND(COUNT(INDEX('Staff Review'!$D$8:$D$507,I2401))=1,INDEX('Staff Review'!$D$8:$D$507,I2401)&gt;=0,COUNT(INDEX('Staff Review'!$E$8:$E$507,I2401))=1,INDEX('Staff Review'!$E$8:$E$507,I2401)&gt;0,INDEX('Staff Review'!$E$8:$E$507,I2401)&lt;='Top 15'!$E$5,'Top 15'!$E$5-INDEX('Staff Review'!$E$8:$E$507,I2401)&lt;='Top 15'!$H$5,LEN(INDEX('Staff Review'!$H$8:$H$507,I2401))&gt;0),"Yes","No"))</x:f>
        <x:v>No</x:v>
      </x:c>
      <x:c r="AJ2401" s="1" t="str">
        <x:f>IF(I2401=0,"No",IF(COUNT(INDEX('Staff Review'!$F$8:$F$507,I2401))&lt;&gt;1,"No",IF(AND(INDEX('Staff Review'!$F$8:$F$507,I2401)&gt;=0,MOD(INDEX('Staff Review'!$F$8:$F$507,I2401),1)=0,COUNT(INDEX('Staff Review'!$G$8:$G$507,I2401))=1,INDEX('Staff Review'!$G$8:$G$507,I2401)&gt;0,INDEX('Staff Review'!$G$8:$G$507,I2401)&lt;='Top 15'!$E$5,'Top 15'!$E$5-INDEX('Staff Review'!$G$8:$G$507,I2401)&lt;='Top 15'!$H$5,LEN(INDEX('Staff Review'!$H$8:$H$507,I2401))&gt;0),"Yes","No")))</x:f>
        <x:v>No</x:v>
      </x:c>
      <x:c r="AK2401" s="1" t="n">
        <x:f>IF(A2401="",0,COUNTIFS($A$2:$A$501,A2401))</x:f>
        <x:v>0</x:v>
      </x:c>
      <x:c r="AL2401" s="1" t="n">
        <x:f>IF(V2401="Candidate",1,0)</x:f>
        <x:v>0</x:v>
      </x:c>
      <x:c r="AM2401" s="1" t="n">
        <x:f>IF(A2401="",0,VALUE(A2401))</x:f>
        <x:v>0</x:v>
      </x:c>
      <x:c r="AN2401" s="1" t="n">
        <x:f>IF(OR(A2401="",COUNTIFS($T$41:$T$540,A2401)&lt;&gt;1),0,MATCH(A2401,$T$41:$T$540,0))</x:f>
        <x:v>0</x:v>
      </x:c>
      <x:c r="AO2401" t="n">
        <x:f>IF(ISNUMBER(W2401),W2401,10000+AM2401)</x:f>
        <x:v>10000</x:v>
      </x:c>
    </x:row>
    <x:row r="2402" ht="22" customHeight="1">
      <x:c r="A2402" s="1" t="str">
        <x:f>IF(A353="","",A353)</x:f>
      </x:c>
      <x:c r="B2402" s="1" t="str">
        <x:f>IF(A2402="","",B353)</x:f>
      </x:c>
      <x:c r="C2402" s="1" t="str">
        <x:f>IF(A2402="","",C353)</x:f>
      </x:c>
      <x:c r="D2402" s="1" t="str">
        <x:f>IF(A2402="","",E353)</x:f>
      </x:c>
      <x:c r="E2402" s="1" t="str">
        <x:f>IF(A2402="","",H353)</x:f>
      </x:c>
      <x:c r="F2402" s="1" t="str">
        <x:f>IF(ISNUMBER(K353),K353,"")</x:f>
      </x:c>
      <x:c r="G2402" s="1" t="str">
        <x:f>IF(ISNUMBER(L353),L353,"")</x:f>
      </x:c>
      <x:c r="H2402" s="1" t="str">
        <x:f>IF(A2402="","",IF(AND(UPPER(G353)="PHILADELPHIA",OR(C2402="District",AND(C2402="Charter",D353="Yes"))),"Yes","No"))</x:f>
      </x:c>
      <x:c r="I2402" s="1" t="n">
        <x:f>IF(OR(A2402="",COUNTIFS('Staff Review'!$A$8:$A$507,A2402)&lt;&gt;1),0,MATCH(A2402,'Staff Review'!$A$8:$A$507,0))</x:f>
        <x:v>0</x:v>
      </x:c>
      <x:c r="J2402" s="1" t="str">
        <x:f>IF(I2402=0,"No",IF(INDEX('Staff Review'!$C$8:$C$507,I2402)="Yes","Yes","No"))</x:f>
        <x:v>No</x:v>
      </x:c>
      <x:c r="K2402" s="1" t="str">
        <x:f>IF(AI2402="Yes",INDEX('Staff Review'!$D$8:$D$507,I2402),IF(AB2402=0,"",IF(COUNT(INDEX($C$1531:$C$2030,AB2402))=1,INDEX($C$1531:$C$2030,AB2402),"")))</x:f>
      </x:c>
      <x:c r="L2402" s="1" t="str">
        <x:f>IF(AJ2402="Yes",INDEX('Staff Review'!$F$8:$F$507,I2402),IF(AB2402=0,"",IF(COUNT(INDEX($G$1531:$G$2030,AB2402))=1,INDEX($G$1531:$G$2030,AB2402),"")))</x:f>
      </x:c>
      <x:c r="M2402" s="1" t="str">
        <x:f>IF(A2402="","",IF(AI2402="Yes","Verified","Listed"))</x:f>
      </x:c>
      <x:c r="N2402" s="1" t="str">
        <x:f>IF(A2402="","",IF(AJ2402="Yes","Verified","Listed"))</x:f>
      </x:c>
      <x:c r="O2402" s="1" t="str">
        <x:f>IF(AND(ISNUMBER(G2402),G2402&gt;=0,G2402&lt;=1),IF(G2402&gt;=0.9,30,IF(G2402&gt;=0.8,25,IF(G2402&gt;=0.7,20,IF(G2402&gt;=0.6,15,IF(G2402&gt;=0.5,10,IF(G2402&gt;=0.4,5,0)))))),"")</x:f>
      </x:c>
      <x:c r="P2402" s="1" t="str">
        <x:f>IF(ISNUMBER(K2402),IF(K2402&lt;0,"",IF(K2402&gt;1,25,IF(K2402&gt;=0.75,20,IF(K2402&gt;=0.5,15,IF(K2402&gt;=0.25,10,5))))),"")</x:f>
      </x:c>
      <x:c r="Q2402" s="1" t="str">
        <x:f>IF(NOT(ISNUMBER(L2402)),"",IF(AND(L2402&gt;=0,MOD(L2402,1)=0),MAX(0,25-5*L2402),""))</x:f>
      </x:c>
      <x:c r="R2402" s="1" t="str">
        <x:f>IF(NOT(ISNUMBER(F2402)),"",IF(AND(F2402&gt;0,MOD(F2402,1)=0),IF(F2402&gt;=700,5,IF(F2402&gt;=500,4,IF(F2402&gt;=350,3,IF(F2402&gt;=200,2,1)))),""))</x:f>
      </x:c>
      <x:c r="S2402" s="1" t="str">
        <x:f>IF(COUNT(O2402:R2402)=4,SUM(O2402:R2402),"")</x:f>
      </x:c>
      <x:c r="T2402" s="1" t="str">
        <x:f>IF(OR(COUNT(O2402:R2402)&lt;&gt;4,COUNT('Top 15'!$B$35:$E$35)&lt;&gt;4,MIN('Top 15'!$B$35:$E$35)&lt;0,SUM('Top 15'!$B$35:$E$35)&lt;=0),"",ROUND(85*(O2402/30*'Top 15'!$B$35+P2402/25*'Top 15'!$C$35+Q2402/25*'Top 15'!$D$35+R2402/5*'Top 15'!$E$35)/SUM('Top 15'!$B$35:$E$35),6))</x:f>
      </x:c>
      <x:c r="U2402" s="1" t="str">
        <x:f>IF(A2402="","",IF(AND(M2402="Verified",N2402="Verified"),"Verified",IF(AND(M2402="Listed",N2402="Listed"),"Listed","Mixed")))</x:f>
      </x:c>
      <x:c r="V2402" s="1" t="str">
        <x:f>IF(A2402="","",IF(AK2402&lt;&gt;1,"Duplicate source ID",IF(COUNTIFS('Staff Review'!$A$8:$A$507,A2402)&gt;1,"Duplicate review ID",IF(H2402&lt;&gt;"Yes","Outside scope",IF(J2402="Yes","Already served",IF(NOT(ISNUMBER(T2402)),"Missing data","Candidate"))))))</x:f>
      </x:c>
      <x:c r="W2402" s="1" t="str">
        <x:f>IF(AL2402=0,"",1+COUNTIFS($AL$2051:$AL$2550,1,$T$2051:$T$2550,"&gt;"&amp;T2402)+COUNTIFS($AL$2051:$AL$2550,1,$T$2051:$T$2550,T2402,$G$2051:$G$2550,"&gt;"&amp;G2402)+COUNTIFS($AL$2051:$AL$2550,1,$T$2051:$T$2550,T2402,$G$2051:$G$2550,G2402,$F$2051:$F$2550,"&gt;"&amp;F2402)+COUNTIFS($AL$2051:$AL$2550,1,$T$2051:$T$2550,T2402,$G$2051:$G$2550,G2402,$F$2051:$F$2550,F2402,$AM$2051:$AM$2550,"&lt;"&amp;AM2402))</x:f>
      </x:c>
      <x:c r="X2402" s="1" t="str">
        <x:f>IF(AL2402=0,"",1+COUNTIFS($AL$2051:$AL$2550,1,$T$2051:$T$2550,"&gt;"&amp;T2402))</x:f>
      </x:c>
      <x:c r="Y2402" s="1" t="n">
        <x:f>IF(AND(H2402="Yes",OR(LEN('School Search'!$B$5)=0,ISNUMBER(SEARCH('School Search'!$B$5,B2402&amp;" "&amp;E2402&amp;" "&amp;A2402))),OR('School Search'!$D$5="All",C2402='School Search'!$D$5),OR('School Search'!$G$5="All eligible",AND('School Search'!$G$5="Not marked served",J2402&lt;&gt;"Yes"),AND('School Search'!$G$5="Missing data",V2402="Missing data"),AND('School Search'!$G$5="Marked served",J2402="Yes"))),1,0)</x:f>
        <x:v>0</x:v>
      </x:c>
      <x:c r="Z2402" s="1" t="str">
        <x:f>IF(Y2402=0,"",COUNTIFS($Y$2051:$Y$2550,1,$AO$2051:$AO$2550,"&lt;"&amp;AO2402)+COUNTIFS($Y$2051:Y2402,1,$AO$2051:AO2402,AO2402))</x:f>
      </x:c>
      <x:c r="AA2402" s="1" t="str">
        <x:f>IF(NOT(ISNUMBER(S2402)),"Missing demographic or access input",TEXT(G2402,"0%")&amp;" economic need; "&amp;TEXT(K2402,"0.00")&amp;" mi fresh access; "&amp;L2402&amp;" nearby resources")</x:f>
        <x:v>Missing demographic or access input</x:v>
      </x:c>
      <x:c r="AB2402" s="1" t="n">
        <x:f>IF(OR(A2402="",COUNTIFS($A$1531:$A$2030,A2402)&lt;&gt;1),0,MATCH(A2402,$A$1531:$A$2030,0))</x:f>
        <x:v>0</x:v>
      </x:c>
      <x:c r="AC2402" s="1" t="str">
        <x:f>IF(AB2402=0,"",INDEX($E$1531:$E$2030,AB2402))</x:f>
      </x:c>
      <x:c r="AD2402" s="1" t="str">
        <x:f>IF(AB2402=0,"",INDEX($F$1531:$F$2030,AB2402))</x:f>
      </x:c>
      <x:c r="AE2402" s="1" t="str">
        <x:f>IF(A2402="","",F353)</x:f>
      </x:c>
      <x:c r="AF2402" s="1" t="str">
        <x:f>IF(ISNUMBER(I353),I353,"")</x:f>
      </x:c>
      <x:c r="AG2402" s="1" t="str">
        <x:f>IF(ISNUMBER(J353),J353,"")</x:f>
      </x:c>
      <x:c r="AH2402" s="1" t="str">
        <x:f>IF(I2402=0,"Not contacted",IF(INDEX('Staff Review'!$J$8:$J$507,I2402)="","Not contacted",INDEX('Staff Review'!$J$8:$J$507,I2402)))</x:f>
        <x:v>Not contacted</x:v>
      </x:c>
      <x:c r="AI2402" s="1" t="str">
        <x:f>IF(I2402=0,"No",IF(AND(COUNT(INDEX('Staff Review'!$D$8:$D$507,I2402))=1,INDEX('Staff Review'!$D$8:$D$507,I2402)&gt;=0,COUNT(INDEX('Staff Review'!$E$8:$E$507,I2402))=1,INDEX('Staff Review'!$E$8:$E$507,I2402)&gt;0,INDEX('Staff Review'!$E$8:$E$507,I2402)&lt;='Top 15'!$E$5,'Top 15'!$E$5-INDEX('Staff Review'!$E$8:$E$507,I2402)&lt;='Top 15'!$H$5,LEN(INDEX('Staff Review'!$H$8:$H$507,I2402))&gt;0),"Yes","No"))</x:f>
        <x:v>No</x:v>
      </x:c>
      <x:c r="AJ2402" s="1" t="str">
        <x:f>IF(I2402=0,"No",IF(COUNT(INDEX('Staff Review'!$F$8:$F$507,I2402))&lt;&gt;1,"No",IF(AND(INDEX('Staff Review'!$F$8:$F$507,I2402)&gt;=0,MOD(INDEX('Staff Review'!$F$8:$F$507,I2402),1)=0,COUNT(INDEX('Staff Review'!$G$8:$G$507,I2402))=1,INDEX('Staff Review'!$G$8:$G$507,I2402)&gt;0,INDEX('Staff Review'!$G$8:$G$507,I2402)&lt;='Top 15'!$E$5,'Top 15'!$E$5-INDEX('Staff Review'!$G$8:$G$507,I2402)&lt;='Top 15'!$H$5,LEN(INDEX('Staff Review'!$H$8:$H$507,I2402))&gt;0),"Yes","No")))</x:f>
        <x:v>No</x:v>
      </x:c>
      <x:c r="AK2402" s="1" t="n">
        <x:f>IF(A2402="",0,COUNTIFS($A$2:$A$501,A2402))</x:f>
        <x:v>0</x:v>
      </x:c>
      <x:c r="AL2402" s="1" t="n">
        <x:f>IF(V2402="Candidate",1,0)</x:f>
        <x:v>0</x:v>
      </x:c>
      <x:c r="AM2402" s="1" t="n">
        <x:f>IF(A2402="",0,VALUE(A2402))</x:f>
        <x:v>0</x:v>
      </x:c>
      <x:c r="AN2402" s="1" t="n">
        <x:f>IF(OR(A2402="",COUNTIFS($T$41:$T$540,A2402)&lt;&gt;1),0,MATCH(A2402,$T$41:$T$540,0))</x:f>
        <x:v>0</x:v>
      </x:c>
      <x:c r="AO2402" t="n">
        <x:f>IF(ISNUMBER(W2402),W2402,10000+AM2402)</x:f>
        <x:v>10000</x:v>
      </x:c>
    </x:row>
    <x:row r="2403" ht="22" customHeight="1">
      <x:c r="A2403" s="1" t="str">
        <x:f>IF(A354="","",A354)</x:f>
      </x:c>
      <x:c r="B2403" s="1" t="str">
        <x:f>IF(A2403="","",B354)</x:f>
      </x:c>
      <x:c r="C2403" s="1" t="str">
        <x:f>IF(A2403="","",C354)</x:f>
      </x:c>
      <x:c r="D2403" s="1" t="str">
        <x:f>IF(A2403="","",E354)</x:f>
      </x:c>
      <x:c r="E2403" s="1" t="str">
        <x:f>IF(A2403="","",H354)</x:f>
      </x:c>
      <x:c r="F2403" s="1" t="str">
        <x:f>IF(ISNUMBER(K354),K354,"")</x:f>
      </x:c>
      <x:c r="G2403" s="1" t="str">
        <x:f>IF(ISNUMBER(L354),L354,"")</x:f>
      </x:c>
      <x:c r="H2403" s="1" t="str">
        <x:f>IF(A2403="","",IF(AND(UPPER(G354)="PHILADELPHIA",OR(C2403="District",AND(C2403="Charter",D354="Yes"))),"Yes","No"))</x:f>
      </x:c>
      <x:c r="I2403" s="1" t="n">
        <x:f>IF(OR(A2403="",COUNTIFS('Staff Review'!$A$8:$A$507,A2403)&lt;&gt;1),0,MATCH(A2403,'Staff Review'!$A$8:$A$507,0))</x:f>
        <x:v>0</x:v>
      </x:c>
      <x:c r="J2403" s="1" t="str">
        <x:f>IF(I2403=0,"No",IF(INDEX('Staff Review'!$C$8:$C$507,I2403)="Yes","Yes","No"))</x:f>
        <x:v>No</x:v>
      </x:c>
      <x:c r="K2403" s="1" t="str">
        <x:f>IF(AI2403="Yes",INDEX('Staff Review'!$D$8:$D$507,I2403),IF(AB2403=0,"",IF(COUNT(INDEX($C$1531:$C$2030,AB2403))=1,INDEX($C$1531:$C$2030,AB2403),"")))</x:f>
      </x:c>
      <x:c r="L2403" s="1" t="str">
        <x:f>IF(AJ2403="Yes",INDEX('Staff Review'!$F$8:$F$507,I2403),IF(AB2403=0,"",IF(COUNT(INDEX($G$1531:$G$2030,AB2403))=1,INDEX($G$1531:$G$2030,AB2403),"")))</x:f>
      </x:c>
      <x:c r="M2403" s="1" t="str">
        <x:f>IF(A2403="","",IF(AI2403="Yes","Verified","Listed"))</x:f>
      </x:c>
      <x:c r="N2403" s="1" t="str">
        <x:f>IF(A2403="","",IF(AJ2403="Yes","Verified","Listed"))</x:f>
      </x:c>
      <x:c r="O2403" s="1" t="str">
        <x:f>IF(AND(ISNUMBER(G2403),G2403&gt;=0,G2403&lt;=1),IF(G2403&gt;=0.9,30,IF(G2403&gt;=0.8,25,IF(G2403&gt;=0.7,20,IF(G2403&gt;=0.6,15,IF(G2403&gt;=0.5,10,IF(G2403&gt;=0.4,5,0)))))),"")</x:f>
      </x:c>
      <x:c r="P2403" s="1" t="str">
        <x:f>IF(ISNUMBER(K2403),IF(K2403&lt;0,"",IF(K2403&gt;1,25,IF(K2403&gt;=0.75,20,IF(K2403&gt;=0.5,15,IF(K2403&gt;=0.25,10,5))))),"")</x:f>
      </x:c>
      <x:c r="Q2403" s="1" t="str">
        <x:f>IF(NOT(ISNUMBER(L2403)),"",IF(AND(L2403&gt;=0,MOD(L2403,1)=0),MAX(0,25-5*L2403),""))</x:f>
      </x:c>
      <x:c r="R2403" s="1" t="str">
        <x:f>IF(NOT(ISNUMBER(F2403)),"",IF(AND(F2403&gt;0,MOD(F2403,1)=0),IF(F2403&gt;=700,5,IF(F2403&gt;=500,4,IF(F2403&gt;=350,3,IF(F2403&gt;=200,2,1)))),""))</x:f>
      </x:c>
      <x:c r="S2403" s="1" t="str">
        <x:f>IF(COUNT(O2403:R2403)=4,SUM(O2403:R2403),"")</x:f>
      </x:c>
      <x:c r="T2403" s="1" t="str">
        <x:f>IF(OR(COUNT(O2403:R2403)&lt;&gt;4,COUNT('Top 15'!$B$35:$E$35)&lt;&gt;4,MIN('Top 15'!$B$35:$E$35)&lt;0,SUM('Top 15'!$B$35:$E$35)&lt;=0),"",ROUND(85*(O2403/30*'Top 15'!$B$35+P2403/25*'Top 15'!$C$35+Q2403/25*'Top 15'!$D$35+R2403/5*'Top 15'!$E$35)/SUM('Top 15'!$B$35:$E$35),6))</x:f>
      </x:c>
      <x:c r="U2403" s="1" t="str">
        <x:f>IF(A2403="","",IF(AND(M2403="Verified",N2403="Verified"),"Verified",IF(AND(M2403="Listed",N2403="Listed"),"Listed","Mixed")))</x:f>
      </x:c>
      <x:c r="V2403" s="1" t="str">
        <x:f>IF(A2403="","",IF(AK2403&lt;&gt;1,"Duplicate source ID",IF(COUNTIFS('Staff Review'!$A$8:$A$507,A2403)&gt;1,"Duplicate review ID",IF(H2403&lt;&gt;"Yes","Outside scope",IF(J2403="Yes","Already served",IF(NOT(ISNUMBER(T2403)),"Missing data","Candidate"))))))</x:f>
      </x:c>
      <x:c r="W2403" s="1" t="str">
        <x:f>IF(AL2403=0,"",1+COUNTIFS($AL$2051:$AL$2550,1,$T$2051:$T$2550,"&gt;"&amp;T2403)+COUNTIFS($AL$2051:$AL$2550,1,$T$2051:$T$2550,T2403,$G$2051:$G$2550,"&gt;"&amp;G2403)+COUNTIFS($AL$2051:$AL$2550,1,$T$2051:$T$2550,T2403,$G$2051:$G$2550,G2403,$F$2051:$F$2550,"&gt;"&amp;F2403)+COUNTIFS($AL$2051:$AL$2550,1,$T$2051:$T$2550,T2403,$G$2051:$G$2550,G2403,$F$2051:$F$2550,F2403,$AM$2051:$AM$2550,"&lt;"&amp;AM2403))</x:f>
      </x:c>
      <x:c r="X2403" s="1" t="str">
        <x:f>IF(AL2403=0,"",1+COUNTIFS($AL$2051:$AL$2550,1,$T$2051:$T$2550,"&gt;"&amp;T2403))</x:f>
      </x:c>
      <x:c r="Y2403" s="1" t="n">
        <x:f>IF(AND(H2403="Yes",OR(LEN('School Search'!$B$5)=0,ISNUMBER(SEARCH('School Search'!$B$5,B2403&amp;" "&amp;E2403&amp;" "&amp;A2403))),OR('School Search'!$D$5="All",C2403='School Search'!$D$5),OR('School Search'!$G$5="All eligible",AND('School Search'!$G$5="Not marked served",J2403&lt;&gt;"Yes"),AND('School Search'!$G$5="Missing data",V2403="Missing data"),AND('School Search'!$G$5="Marked served",J2403="Yes"))),1,0)</x:f>
        <x:v>0</x:v>
      </x:c>
      <x:c r="Z2403" s="1" t="str">
        <x:f>IF(Y2403=0,"",COUNTIFS($Y$2051:$Y$2550,1,$AO$2051:$AO$2550,"&lt;"&amp;AO2403)+COUNTIFS($Y$2051:Y2403,1,$AO$2051:AO2403,AO2403))</x:f>
      </x:c>
      <x:c r="AA2403" s="1" t="str">
        <x:f>IF(NOT(ISNUMBER(S2403)),"Missing demographic or access input",TEXT(G2403,"0%")&amp;" economic need; "&amp;TEXT(K2403,"0.00")&amp;" mi fresh access; "&amp;L2403&amp;" nearby resources")</x:f>
        <x:v>Missing demographic or access input</x:v>
      </x:c>
      <x:c r="AB2403" s="1" t="n">
        <x:f>IF(OR(A2403="",COUNTIFS($A$1531:$A$2030,A2403)&lt;&gt;1),0,MATCH(A2403,$A$1531:$A$2030,0))</x:f>
        <x:v>0</x:v>
      </x:c>
      <x:c r="AC2403" s="1" t="str">
        <x:f>IF(AB2403=0,"",INDEX($E$1531:$E$2030,AB2403))</x:f>
      </x:c>
      <x:c r="AD2403" s="1" t="str">
        <x:f>IF(AB2403=0,"",INDEX($F$1531:$F$2030,AB2403))</x:f>
      </x:c>
      <x:c r="AE2403" s="1" t="str">
        <x:f>IF(A2403="","",F354)</x:f>
      </x:c>
      <x:c r="AF2403" s="1" t="str">
        <x:f>IF(ISNUMBER(I354),I354,"")</x:f>
      </x:c>
      <x:c r="AG2403" s="1" t="str">
        <x:f>IF(ISNUMBER(J354),J354,"")</x:f>
      </x:c>
      <x:c r="AH2403" s="1" t="str">
        <x:f>IF(I2403=0,"Not contacted",IF(INDEX('Staff Review'!$J$8:$J$507,I2403)="","Not contacted",INDEX('Staff Review'!$J$8:$J$507,I2403)))</x:f>
        <x:v>Not contacted</x:v>
      </x:c>
      <x:c r="AI2403" s="1" t="str">
        <x:f>IF(I2403=0,"No",IF(AND(COUNT(INDEX('Staff Review'!$D$8:$D$507,I2403))=1,INDEX('Staff Review'!$D$8:$D$507,I2403)&gt;=0,COUNT(INDEX('Staff Review'!$E$8:$E$507,I2403))=1,INDEX('Staff Review'!$E$8:$E$507,I2403)&gt;0,INDEX('Staff Review'!$E$8:$E$507,I2403)&lt;='Top 15'!$E$5,'Top 15'!$E$5-INDEX('Staff Review'!$E$8:$E$507,I2403)&lt;='Top 15'!$H$5,LEN(INDEX('Staff Review'!$H$8:$H$507,I2403))&gt;0),"Yes","No"))</x:f>
        <x:v>No</x:v>
      </x:c>
      <x:c r="AJ2403" s="1" t="str">
        <x:f>IF(I2403=0,"No",IF(COUNT(INDEX('Staff Review'!$F$8:$F$507,I2403))&lt;&gt;1,"No",IF(AND(INDEX('Staff Review'!$F$8:$F$507,I2403)&gt;=0,MOD(INDEX('Staff Review'!$F$8:$F$507,I2403),1)=0,COUNT(INDEX('Staff Review'!$G$8:$G$507,I2403))=1,INDEX('Staff Review'!$G$8:$G$507,I2403)&gt;0,INDEX('Staff Review'!$G$8:$G$507,I2403)&lt;='Top 15'!$E$5,'Top 15'!$E$5-INDEX('Staff Review'!$G$8:$G$507,I2403)&lt;='Top 15'!$H$5,LEN(INDEX('Staff Review'!$H$8:$H$507,I2403))&gt;0),"Yes","No")))</x:f>
        <x:v>No</x:v>
      </x:c>
      <x:c r="AK2403" s="1" t="n">
        <x:f>IF(A2403="",0,COUNTIFS($A$2:$A$501,A2403))</x:f>
        <x:v>0</x:v>
      </x:c>
      <x:c r="AL2403" s="1" t="n">
        <x:f>IF(V2403="Candidate",1,0)</x:f>
        <x:v>0</x:v>
      </x:c>
      <x:c r="AM2403" s="1" t="n">
        <x:f>IF(A2403="",0,VALUE(A2403))</x:f>
        <x:v>0</x:v>
      </x:c>
      <x:c r="AN2403" s="1" t="n">
        <x:f>IF(OR(A2403="",COUNTIFS($T$41:$T$540,A2403)&lt;&gt;1),0,MATCH(A2403,$T$41:$T$540,0))</x:f>
        <x:v>0</x:v>
      </x:c>
      <x:c r="AO2403" t="n">
        <x:f>IF(ISNUMBER(W2403),W2403,10000+AM2403)</x:f>
        <x:v>10000</x:v>
      </x:c>
    </x:row>
    <x:row r="2404" ht="22" customHeight="1">
      <x:c r="A2404" s="1" t="str">
        <x:f>IF(A355="","",A355)</x:f>
      </x:c>
      <x:c r="B2404" s="1" t="str">
        <x:f>IF(A2404="","",B355)</x:f>
      </x:c>
      <x:c r="C2404" s="1" t="str">
        <x:f>IF(A2404="","",C355)</x:f>
      </x:c>
      <x:c r="D2404" s="1" t="str">
        <x:f>IF(A2404="","",E355)</x:f>
      </x:c>
      <x:c r="E2404" s="1" t="str">
        <x:f>IF(A2404="","",H355)</x:f>
      </x:c>
      <x:c r="F2404" s="1" t="str">
        <x:f>IF(ISNUMBER(K355),K355,"")</x:f>
      </x:c>
      <x:c r="G2404" s="1" t="str">
        <x:f>IF(ISNUMBER(L355),L355,"")</x:f>
      </x:c>
      <x:c r="H2404" s="1" t="str">
        <x:f>IF(A2404="","",IF(AND(UPPER(G355)="PHILADELPHIA",OR(C2404="District",AND(C2404="Charter",D355="Yes"))),"Yes","No"))</x:f>
      </x:c>
      <x:c r="I2404" s="1" t="n">
        <x:f>IF(OR(A2404="",COUNTIFS('Staff Review'!$A$8:$A$507,A2404)&lt;&gt;1),0,MATCH(A2404,'Staff Review'!$A$8:$A$507,0))</x:f>
        <x:v>0</x:v>
      </x:c>
      <x:c r="J2404" s="1" t="str">
        <x:f>IF(I2404=0,"No",IF(INDEX('Staff Review'!$C$8:$C$507,I2404)="Yes","Yes","No"))</x:f>
        <x:v>No</x:v>
      </x:c>
      <x:c r="K2404" s="1" t="str">
        <x:f>IF(AI2404="Yes",INDEX('Staff Review'!$D$8:$D$507,I2404),IF(AB2404=0,"",IF(COUNT(INDEX($C$1531:$C$2030,AB2404))=1,INDEX($C$1531:$C$2030,AB2404),"")))</x:f>
      </x:c>
      <x:c r="L2404" s="1" t="str">
        <x:f>IF(AJ2404="Yes",INDEX('Staff Review'!$F$8:$F$507,I2404),IF(AB2404=0,"",IF(COUNT(INDEX($G$1531:$G$2030,AB2404))=1,INDEX($G$1531:$G$2030,AB2404),"")))</x:f>
      </x:c>
      <x:c r="M2404" s="1" t="str">
        <x:f>IF(A2404="","",IF(AI2404="Yes","Verified","Listed"))</x:f>
      </x:c>
      <x:c r="N2404" s="1" t="str">
        <x:f>IF(A2404="","",IF(AJ2404="Yes","Verified","Listed"))</x:f>
      </x:c>
      <x:c r="O2404" s="1" t="str">
        <x:f>IF(AND(ISNUMBER(G2404),G2404&gt;=0,G2404&lt;=1),IF(G2404&gt;=0.9,30,IF(G2404&gt;=0.8,25,IF(G2404&gt;=0.7,20,IF(G2404&gt;=0.6,15,IF(G2404&gt;=0.5,10,IF(G2404&gt;=0.4,5,0)))))),"")</x:f>
      </x:c>
      <x:c r="P2404" s="1" t="str">
        <x:f>IF(ISNUMBER(K2404),IF(K2404&lt;0,"",IF(K2404&gt;1,25,IF(K2404&gt;=0.75,20,IF(K2404&gt;=0.5,15,IF(K2404&gt;=0.25,10,5))))),"")</x:f>
      </x:c>
      <x:c r="Q2404" s="1" t="str">
        <x:f>IF(NOT(ISNUMBER(L2404)),"",IF(AND(L2404&gt;=0,MOD(L2404,1)=0),MAX(0,25-5*L2404),""))</x:f>
      </x:c>
      <x:c r="R2404" s="1" t="str">
        <x:f>IF(NOT(ISNUMBER(F2404)),"",IF(AND(F2404&gt;0,MOD(F2404,1)=0),IF(F2404&gt;=700,5,IF(F2404&gt;=500,4,IF(F2404&gt;=350,3,IF(F2404&gt;=200,2,1)))),""))</x:f>
      </x:c>
      <x:c r="S2404" s="1" t="str">
        <x:f>IF(COUNT(O2404:R2404)=4,SUM(O2404:R2404),"")</x:f>
      </x:c>
      <x:c r="T2404" s="1" t="str">
        <x:f>IF(OR(COUNT(O2404:R2404)&lt;&gt;4,COUNT('Top 15'!$B$35:$E$35)&lt;&gt;4,MIN('Top 15'!$B$35:$E$35)&lt;0,SUM('Top 15'!$B$35:$E$35)&lt;=0),"",ROUND(85*(O2404/30*'Top 15'!$B$35+P2404/25*'Top 15'!$C$35+Q2404/25*'Top 15'!$D$35+R2404/5*'Top 15'!$E$35)/SUM('Top 15'!$B$35:$E$35),6))</x:f>
      </x:c>
      <x:c r="U2404" s="1" t="str">
        <x:f>IF(A2404="","",IF(AND(M2404="Verified",N2404="Verified"),"Verified",IF(AND(M2404="Listed",N2404="Listed"),"Listed","Mixed")))</x:f>
      </x:c>
      <x:c r="V2404" s="1" t="str">
        <x:f>IF(A2404="","",IF(AK2404&lt;&gt;1,"Duplicate source ID",IF(COUNTIFS('Staff Review'!$A$8:$A$507,A2404)&gt;1,"Duplicate review ID",IF(H2404&lt;&gt;"Yes","Outside scope",IF(J2404="Yes","Already served",IF(NOT(ISNUMBER(T2404)),"Missing data","Candidate"))))))</x:f>
      </x:c>
      <x:c r="W2404" s="1" t="str">
        <x:f>IF(AL2404=0,"",1+COUNTIFS($AL$2051:$AL$2550,1,$T$2051:$T$2550,"&gt;"&amp;T2404)+COUNTIFS($AL$2051:$AL$2550,1,$T$2051:$T$2550,T2404,$G$2051:$G$2550,"&gt;"&amp;G2404)+COUNTIFS($AL$2051:$AL$2550,1,$T$2051:$T$2550,T2404,$G$2051:$G$2550,G2404,$F$2051:$F$2550,"&gt;"&amp;F2404)+COUNTIFS($AL$2051:$AL$2550,1,$T$2051:$T$2550,T2404,$G$2051:$G$2550,G2404,$F$2051:$F$2550,F2404,$AM$2051:$AM$2550,"&lt;"&amp;AM2404))</x:f>
      </x:c>
      <x:c r="X2404" s="1" t="str">
        <x:f>IF(AL2404=0,"",1+COUNTIFS($AL$2051:$AL$2550,1,$T$2051:$T$2550,"&gt;"&amp;T2404))</x:f>
      </x:c>
      <x:c r="Y2404" s="1" t="n">
        <x:f>IF(AND(H2404="Yes",OR(LEN('School Search'!$B$5)=0,ISNUMBER(SEARCH('School Search'!$B$5,B2404&amp;" "&amp;E2404&amp;" "&amp;A2404))),OR('School Search'!$D$5="All",C2404='School Search'!$D$5),OR('School Search'!$G$5="All eligible",AND('School Search'!$G$5="Not marked served",J2404&lt;&gt;"Yes"),AND('School Search'!$G$5="Missing data",V2404="Missing data"),AND('School Search'!$G$5="Marked served",J2404="Yes"))),1,0)</x:f>
        <x:v>0</x:v>
      </x:c>
      <x:c r="Z2404" s="1" t="str">
        <x:f>IF(Y2404=0,"",COUNTIFS($Y$2051:$Y$2550,1,$AO$2051:$AO$2550,"&lt;"&amp;AO2404)+COUNTIFS($Y$2051:Y2404,1,$AO$2051:AO2404,AO2404))</x:f>
      </x:c>
      <x:c r="AA2404" s="1" t="str">
        <x:f>IF(NOT(ISNUMBER(S2404)),"Missing demographic or access input",TEXT(G2404,"0%")&amp;" economic need; "&amp;TEXT(K2404,"0.00")&amp;" mi fresh access; "&amp;L2404&amp;" nearby resources")</x:f>
        <x:v>Missing demographic or access input</x:v>
      </x:c>
      <x:c r="AB2404" s="1" t="n">
        <x:f>IF(OR(A2404="",COUNTIFS($A$1531:$A$2030,A2404)&lt;&gt;1),0,MATCH(A2404,$A$1531:$A$2030,0))</x:f>
        <x:v>0</x:v>
      </x:c>
      <x:c r="AC2404" s="1" t="str">
        <x:f>IF(AB2404=0,"",INDEX($E$1531:$E$2030,AB2404))</x:f>
      </x:c>
      <x:c r="AD2404" s="1" t="str">
        <x:f>IF(AB2404=0,"",INDEX($F$1531:$F$2030,AB2404))</x:f>
      </x:c>
      <x:c r="AE2404" s="1" t="str">
        <x:f>IF(A2404="","",F355)</x:f>
      </x:c>
      <x:c r="AF2404" s="1" t="str">
        <x:f>IF(ISNUMBER(I355),I355,"")</x:f>
      </x:c>
      <x:c r="AG2404" s="1" t="str">
        <x:f>IF(ISNUMBER(J355),J355,"")</x:f>
      </x:c>
      <x:c r="AH2404" s="1" t="str">
        <x:f>IF(I2404=0,"Not contacted",IF(INDEX('Staff Review'!$J$8:$J$507,I2404)="","Not contacted",INDEX('Staff Review'!$J$8:$J$507,I2404)))</x:f>
        <x:v>Not contacted</x:v>
      </x:c>
      <x:c r="AI2404" s="1" t="str">
        <x:f>IF(I2404=0,"No",IF(AND(COUNT(INDEX('Staff Review'!$D$8:$D$507,I2404))=1,INDEX('Staff Review'!$D$8:$D$507,I2404)&gt;=0,COUNT(INDEX('Staff Review'!$E$8:$E$507,I2404))=1,INDEX('Staff Review'!$E$8:$E$507,I2404)&gt;0,INDEX('Staff Review'!$E$8:$E$507,I2404)&lt;='Top 15'!$E$5,'Top 15'!$E$5-INDEX('Staff Review'!$E$8:$E$507,I2404)&lt;='Top 15'!$H$5,LEN(INDEX('Staff Review'!$H$8:$H$507,I2404))&gt;0),"Yes","No"))</x:f>
        <x:v>No</x:v>
      </x:c>
      <x:c r="AJ2404" s="1" t="str">
        <x:f>IF(I2404=0,"No",IF(COUNT(INDEX('Staff Review'!$F$8:$F$507,I2404))&lt;&gt;1,"No",IF(AND(INDEX('Staff Review'!$F$8:$F$507,I2404)&gt;=0,MOD(INDEX('Staff Review'!$F$8:$F$507,I2404),1)=0,COUNT(INDEX('Staff Review'!$G$8:$G$507,I2404))=1,INDEX('Staff Review'!$G$8:$G$507,I2404)&gt;0,INDEX('Staff Review'!$G$8:$G$507,I2404)&lt;='Top 15'!$E$5,'Top 15'!$E$5-INDEX('Staff Review'!$G$8:$G$507,I2404)&lt;='Top 15'!$H$5,LEN(INDEX('Staff Review'!$H$8:$H$507,I2404))&gt;0),"Yes","No")))</x:f>
        <x:v>No</x:v>
      </x:c>
      <x:c r="AK2404" s="1" t="n">
        <x:f>IF(A2404="",0,COUNTIFS($A$2:$A$501,A2404))</x:f>
        <x:v>0</x:v>
      </x:c>
      <x:c r="AL2404" s="1" t="n">
        <x:f>IF(V2404="Candidate",1,0)</x:f>
        <x:v>0</x:v>
      </x:c>
      <x:c r="AM2404" s="1" t="n">
        <x:f>IF(A2404="",0,VALUE(A2404))</x:f>
        <x:v>0</x:v>
      </x:c>
      <x:c r="AN2404" s="1" t="n">
        <x:f>IF(OR(A2404="",COUNTIFS($T$41:$T$540,A2404)&lt;&gt;1),0,MATCH(A2404,$T$41:$T$540,0))</x:f>
        <x:v>0</x:v>
      </x:c>
      <x:c r="AO2404" t="n">
        <x:f>IF(ISNUMBER(W2404),W2404,10000+AM2404)</x:f>
        <x:v>10000</x:v>
      </x:c>
    </x:row>
    <x:row r="2405" ht="22" customHeight="1">
      <x:c r="A2405" s="1" t="str">
        <x:f>IF(A356="","",A356)</x:f>
      </x:c>
      <x:c r="B2405" s="1" t="str">
        <x:f>IF(A2405="","",B356)</x:f>
      </x:c>
      <x:c r="C2405" s="1" t="str">
        <x:f>IF(A2405="","",C356)</x:f>
      </x:c>
      <x:c r="D2405" s="1" t="str">
        <x:f>IF(A2405="","",E356)</x:f>
      </x:c>
      <x:c r="E2405" s="1" t="str">
        <x:f>IF(A2405="","",H356)</x:f>
      </x:c>
      <x:c r="F2405" s="1" t="str">
        <x:f>IF(ISNUMBER(K356),K356,"")</x:f>
      </x:c>
      <x:c r="G2405" s="1" t="str">
        <x:f>IF(ISNUMBER(L356),L356,"")</x:f>
      </x:c>
      <x:c r="H2405" s="1" t="str">
        <x:f>IF(A2405="","",IF(AND(UPPER(G356)="PHILADELPHIA",OR(C2405="District",AND(C2405="Charter",D356="Yes"))),"Yes","No"))</x:f>
      </x:c>
      <x:c r="I2405" s="1" t="n">
        <x:f>IF(OR(A2405="",COUNTIFS('Staff Review'!$A$8:$A$507,A2405)&lt;&gt;1),0,MATCH(A2405,'Staff Review'!$A$8:$A$507,0))</x:f>
        <x:v>0</x:v>
      </x:c>
      <x:c r="J2405" s="1" t="str">
        <x:f>IF(I2405=0,"No",IF(INDEX('Staff Review'!$C$8:$C$507,I2405)="Yes","Yes","No"))</x:f>
        <x:v>No</x:v>
      </x:c>
      <x:c r="K2405" s="1" t="str">
        <x:f>IF(AI2405="Yes",INDEX('Staff Review'!$D$8:$D$507,I2405),IF(AB2405=0,"",IF(COUNT(INDEX($C$1531:$C$2030,AB2405))=1,INDEX($C$1531:$C$2030,AB2405),"")))</x:f>
      </x:c>
      <x:c r="L2405" s="1" t="str">
        <x:f>IF(AJ2405="Yes",INDEX('Staff Review'!$F$8:$F$507,I2405),IF(AB2405=0,"",IF(COUNT(INDEX($G$1531:$G$2030,AB2405))=1,INDEX($G$1531:$G$2030,AB2405),"")))</x:f>
      </x:c>
      <x:c r="M2405" s="1" t="str">
        <x:f>IF(A2405="","",IF(AI2405="Yes","Verified","Listed"))</x:f>
      </x:c>
      <x:c r="N2405" s="1" t="str">
        <x:f>IF(A2405="","",IF(AJ2405="Yes","Verified","Listed"))</x:f>
      </x:c>
      <x:c r="O2405" s="1" t="str">
        <x:f>IF(AND(ISNUMBER(G2405),G2405&gt;=0,G2405&lt;=1),IF(G2405&gt;=0.9,30,IF(G2405&gt;=0.8,25,IF(G2405&gt;=0.7,20,IF(G2405&gt;=0.6,15,IF(G2405&gt;=0.5,10,IF(G2405&gt;=0.4,5,0)))))),"")</x:f>
      </x:c>
      <x:c r="P2405" s="1" t="str">
        <x:f>IF(ISNUMBER(K2405),IF(K2405&lt;0,"",IF(K2405&gt;1,25,IF(K2405&gt;=0.75,20,IF(K2405&gt;=0.5,15,IF(K2405&gt;=0.25,10,5))))),"")</x:f>
      </x:c>
      <x:c r="Q2405" s="1" t="str">
        <x:f>IF(NOT(ISNUMBER(L2405)),"",IF(AND(L2405&gt;=0,MOD(L2405,1)=0),MAX(0,25-5*L2405),""))</x:f>
      </x:c>
      <x:c r="R2405" s="1" t="str">
        <x:f>IF(NOT(ISNUMBER(F2405)),"",IF(AND(F2405&gt;0,MOD(F2405,1)=0),IF(F2405&gt;=700,5,IF(F2405&gt;=500,4,IF(F2405&gt;=350,3,IF(F2405&gt;=200,2,1)))),""))</x:f>
      </x:c>
      <x:c r="S2405" s="1" t="str">
        <x:f>IF(COUNT(O2405:R2405)=4,SUM(O2405:R2405),"")</x:f>
      </x:c>
      <x:c r="T2405" s="1" t="str">
        <x:f>IF(OR(COUNT(O2405:R2405)&lt;&gt;4,COUNT('Top 15'!$B$35:$E$35)&lt;&gt;4,MIN('Top 15'!$B$35:$E$35)&lt;0,SUM('Top 15'!$B$35:$E$35)&lt;=0),"",ROUND(85*(O2405/30*'Top 15'!$B$35+P2405/25*'Top 15'!$C$35+Q2405/25*'Top 15'!$D$35+R2405/5*'Top 15'!$E$35)/SUM('Top 15'!$B$35:$E$35),6))</x:f>
      </x:c>
      <x:c r="U2405" s="1" t="str">
        <x:f>IF(A2405="","",IF(AND(M2405="Verified",N2405="Verified"),"Verified",IF(AND(M2405="Listed",N2405="Listed"),"Listed","Mixed")))</x:f>
      </x:c>
      <x:c r="V2405" s="1" t="str">
        <x:f>IF(A2405="","",IF(AK2405&lt;&gt;1,"Duplicate source ID",IF(COUNTIFS('Staff Review'!$A$8:$A$507,A2405)&gt;1,"Duplicate review ID",IF(H2405&lt;&gt;"Yes","Outside scope",IF(J2405="Yes","Already served",IF(NOT(ISNUMBER(T2405)),"Missing data","Candidate"))))))</x:f>
      </x:c>
      <x:c r="W2405" s="1" t="str">
        <x:f>IF(AL2405=0,"",1+COUNTIFS($AL$2051:$AL$2550,1,$T$2051:$T$2550,"&gt;"&amp;T2405)+COUNTIFS($AL$2051:$AL$2550,1,$T$2051:$T$2550,T2405,$G$2051:$G$2550,"&gt;"&amp;G2405)+COUNTIFS($AL$2051:$AL$2550,1,$T$2051:$T$2550,T2405,$G$2051:$G$2550,G2405,$F$2051:$F$2550,"&gt;"&amp;F2405)+COUNTIFS($AL$2051:$AL$2550,1,$T$2051:$T$2550,T2405,$G$2051:$G$2550,G2405,$F$2051:$F$2550,F2405,$AM$2051:$AM$2550,"&lt;"&amp;AM2405))</x:f>
      </x:c>
      <x:c r="X2405" s="1" t="str">
        <x:f>IF(AL2405=0,"",1+COUNTIFS($AL$2051:$AL$2550,1,$T$2051:$T$2550,"&gt;"&amp;T2405))</x:f>
      </x:c>
      <x:c r="Y2405" s="1" t="n">
        <x:f>IF(AND(H2405="Yes",OR(LEN('School Search'!$B$5)=0,ISNUMBER(SEARCH('School Search'!$B$5,B2405&amp;" "&amp;E2405&amp;" "&amp;A2405))),OR('School Search'!$D$5="All",C2405='School Search'!$D$5),OR('School Search'!$G$5="All eligible",AND('School Search'!$G$5="Not marked served",J2405&lt;&gt;"Yes"),AND('School Search'!$G$5="Missing data",V2405="Missing data"),AND('School Search'!$G$5="Marked served",J2405="Yes"))),1,0)</x:f>
        <x:v>0</x:v>
      </x:c>
      <x:c r="Z2405" s="1" t="str">
        <x:f>IF(Y2405=0,"",COUNTIFS($Y$2051:$Y$2550,1,$AO$2051:$AO$2550,"&lt;"&amp;AO2405)+COUNTIFS($Y$2051:Y2405,1,$AO$2051:AO2405,AO2405))</x:f>
      </x:c>
      <x:c r="AA2405" s="1" t="str">
        <x:f>IF(NOT(ISNUMBER(S2405)),"Missing demographic or access input",TEXT(G2405,"0%")&amp;" economic need; "&amp;TEXT(K2405,"0.00")&amp;" mi fresh access; "&amp;L2405&amp;" nearby resources")</x:f>
        <x:v>Missing demographic or access input</x:v>
      </x:c>
      <x:c r="AB2405" s="1" t="n">
        <x:f>IF(OR(A2405="",COUNTIFS($A$1531:$A$2030,A2405)&lt;&gt;1),0,MATCH(A2405,$A$1531:$A$2030,0))</x:f>
        <x:v>0</x:v>
      </x:c>
      <x:c r="AC2405" s="1" t="str">
        <x:f>IF(AB2405=0,"",INDEX($E$1531:$E$2030,AB2405))</x:f>
      </x:c>
      <x:c r="AD2405" s="1" t="str">
        <x:f>IF(AB2405=0,"",INDEX($F$1531:$F$2030,AB2405))</x:f>
      </x:c>
      <x:c r="AE2405" s="1" t="str">
        <x:f>IF(A2405="","",F356)</x:f>
      </x:c>
      <x:c r="AF2405" s="1" t="str">
        <x:f>IF(ISNUMBER(I356),I356,"")</x:f>
      </x:c>
      <x:c r="AG2405" s="1" t="str">
        <x:f>IF(ISNUMBER(J356),J356,"")</x:f>
      </x:c>
      <x:c r="AH2405" s="1" t="str">
        <x:f>IF(I2405=0,"Not contacted",IF(INDEX('Staff Review'!$J$8:$J$507,I2405)="","Not contacted",INDEX('Staff Review'!$J$8:$J$507,I2405)))</x:f>
        <x:v>Not contacted</x:v>
      </x:c>
      <x:c r="AI2405" s="1" t="str">
        <x:f>IF(I2405=0,"No",IF(AND(COUNT(INDEX('Staff Review'!$D$8:$D$507,I2405))=1,INDEX('Staff Review'!$D$8:$D$507,I2405)&gt;=0,COUNT(INDEX('Staff Review'!$E$8:$E$507,I2405))=1,INDEX('Staff Review'!$E$8:$E$507,I2405)&gt;0,INDEX('Staff Review'!$E$8:$E$507,I2405)&lt;='Top 15'!$E$5,'Top 15'!$E$5-INDEX('Staff Review'!$E$8:$E$507,I2405)&lt;='Top 15'!$H$5,LEN(INDEX('Staff Review'!$H$8:$H$507,I2405))&gt;0),"Yes","No"))</x:f>
        <x:v>No</x:v>
      </x:c>
      <x:c r="AJ2405" s="1" t="str">
        <x:f>IF(I2405=0,"No",IF(COUNT(INDEX('Staff Review'!$F$8:$F$507,I2405))&lt;&gt;1,"No",IF(AND(INDEX('Staff Review'!$F$8:$F$507,I2405)&gt;=0,MOD(INDEX('Staff Review'!$F$8:$F$507,I2405),1)=0,COUNT(INDEX('Staff Review'!$G$8:$G$507,I2405))=1,INDEX('Staff Review'!$G$8:$G$507,I2405)&gt;0,INDEX('Staff Review'!$G$8:$G$507,I2405)&lt;='Top 15'!$E$5,'Top 15'!$E$5-INDEX('Staff Review'!$G$8:$G$507,I2405)&lt;='Top 15'!$H$5,LEN(INDEX('Staff Review'!$H$8:$H$507,I2405))&gt;0),"Yes","No")))</x:f>
        <x:v>No</x:v>
      </x:c>
      <x:c r="AK2405" s="1" t="n">
        <x:f>IF(A2405="",0,COUNTIFS($A$2:$A$501,A2405))</x:f>
        <x:v>0</x:v>
      </x:c>
      <x:c r="AL2405" s="1" t="n">
        <x:f>IF(V2405="Candidate",1,0)</x:f>
        <x:v>0</x:v>
      </x:c>
      <x:c r="AM2405" s="1" t="n">
        <x:f>IF(A2405="",0,VALUE(A2405))</x:f>
        <x:v>0</x:v>
      </x:c>
      <x:c r="AN2405" s="1" t="n">
        <x:f>IF(OR(A2405="",COUNTIFS($T$41:$T$540,A2405)&lt;&gt;1),0,MATCH(A2405,$T$41:$T$540,0))</x:f>
        <x:v>0</x:v>
      </x:c>
      <x:c r="AO2405" t="n">
        <x:f>IF(ISNUMBER(W2405),W2405,10000+AM2405)</x:f>
        <x:v>10000</x:v>
      </x:c>
    </x:row>
    <x:row r="2406" ht="22" customHeight="1">
      <x:c r="A2406" s="1" t="str">
        <x:f>IF(A357="","",A357)</x:f>
      </x:c>
      <x:c r="B2406" s="1" t="str">
        <x:f>IF(A2406="","",B357)</x:f>
      </x:c>
      <x:c r="C2406" s="1" t="str">
        <x:f>IF(A2406="","",C357)</x:f>
      </x:c>
      <x:c r="D2406" s="1" t="str">
        <x:f>IF(A2406="","",E357)</x:f>
      </x:c>
      <x:c r="E2406" s="1" t="str">
        <x:f>IF(A2406="","",H357)</x:f>
      </x:c>
      <x:c r="F2406" s="1" t="str">
        <x:f>IF(ISNUMBER(K357),K357,"")</x:f>
      </x:c>
      <x:c r="G2406" s="1" t="str">
        <x:f>IF(ISNUMBER(L357),L357,"")</x:f>
      </x:c>
      <x:c r="H2406" s="1" t="str">
        <x:f>IF(A2406="","",IF(AND(UPPER(G357)="PHILADELPHIA",OR(C2406="District",AND(C2406="Charter",D357="Yes"))),"Yes","No"))</x:f>
      </x:c>
      <x:c r="I2406" s="1" t="n">
        <x:f>IF(OR(A2406="",COUNTIFS('Staff Review'!$A$8:$A$507,A2406)&lt;&gt;1),0,MATCH(A2406,'Staff Review'!$A$8:$A$507,0))</x:f>
        <x:v>0</x:v>
      </x:c>
      <x:c r="J2406" s="1" t="str">
        <x:f>IF(I2406=0,"No",IF(INDEX('Staff Review'!$C$8:$C$507,I2406)="Yes","Yes","No"))</x:f>
        <x:v>No</x:v>
      </x:c>
      <x:c r="K2406" s="1" t="str">
        <x:f>IF(AI2406="Yes",INDEX('Staff Review'!$D$8:$D$507,I2406),IF(AB2406=0,"",IF(COUNT(INDEX($C$1531:$C$2030,AB2406))=1,INDEX($C$1531:$C$2030,AB2406),"")))</x:f>
      </x:c>
      <x:c r="L2406" s="1" t="str">
        <x:f>IF(AJ2406="Yes",INDEX('Staff Review'!$F$8:$F$507,I2406),IF(AB2406=0,"",IF(COUNT(INDEX($G$1531:$G$2030,AB2406))=1,INDEX($G$1531:$G$2030,AB2406),"")))</x:f>
      </x:c>
      <x:c r="M2406" s="1" t="str">
        <x:f>IF(A2406="","",IF(AI2406="Yes","Verified","Listed"))</x:f>
      </x:c>
      <x:c r="N2406" s="1" t="str">
        <x:f>IF(A2406="","",IF(AJ2406="Yes","Verified","Listed"))</x:f>
      </x:c>
      <x:c r="O2406" s="1" t="str">
        <x:f>IF(AND(ISNUMBER(G2406),G2406&gt;=0,G2406&lt;=1),IF(G2406&gt;=0.9,30,IF(G2406&gt;=0.8,25,IF(G2406&gt;=0.7,20,IF(G2406&gt;=0.6,15,IF(G2406&gt;=0.5,10,IF(G2406&gt;=0.4,5,0)))))),"")</x:f>
      </x:c>
      <x:c r="P2406" s="1" t="str">
        <x:f>IF(ISNUMBER(K2406),IF(K2406&lt;0,"",IF(K2406&gt;1,25,IF(K2406&gt;=0.75,20,IF(K2406&gt;=0.5,15,IF(K2406&gt;=0.25,10,5))))),"")</x:f>
      </x:c>
      <x:c r="Q2406" s="1" t="str">
        <x:f>IF(NOT(ISNUMBER(L2406)),"",IF(AND(L2406&gt;=0,MOD(L2406,1)=0),MAX(0,25-5*L2406),""))</x:f>
      </x:c>
      <x:c r="R2406" s="1" t="str">
        <x:f>IF(NOT(ISNUMBER(F2406)),"",IF(AND(F2406&gt;0,MOD(F2406,1)=0),IF(F2406&gt;=700,5,IF(F2406&gt;=500,4,IF(F2406&gt;=350,3,IF(F2406&gt;=200,2,1)))),""))</x:f>
      </x:c>
      <x:c r="S2406" s="1" t="str">
        <x:f>IF(COUNT(O2406:R2406)=4,SUM(O2406:R2406),"")</x:f>
      </x:c>
      <x:c r="T2406" s="1" t="str">
        <x:f>IF(OR(COUNT(O2406:R2406)&lt;&gt;4,COUNT('Top 15'!$B$35:$E$35)&lt;&gt;4,MIN('Top 15'!$B$35:$E$35)&lt;0,SUM('Top 15'!$B$35:$E$35)&lt;=0),"",ROUND(85*(O2406/30*'Top 15'!$B$35+P2406/25*'Top 15'!$C$35+Q2406/25*'Top 15'!$D$35+R2406/5*'Top 15'!$E$35)/SUM('Top 15'!$B$35:$E$35),6))</x:f>
      </x:c>
      <x:c r="U2406" s="1" t="str">
        <x:f>IF(A2406="","",IF(AND(M2406="Verified",N2406="Verified"),"Verified",IF(AND(M2406="Listed",N2406="Listed"),"Listed","Mixed")))</x:f>
      </x:c>
      <x:c r="V2406" s="1" t="str">
        <x:f>IF(A2406="","",IF(AK2406&lt;&gt;1,"Duplicate source ID",IF(COUNTIFS('Staff Review'!$A$8:$A$507,A2406)&gt;1,"Duplicate review ID",IF(H2406&lt;&gt;"Yes","Outside scope",IF(J2406="Yes","Already served",IF(NOT(ISNUMBER(T2406)),"Missing data","Candidate"))))))</x:f>
      </x:c>
      <x:c r="W2406" s="1" t="str">
        <x:f>IF(AL2406=0,"",1+COUNTIFS($AL$2051:$AL$2550,1,$T$2051:$T$2550,"&gt;"&amp;T2406)+COUNTIFS($AL$2051:$AL$2550,1,$T$2051:$T$2550,T2406,$G$2051:$G$2550,"&gt;"&amp;G2406)+COUNTIFS($AL$2051:$AL$2550,1,$T$2051:$T$2550,T2406,$G$2051:$G$2550,G2406,$F$2051:$F$2550,"&gt;"&amp;F2406)+COUNTIFS($AL$2051:$AL$2550,1,$T$2051:$T$2550,T2406,$G$2051:$G$2550,G2406,$F$2051:$F$2550,F2406,$AM$2051:$AM$2550,"&lt;"&amp;AM2406))</x:f>
      </x:c>
      <x:c r="X2406" s="1" t="str">
        <x:f>IF(AL2406=0,"",1+COUNTIFS($AL$2051:$AL$2550,1,$T$2051:$T$2550,"&gt;"&amp;T2406))</x:f>
      </x:c>
      <x:c r="Y2406" s="1" t="n">
        <x:f>IF(AND(H2406="Yes",OR(LEN('School Search'!$B$5)=0,ISNUMBER(SEARCH('School Search'!$B$5,B2406&amp;" "&amp;E2406&amp;" "&amp;A2406))),OR('School Search'!$D$5="All",C2406='School Search'!$D$5),OR('School Search'!$G$5="All eligible",AND('School Search'!$G$5="Not marked served",J2406&lt;&gt;"Yes"),AND('School Search'!$G$5="Missing data",V2406="Missing data"),AND('School Search'!$G$5="Marked served",J2406="Yes"))),1,0)</x:f>
        <x:v>0</x:v>
      </x:c>
      <x:c r="Z2406" s="1" t="str">
        <x:f>IF(Y2406=0,"",COUNTIFS($Y$2051:$Y$2550,1,$AO$2051:$AO$2550,"&lt;"&amp;AO2406)+COUNTIFS($Y$2051:Y2406,1,$AO$2051:AO2406,AO2406))</x:f>
      </x:c>
      <x:c r="AA2406" s="1" t="str">
        <x:f>IF(NOT(ISNUMBER(S2406)),"Missing demographic or access input",TEXT(G2406,"0%")&amp;" economic need; "&amp;TEXT(K2406,"0.00")&amp;" mi fresh access; "&amp;L2406&amp;" nearby resources")</x:f>
        <x:v>Missing demographic or access input</x:v>
      </x:c>
      <x:c r="AB2406" s="1" t="n">
        <x:f>IF(OR(A2406="",COUNTIFS($A$1531:$A$2030,A2406)&lt;&gt;1),0,MATCH(A2406,$A$1531:$A$2030,0))</x:f>
        <x:v>0</x:v>
      </x:c>
      <x:c r="AC2406" s="1" t="str">
        <x:f>IF(AB2406=0,"",INDEX($E$1531:$E$2030,AB2406))</x:f>
      </x:c>
      <x:c r="AD2406" s="1" t="str">
        <x:f>IF(AB2406=0,"",INDEX($F$1531:$F$2030,AB2406))</x:f>
      </x:c>
      <x:c r="AE2406" s="1" t="str">
        <x:f>IF(A2406="","",F357)</x:f>
      </x:c>
      <x:c r="AF2406" s="1" t="str">
        <x:f>IF(ISNUMBER(I357),I357,"")</x:f>
      </x:c>
      <x:c r="AG2406" s="1" t="str">
        <x:f>IF(ISNUMBER(J357),J357,"")</x:f>
      </x:c>
      <x:c r="AH2406" s="1" t="str">
        <x:f>IF(I2406=0,"Not contacted",IF(INDEX('Staff Review'!$J$8:$J$507,I2406)="","Not contacted",INDEX('Staff Review'!$J$8:$J$507,I2406)))</x:f>
        <x:v>Not contacted</x:v>
      </x:c>
      <x:c r="AI2406" s="1" t="str">
        <x:f>IF(I2406=0,"No",IF(AND(COUNT(INDEX('Staff Review'!$D$8:$D$507,I2406))=1,INDEX('Staff Review'!$D$8:$D$507,I2406)&gt;=0,COUNT(INDEX('Staff Review'!$E$8:$E$507,I2406))=1,INDEX('Staff Review'!$E$8:$E$507,I2406)&gt;0,INDEX('Staff Review'!$E$8:$E$507,I2406)&lt;='Top 15'!$E$5,'Top 15'!$E$5-INDEX('Staff Review'!$E$8:$E$507,I2406)&lt;='Top 15'!$H$5,LEN(INDEX('Staff Review'!$H$8:$H$507,I2406))&gt;0),"Yes","No"))</x:f>
        <x:v>No</x:v>
      </x:c>
      <x:c r="AJ2406" s="1" t="str">
        <x:f>IF(I2406=0,"No",IF(COUNT(INDEX('Staff Review'!$F$8:$F$507,I2406))&lt;&gt;1,"No",IF(AND(INDEX('Staff Review'!$F$8:$F$507,I2406)&gt;=0,MOD(INDEX('Staff Review'!$F$8:$F$507,I2406),1)=0,COUNT(INDEX('Staff Review'!$G$8:$G$507,I2406))=1,INDEX('Staff Review'!$G$8:$G$507,I2406)&gt;0,INDEX('Staff Review'!$G$8:$G$507,I2406)&lt;='Top 15'!$E$5,'Top 15'!$E$5-INDEX('Staff Review'!$G$8:$G$507,I2406)&lt;='Top 15'!$H$5,LEN(INDEX('Staff Review'!$H$8:$H$507,I2406))&gt;0),"Yes","No")))</x:f>
        <x:v>No</x:v>
      </x:c>
      <x:c r="AK2406" s="1" t="n">
        <x:f>IF(A2406="",0,COUNTIFS($A$2:$A$501,A2406))</x:f>
        <x:v>0</x:v>
      </x:c>
      <x:c r="AL2406" s="1" t="n">
        <x:f>IF(V2406="Candidate",1,0)</x:f>
        <x:v>0</x:v>
      </x:c>
      <x:c r="AM2406" s="1" t="n">
        <x:f>IF(A2406="",0,VALUE(A2406))</x:f>
        <x:v>0</x:v>
      </x:c>
      <x:c r="AN2406" s="1" t="n">
        <x:f>IF(OR(A2406="",COUNTIFS($T$41:$T$540,A2406)&lt;&gt;1),0,MATCH(A2406,$T$41:$T$540,0))</x:f>
        <x:v>0</x:v>
      </x:c>
      <x:c r="AO2406" t="n">
        <x:f>IF(ISNUMBER(W2406),W2406,10000+AM2406)</x:f>
        <x:v>10000</x:v>
      </x:c>
    </x:row>
    <x:row r="2407" ht="22" customHeight="1">
      <x:c r="A2407" s="1" t="str">
        <x:f>IF(A358="","",A358)</x:f>
      </x:c>
      <x:c r="B2407" s="1" t="str">
        <x:f>IF(A2407="","",B358)</x:f>
      </x:c>
      <x:c r="C2407" s="1" t="str">
        <x:f>IF(A2407="","",C358)</x:f>
      </x:c>
      <x:c r="D2407" s="1" t="str">
        <x:f>IF(A2407="","",E358)</x:f>
      </x:c>
      <x:c r="E2407" s="1" t="str">
        <x:f>IF(A2407="","",H358)</x:f>
      </x:c>
      <x:c r="F2407" s="1" t="str">
        <x:f>IF(ISNUMBER(K358),K358,"")</x:f>
      </x:c>
      <x:c r="G2407" s="1" t="str">
        <x:f>IF(ISNUMBER(L358),L358,"")</x:f>
      </x:c>
      <x:c r="H2407" s="1" t="str">
        <x:f>IF(A2407="","",IF(AND(UPPER(G358)="PHILADELPHIA",OR(C2407="District",AND(C2407="Charter",D358="Yes"))),"Yes","No"))</x:f>
      </x:c>
      <x:c r="I2407" s="1" t="n">
        <x:f>IF(OR(A2407="",COUNTIFS('Staff Review'!$A$8:$A$507,A2407)&lt;&gt;1),0,MATCH(A2407,'Staff Review'!$A$8:$A$507,0))</x:f>
        <x:v>0</x:v>
      </x:c>
      <x:c r="J2407" s="1" t="str">
        <x:f>IF(I2407=0,"No",IF(INDEX('Staff Review'!$C$8:$C$507,I2407)="Yes","Yes","No"))</x:f>
        <x:v>No</x:v>
      </x:c>
      <x:c r="K2407" s="1" t="str">
        <x:f>IF(AI2407="Yes",INDEX('Staff Review'!$D$8:$D$507,I2407),IF(AB2407=0,"",IF(COUNT(INDEX($C$1531:$C$2030,AB2407))=1,INDEX($C$1531:$C$2030,AB2407),"")))</x:f>
      </x:c>
      <x:c r="L2407" s="1" t="str">
        <x:f>IF(AJ2407="Yes",INDEX('Staff Review'!$F$8:$F$507,I2407),IF(AB2407=0,"",IF(COUNT(INDEX($G$1531:$G$2030,AB2407))=1,INDEX($G$1531:$G$2030,AB2407),"")))</x:f>
      </x:c>
      <x:c r="M2407" s="1" t="str">
        <x:f>IF(A2407="","",IF(AI2407="Yes","Verified","Listed"))</x:f>
      </x:c>
      <x:c r="N2407" s="1" t="str">
        <x:f>IF(A2407="","",IF(AJ2407="Yes","Verified","Listed"))</x:f>
      </x:c>
      <x:c r="O2407" s="1" t="str">
        <x:f>IF(AND(ISNUMBER(G2407),G2407&gt;=0,G2407&lt;=1),IF(G2407&gt;=0.9,30,IF(G2407&gt;=0.8,25,IF(G2407&gt;=0.7,20,IF(G2407&gt;=0.6,15,IF(G2407&gt;=0.5,10,IF(G2407&gt;=0.4,5,0)))))),"")</x:f>
      </x:c>
      <x:c r="P2407" s="1" t="str">
        <x:f>IF(ISNUMBER(K2407),IF(K2407&lt;0,"",IF(K2407&gt;1,25,IF(K2407&gt;=0.75,20,IF(K2407&gt;=0.5,15,IF(K2407&gt;=0.25,10,5))))),"")</x:f>
      </x:c>
      <x:c r="Q2407" s="1" t="str">
        <x:f>IF(NOT(ISNUMBER(L2407)),"",IF(AND(L2407&gt;=0,MOD(L2407,1)=0),MAX(0,25-5*L2407),""))</x:f>
      </x:c>
      <x:c r="R2407" s="1" t="str">
        <x:f>IF(NOT(ISNUMBER(F2407)),"",IF(AND(F2407&gt;0,MOD(F2407,1)=0),IF(F2407&gt;=700,5,IF(F2407&gt;=500,4,IF(F2407&gt;=350,3,IF(F2407&gt;=200,2,1)))),""))</x:f>
      </x:c>
      <x:c r="S2407" s="1" t="str">
        <x:f>IF(COUNT(O2407:R2407)=4,SUM(O2407:R2407),"")</x:f>
      </x:c>
      <x:c r="T2407" s="1" t="str">
        <x:f>IF(OR(COUNT(O2407:R2407)&lt;&gt;4,COUNT('Top 15'!$B$35:$E$35)&lt;&gt;4,MIN('Top 15'!$B$35:$E$35)&lt;0,SUM('Top 15'!$B$35:$E$35)&lt;=0),"",ROUND(85*(O2407/30*'Top 15'!$B$35+P2407/25*'Top 15'!$C$35+Q2407/25*'Top 15'!$D$35+R2407/5*'Top 15'!$E$35)/SUM('Top 15'!$B$35:$E$35),6))</x:f>
      </x:c>
      <x:c r="U2407" s="1" t="str">
        <x:f>IF(A2407="","",IF(AND(M2407="Verified",N2407="Verified"),"Verified",IF(AND(M2407="Listed",N2407="Listed"),"Listed","Mixed")))</x:f>
      </x:c>
      <x:c r="V2407" s="1" t="str">
        <x:f>IF(A2407="","",IF(AK2407&lt;&gt;1,"Duplicate source ID",IF(COUNTIFS('Staff Review'!$A$8:$A$507,A2407)&gt;1,"Duplicate review ID",IF(H2407&lt;&gt;"Yes","Outside scope",IF(J2407="Yes","Already served",IF(NOT(ISNUMBER(T2407)),"Missing data","Candidate"))))))</x:f>
      </x:c>
      <x:c r="W2407" s="1" t="str">
        <x:f>IF(AL2407=0,"",1+COUNTIFS($AL$2051:$AL$2550,1,$T$2051:$T$2550,"&gt;"&amp;T2407)+COUNTIFS($AL$2051:$AL$2550,1,$T$2051:$T$2550,T2407,$G$2051:$G$2550,"&gt;"&amp;G2407)+COUNTIFS($AL$2051:$AL$2550,1,$T$2051:$T$2550,T2407,$G$2051:$G$2550,G2407,$F$2051:$F$2550,"&gt;"&amp;F2407)+COUNTIFS($AL$2051:$AL$2550,1,$T$2051:$T$2550,T2407,$G$2051:$G$2550,G2407,$F$2051:$F$2550,F2407,$AM$2051:$AM$2550,"&lt;"&amp;AM2407))</x:f>
      </x:c>
      <x:c r="X2407" s="1" t="str">
        <x:f>IF(AL2407=0,"",1+COUNTIFS($AL$2051:$AL$2550,1,$T$2051:$T$2550,"&gt;"&amp;T2407))</x:f>
      </x:c>
      <x:c r="Y2407" s="1" t="n">
        <x:f>IF(AND(H2407="Yes",OR(LEN('School Search'!$B$5)=0,ISNUMBER(SEARCH('School Search'!$B$5,B2407&amp;" "&amp;E2407&amp;" "&amp;A2407))),OR('School Search'!$D$5="All",C2407='School Search'!$D$5),OR('School Search'!$G$5="All eligible",AND('School Search'!$G$5="Not marked served",J2407&lt;&gt;"Yes"),AND('School Search'!$G$5="Missing data",V2407="Missing data"),AND('School Search'!$G$5="Marked served",J2407="Yes"))),1,0)</x:f>
        <x:v>0</x:v>
      </x:c>
      <x:c r="Z2407" s="1" t="str">
        <x:f>IF(Y2407=0,"",COUNTIFS($Y$2051:$Y$2550,1,$AO$2051:$AO$2550,"&lt;"&amp;AO2407)+COUNTIFS($Y$2051:Y2407,1,$AO$2051:AO2407,AO2407))</x:f>
      </x:c>
      <x:c r="AA2407" s="1" t="str">
        <x:f>IF(NOT(ISNUMBER(S2407)),"Missing demographic or access input",TEXT(G2407,"0%")&amp;" economic need; "&amp;TEXT(K2407,"0.00")&amp;" mi fresh access; "&amp;L2407&amp;" nearby resources")</x:f>
        <x:v>Missing demographic or access input</x:v>
      </x:c>
      <x:c r="AB2407" s="1" t="n">
        <x:f>IF(OR(A2407="",COUNTIFS($A$1531:$A$2030,A2407)&lt;&gt;1),0,MATCH(A2407,$A$1531:$A$2030,0))</x:f>
        <x:v>0</x:v>
      </x:c>
      <x:c r="AC2407" s="1" t="str">
        <x:f>IF(AB2407=0,"",INDEX($E$1531:$E$2030,AB2407))</x:f>
      </x:c>
      <x:c r="AD2407" s="1" t="str">
        <x:f>IF(AB2407=0,"",INDEX($F$1531:$F$2030,AB2407))</x:f>
      </x:c>
      <x:c r="AE2407" s="1" t="str">
        <x:f>IF(A2407="","",F358)</x:f>
      </x:c>
      <x:c r="AF2407" s="1" t="str">
        <x:f>IF(ISNUMBER(I358),I358,"")</x:f>
      </x:c>
      <x:c r="AG2407" s="1" t="str">
        <x:f>IF(ISNUMBER(J358),J358,"")</x:f>
      </x:c>
      <x:c r="AH2407" s="1" t="str">
        <x:f>IF(I2407=0,"Not contacted",IF(INDEX('Staff Review'!$J$8:$J$507,I2407)="","Not contacted",INDEX('Staff Review'!$J$8:$J$507,I2407)))</x:f>
        <x:v>Not contacted</x:v>
      </x:c>
      <x:c r="AI2407" s="1" t="str">
        <x:f>IF(I2407=0,"No",IF(AND(COUNT(INDEX('Staff Review'!$D$8:$D$507,I2407))=1,INDEX('Staff Review'!$D$8:$D$507,I2407)&gt;=0,COUNT(INDEX('Staff Review'!$E$8:$E$507,I2407))=1,INDEX('Staff Review'!$E$8:$E$507,I2407)&gt;0,INDEX('Staff Review'!$E$8:$E$507,I2407)&lt;='Top 15'!$E$5,'Top 15'!$E$5-INDEX('Staff Review'!$E$8:$E$507,I2407)&lt;='Top 15'!$H$5,LEN(INDEX('Staff Review'!$H$8:$H$507,I2407))&gt;0),"Yes","No"))</x:f>
        <x:v>No</x:v>
      </x:c>
      <x:c r="AJ2407" s="1" t="str">
        <x:f>IF(I2407=0,"No",IF(COUNT(INDEX('Staff Review'!$F$8:$F$507,I2407))&lt;&gt;1,"No",IF(AND(INDEX('Staff Review'!$F$8:$F$507,I2407)&gt;=0,MOD(INDEX('Staff Review'!$F$8:$F$507,I2407),1)=0,COUNT(INDEX('Staff Review'!$G$8:$G$507,I2407))=1,INDEX('Staff Review'!$G$8:$G$507,I2407)&gt;0,INDEX('Staff Review'!$G$8:$G$507,I2407)&lt;='Top 15'!$E$5,'Top 15'!$E$5-INDEX('Staff Review'!$G$8:$G$507,I2407)&lt;='Top 15'!$H$5,LEN(INDEX('Staff Review'!$H$8:$H$507,I2407))&gt;0),"Yes","No")))</x:f>
        <x:v>No</x:v>
      </x:c>
      <x:c r="AK2407" s="1" t="n">
        <x:f>IF(A2407="",0,COUNTIFS($A$2:$A$501,A2407))</x:f>
        <x:v>0</x:v>
      </x:c>
      <x:c r="AL2407" s="1" t="n">
        <x:f>IF(V2407="Candidate",1,0)</x:f>
        <x:v>0</x:v>
      </x:c>
      <x:c r="AM2407" s="1" t="n">
        <x:f>IF(A2407="",0,VALUE(A2407))</x:f>
        <x:v>0</x:v>
      </x:c>
      <x:c r="AN2407" s="1" t="n">
        <x:f>IF(OR(A2407="",COUNTIFS($T$41:$T$540,A2407)&lt;&gt;1),0,MATCH(A2407,$T$41:$T$540,0))</x:f>
        <x:v>0</x:v>
      </x:c>
      <x:c r="AO2407" t="n">
        <x:f>IF(ISNUMBER(W2407),W2407,10000+AM2407)</x:f>
        <x:v>10000</x:v>
      </x:c>
    </x:row>
    <x:row r="2408" ht="22" customHeight="1">
      <x:c r="A2408" s="1" t="str">
        <x:f>IF(A359="","",A359)</x:f>
      </x:c>
      <x:c r="B2408" s="1" t="str">
        <x:f>IF(A2408="","",B359)</x:f>
      </x:c>
      <x:c r="C2408" s="1" t="str">
        <x:f>IF(A2408="","",C359)</x:f>
      </x:c>
      <x:c r="D2408" s="1" t="str">
        <x:f>IF(A2408="","",E359)</x:f>
      </x:c>
      <x:c r="E2408" s="1" t="str">
        <x:f>IF(A2408="","",H359)</x:f>
      </x:c>
      <x:c r="F2408" s="1" t="str">
        <x:f>IF(ISNUMBER(K359),K359,"")</x:f>
      </x:c>
      <x:c r="G2408" s="1" t="str">
        <x:f>IF(ISNUMBER(L359),L359,"")</x:f>
      </x:c>
      <x:c r="H2408" s="1" t="str">
        <x:f>IF(A2408="","",IF(AND(UPPER(G359)="PHILADELPHIA",OR(C2408="District",AND(C2408="Charter",D359="Yes"))),"Yes","No"))</x:f>
      </x:c>
      <x:c r="I2408" s="1" t="n">
        <x:f>IF(OR(A2408="",COUNTIFS('Staff Review'!$A$8:$A$507,A2408)&lt;&gt;1),0,MATCH(A2408,'Staff Review'!$A$8:$A$507,0))</x:f>
        <x:v>0</x:v>
      </x:c>
      <x:c r="J2408" s="1" t="str">
        <x:f>IF(I2408=0,"No",IF(INDEX('Staff Review'!$C$8:$C$507,I2408)="Yes","Yes","No"))</x:f>
        <x:v>No</x:v>
      </x:c>
      <x:c r="K2408" s="1" t="str">
        <x:f>IF(AI2408="Yes",INDEX('Staff Review'!$D$8:$D$507,I2408),IF(AB2408=0,"",IF(COUNT(INDEX($C$1531:$C$2030,AB2408))=1,INDEX($C$1531:$C$2030,AB2408),"")))</x:f>
      </x:c>
      <x:c r="L2408" s="1" t="str">
        <x:f>IF(AJ2408="Yes",INDEX('Staff Review'!$F$8:$F$507,I2408),IF(AB2408=0,"",IF(COUNT(INDEX($G$1531:$G$2030,AB2408))=1,INDEX($G$1531:$G$2030,AB2408),"")))</x:f>
      </x:c>
      <x:c r="M2408" s="1" t="str">
        <x:f>IF(A2408="","",IF(AI2408="Yes","Verified","Listed"))</x:f>
      </x:c>
      <x:c r="N2408" s="1" t="str">
        <x:f>IF(A2408="","",IF(AJ2408="Yes","Verified","Listed"))</x:f>
      </x:c>
      <x:c r="O2408" s="1" t="str">
        <x:f>IF(AND(ISNUMBER(G2408),G2408&gt;=0,G2408&lt;=1),IF(G2408&gt;=0.9,30,IF(G2408&gt;=0.8,25,IF(G2408&gt;=0.7,20,IF(G2408&gt;=0.6,15,IF(G2408&gt;=0.5,10,IF(G2408&gt;=0.4,5,0)))))),"")</x:f>
      </x:c>
      <x:c r="P2408" s="1" t="str">
        <x:f>IF(ISNUMBER(K2408),IF(K2408&lt;0,"",IF(K2408&gt;1,25,IF(K2408&gt;=0.75,20,IF(K2408&gt;=0.5,15,IF(K2408&gt;=0.25,10,5))))),"")</x:f>
      </x:c>
      <x:c r="Q2408" s="1" t="str">
        <x:f>IF(NOT(ISNUMBER(L2408)),"",IF(AND(L2408&gt;=0,MOD(L2408,1)=0),MAX(0,25-5*L2408),""))</x:f>
      </x:c>
      <x:c r="R2408" s="1" t="str">
        <x:f>IF(NOT(ISNUMBER(F2408)),"",IF(AND(F2408&gt;0,MOD(F2408,1)=0),IF(F2408&gt;=700,5,IF(F2408&gt;=500,4,IF(F2408&gt;=350,3,IF(F2408&gt;=200,2,1)))),""))</x:f>
      </x:c>
      <x:c r="S2408" s="1" t="str">
        <x:f>IF(COUNT(O2408:R2408)=4,SUM(O2408:R2408),"")</x:f>
      </x:c>
      <x:c r="T2408" s="1" t="str">
        <x:f>IF(OR(COUNT(O2408:R2408)&lt;&gt;4,COUNT('Top 15'!$B$35:$E$35)&lt;&gt;4,MIN('Top 15'!$B$35:$E$35)&lt;0,SUM('Top 15'!$B$35:$E$35)&lt;=0),"",ROUND(85*(O2408/30*'Top 15'!$B$35+P2408/25*'Top 15'!$C$35+Q2408/25*'Top 15'!$D$35+R2408/5*'Top 15'!$E$35)/SUM('Top 15'!$B$35:$E$35),6))</x:f>
      </x:c>
      <x:c r="U2408" s="1" t="str">
        <x:f>IF(A2408="","",IF(AND(M2408="Verified",N2408="Verified"),"Verified",IF(AND(M2408="Listed",N2408="Listed"),"Listed","Mixed")))</x:f>
      </x:c>
      <x:c r="V2408" s="1" t="str">
        <x:f>IF(A2408="","",IF(AK2408&lt;&gt;1,"Duplicate source ID",IF(COUNTIFS('Staff Review'!$A$8:$A$507,A2408)&gt;1,"Duplicate review ID",IF(H2408&lt;&gt;"Yes","Outside scope",IF(J2408="Yes","Already served",IF(NOT(ISNUMBER(T2408)),"Missing data","Candidate"))))))</x:f>
      </x:c>
      <x:c r="W2408" s="1" t="str">
        <x:f>IF(AL2408=0,"",1+COUNTIFS($AL$2051:$AL$2550,1,$T$2051:$T$2550,"&gt;"&amp;T2408)+COUNTIFS($AL$2051:$AL$2550,1,$T$2051:$T$2550,T2408,$G$2051:$G$2550,"&gt;"&amp;G2408)+COUNTIFS($AL$2051:$AL$2550,1,$T$2051:$T$2550,T2408,$G$2051:$G$2550,G2408,$F$2051:$F$2550,"&gt;"&amp;F2408)+COUNTIFS($AL$2051:$AL$2550,1,$T$2051:$T$2550,T2408,$G$2051:$G$2550,G2408,$F$2051:$F$2550,F2408,$AM$2051:$AM$2550,"&lt;"&amp;AM2408))</x:f>
      </x:c>
      <x:c r="X2408" s="1" t="str">
        <x:f>IF(AL2408=0,"",1+COUNTIFS($AL$2051:$AL$2550,1,$T$2051:$T$2550,"&gt;"&amp;T2408))</x:f>
      </x:c>
      <x:c r="Y2408" s="1" t="n">
        <x:f>IF(AND(H2408="Yes",OR(LEN('School Search'!$B$5)=0,ISNUMBER(SEARCH('School Search'!$B$5,B2408&amp;" "&amp;E2408&amp;" "&amp;A2408))),OR('School Search'!$D$5="All",C2408='School Search'!$D$5),OR('School Search'!$G$5="All eligible",AND('School Search'!$G$5="Not marked served",J2408&lt;&gt;"Yes"),AND('School Search'!$G$5="Missing data",V2408="Missing data"),AND('School Search'!$G$5="Marked served",J2408="Yes"))),1,0)</x:f>
        <x:v>0</x:v>
      </x:c>
      <x:c r="Z2408" s="1" t="str">
        <x:f>IF(Y2408=0,"",COUNTIFS($Y$2051:$Y$2550,1,$AO$2051:$AO$2550,"&lt;"&amp;AO2408)+COUNTIFS($Y$2051:Y2408,1,$AO$2051:AO2408,AO2408))</x:f>
      </x:c>
      <x:c r="AA2408" s="1" t="str">
        <x:f>IF(NOT(ISNUMBER(S2408)),"Missing demographic or access input",TEXT(G2408,"0%")&amp;" economic need; "&amp;TEXT(K2408,"0.00")&amp;" mi fresh access; "&amp;L2408&amp;" nearby resources")</x:f>
        <x:v>Missing demographic or access input</x:v>
      </x:c>
      <x:c r="AB2408" s="1" t="n">
        <x:f>IF(OR(A2408="",COUNTIFS($A$1531:$A$2030,A2408)&lt;&gt;1),0,MATCH(A2408,$A$1531:$A$2030,0))</x:f>
        <x:v>0</x:v>
      </x:c>
      <x:c r="AC2408" s="1" t="str">
        <x:f>IF(AB2408=0,"",INDEX($E$1531:$E$2030,AB2408))</x:f>
      </x:c>
      <x:c r="AD2408" s="1" t="str">
        <x:f>IF(AB2408=0,"",INDEX($F$1531:$F$2030,AB2408))</x:f>
      </x:c>
      <x:c r="AE2408" s="1" t="str">
        <x:f>IF(A2408="","",F359)</x:f>
      </x:c>
      <x:c r="AF2408" s="1" t="str">
        <x:f>IF(ISNUMBER(I359),I359,"")</x:f>
      </x:c>
      <x:c r="AG2408" s="1" t="str">
        <x:f>IF(ISNUMBER(J359),J359,"")</x:f>
      </x:c>
      <x:c r="AH2408" s="1" t="str">
        <x:f>IF(I2408=0,"Not contacted",IF(INDEX('Staff Review'!$J$8:$J$507,I2408)="","Not contacted",INDEX('Staff Review'!$J$8:$J$507,I2408)))</x:f>
        <x:v>Not contacted</x:v>
      </x:c>
      <x:c r="AI2408" s="1" t="str">
        <x:f>IF(I2408=0,"No",IF(AND(COUNT(INDEX('Staff Review'!$D$8:$D$507,I2408))=1,INDEX('Staff Review'!$D$8:$D$507,I2408)&gt;=0,COUNT(INDEX('Staff Review'!$E$8:$E$507,I2408))=1,INDEX('Staff Review'!$E$8:$E$507,I2408)&gt;0,INDEX('Staff Review'!$E$8:$E$507,I2408)&lt;='Top 15'!$E$5,'Top 15'!$E$5-INDEX('Staff Review'!$E$8:$E$507,I2408)&lt;='Top 15'!$H$5,LEN(INDEX('Staff Review'!$H$8:$H$507,I2408))&gt;0),"Yes","No"))</x:f>
        <x:v>No</x:v>
      </x:c>
      <x:c r="AJ2408" s="1" t="str">
        <x:f>IF(I2408=0,"No",IF(COUNT(INDEX('Staff Review'!$F$8:$F$507,I2408))&lt;&gt;1,"No",IF(AND(INDEX('Staff Review'!$F$8:$F$507,I2408)&gt;=0,MOD(INDEX('Staff Review'!$F$8:$F$507,I2408),1)=0,COUNT(INDEX('Staff Review'!$G$8:$G$507,I2408))=1,INDEX('Staff Review'!$G$8:$G$507,I2408)&gt;0,INDEX('Staff Review'!$G$8:$G$507,I2408)&lt;='Top 15'!$E$5,'Top 15'!$E$5-INDEX('Staff Review'!$G$8:$G$507,I2408)&lt;='Top 15'!$H$5,LEN(INDEX('Staff Review'!$H$8:$H$507,I2408))&gt;0),"Yes","No")))</x:f>
        <x:v>No</x:v>
      </x:c>
      <x:c r="AK2408" s="1" t="n">
        <x:f>IF(A2408="",0,COUNTIFS($A$2:$A$501,A2408))</x:f>
        <x:v>0</x:v>
      </x:c>
      <x:c r="AL2408" s="1" t="n">
        <x:f>IF(V2408="Candidate",1,0)</x:f>
        <x:v>0</x:v>
      </x:c>
      <x:c r="AM2408" s="1" t="n">
        <x:f>IF(A2408="",0,VALUE(A2408))</x:f>
        <x:v>0</x:v>
      </x:c>
      <x:c r="AN2408" s="1" t="n">
        <x:f>IF(OR(A2408="",COUNTIFS($T$41:$T$540,A2408)&lt;&gt;1),0,MATCH(A2408,$T$41:$T$540,0))</x:f>
        <x:v>0</x:v>
      </x:c>
      <x:c r="AO2408" t="n">
        <x:f>IF(ISNUMBER(W2408),W2408,10000+AM2408)</x:f>
        <x:v>10000</x:v>
      </x:c>
    </x:row>
    <x:row r="2409" ht="22" customHeight="1">
      <x:c r="A2409" s="1" t="str">
        <x:f>IF(A360="","",A360)</x:f>
      </x:c>
      <x:c r="B2409" s="1" t="str">
        <x:f>IF(A2409="","",B360)</x:f>
      </x:c>
      <x:c r="C2409" s="1" t="str">
        <x:f>IF(A2409="","",C360)</x:f>
      </x:c>
      <x:c r="D2409" s="1" t="str">
        <x:f>IF(A2409="","",E360)</x:f>
      </x:c>
      <x:c r="E2409" s="1" t="str">
        <x:f>IF(A2409="","",H360)</x:f>
      </x:c>
      <x:c r="F2409" s="1" t="str">
        <x:f>IF(ISNUMBER(K360),K360,"")</x:f>
      </x:c>
      <x:c r="G2409" s="1" t="str">
        <x:f>IF(ISNUMBER(L360),L360,"")</x:f>
      </x:c>
      <x:c r="H2409" s="1" t="str">
        <x:f>IF(A2409="","",IF(AND(UPPER(G360)="PHILADELPHIA",OR(C2409="District",AND(C2409="Charter",D360="Yes"))),"Yes","No"))</x:f>
      </x:c>
      <x:c r="I2409" s="1" t="n">
        <x:f>IF(OR(A2409="",COUNTIFS('Staff Review'!$A$8:$A$507,A2409)&lt;&gt;1),0,MATCH(A2409,'Staff Review'!$A$8:$A$507,0))</x:f>
        <x:v>0</x:v>
      </x:c>
      <x:c r="J2409" s="1" t="str">
        <x:f>IF(I2409=0,"No",IF(INDEX('Staff Review'!$C$8:$C$507,I2409)="Yes","Yes","No"))</x:f>
        <x:v>No</x:v>
      </x:c>
      <x:c r="K2409" s="1" t="str">
        <x:f>IF(AI2409="Yes",INDEX('Staff Review'!$D$8:$D$507,I2409),IF(AB2409=0,"",IF(COUNT(INDEX($C$1531:$C$2030,AB2409))=1,INDEX($C$1531:$C$2030,AB2409),"")))</x:f>
      </x:c>
      <x:c r="L2409" s="1" t="str">
        <x:f>IF(AJ2409="Yes",INDEX('Staff Review'!$F$8:$F$507,I2409),IF(AB2409=0,"",IF(COUNT(INDEX($G$1531:$G$2030,AB2409))=1,INDEX($G$1531:$G$2030,AB2409),"")))</x:f>
      </x:c>
      <x:c r="M2409" s="1" t="str">
        <x:f>IF(A2409="","",IF(AI2409="Yes","Verified","Listed"))</x:f>
      </x:c>
      <x:c r="N2409" s="1" t="str">
        <x:f>IF(A2409="","",IF(AJ2409="Yes","Verified","Listed"))</x:f>
      </x:c>
      <x:c r="O2409" s="1" t="str">
        <x:f>IF(AND(ISNUMBER(G2409),G2409&gt;=0,G2409&lt;=1),IF(G2409&gt;=0.9,30,IF(G2409&gt;=0.8,25,IF(G2409&gt;=0.7,20,IF(G2409&gt;=0.6,15,IF(G2409&gt;=0.5,10,IF(G2409&gt;=0.4,5,0)))))),"")</x:f>
      </x:c>
      <x:c r="P2409" s="1" t="str">
        <x:f>IF(ISNUMBER(K2409),IF(K2409&lt;0,"",IF(K2409&gt;1,25,IF(K2409&gt;=0.75,20,IF(K2409&gt;=0.5,15,IF(K2409&gt;=0.25,10,5))))),"")</x:f>
      </x:c>
      <x:c r="Q2409" s="1" t="str">
        <x:f>IF(NOT(ISNUMBER(L2409)),"",IF(AND(L2409&gt;=0,MOD(L2409,1)=0),MAX(0,25-5*L2409),""))</x:f>
      </x:c>
      <x:c r="R2409" s="1" t="str">
        <x:f>IF(NOT(ISNUMBER(F2409)),"",IF(AND(F2409&gt;0,MOD(F2409,1)=0),IF(F2409&gt;=700,5,IF(F2409&gt;=500,4,IF(F2409&gt;=350,3,IF(F2409&gt;=200,2,1)))),""))</x:f>
      </x:c>
      <x:c r="S2409" s="1" t="str">
        <x:f>IF(COUNT(O2409:R2409)=4,SUM(O2409:R2409),"")</x:f>
      </x:c>
      <x:c r="T2409" s="1" t="str">
        <x:f>IF(OR(COUNT(O2409:R2409)&lt;&gt;4,COUNT('Top 15'!$B$35:$E$35)&lt;&gt;4,MIN('Top 15'!$B$35:$E$35)&lt;0,SUM('Top 15'!$B$35:$E$35)&lt;=0),"",ROUND(85*(O2409/30*'Top 15'!$B$35+P2409/25*'Top 15'!$C$35+Q2409/25*'Top 15'!$D$35+R2409/5*'Top 15'!$E$35)/SUM('Top 15'!$B$35:$E$35),6))</x:f>
      </x:c>
      <x:c r="U2409" s="1" t="str">
        <x:f>IF(A2409="","",IF(AND(M2409="Verified",N2409="Verified"),"Verified",IF(AND(M2409="Listed",N2409="Listed"),"Listed","Mixed")))</x:f>
      </x:c>
      <x:c r="V2409" s="1" t="str">
        <x:f>IF(A2409="","",IF(AK2409&lt;&gt;1,"Duplicate source ID",IF(COUNTIFS('Staff Review'!$A$8:$A$507,A2409)&gt;1,"Duplicate review ID",IF(H2409&lt;&gt;"Yes","Outside scope",IF(J2409="Yes","Already served",IF(NOT(ISNUMBER(T2409)),"Missing data","Candidate"))))))</x:f>
      </x:c>
      <x:c r="W2409" s="1" t="str">
        <x:f>IF(AL2409=0,"",1+COUNTIFS($AL$2051:$AL$2550,1,$T$2051:$T$2550,"&gt;"&amp;T2409)+COUNTIFS($AL$2051:$AL$2550,1,$T$2051:$T$2550,T2409,$G$2051:$G$2550,"&gt;"&amp;G2409)+COUNTIFS($AL$2051:$AL$2550,1,$T$2051:$T$2550,T2409,$G$2051:$G$2550,G2409,$F$2051:$F$2550,"&gt;"&amp;F2409)+COUNTIFS($AL$2051:$AL$2550,1,$T$2051:$T$2550,T2409,$G$2051:$G$2550,G2409,$F$2051:$F$2550,F2409,$AM$2051:$AM$2550,"&lt;"&amp;AM2409))</x:f>
      </x:c>
      <x:c r="X2409" s="1" t="str">
        <x:f>IF(AL2409=0,"",1+COUNTIFS($AL$2051:$AL$2550,1,$T$2051:$T$2550,"&gt;"&amp;T2409))</x:f>
      </x:c>
      <x:c r="Y2409" s="1" t="n">
        <x:f>IF(AND(H2409="Yes",OR(LEN('School Search'!$B$5)=0,ISNUMBER(SEARCH('School Search'!$B$5,B2409&amp;" "&amp;E2409&amp;" "&amp;A2409))),OR('School Search'!$D$5="All",C2409='School Search'!$D$5),OR('School Search'!$G$5="All eligible",AND('School Search'!$G$5="Not marked served",J2409&lt;&gt;"Yes"),AND('School Search'!$G$5="Missing data",V2409="Missing data"),AND('School Search'!$G$5="Marked served",J2409="Yes"))),1,0)</x:f>
        <x:v>0</x:v>
      </x:c>
      <x:c r="Z2409" s="1" t="str">
        <x:f>IF(Y2409=0,"",COUNTIFS($Y$2051:$Y$2550,1,$AO$2051:$AO$2550,"&lt;"&amp;AO2409)+COUNTIFS($Y$2051:Y2409,1,$AO$2051:AO2409,AO2409))</x:f>
      </x:c>
      <x:c r="AA2409" s="1" t="str">
        <x:f>IF(NOT(ISNUMBER(S2409)),"Missing demographic or access input",TEXT(G2409,"0%")&amp;" economic need; "&amp;TEXT(K2409,"0.00")&amp;" mi fresh access; "&amp;L2409&amp;" nearby resources")</x:f>
        <x:v>Missing demographic or access input</x:v>
      </x:c>
      <x:c r="AB2409" s="1" t="n">
        <x:f>IF(OR(A2409="",COUNTIFS($A$1531:$A$2030,A2409)&lt;&gt;1),0,MATCH(A2409,$A$1531:$A$2030,0))</x:f>
        <x:v>0</x:v>
      </x:c>
      <x:c r="AC2409" s="1" t="str">
        <x:f>IF(AB2409=0,"",INDEX($E$1531:$E$2030,AB2409))</x:f>
      </x:c>
      <x:c r="AD2409" s="1" t="str">
        <x:f>IF(AB2409=0,"",INDEX($F$1531:$F$2030,AB2409))</x:f>
      </x:c>
      <x:c r="AE2409" s="1" t="str">
        <x:f>IF(A2409="","",F360)</x:f>
      </x:c>
      <x:c r="AF2409" s="1" t="str">
        <x:f>IF(ISNUMBER(I360),I360,"")</x:f>
      </x:c>
      <x:c r="AG2409" s="1" t="str">
        <x:f>IF(ISNUMBER(J360),J360,"")</x:f>
      </x:c>
      <x:c r="AH2409" s="1" t="str">
        <x:f>IF(I2409=0,"Not contacted",IF(INDEX('Staff Review'!$J$8:$J$507,I2409)="","Not contacted",INDEX('Staff Review'!$J$8:$J$507,I2409)))</x:f>
        <x:v>Not contacted</x:v>
      </x:c>
      <x:c r="AI2409" s="1" t="str">
        <x:f>IF(I2409=0,"No",IF(AND(COUNT(INDEX('Staff Review'!$D$8:$D$507,I2409))=1,INDEX('Staff Review'!$D$8:$D$507,I2409)&gt;=0,COUNT(INDEX('Staff Review'!$E$8:$E$507,I2409))=1,INDEX('Staff Review'!$E$8:$E$507,I2409)&gt;0,INDEX('Staff Review'!$E$8:$E$507,I2409)&lt;='Top 15'!$E$5,'Top 15'!$E$5-INDEX('Staff Review'!$E$8:$E$507,I2409)&lt;='Top 15'!$H$5,LEN(INDEX('Staff Review'!$H$8:$H$507,I2409))&gt;0),"Yes","No"))</x:f>
        <x:v>No</x:v>
      </x:c>
      <x:c r="AJ2409" s="1" t="str">
        <x:f>IF(I2409=0,"No",IF(COUNT(INDEX('Staff Review'!$F$8:$F$507,I2409))&lt;&gt;1,"No",IF(AND(INDEX('Staff Review'!$F$8:$F$507,I2409)&gt;=0,MOD(INDEX('Staff Review'!$F$8:$F$507,I2409),1)=0,COUNT(INDEX('Staff Review'!$G$8:$G$507,I2409))=1,INDEX('Staff Review'!$G$8:$G$507,I2409)&gt;0,INDEX('Staff Review'!$G$8:$G$507,I2409)&lt;='Top 15'!$E$5,'Top 15'!$E$5-INDEX('Staff Review'!$G$8:$G$507,I2409)&lt;='Top 15'!$H$5,LEN(INDEX('Staff Review'!$H$8:$H$507,I2409))&gt;0),"Yes","No")))</x:f>
        <x:v>No</x:v>
      </x:c>
      <x:c r="AK2409" s="1" t="n">
        <x:f>IF(A2409="",0,COUNTIFS($A$2:$A$501,A2409))</x:f>
        <x:v>0</x:v>
      </x:c>
      <x:c r="AL2409" s="1" t="n">
        <x:f>IF(V2409="Candidate",1,0)</x:f>
        <x:v>0</x:v>
      </x:c>
      <x:c r="AM2409" s="1" t="n">
        <x:f>IF(A2409="",0,VALUE(A2409))</x:f>
        <x:v>0</x:v>
      </x:c>
      <x:c r="AN2409" s="1" t="n">
        <x:f>IF(OR(A2409="",COUNTIFS($T$41:$T$540,A2409)&lt;&gt;1),0,MATCH(A2409,$T$41:$T$540,0))</x:f>
        <x:v>0</x:v>
      </x:c>
      <x:c r="AO2409" t="n">
        <x:f>IF(ISNUMBER(W2409),W2409,10000+AM2409)</x:f>
        <x:v>10000</x:v>
      </x:c>
    </x:row>
    <x:row r="2410" ht="22" customHeight="1">
      <x:c r="A2410" s="1" t="str">
        <x:f>IF(A361="","",A361)</x:f>
      </x:c>
      <x:c r="B2410" s="1" t="str">
        <x:f>IF(A2410="","",B361)</x:f>
      </x:c>
      <x:c r="C2410" s="1" t="str">
        <x:f>IF(A2410="","",C361)</x:f>
      </x:c>
      <x:c r="D2410" s="1" t="str">
        <x:f>IF(A2410="","",E361)</x:f>
      </x:c>
      <x:c r="E2410" s="1" t="str">
        <x:f>IF(A2410="","",H361)</x:f>
      </x:c>
      <x:c r="F2410" s="1" t="str">
        <x:f>IF(ISNUMBER(K361),K361,"")</x:f>
      </x:c>
      <x:c r="G2410" s="1" t="str">
        <x:f>IF(ISNUMBER(L361),L361,"")</x:f>
      </x:c>
      <x:c r="H2410" s="1" t="str">
        <x:f>IF(A2410="","",IF(AND(UPPER(G361)="PHILADELPHIA",OR(C2410="District",AND(C2410="Charter",D361="Yes"))),"Yes","No"))</x:f>
      </x:c>
      <x:c r="I2410" s="1" t="n">
        <x:f>IF(OR(A2410="",COUNTIFS('Staff Review'!$A$8:$A$507,A2410)&lt;&gt;1),0,MATCH(A2410,'Staff Review'!$A$8:$A$507,0))</x:f>
        <x:v>0</x:v>
      </x:c>
      <x:c r="J2410" s="1" t="str">
        <x:f>IF(I2410=0,"No",IF(INDEX('Staff Review'!$C$8:$C$507,I2410)="Yes","Yes","No"))</x:f>
        <x:v>No</x:v>
      </x:c>
      <x:c r="K2410" s="1" t="str">
        <x:f>IF(AI2410="Yes",INDEX('Staff Review'!$D$8:$D$507,I2410),IF(AB2410=0,"",IF(COUNT(INDEX($C$1531:$C$2030,AB2410))=1,INDEX($C$1531:$C$2030,AB2410),"")))</x:f>
      </x:c>
      <x:c r="L2410" s="1" t="str">
        <x:f>IF(AJ2410="Yes",INDEX('Staff Review'!$F$8:$F$507,I2410),IF(AB2410=0,"",IF(COUNT(INDEX($G$1531:$G$2030,AB2410))=1,INDEX($G$1531:$G$2030,AB2410),"")))</x:f>
      </x:c>
      <x:c r="M2410" s="1" t="str">
        <x:f>IF(A2410="","",IF(AI2410="Yes","Verified","Listed"))</x:f>
      </x:c>
      <x:c r="N2410" s="1" t="str">
        <x:f>IF(A2410="","",IF(AJ2410="Yes","Verified","Listed"))</x:f>
      </x:c>
      <x:c r="O2410" s="1" t="str">
        <x:f>IF(AND(ISNUMBER(G2410),G2410&gt;=0,G2410&lt;=1),IF(G2410&gt;=0.9,30,IF(G2410&gt;=0.8,25,IF(G2410&gt;=0.7,20,IF(G2410&gt;=0.6,15,IF(G2410&gt;=0.5,10,IF(G2410&gt;=0.4,5,0)))))),"")</x:f>
      </x:c>
      <x:c r="P2410" s="1" t="str">
        <x:f>IF(ISNUMBER(K2410),IF(K2410&lt;0,"",IF(K2410&gt;1,25,IF(K2410&gt;=0.75,20,IF(K2410&gt;=0.5,15,IF(K2410&gt;=0.25,10,5))))),"")</x:f>
      </x:c>
      <x:c r="Q2410" s="1" t="str">
        <x:f>IF(NOT(ISNUMBER(L2410)),"",IF(AND(L2410&gt;=0,MOD(L2410,1)=0),MAX(0,25-5*L2410),""))</x:f>
      </x:c>
      <x:c r="R2410" s="1" t="str">
        <x:f>IF(NOT(ISNUMBER(F2410)),"",IF(AND(F2410&gt;0,MOD(F2410,1)=0),IF(F2410&gt;=700,5,IF(F2410&gt;=500,4,IF(F2410&gt;=350,3,IF(F2410&gt;=200,2,1)))),""))</x:f>
      </x:c>
      <x:c r="S2410" s="1" t="str">
        <x:f>IF(COUNT(O2410:R2410)=4,SUM(O2410:R2410),"")</x:f>
      </x:c>
      <x:c r="T2410" s="1" t="str">
        <x:f>IF(OR(COUNT(O2410:R2410)&lt;&gt;4,COUNT('Top 15'!$B$35:$E$35)&lt;&gt;4,MIN('Top 15'!$B$35:$E$35)&lt;0,SUM('Top 15'!$B$35:$E$35)&lt;=0),"",ROUND(85*(O2410/30*'Top 15'!$B$35+P2410/25*'Top 15'!$C$35+Q2410/25*'Top 15'!$D$35+R2410/5*'Top 15'!$E$35)/SUM('Top 15'!$B$35:$E$35),6))</x:f>
      </x:c>
      <x:c r="U2410" s="1" t="str">
        <x:f>IF(A2410="","",IF(AND(M2410="Verified",N2410="Verified"),"Verified",IF(AND(M2410="Listed",N2410="Listed"),"Listed","Mixed")))</x:f>
      </x:c>
      <x:c r="V2410" s="1" t="str">
        <x:f>IF(A2410="","",IF(AK2410&lt;&gt;1,"Duplicate source ID",IF(COUNTIFS('Staff Review'!$A$8:$A$507,A2410)&gt;1,"Duplicate review ID",IF(H2410&lt;&gt;"Yes","Outside scope",IF(J2410="Yes","Already served",IF(NOT(ISNUMBER(T2410)),"Missing data","Candidate"))))))</x:f>
      </x:c>
      <x:c r="W2410" s="1" t="str">
        <x:f>IF(AL2410=0,"",1+COUNTIFS($AL$2051:$AL$2550,1,$T$2051:$T$2550,"&gt;"&amp;T2410)+COUNTIFS($AL$2051:$AL$2550,1,$T$2051:$T$2550,T2410,$G$2051:$G$2550,"&gt;"&amp;G2410)+COUNTIFS($AL$2051:$AL$2550,1,$T$2051:$T$2550,T2410,$G$2051:$G$2550,G2410,$F$2051:$F$2550,"&gt;"&amp;F2410)+COUNTIFS($AL$2051:$AL$2550,1,$T$2051:$T$2550,T2410,$G$2051:$G$2550,G2410,$F$2051:$F$2550,F2410,$AM$2051:$AM$2550,"&lt;"&amp;AM2410))</x:f>
      </x:c>
      <x:c r="X2410" s="1" t="str">
        <x:f>IF(AL2410=0,"",1+COUNTIFS($AL$2051:$AL$2550,1,$T$2051:$T$2550,"&gt;"&amp;T2410))</x:f>
      </x:c>
      <x:c r="Y2410" s="1" t="n">
        <x:f>IF(AND(H2410="Yes",OR(LEN('School Search'!$B$5)=0,ISNUMBER(SEARCH('School Search'!$B$5,B2410&amp;" "&amp;E2410&amp;" "&amp;A2410))),OR('School Search'!$D$5="All",C2410='School Search'!$D$5),OR('School Search'!$G$5="All eligible",AND('School Search'!$G$5="Not marked served",J2410&lt;&gt;"Yes"),AND('School Search'!$G$5="Missing data",V2410="Missing data"),AND('School Search'!$G$5="Marked served",J2410="Yes"))),1,0)</x:f>
        <x:v>0</x:v>
      </x:c>
      <x:c r="Z2410" s="1" t="str">
        <x:f>IF(Y2410=0,"",COUNTIFS($Y$2051:$Y$2550,1,$AO$2051:$AO$2550,"&lt;"&amp;AO2410)+COUNTIFS($Y$2051:Y2410,1,$AO$2051:AO2410,AO2410))</x:f>
      </x:c>
      <x:c r="AA2410" s="1" t="str">
        <x:f>IF(NOT(ISNUMBER(S2410)),"Missing demographic or access input",TEXT(G2410,"0%")&amp;" economic need; "&amp;TEXT(K2410,"0.00")&amp;" mi fresh access; "&amp;L2410&amp;" nearby resources")</x:f>
        <x:v>Missing demographic or access input</x:v>
      </x:c>
      <x:c r="AB2410" s="1" t="n">
        <x:f>IF(OR(A2410="",COUNTIFS($A$1531:$A$2030,A2410)&lt;&gt;1),0,MATCH(A2410,$A$1531:$A$2030,0))</x:f>
        <x:v>0</x:v>
      </x:c>
      <x:c r="AC2410" s="1" t="str">
        <x:f>IF(AB2410=0,"",INDEX($E$1531:$E$2030,AB2410))</x:f>
      </x:c>
      <x:c r="AD2410" s="1" t="str">
        <x:f>IF(AB2410=0,"",INDEX($F$1531:$F$2030,AB2410))</x:f>
      </x:c>
      <x:c r="AE2410" s="1" t="str">
        <x:f>IF(A2410="","",F361)</x:f>
      </x:c>
      <x:c r="AF2410" s="1" t="str">
        <x:f>IF(ISNUMBER(I361),I361,"")</x:f>
      </x:c>
      <x:c r="AG2410" s="1" t="str">
        <x:f>IF(ISNUMBER(J361),J361,"")</x:f>
      </x:c>
      <x:c r="AH2410" s="1" t="str">
        <x:f>IF(I2410=0,"Not contacted",IF(INDEX('Staff Review'!$J$8:$J$507,I2410)="","Not contacted",INDEX('Staff Review'!$J$8:$J$507,I2410)))</x:f>
        <x:v>Not contacted</x:v>
      </x:c>
      <x:c r="AI2410" s="1" t="str">
        <x:f>IF(I2410=0,"No",IF(AND(COUNT(INDEX('Staff Review'!$D$8:$D$507,I2410))=1,INDEX('Staff Review'!$D$8:$D$507,I2410)&gt;=0,COUNT(INDEX('Staff Review'!$E$8:$E$507,I2410))=1,INDEX('Staff Review'!$E$8:$E$507,I2410)&gt;0,INDEX('Staff Review'!$E$8:$E$507,I2410)&lt;='Top 15'!$E$5,'Top 15'!$E$5-INDEX('Staff Review'!$E$8:$E$507,I2410)&lt;='Top 15'!$H$5,LEN(INDEX('Staff Review'!$H$8:$H$507,I2410))&gt;0),"Yes","No"))</x:f>
        <x:v>No</x:v>
      </x:c>
      <x:c r="AJ2410" s="1" t="str">
        <x:f>IF(I2410=0,"No",IF(COUNT(INDEX('Staff Review'!$F$8:$F$507,I2410))&lt;&gt;1,"No",IF(AND(INDEX('Staff Review'!$F$8:$F$507,I2410)&gt;=0,MOD(INDEX('Staff Review'!$F$8:$F$507,I2410),1)=0,COUNT(INDEX('Staff Review'!$G$8:$G$507,I2410))=1,INDEX('Staff Review'!$G$8:$G$507,I2410)&gt;0,INDEX('Staff Review'!$G$8:$G$507,I2410)&lt;='Top 15'!$E$5,'Top 15'!$E$5-INDEX('Staff Review'!$G$8:$G$507,I2410)&lt;='Top 15'!$H$5,LEN(INDEX('Staff Review'!$H$8:$H$507,I2410))&gt;0),"Yes","No")))</x:f>
        <x:v>No</x:v>
      </x:c>
      <x:c r="AK2410" s="1" t="n">
        <x:f>IF(A2410="",0,COUNTIFS($A$2:$A$501,A2410))</x:f>
        <x:v>0</x:v>
      </x:c>
      <x:c r="AL2410" s="1" t="n">
        <x:f>IF(V2410="Candidate",1,0)</x:f>
        <x:v>0</x:v>
      </x:c>
      <x:c r="AM2410" s="1" t="n">
        <x:f>IF(A2410="",0,VALUE(A2410))</x:f>
        <x:v>0</x:v>
      </x:c>
      <x:c r="AN2410" s="1" t="n">
        <x:f>IF(OR(A2410="",COUNTIFS($T$41:$T$540,A2410)&lt;&gt;1),0,MATCH(A2410,$T$41:$T$540,0))</x:f>
        <x:v>0</x:v>
      </x:c>
      <x:c r="AO2410" t="n">
        <x:f>IF(ISNUMBER(W2410),W2410,10000+AM2410)</x:f>
        <x:v>10000</x:v>
      </x:c>
    </x:row>
    <x:row r="2411" ht="22" customHeight="1">
      <x:c r="A2411" s="1" t="str">
        <x:f>IF(A362="","",A362)</x:f>
      </x:c>
      <x:c r="B2411" s="1" t="str">
        <x:f>IF(A2411="","",B362)</x:f>
      </x:c>
      <x:c r="C2411" s="1" t="str">
        <x:f>IF(A2411="","",C362)</x:f>
      </x:c>
      <x:c r="D2411" s="1" t="str">
        <x:f>IF(A2411="","",E362)</x:f>
      </x:c>
      <x:c r="E2411" s="1" t="str">
        <x:f>IF(A2411="","",H362)</x:f>
      </x:c>
      <x:c r="F2411" s="1" t="str">
        <x:f>IF(ISNUMBER(K362),K362,"")</x:f>
      </x:c>
      <x:c r="G2411" s="1" t="str">
        <x:f>IF(ISNUMBER(L362),L362,"")</x:f>
      </x:c>
      <x:c r="H2411" s="1" t="str">
        <x:f>IF(A2411="","",IF(AND(UPPER(G362)="PHILADELPHIA",OR(C2411="District",AND(C2411="Charter",D362="Yes"))),"Yes","No"))</x:f>
      </x:c>
      <x:c r="I2411" s="1" t="n">
        <x:f>IF(OR(A2411="",COUNTIFS('Staff Review'!$A$8:$A$507,A2411)&lt;&gt;1),0,MATCH(A2411,'Staff Review'!$A$8:$A$507,0))</x:f>
        <x:v>0</x:v>
      </x:c>
      <x:c r="J2411" s="1" t="str">
        <x:f>IF(I2411=0,"No",IF(INDEX('Staff Review'!$C$8:$C$507,I2411)="Yes","Yes","No"))</x:f>
        <x:v>No</x:v>
      </x:c>
      <x:c r="K2411" s="1" t="str">
        <x:f>IF(AI2411="Yes",INDEX('Staff Review'!$D$8:$D$507,I2411),IF(AB2411=0,"",IF(COUNT(INDEX($C$1531:$C$2030,AB2411))=1,INDEX($C$1531:$C$2030,AB2411),"")))</x:f>
      </x:c>
      <x:c r="L2411" s="1" t="str">
        <x:f>IF(AJ2411="Yes",INDEX('Staff Review'!$F$8:$F$507,I2411),IF(AB2411=0,"",IF(COUNT(INDEX($G$1531:$G$2030,AB2411))=1,INDEX($G$1531:$G$2030,AB2411),"")))</x:f>
      </x:c>
      <x:c r="M2411" s="1" t="str">
        <x:f>IF(A2411="","",IF(AI2411="Yes","Verified","Listed"))</x:f>
      </x:c>
      <x:c r="N2411" s="1" t="str">
        <x:f>IF(A2411="","",IF(AJ2411="Yes","Verified","Listed"))</x:f>
      </x:c>
      <x:c r="O2411" s="1" t="str">
        <x:f>IF(AND(ISNUMBER(G2411),G2411&gt;=0,G2411&lt;=1),IF(G2411&gt;=0.9,30,IF(G2411&gt;=0.8,25,IF(G2411&gt;=0.7,20,IF(G2411&gt;=0.6,15,IF(G2411&gt;=0.5,10,IF(G2411&gt;=0.4,5,0)))))),"")</x:f>
      </x:c>
      <x:c r="P2411" s="1" t="str">
        <x:f>IF(ISNUMBER(K2411),IF(K2411&lt;0,"",IF(K2411&gt;1,25,IF(K2411&gt;=0.75,20,IF(K2411&gt;=0.5,15,IF(K2411&gt;=0.25,10,5))))),"")</x:f>
      </x:c>
      <x:c r="Q2411" s="1" t="str">
        <x:f>IF(NOT(ISNUMBER(L2411)),"",IF(AND(L2411&gt;=0,MOD(L2411,1)=0),MAX(0,25-5*L2411),""))</x:f>
      </x:c>
      <x:c r="R2411" s="1" t="str">
        <x:f>IF(NOT(ISNUMBER(F2411)),"",IF(AND(F2411&gt;0,MOD(F2411,1)=0),IF(F2411&gt;=700,5,IF(F2411&gt;=500,4,IF(F2411&gt;=350,3,IF(F2411&gt;=200,2,1)))),""))</x:f>
      </x:c>
      <x:c r="S2411" s="1" t="str">
        <x:f>IF(COUNT(O2411:R2411)=4,SUM(O2411:R2411),"")</x:f>
      </x:c>
      <x:c r="T2411" s="1" t="str">
        <x:f>IF(OR(COUNT(O2411:R2411)&lt;&gt;4,COUNT('Top 15'!$B$35:$E$35)&lt;&gt;4,MIN('Top 15'!$B$35:$E$35)&lt;0,SUM('Top 15'!$B$35:$E$35)&lt;=0),"",ROUND(85*(O2411/30*'Top 15'!$B$35+P2411/25*'Top 15'!$C$35+Q2411/25*'Top 15'!$D$35+R2411/5*'Top 15'!$E$35)/SUM('Top 15'!$B$35:$E$35),6))</x:f>
      </x:c>
      <x:c r="U2411" s="1" t="str">
        <x:f>IF(A2411="","",IF(AND(M2411="Verified",N2411="Verified"),"Verified",IF(AND(M2411="Listed",N2411="Listed"),"Listed","Mixed")))</x:f>
      </x:c>
      <x:c r="V2411" s="1" t="str">
        <x:f>IF(A2411="","",IF(AK2411&lt;&gt;1,"Duplicate source ID",IF(COUNTIFS('Staff Review'!$A$8:$A$507,A2411)&gt;1,"Duplicate review ID",IF(H2411&lt;&gt;"Yes","Outside scope",IF(J2411="Yes","Already served",IF(NOT(ISNUMBER(T2411)),"Missing data","Candidate"))))))</x:f>
      </x:c>
      <x:c r="W2411" s="1" t="str">
        <x:f>IF(AL2411=0,"",1+COUNTIFS($AL$2051:$AL$2550,1,$T$2051:$T$2550,"&gt;"&amp;T2411)+COUNTIFS($AL$2051:$AL$2550,1,$T$2051:$T$2550,T2411,$G$2051:$G$2550,"&gt;"&amp;G2411)+COUNTIFS($AL$2051:$AL$2550,1,$T$2051:$T$2550,T2411,$G$2051:$G$2550,G2411,$F$2051:$F$2550,"&gt;"&amp;F2411)+COUNTIFS($AL$2051:$AL$2550,1,$T$2051:$T$2550,T2411,$G$2051:$G$2550,G2411,$F$2051:$F$2550,F2411,$AM$2051:$AM$2550,"&lt;"&amp;AM2411))</x:f>
      </x:c>
      <x:c r="X2411" s="1" t="str">
        <x:f>IF(AL2411=0,"",1+COUNTIFS($AL$2051:$AL$2550,1,$T$2051:$T$2550,"&gt;"&amp;T2411))</x:f>
      </x:c>
      <x:c r="Y2411" s="1" t="n">
        <x:f>IF(AND(H2411="Yes",OR(LEN('School Search'!$B$5)=0,ISNUMBER(SEARCH('School Search'!$B$5,B2411&amp;" "&amp;E2411&amp;" "&amp;A2411))),OR('School Search'!$D$5="All",C2411='School Search'!$D$5),OR('School Search'!$G$5="All eligible",AND('School Search'!$G$5="Not marked served",J2411&lt;&gt;"Yes"),AND('School Search'!$G$5="Missing data",V2411="Missing data"),AND('School Search'!$G$5="Marked served",J2411="Yes"))),1,0)</x:f>
        <x:v>0</x:v>
      </x:c>
      <x:c r="Z2411" s="1" t="str">
        <x:f>IF(Y2411=0,"",COUNTIFS($Y$2051:$Y$2550,1,$AO$2051:$AO$2550,"&lt;"&amp;AO2411)+COUNTIFS($Y$2051:Y2411,1,$AO$2051:AO2411,AO2411))</x:f>
      </x:c>
      <x:c r="AA2411" s="1" t="str">
        <x:f>IF(NOT(ISNUMBER(S2411)),"Missing demographic or access input",TEXT(G2411,"0%")&amp;" economic need; "&amp;TEXT(K2411,"0.00")&amp;" mi fresh access; "&amp;L2411&amp;" nearby resources")</x:f>
        <x:v>Missing demographic or access input</x:v>
      </x:c>
      <x:c r="AB2411" s="1" t="n">
        <x:f>IF(OR(A2411="",COUNTIFS($A$1531:$A$2030,A2411)&lt;&gt;1),0,MATCH(A2411,$A$1531:$A$2030,0))</x:f>
        <x:v>0</x:v>
      </x:c>
      <x:c r="AC2411" s="1" t="str">
        <x:f>IF(AB2411=0,"",INDEX($E$1531:$E$2030,AB2411))</x:f>
      </x:c>
      <x:c r="AD2411" s="1" t="str">
        <x:f>IF(AB2411=0,"",INDEX($F$1531:$F$2030,AB2411))</x:f>
      </x:c>
      <x:c r="AE2411" s="1" t="str">
        <x:f>IF(A2411="","",F362)</x:f>
      </x:c>
      <x:c r="AF2411" s="1" t="str">
        <x:f>IF(ISNUMBER(I362),I362,"")</x:f>
      </x:c>
      <x:c r="AG2411" s="1" t="str">
        <x:f>IF(ISNUMBER(J362),J362,"")</x:f>
      </x:c>
      <x:c r="AH2411" s="1" t="str">
        <x:f>IF(I2411=0,"Not contacted",IF(INDEX('Staff Review'!$J$8:$J$507,I2411)="","Not contacted",INDEX('Staff Review'!$J$8:$J$507,I2411)))</x:f>
        <x:v>Not contacted</x:v>
      </x:c>
      <x:c r="AI2411" s="1" t="str">
        <x:f>IF(I2411=0,"No",IF(AND(COUNT(INDEX('Staff Review'!$D$8:$D$507,I2411))=1,INDEX('Staff Review'!$D$8:$D$507,I2411)&gt;=0,COUNT(INDEX('Staff Review'!$E$8:$E$507,I2411))=1,INDEX('Staff Review'!$E$8:$E$507,I2411)&gt;0,INDEX('Staff Review'!$E$8:$E$507,I2411)&lt;='Top 15'!$E$5,'Top 15'!$E$5-INDEX('Staff Review'!$E$8:$E$507,I2411)&lt;='Top 15'!$H$5,LEN(INDEX('Staff Review'!$H$8:$H$507,I2411))&gt;0),"Yes","No"))</x:f>
        <x:v>No</x:v>
      </x:c>
      <x:c r="AJ2411" s="1" t="str">
        <x:f>IF(I2411=0,"No",IF(COUNT(INDEX('Staff Review'!$F$8:$F$507,I2411))&lt;&gt;1,"No",IF(AND(INDEX('Staff Review'!$F$8:$F$507,I2411)&gt;=0,MOD(INDEX('Staff Review'!$F$8:$F$507,I2411),1)=0,COUNT(INDEX('Staff Review'!$G$8:$G$507,I2411))=1,INDEX('Staff Review'!$G$8:$G$507,I2411)&gt;0,INDEX('Staff Review'!$G$8:$G$507,I2411)&lt;='Top 15'!$E$5,'Top 15'!$E$5-INDEX('Staff Review'!$G$8:$G$507,I2411)&lt;='Top 15'!$H$5,LEN(INDEX('Staff Review'!$H$8:$H$507,I2411))&gt;0),"Yes","No")))</x:f>
        <x:v>No</x:v>
      </x:c>
      <x:c r="AK2411" s="1" t="n">
        <x:f>IF(A2411="",0,COUNTIFS($A$2:$A$501,A2411))</x:f>
        <x:v>0</x:v>
      </x:c>
      <x:c r="AL2411" s="1" t="n">
        <x:f>IF(V2411="Candidate",1,0)</x:f>
        <x:v>0</x:v>
      </x:c>
      <x:c r="AM2411" s="1" t="n">
        <x:f>IF(A2411="",0,VALUE(A2411))</x:f>
        <x:v>0</x:v>
      </x:c>
      <x:c r="AN2411" s="1" t="n">
        <x:f>IF(OR(A2411="",COUNTIFS($T$41:$T$540,A2411)&lt;&gt;1),0,MATCH(A2411,$T$41:$T$540,0))</x:f>
        <x:v>0</x:v>
      </x:c>
      <x:c r="AO2411" t="n">
        <x:f>IF(ISNUMBER(W2411),W2411,10000+AM2411)</x:f>
        <x:v>10000</x:v>
      </x:c>
    </x:row>
    <x:row r="2412" ht="22" customHeight="1">
      <x:c r="A2412" s="1" t="str">
        <x:f>IF(A363="","",A363)</x:f>
      </x:c>
      <x:c r="B2412" s="1" t="str">
        <x:f>IF(A2412="","",B363)</x:f>
      </x:c>
      <x:c r="C2412" s="1" t="str">
        <x:f>IF(A2412="","",C363)</x:f>
      </x:c>
      <x:c r="D2412" s="1" t="str">
        <x:f>IF(A2412="","",E363)</x:f>
      </x:c>
      <x:c r="E2412" s="1" t="str">
        <x:f>IF(A2412="","",H363)</x:f>
      </x:c>
      <x:c r="F2412" s="1" t="str">
        <x:f>IF(ISNUMBER(K363),K363,"")</x:f>
      </x:c>
      <x:c r="G2412" s="1" t="str">
        <x:f>IF(ISNUMBER(L363),L363,"")</x:f>
      </x:c>
      <x:c r="H2412" s="1" t="str">
        <x:f>IF(A2412="","",IF(AND(UPPER(G363)="PHILADELPHIA",OR(C2412="District",AND(C2412="Charter",D363="Yes"))),"Yes","No"))</x:f>
      </x:c>
      <x:c r="I2412" s="1" t="n">
        <x:f>IF(OR(A2412="",COUNTIFS('Staff Review'!$A$8:$A$507,A2412)&lt;&gt;1),0,MATCH(A2412,'Staff Review'!$A$8:$A$507,0))</x:f>
        <x:v>0</x:v>
      </x:c>
      <x:c r="J2412" s="1" t="str">
        <x:f>IF(I2412=0,"No",IF(INDEX('Staff Review'!$C$8:$C$507,I2412)="Yes","Yes","No"))</x:f>
        <x:v>No</x:v>
      </x:c>
      <x:c r="K2412" s="1" t="str">
        <x:f>IF(AI2412="Yes",INDEX('Staff Review'!$D$8:$D$507,I2412),IF(AB2412=0,"",IF(COUNT(INDEX($C$1531:$C$2030,AB2412))=1,INDEX($C$1531:$C$2030,AB2412),"")))</x:f>
      </x:c>
      <x:c r="L2412" s="1" t="str">
        <x:f>IF(AJ2412="Yes",INDEX('Staff Review'!$F$8:$F$507,I2412),IF(AB2412=0,"",IF(COUNT(INDEX($G$1531:$G$2030,AB2412))=1,INDEX($G$1531:$G$2030,AB2412),"")))</x:f>
      </x:c>
      <x:c r="M2412" s="1" t="str">
        <x:f>IF(A2412="","",IF(AI2412="Yes","Verified","Listed"))</x:f>
      </x:c>
      <x:c r="N2412" s="1" t="str">
        <x:f>IF(A2412="","",IF(AJ2412="Yes","Verified","Listed"))</x:f>
      </x:c>
      <x:c r="O2412" s="1" t="str">
        <x:f>IF(AND(ISNUMBER(G2412),G2412&gt;=0,G2412&lt;=1),IF(G2412&gt;=0.9,30,IF(G2412&gt;=0.8,25,IF(G2412&gt;=0.7,20,IF(G2412&gt;=0.6,15,IF(G2412&gt;=0.5,10,IF(G2412&gt;=0.4,5,0)))))),"")</x:f>
      </x:c>
      <x:c r="P2412" s="1" t="str">
        <x:f>IF(ISNUMBER(K2412),IF(K2412&lt;0,"",IF(K2412&gt;1,25,IF(K2412&gt;=0.75,20,IF(K2412&gt;=0.5,15,IF(K2412&gt;=0.25,10,5))))),"")</x:f>
      </x:c>
      <x:c r="Q2412" s="1" t="str">
        <x:f>IF(NOT(ISNUMBER(L2412)),"",IF(AND(L2412&gt;=0,MOD(L2412,1)=0),MAX(0,25-5*L2412),""))</x:f>
      </x:c>
      <x:c r="R2412" s="1" t="str">
        <x:f>IF(NOT(ISNUMBER(F2412)),"",IF(AND(F2412&gt;0,MOD(F2412,1)=0),IF(F2412&gt;=700,5,IF(F2412&gt;=500,4,IF(F2412&gt;=350,3,IF(F2412&gt;=200,2,1)))),""))</x:f>
      </x:c>
      <x:c r="S2412" s="1" t="str">
        <x:f>IF(COUNT(O2412:R2412)=4,SUM(O2412:R2412),"")</x:f>
      </x:c>
      <x:c r="T2412" s="1" t="str">
        <x:f>IF(OR(COUNT(O2412:R2412)&lt;&gt;4,COUNT('Top 15'!$B$35:$E$35)&lt;&gt;4,MIN('Top 15'!$B$35:$E$35)&lt;0,SUM('Top 15'!$B$35:$E$35)&lt;=0),"",ROUND(85*(O2412/30*'Top 15'!$B$35+P2412/25*'Top 15'!$C$35+Q2412/25*'Top 15'!$D$35+R2412/5*'Top 15'!$E$35)/SUM('Top 15'!$B$35:$E$35),6))</x:f>
      </x:c>
      <x:c r="U2412" s="1" t="str">
        <x:f>IF(A2412="","",IF(AND(M2412="Verified",N2412="Verified"),"Verified",IF(AND(M2412="Listed",N2412="Listed"),"Listed","Mixed")))</x:f>
      </x:c>
      <x:c r="V2412" s="1" t="str">
        <x:f>IF(A2412="","",IF(AK2412&lt;&gt;1,"Duplicate source ID",IF(COUNTIFS('Staff Review'!$A$8:$A$507,A2412)&gt;1,"Duplicate review ID",IF(H2412&lt;&gt;"Yes","Outside scope",IF(J2412="Yes","Already served",IF(NOT(ISNUMBER(T2412)),"Missing data","Candidate"))))))</x:f>
      </x:c>
      <x:c r="W2412" s="1" t="str">
        <x:f>IF(AL2412=0,"",1+COUNTIFS($AL$2051:$AL$2550,1,$T$2051:$T$2550,"&gt;"&amp;T2412)+COUNTIFS($AL$2051:$AL$2550,1,$T$2051:$T$2550,T2412,$G$2051:$G$2550,"&gt;"&amp;G2412)+COUNTIFS($AL$2051:$AL$2550,1,$T$2051:$T$2550,T2412,$G$2051:$G$2550,G2412,$F$2051:$F$2550,"&gt;"&amp;F2412)+COUNTIFS($AL$2051:$AL$2550,1,$T$2051:$T$2550,T2412,$G$2051:$G$2550,G2412,$F$2051:$F$2550,F2412,$AM$2051:$AM$2550,"&lt;"&amp;AM2412))</x:f>
      </x:c>
      <x:c r="X2412" s="1" t="str">
        <x:f>IF(AL2412=0,"",1+COUNTIFS($AL$2051:$AL$2550,1,$T$2051:$T$2550,"&gt;"&amp;T2412))</x:f>
      </x:c>
      <x:c r="Y2412" s="1" t="n">
        <x:f>IF(AND(H2412="Yes",OR(LEN('School Search'!$B$5)=0,ISNUMBER(SEARCH('School Search'!$B$5,B2412&amp;" "&amp;E2412&amp;" "&amp;A2412))),OR('School Search'!$D$5="All",C2412='School Search'!$D$5),OR('School Search'!$G$5="All eligible",AND('School Search'!$G$5="Not marked served",J2412&lt;&gt;"Yes"),AND('School Search'!$G$5="Missing data",V2412="Missing data"),AND('School Search'!$G$5="Marked served",J2412="Yes"))),1,0)</x:f>
        <x:v>0</x:v>
      </x:c>
      <x:c r="Z2412" s="1" t="str">
        <x:f>IF(Y2412=0,"",COUNTIFS($Y$2051:$Y$2550,1,$AO$2051:$AO$2550,"&lt;"&amp;AO2412)+COUNTIFS($Y$2051:Y2412,1,$AO$2051:AO2412,AO2412))</x:f>
      </x:c>
      <x:c r="AA2412" s="1" t="str">
        <x:f>IF(NOT(ISNUMBER(S2412)),"Missing demographic or access input",TEXT(G2412,"0%")&amp;" economic need; "&amp;TEXT(K2412,"0.00")&amp;" mi fresh access; "&amp;L2412&amp;" nearby resources")</x:f>
        <x:v>Missing demographic or access input</x:v>
      </x:c>
      <x:c r="AB2412" s="1" t="n">
        <x:f>IF(OR(A2412="",COUNTIFS($A$1531:$A$2030,A2412)&lt;&gt;1),0,MATCH(A2412,$A$1531:$A$2030,0))</x:f>
        <x:v>0</x:v>
      </x:c>
      <x:c r="AC2412" s="1" t="str">
        <x:f>IF(AB2412=0,"",INDEX($E$1531:$E$2030,AB2412))</x:f>
      </x:c>
      <x:c r="AD2412" s="1" t="str">
        <x:f>IF(AB2412=0,"",INDEX($F$1531:$F$2030,AB2412))</x:f>
      </x:c>
      <x:c r="AE2412" s="1" t="str">
        <x:f>IF(A2412="","",F363)</x:f>
      </x:c>
      <x:c r="AF2412" s="1" t="str">
        <x:f>IF(ISNUMBER(I363),I363,"")</x:f>
      </x:c>
      <x:c r="AG2412" s="1" t="str">
        <x:f>IF(ISNUMBER(J363),J363,"")</x:f>
      </x:c>
      <x:c r="AH2412" s="1" t="str">
        <x:f>IF(I2412=0,"Not contacted",IF(INDEX('Staff Review'!$J$8:$J$507,I2412)="","Not contacted",INDEX('Staff Review'!$J$8:$J$507,I2412)))</x:f>
        <x:v>Not contacted</x:v>
      </x:c>
      <x:c r="AI2412" s="1" t="str">
        <x:f>IF(I2412=0,"No",IF(AND(COUNT(INDEX('Staff Review'!$D$8:$D$507,I2412))=1,INDEX('Staff Review'!$D$8:$D$507,I2412)&gt;=0,COUNT(INDEX('Staff Review'!$E$8:$E$507,I2412))=1,INDEX('Staff Review'!$E$8:$E$507,I2412)&gt;0,INDEX('Staff Review'!$E$8:$E$507,I2412)&lt;='Top 15'!$E$5,'Top 15'!$E$5-INDEX('Staff Review'!$E$8:$E$507,I2412)&lt;='Top 15'!$H$5,LEN(INDEX('Staff Review'!$H$8:$H$507,I2412))&gt;0),"Yes","No"))</x:f>
        <x:v>No</x:v>
      </x:c>
      <x:c r="AJ2412" s="1" t="str">
        <x:f>IF(I2412=0,"No",IF(COUNT(INDEX('Staff Review'!$F$8:$F$507,I2412))&lt;&gt;1,"No",IF(AND(INDEX('Staff Review'!$F$8:$F$507,I2412)&gt;=0,MOD(INDEX('Staff Review'!$F$8:$F$507,I2412),1)=0,COUNT(INDEX('Staff Review'!$G$8:$G$507,I2412))=1,INDEX('Staff Review'!$G$8:$G$507,I2412)&gt;0,INDEX('Staff Review'!$G$8:$G$507,I2412)&lt;='Top 15'!$E$5,'Top 15'!$E$5-INDEX('Staff Review'!$G$8:$G$507,I2412)&lt;='Top 15'!$H$5,LEN(INDEX('Staff Review'!$H$8:$H$507,I2412))&gt;0),"Yes","No")))</x:f>
        <x:v>No</x:v>
      </x:c>
      <x:c r="AK2412" s="1" t="n">
        <x:f>IF(A2412="",0,COUNTIFS($A$2:$A$501,A2412))</x:f>
        <x:v>0</x:v>
      </x:c>
      <x:c r="AL2412" s="1" t="n">
        <x:f>IF(V2412="Candidate",1,0)</x:f>
        <x:v>0</x:v>
      </x:c>
      <x:c r="AM2412" s="1" t="n">
        <x:f>IF(A2412="",0,VALUE(A2412))</x:f>
        <x:v>0</x:v>
      </x:c>
      <x:c r="AN2412" s="1" t="n">
        <x:f>IF(OR(A2412="",COUNTIFS($T$41:$T$540,A2412)&lt;&gt;1),0,MATCH(A2412,$T$41:$T$540,0))</x:f>
        <x:v>0</x:v>
      </x:c>
      <x:c r="AO2412" t="n">
        <x:f>IF(ISNUMBER(W2412),W2412,10000+AM2412)</x:f>
        <x:v>10000</x:v>
      </x:c>
    </x:row>
    <x:row r="2413" ht="22" customHeight="1">
      <x:c r="A2413" s="1" t="str">
        <x:f>IF(A364="","",A364)</x:f>
      </x:c>
      <x:c r="B2413" s="1" t="str">
        <x:f>IF(A2413="","",B364)</x:f>
      </x:c>
      <x:c r="C2413" s="1" t="str">
        <x:f>IF(A2413="","",C364)</x:f>
      </x:c>
      <x:c r="D2413" s="1" t="str">
        <x:f>IF(A2413="","",E364)</x:f>
      </x:c>
      <x:c r="E2413" s="1" t="str">
        <x:f>IF(A2413="","",H364)</x:f>
      </x:c>
      <x:c r="F2413" s="1" t="str">
        <x:f>IF(ISNUMBER(K364),K364,"")</x:f>
      </x:c>
      <x:c r="G2413" s="1" t="str">
        <x:f>IF(ISNUMBER(L364),L364,"")</x:f>
      </x:c>
      <x:c r="H2413" s="1" t="str">
        <x:f>IF(A2413="","",IF(AND(UPPER(G364)="PHILADELPHIA",OR(C2413="District",AND(C2413="Charter",D364="Yes"))),"Yes","No"))</x:f>
      </x:c>
      <x:c r="I2413" s="1" t="n">
        <x:f>IF(OR(A2413="",COUNTIFS('Staff Review'!$A$8:$A$507,A2413)&lt;&gt;1),0,MATCH(A2413,'Staff Review'!$A$8:$A$507,0))</x:f>
        <x:v>0</x:v>
      </x:c>
      <x:c r="J2413" s="1" t="str">
        <x:f>IF(I2413=0,"No",IF(INDEX('Staff Review'!$C$8:$C$507,I2413)="Yes","Yes","No"))</x:f>
        <x:v>No</x:v>
      </x:c>
      <x:c r="K2413" s="1" t="str">
        <x:f>IF(AI2413="Yes",INDEX('Staff Review'!$D$8:$D$507,I2413),IF(AB2413=0,"",IF(COUNT(INDEX($C$1531:$C$2030,AB2413))=1,INDEX($C$1531:$C$2030,AB2413),"")))</x:f>
      </x:c>
      <x:c r="L2413" s="1" t="str">
        <x:f>IF(AJ2413="Yes",INDEX('Staff Review'!$F$8:$F$507,I2413),IF(AB2413=0,"",IF(COUNT(INDEX($G$1531:$G$2030,AB2413))=1,INDEX($G$1531:$G$2030,AB2413),"")))</x:f>
      </x:c>
      <x:c r="M2413" s="1" t="str">
        <x:f>IF(A2413="","",IF(AI2413="Yes","Verified","Listed"))</x:f>
      </x:c>
      <x:c r="N2413" s="1" t="str">
        <x:f>IF(A2413="","",IF(AJ2413="Yes","Verified","Listed"))</x:f>
      </x:c>
      <x:c r="O2413" s="1" t="str">
        <x:f>IF(AND(ISNUMBER(G2413),G2413&gt;=0,G2413&lt;=1),IF(G2413&gt;=0.9,30,IF(G2413&gt;=0.8,25,IF(G2413&gt;=0.7,20,IF(G2413&gt;=0.6,15,IF(G2413&gt;=0.5,10,IF(G2413&gt;=0.4,5,0)))))),"")</x:f>
      </x:c>
      <x:c r="P2413" s="1" t="str">
        <x:f>IF(ISNUMBER(K2413),IF(K2413&lt;0,"",IF(K2413&gt;1,25,IF(K2413&gt;=0.75,20,IF(K2413&gt;=0.5,15,IF(K2413&gt;=0.25,10,5))))),"")</x:f>
      </x:c>
      <x:c r="Q2413" s="1" t="str">
        <x:f>IF(NOT(ISNUMBER(L2413)),"",IF(AND(L2413&gt;=0,MOD(L2413,1)=0),MAX(0,25-5*L2413),""))</x:f>
      </x:c>
      <x:c r="R2413" s="1" t="str">
        <x:f>IF(NOT(ISNUMBER(F2413)),"",IF(AND(F2413&gt;0,MOD(F2413,1)=0),IF(F2413&gt;=700,5,IF(F2413&gt;=500,4,IF(F2413&gt;=350,3,IF(F2413&gt;=200,2,1)))),""))</x:f>
      </x:c>
      <x:c r="S2413" s="1" t="str">
        <x:f>IF(COUNT(O2413:R2413)=4,SUM(O2413:R2413),"")</x:f>
      </x:c>
      <x:c r="T2413" s="1" t="str">
        <x:f>IF(OR(COUNT(O2413:R2413)&lt;&gt;4,COUNT('Top 15'!$B$35:$E$35)&lt;&gt;4,MIN('Top 15'!$B$35:$E$35)&lt;0,SUM('Top 15'!$B$35:$E$35)&lt;=0),"",ROUND(85*(O2413/30*'Top 15'!$B$35+P2413/25*'Top 15'!$C$35+Q2413/25*'Top 15'!$D$35+R2413/5*'Top 15'!$E$35)/SUM('Top 15'!$B$35:$E$35),6))</x:f>
      </x:c>
      <x:c r="U2413" s="1" t="str">
        <x:f>IF(A2413="","",IF(AND(M2413="Verified",N2413="Verified"),"Verified",IF(AND(M2413="Listed",N2413="Listed"),"Listed","Mixed")))</x:f>
      </x:c>
      <x:c r="V2413" s="1" t="str">
        <x:f>IF(A2413="","",IF(AK2413&lt;&gt;1,"Duplicate source ID",IF(COUNTIFS('Staff Review'!$A$8:$A$507,A2413)&gt;1,"Duplicate review ID",IF(H2413&lt;&gt;"Yes","Outside scope",IF(J2413="Yes","Already served",IF(NOT(ISNUMBER(T2413)),"Missing data","Candidate"))))))</x:f>
      </x:c>
      <x:c r="W2413" s="1" t="str">
        <x:f>IF(AL2413=0,"",1+COUNTIFS($AL$2051:$AL$2550,1,$T$2051:$T$2550,"&gt;"&amp;T2413)+COUNTIFS($AL$2051:$AL$2550,1,$T$2051:$T$2550,T2413,$G$2051:$G$2550,"&gt;"&amp;G2413)+COUNTIFS($AL$2051:$AL$2550,1,$T$2051:$T$2550,T2413,$G$2051:$G$2550,G2413,$F$2051:$F$2550,"&gt;"&amp;F2413)+COUNTIFS($AL$2051:$AL$2550,1,$T$2051:$T$2550,T2413,$G$2051:$G$2550,G2413,$F$2051:$F$2550,F2413,$AM$2051:$AM$2550,"&lt;"&amp;AM2413))</x:f>
      </x:c>
      <x:c r="X2413" s="1" t="str">
        <x:f>IF(AL2413=0,"",1+COUNTIFS($AL$2051:$AL$2550,1,$T$2051:$T$2550,"&gt;"&amp;T2413))</x:f>
      </x:c>
      <x:c r="Y2413" s="1" t="n">
        <x:f>IF(AND(H2413="Yes",OR(LEN('School Search'!$B$5)=0,ISNUMBER(SEARCH('School Search'!$B$5,B2413&amp;" "&amp;E2413&amp;" "&amp;A2413))),OR('School Search'!$D$5="All",C2413='School Search'!$D$5),OR('School Search'!$G$5="All eligible",AND('School Search'!$G$5="Not marked served",J2413&lt;&gt;"Yes"),AND('School Search'!$G$5="Missing data",V2413="Missing data"),AND('School Search'!$G$5="Marked served",J2413="Yes"))),1,0)</x:f>
        <x:v>0</x:v>
      </x:c>
      <x:c r="Z2413" s="1" t="str">
        <x:f>IF(Y2413=0,"",COUNTIFS($Y$2051:$Y$2550,1,$AO$2051:$AO$2550,"&lt;"&amp;AO2413)+COUNTIFS($Y$2051:Y2413,1,$AO$2051:AO2413,AO2413))</x:f>
      </x:c>
      <x:c r="AA2413" s="1" t="str">
        <x:f>IF(NOT(ISNUMBER(S2413)),"Missing demographic or access input",TEXT(G2413,"0%")&amp;" economic need; "&amp;TEXT(K2413,"0.00")&amp;" mi fresh access; "&amp;L2413&amp;" nearby resources")</x:f>
        <x:v>Missing demographic or access input</x:v>
      </x:c>
      <x:c r="AB2413" s="1" t="n">
        <x:f>IF(OR(A2413="",COUNTIFS($A$1531:$A$2030,A2413)&lt;&gt;1),0,MATCH(A2413,$A$1531:$A$2030,0))</x:f>
        <x:v>0</x:v>
      </x:c>
      <x:c r="AC2413" s="1" t="str">
        <x:f>IF(AB2413=0,"",INDEX($E$1531:$E$2030,AB2413))</x:f>
      </x:c>
      <x:c r="AD2413" s="1" t="str">
        <x:f>IF(AB2413=0,"",INDEX($F$1531:$F$2030,AB2413))</x:f>
      </x:c>
      <x:c r="AE2413" s="1" t="str">
        <x:f>IF(A2413="","",F364)</x:f>
      </x:c>
      <x:c r="AF2413" s="1" t="str">
        <x:f>IF(ISNUMBER(I364),I364,"")</x:f>
      </x:c>
      <x:c r="AG2413" s="1" t="str">
        <x:f>IF(ISNUMBER(J364),J364,"")</x:f>
      </x:c>
      <x:c r="AH2413" s="1" t="str">
        <x:f>IF(I2413=0,"Not contacted",IF(INDEX('Staff Review'!$J$8:$J$507,I2413)="","Not contacted",INDEX('Staff Review'!$J$8:$J$507,I2413)))</x:f>
        <x:v>Not contacted</x:v>
      </x:c>
      <x:c r="AI2413" s="1" t="str">
        <x:f>IF(I2413=0,"No",IF(AND(COUNT(INDEX('Staff Review'!$D$8:$D$507,I2413))=1,INDEX('Staff Review'!$D$8:$D$507,I2413)&gt;=0,COUNT(INDEX('Staff Review'!$E$8:$E$507,I2413))=1,INDEX('Staff Review'!$E$8:$E$507,I2413)&gt;0,INDEX('Staff Review'!$E$8:$E$507,I2413)&lt;='Top 15'!$E$5,'Top 15'!$E$5-INDEX('Staff Review'!$E$8:$E$507,I2413)&lt;='Top 15'!$H$5,LEN(INDEX('Staff Review'!$H$8:$H$507,I2413))&gt;0),"Yes","No"))</x:f>
        <x:v>No</x:v>
      </x:c>
      <x:c r="AJ2413" s="1" t="str">
        <x:f>IF(I2413=0,"No",IF(COUNT(INDEX('Staff Review'!$F$8:$F$507,I2413))&lt;&gt;1,"No",IF(AND(INDEX('Staff Review'!$F$8:$F$507,I2413)&gt;=0,MOD(INDEX('Staff Review'!$F$8:$F$507,I2413),1)=0,COUNT(INDEX('Staff Review'!$G$8:$G$507,I2413))=1,INDEX('Staff Review'!$G$8:$G$507,I2413)&gt;0,INDEX('Staff Review'!$G$8:$G$507,I2413)&lt;='Top 15'!$E$5,'Top 15'!$E$5-INDEX('Staff Review'!$G$8:$G$507,I2413)&lt;='Top 15'!$H$5,LEN(INDEX('Staff Review'!$H$8:$H$507,I2413))&gt;0),"Yes","No")))</x:f>
        <x:v>No</x:v>
      </x:c>
      <x:c r="AK2413" s="1" t="n">
        <x:f>IF(A2413="",0,COUNTIFS($A$2:$A$501,A2413))</x:f>
        <x:v>0</x:v>
      </x:c>
      <x:c r="AL2413" s="1" t="n">
        <x:f>IF(V2413="Candidate",1,0)</x:f>
        <x:v>0</x:v>
      </x:c>
      <x:c r="AM2413" s="1" t="n">
        <x:f>IF(A2413="",0,VALUE(A2413))</x:f>
        <x:v>0</x:v>
      </x:c>
      <x:c r="AN2413" s="1" t="n">
        <x:f>IF(OR(A2413="",COUNTIFS($T$41:$T$540,A2413)&lt;&gt;1),0,MATCH(A2413,$T$41:$T$540,0))</x:f>
        <x:v>0</x:v>
      </x:c>
      <x:c r="AO2413" t="n">
        <x:f>IF(ISNUMBER(W2413),W2413,10000+AM2413)</x:f>
        <x:v>10000</x:v>
      </x:c>
    </x:row>
    <x:row r="2414" ht="22" customHeight="1">
      <x:c r="A2414" s="1" t="str">
        <x:f>IF(A365="","",A365)</x:f>
      </x:c>
      <x:c r="B2414" s="1" t="str">
        <x:f>IF(A2414="","",B365)</x:f>
      </x:c>
      <x:c r="C2414" s="1" t="str">
        <x:f>IF(A2414="","",C365)</x:f>
      </x:c>
      <x:c r="D2414" s="1" t="str">
        <x:f>IF(A2414="","",E365)</x:f>
      </x:c>
      <x:c r="E2414" s="1" t="str">
        <x:f>IF(A2414="","",H365)</x:f>
      </x:c>
      <x:c r="F2414" s="1" t="str">
        <x:f>IF(ISNUMBER(K365),K365,"")</x:f>
      </x:c>
      <x:c r="G2414" s="1" t="str">
        <x:f>IF(ISNUMBER(L365),L365,"")</x:f>
      </x:c>
      <x:c r="H2414" s="1" t="str">
        <x:f>IF(A2414="","",IF(AND(UPPER(G365)="PHILADELPHIA",OR(C2414="District",AND(C2414="Charter",D365="Yes"))),"Yes","No"))</x:f>
      </x:c>
      <x:c r="I2414" s="1" t="n">
        <x:f>IF(OR(A2414="",COUNTIFS('Staff Review'!$A$8:$A$507,A2414)&lt;&gt;1),0,MATCH(A2414,'Staff Review'!$A$8:$A$507,0))</x:f>
        <x:v>0</x:v>
      </x:c>
      <x:c r="J2414" s="1" t="str">
        <x:f>IF(I2414=0,"No",IF(INDEX('Staff Review'!$C$8:$C$507,I2414)="Yes","Yes","No"))</x:f>
        <x:v>No</x:v>
      </x:c>
      <x:c r="K2414" s="1" t="str">
        <x:f>IF(AI2414="Yes",INDEX('Staff Review'!$D$8:$D$507,I2414),IF(AB2414=0,"",IF(COUNT(INDEX($C$1531:$C$2030,AB2414))=1,INDEX($C$1531:$C$2030,AB2414),"")))</x:f>
      </x:c>
      <x:c r="L2414" s="1" t="str">
        <x:f>IF(AJ2414="Yes",INDEX('Staff Review'!$F$8:$F$507,I2414),IF(AB2414=0,"",IF(COUNT(INDEX($G$1531:$G$2030,AB2414))=1,INDEX($G$1531:$G$2030,AB2414),"")))</x:f>
      </x:c>
      <x:c r="M2414" s="1" t="str">
        <x:f>IF(A2414="","",IF(AI2414="Yes","Verified","Listed"))</x:f>
      </x:c>
      <x:c r="N2414" s="1" t="str">
        <x:f>IF(A2414="","",IF(AJ2414="Yes","Verified","Listed"))</x:f>
      </x:c>
      <x:c r="O2414" s="1" t="str">
        <x:f>IF(AND(ISNUMBER(G2414),G2414&gt;=0,G2414&lt;=1),IF(G2414&gt;=0.9,30,IF(G2414&gt;=0.8,25,IF(G2414&gt;=0.7,20,IF(G2414&gt;=0.6,15,IF(G2414&gt;=0.5,10,IF(G2414&gt;=0.4,5,0)))))),"")</x:f>
      </x:c>
      <x:c r="P2414" s="1" t="str">
        <x:f>IF(ISNUMBER(K2414),IF(K2414&lt;0,"",IF(K2414&gt;1,25,IF(K2414&gt;=0.75,20,IF(K2414&gt;=0.5,15,IF(K2414&gt;=0.25,10,5))))),"")</x:f>
      </x:c>
      <x:c r="Q2414" s="1" t="str">
        <x:f>IF(NOT(ISNUMBER(L2414)),"",IF(AND(L2414&gt;=0,MOD(L2414,1)=0),MAX(0,25-5*L2414),""))</x:f>
      </x:c>
      <x:c r="R2414" s="1" t="str">
        <x:f>IF(NOT(ISNUMBER(F2414)),"",IF(AND(F2414&gt;0,MOD(F2414,1)=0),IF(F2414&gt;=700,5,IF(F2414&gt;=500,4,IF(F2414&gt;=350,3,IF(F2414&gt;=200,2,1)))),""))</x:f>
      </x:c>
      <x:c r="S2414" s="1" t="str">
        <x:f>IF(COUNT(O2414:R2414)=4,SUM(O2414:R2414),"")</x:f>
      </x:c>
      <x:c r="T2414" s="1" t="str">
        <x:f>IF(OR(COUNT(O2414:R2414)&lt;&gt;4,COUNT('Top 15'!$B$35:$E$35)&lt;&gt;4,MIN('Top 15'!$B$35:$E$35)&lt;0,SUM('Top 15'!$B$35:$E$35)&lt;=0),"",ROUND(85*(O2414/30*'Top 15'!$B$35+P2414/25*'Top 15'!$C$35+Q2414/25*'Top 15'!$D$35+R2414/5*'Top 15'!$E$35)/SUM('Top 15'!$B$35:$E$35),6))</x:f>
      </x:c>
      <x:c r="U2414" s="1" t="str">
        <x:f>IF(A2414="","",IF(AND(M2414="Verified",N2414="Verified"),"Verified",IF(AND(M2414="Listed",N2414="Listed"),"Listed","Mixed")))</x:f>
      </x:c>
      <x:c r="V2414" s="1" t="str">
        <x:f>IF(A2414="","",IF(AK2414&lt;&gt;1,"Duplicate source ID",IF(COUNTIFS('Staff Review'!$A$8:$A$507,A2414)&gt;1,"Duplicate review ID",IF(H2414&lt;&gt;"Yes","Outside scope",IF(J2414="Yes","Already served",IF(NOT(ISNUMBER(T2414)),"Missing data","Candidate"))))))</x:f>
      </x:c>
      <x:c r="W2414" s="1" t="str">
        <x:f>IF(AL2414=0,"",1+COUNTIFS($AL$2051:$AL$2550,1,$T$2051:$T$2550,"&gt;"&amp;T2414)+COUNTIFS($AL$2051:$AL$2550,1,$T$2051:$T$2550,T2414,$G$2051:$G$2550,"&gt;"&amp;G2414)+COUNTIFS($AL$2051:$AL$2550,1,$T$2051:$T$2550,T2414,$G$2051:$G$2550,G2414,$F$2051:$F$2550,"&gt;"&amp;F2414)+COUNTIFS($AL$2051:$AL$2550,1,$T$2051:$T$2550,T2414,$G$2051:$G$2550,G2414,$F$2051:$F$2550,F2414,$AM$2051:$AM$2550,"&lt;"&amp;AM2414))</x:f>
      </x:c>
      <x:c r="X2414" s="1" t="str">
        <x:f>IF(AL2414=0,"",1+COUNTIFS($AL$2051:$AL$2550,1,$T$2051:$T$2550,"&gt;"&amp;T2414))</x:f>
      </x:c>
      <x:c r="Y2414" s="1" t="n">
        <x:f>IF(AND(H2414="Yes",OR(LEN('School Search'!$B$5)=0,ISNUMBER(SEARCH('School Search'!$B$5,B2414&amp;" "&amp;E2414&amp;" "&amp;A2414))),OR('School Search'!$D$5="All",C2414='School Search'!$D$5),OR('School Search'!$G$5="All eligible",AND('School Search'!$G$5="Not marked served",J2414&lt;&gt;"Yes"),AND('School Search'!$G$5="Missing data",V2414="Missing data"),AND('School Search'!$G$5="Marked served",J2414="Yes"))),1,0)</x:f>
        <x:v>0</x:v>
      </x:c>
      <x:c r="Z2414" s="1" t="str">
        <x:f>IF(Y2414=0,"",COUNTIFS($Y$2051:$Y$2550,1,$AO$2051:$AO$2550,"&lt;"&amp;AO2414)+COUNTIFS($Y$2051:Y2414,1,$AO$2051:AO2414,AO2414))</x:f>
      </x:c>
      <x:c r="AA2414" s="1" t="str">
        <x:f>IF(NOT(ISNUMBER(S2414)),"Missing demographic or access input",TEXT(G2414,"0%")&amp;" economic need; "&amp;TEXT(K2414,"0.00")&amp;" mi fresh access; "&amp;L2414&amp;" nearby resources")</x:f>
        <x:v>Missing demographic or access input</x:v>
      </x:c>
      <x:c r="AB2414" s="1" t="n">
        <x:f>IF(OR(A2414="",COUNTIFS($A$1531:$A$2030,A2414)&lt;&gt;1),0,MATCH(A2414,$A$1531:$A$2030,0))</x:f>
        <x:v>0</x:v>
      </x:c>
      <x:c r="AC2414" s="1" t="str">
        <x:f>IF(AB2414=0,"",INDEX($E$1531:$E$2030,AB2414))</x:f>
      </x:c>
      <x:c r="AD2414" s="1" t="str">
        <x:f>IF(AB2414=0,"",INDEX($F$1531:$F$2030,AB2414))</x:f>
      </x:c>
      <x:c r="AE2414" s="1" t="str">
        <x:f>IF(A2414="","",F365)</x:f>
      </x:c>
      <x:c r="AF2414" s="1" t="str">
        <x:f>IF(ISNUMBER(I365),I365,"")</x:f>
      </x:c>
      <x:c r="AG2414" s="1" t="str">
        <x:f>IF(ISNUMBER(J365),J365,"")</x:f>
      </x:c>
      <x:c r="AH2414" s="1" t="str">
        <x:f>IF(I2414=0,"Not contacted",IF(INDEX('Staff Review'!$J$8:$J$507,I2414)="","Not contacted",INDEX('Staff Review'!$J$8:$J$507,I2414)))</x:f>
        <x:v>Not contacted</x:v>
      </x:c>
      <x:c r="AI2414" s="1" t="str">
        <x:f>IF(I2414=0,"No",IF(AND(COUNT(INDEX('Staff Review'!$D$8:$D$507,I2414))=1,INDEX('Staff Review'!$D$8:$D$507,I2414)&gt;=0,COUNT(INDEX('Staff Review'!$E$8:$E$507,I2414))=1,INDEX('Staff Review'!$E$8:$E$507,I2414)&gt;0,INDEX('Staff Review'!$E$8:$E$507,I2414)&lt;='Top 15'!$E$5,'Top 15'!$E$5-INDEX('Staff Review'!$E$8:$E$507,I2414)&lt;='Top 15'!$H$5,LEN(INDEX('Staff Review'!$H$8:$H$507,I2414))&gt;0),"Yes","No"))</x:f>
        <x:v>No</x:v>
      </x:c>
      <x:c r="AJ2414" s="1" t="str">
        <x:f>IF(I2414=0,"No",IF(COUNT(INDEX('Staff Review'!$F$8:$F$507,I2414))&lt;&gt;1,"No",IF(AND(INDEX('Staff Review'!$F$8:$F$507,I2414)&gt;=0,MOD(INDEX('Staff Review'!$F$8:$F$507,I2414),1)=0,COUNT(INDEX('Staff Review'!$G$8:$G$507,I2414))=1,INDEX('Staff Review'!$G$8:$G$507,I2414)&gt;0,INDEX('Staff Review'!$G$8:$G$507,I2414)&lt;='Top 15'!$E$5,'Top 15'!$E$5-INDEX('Staff Review'!$G$8:$G$507,I2414)&lt;='Top 15'!$H$5,LEN(INDEX('Staff Review'!$H$8:$H$507,I2414))&gt;0),"Yes","No")))</x:f>
        <x:v>No</x:v>
      </x:c>
      <x:c r="AK2414" s="1" t="n">
        <x:f>IF(A2414="",0,COUNTIFS($A$2:$A$501,A2414))</x:f>
        <x:v>0</x:v>
      </x:c>
      <x:c r="AL2414" s="1" t="n">
        <x:f>IF(V2414="Candidate",1,0)</x:f>
        <x:v>0</x:v>
      </x:c>
      <x:c r="AM2414" s="1" t="n">
        <x:f>IF(A2414="",0,VALUE(A2414))</x:f>
        <x:v>0</x:v>
      </x:c>
      <x:c r="AN2414" s="1" t="n">
        <x:f>IF(OR(A2414="",COUNTIFS($T$41:$T$540,A2414)&lt;&gt;1),0,MATCH(A2414,$T$41:$T$540,0))</x:f>
        <x:v>0</x:v>
      </x:c>
      <x:c r="AO2414" t="n">
        <x:f>IF(ISNUMBER(W2414),W2414,10000+AM2414)</x:f>
        <x:v>10000</x:v>
      </x:c>
    </x:row>
    <x:row r="2415" ht="22" customHeight="1">
      <x:c r="A2415" s="1" t="str">
        <x:f>IF(A366="","",A366)</x:f>
      </x:c>
      <x:c r="B2415" s="1" t="str">
        <x:f>IF(A2415="","",B366)</x:f>
      </x:c>
      <x:c r="C2415" s="1" t="str">
        <x:f>IF(A2415="","",C366)</x:f>
      </x:c>
      <x:c r="D2415" s="1" t="str">
        <x:f>IF(A2415="","",E366)</x:f>
      </x:c>
      <x:c r="E2415" s="1" t="str">
        <x:f>IF(A2415="","",H366)</x:f>
      </x:c>
      <x:c r="F2415" s="1" t="str">
        <x:f>IF(ISNUMBER(K366),K366,"")</x:f>
      </x:c>
      <x:c r="G2415" s="1" t="str">
        <x:f>IF(ISNUMBER(L366),L366,"")</x:f>
      </x:c>
      <x:c r="H2415" s="1" t="str">
        <x:f>IF(A2415="","",IF(AND(UPPER(G366)="PHILADELPHIA",OR(C2415="District",AND(C2415="Charter",D366="Yes"))),"Yes","No"))</x:f>
      </x:c>
      <x:c r="I2415" s="1" t="n">
        <x:f>IF(OR(A2415="",COUNTIFS('Staff Review'!$A$8:$A$507,A2415)&lt;&gt;1),0,MATCH(A2415,'Staff Review'!$A$8:$A$507,0))</x:f>
        <x:v>0</x:v>
      </x:c>
      <x:c r="J2415" s="1" t="str">
        <x:f>IF(I2415=0,"No",IF(INDEX('Staff Review'!$C$8:$C$507,I2415)="Yes","Yes","No"))</x:f>
        <x:v>No</x:v>
      </x:c>
      <x:c r="K2415" s="1" t="str">
        <x:f>IF(AI2415="Yes",INDEX('Staff Review'!$D$8:$D$507,I2415),IF(AB2415=0,"",IF(COUNT(INDEX($C$1531:$C$2030,AB2415))=1,INDEX($C$1531:$C$2030,AB2415),"")))</x:f>
      </x:c>
      <x:c r="L2415" s="1" t="str">
        <x:f>IF(AJ2415="Yes",INDEX('Staff Review'!$F$8:$F$507,I2415),IF(AB2415=0,"",IF(COUNT(INDEX($G$1531:$G$2030,AB2415))=1,INDEX($G$1531:$G$2030,AB2415),"")))</x:f>
      </x:c>
      <x:c r="M2415" s="1" t="str">
        <x:f>IF(A2415="","",IF(AI2415="Yes","Verified","Listed"))</x:f>
      </x:c>
      <x:c r="N2415" s="1" t="str">
        <x:f>IF(A2415="","",IF(AJ2415="Yes","Verified","Listed"))</x:f>
      </x:c>
      <x:c r="O2415" s="1" t="str">
        <x:f>IF(AND(ISNUMBER(G2415),G2415&gt;=0,G2415&lt;=1),IF(G2415&gt;=0.9,30,IF(G2415&gt;=0.8,25,IF(G2415&gt;=0.7,20,IF(G2415&gt;=0.6,15,IF(G2415&gt;=0.5,10,IF(G2415&gt;=0.4,5,0)))))),"")</x:f>
      </x:c>
      <x:c r="P2415" s="1" t="str">
        <x:f>IF(ISNUMBER(K2415),IF(K2415&lt;0,"",IF(K2415&gt;1,25,IF(K2415&gt;=0.75,20,IF(K2415&gt;=0.5,15,IF(K2415&gt;=0.25,10,5))))),"")</x:f>
      </x:c>
      <x:c r="Q2415" s="1" t="str">
        <x:f>IF(NOT(ISNUMBER(L2415)),"",IF(AND(L2415&gt;=0,MOD(L2415,1)=0),MAX(0,25-5*L2415),""))</x:f>
      </x:c>
      <x:c r="R2415" s="1" t="str">
        <x:f>IF(NOT(ISNUMBER(F2415)),"",IF(AND(F2415&gt;0,MOD(F2415,1)=0),IF(F2415&gt;=700,5,IF(F2415&gt;=500,4,IF(F2415&gt;=350,3,IF(F2415&gt;=200,2,1)))),""))</x:f>
      </x:c>
      <x:c r="S2415" s="1" t="str">
        <x:f>IF(COUNT(O2415:R2415)=4,SUM(O2415:R2415),"")</x:f>
      </x:c>
      <x:c r="T2415" s="1" t="str">
        <x:f>IF(OR(COUNT(O2415:R2415)&lt;&gt;4,COUNT('Top 15'!$B$35:$E$35)&lt;&gt;4,MIN('Top 15'!$B$35:$E$35)&lt;0,SUM('Top 15'!$B$35:$E$35)&lt;=0),"",ROUND(85*(O2415/30*'Top 15'!$B$35+P2415/25*'Top 15'!$C$35+Q2415/25*'Top 15'!$D$35+R2415/5*'Top 15'!$E$35)/SUM('Top 15'!$B$35:$E$35),6))</x:f>
      </x:c>
      <x:c r="U2415" s="1" t="str">
        <x:f>IF(A2415="","",IF(AND(M2415="Verified",N2415="Verified"),"Verified",IF(AND(M2415="Listed",N2415="Listed"),"Listed","Mixed")))</x:f>
      </x:c>
      <x:c r="V2415" s="1" t="str">
        <x:f>IF(A2415="","",IF(AK2415&lt;&gt;1,"Duplicate source ID",IF(COUNTIFS('Staff Review'!$A$8:$A$507,A2415)&gt;1,"Duplicate review ID",IF(H2415&lt;&gt;"Yes","Outside scope",IF(J2415="Yes","Already served",IF(NOT(ISNUMBER(T2415)),"Missing data","Candidate"))))))</x:f>
      </x:c>
      <x:c r="W2415" s="1" t="str">
        <x:f>IF(AL2415=0,"",1+COUNTIFS($AL$2051:$AL$2550,1,$T$2051:$T$2550,"&gt;"&amp;T2415)+COUNTIFS($AL$2051:$AL$2550,1,$T$2051:$T$2550,T2415,$G$2051:$G$2550,"&gt;"&amp;G2415)+COUNTIFS($AL$2051:$AL$2550,1,$T$2051:$T$2550,T2415,$G$2051:$G$2550,G2415,$F$2051:$F$2550,"&gt;"&amp;F2415)+COUNTIFS($AL$2051:$AL$2550,1,$T$2051:$T$2550,T2415,$G$2051:$G$2550,G2415,$F$2051:$F$2550,F2415,$AM$2051:$AM$2550,"&lt;"&amp;AM2415))</x:f>
      </x:c>
      <x:c r="X2415" s="1" t="str">
        <x:f>IF(AL2415=0,"",1+COUNTIFS($AL$2051:$AL$2550,1,$T$2051:$T$2550,"&gt;"&amp;T2415))</x:f>
      </x:c>
      <x:c r="Y2415" s="1" t="n">
        <x:f>IF(AND(H2415="Yes",OR(LEN('School Search'!$B$5)=0,ISNUMBER(SEARCH('School Search'!$B$5,B2415&amp;" "&amp;E2415&amp;" "&amp;A2415))),OR('School Search'!$D$5="All",C2415='School Search'!$D$5),OR('School Search'!$G$5="All eligible",AND('School Search'!$G$5="Not marked served",J2415&lt;&gt;"Yes"),AND('School Search'!$G$5="Missing data",V2415="Missing data"),AND('School Search'!$G$5="Marked served",J2415="Yes"))),1,0)</x:f>
        <x:v>0</x:v>
      </x:c>
      <x:c r="Z2415" s="1" t="str">
        <x:f>IF(Y2415=0,"",COUNTIFS($Y$2051:$Y$2550,1,$AO$2051:$AO$2550,"&lt;"&amp;AO2415)+COUNTIFS($Y$2051:Y2415,1,$AO$2051:AO2415,AO2415))</x:f>
      </x:c>
      <x:c r="AA2415" s="1" t="str">
        <x:f>IF(NOT(ISNUMBER(S2415)),"Missing demographic or access input",TEXT(G2415,"0%")&amp;" economic need; "&amp;TEXT(K2415,"0.00")&amp;" mi fresh access; "&amp;L2415&amp;" nearby resources")</x:f>
        <x:v>Missing demographic or access input</x:v>
      </x:c>
      <x:c r="AB2415" s="1" t="n">
        <x:f>IF(OR(A2415="",COUNTIFS($A$1531:$A$2030,A2415)&lt;&gt;1),0,MATCH(A2415,$A$1531:$A$2030,0))</x:f>
        <x:v>0</x:v>
      </x:c>
      <x:c r="AC2415" s="1" t="str">
        <x:f>IF(AB2415=0,"",INDEX($E$1531:$E$2030,AB2415))</x:f>
      </x:c>
      <x:c r="AD2415" s="1" t="str">
        <x:f>IF(AB2415=0,"",INDEX($F$1531:$F$2030,AB2415))</x:f>
      </x:c>
      <x:c r="AE2415" s="1" t="str">
        <x:f>IF(A2415="","",F366)</x:f>
      </x:c>
      <x:c r="AF2415" s="1" t="str">
        <x:f>IF(ISNUMBER(I366),I366,"")</x:f>
      </x:c>
      <x:c r="AG2415" s="1" t="str">
        <x:f>IF(ISNUMBER(J366),J366,"")</x:f>
      </x:c>
      <x:c r="AH2415" s="1" t="str">
        <x:f>IF(I2415=0,"Not contacted",IF(INDEX('Staff Review'!$J$8:$J$507,I2415)="","Not contacted",INDEX('Staff Review'!$J$8:$J$507,I2415)))</x:f>
        <x:v>Not contacted</x:v>
      </x:c>
      <x:c r="AI2415" s="1" t="str">
        <x:f>IF(I2415=0,"No",IF(AND(COUNT(INDEX('Staff Review'!$D$8:$D$507,I2415))=1,INDEX('Staff Review'!$D$8:$D$507,I2415)&gt;=0,COUNT(INDEX('Staff Review'!$E$8:$E$507,I2415))=1,INDEX('Staff Review'!$E$8:$E$507,I2415)&gt;0,INDEX('Staff Review'!$E$8:$E$507,I2415)&lt;='Top 15'!$E$5,'Top 15'!$E$5-INDEX('Staff Review'!$E$8:$E$507,I2415)&lt;='Top 15'!$H$5,LEN(INDEX('Staff Review'!$H$8:$H$507,I2415))&gt;0),"Yes","No"))</x:f>
        <x:v>No</x:v>
      </x:c>
      <x:c r="AJ2415" s="1" t="str">
        <x:f>IF(I2415=0,"No",IF(COUNT(INDEX('Staff Review'!$F$8:$F$507,I2415))&lt;&gt;1,"No",IF(AND(INDEX('Staff Review'!$F$8:$F$507,I2415)&gt;=0,MOD(INDEX('Staff Review'!$F$8:$F$507,I2415),1)=0,COUNT(INDEX('Staff Review'!$G$8:$G$507,I2415))=1,INDEX('Staff Review'!$G$8:$G$507,I2415)&gt;0,INDEX('Staff Review'!$G$8:$G$507,I2415)&lt;='Top 15'!$E$5,'Top 15'!$E$5-INDEX('Staff Review'!$G$8:$G$507,I2415)&lt;='Top 15'!$H$5,LEN(INDEX('Staff Review'!$H$8:$H$507,I2415))&gt;0),"Yes","No")))</x:f>
        <x:v>No</x:v>
      </x:c>
      <x:c r="AK2415" s="1" t="n">
        <x:f>IF(A2415="",0,COUNTIFS($A$2:$A$501,A2415))</x:f>
        <x:v>0</x:v>
      </x:c>
      <x:c r="AL2415" s="1" t="n">
        <x:f>IF(V2415="Candidate",1,0)</x:f>
        <x:v>0</x:v>
      </x:c>
      <x:c r="AM2415" s="1" t="n">
        <x:f>IF(A2415="",0,VALUE(A2415))</x:f>
        <x:v>0</x:v>
      </x:c>
      <x:c r="AN2415" s="1" t="n">
        <x:f>IF(OR(A2415="",COUNTIFS($T$41:$T$540,A2415)&lt;&gt;1),0,MATCH(A2415,$T$41:$T$540,0))</x:f>
        <x:v>0</x:v>
      </x:c>
      <x:c r="AO2415" t="n">
        <x:f>IF(ISNUMBER(W2415),W2415,10000+AM2415)</x:f>
        <x:v>10000</x:v>
      </x:c>
    </x:row>
    <x:row r="2416" ht="22" customHeight="1">
      <x:c r="A2416" s="1" t="str">
        <x:f>IF(A367="","",A367)</x:f>
      </x:c>
      <x:c r="B2416" s="1" t="str">
        <x:f>IF(A2416="","",B367)</x:f>
      </x:c>
      <x:c r="C2416" s="1" t="str">
        <x:f>IF(A2416="","",C367)</x:f>
      </x:c>
      <x:c r="D2416" s="1" t="str">
        <x:f>IF(A2416="","",E367)</x:f>
      </x:c>
      <x:c r="E2416" s="1" t="str">
        <x:f>IF(A2416="","",H367)</x:f>
      </x:c>
      <x:c r="F2416" s="1" t="str">
        <x:f>IF(ISNUMBER(K367),K367,"")</x:f>
      </x:c>
      <x:c r="G2416" s="1" t="str">
        <x:f>IF(ISNUMBER(L367),L367,"")</x:f>
      </x:c>
      <x:c r="H2416" s="1" t="str">
        <x:f>IF(A2416="","",IF(AND(UPPER(G367)="PHILADELPHIA",OR(C2416="District",AND(C2416="Charter",D367="Yes"))),"Yes","No"))</x:f>
      </x:c>
      <x:c r="I2416" s="1" t="n">
        <x:f>IF(OR(A2416="",COUNTIFS('Staff Review'!$A$8:$A$507,A2416)&lt;&gt;1),0,MATCH(A2416,'Staff Review'!$A$8:$A$507,0))</x:f>
        <x:v>0</x:v>
      </x:c>
      <x:c r="J2416" s="1" t="str">
        <x:f>IF(I2416=0,"No",IF(INDEX('Staff Review'!$C$8:$C$507,I2416)="Yes","Yes","No"))</x:f>
        <x:v>No</x:v>
      </x:c>
      <x:c r="K2416" s="1" t="str">
        <x:f>IF(AI2416="Yes",INDEX('Staff Review'!$D$8:$D$507,I2416),IF(AB2416=0,"",IF(COUNT(INDEX($C$1531:$C$2030,AB2416))=1,INDEX($C$1531:$C$2030,AB2416),"")))</x:f>
      </x:c>
      <x:c r="L2416" s="1" t="str">
        <x:f>IF(AJ2416="Yes",INDEX('Staff Review'!$F$8:$F$507,I2416),IF(AB2416=0,"",IF(COUNT(INDEX($G$1531:$G$2030,AB2416))=1,INDEX($G$1531:$G$2030,AB2416),"")))</x:f>
      </x:c>
      <x:c r="M2416" s="1" t="str">
        <x:f>IF(A2416="","",IF(AI2416="Yes","Verified","Listed"))</x:f>
      </x:c>
      <x:c r="N2416" s="1" t="str">
        <x:f>IF(A2416="","",IF(AJ2416="Yes","Verified","Listed"))</x:f>
      </x:c>
      <x:c r="O2416" s="1" t="str">
        <x:f>IF(AND(ISNUMBER(G2416),G2416&gt;=0,G2416&lt;=1),IF(G2416&gt;=0.9,30,IF(G2416&gt;=0.8,25,IF(G2416&gt;=0.7,20,IF(G2416&gt;=0.6,15,IF(G2416&gt;=0.5,10,IF(G2416&gt;=0.4,5,0)))))),"")</x:f>
      </x:c>
      <x:c r="P2416" s="1" t="str">
        <x:f>IF(ISNUMBER(K2416),IF(K2416&lt;0,"",IF(K2416&gt;1,25,IF(K2416&gt;=0.75,20,IF(K2416&gt;=0.5,15,IF(K2416&gt;=0.25,10,5))))),"")</x:f>
      </x:c>
      <x:c r="Q2416" s="1" t="str">
        <x:f>IF(NOT(ISNUMBER(L2416)),"",IF(AND(L2416&gt;=0,MOD(L2416,1)=0),MAX(0,25-5*L2416),""))</x:f>
      </x:c>
      <x:c r="R2416" s="1" t="str">
        <x:f>IF(NOT(ISNUMBER(F2416)),"",IF(AND(F2416&gt;0,MOD(F2416,1)=0),IF(F2416&gt;=700,5,IF(F2416&gt;=500,4,IF(F2416&gt;=350,3,IF(F2416&gt;=200,2,1)))),""))</x:f>
      </x:c>
      <x:c r="S2416" s="1" t="str">
        <x:f>IF(COUNT(O2416:R2416)=4,SUM(O2416:R2416),"")</x:f>
      </x:c>
      <x:c r="T2416" s="1" t="str">
        <x:f>IF(OR(COUNT(O2416:R2416)&lt;&gt;4,COUNT('Top 15'!$B$35:$E$35)&lt;&gt;4,MIN('Top 15'!$B$35:$E$35)&lt;0,SUM('Top 15'!$B$35:$E$35)&lt;=0),"",ROUND(85*(O2416/30*'Top 15'!$B$35+P2416/25*'Top 15'!$C$35+Q2416/25*'Top 15'!$D$35+R2416/5*'Top 15'!$E$35)/SUM('Top 15'!$B$35:$E$35),6))</x:f>
      </x:c>
      <x:c r="U2416" s="1" t="str">
        <x:f>IF(A2416="","",IF(AND(M2416="Verified",N2416="Verified"),"Verified",IF(AND(M2416="Listed",N2416="Listed"),"Listed","Mixed")))</x:f>
      </x:c>
      <x:c r="V2416" s="1" t="str">
        <x:f>IF(A2416="","",IF(AK2416&lt;&gt;1,"Duplicate source ID",IF(COUNTIFS('Staff Review'!$A$8:$A$507,A2416)&gt;1,"Duplicate review ID",IF(H2416&lt;&gt;"Yes","Outside scope",IF(J2416="Yes","Already served",IF(NOT(ISNUMBER(T2416)),"Missing data","Candidate"))))))</x:f>
      </x:c>
      <x:c r="W2416" s="1" t="str">
        <x:f>IF(AL2416=0,"",1+COUNTIFS($AL$2051:$AL$2550,1,$T$2051:$T$2550,"&gt;"&amp;T2416)+COUNTIFS($AL$2051:$AL$2550,1,$T$2051:$T$2550,T2416,$G$2051:$G$2550,"&gt;"&amp;G2416)+COUNTIFS($AL$2051:$AL$2550,1,$T$2051:$T$2550,T2416,$G$2051:$G$2550,G2416,$F$2051:$F$2550,"&gt;"&amp;F2416)+COUNTIFS($AL$2051:$AL$2550,1,$T$2051:$T$2550,T2416,$G$2051:$G$2550,G2416,$F$2051:$F$2550,F2416,$AM$2051:$AM$2550,"&lt;"&amp;AM2416))</x:f>
      </x:c>
      <x:c r="X2416" s="1" t="str">
        <x:f>IF(AL2416=0,"",1+COUNTIFS($AL$2051:$AL$2550,1,$T$2051:$T$2550,"&gt;"&amp;T2416))</x:f>
      </x:c>
      <x:c r="Y2416" s="1" t="n">
        <x:f>IF(AND(H2416="Yes",OR(LEN('School Search'!$B$5)=0,ISNUMBER(SEARCH('School Search'!$B$5,B2416&amp;" "&amp;E2416&amp;" "&amp;A2416))),OR('School Search'!$D$5="All",C2416='School Search'!$D$5),OR('School Search'!$G$5="All eligible",AND('School Search'!$G$5="Not marked served",J2416&lt;&gt;"Yes"),AND('School Search'!$G$5="Missing data",V2416="Missing data"),AND('School Search'!$G$5="Marked served",J2416="Yes"))),1,0)</x:f>
        <x:v>0</x:v>
      </x:c>
      <x:c r="Z2416" s="1" t="str">
        <x:f>IF(Y2416=0,"",COUNTIFS($Y$2051:$Y$2550,1,$AO$2051:$AO$2550,"&lt;"&amp;AO2416)+COUNTIFS($Y$2051:Y2416,1,$AO$2051:AO2416,AO2416))</x:f>
      </x:c>
      <x:c r="AA2416" s="1" t="str">
        <x:f>IF(NOT(ISNUMBER(S2416)),"Missing demographic or access input",TEXT(G2416,"0%")&amp;" economic need; "&amp;TEXT(K2416,"0.00")&amp;" mi fresh access; "&amp;L2416&amp;" nearby resources")</x:f>
        <x:v>Missing demographic or access input</x:v>
      </x:c>
      <x:c r="AB2416" s="1" t="n">
        <x:f>IF(OR(A2416="",COUNTIFS($A$1531:$A$2030,A2416)&lt;&gt;1),0,MATCH(A2416,$A$1531:$A$2030,0))</x:f>
        <x:v>0</x:v>
      </x:c>
      <x:c r="AC2416" s="1" t="str">
        <x:f>IF(AB2416=0,"",INDEX($E$1531:$E$2030,AB2416))</x:f>
      </x:c>
      <x:c r="AD2416" s="1" t="str">
        <x:f>IF(AB2416=0,"",INDEX($F$1531:$F$2030,AB2416))</x:f>
      </x:c>
      <x:c r="AE2416" s="1" t="str">
        <x:f>IF(A2416="","",F367)</x:f>
      </x:c>
      <x:c r="AF2416" s="1" t="str">
        <x:f>IF(ISNUMBER(I367),I367,"")</x:f>
      </x:c>
      <x:c r="AG2416" s="1" t="str">
        <x:f>IF(ISNUMBER(J367),J367,"")</x:f>
      </x:c>
      <x:c r="AH2416" s="1" t="str">
        <x:f>IF(I2416=0,"Not contacted",IF(INDEX('Staff Review'!$J$8:$J$507,I2416)="","Not contacted",INDEX('Staff Review'!$J$8:$J$507,I2416)))</x:f>
        <x:v>Not contacted</x:v>
      </x:c>
      <x:c r="AI2416" s="1" t="str">
        <x:f>IF(I2416=0,"No",IF(AND(COUNT(INDEX('Staff Review'!$D$8:$D$507,I2416))=1,INDEX('Staff Review'!$D$8:$D$507,I2416)&gt;=0,COUNT(INDEX('Staff Review'!$E$8:$E$507,I2416))=1,INDEX('Staff Review'!$E$8:$E$507,I2416)&gt;0,INDEX('Staff Review'!$E$8:$E$507,I2416)&lt;='Top 15'!$E$5,'Top 15'!$E$5-INDEX('Staff Review'!$E$8:$E$507,I2416)&lt;='Top 15'!$H$5,LEN(INDEX('Staff Review'!$H$8:$H$507,I2416))&gt;0),"Yes","No"))</x:f>
        <x:v>No</x:v>
      </x:c>
      <x:c r="AJ2416" s="1" t="str">
        <x:f>IF(I2416=0,"No",IF(COUNT(INDEX('Staff Review'!$F$8:$F$507,I2416))&lt;&gt;1,"No",IF(AND(INDEX('Staff Review'!$F$8:$F$507,I2416)&gt;=0,MOD(INDEX('Staff Review'!$F$8:$F$507,I2416),1)=0,COUNT(INDEX('Staff Review'!$G$8:$G$507,I2416))=1,INDEX('Staff Review'!$G$8:$G$507,I2416)&gt;0,INDEX('Staff Review'!$G$8:$G$507,I2416)&lt;='Top 15'!$E$5,'Top 15'!$E$5-INDEX('Staff Review'!$G$8:$G$507,I2416)&lt;='Top 15'!$H$5,LEN(INDEX('Staff Review'!$H$8:$H$507,I2416))&gt;0),"Yes","No")))</x:f>
        <x:v>No</x:v>
      </x:c>
      <x:c r="AK2416" s="1" t="n">
        <x:f>IF(A2416="",0,COUNTIFS($A$2:$A$501,A2416))</x:f>
        <x:v>0</x:v>
      </x:c>
      <x:c r="AL2416" s="1" t="n">
        <x:f>IF(V2416="Candidate",1,0)</x:f>
        <x:v>0</x:v>
      </x:c>
      <x:c r="AM2416" s="1" t="n">
        <x:f>IF(A2416="",0,VALUE(A2416))</x:f>
        <x:v>0</x:v>
      </x:c>
      <x:c r="AN2416" s="1" t="n">
        <x:f>IF(OR(A2416="",COUNTIFS($T$41:$T$540,A2416)&lt;&gt;1),0,MATCH(A2416,$T$41:$T$540,0))</x:f>
        <x:v>0</x:v>
      </x:c>
      <x:c r="AO2416" t="n">
        <x:f>IF(ISNUMBER(W2416),W2416,10000+AM2416)</x:f>
        <x:v>10000</x:v>
      </x:c>
    </x:row>
    <x:row r="2417" ht="22" customHeight="1">
      <x:c r="A2417" s="1" t="str">
        <x:f>IF(A368="","",A368)</x:f>
      </x:c>
      <x:c r="B2417" s="1" t="str">
        <x:f>IF(A2417="","",B368)</x:f>
      </x:c>
      <x:c r="C2417" s="1" t="str">
        <x:f>IF(A2417="","",C368)</x:f>
      </x:c>
      <x:c r="D2417" s="1" t="str">
        <x:f>IF(A2417="","",E368)</x:f>
      </x:c>
      <x:c r="E2417" s="1" t="str">
        <x:f>IF(A2417="","",H368)</x:f>
      </x:c>
      <x:c r="F2417" s="1" t="str">
        <x:f>IF(ISNUMBER(K368),K368,"")</x:f>
      </x:c>
      <x:c r="G2417" s="1" t="str">
        <x:f>IF(ISNUMBER(L368),L368,"")</x:f>
      </x:c>
      <x:c r="H2417" s="1" t="str">
        <x:f>IF(A2417="","",IF(AND(UPPER(G368)="PHILADELPHIA",OR(C2417="District",AND(C2417="Charter",D368="Yes"))),"Yes","No"))</x:f>
      </x:c>
      <x:c r="I2417" s="1" t="n">
        <x:f>IF(OR(A2417="",COUNTIFS('Staff Review'!$A$8:$A$507,A2417)&lt;&gt;1),0,MATCH(A2417,'Staff Review'!$A$8:$A$507,0))</x:f>
        <x:v>0</x:v>
      </x:c>
      <x:c r="J2417" s="1" t="str">
        <x:f>IF(I2417=0,"No",IF(INDEX('Staff Review'!$C$8:$C$507,I2417)="Yes","Yes","No"))</x:f>
        <x:v>No</x:v>
      </x:c>
      <x:c r="K2417" s="1" t="str">
        <x:f>IF(AI2417="Yes",INDEX('Staff Review'!$D$8:$D$507,I2417),IF(AB2417=0,"",IF(COUNT(INDEX($C$1531:$C$2030,AB2417))=1,INDEX($C$1531:$C$2030,AB2417),"")))</x:f>
      </x:c>
      <x:c r="L2417" s="1" t="str">
        <x:f>IF(AJ2417="Yes",INDEX('Staff Review'!$F$8:$F$507,I2417),IF(AB2417=0,"",IF(COUNT(INDEX($G$1531:$G$2030,AB2417))=1,INDEX($G$1531:$G$2030,AB2417),"")))</x:f>
      </x:c>
      <x:c r="M2417" s="1" t="str">
        <x:f>IF(A2417="","",IF(AI2417="Yes","Verified","Listed"))</x:f>
      </x:c>
      <x:c r="N2417" s="1" t="str">
        <x:f>IF(A2417="","",IF(AJ2417="Yes","Verified","Listed"))</x:f>
      </x:c>
      <x:c r="O2417" s="1" t="str">
        <x:f>IF(AND(ISNUMBER(G2417),G2417&gt;=0,G2417&lt;=1),IF(G2417&gt;=0.9,30,IF(G2417&gt;=0.8,25,IF(G2417&gt;=0.7,20,IF(G2417&gt;=0.6,15,IF(G2417&gt;=0.5,10,IF(G2417&gt;=0.4,5,0)))))),"")</x:f>
      </x:c>
      <x:c r="P2417" s="1" t="str">
        <x:f>IF(ISNUMBER(K2417),IF(K2417&lt;0,"",IF(K2417&gt;1,25,IF(K2417&gt;=0.75,20,IF(K2417&gt;=0.5,15,IF(K2417&gt;=0.25,10,5))))),"")</x:f>
      </x:c>
      <x:c r="Q2417" s="1" t="str">
        <x:f>IF(NOT(ISNUMBER(L2417)),"",IF(AND(L2417&gt;=0,MOD(L2417,1)=0),MAX(0,25-5*L2417),""))</x:f>
      </x:c>
      <x:c r="R2417" s="1" t="str">
        <x:f>IF(NOT(ISNUMBER(F2417)),"",IF(AND(F2417&gt;0,MOD(F2417,1)=0),IF(F2417&gt;=700,5,IF(F2417&gt;=500,4,IF(F2417&gt;=350,3,IF(F2417&gt;=200,2,1)))),""))</x:f>
      </x:c>
      <x:c r="S2417" s="1" t="str">
        <x:f>IF(COUNT(O2417:R2417)=4,SUM(O2417:R2417),"")</x:f>
      </x:c>
      <x:c r="T2417" s="1" t="str">
        <x:f>IF(OR(COUNT(O2417:R2417)&lt;&gt;4,COUNT('Top 15'!$B$35:$E$35)&lt;&gt;4,MIN('Top 15'!$B$35:$E$35)&lt;0,SUM('Top 15'!$B$35:$E$35)&lt;=0),"",ROUND(85*(O2417/30*'Top 15'!$B$35+P2417/25*'Top 15'!$C$35+Q2417/25*'Top 15'!$D$35+R2417/5*'Top 15'!$E$35)/SUM('Top 15'!$B$35:$E$35),6))</x:f>
      </x:c>
      <x:c r="U2417" s="1" t="str">
        <x:f>IF(A2417="","",IF(AND(M2417="Verified",N2417="Verified"),"Verified",IF(AND(M2417="Listed",N2417="Listed"),"Listed","Mixed")))</x:f>
      </x:c>
      <x:c r="V2417" s="1" t="str">
        <x:f>IF(A2417="","",IF(AK2417&lt;&gt;1,"Duplicate source ID",IF(COUNTIFS('Staff Review'!$A$8:$A$507,A2417)&gt;1,"Duplicate review ID",IF(H2417&lt;&gt;"Yes","Outside scope",IF(J2417="Yes","Already served",IF(NOT(ISNUMBER(T2417)),"Missing data","Candidate"))))))</x:f>
      </x:c>
      <x:c r="W2417" s="1" t="str">
        <x:f>IF(AL2417=0,"",1+COUNTIFS($AL$2051:$AL$2550,1,$T$2051:$T$2550,"&gt;"&amp;T2417)+COUNTIFS($AL$2051:$AL$2550,1,$T$2051:$T$2550,T2417,$G$2051:$G$2550,"&gt;"&amp;G2417)+COUNTIFS($AL$2051:$AL$2550,1,$T$2051:$T$2550,T2417,$G$2051:$G$2550,G2417,$F$2051:$F$2550,"&gt;"&amp;F2417)+COUNTIFS($AL$2051:$AL$2550,1,$T$2051:$T$2550,T2417,$G$2051:$G$2550,G2417,$F$2051:$F$2550,F2417,$AM$2051:$AM$2550,"&lt;"&amp;AM2417))</x:f>
      </x:c>
      <x:c r="X2417" s="1" t="str">
        <x:f>IF(AL2417=0,"",1+COUNTIFS($AL$2051:$AL$2550,1,$T$2051:$T$2550,"&gt;"&amp;T2417))</x:f>
      </x:c>
      <x:c r="Y2417" s="1" t="n">
        <x:f>IF(AND(H2417="Yes",OR(LEN('School Search'!$B$5)=0,ISNUMBER(SEARCH('School Search'!$B$5,B2417&amp;" "&amp;E2417&amp;" "&amp;A2417))),OR('School Search'!$D$5="All",C2417='School Search'!$D$5),OR('School Search'!$G$5="All eligible",AND('School Search'!$G$5="Not marked served",J2417&lt;&gt;"Yes"),AND('School Search'!$G$5="Missing data",V2417="Missing data"),AND('School Search'!$G$5="Marked served",J2417="Yes"))),1,0)</x:f>
        <x:v>0</x:v>
      </x:c>
      <x:c r="Z2417" s="1" t="str">
        <x:f>IF(Y2417=0,"",COUNTIFS($Y$2051:$Y$2550,1,$AO$2051:$AO$2550,"&lt;"&amp;AO2417)+COUNTIFS($Y$2051:Y2417,1,$AO$2051:AO2417,AO2417))</x:f>
      </x:c>
      <x:c r="AA2417" s="1" t="str">
        <x:f>IF(NOT(ISNUMBER(S2417)),"Missing demographic or access input",TEXT(G2417,"0%")&amp;" economic need; "&amp;TEXT(K2417,"0.00")&amp;" mi fresh access; "&amp;L2417&amp;" nearby resources")</x:f>
        <x:v>Missing demographic or access input</x:v>
      </x:c>
      <x:c r="AB2417" s="1" t="n">
        <x:f>IF(OR(A2417="",COUNTIFS($A$1531:$A$2030,A2417)&lt;&gt;1),0,MATCH(A2417,$A$1531:$A$2030,0))</x:f>
        <x:v>0</x:v>
      </x:c>
      <x:c r="AC2417" s="1" t="str">
        <x:f>IF(AB2417=0,"",INDEX($E$1531:$E$2030,AB2417))</x:f>
      </x:c>
      <x:c r="AD2417" s="1" t="str">
        <x:f>IF(AB2417=0,"",INDEX($F$1531:$F$2030,AB2417))</x:f>
      </x:c>
      <x:c r="AE2417" s="1" t="str">
        <x:f>IF(A2417="","",F368)</x:f>
      </x:c>
      <x:c r="AF2417" s="1" t="str">
        <x:f>IF(ISNUMBER(I368),I368,"")</x:f>
      </x:c>
      <x:c r="AG2417" s="1" t="str">
        <x:f>IF(ISNUMBER(J368),J368,"")</x:f>
      </x:c>
      <x:c r="AH2417" s="1" t="str">
        <x:f>IF(I2417=0,"Not contacted",IF(INDEX('Staff Review'!$J$8:$J$507,I2417)="","Not contacted",INDEX('Staff Review'!$J$8:$J$507,I2417)))</x:f>
        <x:v>Not contacted</x:v>
      </x:c>
      <x:c r="AI2417" s="1" t="str">
        <x:f>IF(I2417=0,"No",IF(AND(COUNT(INDEX('Staff Review'!$D$8:$D$507,I2417))=1,INDEX('Staff Review'!$D$8:$D$507,I2417)&gt;=0,COUNT(INDEX('Staff Review'!$E$8:$E$507,I2417))=1,INDEX('Staff Review'!$E$8:$E$507,I2417)&gt;0,INDEX('Staff Review'!$E$8:$E$507,I2417)&lt;='Top 15'!$E$5,'Top 15'!$E$5-INDEX('Staff Review'!$E$8:$E$507,I2417)&lt;='Top 15'!$H$5,LEN(INDEX('Staff Review'!$H$8:$H$507,I2417))&gt;0),"Yes","No"))</x:f>
        <x:v>No</x:v>
      </x:c>
      <x:c r="AJ2417" s="1" t="str">
        <x:f>IF(I2417=0,"No",IF(COUNT(INDEX('Staff Review'!$F$8:$F$507,I2417))&lt;&gt;1,"No",IF(AND(INDEX('Staff Review'!$F$8:$F$507,I2417)&gt;=0,MOD(INDEX('Staff Review'!$F$8:$F$507,I2417),1)=0,COUNT(INDEX('Staff Review'!$G$8:$G$507,I2417))=1,INDEX('Staff Review'!$G$8:$G$507,I2417)&gt;0,INDEX('Staff Review'!$G$8:$G$507,I2417)&lt;='Top 15'!$E$5,'Top 15'!$E$5-INDEX('Staff Review'!$G$8:$G$507,I2417)&lt;='Top 15'!$H$5,LEN(INDEX('Staff Review'!$H$8:$H$507,I2417))&gt;0),"Yes","No")))</x:f>
        <x:v>No</x:v>
      </x:c>
      <x:c r="AK2417" s="1" t="n">
        <x:f>IF(A2417="",0,COUNTIFS($A$2:$A$501,A2417))</x:f>
        <x:v>0</x:v>
      </x:c>
      <x:c r="AL2417" s="1" t="n">
        <x:f>IF(V2417="Candidate",1,0)</x:f>
        <x:v>0</x:v>
      </x:c>
      <x:c r="AM2417" s="1" t="n">
        <x:f>IF(A2417="",0,VALUE(A2417))</x:f>
        <x:v>0</x:v>
      </x:c>
      <x:c r="AN2417" s="1" t="n">
        <x:f>IF(OR(A2417="",COUNTIFS($T$41:$T$540,A2417)&lt;&gt;1),0,MATCH(A2417,$T$41:$T$540,0))</x:f>
        <x:v>0</x:v>
      </x:c>
      <x:c r="AO2417" t="n">
        <x:f>IF(ISNUMBER(W2417),W2417,10000+AM2417)</x:f>
        <x:v>10000</x:v>
      </x:c>
    </x:row>
    <x:row r="2418" ht="22" customHeight="1">
      <x:c r="A2418" s="1" t="str">
        <x:f>IF(A369="","",A369)</x:f>
      </x:c>
      <x:c r="B2418" s="1" t="str">
        <x:f>IF(A2418="","",B369)</x:f>
      </x:c>
      <x:c r="C2418" s="1" t="str">
        <x:f>IF(A2418="","",C369)</x:f>
      </x:c>
      <x:c r="D2418" s="1" t="str">
        <x:f>IF(A2418="","",E369)</x:f>
      </x:c>
      <x:c r="E2418" s="1" t="str">
        <x:f>IF(A2418="","",H369)</x:f>
      </x:c>
      <x:c r="F2418" s="1" t="str">
        <x:f>IF(ISNUMBER(K369),K369,"")</x:f>
      </x:c>
      <x:c r="G2418" s="1" t="str">
        <x:f>IF(ISNUMBER(L369),L369,"")</x:f>
      </x:c>
      <x:c r="H2418" s="1" t="str">
        <x:f>IF(A2418="","",IF(AND(UPPER(G369)="PHILADELPHIA",OR(C2418="District",AND(C2418="Charter",D369="Yes"))),"Yes","No"))</x:f>
      </x:c>
      <x:c r="I2418" s="1" t="n">
        <x:f>IF(OR(A2418="",COUNTIFS('Staff Review'!$A$8:$A$507,A2418)&lt;&gt;1),0,MATCH(A2418,'Staff Review'!$A$8:$A$507,0))</x:f>
        <x:v>0</x:v>
      </x:c>
      <x:c r="J2418" s="1" t="str">
        <x:f>IF(I2418=0,"No",IF(INDEX('Staff Review'!$C$8:$C$507,I2418)="Yes","Yes","No"))</x:f>
        <x:v>No</x:v>
      </x:c>
      <x:c r="K2418" s="1" t="str">
        <x:f>IF(AI2418="Yes",INDEX('Staff Review'!$D$8:$D$507,I2418),IF(AB2418=0,"",IF(COUNT(INDEX($C$1531:$C$2030,AB2418))=1,INDEX($C$1531:$C$2030,AB2418),"")))</x:f>
      </x:c>
      <x:c r="L2418" s="1" t="str">
        <x:f>IF(AJ2418="Yes",INDEX('Staff Review'!$F$8:$F$507,I2418),IF(AB2418=0,"",IF(COUNT(INDEX($G$1531:$G$2030,AB2418))=1,INDEX($G$1531:$G$2030,AB2418),"")))</x:f>
      </x:c>
      <x:c r="M2418" s="1" t="str">
        <x:f>IF(A2418="","",IF(AI2418="Yes","Verified","Listed"))</x:f>
      </x:c>
      <x:c r="N2418" s="1" t="str">
        <x:f>IF(A2418="","",IF(AJ2418="Yes","Verified","Listed"))</x:f>
      </x:c>
      <x:c r="O2418" s="1" t="str">
        <x:f>IF(AND(ISNUMBER(G2418),G2418&gt;=0,G2418&lt;=1),IF(G2418&gt;=0.9,30,IF(G2418&gt;=0.8,25,IF(G2418&gt;=0.7,20,IF(G2418&gt;=0.6,15,IF(G2418&gt;=0.5,10,IF(G2418&gt;=0.4,5,0)))))),"")</x:f>
      </x:c>
      <x:c r="P2418" s="1" t="str">
        <x:f>IF(ISNUMBER(K2418),IF(K2418&lt;0,"",IF(K2418&gt;1,25,IF(K2418&gt;=0.75,20,IF(K2418&gt;=0.5,15,IF(K2418&gt;=0.25,10,5))))),"")</x:f>
      </x:c>
      <x:c r="Q2418" s="1" t="str">
        <x:f>IF(NOT(ISNUMBER(L2418)),"",IF(AND(L2418&gt;=0,MOD(L2418,1)=0),MAX(0,25-5*L2418),""))</x:f>
      </x:c>
      <x:c r="R2418" s="1" t="str">
        <x:f>IF(NOT(ISNUMBER(F2418)),"",IF(AND(F2418&gt;0,MOD(F2418,1)=0),IF(F2418&gt;=700,5,IF(F2418&gt;=500,4,IF(F2418&gt;=350,3,IF(F2418&gt;=200,2,1)))),""))</x:f>
      </x:c>
      <x:c r="S2418" s="1" t="str">
        <x:f>IF(COUNT(O2418:R2418)=4,SUM(O2418:R2418),"")</x:f>
      </x:c>
      <x:c r="T2418" s="1" t="str">
        <x:f>IF(OR(COUNT(O2418:R2418)&lt;&gt;4,COUNT('Top 15'!$B$35:$E$35)&lt;&gt;4,MIN('Top 15'!$B$35:$E$35)&lt;0,SUM('Top 15'!$B$35:$E$35)&lt;=0),"",ROUND(85*(O2418/30*'Top 15'!$B$35+P2418/25*'Top 15'!$C$35+Q2418/25*'Top 15'!$D$35+R2418/5*'Top 15'!$E$35)/SUM('Top 15'!$B$35:$E$35),6))</x:f>
      </x:c>
      <x:c r="U2418" s="1" t="str">
        <x:f>IF(A2418="","",IF(AND(M2418="Verified",N2418="Verified"),"Verified",IF(AND(M2418="Listed",N2418="Listed"),"Listed","Mixed")))</x:f>
      </x:c>
      <x:c r="V2418" s="1" t="str">
        <x:f>IF(A2418="","",IF(AK2418&lt;&gt;1,"Duplicate source ID",IF(COUNTIFS('Staff Review'!$A$8:$A$507,A2418)&gt;1,"Duplicate review ID",IF(H2418&lt;&gt;"Yes","Outside scope",IF(J2418="Yes","Already served",IF(NOT(ISNUMBER(T2418)),"Missing data","Candidate"))))))</x:f>
      </x:c>
      <x:c r="W2418" s="1" t="str">
        <x:f>IF(AL2418=0,"",1+COUNTIFS($AL$2051:$AL$2550,1,$T$2051:$T$2550,"&gt;"&amp;T2418)+COUNTIFS($AL$2051:$AL$2550,1,$T$2051:$T$2550,T2418,$G$2051:$G$2550,"&gt;"&amp;G2418)+COUNTIFS($AL$2051:$AL$2550,1,$T$2051:$T$2550,T2418,$G$2051:$G$2550,G2418,$F$2051:$F$2550,"&gt;"&amp;F2418)+COUNTIFS($AL$2051:$AL$2550,1,$T$2051:$T$2550,T2418,$G$2051:$G$2550,G2418,$F$2051:$F$2550,F2418,$AM$2051:$AM$2550,"&lt;"&amp;AM2418))</x:f>
      </x:c>
      <x:c r="X2418" s="1" t="str">
        <x:f>IF(AL2418=0,"",1+COUNTIFS($AL$2051:$AL$2550,1,$T$2051:$T$2550,"&gt;"&amp;T2418))</x:f>
      </x:c>
      <x:c r="Y2418" s="1" t="n">
        <x:f>IF(AND(H2418="Yes",OR(LEN('School Search'!$B$5)=0,ISNUMBER(SEARCH('School Search'!$B$5,B2418&amp;" "&amp;E2418&amp;" "&amp;A2418))),OR('School Search'!$D$5="All",C2418='School Search'!$D$5),OR('School Search'!$G$5="All eligible",AND('School Search'!$G$5="Not marked served",J2418&lt;&gt;"Yes"),AND('School Search'!$G$5="Missing data",V2418="Missing data"),AND('School Search'!$G$5="Marked served",J2418="Yes"))),1,0)</x:f>
        <x:v>0</x:v>
      </x:c>
      <x:c r="Z2418" s="1" t="str">
        <x:f>IF(Y2418=0,"",COUNTIFS($Y$2051:$Y$2550,1,$AO$2051:$AO$2550,"&lt;"&amp;AO2418)+COUNTIFS($Y$2051:Y2418,1,$AO$2051:AO2418,AO2418))</x:f>
      </x:c>
      <x:c r="AA2418" s="1" t="str">
        <x:f>IF(NOT(ISNUMBER(S2418)),"Missing demographic or access input",TEXT(G2418,"0%")&amp;" economic need; "&amp;TEXT(K2418,"0.00")&amp;" mi fresh access; "&amp;L2418&amp;" nearby resources")</x:f>
        <x:v>Missing demographic or access input</x:v>
      </x:c>
      <x:c r="AB2418" s="1" t="n">
        <x:f>IF(OR(A2418="",COUNTIFS($A$1531:$A$2030,A2418)&lt;&gt;1),0,MATCH(A2418,$A$1531:$A$2030,0))</x:f>
        <x:v>0</x:v>
      </x:c>
      <x:c r="AC2418" s="1" t="str">
        <x:f>IF(AB2418=0,"",INDEX($E$1531:$E$2030,AB2418))</x:f>
      </x:c>
      <x:c r="AD2418" s="1" t="str">
        <x:f>IF(AB2418=0,"",INDEX($F$1531:$F$2030,AB2418))</x:f>
      </x:c>
      <x:c r="AE2418" s="1" t="str">
        <x:f>IF(A2418="","",F369)</x:f>
      </x:c>
      <x:c r="AF2418" s="1" t="str">
        <x:f>IF(ISNUMBER(I369),I369,"")</x:f>
      </x:c>
      <x:c r="AG2418" s="1" t="str">
        <x:f>IF(ISNUMBER(J369),J369,"")</x:f>
      </x:c>
      <x:c r="AH2418" s="1" t="str">
        <x:f>IF(I2418=0,"Not contacted",IF(INDEX('Staff Review'!$J$8:$J$507,I2418)="","Not contacted",INDEX('Staff Review'!$J$8:$J$507,I2418)))</x:f>
        <x:v>Not contacted</x:v>
      </x:c>
      <x:c r="AI2418" s="1" t="str">
        <x:f>IF(I2418=0,"No",IF(AND(COUNT(INDEX('Staff Review'!$D$8:$D$507,I2418))=1,INDEX('Staff Review'!$D$8:$D$507,I2418)&gt;=0,COUNT(INDEX('Staff Review'!$E$8:$E$507,I2418))=1,INDEX('Staff Review'!$E$8:$E$507,I2418)&gt;0,INDEX('Staff Review'!$E$8:$E$507,I2418)&lt;='Top 15'!$E$5,'Top 15'!$E$5-INDEX('Staff Review'!$E$8:$E$507,I2418)&lt;='Top 15'!$H$5,LEN(INDEX('Staff Review'!$H$8:$H$507,I2418))&gt;0),"Yes","No"))</x:f>
        <x:v>No</x:v>
      </x:c>
      <x:c r="AJ2418" s="1" t="str">
        <x:f>IF(I2418=0,"No",IF(COUNT(INDEX('Staff Review'!$F$8:$F$507,I2418))&lt;&gt;1,"No",IF(AND(INDEX('Staff Review'!$F$8:$F$507,I2418)&gt;=0,MOD(INDEX('Staff Review'!$F$8:$F$507,I2418),1)=0,COUNT(INDEX('Staff Review'!$G$8:$G$507,I2418))=1,INDEX('Staff Review'!$G$8:$G$507,I2418)&gt;0,INDEX('Staff Review'!$G$8:$G$507,I2418)&lt;='Top 15'!$E$5,'Top 15'!$E$5-INDEX('Staff Review'!$G$8:$G$507,I2418)&lt;='Top 15'!$H$5,LEN(INDEX('Staff Review'!$H$8:$H$507,I2418))&gt;0),"Yes","No")))</x:f>
        <x:v>No</x:v>
      </x:c>
      <x:c r="AK2418" s="1" t="n">
        <x:f>IF(A2418="",0,COUNTIFS($A$2:$A$501,A2418))</x:f>
        <x:v>0</x:v>
      </x:c>
      <x:c r="AL2418" s="1" t="n">
        <x:f>IF(V2418="Candidate",1,0)</x:f>
        <x:v>0</x:v>
      </x:c>
      <x:c r="AM2418" s="1" t="n">
        <x:f>IF(A2418="",0,VALUE(A2418))</x:f>
        <x:v>0</x:v>
      </x:c>
      <x:c r="AN2418" s="1" t="n">
        <x:f>IF(OR(A2418="",COUNTIFS($T$41:$T$540,A2418)&lt;&gt;1),0,MATCH(A2418,$T$41:$T$540,0))</x:f>
        <x:v>0</x:v>
      </x:c>
      <x:c r="AO2418" t="n">
        <x:f>IF(ISNUMBER(W2418),W2418,10000+AM2418)</x:f>
        <x:v>10000</x:v>
      </x:c>
    </x:row>
    <x:row r="2419" ht="22" customHeight="1">
      <x:c r="A2419" s="1" t="str">
        <x:f>IF(A370="","",A370)</x:f>
      </x:c>
      <x:c r="B2419" s="1" t="str">
        <x:f>IF(A2419="","",B370)</x:f>
      </x:c>
      <x:c r="C2419" s="1" t="str">
        <x:f>IF(A2419="","",C370)</x:f>
      </x:c>
      <x:c r="D2419" s="1" t="str">
        <x:f>IF(A2419="","",E370)</x:f>
      </x:c>
      <x:c r="E2419" s="1" t="str">
        <x:f>IF(A2419="","",H370)</x:f>
      </x:c>
      <x:c r="F2419" s="1" t="str">
        <x:f>IF(ISNUMBER(K370),K370,"")</x:f>
      </x:c>
      <x:c r="G2419" s="1" t="str">
        <x:f>IF(ISNUMBER(L370),L370,"")</x:f>
      </x:c>
      <x:c r="H2419" s="1" t="str">
        <x:f>IF(A2419="","",IF(AND(UPPER(G370)="PHILADELPHIA",OR(C2419="District",AND(C2419="Charter",D370="Yes"))),"Yes","No"))</x:f>
      </x:c>
      <x:c r="I2419" s="1" t="n">
        <x:f>IF(OR(A2419="",COUNTIFS('Staff Review'!$A$8:$A$507,A2419)&lt;&gt;1),0,MATCH(A2419,'Staff Review'!$A$8:$A$507,0))</x:f>
        <x:v>0</x:v>
      </x:c>
      <x:c r="J2419" s="1" t="str">
        <x:f>IF(I2419=0,"No",IF(INDEX('Staff Review'!$C$8:$C$507,I2419)="Yes","Yes","No"))</x:f>
        <x:v>No</x:v>
      </x:c>
      <x:c r="K2419" s="1" t="str">
        <x:f>IF(AI2419="Yes",INDEX('Staff Review'!$D$8:$D$507,I2419),IF(AB2419=0,"",IF(COUNT(INDEX($C$1531:$C$2030,AB2419))=1,INDEX($C$1531:$C$2030,AB2419),"")))</x:f>
      </x:c>
      <x:c r="L2419" s="1" t="str">
        <x:f>IF(AJ2419="Yes",INDEX('Staff Review'!$F$8:$F$507,I2419),IF(AB2419=0,"",IF(COUNT(INDEX($G$1531:$G$2030,AB2419))=1,INDEX($G$1531:$G$2030,AB2419),"")))</x:f>
      </x:c>
      <x:c r="M2419" s="1" t="str">
        <x:f>IF(A2419="","",IF(AI2419="Yes","Verified","Listed"))</x:f>
      </x:c>
      <x:c r="N2419" s="1" t="str">
        <x:f>IF(A2419="","",IF(AJ2419="Yes","Verified","Listed"))</x:f>
      </x:c>
      <x:c r="O2419" s="1" t="str">
        <x:f>IF(AND(ISNUMBER(G2419),G2419&gt;=0,G2419&lt;=1),IF(G2419&gt;=0.9,30,IF(G2419&gt;=0.8,25,IF(G2419&gt;=0.7,20,IF(G2419&gt;=0.6,15,IF(G2419&gt;=0.5,10,IF(G2419&gt;=0.4,5,0)))))),"")</x:f>
      </x:c>
      <x:c r="P2419" s="1" t="str">
        <x:f>IF(ISNUMBER(K2419),IF(K2419&lt;0,"",IF(K2419&gt;1,25,IF(K2419&gt;=0.75,20,IF(K2419&gt;=0.5,15,IF(K2419&gt;=0.25,10,5))))),"")</x:f>
      </x:c>
      <x:c r="Q2419" s="1" t="str">
        <x:f>IF(NOT(ISNUMBER(L2419)),"",IF(AND(L2419&gt;=0,MOD(L2419,1)=0),MAX(0,25-5*L2419),""))</x:f>
      </x:c>
      <x:c r="R2419" s="1" t="str">
        <x:f>IF(NOT(ISNUMBER(F2419)),"",IF(AND(F2419&gt;0,MOD(F2419,1)=0),IF(F2419&gt;=700,5,IF(F2419&gt;=500,4,IF(F2419&gt;=350,3,IF(F2419&gt;=200,2,1)))),""))</x:f>
      </x:c>
      <x:c r="S2419" s="1" t="str">
        <x:f>IF(COUNT(O2419:R2419)=4,SUM(O2419:R2419),"")</x:f>
      </x:c>
      <x:c r="T2419" s="1" t="str">
        <x:f>IF(OR(COUNT(O2419:R2419)&lt;&gt;4,COUNT('Top 15'!$B$35:$E$35)&lt;&gt;4,MIN('Top 15'!$B$35:$E$35)&lt;0,SUM('Top 15'!$B$35:$E$35)&lt;=0),"",ROUND(85*(O2419/30*'Top 15'!$B$35+P2419/25*'Top 15'!$C$35+Q2419/25*'Top 15'!$D$35+R2419/5*'Top 15'!$E$35)/SUM('Top 15'!$B$35:$E$35),6))</x:f>
      </x:c>
      <x:c r="U2419" s="1" t="str">
        <x:f>IF(A2419="","",IF(AND(M2419="Verified",N2419="Verified"),"Verified",IF(AND(M2419="Listed",N2419="Listed"),"Listed","Mixed")))</x:f>
      </x:c>
      <x:c r="V2419" s="1" t="str">
        <x:f>IF(A2419="","",IF(AK2419&lt;&gt;1,"Duplicate source ID",IF(COUNTIFS('Staff Review'!$A$8:$A$507,A2419)&gt;1,"Duplicate review ID",IF(H2419&lt;&gt;"Yes","Outside scope",IF(J2419="Yes","Already served",IF(NOT(ISNUMBER(T2419)),"Missing data","Candidate"))))))</x:f>
      </x:c>
      <x:c r="W2419" s="1" t="str">
        <x:f>IF(AL2419=0,"",1+COUNTIFS($AL$2051:$AL$2550,1,$T$2051:$T$2550,"&gt;"&amp;T2419)+COUNTIFS($AL$2051:$AL$2550,1,$T$2051:$T$2550,T2419,$G$2051:$G$2550,"&gt;"&amp;G2419)+COUNTIFS($AL$2051:$AL$2550,1,$T$2051:$T$2550,T2419,$G$2051:$G$2550,G2419,$F$2051:$F$2550,"&gt;"&amp;F2419)+COUNTIFS($AL$2051:$AL$2550,1,$T$2051:$T$2550,T2419,$G$2051:$G$2550,G2419,$F$2051:$F$2550,F2419,$AM$2051:$AM$2550,"&lt;"&amp;AM2419))</x:f>
      </x:c>
      <x:c r="X2419" s="1" t="str">
        <x:f>IF(AL2419=0,"",1+COUNTIFS($AL$2051:$AL$2550,1,$T$2051:$T$2550,"&gt;"&amp;T2419))</x:f>
      </x:c>
      <x:c r="Y2419" s="1" t="n">
        <x:f>IF(AND(H2419="Yes",OR(LEN('School Search'!$B$5)=0,ISNUMBER(SEARCH('School Search'!$B$5,B2419&amp;" "&amp;E2419&amp;" "&amp;A2419))),OR('School Search'!$D$5="All",C2419='School Search'!$D$5),OR('School Search'!$G$5="All eligible",AND('School Search'!$G$5="Not marked served",J2419&lt;&gt;"Yes"),AND('School Search'!$G$5="Missing data",V2419="Missing data"),AND('School Search'!$G$5="Marked served",J2419="Yes"))),1,0)</x:f>
        <x:v>0</x:v>
      </x:c>
      <x:c r="Z2419" s="1" t="str">
        <x:f>IF(Y2419=0,"",COUNTIFS($Y$2051:$Y$2550,1,$AO$2051:$AO$2550,"&lt;"&amp;AO2419)+COUNTIFS($Y$2051:Y2419,1,$AO$2051:AO2419,AO2419))</x:f>
      </x:c>
      <x:c r="AA2419" s="1" t="str">
        <x:f>IF(NOT(ISNUMBER(S2419)),"Missing demographic or access input",TEXT(G2419,"0%")&amp;" economic need; "&amp;TEXT(K2419,"0.00")&amp;" mi fresh access; "&amp;L2419&amp;" nearby resources")</x:f>
        <x:v>Missing demographic or access input</x:v>
      </x:c>
      <x:c r="AB2419" s="1" t="n">
        <x:f>IF(OR(A2419="",COUNTIFS($A$1531:$A$2030,A2419)&lt;&gt;1),0,MATCH(A2419,$A$1531:$A$2030,0))</x:f>
        <x:v>0</x:v>
      </x:c>
      <x:c r="AC2419" s="1" t="str">
        <x:f>IF(AB2419=0,"",INDEX($E$1531:$E$2030,AB2419))</x:f>
      </x:c>
      <x:c r="AD2419" s="1" t="str">
        <x:f>IF(AB2419=0,"",INDEX($F$1531:$F$2030,AB2419))</x:f>
      </x:c>
      <x:c r="AE2419" s="1" t="str">
        <x:f>IF(A2419="","",F370)</x:f>
      </x:c>
      <x:c r="AF2419" s="1" t="str">
        <x:f>IF(ISNUMBER(I370),I370,"")</x:f>
      </x:c>
      <x:c r="AG2419" s="1" t="str">
        <x:f>IF(ISNUMBER(J370),J370,"")</x:f>
      </x:c>
      <x:c r="AH2419" s="1" t="str">
        <x:f>IF(I2419=0,"Not contacted",IF(INDEX('Staff Review'!$J$8:$J$507,I2419)="","Not contacted",INDEX('Staff Review'!$J$8:$J$507,I2419)))</x:f>
        <x:v>Not contacted</x:v>
      </x:c>
      <x:c r="AI2419" s="1" t="str">
        <x:f>IF(I2419=0,"No",IF(AND(COUNT(INDEX('Staff Review'!$D$8:$D$507,I2419))=1,INDEX('Staff Review'!$D$8:$D$507,I2419)&gt;=0,COUNT(INDEX('Staff Review'!$E$8:$E$507,I2419))=1,INDEX('Staff Review'!$E$8:$E$507,I2419)&gt;0,INDEX('Staff Review'!$E$8:$E$507,I2419)&lt;='Top 15'!$E$5,'Top 15'!$E$5-INDEX('Staff Review'!$E$8:$E$507,I2419)&lt;='Top 15'!$H$5,LEN(INDEX('Staff Review'!$H$8:$H$507,I2419))&gt;0),"Yes","No"))</x:f>
        <x:v>No</x:v>
      </x:c>
      <x:c r="AJ2419" s="1" t="str">
        <x:f>IF(I2419=0,"No",IF(COUNT(INDEX('Staff Review'!$F$8:$F$507,I2419))&lt;&gt;1,"No",IF(AND(INDEX('Staff Review'!$F$8:$F$507,I2419)&gt;=0,MOD(INDEX('Staff Review'!$F$8:$F$507,I2419),1)=0,COUNT(INDEX('Staff Review'!$G$8:$G$507,I2419))=1,INDEX('Staff Review'!$G$8:$G$507,I2419)&gt;0,INDEX('Staff Review'!$G$8:$G$507,I2419)&lt;='Top 15'!$E$5,'Top 15'!$E$5-INDEX('Staff Review'!$G$8:$G$507,I2419)&lt;='Top 15'!$H$5,LEN(INDEX('Staff Review'!$H$8:$H$507,I2419))&gt;0),"Yes","No")))</x:f>
        <x:v>No</x:v>
      </x:c>
      <x:c r="AK2419" s="1" t="n">
        <x:f>IF(A2419="",0,COUNTIFS($A$2:$A$501,A2419))</x:f>
        <x:v>0</x:v>
      </x:c>
      <x:c r="AL2419" s="1" t="n">
        <x:f>IF(V2419="Candidate",1,0)</x:f>
        <x:v>0</x:v>
      </x:c>
      <x:c r="AM2419" s="1" t="n">
        <x:f>IF(A2419="",0,VALUE(A2419))</x:f>
        <x:v>0</x:v>
      </x:c>
      <x:c r="AN2419" s="1" t="n">
        <x:f>IF(OR(A2419="",COUNTIFS($T$41:$T$540,A2419)&lt;&gt;1),0,MATCH(A2419,$T$41:$T$540,0))</x:f>
        <x:v>0</x:v>
      </x:c>
      <x:c r="AO2419" t="n">
        <x:f>IF(ISNUMBER(W2419),W2419,10000+AM2419)</x:f>
        <x:v>10000</x:v>
      </x:c>
    </x:row>
    <x:row r="2420" ht="22" customHeight="1">
      <x:c r="A2420" s="1" t="str">
        <x:f>IF(A371="","",A371)</x:f>
      </x:c>
      <x:c r="B2420" s="1" t="str">
        <x:f>IF(A2420="","",B371)</x:f>
      </x:c>
      <x:c r="C2420" s="1" t="str">
        <x:f>IF(A2420="","",C371)</x:f>
      </x:c>
      <x:c r="D2420" s="1" t="str">
        <x:f>IF(A2420="","",E371)</x:f>
      </x:c>
      <x:c r="E2420" s="1" t="str">
        <x:f>IF(A2420="","",H371)</x:f>
      </x:c>
      <x:c r="F2420" s="1" t="str">
        <x:f>IF(ISNUMBER(K371),K371,"")</x:f>
      </x:c>
      <x:c r="G2420" s="1" t="str">
        <x:f>IF(ISNUMBER(L371),L371,"")</x:f>
      </x:c>
      <x:c r="H2420" s="1" t="str">
        <x:f>IF(A2420="","",IF(AND(UPPER(G371)="PHILADELPHIA",OR(C2420="District",AND(C2420="Charter",D371="Yes"))),"Yes","No"))</x:f>
      </x:c>
      <x:c r="I2420" s="1" t="n">
        <x:f>IF(OR(A2420="",COUNTIFS('Staff Review'!$A$8:$A$507,A2420)&lt;&gt;1),0,MATCH(A2420,'Staff Review'!$A$8:$A$507,0))</x:f>
        <x:v>0</x:v>
      </x:c>
      <x:c r="J2420" s="1" t="str">
        <x:f>IF(I2420=0,"No",IF(INDEX('Staff Review'!$C$8:$C$507,I2420)="Yes","Yes","No"))</x:f>
        <x:v>No</x:v>
      </x:c>
      <x:c r="K2420" s="1" t="str">
        <x:f>IF(AI2420="Yes",INDEX('Staff Review'!$D$8:$D$507,I2420),IF(AB2420=0,"",IF(COUNT(INDEX($C$1531:$C$2030,AB2420))=1,INDEX($C$1531:$C$2030,AB2420),"")))</x:f>
      </x:c>
      <x:c r="L2420" s="1" t="str">
        <x:f>IF(AJ2420="Yes",INDEX('Staff Review'!$F$8:$F$507,I2420),IF(AB2420=0,"",IF(COUNT(INDEX($G$1531:$G$2030,AB2420))=1,INDEX($G$1531:$G$2030,AB2420),"")))</x:f>
      </x:c>
      <x:c r="M2420" s="1" t="str">
        <x:f>IF(A2420="","",IF(AI2420="Yes","Verified","Listed"))</x:f>
      </x:c>
      <x:c r="N2420" s="1" t="str">
        <x:f>IF(A2420="","",IF(AJ2420="Yes","Verified","Listed"))</x:f>
      </x:c>
      <x:c r="O2420" s="1" t="str">
        <x:f>IF(AND(ISNUMBER(G2420),G2420&gt;=0,G2420&lt;=1),IF(G2420&gt;=0.9,30,IF(G2420&gt;=0.8,25,IF(G2420&gt;=0.7,20,IF(G2420&gt;=0.6,15,IF(G2420&gt;=0.5,10,IF(G2420&gt;=0.4,5,0)))))),"")</x:f>
      </x:c>
      <x:c r="P2420" s="1" t="str">
        <x:f>IF(ISNUMBER(K2420),IF(K2420&lt;0,"",IF(K2420&gt;1,25,IF(K2420&gt;=0.75,20,IF(K2420&gt;=0.5,15,IF(K2420&gt;=0.25,10,5))))),"")</x:f>
      </x:c>
      <x:c r="Q2420" s="1" t="str">
        <x:f>IF(NOT(ISNUMBER(L2420)),"",IF(AND(L2420&gt;=0,MOD(L2420,1)=0),MAX(0,25-5*L2420),""))</x:f>
      </x:c>
      <x:c r="R2420" s="1" t="str">
        <x:f>IF(NOT(ISNUMBER(F2420)),"",IF(AND(F2420&gt;0,MOD(F2420,1)=0),IF(F2420&gt;=700,5,IF(F2420&gt;=500,4,IF(F2420&gt;=350,3,IF(F2420&gt;=200,2,1)))),""))</x:f>
      </x:c>
      <x:c r="S2420" s="1" t="str">
        <x:f>IF(COUNT(O2420:R2420)=4,SUM(O2420:R2420),"")</x:f>
      </x:c>
      <x:c r="T2420" s="1" t="str">
        <x:f>IF(OR(COUNT(O2420:R2420)&lt;&gt;4,COUNT('Top 15'!$B$35:$E$35)&lt;&gt;4,MIN('Top 15'!$B$35:$E$35)&lt;0,SUM('Top 15'!$B$35:$E$35)&lt;=0),"",ROUND(85*(O2420/30*'Top 15'!$B$35+P2420/25*'Top 15'!$C$35+Q2420/25*'Top 15'!$D$35+R2420/5*'Top 15'!$E$35)/SUM('Top 15'!$B$35:$E$35),6))</x:f>
      </x:c>
      <x:c r="U2420" s="1" t="str">
        <x:f>IF(A2420="","",IF(AND(M2420="Verified",N2420="Verified"),"Verified",IF(AND(M2420="Listed",N2420="Listed"),"Listed","Mixed")))</x:f>
      </x:c>
      <x:c r="V2420" s="1" t="str">
        <x:f>IF(A2420="","",IF(AK2420&lt;&gt;1,"Duplicate source ID",IF(COUNTIFS('Staff Review'!$A$8:$A$507,A2420)&gt;1,"Duplicate review ID",IF(H2420&lt;&gt;"Yes","Outside scope",IF(J2420="Yes","Already served",IF(NOT(ISNUMBER(T2420)),"Missing data","Candidate"))))))</x:f>
      </x:c>
      <x:c r="W2420" s="1" t="str">
        <x:f>IF(AL2420=0,"",1+COUNTIFS($AL$2051:$AL$2550,1,$T$2051:$T$2550,"&gt;"&amp;T2420)+COUNTIFS($AL$2051:$AL$2550,1,$T$2051:$T$2550,T2420,$G$2051:$G$2550,"&gt;"&amp;G2420)+COUNTIFS($AL$2051:$AL$2550,1,$T$2051:$T$2550,T2420,$G$2051:$G$2550,G2420,$F$2051:$F$2550,"&gt;"&amp;F2420)+COUNTIFS($AL$2051:$AL$2550,1,$T$2051:$T$2550,T2420,$G$2051:$G$2550,G2420,$F$2051:$F$2550,F2420,$AM$2051:$AM$2550,"&lt;"&amp;AM2420))</x:f>
      </x:c>
      <x:c r="X2420" s="1" t="str">
        <x:f>IF(AL2420=0,"",1+COUNTIFS($AL$2051:$AL$2550,1,$T$2051:$T$2550,"&gt;"&amp;T2420))</x:f>
      </x:c>
      <x:c r="Y2420" s="1" t="n">
        <x:f>IF(AND(H2420="Yes",OR(LEN('School Search'!$B$5)=0,ISNUMBER(SEARCH('School Search'!$B$5,B2420&amp;" "&amp;E2420&amp;" "&amp;A2420))),OR('School Search'!$D$5="All",C2420='School Search'!$D$5),OR('School Search'!$G$5="All eligible",AND('School Search'!$G$5="Not marked served",J2420&lt;&gt;"Yes"),AND('School Search'!$G$5="Missing data",V2420="Missing data"),AND('School Search'!$G$5="Marked served",J2420="Yes"))),1,0)</x:f>
        <x:v>0</x:v>
      </x:c>
      <x:c r="Z2420" s="1" t="str">
        <x:f>IF(Y2420=0,"",COUNTIFS($Y$2051:$Y$2550,1,$AO$2051:$AO$2550,"&lt;"&amp;AO2420)+COUNTIFS($Y$2051:Y2420,1,$AO$2051:AO2420,AO2420))</x:f>
      </x:c>
      <x:c r="AA2420" s="1" t="str">
        <x:f>IF(NOT(ISNUMBER(S2420)),"Missing demographic or access input",TEXT(G2420,"0%")&amp;" economic need; "&amp;TEXT(K2420,"0.00")&amp;" mi fresh access; "&amp;L2420&amp;" nearby resources")</x:f>
        <x:v>Missing demographic or access input</x:v>
      </x:c>
      <x:c r="AB2420" s="1" t="n">
        <x:f>IF(OR(A2420="",COUNTIFS($A$1531:$A$2030,A2420)&lt;&gt;1),0,MATCH(A2420,$A$1531:$A$2030,0))</x:f>
        <x:v>0</x:v>
      </x:c>
      <x:c r="AC2420" s="1" t="str">
        <x:f>IF(AB2420=0,"",INDEX($E$1531:$E$2030,AB2420))</x:f>
      </x:c>
      <x:c r="AD2420" s="1" t="str">
        <x:f>IF(AB2420=0,"",INDEX($F$1531:$F$2030,AB2420))</x:f>
      </x:c>
      <x:c r="AE2420" s="1" t="str">
        <x:f>IF(A2420="","",F371)</x:f>
      </x:c>
      <x:c r="AF2420" s="1" t="str">
        <x:f>IF(ISNUMBER(I371),I371,"")</x:f>
      </x:c>
      <x:c r="AG2420" s="1" t="str">
        <x:f>IF(ISNUMBER(J371),J371,"")</x:f>
      </x:c>
      <x:c r="AH2420" s="1" t="str">
        <x:f>IF(I2420=0,"Not contacted",IF(INDEX('Staff Review'!$J$8:$J$507,I2420)="","Not contacted",INDEX('Staff Review'!$J$8:$J$507,I2420)))</x:f>
        <x:v>Not contacted</x:v>
      </x:c>
      <x:c r="AI2420" s="1" t="str">
        <x:f>IF(I2420=0,"No",IF(AND(COUNT(INDEX('Staff Review'!$D$8:$D$507,I2420))=1,INDEX('Staff Review'!$D$8:$D$507,I2420)&gt;=0,COUNT(INDEX('Staff Review'!$E$8:$E$507,I2420))=1,INDEX('Staff Review'!$E$8:$E$507,I2420)&gt;0,INDEX('Staff Review'!$E$8:$E$507,I2420)&lt;='Top 15'!$E$5,'Top 15'!$E$5-INDEX('Staff Review'!$E$8:$E$507,I2420)&lt;='Top 15'!$H$5,LEN(INDEX('Staff Review'!$H$8:$H$507,I2420))&gt;0),"Yes","No"))</x:f>
        <x:v>No</x:v>
      </x:c>
      <x:c r="AJ2420" s="1" t="str">
        <x:f>IF(I2420=0,"No",IF(COUNT(INDEX('Staff Review'!$F$8:$F$507,I2420))&lt;&gt;1,"No",IF(AND(INDEX('Staff Review'!$F$8:$F$507,I2420)&gt;=0,MOD(INDEX('Staff Review'!$F$8:$F$507,I2420),1)=0,COUNT(INDEX('Staff Review'!$G$8:$G$507,I2420))=1,INDEX('Staff Review'!$G$8:$G$507,I2420)&gt;0,INDEX('Staff Review'!$G$8:$G$507,I2420)&lt;='Top 15'!$E$5,'Top 15'!$E$5-INDEX('Staff Review'!$G$8:$G$507,I2420)&lt;='Top 15'!$H$5,LEN(INDEX('Staff Review'!$H$8:$H$507,I2420))&gt;0),"Yes","No")))</x:f>
        <x:v>No</x:v>
      </x:c>
      <x:c r="AK2420" s="1" t="n">
        <x:f>IF(A2420="",0,COUNTIFS($A$2:$A$501,A2420))</x:f>
        <x:v>0</x:v>
      </x:c>
      <x:c r="AL2420" s="1" t="n">
        <x:f>IF(V2420="Candidate",1,0)</x:f>
        <x:v>0</x:v>
      </x:c>
      <x:c r="AM2420" s="1" t="n">
        <x:f>IF(A2420="",0,VALUE(A2420))</x:f>
        <x:v>0</x:v>
      </x:c>
      <x:c r="AN2420" s="1" t="n">
        <x:f>IF(OR(A2420="",COUNTIFS($T$41:$T$540,A2420)&lt;&gt;1),0,MATCH(A2420,$T$41:$T$540,0))</x:f>
        <x:v>0</x:v>
      </x:c>
      <x:c r="AO2420" t="n">
        <x:f>IF(ISNUMBER(W2420),W2420,10000+AM2420)</x:f>
        <x:v>10000</x:v>
      </x:c>
    </x:row>
    <x:row r="2421" ht="22" customHeight="1">
      <x:c r="A2421" s="1" t="str">
        <x:f>IF(A372="","",A372)</x:f>
      </x:c>
      <x:c r="B2421" s="1" t="str">
        <x:f>IF(A2421="","",B372)</x:f>
      </x:c>
      <x:c r="C2421" s="1" t="str">
        <x:f>IF(A2421="","",C372)</x:f>
      </x:c>
      <x:c r="D2421" s="1" t="str">
        <x:f>IF(A2421="","",E372)</x:f>
      </x:c>
      <x:c r="E2421" s="1" t="str">
        <x:f>IF(A2421="","",H372)</x:f>
      </x:c>
      <x:c r="F2421" s="1" t="str">
        <x:f>IF(ISNUMBER(K372),K372,"")</x:f>
      </x:c>
      <x:c r="G2421" s="1" t="str">
        <x:f>IF(ISNUMBER(L372),L372,"")</x:f>
      </x:c>
      <x:c r="H2421" s="1" t="str">
        <x:f>IF(A2421="","",IF(AND(UPPER(G372)="PHILADELPHIA",OR(C2421="District",AND(C2421="Charter",D372="Yes"))),"Yes","No"))</x:f>
      </x:c>
      <x:c r="I2421" s="1" t="n">
        <x:f>IF(OR(A2421="",COUNTIFS('Staff Review'!$A$8:$A$507,A2421)&lt;&gt;1),0,MATCH(A2421,'Staff Review'!$A$8:$A$507,0))</x:f>
        <x:v>0</x:v>
      </x:c>
      <x:c r="J2421" s="1" t="str">
        <x:f>IF(I2421=0,"No",IF(INDEX('Staff Review'!$C$8:$C$507,I2421)="Yes","Yes","No"))</x:f>
        <x:v>No</x:v>
      </x:c>
      <x:c r="K2421" s="1" t="str">
        <x:f>IF(AI2421="Yes",INDEX('Staff Review'!$D$8:$D$507,I2421),IF(AB2421=0,"",IF(COUNT(INDEX($C$1531:$C$2030,AB2421))=1,INDEX($C$1531:$C$2030,AB2421),"")))</x:f>
      </x:c>
      <x:c r="L2421" s="1" t="str">
        <x:f>IF(AJ2421="Yes",INDEX('Staff Review'!$F$8:$F$507,I2421),IF(AB2421=0,"",IF(COUNT(INDEX($G$1531:$G$2030,AB2421))=1,INDEX($G$1531:$G$2030,AB2421),"")))</x:f>
      </x:c>
      <x:c r="M2421" s="1" t="str">
        <x:f>IF(A2421="","",IF(AI2421="Yes","Verified","Listed"))</x:f>
      </x:c>
      <x:c r="N2421" s="1" t="str">
        <x:f>IF(A2421="","",IF(AJ2421="Yes","Verified","Listed"))</x:f>
      </x:c>
      <x:c r="O2421" s="1" t="str">
        <x:f>IF(AND(ISNUMBER(G2421),G2421&gt;=0,G2421&lt;=1),IF(G2421&gt;=0.9,30,IF(G2421&gt;=0.8,25,IF(G2421&gt;=0.7,20,IF(G2421&gt;=0.6,15,IF(G2421&gt;=0.5,10,IF(G2421&gt;=0.4,5,0)))))),"")</x:f>
      </x:c>
      <x:c r="P2421" s="1" t="str">
        <x:f>IF(ISNUMBER(K2421),IF(K2421&lt;0,"",IF(K2421&gt;1,25,IF(K2421&gt;=0.75,20,IF(K2421&gt;=0.5,15,IF(K2421&gt;=0.25,10,5))))),"")</x:f>
      </x:c>
      <x:c r="Q2421" s="1" t="str">
        <x:f>IF(NOT(ISNUMBER(L2421)),"",IF(AND(L2421&gt;=0,MOD(L2421,1)=0),MAX(0,25-5*L2421),""))</x:f>
      </x:c>
      <x:c r="R2421" s="1" t="str">
        <x:f>IF(NOT(ISNUMBER(F2421)),"",IF(AND(F2421&gt;0,MOD(F2421,1)=0),IF(F2421&gt;=700,5,IF(F2421&gt;=500,4,IF(F2421&gt;=350,3,IF(F2421&gt;=200,2,1)))),""))</x:f>
      </x:c>
      <x:c r="S2421" s="1" t="str">
        <x:f>IF(COUNT(O2421:R2421)=4,SUM(O2421:R2421),"")</x:f>
      </x:c>
      <x:c r="T2421" s="1" t="str">
        <x:f>IF(OR(COUNT(O2421:R2421)&lt;&gt;4,COUNT('Top 15'!$B$35:$E$35)&lt;&gt;4,MIN('Top 15'!$B$35:$E$35)&lt;0,SUM('Top 15'!$B$35:$E$35)&lt;=0),"",ROUND(85*(O2421/30*'Top 15'!$B$35+P2421/25*'Top 15'!$C$35+Q2421/25*'Top 15'!$D$35+R2421/5*'Top 15'!$E$35)/SUM('Top 15'!$B$35:$E$35),6))</x:f>
      </x:c>
      <x:c r="U2421" s="1" t="str">
        <x:f>IF(A2421="","",IF(AND(M2421="Verified",N2421="Verified"),"Verified",IF(AND(M2421="Listed",N2421="Listed"),"Listed","Mixed")))</x:f>
      </x:c>
      <x:c r="V2421" s="1" t="str">
        <x:f>IF(A2421="","",IF(AK2421&lt;&gt;1,"Duplicate source ID",IF(COUNTIFS('Staff Review'!$A$8:$A$507,A2421)&gt;1,"Duplicate review ID",IF(H2421&lt;&gt;"Yes","Outside scope",IF(J2421="Yes","Already served",IF(NOT(ISNUMBER(T2421)),"Missing data","Candidate"))))))</x:f>
      </x:c>
      <x:c r="W2421" s="1" t="str">
        <x:f>IF(AL2421=0,"",1+COUNTIFS($AL$2051:$AL$2550,1,$T$2051:$T$2550,"&gt;"&amp;T2421)+COUNTIFS($AL$2051:$AL$2550,1,$T$2051:$T$2550,T2421,$G$2051:$G$2550,"&gt;"&amp;G2421)+COUNTIFS($AL$2051:$AL$2550,1,$T$2051:$T$2550,T2421,$G$2051:$G$2550,G2421,$F$2051:$F$2550,"&gt;"&amp;F2421)+COUNTIFS($AL$2051:$AL$2550,1,$T$2051:$T$2550,T2421,$G$2051:$G$2550,G2421,$F$2051:$F$2550,F2421,$AM$2051:$AM$2550,"&lt;"&amp;AM2421))</x:f>
      </x:c>
      <x:c r="X2421" s="1" t="str">
        <x:f>IF(AL2421=0,"",1+COUNTIFS($AL$2051:$AL$2550,1,$T$2051:$T$2550,"&gt;"&amp;T2421))</x:f>
      </x:c>
      <x:c r="Y2421" s="1" t="n">
        <x:f>IF(AND(H2421="Yes",OR(LEN('School Search'!$B$5)=0,ISNUMBER(SEARCH('School Search'!$B$5,B2421&amp;" "&amp;E2421&amp;" "&amp;A2421))),OR('School Search'!$D$5="All",C2421='School Search'!$D$5),OR('School Search'!$G$5="All eligible",AND('School Search'!$G$5="Not marked served",J2421&lt;&gt;"Yes"),AND('School Search'!$G$5="Missing data",V2421="Missing data"),AND('School Search'!$G$5="Marked served",J2421="Yes"))),1,0)</x:f>
        <x:v>0</x:v>
      </x:c>
      <x:c r="Z2421" s="1" t="str">
        <x:f>IF(Y2421=0,"",COUNTIFS($Y$2051:$Y$2550,1,$AO$2051:$AO$2550,"&lt;"&amp;AO2421)+COUNTIFS($Y$2051:Y2421,1,$AO$2051:AO2421,AO2421))</x:f>
      </x:c>
      <x:c r="AA2421" s="1" t="str">
        <x:f>IF(NOT(ISNUMBER(S2421)),"Missing demographic or access input",TEXT(G2421,"0%")&amp;" economic need; "&amp;TEXT(K2421,"0.00")&amp;" mi fresh access; "&amp;L2421&amp;" nearby resources")</x:f>
        <x:v>Missing demographic or access input</x:v>
      </x:c>
      <x:c r="AB2421" s="1" t="n">
        <x:f>IF(OR(A2421="",COUNTIFS($A$1531:$A$2030,A2421)&lt;&gt;1),0,MATCH(A2421,$A$1531:$A$2030,0))</x:f>
        <x:v>0</x:v>
      </x:c>
      <x:c r="AC2421" s="1" t="str">
        <x:f>IF(AB2421=0,"",INDEX($E$1531:$E$2030,AB2421))</x:f>
      </x:c>
      <x:c r="AD2421" s="1" t="str">
        <x:f>IF(AB2421=0,"",INDEX($F$1531:$F$2030,AB2421))</x:f>
      </x:c>
      <x:c r="AE2421" s="1" t="str">
        <x:f>IF(A2421="","",F372)</x:f>
      </x:c>
      <x:c r="AF2421" s="1" t="str">
        <x:f>IF(ISNUMBER(I372),I372,"")</x:f>
      </x:c>
      <x:c r="AG2421" s="1" t="str">
        <x:f>IF(ISNUMBER(J372),J372,"")</x:f>
      </x:c>
      <x:c r="AH2421" s="1" t="str">
        <x:f>IF(I2421=0,"Not contacted",IF(INDEX('Staff Review'!$J$8:$J$507,I2421)="","Not contacted",INDEX('Staff Review'!$J$8:$J$507,I2421)))</x:f>
        <x:v>Not contacted</x:v>
      </x:c>
      <x:c r="AI2421" s="1" t="str">
        <x:f>IF(I2421=0,"No",IF(AND(COUNT(INDEX('Staff Review'!$D$8:$D$507,I2421))=1,INDEX('Staff Review'!$D$8:$D$507,I2421)&gt;=0,COUNT(INDEX('Staff Review'!$E$8:$E$507,I2421))=1,INDEX('Staff Review'!$E$8:$E$507,I2421)&gt;0,INDEX('Staff Review'!$E$8:$E$507,I2421)&lt;='Top 15'!$E$5,'Top 15'!$E$5-INDEX('Staff Review'!$E$8:$E$507,I2421)&lt;='Top 15'!$H$5,LEN(INDEX('Staff Review'!$H$8:$H$507,I2421))&gt;0),"Yes","No"))</x:f>
        <x:v>No</x:v>
      </x:c>
      <x:c r="AJ2421" s="1" t="str">
        <x:f>IF(I2421=0,"No",IF(COUNT(INDEX('Staff Review'!$F$8:$F$507,I2421))&lt;&gt;1,"No",IF(AND(INDEX('Staff Review'!$F$8:$F$507,I2421)&gt;=0,MOD(INDEX('Staff Review'!$F$8:$F$507,I2421),1)=0,COUNT(INDEX('Staff Review'!$G$8:$G$507,I2421))=1,INDEX('Staff Review'!$G$8:$G$507,I2421)&gt;0,INDEX('Staff Review'!$G$8:$G$507,I2421)&lt;='Top 15'!$E$5,'Top 15'!$E$5-INDEX('Staff Review'!$G$8:$G$507,I2421)&lt;='Top 15'!$H$5,LEN(INDEX('Staff Review'!$H$8:$H$507,I2421))&gt;0),"Yes","No")))</x:f>
        <x:v>No</x:v>
      </x:c>
      <x:c r="AK2421" s="1" t="n">
        <x:f>IF(A2421="",0,COUNTIFS($A$2:$A$501,A2421))</x:f>
        <x:v>0</x:v>
      </x:c>
      <x:c r="AL2421" s="1" t="n">
        <x:f>IF(V2421="Candidate",1,0)</x:f>
        <x:v>0</x:v>
      </x:c>
      <x:c r="AM2421" s="1" t="n">
        <x:f>IF(A2421="",0,VALUE(A2421))</x:f>
        <x:v>0</x:v>
      </x:c>
      <x:c r="AN2421" s="1" t="n">
        <x:f>IF(OR(A2421="",COUNTIFS($T$41:$T$540,A2421)&lt;&gt;1),0,MATCH(A2421,$T$41:$T$540,0))</x:f>
        <x:v>0</x:v>
      </x:c>
      <x:c r="AO2421" t="n">
        <x:f>IF(ISNUMBER(W2421),W2421,10000+AM2421)</x:f>
        <x:v>10000</x:v>
      </x:c>
    </x:row>
    <x:row r="2422" ht="22" customHeight="1">
      <x:c r="A2422" s="1" t="str">
        <x:f>IF(A373="","",A373)</x:f>
      </x:c>
      <x:c r="B2422" s="1" t="str">
        <x:f>IF(A2422="","",B373)</x:f>
      </x:c>
      <x:c r="C2422" s="1" t="str">
        <x:f>IF(A2422="","",C373)</x:f>
      </x:c>
      <x:c r="D2422" s="1" t="str">
        <x:f>IF(A2422="","",E373)</x:f>
      </x:c>
      <x:c r="E2422" s="1" t="str">
        <x:f>IF(A2422="","",H373)</x:f>
      </x:c>
      <x:c r="F2422" s="1" t="str">
        <x:f>IF(ISNUMBER(K373),K373,"")</x:f>
      </x:c>
      <x:c r="G2422" s="1" t="str">
        <x:f>IF(ISNUMBER(L373),L373,"")</x:f>
      </x:c>
      <x:c r="H2422" s="1" t="str">
        <x:f>IF(A2422="","",IF(AND(UPPER(G373)="PHILADELPHIA",OR(C2422="District",AND(C2422="Charter",D373="Yes"))),"Yes","No"))</x:f>
      </x:c>
      <x:c r="I2422" s="1" t="n">
        <x:f>IF(OR(A2422="",COUNTIFS('Staff Review'!$A$8:$A$507,A2422)&lt;&gt;1),0,MATCH(A2422,'Staff Review'!$A$8:$A$507,0))</x:f>
        <x:v>0</x:v>
      </x:c>
      <x:c r="J2422" s="1" t="str">
        <x:f>IF(I2422=0,"No",IF(INDEX('Staff Review'!$C$8:$C$507,I2422)="Yes","Yes","No"))</x:f>
        <x:v>No</x:v>
      </x:c>
      <x:c r="K2422" s="1" t="str">
        <x:f>IF(AI2422="Yes",INDEX('Staff Review'!$D$8:$D$507,I2422),IF(AB2422=0,"",IF(COUNT(INDEX($C$1531:$C$2030,AB2422))=1,INDEX($C$1531:$C$2030,AB2422),"")))</x:f>
      </x:c>
      <x:c r="L2422" s="1" t="str">
        <x:f>IF(AJ2422="Yes",INDEX('Staff Review'!$F$8:$F$507,I2422),IF(AB2422=0,"",IF(COUNT(INDEX($G$1531:$G$2030,AB2422))=1,INDEX($G$1531:$G$2030,AB2422),"")))</x:f>
      </x:c>
      <x:c r="M2422" s="1" t="str">
        <x:f>IF(A2422="","",IF(AI2422="Yes","Verified","Listed"))</x:f>
      </x:c>
      <x:c r="N2422" s="1" t="str">
        <x:f>IF(A2422="","",IF(AJ2422="Yes","Verified","Listed"))</x:f>
      </x:c>
      <x:c r="O2422" s="1" t="str">
        <x:f>IF(AND(ISNUMBER(G2422),G2422&gt;=0,G2422&lt;=1),IF(G2422&gt;=0.9,30,IF(G2422&gt;=0.8,25,IF(G2422&gt;=0.7,20,IF(G2422&gt;=0.6,15,IF(G2422&gt;=0.5,10,IF(G2422&gt;=0.4,5,0)))))),"")</x:f>
      </x:c>
      <x:c r="P2422" s="1" t="str">
        <x:f>IF(ISNUMBER(K2422),IF(K2422&lt;0,"",IF(K2422&gt;1,25,IF(K2422&gt;=0.75,20,IF(K2422&gt;=0.5,15,IF(K2422&gt;=0.25,10,5))))),"")</x:f>
      </x:c>
      <x:c r="Q2422" s="1" t="str">
        <x:f>IF(NOT(ISNUMBER(L2422)),"",IF(AND(L2422&gt;=0,MOD(L2422,1)=0),MAX(0,25-5*L2422),""))</x:f>
      </x:c>
      <x:c r="R2422" s="1" t="str">
        <x:f>IF(NOT(ISNUMBER(F2422)),"",IF(AND(F2422&gt;0,MOD(F2422,1)=0),IF(F2422&gt;=700,5,IF(F2422&gt;=500,4,IF(F2422&gt;=350,3,IF(F2422&gt;=200,2,1)))),""))</x:f>
      </x:c>
      <x:c r="S2422" s="1" t="str">
        <x:f>IF(COUNT(O2422:R2422)=4,SUM(O2422:R2422),"")</x:f>
      </x:c>
      <x:c r="T2422" s="1" t="str">
        <x:f>IF(OR(COUNT(O2422:R2422)&lt;&gt;4,COUNT('Top 15'!$B$35:$E$35)&lt;&gt;4,MIN('Top 15'!$B$35:$E$35)&lt;0,SUM('Top 15'!$B$35:$E$35)&lt;=0),"",ROUND(85*(O2422/30*'Top 15'!$B$35+P2422/25*'Top 15'!$C$35+Q2422/25*'Top 15'!$D$35+R2422/5*'Top 15'!$E$35)/SUM('Top 15'!$B$35:$E$35),6))</x:f>
      </x:c>
      <x:c r="U2422" s="1" t="str">
        <x:f>IF(A2422="","",IF(AND(M2422="Verified",N2422="Verified"),"Verified",IF(AND(M2422="Listed",N2422="Listed"),"Listed","Mixed")))</x:f>
      </x:c>
      <x:c r="V2422" s="1" t="str">
        <x:f>IF(A2422="","",IF(AK2422&lt;&gt;1,"Duplicate source ID",IF(COUNTIFS('Staff Review'!$A$8:$A$507,A2422)&gt;1,"Duplicate review ID",IF(H2422&lt;&gt;"Yes","Outside scope",IF(J2422="Yes","Already served",IF(NOT(ISNUMBER(T2422)),"Missing data","Candidate"))))))</x:f>
      </x:c>
      <x:c r="W2422" s="1" t="str">
        <x:f>IF(AL2422=0,"",1+COUNTIFS($AL$2051:$AL$2550,1,$T$2051:$T$2550,"&gt;"&amp;T2422)+COUNTIFS($AL$2051:$AL$2550,1,$T$2051:$T$2550,T2422,$G$2051:$G$2550,"&gt;"&amp;G2422)+COUNTIFS($AL$2051:$AL$2550,1,$T$2051:$T$2550,T2422,$G$2051:$G$2550,G2422,$F$2051:$F$2550,"&gt;"&amp;F2422)+COUNTIFS($AL$2051:$AL$2550,1,$T$2051:$T$2550,T2422,$G$2051:$G$2550,G2422,$F$2051:$F$2550,F2422,$AM$2051:$AM$2550,"&lt;"&amp;AM2422))</x:f>
      </x:c>
      <x:c r="X2422" s="1" t="str">
        <x:f>IF(AL2422=0,"",1+COUNTIFS($AL$2051:$AL$2550,1,$T$2051:$T$2550,"&gt;"&amp;T2422))</x:f>
      </x:c>
      <x:c r="Y2422" s="1" t="n">
        <x:f>IF(AND(H2422="Yes",OR(LEN('School Search'!$B$5)=0,ISNUMBER(SEARCH('School Search'!$B$5,B2422&amp;" "&amp;E2422&amp;" "&amp;A2422))),OR('School Search'!$D$5="All",C2422='School Search'!$D$5),OR('School Search'!$G$5="All eligible",AND('School Search'!$G$5="Not marked served",J2422&lt;&gt;"Yes"),AND('School Search'!$G$5="Missing data",V2422="Missing data"),AND('School Search'!$G$5="Marked served",J2422="Yes"))),1,0)</x:f>
        <x:v>0</x:v>
      </x:c>
      <x:c r="Z2422" s="1" t="str">
        <x:f>IF(Y2422=0,"",COUNTIFS($Y$2051:$Y$2550,1,$AO$2051:$AO$2550,"&lt;"&amp;AO2422)+COUNTIFS($Y$2051:Y2422,1,$AO$2051:AO2422,AO2422))</x:f>
      </x:c>
      <x:c r="AA2422" s="1" t="str">
        <x:f>IF(NOT(ISNUMBER(S2422)),"Missing demographic or access input",TEXT(G2422,"0%")&amp;" economic need; "&amp;TEXT(K2422,"0.00")&amp;" mi fresh access; "&amp;L2422&amp;" nearby resources")</x:f>
        <x:v>Missing demographic or access input</x:v>
      </x:c>
      <x:c r="AB2422" s="1" t="n">
        <x:f>IF(OR(A2422="",COUNTIFS($A$1531:$A$2030,A2422)&lt;&gt;1),0,MATCH(A2422,$A$1531:$A$2030,0))</x:f>
        <x:v>0</x:v>
      </x:c>
      <x:c r="AC2422" s="1" t="str">
        <x:f>IF(AB2422=0,"",INDEX($E$1531:$E$2030,AB2422))</x:f>
      </x:c>
      <x:c r="AD2422" s="1" t="str">
        <x:f>IF(AB2422=0,"",INDEX($F$1531:$F$2030,AB2422))</x:f>
      </x:c>
      <x:c r="AE2422" s="1" t="str">
        <x:f>IF(A2422="","",F373)</x:f>
      </x:c>
      <x:c r="AF2422" s="1" t="str">
        <x:f>IF(ISNUMBER(I373),I373,"")</x:f>
      </x:c>
      <x:c r="AG2422" s="1" t="str">
        <x:f>IF(ISNUMBER(J373),J373,"")</x:f>
      </x:c>
      <x:c r="AH2422" s="1" t="str">
        <x:f>IF(I2422=0,"Not contacted",IF(INDEX('Staff Review'!$J$8:$J$507,I2422)="","Not contacted",INDEX('Staff Review'!$J$8:$J$507,I2422)))</x:f>
        <x:v>Not contacted</x:v>
      </x:c>
      <x:c r="AI2422" s="1" t="str">
        <x:f>IF(I2422=0,"No",IF(AND(COUNT(INDEX('Staff Review'!$D$8:$D$507,I2422))=1,INDEX('Staff Review'!$D$8:$D$507,I2422)&gt;=0,COUNT(INDEX('Staff Review'!$E$8:$E$507,I2422))=1,INDEX('Staff Review'!$E$8:$E$507,I2422)&gt;0,INDEX('Staff Review'!$E$8:$E$507,I2422)&lt;='Top 15'!$E$5,'Top 15'!$E$5-INDEX('Staff Review'!$E$8:$E$507,I2422)&lt;='Top 15'!$H$5,LEN(INDEX('Staff Review'!$H$8:$H$507,I2422))&gt;0),"Yes","No"))</x:f>
        <x:v>No</x:v>
      </x:c>
      <x:c r="AJ2422" s="1" t="str">
        <x:f>IF(I2422=0,"No",IF(COUNT(INDEX('Staff Review'!$F$8:$F$507,I2422))&lt;&gt;1,"No",IF(AND(INDEX('Staff Review'!$F$8:$F$507,I2422)&gt;=0,MOD(INDEX('Staff Review'!$F$8:$F$507,I2422),1)=0,COUNT(INDEX('Staff Review'!$G$8:$G$507,I2422))=1,INDEX('Staff Review'!$G$8:$G$507,I2422)&gt;0,INDEX('Staff Review'!$G$8:$G$507,I2422)&lt;='Top 15'!$E$5,'Top 15'!$E$5-INDEX('Staff Review'!$G$8:$G$507,I2422)&lt;='Top 15'!$H$5,LEN(INDEX('Staff Review'!$H$8:$H$507,I2422))&gt;0),"Yes","No")))</x:f>
        <x:v>No</x:v>
      </x:c>
      <x:c r="AK2422" s="1" t="n">
        <x:f>IF(A2422="",0,COUNTIFS($A$2:$A$501,A2422))</x:f>
        <x:v>0</x:v>
      </x:c>
      <x:c r="AL2422" s="1" t="n">
        <x:f>IF(V2422="Candidate",1,0)</x:f>
        <x:v>0</x:v>
      </x:c>
      <x:c r="AM2422" s="1" t="n">
        <x:f>IF(A2422="",0,VALUE(A2422))</x:f>
        <x:v>0</x:v>
      </x:c>
      <x:c r="AN2422" s="1" t="n">
        <x:f>IF(OR(A2422="",COUNTIFS($T$41:$T$540,A2422)&lt;&gt;1),0,MATCH(A2422,$T$41:$T$540,0))</x:f>
        <x:v>0</x:v>
      </x:c>
      <x:c r="AO2422" t="n">
        <x:f>IF(ISNUMBER(W2422),W2422,10000+AM2422)</x:f>
        <x:v>10000</x:v>
      </x:c>
    </x:row>
    <x:row r="2423" ht="22" customHeight="1">
      <x:c r="A2423" s="1" t="str">
        <x:f>IF(A374="","",A374)</x:f>
      </x:c>
      <x:c r="B2423" s="1" t="str">
        <x:f>IF(A2423="","",B374)</x:f>
      </x:c>
      <x:c r="C2423" s="1" t="str">
        <x:f>IF(A2423="","",C374)</x:f>
      </x:c>
      <x:c r="D2423" s="1" t="str">
        <x:f>IF(A2423="","",E374)</x:f>
      </x:c>
      <x:c r="E2423" s="1" t="str">
        <x:f>IF(A2423="","",H374)</x:f>
      </x:c>
      <x:c r="F2423" s="1" t="str">
        <x:f>IF(ISNUMBER(K374),K374,"")</x:f>
      </x:c>
      <x:c r="G2423" s="1" t="str">
        <x:f>IF(ISNUMBER(L374),L374,"")</x:f>
      </x:c>
      <x:c r="H2423" s="1" t="str">
        <x:f>IF(A2423="","",IF(AND(UPPER(G374)="PHILADELPHIA",OR(C2423="District",AND(C2423="Charter",D374="Yes"))),"Yes","No"))</x:f>
      </x:c>
      <x:c r="I2423" s="1" t="n">
        <x:f>IF(OR(A2423="",COUNTIFS('Staff Review'!$A$8:$A$507,A2423)&lt;&gt;1),0,MATCH(A2423,'Staff Review'!$A$8:$A$507,0))</x:f>
        <x:v>0</x:v>
      </x:c>
      <x:c r="J2423" s="1" t="str">
        <x:f>IF(I2423=0,"No",IF(INDEX('Staff Review'!$C$8:$C$507,I2423)="Yes","Yes","No"))</x:f>
        <x:v>No</x:v>
      </x:c>
      <x:c r="K2423" s="1" t="str">
        <x:f>IF(AI2423="Yes",INDEX('Staff Review'!$D$8:$D$507,I2423),IF(AB2423=0,"",IF(COUNT(INDEX($C$1531:$C$2030,AB2423))=1,INDEX($C$1531:$C$2030,AB2423),"")))</x:f>
      </x:c>
      <x:c r="L2423" s="1" t="str">
        <x:f>IF(AJ2423="Yes",INDEX('Staff Review'!$F$8:$F$507,I2423),IF(AB2423=0,"",IF(COUNT(INDEX($G$1531:$G$2030,AB2423))=1,INDEX($G$1531:$G$2030,AB2423),"")))</x:f>
      </x:c>
      <x:c r="M2423" s="1" t="str">
        <x:f>IF(A2423="","",IF(AI2423="Yes","Verified","Listed"))</x:f>
      </x:c>
      <x:c r="N2423" s="1" t="str">
        <x:f>IF(A2423="","",IF(AJ2423="Yes","Verified","Listed"))</x:f>
      </x:c>
      <x:c r="O2423" s="1" t="str">
        <x:f>IF(AND(ISNUMBER(G2423),G2423&gt;=0,G2423&lt;=1),IF(G2423&gt;=0.9,30,IF(G2423&gt;=0.8,25,IF(G2423&gt;=0.7,20,IF(G2423&gt;=0.6,15,IF(G2423&gt;=0.5,10,IF(G2423&gt;=0.4,5,0)))))),"")</x:f>
      </x:c>
      <x:c r="P2423" s="1" t="str">
        <x:f>IF(ISNUMBER(K2423),IF(K2423&lt;0,"",IF(K2423&gt;1,25,IF(K2423&gt;=0.75,20,IF(K2423&gt;=0.5,15,IF(K2423&gt;=0.25,10,5))))),"")</x:f>
      </x:c>
      <x:c r="Q2423" s="1" t="str">
        <x:f>IF(NOT(ISNUMBER(L2423)),"",IF(AND(L2423&gt;=0,MOD(L2423,1)=0),MAX(0,25-5*L2423),""))</x:f>
      </x:c>
      <x:c r="R2423" s="1" t="str">
        <x:f>IF(NOT(ISNUMBER(F2423)),"",IF(AND(F2423&gt;0,MOD(F2423,1)=0),IF(F2423&gt;=700,5,IF(F2423&gt;=500,4,IF(F2423&gt;=350,3,IF(F2423&gt;=200,2,1)))),""))</x:f>
      </x:c>
      <x:c r="S2423" s="1" t="str">
        <x:f>IF(COUNT(O2423:R2423)=4,SUM(O2423:R2423),"")</x:f>
      </x:c>
      <x:c r="T2423" s="1" t="str">
        <x:f>IF(OR(COUNT(O2423:R2423)&lt;&gt;4,COUNT('Top 15'!$B$35:$E$35)&lt;&gt;4,MIN('Top 15'!$B$35:$E$35)&lt;0,SUM('Top 15'!$B$35:$E$35)&lt;=0),"",ROUND(85*(O2423/30*'Top 15'!$B$35+P2423/25*'Top 15'!$C$35+Q2423/25*'Top 15'!$D$35+R2423/5*'Top 15'!$E$35)/SUM('Top 15'!$B$35:$E$35),6))</x:f>
      </x:c>
      <x:c r="U2423" s="1" t="str">
        <x:f>IF(A2423="","",IF(AND(M2423="Verified",N2423="Verified"),"Verified",IF(AND(M2423="Listed",N2423="Listed"),"Listed","Mixed")))</x:f>
      </x:c>
      <x:c r="V2423" s="1" t="str">
        <x:f>IF(A2423="","",IF(AK2423&lt;&gt;1,"Duplicate source ID",IF(COUNTIFS('Staff Review'!$A$8:$A$507,A2423)&gt;1,"Duplicate review ID",IF(H2423&lt;&gt;"Yes","Outside scope",IF(J2423="Yes","Already served",IF(NOT(ISNUMBER(T2423)),"Missing data","Candidate"))))))</x:f>
      </x:c>
      <x:c r="W2423" s="1" t="str">
        <x:f>IF(AL2423=0,"",1+COUNTIFS($AL$2051:$AL$2550,1,$T$2051:$T$2550,"&gt;"&amp;T2423)+COUNTIFS($AL$2051:$AL$2550,1,$T$2051:$T$2550,T2423,$G$2051:$G$2550,"&gt;"&amp;G2423)+COUNTIFS($AL$2051:$AL$2550,1,$T$2051:$T$2550,T2423,$G$2051:$G$2550,G2423,$F$2051:$F$2550,"&gt;"&amp;F2423)+COUNTIFS($AL$2051:$AL$2550,1,$T$2051:$T$2550,T2423,$G$2051:$G$2550,G2423,$F$2051:$F$2550,F2423,$AM$2051:$AM$2550,"&lt;"&amp;AM2423))</x:f>
      </x:c>
      <x:c r="X2423" s="1" t="str">
        <x:f>IF(AL2423=0,"",1+COUNTIFS($AL$2051:$AL$2550,1,$T$2051:$T$2550,"&gt;"&amp;T2423))</x:f>
      </x:c>
      <x:c r="Y2423" s="1" t="n">
        <x:f>IF(AND(H2423="Yes",OR(LEN('School Search'!$B$5)=0,ISNUMBER(SEARCH('School Search'!$B$5,B2423&amp;" "&amp;E2423&amp;" "&amp;A2423))),OR('School Search'!$D$5="All",C2423='School Search'!$D$5),OR('School Search'!$G$5="All eligible",AND('School Search'!$G$5="Not marked served",J2423&lt;&gt;"Yes"),AND('School Search'!$G$5="Missing data",V2423="Missing data"),AND('School Search'!$G$5="Marked served",J2423="Yes"))),1,0)</x:f>
        <x:v>0</x:v>
      </x:c>
      <x:c r="Z2423" s="1" t="str">
        <x:f>IF(Y2423=0,"",COUNTIFS($Y$2051:$Y$2550,1,$AO$2051:$AO$2550,"&lt;"&amp;AO2423)+COUNTIFS($Y$2051:Y2423,1,$AO$2051:AO2423,AO2423))</x:f>
      </x:c>
      <x:c r="AA2423" s="1" t="str">
        <x:f>IF(NOT(ISNUMBER(S2423)),"Missing demographic or access input",TEXT(G2423,"0%")&amp;" economic need; "&amp;TEXT(K2423,"0.00")&amp;" mi fresh access; "&amp;L2423&amp;" nearby resources")</x:f>
        <x:v>Missing demographic or access input</x:v>
      </x:c>
      <x:c r="AB2423" s="1" t="n">
        <x:f>IF(OR(A2423="",COUNTIFS($A$1531:$A$2030,A2423)&lt;&gt;1),0,MATCH(A2423,$A$1531:$A$2030,0))</x:f>
        <x:v>0</x:v>
      </x:c>
      <x:c r="AC2423" s="1" t="str">
        <x:f>IF(AB2423=0,"",INDEX($E$1531:$E$2030,AB2423))</x:f>
      </x:c>
      <x:c r="AD2423" s="1" t="str">
        <x:f>IF(AB2423=0,"",INDEX($F$1531:$F$2030,AB2423))</x:f>
      </x:c>
      <x:c r="AE2423" s="1" t="str">
        <x:f>IF(A2423="","",F374)</x:f>
      </x:c>
      <x:c r="AF2423" s="1" t="str">
        <x:f>IF(ISNUMBER(I374),I374,"")</x:f>
      </x:c>
      <x:c r="AG2423" s="1" t="str">
        <x:f>IF(ISNUMBER(J374),J374,"")</x:f>
      </x:c>
      <x:c r="AH2423" s="1" t="str">
        <x:f>IF(I2423=0,"Not contacted",IF(INDEX('Staff Review'!$J$8:$J$507,I2423)="","Not contacted",INDEX('Staff Review'!$J$8:$J$507,I2423)))</x:f>
        <x:v>Not contacted</x:v>
      </x:c>
      <x:c r="AI2423" s="1" t="str">
        <x:f>IF(I2423=0,"No",IF(AND(COUNT(INDEX('Staff Review'!$D$8:$D$507,I2423))=1,INDEX('Staff Review'!$D$8:$D$507,I2423)&gt;=0,COUNT(INDEX('Staff Review'!$E$8:$E$507,I2423))=1,INDEX('Staff Review'!$E$8:$E$507,I2423)&gt;0,INDEX('Staff Review'!$E$8:$E$507,I2423)&lt;='Top 15'!$E$5,'Top 15'!$E$5-INDEX('Staff Review'!$E$8:$E$507,I2423)&lt;='Top 15'!$H$5,LEN(INDEX('Staff Review'!$H$8:$H$507,I2423))&gt;0),"Yes","No"))</x:f>
        <x:v>No</x:v>
      </x:c>
      <x:c r="AJ2423" s="1" t="str">
        <x:f>IF(I2423=0,"No",IF(COUNT(INDEX('Staff Review'!$F$8:$F$507,I2423))&lt;&gt;1,"No",IF(AND(INDEX('Staff Review'!$F$8:$F$507,I2423)&gt;=0,MOD(INDEX('Staff Review'!$F$8:$F$507,I2423),1)=0,COUNT(INDEX('Staff Review'!$G$8:$G$507,I2423))=1,INDEX('Staff Review'!$G$8:$G$507,I2423)&gt;0,INDEX('Staff Review'!$G$8:$G$507,I2423)&lt;='Top 15'!$E$5,'Top 15'!$E$5-INDEX('Staff Review'!$G$8:$G$507,I2423)&lt;='Top 15'!$H$5,LEN(INDEX('Staff Review'!$H$8:$H$507,I2423))&gt;0),"Yes","No")))</x:f>
        <x:v>No</x:v>
      </x:c>
      <x:c r="AK2423" s="1" t="n">
        <x:f>IF(A2423="",0,COUNTIFS($A$2:$A$501,A2423))</x:f>
        <x:v>0</x:v>
      </x:c>
      <x:c r="AL2423" s="1" t="n">
        <x:f>IF(V2423="Candidate",1,0)</x:f>
        <x:v>0</x:v>
      </x:c>
      <x:c r="AM2423" s="1" t="n">
        <x:f>IF(A2423="",0,VALUE(A2423))</x:f>
        <x:v>0</x:v>
      </x:c>
      <x:c r="AN2423" s="1" t="n">
        <x:f>IF(OR(A2423="",COUNTIFS($T$41:$T$540,A2423)&lt;&gt;1),0,MATCH(A2423,$T$41:$T$540,0))</x:f>
        <x:v>0</x:v>
      </x:c>
      <x:c r="AO2423" t="n">
        <x:f>IF(ISNUMBER(W2423),W2423,10000+AM2423)</x:f>
        <x:v>10000</x:v>
      </x:c>
    </x:row>
    <x:row r="2424" ht="22" customHeight="1">
      <x:c r="A2424" s="1" t="str">
        <x:f>IF(A375="","",A375)</x:f>
      </x:c>
      <x:c r="B2424" s="1" t="str">
        <x:f>IF(A2424="","",B375)</x:f>
      </x:c>
      <x:c r="C2424" s="1" t="str">
        <x:f>IF(A2424="","",C375)</x:f>
      </x:c>
      <x:c r="D2424" s="1" t="str">
        <x:f>IF(A2424="","",E375)</x:f>
      </x:c>
      <x:c r="E2424" s="1" t="str">
        <x:f>IF(A2424="","",H375)</x:f>
      </x:c>
      <x:c r="F2424" s="1" t="str">
        <x:f>IF(ISNUMBER(K375),K375,"")</x:f>
      </x:c>
      <x:c r="G2424" s="1" t="str">
        <x:f>IF(ISNUMBER(L375),L375,"")</x:f>
      </x:c>
      <x:c r="H2424" s="1" t="str">
        <x:f>IF(A2424="","",IF(AND(UPPER(G375)="PHILADELPHIA",OR(C2424="District",AND(C2424="Charter",D375="Yes"))),"Yes","No"))</x:f>
      </x:c>
      <x:c r="I2424" s="1" t="n">
        <x:f>IF(OR(A2424="",COUNTIFS('Staff Review'!$A$8:$A$507,A2424)&lt;&gt;1),0,MATCH(A2424,'Staff Review'!$A$8:$A$507,0))</x:f>
        <x:v>0</x:v>
      </x:c>
      <x:c r="J2424" s="1" t="str">
        <x:f>IF(I2424=0,"No",IF(INDEX('Staff Review'!$C$8:$C$507,I2424)="Yes","Yes","No"))</x:f>
        <x:v>No</x:v>
      </x:c>
      <x:c r="K2424" s="1" t="str">
        <x:f>IF(AI2424="Yes",INDEX('Staff Review'!$D$8:$D$507,I2424),IF(AB2424=0,"",IF(COUNT(INDEX($C$1531:$C$2030,AB2424))=1,INDEX($C$1531:$C$2030,AB2424),"")))</x:f>
      </x:c>
      <x:c r="L2424" s="1" t="str">
        <x:f>IF(AJ2424="Yes",INDEX('Staff Review'!$F$8:$F$507,I2424),IF(AB2424=0,"",IF(COUNT(INDEX($G$1531:$G$2030,AB2424))=1,INDEX($G$1531:$G$2030,AB2424),"")))</x:f>
      </x:c>
      <x:c r="M2424" s="1" t="str">
        <x:f>IF(A2424="","",IF(AI2424="Yes","Verified","Listed"))</x:f>
      </x:c>
      <x:c r="N2424" s="1" t="str">
        <x:f>IF(A2424="","",IF(AJ2424="Yes","Verified","Listed"))</x:f>
      </x:c>
      <x:c r="O2424" s="1" t="str">
        <x:f>IF(AND(ISNUMBER(G2424),G2424&gt;=0,G2424&lt;=1),IF(G2424&gt;=0.9,30,IF(G2424&gt;=0.8,25,IF(G2424&gt;=0.7,20,IF(G2424&gt;=0.6,15,IF(G2424&gt;=0.5,10,IF(G2424&gt;=0.4,5,0)))))),"")</x:f>
      </x:c>
      <x:c r="P2424" s="1" t="str">
        <x:f>IF(ISNUMBER(K2424),IF(K2424&lt;0,"",IF(K2424&gt;1,25,IF(K2424&gt;=0.75,20,IF(K2424&gt;=0.5,15,IF(K2424&gt;=0.25,10,5))))),"")</x:f>
      </x:c>
      <x:c r="Q2424" s="1" t="str">
        <x:f>IF(NOT(ISNUMBER(L2424)),"",IF(AND(L2424&gt;=0,MOD(L2424,1)=0),MAX(0,25-5*L2424),""))</x:f>
      </x:c>
      <x:c r="R2424" s="1" t="str">
        <x:f>IF(NOT(ISNUMBER(F2424)),"",IF(AND(F2424&gt;0,MOD(F2424,1)=0),IF(F2424&gt;=700,5,IF(F2424&gt;=500,4,IF(F2424&gt;=350,3,IF(F2424&gt;=200,2,1)))),""))</x:f>
      </x:c>
      <x:c r="S2424" s="1" t="str">
        <x:f>IF(COUNT(O2424:R2424)=4,SUM(O2424:R2424),"")</x:f>
      </x:c>
      <x:c r="T2424" s="1" t="str">
        <x:f>IF(OR(COUNT(O2424:R2424)&lt;&gt;4,COUNT('Top 15'!$B$35:$E$35)&lt;&gt;4,MIN('Top 15'!$B$35:$E$35)&lt;0,SUM('Top 15'!$B$35:$E$35)&lt;=0),"",ROUND(85*(O2424/30*'Top 15'!$B$35+P2424/25*'Top 15'!$C$35+Q2424/25*'Top 15'!$D$35+R2424/5*'Top 15'!$E$35)/SUM('Top 15'!$B$35:$E$35),6))</x:f>
      </x:c>
      <x:c r="U2424" s="1" t="str">
        <x:f>IF(A2424="","",IF(AND(M2424="Verified",N2424="Verified"),"Verified",IF(AND(M2424="Listed",N2424="Listed"),"Listed","Mixed")))</x:f>
      </x:c>
      <x:c r="V2424" s="1" t="str">
        <x:f>IF(A2424="","",IF(AK2424&lt;&gt;1,"Duplicate source ID",IF(COUNTIFS('Staff Review'!$A$8:$A$507,A2424)&gt;1,"Duplicate review ID",IF(H2424&lt;&gt;"Yes","Outside scope",IF(J2424="Yes","Already served",IF(NOT(ISNUMBER(T2424)),"Missing data","Candidate"))))))</x:f>
      </x:c>
      <x:c r="W2424" s="1" t="str">
        <x:f>IF(AL2424=0,"",1+COUNTIFS($AL$2051:$AL$2550,1,$T$2051:$T$2550,"&gt;"&amp;T2424)+COUNTIFS($AL$2051:$AL$2550,1,$T$2051:$T$2550,T2424,$G$2051:$G$2550,"&gt;"&amp;G2424)+COUNTIFS($AL$2051:$AL$2550,1,$T$2051:$T$2550,T2424,$G$2051:$G$2550,G2424,$F$2051:$F$2550,"&gt;"&amp;F2424)+COUNTIFS($AL$2051:$AL$2550,1,$T$2051:$T$2550,T2424,$G$2051:$G$2550,G2424,$F$2051:$F$2550,F2424,$AM$2051:$AM$2550,"&lt;"&amp;AM2424))</x:f>
      </x:c>
      <x:c r="X2424" s="1" t="str">
        <x:f>IF(AL2424=0,"",1+COUNTIFS($AL$2051:$AL$2550,1,$T$2051:$T$2550,"&gt;"&amp;T2424))</x:f>
      </x:c>
      <x:c r="Y2424" s="1" t="n">
        <x:f>IF(AND(H2424="Yes",OR(LEN('School Search'!$B$5)=0,ISNUMBER(SEARCH('School Search'!$B$5,B2424&amp;" "&amp;E2424&amp;" "&amp;A2424))),OR('School Search'!$D$5="All",C2424='School Search'!$D$5),OR('School Search'!$G$5="All eligible",AND('School Search'!$G$5="Not marked served",J2424&lt;&gt;"Yes"),AND('School Search'!$G$5="Missing data",V2424="Missing data"),AND('School Search'!$G$5="Marked served",J2424="Yes"))),1,0)</x:f>
        <x:v>0</x:v>
      </x:c>
      <x:c r="Z2424" s="1" t="str">
        <x:f>IF(Y2424=0,"",COUNTIFS($Y$2051:$Y$2550,1,$AO$2051:$AO$2550,"&lt;"&amp;AO2424)+COUNTIFS($Y$2051:Y2424,1,$AO$2051:AO2424,AO2424))</x:f>
      </x:c>
      <x:c r="AA2424" s="1" t="str">
        <x:f>IF(NOT(ISNUMBER(S2424)),"Missing demographic or access input",TEXT(G2424,"0%")&amp;" economic need; "&amp;TEXT(K2424,"0.00")&amp;" mi fresh access; "&amp;L2424&amp;" nearby resources")</x:f>
        <x:v>Missing demographic or access input</x:v>
      </x:c>
      <x:c r="AB2424" s="1" t="n">
        <x:f>IF(OR(A2424="",COUNTIFS($A$1531:$A$2030,A2424)&lt;&gt;1),0,MATCH(A2424,$A$1531:$A$2030,0))</x:f>
        <x:v>0</x:v>
      </x:c>
      <x:c r="AC2424" s="1" t="str">
        <x:f>IF(AB2424=0,"",INDEX($E$1531:$E$2030,AB2424))</x:f>
      </x:c>
      <x:c r="AD2424" s="1" t="str">
        <x:f>IF(AB2424=0,"",INDEX($F$1531:$F$2030,AB2424))</x:f>
      </x:c>
      <x:c r="AE2424" s="1" t="str">
        <x:f>IF(A2424="","",F375)</x:f>
      </x:c>
      <x:c r="AF2424" s="1" t="str">
        <x:f>IF(ISNUMBER(I375),I375,"")</x:f>
      </x:c>
      <x:c r="AG2424" s="1" t="str">
        <x:f>IF(ISNUMBER(J375),J375,"")</x:f>
      </x:c>
      <x:c r="AH2424" s="1" t="str">
        <x:f>IF(I2424=0,"Not contacted",IF(INDEX('Staff Review'!$J$8:$J$507,I2424)="","Not contacted",INDEX('Staff Review'!$J$8:$J$507,I2424)))</x:f>
        <x:v>Not contacted</x:v>
      </x:c>
      <x:c r="AI2424" s="1" t="str">
        <x:f>IF(I2424=0,"No",IF(AND(COUNT(INDEX('Staff Review'!$D$8:$D$507,I2424))=1,INDEX('Staff Review'!$D$8:$D$507,I2424)&gt;=0,COUNT(INDEX('Staff Review'!$E$8:$E$507,I2424))=1,INDEX('Staff Review'!$E$8:$E$507,I2424)&gt;0,INDEX('Staff Review'!$E$8:$E$507,I2424)&lt;='Top 15'!$E$5,'Top 15'!$E$5-INDEX('Staff Review'!$E$8:$E$507,I2424)&lt;='Top 15'!$H$5,LEN(INDEX('Staff Review'!$H$8:$H$507,I2424))&gt;0),"Yes","No"))</x:f>
        <x:v>No</x:v>
      </x:c>
      <x:c r="AJ2424" s="1" t="str">
        <x:f>IF(I2424=0,"No",IF(COUNT(INDEX('Staff Review'!$F$8:$F$507,I2424))&lt;&gt;1,"No",IF(AND(INDEX('Staff Review'!$F$8:$F$507,I2424)&gt;=0,MOD(INDEX('Staff Review'!$F$8:$F$507,I2424),1)=0,COUNT(INDEX('Staff Review'!$G$8:$G$507,I2424))=1,INDEX('Staff Review'!$G$8:$G$507,I2424)&gt;0,INDEX('Staff Review'!$G$8:$G$507,I2424)&lt;='Top 15'!$E$5,'Top 15'!$E$5-INDEX('Staff Review'!$G$8:$G$507,I2424)&lt;='Top 15'!$H$5,LEN(INDEX('Staff Review'!$H$8:$H$507,I2424))&gt;0),"Yes","No")))</x:f>
        <x:v>No</x:v>
      </x:c>
      <x:c r="AK2424" s="1" t="n">
        <x:f>IF(A2424="",0,COUNTIFS($A$2:$A$501,A2424))</x:f>
        <x:v>0</x:v>
      </x:c>
      <x:c r="AL2424" s="1" t="n">
        <x:f>IF(V2424="Candidate",1,0)</x:f>
        <x:v>0</x:v>
      </x:c>
      <x:c r="AM2424" s="1" t="n">
        <x:f>IF(A2424="",0,VALUE(A2424))</x:f>
        <x:v>0</x:v>
      </x:c>
      <x:c r="AN2424" s="1" t="n">
        <x:f>IF(OR(A2424="",COUNTIFS($T$41:$T$540,A2424)&lt;&gt;1),0,MATCH(A2424,$T$41:$T$540,0))</x:f>
        <x:v>0</x:v>
      </x:c>
      <x:c r="AO2424" t="n">
        <x:f>IF(ISNUMBER(W2424),W2424,10000+AM2424)</x:f>
        <x:v>10000</x:v>
      </x:c>
    </x:row>
    <x:row r="2425" ht="22" customHeight="1">
      <x:c r="A2425" s="1" t="str">
        <x:f>IF(A376="","",A376)</x:f>
      </x:c>
      <x:c r="B2425" s="1" t="str">
        <x:f>IF(A2425="","",B376)</x:f>
      </x:c>
      <x:c r="C2425" s="1" t="str">
        <x:f>IF(A2425="","",C376)</x:f>
      </x:c>
      <x:c r="D2425" s="1" t="str">
        <x:f>IF(A2425="","",E376)</x:f>
      </x:c>
      <x:c r="E2425" s="1" t="str">
        <x:f>IF(A2425="","",H376)</x:f>
      </x:c>
      <x:c r="F2425" s="1" t="str">
        <x:f>IF(ISNUMBER(K376),K376,"")</x:f>
      </x:c>
      <x:c r="G2425" s="1" t="str">
        <x:f>IF(ISNUMBER(L376),L376,"")</x:f>
      </x:c>
      <x:c r="H2425" s="1" t="str">
        <x:f>IF(A2425="","",IF(AND(UPPER(G376)="PHILADELPHIA",OR(C2425="District",AND(C2425="Charter",D376="Yes"))),"Yes","No"))</x:f>
      </x:c>
      <x:c r="I2425" s="1" t="n">
        <x:f>IF(OR(A2425="",COUNTIFS('Staff Review'!$A$8:$A$507,A2425)&lt;&gt;1),0,MATCH(A2425,'Staff Review'!$A$8:$A$507,0))</x:f>
        <x:v>0</x:v>
      </x:c>
      <x:c r="J2425" s="1" t="str">
        <x:f>IF(I2425=0,"No",IF(INDEX('Staff Review'!$C$8:$C$507,I2425)="Yes","Yes","No"))</x:f>
        <x:v>No</x:v>
      </x:c>
      <x:c r="K2425" s="1" t="str">
        <x:f>IF(AI2425="Yes",INDEX('Staff Review'!$D$8:$D$507,I2425),IF(AB2425=0,"",IF(COUNT(INDEX($C$1531:$C$2030,AB2425))=1,INDEX($C$1531:$C$2030,AB2425),"")))</x:f>
      </x:c>
      <x:c r="L2425" s="1" t="str">
        <x:f>IF(AJ2425="Yes",INDEX('Staff Review'!$F$8:$F$507,I2425),IF(AB2425=0,"",IF(COUNT(INDEX($G$1531:$G$2030,AB2425))=1,INDEX($G$1531:$G$2030,AB2425),"")))</x:f>
      </x:c>
      <x:c r="M2425" s="1" t="str">
        <x:f>IF(A2425="","",IF(AI2425="Yes","Verified","Listed"))</x:f>
      </x:c>
      <x:c r="N2425" s="1" t="str">
        <x:f>IF(A2425="","",IF(AJ2425="Yes","Verified","Listed"))</x:f>
      </x:c>
      <x:c r="O2425" s="1" t="str">
        <x:f>IF(AND(ISNUMBER(G2425),G2425&gt;=0,G2425&lt;=1),IF(G2425&gt;=0.9,30,IF(G2425&gt;=0.8,25,IF(G2425&gt;=0.7,20,IF(G2425&gt;=0.6,15,IF(G2425&gt;=0.5,10,IF(G2425&gt;=0.4,5,0)))))),"")</x:f>
      </x:c>
      <x:c r="P2425" s="1" t="str">
        <x:f>IF(ISNUMBER(K2425),IF(K2425&lt;0,"",IF(K2425&gt;1,25,IF(K2425&gt;=0.75,20,IF(K2425&gt;=0.5,15,IF(K2425&gt;=0.25,10,5))))),"")</x:f>
      </x:c>
      <x:c r="Q2425" s="1" t="str">
        <x:f>IF(NOT(ISNUMBER(L2425)),"",IF(AND(L2425&gt;=0,MOD(L2425,1)=0),MAX(0,25-5*L2425),""))</x:f>
      </x:c>
      <x:c r="R2425" s="1" t="str">
        <x:f>IF(NOT(ISNUMBER(F2425)),"",IF(AND(F2425&gt;0,MOD(F2425,1)=0),IF(F2425&gt;=700,5,IF(F2425&gt;=500,4,IF(F2425&gt;=350,3,IF(F2425&gt;=200,2,1)))),""))</x:f>
      </x:c>
      <x:c r="S2425" s="1" t="str">
        <x:f>IF(COUNT(O2425:R2425)=4,SUM(O2425:R2425),"")</x:f>
      </x:c>
      <x:c r="T2425" s="1" t="str">
        <x:f>IF(OR(COUNT(O2425:R2425)&lt;&gt;4,COUNT('Top 15'!$B$35:$E$35)&lt;&gt;4,MIN('Top 15'!$B$35:$E$35)&lt;0,SUM('Top 15'!$B$35:$E$35)&lt;=0),"",ROUND(85*(O2425/30*'Top 15'!$B$35+P2425/25*'Top 15'!$C$35+Q2425/25*'Top 15'!$D$35+R2425/5*'Top 15'!$E$35)/SUM('Top 15'!$B$35:$E$35),6))</x:f>
      </x:c>
      <x:c r="U2425" s="1" t="str">
        <x:f>IF(A2425="","",IF(AND(M2425="Verified",N2425="Verified"),"Verified",IF(AND(M2425="Listed",N2425="Listed"),"Listed","Mixed")))</x:f>
      </x:c>
      <x:c r="V2425" s="1" t="str">
        <x:f>IF(A2425="","",IF(AK2425&lt;&gt;1,"Duplicate source ID",IF(COUNTIFS('Staff Review'!$A$8:$A$507,A2425)&gt;1,"Duplicate review ID",IF(H2425&lt;&gt;"Yes","Outside scope",IF(J2425="Yes","Already served",IF(NOT(ISNUMBER(T2425)),"Missing data","Candidate"))))))</x:f>
      </x:c>
      <x:c r="W2425" s="1" t="str">
        <x:f>IF(AL2425=0,"",1+COUNTIFS($AL$2051:$AL$2550,1,$T$2051:$T$2550,"&gt;"&amp;T2425)+COUNTIFS($AL$2051:$AL$2550,1,$T$2051:$T$2550,T2425,$G$2051:$G$2550,"&gt;"&amp;G2425)+COUNTIFS($AL$2051:$AL$2550,1,$T$2051:$T$2550,T2425,$G$2051:$G$2550,G2425,$F$2051:$F$2550,"&gt;"&amp;F2425)+COUNTIFS($AL$2051:$AL$2550,1,$T$2051:$T$2550,T2425,$G$2051:$G$2550,G2425,$F$2051:$F$2550,F2425,$AM$2051:$AM$2550,"&lt;"&amp;AM2425))</x:f>
      </x:c>
      <x:c r="X2425" s="1" t="str">
        <x:f>IF(AL2425=0,"",1+COUNTIFS($AL$2051:$AL$2550,1,$T$2051:$T$2550,"&gt;"&amp;T2425))</x:f>
      </x:c>
      <x:c r="Y2425" s="1" t="n">
        <x:f>IF(AND(H2425="Yes",OR(LEN('School Search'!$B$5)=0,ISNUMBER(SEARCH('School Search'!$B$5,B2425&amp;" "&amp;E2425&amp;" "&amp;A2425))),OR('School Search'!$D$5="All",C2425='School Search'!$D$5),OR('School Search'!$G$5="All eligible",AND('School Search'!$G$5="Not marked served",J2425&lt;&gt;"Yes"),AND('School Search'!$G$5="Missing data",V2425="Missing data"),AND('School Search'!$G$5="Marked served",J2425="Yes"))),1,0)</x:f>
        <x:v>0</x:v>
      </x:c>
      <x:c r="Z2425" s="1" t="str">
        <x:f>IF(Y2425=0,"",COUNTIFS($Y$2051:$Y$2550,1,$AO$2051:$AO$2550,"&lt;"&amp;AO2425)+COUNTIFS($Y$2051:Y2425,1,$AO$2051:AO2425,AO2425))</x:f>
      </x:c>
      <x:c r="AA2425" s="1" t="str">
        <x:f>IF(NOT(ISNUMBER(S2425)),"Missing demographic or access input",TEXT(G2425,"0%")&amp;" economic need; "&amp;TEXT(K2425,"0.00")&amp;" mi fresh access; "&amp;L2425&amp;" nearby resources")</x:f>
        <x:v>Missing demographic or access input</x:v>
      </x:c>
      <x:c r="AB2425" s="1" t="n">
        <x:f>IF(OR(A2425="",COUNTIFS($A$1531:$A$2030,A2425)&lt;&gt;1),0,MATCH(A2425,$A$1531:$A$2030,0))</x:f>
        <x:v>0</x:v>
      </x:c>
      <x:c r="AC2425" s="1" t="str">
        <x:f>IF(AB2425=0,"",INDEX($E$1531:$E$2030,AB2425))</x:f>
      </x:c>
      <x:c r="AD2425" s="1" t="str">
        <x:f>IF(AB2425=0,"",INDEX($F$1531:$F$2030,AB2425))</x:f>
      </x:c>
      <x:c r="AE2425" s="1" t="str">
        <x:f>IF(A2425="","",F376)</x:f>
      </x:c>
      <x:c r="AF2425" s="1" t="str">
        <x:f>IF(ISNUMBER(I376),I376,"")</x:f>
      </x:c>
      <x:c r="AG2425" s="1" t="str">
        <x:f>IF(ISNUMBER(J376),J376,"")</x:f>
      </x:c>
      <x:c r="AH2425" s="1" t="str">
        <x:f>IF(I2425=0,"Not contacted",IF(INDEX('Staff Review'!$J$8:$J$507,I2425)="","Not contacted",INDEX('Staff Review'!$J$8:$J$507,I2425)))</x:f>
        <x:v>Not contacted</x:v>
      </x:c>
      <x:c r="AI2425" s="1" t="str">
        <x:f>IF(I2425=0,"No",IF(AND(COUNT(INDEX('Staff Review'!$D$8:$D$507,I2425))=1,INDEX('Staff Review'!$D$8:$D$507,I2425)&gt;=0,COUNT(INDEX('Staff Review'!$E$8:$E$507,I2425))=1,INDEX('Staff Review'!$E$8:$E$507,I2425)&gt;0,INDEX('Staff Review'!$E$8:$E$507,I2425)&lt;='Top 15'!$E$5,'Top 15'!$E$5-INDEX('Staff Review'!$E$8:$E$507,I2425)&lt;='Top 15'!$H$5,LEN(INDEX('Staff Review'!$H$8:$H$507,I2425))&gt;0),"Yes","No"))</x:f>
        <x:v>No</x:v>
      </x:c>
      <x:c r="AJ2425" s="1" t="str">
        <x:f>IF(I2425=0,"No",IF(COUNT(INDEX('Staff Review'!$F$8:$F$507,I2425))&lt;&gt;1,"No",IF(AND(INDEX('Staff Review'!$F$8:$F$507,I2425)&gt;=0,MOD(INDEX('Staff Review'!$F$8:$F$507,I2425),1)=0,COUNT(INDEX('Staff Review'!$G$8:$G$507,I2425))=1,INDEX('Staff Review'!$G$8:$G$507,I2425)&gt;0,INDEX('Staff Review'!$G$8:$G$507,I2425)&lt;='Top 15'!$E$5,'Top 15'!$E$5-INDEX('Staff Review'!$G$8:$G$507,I2425)&lt;='Top 15'!$H$5,LEN(INDEX('Staff Review'!$H$8:$H$507,I2425))&gt;0),"Yes","No")))</x:f>
        <x:v>No</x:v>
      </x:c>
      <x:c r="AK2425" s="1" t="n">
        <x:f>IF(A2425="",0,COUNTIFS($A$2:$A$501,A2425))</x:f>
        <x:v>0</x:v>
      </x:c>
      <x:c r="AL2425" s="1" t="n">
        <x:f>IF(V2425="Candidate",1,0)</x:f>
        <x:v>0</x:v>
      </x:c>
      <x:c r="AM2425" s="1" t="n">
        <x:f>IF(A2425="",0,VALUE(A2425))</x:f>
        <x:v>0</x:v>
      </x:c>
      <x:c r="AN2425" s="1" t="n">
        <x:f>IF(OR(A2425="",COUNTIFS($T$41:$T$540,A2425)&lt;&gt;1),0,MATCH(A2425,$T$41:$T$540,0))</x:f>
        <x:v>0</x:v>
      </x:c>
      <x:c r="AO2425" t="n">
        <x:f>IF(ISNUMBER(W2425),W2425,10000+AM2425)</x:f>
        <x:v>10000</x:v>
      </x:c>
    </x:row>
    <x:row r="2426" ht="22" customHeight="1">
      <x:c r="A2426" s="1" t="str">
        <x:f>IF(A377="","",A377)</x:f>
      </x:c>
      <x:c r="B2426" s="1" t="str">
        <x:f>IF(A2426="","",B377)</x:f>
      </x:c>
      <x:c r="C2426" s="1" t="str">
        <x:f>IF(A2426="","",C377)</x:f>
      </x:c>
      <x:c r="D2426" s="1" t="str">
        <x:f>IF(A2426="","",E377)</x:f>
      </x:c>
      <x:c r="E2426" s="1" t="str">
        <x:f>IF(A2426="","",H377)</x:f>
      </x:c>
      <x:c r="F2426" s="1" t="str">
        <x:f>IF(ISNUMBER(K377),K377,"")</x:f>
      </x:c>
      <x:c r="G2426" s="1" t="str">
        <x:f>IF(ISNUMBER(L377),L377,"")</x:f>
      </x:c>
      <x:c r="H2426" s="1" t="str">
        <x:f>IF(A2426="","",IF(AND(UPPER(G377)="PHILADELPHIA",OR(C2426="District",AND(C2426="Charter",D377="Yes"))),"Yes","No"))</x:f>
      </x:c>
      <x:c r="I2426" s="1" t="n">
        <x:f>IF(OR(A2426="",COUNTIFS('Staff Review'!$A$8:$A$507,A2426)&lt;&gt;1),0,MATCH(A2426,'Staff Review'!$A$8:$A$507,0))</x:f>
        <x:v>0</x:v>
      </x:c>
      <x:c r="J2426" s="1" t="str">
        <x:f>IF(I2426=0,"No",IF(INDEX('Staff Review'!$C$8:$C$507,I2426)="Yes","Yes","No"))</x:f>
        <x:v>No</x:v>
      </x:c>
      <x:c r="K2426" s="1" t="str">
        <x:f>IF(AI2426="Yes",INDEX('Staff Review'!$D$8:$D$507,I2426),IF(AB2426=0,"",IF(COUNT(INDEX($C$1531:$C$2030,AB2426))=1,INDEX($C$1531:$C$2030,AB2426),"")))</x:f>
      </x:c>
      <x:c r="L2426" s="1" t="str">
        <x:f>IF(AJ2426="Yes",INDEX('Staff Review'!$F$8:$F$507,I2426),IF(AB2426=0,"",IF(COUNT(INDEX($G$1531:$G$2030,AB2426))=1,INDEX($G$1531:$G$2030,AB2426),"")))</x:f>
      </x:c>
      <x:c r="M2426" s="1" t="str">
        <x:f>IF(A2426="","",IF(AI2426="Yes","Verified","Listed"))</x:f>
      </x:c>
      <x:c r="N2426" s="1" t="str">
        <x:f>IF(A2426="","",IF(AJ2426="Yes","Verified","Listed"))</x:f>
      </x:c>
      <x:c r="O2426" s="1" t="str">
        <x:f>IF(AND(ISNUMBER(G2426),G2426&gt;=0,G2426&lt;=1),IF(G2426&gt;=0.9,30,IF(G2426&gt;=0.8,25,IF(G2426&gt;=0.7,20,IF(G2426&gt;=0.6,15,IF(G2426&gt;=0.5,10,IF(G2426&gt;=0.4,5,0)))))),"")</x:f>
      </x:c>
      <x:c r="P2426" s="1" t="str">
        <x:f>IF(ISNUMBER(K2426),IF(K2426&lt;0,"",IF(K2426&gt;1,25,IF(K2426&gt;=0.75,20,IF(K2426&gt;=0.5,15,IF(K2426&gt;=0.25,10,5))))),"")</x:f>
      </x:c>
      <x:c r="Q2426" s="1" t="str">
        <x:f>IF(NOT(ISNUMBER(L2426)),"",IF(AND(L2426&gt;=0,MOD(L2426,1)=0),MAX(0,25-5*L2426),""))</x:f>
      </x:c>
      <x:c r="R2426" s="1" t="str">
        <x:f>IF(NOT(ISNUMBER(F2426)),"",IF(AND(F2426&gt;0,MOD(F2426,1)=0),IF(F2426&gt;=700,5,IF(F2426&gt;=500,4,IF(F2426&gt;=350,3,IF(F2426&gt;=200,2,1)))),""))</x:f>
      </x:c>
      <x:c r="S2426" s="1" t="str">
        <x:f>IF(COUNT(O2426:R2426)=4,SUM(O2426:R2426),"")</x:f>
      </x:c>
      <x:c r="T2426" s="1" t="str">
        <x:f>IF(OR(COUNT(O2426:R2426)&lt;&gt;4,COUNT('Top 15'!$B$35:$E$35)&lt;&gt;4,MIN('Top 15'!$B$35:$E$35)&lt;0,SUM('Top 15'!$B$35:$E$35)&lt;=0),"",ROUND(85*(O2426/30*'Top 15'!$B$35+P2426/25*'Top 15'!$C$35+Q2426/25*'Top 15'!$D$35+R2426/5*'Top 15'!$E$35)/SUM('Top 15'!$B$35:$E$35),6))</x:f>
      </x:c>
      <x:c r="U2426" s="1" t="str">
        <x:f>IF(A2426="","",IF(AND(M2426="Verified",N2426="Verified"),"Verified",IF(AND(M2426="Listed",N2426="Listed"),"Listed","Mixed")))</x:f>
      </x:c>
      <x:c r="V2426" s="1" t="str">
        <x:f>IF(A2426="","",IF(AK2426&lt;&gt;1,"Duplicate source ID",IF(COUNTIFS('Staff Review'!$A$8:$A$507,A2426)&gt;1,"Duplicate review ID",IF(H2426&lt;&gt;"Yes","Outside scope",IF(J2426="Yes","Already served",IF(NOT(ISNUMBER(T2426)),"Missing data","Candidate"))))))</x:f>
      </x:c>
      <x:c r="W2426" s="1" t="str">
        <x:f>IF(AL2426=0,"",1+COUNTIFS($AL$2051:$AL$2550,1,$T$2051:$T$2550,"&gt;"&amp;T2426)+COUNTIFS($AL$2051:$AL$2550,1,$T$2051:$T$2550,T2426,$G$2051:$G$2550,"&gt;"&amp;G2426)+COUNTIFS($AL$2051:$AL$2550,1,$T$2051:$T$2550,T2426,$G$2051:$G$2550,G2426,$F$2051:$F$2550,"&gt;"&amp;F2426)+COUNTIFS($AL$2051:$AL$2550,1,$T$2051:$T$2550,T2426,$G$2051:$G$2550,G2426,$F$2051:$F$2550,F2426,$AM$2051:$AM$2550,"&lt;"&amp;AM2426))</x:f>
      </x:c>
      <x:c r="X2426" s="1" t="str">
        <x:f>IF(AL2426=0,"",1+COUNTIFS($AL$2051:$AL$2550,1,$T$2051:$T$2550,"&gt;"&amp;T2426))</x:f>
      </x:c>
      <x:c r="Y2426" s="1" t="n">
        <x:f>IF(AND(H2426="Yes",OR(LEN('School Search'!$B$5)=0,ISNUMBER(SEARCH('School Search'!$B$5,B2426&amp;" "&amp;E2426&amp;" "&amp;A2426))),OR('School Search'!$D$5="All",C2426='School Search'!$D$5),OR('School Search'!$G$5="All eligible",AND('School Search'!$G$5="Not marked served",J2426&lt;&gt;"Yes"),AND('School Search'!$G$5="Missing data",V2426="Missing data"),AND('School Search'!$G$5="Marked served",J2426="Yes"))),1,0)</x:f>
        <x:v>0</x:v>
      </x:c>
      <x:c r="Z2426" s="1" t="str">
        <x:f>IF(Y2426=0,"",COUNTIFS($Y$2051:$Y$2550,1,$AO$2051:$AO$2550,"&lt;"&amp;AO2426)+COUNTIFS($Y$2051:Y2426,1,$AO$2051:AO2426,AO2426))</x:f>
      </x:c>
      <x:c r="AA2426" s="1" t="str">
        <x:f>IF(NOT(ISNUMBER(S2426)),"Missing demographic or access input",TEXT(G2426,"0%")&amp;" economic need; "&amp;TEXT(K2426,"0.00")&amp;" mi fresh access; "&amp;L2426&amp;" nearby resources")</x:f>
        <x:v>Missing demographic or access input</x:v>
      </x:c>
      <x:c r="AB2426" s="1" t="n">
        <x:f>IF(OR(A2426="",COUNTIFS($A$1531:$A$2030,A2426)&lt;&gt;1),0,MATCH(A2426,$A$1531:$A$2030,0))</x:f>
        <x:v>0</x:v>
      </x:c>
      <x:c r="AC2426" s="1" t="str">
        <x:f>IF(AB2426=0,"",INDEX($E$1531:$E$2030,AB2426))</x:f>
      </x:c>
      <x:c r="AD2426" s="1" t="str">
        <x:f>IF(AB2426=0,"",INDEX($F$1531:$F$2030,AB2426))</x:f>
      </x:c>
      <x:c r="AE2426" s="1" t="str">
        <x:f>IF(A2426="","",F377)</x:f>
      </x:c>
      <x:c r="AF2426" s="1" t="str">
        <x:f>IF(ISNUMBER(I377),I377,"")</x:f>
      </x:c>
      <x:c r="AG2426" s="1" t="str">
        <x:f>IF(ISNUMBER(J377),J377,"")</x:f>
      </x:c>
      <x:c r="AH2426" s="1" t="str">
        <x:f>IF(I2426=0,"Not contacted",IF(INDEX('Staff Review'!$J$8:$J$507,I2426)="","Not contacted",INDEX('Staff Review'!$J$8:$J$507,I2426)))</x:f>
        <x:v>Not contacted</x:v>
      </x:c>
      <x:c r="AI2426" s="1" t="str">
        <x:f>IF(I2426=0,"No",IF(AND(COUNT(INDEX('Staff Review'!$D$8:$D$507,I2426))=1,INDEX('Staff Review'!$D$8:$D$507,I2426)&gt;=0,COUNT(INDEX('Staff Review'!$E$8:$E$507,I2426))=1,INDEX('Staff Review'!$E$8:$E$507,I2426)&gt;0,INDEX('Staff Review'!$E$8:$E$507,I2426)&lt;='Top 15'!$E$5,'Top 15'!$E$5-INDEX('Staff Review'!$E$8:$E$507,I2426)&lt;='Top 15'!$H$5,LEN(INDEX('Staff Review'!$H$8:$H$507,I2426))&gt;0),"Yes","No"))</x:f>
        <x:v>No</x:v>
      </x:c>
      <x:c r="AJ2426" s="1" t="str">
        <x:f>IF(I2426=0,"No",IF(COUNT(INDEX('Staff Review'!$F$8:$F$507,I2426))&lt;&gt;1,"No",IF(AND(INDEX('Staff Review'!$F$8:$F$507,I2426)&gt;=0,MOD(INDEX('Staff Review'!$F$8:$F$507,I2426),1)=0,COUNT(INDEX('Staff Review'!$G$8:$G$507,I2426))=1,INDEX('Staff Review'!$G$8:$G$507,I2426)&gt;0,INDEX('Staff Review'!$G$8:$G$507,I2426)&lt;='Top 15'!$E$5,'Top 15'!$E$5-INDEX('Staff Review'!$G$8:$G$507,I2426)&lt;='Top 15'!$H$5,LEN(INDEX('Staff Review'!$H$8:$H$507,I2426))&gt;0),"Yes","No")))</x:f>
        <x:v>No</x:v>
      </x:c>
      <x:c r="AK2426" s="1" t="n">
        <x:f>IF(A2426="",0,COUNTIFS($A$2:$A$501,A2426))</x:f>
        <x:v>0</x:v>
      </x:c>
      <x:c r="AL2426" s="1" t="n">
        <x:f>IF(V2426="Candidate",1,0)</x:f>
        <x:v>0</x:v>
      </x:c>
      <x:c r="AM2426" s="1" t="n">
        <x:f>IF(A2426="",0,VALUE(A2426))</x:f>
        <x:v>0</x:v>
      </x:c>
      <x:c r="AN2426" s="1" t="n">
        <x:f>IF(OR(A2426="",COUNTIFS($T$41:$T$540,A2426)&lt;&gt;1),0,MATCH(A2426,$T$41:$T$540,0))</x:f>
        <x:v>0</x:v>
      </x:c>
      <x:c r="AO2426" t="n">
        <x:f>IF(ISNUMBER(W2426),W2426,10000+AM2426)</x:f>
        <x:v>10000</x:v>
      </x:c>
    </x:row>
    <x:row r="2427" ht="22" customHeight="1">
      <x:c r="A2427" s="1" t="str">
        <x:f>IF(A378="","",A378)</x:f>
      </x:c>
      <x:c r="B2427" s="1" t="str">
        <x:f>IF(A2427="","",B378)</x:f>
      </x:c>
      <x:c r="C2427" s="1" t="str">
        <x:f>IF(A2427="","",C378)</x:f>
      </x:c>
      <x:c r="D2427" s="1" t="str">
        <x:f>IF(A2427="","",E378)</x:f>
      </x:c>
      <x:c r="E2427" s="1" t="str">
        <x:f>IF(A2427="","",H378)</x:f>
      </x:c>
      <x:c r="F2427" s="1" t="str">
        <x:f>IF(ISNUMBER(K378),K378,"")</x:f>
      </x:c>
      <x:c r="G2427" s="1" t="str">
        <x:f>IF(ISNUMBER(L378),L378,"")</x:f>
      </x:c>
      <x:c r="H2427" s="1" t="str">
        <x:f>IF(A2427="","",IF(AND(UPPER(G378)="PHILADELPHIA",OR(C2427="District",AND(C2427="Charter",D378="Yes"))),"Yes","No"))</x:f>
      </x:c>
      <x:c r="I2427" s="1" t="n">
        <x:f>IF(OR(A2427="",COUNTIFS('Staff Review'!$A$8:$A$507,A2427)&lt;&gt;1),0,MATCH(A2427,'Staff Review'!$A$8:$A$507,0))</x:f>
        <x:v>0</x:v>
      </x:c>
      <x:c r="J2427" s="1" t="str">
        <x:f>IF(I2427=0,"No",IF(INDEX('Staff Review'!$C$8:$C$507,I2427)="Yes","Yes","No"))</x:f>
        <x:v>No</x:v>
      </x:c>
      <x:c r="K2427" s="1" t="str">
        <x:f>IF(AI2427="Yes",INDEX('Staff Review'!$D$8:$D$507,I2427),IF(AB2427=0,"",IF(COUNT(INDEX($C$1531:$C$2030,AB2427))=1,INDEX($C$1531:$C$2030,AB2427),"")))</x:f>
      </x:c>
      <x:c r="L2427" s="1" t="str">
        <x:f>IF(AJ2427="Yes",INDEX('Staff Review'!$F$8:$F$507,I2427),IF(AB2427=0,"",IF(COUNT(INDEX($G$1531:$G$2030,AB2427))=1,INDEX($G$1531:$G$2030,AB2427),"")))</x:f>
      </x:c>
      <x:c r="M2427" s="1" t="str">
        <x:f>IF(A2427="","",IF(AI2427="Yes","Verified","Listed"))</x:f>
      </x:c>
      <x:c r="N2427" s="1" t="str">
        <x:f>IF(A2427="","",IF(AJ2427="Yes","Verified","Listed"))</x:f>
      </x:c>
      <x:c r="O2427" s="1" t="str">
        <x:f>IF(AND(ISNUMBER(G2427),G2427&gt;=0,G2427&lt;=1),IF(G2427&gt;=0.9,30,IF(G2427&gt;=0.8,25,IF(G2427&gt;=0.7,20,IF(G2427&gt;=0.6,15,IF(G2427&gt;=0.5,10,IF(G2427&gt;=0.4,5,0)))))),"")</x:f>
      </x:c>
      <x:c r="P2427" s="1" t="str">
        <x:f>IF(ISNUMBER(K2427),IF(K2427&lt;0,"",IF(K2427&gt;1,25,IF(K2427&gt;=0.75,20,IF(K2427&gt;=0.5,15,IF(K2427&gt;=0.25,10,5))))),"")</x:f>
      </x:c>
      <x:c r="Q2427" s="1" t="str">
        <x:f>IF(NOT(ISNUMBER(L2427)),"",IF(AND(L2427&gt;=0,MOD(L2427,1)=0),MAX(0,25-5*L2427),""))</x:f>
      </x:c>
      <x:c r="R2427" s="1" t="str">
        <x:f>IF(NOT(ISNUMBER(F2427)),"",IF(AND(F2427&gt;0,MOD(F2427,1)=0),IF(F2427&gt;=700,5,IF(F2427&gt;=500,4,IF(F2427&gt;=350,3,IF(F2427&gt;=200,2,1)))),""))</x:f>
      </x:c>
      <x:c r="S2427" s="1" t="str">
        <x:f>IF(COUNT(O2427:R2427)=4,SUM(O2427:R2427),"")</x:f>
      </x:c>
      <x:c r="T2427" s="1" t="str">
        <x:f>IF(OR(COUNT(O2427:R2427)&lt;&gt;4,COUNT('Top 15'!$B$35:$E$35)&lt;&gt;4,MIN('Top 15'!$B$35:$E$35)&lt;0,SUM('Top 15'!$B$35:$E$35)&lt;=0),"",ROUND(85*(O2427/30*'Top 15'!$B$35+P2427/25*'Top 15'!$C$35+Q2427/25*'Top 15'!$D$35+R2427/5*'Top 15'!$E$35)/SUM('Top 15'!$B$35:$E$35),6))</x:f>
      </x:c>
      <x:c r="U2427" s="1" t="str">
        <x:f>IF(A2427="","",IF(AND(M2427="Verified",N2427="Verified"),"Verified",IF(AND(M2427="Listed",N2427="Listed"),"Listed","Mixed")))</x:f>
      </x:c>
      <x:c r="V2427" s="1" t="str">
        <x:f>IF(A2427="","",IF(AK2427&lt;&gt;1,"Duplicate source ID",IF(COUNTIFS('Staff Review'!$A$8:$A$507,A2427)&gt;1,"Duplicate review ID",IF(H2427&lt;&gt;"Yes","Outside scope",IF(J2427="Yes","Already served",IF(NOT(ISNUMBER(T2427)),"Missing data","Candidate"))))))</x:f>
      </x:c>
      <x:c r="W2427" s="1" t="str">
        <x:f>IF(AL2427=0,"",1+COUNTIFS($AL$2051:$AL$2550,1,$T$2051:$T$2550,"&gt;"&amp;T2427)+COUNTIFS($AL$2051:$AL$2550,1,$T$2051:$T$2550,T2427,$G$2051:$G$2550,"&gt;"&amp;G2427)+COUNTIFS($AL$2051:$AL$2550,1,$T$2051:$T$2550,T2427,$G$2051:$G$2550,G2427,$F$2051:$F$2550,"&gt;"&amp;F2427)+COUNTIFS($AL$2051:$AL$2550,1,$T$2051:$T$2550,T2427,$G$2051:$G$2550,G2427,$F$2051:$F$2550,F2427,$AM$2051:$AM$2550,"&lt;"&amp;AM2427))</x:f>
      </x:c>
      <x:c r="X2427" s="1" t="str">
        <x:f>IF(AL2427=0,"",1+COUNTIFS($AL$2051:$AL$2550,1,$T$2051:$T$2550,"&gt;"&amp;T2427))</x:f>
      </x:c>
      <x:c r="Y2427" s="1" t="n">
        <x:f>IF(AND(H2427="Yes",OR(LEN('School Search'!$B$5)=0,ISNUMBER(SEARCH('School Search'!$B$5,B2427&amp;" "&amp;E2427&amp;" "&amp;A2427))),OR('School Search'!$D$5="All",C2427='School Search'!$D$5),OR('School Search'!$G$5="All eligible",AND('School Search'!$G$5="Not marked served",J2427&lt;&gt;"Yes"),AND('School Search'!$G$5="Missing data",V2427="Missing data"),AND('School Search'!$G$5="Marked served",J2427="Yes"))),1,0)</x:f>
        <x:v>0</x:v>
      </x:c>
      <x:c r="Z2427" s="1" t="str">
        <x:f>IF(Y2427=0,"",COUNTIFS($Y$2051:$Y$2550,1,$AO$2051:$AO$2550,"&lt;"&amp;AO2427)+COUNTIFS($Y$2051:Y2427,1,$AO$2051:AO2427,AO2427))</x:f>
      </x:c>
      <x:c r="AA2427" s="1" t="str">
        <x:f>IF(NOT(ISNUMBER(S2427)),"Missing demographic or access input",TEXT(G2427,"0%")&amp;" economic need; "&amp;TEXT(K2427,"0.00")&amp;" mi fresh access; "&amp;L2427&amp;" nearby resources")</x:f>
        <x:v>Missing demographic or access input</x:v>
      </x:c>
      <x:c r="AB2427" s="1" t="n">
        <x:f>IF(OR(A2427="",COUNTIFS($A$1531:$A$2030,A2427)&lt;&gt;1),0,MATCH(A2427,$A$1531:$A$2030,0))</x:f>
        <x:v>0</x:v>
      </x:c>
      <x:c r="AC2427" s="1" t="str">
        <x:f>IF(AB2427=0,"",INDEX($E$1531:$E$2030,AB2427))</x:f>
      </x:c>
      <x:c r="AD2427" s="1" t="str">
        <x:f>IF(AB2427=0,"",INDEX($F$1531:$F$2030,AB2427))</x:f>
      </x:c>
      <x:c r="AE2427" s="1" t="str">
        <x:f>IF(A2427="","",F378)</x:f>
      </x:c>
      <x:c r="AF2427" s="1" t="str">
        <x:f>IF(ISNUMBER(I378),I378,"")</x:f>
      </x:c>
      <x:c r="AG2427" s="1" t="str">
        <x:f>IF(ISNUMBER(J378),J378,"")</x:f>
      </x:c>
      <x:c r="AH2427" s="1" t="str">
        <x:f>IF(I2427=0,"Not contacted",IF(INDEX('Staff Review'!$J$8:$J$507,I2427)="","Not contacted",INDEX('Staff Review'!$J$8:$J$507,I2427)))</x:f>
        <x:v>Not contacted</x:v>
      </x:c>
      <x:c r="AI2427" s="1" t="str">
        <x:f>IF(I2427=0,"No",IF(AND(COUNT(INDEX('Staff Review'!$D$8:$D$507,I2427))=1,INDEX('Staff Review'!$D$8:$D$507,I2427)&gt;=0,COUNT(INDEX('Staff Review'!$E$8:$E$507,I2427))=1,INDEX('Staff Review'!$E$8:$E$507,I2427)&gt;0,INDEX('Staff Review'!$E$8:$E$507,I2427)&lt;='Top 15'!$E$5,'Top 15'!$E$5-INDEX('Staff Review'!$E$8:$E$507,I2427)&lt;='Top 15'!$H$5,LEN(INDEX('Staff Review'!$H$8:$H$507,I2427))&gt;0),"Yes","No"))</x:f>
        <x:v>No</x:v>
      </x:c>
      <x:c r="AJ2427" s="1" t="str">
        <x:f>IF(I2427=0,"No",IF(COUNT(INDEX('Staff Review'!$F$8:$F$507,I2427))&lt;&gt;1,"No",IF(AND(INDEX('Staff Review'!$F$8:$F$507,I2427)&gt;=0,MOD(INDEX('Staff Review'!$F$8:$F$507,I2427),1)=0,COUNT(INDEX('Staff Review'!$G$8:$G$507,I2427))=1,INDEX('Staff Review'!$G$8:$G$507,I2427)&gt;0,INDEX('Staff Review'!$G$8:$G$507,I2427)&lt;='Top 15'!$E$5,'Top 15'!$E$5-INDEX('Staff Review'!$G$8:$G$507,I2427)&lt;='Top 15'!$H$5,LEN(INDEX('Staff Review'!$H$8:$H$507,I2427))&gt;0),"Yes","No")))</x:f>
        <x:v>No</x:v>
      </x:c>
      <x:c r="AK2427" s="1" t="n">
        <x:f>IF(A2427="",0,COUNTIFS($A$2:$A$501,A2427))</x:f>
        <x:v>0</x:v>
      </x:c>
      <x:c r="AL2427" s="1" t="n">
        <x:f>IF(V2427="Candidate",1,0)</x:f>
        <x:v>0</x:v>
      </x:c>
      <x:c r="AM2427" s="1" t="n">
        <x:f>IF(A2427="",0,VALUE(A2427))</x:f>
        <x:v>0</x:v>
      </x:c>
      <x:c r="AN2427" s="1" t="n">
        <x:f>IF(OR(A2427="",COUNTIFS($T$41:$T$540,A2427)&lt;&gt;1),0,MATCH(A2427,$T$41:$T$540,0))</x:f>
        <x:v>0</x:v>
      </x:c>
      <x:c r="AO2427" t="n">
        <x:f>IF(ISNUMBER(W2427),W2427,10000+AM2427)</x:f>
        <x:v>10000</x:v>
      </x:c>
    </x:row>
    <x:row r="2428" ht="22" customHeight="1">
      <x:c r="A2428" s="1" t="str">
        <x:f>IF(A379="","",A379)</x:f>
      </x:c>
      <x:c r="B2428" s="1" t="str">
        <x:f>IF(A2428="","",B379)</x:f>
      </x:c>
      <x:c r="C2428" s="1" t="str">
        <x:f>IF(A2428="","",C379)</x:f>
      </x:c>
      <x:c r="D2428" s="1" t="str">
        <x:f>IF(A2428="","",E379)</x:f>
      </x:c>
      <x:c r="E2428" s="1" t="str">
        <x:f>IF(A2428="","",H379)</x:f>
      </x:c>
      <x:c r="F2428" s="1" t="str">
        <x:f>IF(ISNUMBER(K379),K379,"")</x:f>
      </x:c>
      <x:c r="G2428" s="1" t="str">
        <x:f>IF(ISNUMBER(L379),L379,"")</x:f>
      </x:c>
      <x:c r="H2428" s="1" t="str">
        <x:f>IF(A2428="","",IF(AND(UPPER(G379)="PHILADELPHIA",OR(C2428="District",AND(C2428="Charter",D379="Yes"))),"Yes","No"))</x:f>
      </x:c>
      <x:c r="I2428" s="1" t="n">
        <x:f>IF(OR(A2428="",COUNTIFS('Staff Review'!$A$8:$A$507,A2428)&lt;&gt;1),0,MATCH(A2428,'Staff Review'!$A$8:$A$507,0))</x:f>
        <x:v>0</x:v>
      </x:c>
      <x:c r="J2428" s="1" t="str">
        <x:f>IF(I2428=0,"No",IF(INDEX('Staff Review'!$C$8:$C$507,I2428)="Yes","Yes","No"))</x:f>
        <x:v>No</x:v>
      </x:c>
      <x:c r="K2428" s="1" t="str">
        <x:f>IF(AI2428="Yes",INDEX('Staff Review'!$D$8:$D$507,I2428),IF(AB2428=0,"",IF(COUNT(INDEX($C$1531:$C$2030,AB2428))=1,INDEX($C$1531:$C$2030,AB2428),"")))</x:f>
      </x:c>
      <x:c r="L2428" s="1" t="str">
        <x:f>IF(AJ2428="Yes",INDEX('Staff Review'!$F$8:$F$507,I2428),IF(AB2428=0,"",IF(COUNT(INDEX($G$1531:$G$2030,AB2428))=1,INDEX($G$1531:$G$2030,AB2428),"")))</x:f>
      </x:c>
      <x:c r="M2428" s="1" t="str">
        <x:f>IF(A2428="","",IF(AI2428="Yes","Verified","Listed"))</x:f>
      </x:c>
      <x:c r="N2428" s="1" t="str">
        <x:f>IF(A2428="","",IF(AJ2428="Yes","Verified","Listed"))</x:f>
      </x:c>
      <x:c r="O2428" s="1" t="str">
        <x:f>IF(AND(ISNUMBER(G2428),G2428&gt;=0,G2428&lt;=1),IF(G2428&gt;=0.9,30,IF(G2428&gt;=0.8,25,IF(G2428&gt;=0.7,20,IF(G2428&gt;=0.6,15,IF(G2428&gt;=0.5,10,IF(G2428&gt;=0.4,5,0)))))),"")</x:f>
      </x:c>
      <x:c r="P2428" s="1" t="str">
        <x:f>IF(ISNUMBER(K2428),IF(K2428&lt;0,"",IF(K2428&gt;1,25,IF(K2428&gt;=0.75,20,IF(K2428&gt;=0.5,15,IF(K2428&gt;=0.25,10,5))))),"")</x:f>
      </x:c>
      <x:c r="Q2428" s="1" t="str">
        <x:f>IF(NOT(ISNUMBER(L2428)),"",IF(AND(L2428&gt;=0,MOD(L2428,1)=0),MAX(0,25-5*L2428),""))</x:f>
      </x:c>
      <x:c r="R2428" s="1" t="str">
        <x:f>IF(NOT(ISNUMBER(F2428)),"",IF(AND(F2428&gt;0,MOD(F2428,1)=0),IF(F2428&gt;=700,5,IF(F2428&gt;=500,4,IF(F2428&gt;=350,3,IF(F2428&gt;=200,2,1)))),""))</x:f>
      </x:c>
      <x:c r="S2428" s="1" t="str">
        <x:f>IF(COUNT(O2428:R2428)=4,SUM(O2428:R2428),"")</x:f>
      </x:c>
      <x:c r="T2428" s="1" t="str">
        <x:f>IF(OR(COUNT(O2428:R2428)&lt;&gt;4,COUNT('Top 15'!$B$35:$E$35)&lt;&gt;4,MIN('Top 15'!$B$35:$E$35)&lt;0,SUM('Top 15'!$B$35:$E$35)&lt;=0),"",ROUND(85*(O2428/30*'Top 15'!$B$35+P2428/25*'Top 15'!$C$35+Q2428/25*'Top 15'!$D$35+R2428/5*'Top 15'!$E$35)/SUM('Top 15'!$B$35:$E$35),6))</x:f>
      </x:c>
      <x:c r="U2428" s="1" t="str">
        <x:f>IF(A2428="","",IF(AND(M2428="Verified",N2428="Verified"),"Verified",IF(AND(M2428="Listed",N2428="Listed"),"Listed","Mixed")))</x:f>
      </x:c>
      <x:c r="V2428" s="1" t="str">
        <x:f>IF(A2428="","",IF(AK2428&lt;&gt;1,"Duplicate source ID",IF(COUNTIFS('Staff Review'!$A$8:$A$507,A2428)&gt;1,"Duplicate review ID",IF(H2428&lt;&gt;"Yes","Outside scope",IF(J2428="Yes","Already served",IF(NOT(ISNUMBER(T2428)),"Missing data","Candidate"))))))</x:f>
      </x:c>
      <x:c r="W2428" s="1" t="str">
        <x:f>IF(AL2428=0,"",1+COUNTIFS($AL$2051:$AL$2550,1,$T$2051:$T$2550,"&gt;"&amp;T2428)+COUNTIFS($AL$2051:$AL$2550,1,$T$2051:$T$2550,T2428,$G$2051:$G$2550,"&gt;"&amp;G2428)+COUNTIFS($AL$2051:$AL$2550,1,$T$2051:$T$2550,T2428,$G$2051:$G$2550,G2428,$F$2051:$F$2550,"&gt;"&amp;F2428)+COUNTIFS($AL$2051:$AL$2550,1,$T$2051:$T$2550,T2428,$G$2051:$G$2550,G2428,$F$2051:$F$2550,F2428,$AM$2051:$AM$2550,"&lt;"&amp;AM2428))</x:f>
      </x:c>
      <x:c r="X2428" s="1" t="str">
        <x:f>IF(AL2428=0,"",1+COUNTIFS($AL$2051:$AL$2550,1,$T$2051:$T$2550,"&gt;"&amp;T2428))</x:f>
      </x:c>
      <x:c r="Y2428" s="1" t="n">
        <x:f>IF(AND(H2428="Yes",OR(LEN('School Search'!$B$5)=0,ISNUMBER(SEARCH('School Search'!$B$5,B2428&amp;" "&amp;E2428&amp;" "&amp;A2428))),OR('School Search'!$D$5="All",C2428='School Search'!$D$5),OR('School Search'!$G$5="All eligible",AND('School Search'!$G$5="Not marked served",J2428&lt;&gt;"Yes"),AND('School Search'!$G$5="Missing data",V2428="Missing data"),AND('School Search'!$G$5="Marked served",J2428="Yes"))),1,0)</x:f>
        <x:v>0</x:v>
      </x:c>
      <x:c r="Z2428" s="1" t="str">
        <x:f>IF(Y2428=0,"",COUNTIFS($Y$2051:$Y$2550,1,$AO$2051:$AO$2550,"&lt;"&amp;AO2428)+COUNTIFS($Y$2051:Y2428,1,$AO$2051:AO2428,AO2428))</x:f>
      </x:c>
      <x:c r="AA2428" s="1" t="str">
        <x:f>IF(NOT(ISNUMBER(S2428)),"Missing demographic or access input",TEXT(G2428,"0%")&amp;" economic need; "&amp;TEXT(K2428,"0.00")&amp;" mi fresh access; "&amp;L2428&amp;" nearby resources")</x:f>
        <x:v>Missing demographic or access input</x:v>
      </x:c>
      <x:c r="AB2428" s="1" t="n">
        <x:f>IF(OR(A2428="",COUNTIFS($A$1531:$A$2030,A2428)&lt;&gt;1),0,MATCH(A2428,$A$1531:$A$2030,0))</x:f>
        <x:v>0</x:v>
      </x:c>
      <x:c r="AC2428" s="1" t="str">
        <x:f>IF(AB2428=0,"",INDEX($E$1531:$E$2030,AB2428))</x:f>
      </x:c>
      <x:c r="AD2428" s="1" t="str">
        <x:f>IF(AB2428=0,"",INDEX($F$1531:$F$2030,AB2428))</x:f>
      </x:c>
      <x:c r="AE2428" s="1" t="str">
        <x:f>IF(A2428="","",F379)</x:f>
      </x:c>
      <x:c r="AF2428" s="1" t="str">
        <x:f>IF(ISNUMBER(I379),I379,"")</x:f>
      </x:c>
      <x:c r="AG2428" s="1" t="str">
        <x:f>IF(ISNUMBER(J379),J379,"")</x:f>
      </x:c>
      <x:c r="AH2428" s="1" t="str">
        <x:f>IF(I2428=0,"Not contacted",IF(INDEX('Staff Review'!$J$8:$J$507,I2428)="","Not contacted",INDEX('Staff Review'!$J$8:$J$507,I2428)))</x:f>
        <x:v>Not contacted</x:v>
      </x:c>
      <x:c r="AI2428" s="1" t="str">
        <x:f>IF(I2428=0,"No",IF(AND(COUNT(INDEX('Staff Review'!$D$8:$D$507,I2428))=1,INDEX('Staff Review'!$D$8:$D$507,I2428)&gt;=0,COUNT(INDEX('Staff Review'!$E$8:$E$507,I2428))=1,INDEX('Staff Review'!$E$8:$E$507,I2428)&gt;0,INDEX('Staff Review'!$E$8:$E$507,I2428)&lt;='Top 15'!$E$5,'Top 15'!$E$5-INDEX('Staff Review'!$E$8:$E$507,I2428)&lt;='Top 15'!$H$5,LEN(INDEX('Staff Review'!$H$8:$H$507,I2428))&gt;0),"Yes","No"))</x:f>
        <x:v>No</x:v>
      </x:c>
      <x:c r="AJ2428" s="1" t="str">
        <x:f>IF(I2428=0,"No",IF(COUNT(INDEX('Staff Review'!$F$8:$F$507,I2428))&lt;&gt;1,"No",IF(AND(INDEX('Staff Review'!$F$8:$F$507,I2428)&gt;=0,MOD(INDEX('Staff Review'!$F$8:$F$507,I2428),1)=0,COUNT(INDEX('Staff Review'!$G$8:$G$507,I2428))=1,INDEX('Staff Review'!$G$8:$G$507,I2428)&gt;0,INDEX('Staff Review'!$G$8:$G$507,I2428)&lt;='Top 15'!$E$5,'Top 15'!$E$5-INDEX('Staff Review'!$G$8:$G$507,I2428)&lt;='Top 15'!$H$5,LEN(INDEX('Staff Review'!$H$8:$H$507,I2428))&gt;0),"Yes","No")))</x:f>
        <x:v>No</x:v>
      </x:c>
      <x:c r="AK2428" s="1" t="n">
        <x:f>IF(A2428="",0,COUNTIFS($A$2:$A$501,A2428))</x:f>
        <x:v>0</x:v>
      </x:c>
      <x:c r="AL2428" s="1" t="n">
        <x:f>IF(V2428="Candidate",1,0)</x:f>
        <x:v>0</x:v>
      </x:c>
      <x:c r="AM2428" s="1" t="n">
        <x:f>IF(A2428="",0,VALUE(A2428))</x:f>
        <x:v>0</x:v>
      </x:c>
      <x:c r="AN2428" s="1" t="n">
        <x:f>IF(OR(A2428="",COUNTIFS($T$41:$T$540,A2428)&lt;&gt;1),0,MATCH(A2428,$T$41:$T$540,0))</x:f>
        <x:v>0</x:v>
      </x:c>
      <x:c r="AO2428" t="n">
        <x:f>IF(ISNUMBER(W2428),W2428,10000+AM2428)</x:f>
        <x:v>10000</x:v>
      </x:c>
    </x:row>
    <x:row r="2429" ht="22" customHeight="1">
      <x:c r="A2429" s="1" t="str">
        <x:f>IF(A380="","",A380)</x:f>
      </x:c>
      <x:c r="B2429" s="1" t="str">
        <x:f>IF(A2429="","",B380)</x:f>
      </x:c>
      <x:c r="C2429" s="1" t="str">
        <x:f>IF(A2429="","",C380)</x:f>
      </x:c>
      <x:c r="D2429" s="1" t="str">
        <x:f>IF(A2429="","",E380)</x:f>
      </x:c>
      <x:c r="E2429" s="1" t="str">
        <x:f>IF(A2429="","",H380)</x:f>
      </x:c>
      <x:c r="F2429" s="1" t="str">
        <x:f>IF(ISNUMBER(K380),K380,"")</x:f>
      </x:c>
      <x:c r="G2429" s="1" t="str">
        <x:f>IF(ISNUMBER(L380),L380,"")</x:f>
      </x:c>
      <x:c r="H2429" s="1" t="str">
        <x:f>IF(A2429="","",IF(AND(UPPER(G380)="PHILADELPHIA",OR(C2429="District",AND(C2429="Charter",D380="Yes"))),"Yes","No"))</x:f>
      </x:c>
      <x:c r="I2429" s="1" t="n">
        <x:f>IF(OR(A2429="",COUNTIFS('Staff Review'!$A$8:$A$507,A2429)&lt;&gt;1),0,MATCH(A2429,'Staff Review'!$A$8:$A$507,0))</x:f>
        <x:v>0</x:v>
      </x:c>
      <x:c r="J2429" s="1" t="str">
        <x:f>IF(I2429=0,"No",IF(INDEX('Staff Review'!$C$8:$C$507,I2429)="Yes","Yes","No"))</x:f>
        <x:v>No</x:v>
      </x:c>
      <x:c r="K2429" s="1" t="str">
        <x:f>IF(AI2429="Yes",INDEX('Staff Review'!$D$8:$D$507,I2429),IF(AB2429=0,"",IF(COUNT(INDEX($C$1531:$C$2030,AB2429))=1,INDEX($C$1531:$C$2030,AB2429),"")))</x:f>
      </x:c>
      <x:c r="L2429" s="1" t="str">
        <x:f>IF(AJ2429="Yes",INDEX('Staff Review'!$F$8:$F$507,I2429),IF(AB2429=0,"",IF(COUNT(INDEX($G$1531:$G$2030,AB2429))=1,INDEX($G$1531:$G$2030,AB2429),"")))</x:f>
      </x:c>
      <x:c r="M2429" s="1" t="str">
        <x:f>IF(A2429="","",IF(AI2429="Yes","Verified","Listed"))</x:f>
      </x:c>
      <x:c r="N2429" s="1" t="str">
        <x:f>IF(A2429="","",IF(AJ2429="Yes","Verified","Listed"))</x:f>
      </x:c>
      <x:c r="O2429" s="1" t="str">
        <x:f>IF(AND(ISNUMBER(G2429),G2429&gt;=0,G2429&lt;=1),IF(G2429&gt;=0.9,30,IF(G2429&gt;=0.8,25,IF(G2429&gt;=0.7,20,IF(G2429&gt;=0.6,15,IF(G2429&gt;=0.5,10,IF(G2429&gt;=0.4,5,0)))))),"")</x:f>
      </x:c>
      <x:c r="P2429" s="1" t="str">
        <x:f>IF(ISNUMBER(K2429),IF(K2429&lt;0,"",IF(K2429&gt;1,25,IF(K2429&gt;=0.75,20,IF(K2429&gt;=0.5,15,IF(K2429&gt;=0.25,10,5))))),"")</x:f>
      </x:c>
      <x:c r="Q2429" s="1" t="str">
        <x:f>IF(NOT(ISNUMBER(L2429)),"",IF(AND(L2429&gt;=0,MOD(L2429,1)=0),MAX(0,25-5*L2429),""))</x:f>
      </x:c>
      <x:c r="R2429" s="1" t="str">
        <x:f>IF(NOT(ISNUMBER(F2429)),"",IF(AND(F2429&gt;0,MOD(F2429,1)=0),IF(F2429&gt;=700,5,IF(F2429&gt;=500,4,IF(F2429&gt;=350,3,IF(F2429&gt;=200,2,1)))),""))</x:f>
      </x:c>
      <x:c r="S2429" s="1" t="str">
        <x:f>IF(COUNT(O2429:R2429)=4,SUM(O2429:R2429),"")</x:f>
      </x:c>
      <x:c r="T2429" s="1" t="str">
        <x:f>IF(OR(COUNT(O2429:R2429)&lt;&gt;4,COUNT('Top 15'!$B$35:$E$35)&lt;&gt;4,MIN('Top 15'!$B$35:$E$35)&lt;0,SUM('Top 15'!$B$35:$E$35)&lt;=0),"",ROUND(85*(O2429/30*'Top 15'!$B$35+P2429/25*'Top 15'!$C$35+Q2429/25*'Top 15'!$D$35+R2429/5*'Top 15'!$E$35)/SUM('Top 15'!$B$35:$E$35),6))</x:f>
      </x:c>
      <x:c r="U2429" s="1" t="str">
        <x:f>IF(A2429="","",IF(AND(M2429="Verified",N2429="Verified"),"Verified",IF(AND(M2429="Listed",N2429="Listed"),"Listed","Mixed")))</x:f>
      </x:c>
      <x:c r="V2429" s="1" t="str">
        <x:f>IF(A2429="","",IF(AK2429&lt;&gt;1,"Duplicate source ID",IF(COUNTIFS('Staff Review'!$A$8:$A$507,A2429)&gt;1,"Duplicate review ID",IF(H2429&lt;&gt;"Yes","Outside scope",IF(J2429="Yes","Already served",IF(NOT(ISNUMBER(T2429)),"Missing data","Candidate"))))))</x:f>
      </x:c>
      <x:c r="W2429" s="1" t="str">
        <x:f>IF(AL2429=0,"",1+COUNTIFS($AL$2051:$AL$2550,1,$T$2051:$T$2550,"&gt;"&amp;T2429)+COUNTIFS($AL$2051:$AL$2550,1,$T$2051:$T$2550,T2429,$G$2051:$G$2550,"&gt;"&amp;G2429)+COUNTIFS($AL$2051:$AL$2550,1,$T$2051:$T$2550,T2429,$G$2051:$G$2550,G2429,$F$2051:$F$2550,"&gt;"&amp;F2429)+COUNTIFS($AL$2051:$AL$2550,1,$T$2051:$T$2550,T2429,$G$2051:$G$2550,G2429,$F$2051:$F$2550,F2429,$AM$2051:$AM$2550,"&lt;"&amp;AM2429))</x:f>
      </x:c>
      <x:c r="X2429" s="1" t="str">
        <x:f>IF(AL2429=0,"",1+COUNTIFS($AL$2051:$AL$2550,1,$T$2051:$T$2550,"&gt;"&amp;T2429))</x:f>
      </x:c>
      <x:c r="Y2429" s="1" t="n">
        <x:f>IF(AND(H2429="Yes",OR(LEN('School Search'!$B$5)=0,ISNUMBER(SEARCH('School Search'!$B$5,B2429&amp;" "&amp;E2429&amp;" "&amp;A2429))),OR('School Search'!$D$5="All",C2429='School Search'!$D$5),OR('School Search'!$G$5="All eligible",AND('School Search'!$G$5="Not marked served",J2429&lt;&gt;"Yes"),AND('School Search'!$G$5="Missing data",V2429="Missing data"),AND('School Search'!$G$5="Marked served",J2429="Yes"))),1,0)</x:f>
        <x:v>0</x:v>
      </x:c>
      <x:c r="Z2429" s="1" t="str">
        <x:f>IF(Y2429=0,"",COUNTIFS($Y$2051:$Y$2550,1,$AO$2051:$AO$2550,"&lt;"&amp;AO2429)+COUNTIFS($Y$2051:Y2429,1,$AO$2051:AO2429,AO2429))</x:f>
      </x:c>
      <x:c r="AA2429" s="1" t="str">
        <x:f>IF(NOT(ISNUMBER(S2429)),"Missing demographic or access input",TEXT(G2429,"0%")&amp;" economic need; "&amp;TEXT(K2429,"0.00")&amp;" mi fresh access; "&amp;L2429&amp;" nearby resources")</x:f>
        <x:v>Missing demographic or access input</x:v>
      </x:c>
      <x:c r="AB2429" s="1" t="n">
        <x:f>IF(OR(A2429="",COUNTIFS($A$1531:$A$2030,A2429)&lt;&gt;1),0,MATCH(A2429,$A$1531:$A$2030,0))</x:f>
        <x:v>0</x:v>
      </x:c>
      <x:c r="AC2429" s="1" t="str">
        <x:f>IF(AB2429=0,"",INDEX($E$1531:$E$2030,AB2429))</x:f>
      </x:c>
      <x:c r="AD2429" s="1" t="str">
        <x:f>IF(AB2429=0,"",INDEX($F$1531:$F$2030,AB2429))</x:f>
      </x:c>
      <x:c r="AE2429" s="1" t="str">
        <x:f>IF(A2429="","",F380)</x:f>
      </x:c>
      <x:c r="AF2429" s="1" t="str">
        <x:f>IF(ISNUMBER(I380),I380,"")</x:f>
      </x:c>
      <x:c r="AG2429" s="1" t="str">
        <x:f>IF(ISNUMBER(J380),J380,"")</x:f>
      </x:c>
      <x:c r="AH2429" s="1" t="str">
        <x:f>IF(I2429=0,"Not contacted",IF(INDEX('Staff Review'!$J$8:$J$507,I2429)="","Not contacted",INDEX('Staff Review'!$J$8:$J$507,I2429)))</x:f>
        <x:v>Not contacted</x:v>
      </x:c>
      <x:c r="AI2429" s="1" t="str">
        <x:f>IF(I2429=0,"No",IF(AND(COUNT(INDEX('Staff Review'!$D$8:$D$507,I2429))=1,INDEX('Staff Review'!$D$8:$D$507,I2429)&gt;=0,COUNT(INDEX('Staff Review'!$E$8:$E$507,I2429))=1,INDEX('Staff Review'!$E$8:$E$507,I2429)&gt;0,INDEX('Staff Review'!$E$8:$E$507,I2429)&lt;='Top 15'!$E$5,'Top 15'!$E$5-INDEX('Staff Review'!$E$8:$E$507,I2429)&lt;='Top 15'!$H$5,LEN(INDEX('Staff Review'!$H$8:$H$507,I2429))&gt;0),"Yes","No"))</x:f>
        <x:v>No</x:v>
      </x:c>
      <x:c r="AJ2429" s="1" t="str">
        <x:f>IF(I2429=0,"No",IF(COUNT(INDEX('Staff Review'!$F$8:$F$507,I2429))&lt;&gt;1,"No",IF(AND(INDEX('Staff Review'!$F$8:$F$507,I2429)&gt;=0,MOD(INDEX('Staff Review'!$F$8:$F$507,I2429),1)=0,COUNT(INDEX('Staff Review'!$G$8:$G$507,I2429))=1,INDEX('Staff Review'!$G$8:$G$507,I2429)&gt;0,INDEX('Staff Review'!$G$8:$G$507,I2429)&lt;='Top 15'!$E$5,'Top 15'!$E$5-INDEX('Staff Review'!$G$8:$G$507,I2429)&lt;='Top 15'!$H$5,LEN(INDEX('Staff Review'!$H$8:$H$507,I2429))&gt;0),"Yes","No")))</x:f>
        <x:v>No</x:v>
      </x:c>
      <x:c r="AK2429" s="1" t="n">
        <x:f>IF(A2429="",0,COUNTIFS($A$2:$A$501,A2429))</x:f>
        <x:v>0</x:v>
      </x:c>
      <x:c r="AL2429" s="1" t="n">
        <x:f>IF(V2429="Candidate",1,0)</x:f>
        <x:v>0</x:v>
      </x:c>
      <x:c r="AM2429" s="1" t="n">
        <x:f>IF(A2429="",0,VALUE(A2429))</x:f>
        <x:v>0</x:v>
      </x:c>
      <x:c r="AN2429" s="1" t="n">
        <x:f>IF(OR(A2429="",COUNTIFS($T$41:$T$540,A2429)&lt;&gt;1),0,MATCH(A2429,$T$41:$T$540,0))</x:f>
        <x:v>0</x:v>
      </x:c>
      <x:c r="AO2429" t="n">
        <x:f>IF(ISNUMBER(W2429),W2429,10000+AM2429)</x:f>
        <x:v>10000</x:v>
      </x:c>
    </x:row>
    <x:row r="2430" ht="22" customHeight="1">
      <x:c r="A2430" s="1" t="str">
        <x:f>IF(A381="","",A381)</x:f>
      </x:c>
      <x:c r="B2430" s="1" t="str">
        <x:f>IF(A2430="","",B381)</x:f>
      </x:c>
      <x:c r="C2430" s="1" t="str">
        <x:f>IF(A2430="","",C381)</x:f>
      </x:c>
      <x:c r="D2430" s="1" t="str">
        <x:f>IF(A2430="","",E381)</x:f>
      </x:c>
      <x:c r="E2430" s="1" t="str">
        <x:f>IF(A2430="","",H381)</x:f>
      </x:c>
      <x:c r="F2430" s="1" t="str">
        <x:f>IF(ISNUMBER(K381),K381,"")</x:f>
      </x:c>
      <x:c r="G2430" s="1" t="str">
        <x:f>IF(ISNUMBER(L381),L381,"")</x:f>
      </x:c>
      <x:c r="H2430" s="1" t="str">
        <x:f>IF(A2430="","",IF(AND(UPPER(G381)="PHILADELPHIA",OR(C2430="District",AND(C2430="Charter",D381="Yes"))),"Yes","No"))</x:f>
      </x:c>
      <x:c r="I2430" s="1" t="n">
        <x:f>IF(OR(A2430="",COUNTIFS('Staff Review'!$A$8:$A$507,A2430)&lt;&gt;1),0,MATCH(A2430,'Staff Review'!$A$8:$A$507,0))</x:f>
        <x:v>0</x:v>
      </x:c>
      <x:c r="J2430" s="1" t="str">
        <x:f>IF(I2430=0,"No",IF(INDEX('Staff Review'!$C$8:$C$507,I2430)="Yes","Yes","No"))</x:f>
        <x:v>No</x:v>
      </x:c>
      <x:c r="K2430" s="1" t="str">
        <x:f>IF(AI2430="Yes",INDEX('Staff Review'!$D$8:$D$507,I2430),IF(AB2430=0,"",IF(COUNT(INDEX($C$1531:$C$2030,AB2430))=1,INDEX($C$1531:$C$2030,AB2430),"")))</x:f>
      </x:c>
      <x:c r="L2430" s="1" t="str">
        <x:f>IF(AJ2430="Yes",INDEX('Staff Review'!$F$8:$F$507,I2430),IF(AB2430=0,"",IF(COUNT(INDEX($G$1531:$G$2030,AB2430))=1,INDEX($G$1531:$G$2030,AB2430),"")))</x:f>
      </x:c>
      <x:c r="M2430" s="1" t="str">
        <x:f>IF(A2430="","",IF(AI2430="Yes","Verified","Listed"))</x:f>
      </x:c>
      <x:c r="N2430" s="1" t="str">
        <x:f>IF(A2430="","",IF(AJ2430="Yes","Verified","Listed"))</x:f>
      </x:c>
      <x:c r="O2430" s="1" t="str">
        <x:f>IF(AND(ISNUMBER(G2430),G2430&gt;=0,G2430&lt;=1),IF(G2430&gt;=0.9,30,IF(G2430&gt;=0.8,25,IF(G2430&gt;=0.7,20,IF(G2430&gt;=0.6,15,IF(G2430&gt;=0.5,10,IF(G2430&gt;=0.4,5,0)))))),"")</x:f>
      </x:c>
      <x:c r="P2430" s="1" t="str">
        <x:f>IF(ISNUMBER(K2430),IF(K2430&lt;0,"",IF(K2430&gt;1,25,IF(K2430&gt;=0.75,20,IF(K2430&gt;=0.5,15,IF(K2430&gt;=0.25,10,5))))),"")</x:f>
      </x:c>
      <x:c r="Q2430" s="1" t="str">
        <x:f>IF(NOT(ISNUMBER(L2430)),"",IF(AND(L2430&gt;=0,MOD(L2430,1)=0),MAX(0,25-5*L2430),""))</x:f>
      </x:c>
      <x:c r="R2430" s="1" t="str">
        <x:f>IF(NOT(ISNUMBER(F2430)),"",IF(AND(F2430&gt;0,MOD(F2430,1)=0),IF(F2430&gt;=700,5,IF(F2430&gt;=500,4,IF(F2430&gt;=350,3,IF(F2430&gt;=200,2,1)))),""))</x:f>
      </x:c>
      <x:c r="S2430" s="1" t="str">
        <x:f>IF(COUNT(O2430:R2430)=4,SUM(O2430:R2430),"")</x:f>
      </x:c>
      <x:c r="T2430" s="1" t="str">
        <x:f>IF(OR(COUNT(O2430:R2430)&lt;&gt;4,COUNT('Top 15'!$B$35:$E$35)&lt;&gt;4,MIN('Top 15'!$B$35:$E$35)&lt;0,SUM('Top 15'!$B$35:$E$35)&lt;=0),"",ROUND(85*(O2430/30*'Top 15'!$B$35+P2430/25*'Top 15'!$C$35+Q2430/25*'Top 15'!$D$35+R2430/5*'Top 15'!$E$35)/SUM('Top 15'!$B$35:$E$35),6))</x:f>
      </x:c>
      <x:c r="U2430" s="1" t="str">
        <x:f>IF(A2430="","",IF(AND(M2430="Verified",N2430="Verified"),"Verified",IF(AND(M2430="Listed",N2430="Listed"),"Listed","Mixed")))</x:f>
      </x:c>
      <x:c r="V2430" s="1" t="str">
        <x:f>IF(A2430="","",IF(AK2430&lt;&gt;1,"Duplicate source ID",IF(COUNTIFS('Staff Review'!$A$8:$A$507,A2430)&gt;1,"Duplicate review ID",IF(H2430&lt;&gt;"Yes","Outside scope",IF(J2430="Yes","Already served",IF(NOT(ISNUMBER(T2430)),"Missing data","Candidate"))))))</x:f>
      </x:c>
      <x:c r="W2430" s="1" t="str">
        <x:f>IF(AL2430=0,"",1+COUNTIFS($AL$2051:$AL$2550,1,$T$2051:$T$2550,"&gt;"&amp;T2430)+COUNTIFS($AL$2051:$AL$2550,1,$T$2051:$T$2550,T2430,$G$2051:$G$2550,"&gt;"&amp;G2430)+COUNTIFS($AL$2051:$AL$2550,1,$T$2051:$T$2550,T2430,$G$2051:$G$2550,G2430,$F$2051:$F$2550,"&gt;"&amp;F2430)+COUNTIFS($AL$2051:$AL$2550,1,$T$2051:$T$2550,T2430,$G$2051:$G$2550,G2430,$F$2051:$F$2550,F2430,$AM$2051:$AM$2550,"&lt;"&amp;AM2430))</x:f>
      </x:c>
      <x:c r="X2430" s="1" t="str">
        <x:f>IF(AL2430=0,"",1+COUNTIFS($AL$2051:$AL$2550,1,$T$2051:$T$2550,"&gt;"&amp;T2430))</x:f>
      </x:c>
      <x:c r="Y2430" s="1" t="n">
        <x:f>IF(AND(H2430="Yes",OR(LEN('School Search'!$B$5)=0,ISNUMBER(SEARCH('School Search'!$B$5,B2430&amp;" "&amp;E2430&amp;" "&amp;A2430))),OR('School Search'!$D$5="All",C2430='School Search'!$D$5),OR('School Search'!$G$5="All eligible",AND('School Search'!$G$5="Not marked served",J2430&lt;&gt;"Yes"),AND('School Search'!$G$5="Missing data",V2430="Missing data"),AND('School Search'!$G$5="Marked served",J2430="Yes"))),1,0)</x:f>
        <x:v>0</x:v>
      </x:c>
      <x:c r="Z2430" s="1" t="str">
        <x:f>IF(Y2430=0,"",COUNTIFS($Y$2051:$Y$2550,1,$AO$2051:$AO$2550,"&lt;"&amp;AO2430)+COUNTIFS($Y$2051:Y2430,1,$AO$2051:AO2430,AO2430))</x:f>
      </x:c>
      <x:c r="AA2430" s="1" t="str">
        <x:f>IF(NOT(ISNUMBER(S2430)),"Missing demographic or access input",TEXT(G2430,"0%")&amp;" economic need; "&amp;TEXT(K2430,"0.00")&amp;" mi fresh access; "&amp;L2430&amp;" nearby resources")</x:f>
        <x:v>Missing demographic or access input</x:v>
      </x:c>
      <x:c r="AB2430" s="1" t="n">
        <x:f>IF(OR(A2430="",COUNTIFS($A$1531:$A$2030,A2430)&lt;&gt;1),0,MATCH(A2430,$A$1531:$A$2030,0))</x:f>
        <x:v>0</x:v>
      </x:c>
      <x:c r="AC2430" s="1" t="str">
        <x:f>IF(AB2430=0,"",INDEX($E$1531:$E$2030,AB2430))</x:f>
      </x:c>
      <x:c r="AD2430" s="1" t="str">
        <x:f>IF(AB2430=0,"",INDEX($F$1531:$F$2030,AB2430))</x:f>
      </x:c>
      <x:c r="AE2430" s="1" t="str">
        <x:f>IF(A2430="","",F381)</x:f>
      </x:c>
      <x:c r="AF2430" s="1" t="str">
        <x:f>IF(ISNUMBER(I381),I381,"")</x:f>
      </x:c>
      <x:c r="AG2430" s="1" t="str">
        <x:f>IF(ISNUMBER(J381),J381,"")</x:f>
      </x:c>
      <x:c r="AH2430" s="1" t="str">
        <x:f>IF(I2430=0,"Not contacted",IF(INDEX('Staff Review'!$J$8:$J$507,I2430)="","Not contacted",INDEX('Staff Review'!$J$8:$J$507,I2430)))</x:f>
        <x:v>Not contacted</x:v>
      </x:c>
      <x:c r="AI2430" s="1" t="str">
        <x:f>IF(I2430=0,"No",IF(AND(COUNT(INDEX('Staff Review'!$D$8:$D$507,I2430))=1,INDEX('Staff Review'!$D$8:$D$507,I2430)&gt;=0,COUNT(INDEX('Staff Review'!$E$8:$E$507,I2430))=1,INDEX('Staff Review'!$E$8:$E$507,I2430)&gt;0,INDEX('Staff Review'!$E$8:$E$507,I2430)&lt;='Top 15'!$E$5,'Top 15'!$E$5-INDEX('Staff Review'!$E$8:$E$507,I2430)&lt;='Top 15'!$H$5,LEN(INDEX('Staff Review'!$H$8:$H$507,I2430))&gt;0),"Yes","No"))</x:f>
        <x:v>No</x:v>
      </x:c>
      <x:c r="AJ2430" s="1" t="str">
        <x:f>IF(I2430=0,"No",IF(COUNT(INDEX('Staff Review'!$F$8:$F$507,I2430))&lt;&gt;1,"No",IF(AND(INDEX('Staff Review'!$F$8:$F$507,I2430)&gt;=0,MOD(INDEX('Staff Review'!$F$8:$F$507,I2430),1)=0,COUNT(INDEX('Staff Review'!$G$8:$G$507,I2430))=1,INDEX('Staff Review'!$G$8:$G$507,I2430)&gt;0,INDEX('Staff Review'!$G$8:$G$507,I2430)&lt;='Top 15'!$E$5,'Top 15'!$E$5-INDEX('Staff Review'!$G$8:$G$507,I2430)&lt;='Top 15'!$H$5,LEN(INDEX('Staff Review'!$H$8:$H$507,I2430))&gt;0),"Yes","No")))</x:f>
        <x:v>No</x:v>
      </x:c>
      <x:c r="AK2430" s="1" t="n">
        <x:f>IF(A2430="",0,COUNTIFS($A$2:$A$501,A2430))</x:f>
        <x:v>0</x:v>
      </x:c>
      <x:c r="AL2430" s="1" t="n">
        <x:f>IF(V2430="Candidate",1,0)</x:f>
        <x:v>0</x:v>
      </x:c>
      <x:c r="AM2430" s="1" t="n">
        <x:f>IF(A2430="",0,VALUE(A2430))</x:f>
        <x:v>0</x:v>
      </x:c>
      <x:c r="AN2430" s="1" t="n">
        <x:f>IF(OR(A2430="",COUNTIFS($T$41:$T$540,A2430)&lt;&gt;1),0,MATCH(A2430,$T$41:$T$540,0))</x:f>
        <x:v>0</x:v>
      </x:c>
      <x:c r="AO2430" t="n">
        <x:f>IF(ISNUMBER(W2430),W2430,10000+AM2430)</x:f>
        <x:v>10000</x:v>
      </x:c>
    </x:row>
    <x:row r="2431" ht="22" customHeight="1">
      <x:c r="A2431" s="1" t="str">
        <x:f>IF(A382="","",A382)</x:f>
      </x:c>
      <x:c r="B2431" s="1" t="str">
        <x:f>IF(A2431="","",B382)</x:f>
      </x:c>
      <x:c r="C2431" s="1" t="str">
        <x:f>IF(A2431="","",C382)</x:f>
      </x:c>
      <x:c r="D2431" s="1" t="str">
        <x:f>IF(A2431="","",E382)</x:f>
      </x:c>
      <x:c r="E2431" s="1" t="str">
        <x:f>IF(A2431="","",H382)</x:f>
      </x:c>
      <x:c r="F2431" s="1" t="str">
        <x:f>IF(ISNUMBER(K382),K382,"")</x:f>
      </x:c>
      <x:c r="G2431" s="1" t="str">
        <x:f>IF(ISNUMBER(L382),L382,"")</x:f>
      </x:c>
      <x:c r="H2431" s="1" t="str">
        <x:f>IF(A2431="","",IF(AND(UPPER(G382)="PHILADELPHIA",OR(C2431="District",AND(C2431="Charter",D382="Yes"))),"Yes","No"))</x:f>
      </x:c>
      <x:c r="I2431" s="1" t="n">
        <x:f>IF(OR(A2431="",COUNTIFS('Staff Review'!$A$8:$A$507,A2431)&lt;&gt;1),0,MATCH(A2431,'Staff Review'!$A$8:$A$507,0))</x:f>
        <x:v>0</x:v>
      </x:c>
      <x:c r="J2431" s="1" t="str">
        <x:f>IF(I2431=0,"No",IF(INDEX('Staff Review'!$C$8:$C$507,I2431)="Yes","Yes","No"))</x:f>
        <x:v>No</x:v>
      </x:c>
      <x:c r="K2431" s="1" t="str">
        <x:f>IF(AI2431="Yes",INDEX('Staff Review'!$D$8:$D$507,I2431),IF(AB2431=0,"",IF(COUNT(INDEX($C$1531:$C$2030,AB2431))=1,INDEX($C$1531:$C$2030,AB2431),"")))</x:f>
      </x:c>
      <x:c r="L2431" s="1" t="str">
        <x:f>IF(AJ2431="Yes",INDEX('Staff Review'!$F$8:$F$507,I2431),IF(AB2431=0,"",IF(COUNT(INDEX($G$1531:$G$2030,AB2431))=1,INDEX($G$1531:$G$2030,AB2431),"")))</x:f>
      </x:c>
      <x:c r="M2431" s="1" t="str">
        <x:f>IF(A2431="","",IF(AI2431="Yes","Verified","Listed"))</x:f>
      </x:c>
      <x:c r="N2431" s="1" t="str">
        <x:f>IF(A2431="","",IF(AJ2431="Yes","Verified","Listed"))</x:f>
      </x:c>
      <x:c r="O2431" s="1" t="str">
        <x:f>IF(AND(ISNUMBER(G2431),G2431&gt;=0,G2431&lt;=1),IF(G2431&gt;=0.9,30,IF(G2431&gt;=0.8,25,IF(G2431&gt;=0.7,20,IF(G2431&gt;=0.6,15,IF(G2431&gt;=0.5,10,IF(G2431&gt;=0.4,5,0)))))),"")</x:f>
      </x:c>
      <x:c r="P2431" s="1" t="str">
        <x:f>IF(ISNUMBER(K2431),IF(K2431&lt;0,"",IF(K2431&gt;1,25,IF(K2431&gt;=0.75,20,IF(K2431&gt;=0.5,15,IF(K2431&gt;=0.25,10,5))))),"")</x:f>
      </x:c>
      <x:c r="Q2431" s="1" t="str">
        <x:f>IF(NOT(ISNUMBER(L2431)),"",IF(AND(L2431&gt;=0,MOD(L2431,1)=0),MAX(0,25-5*L2431),""))</x:f>
      </x:c>
      <x:c r="R2431" s="1" t="str">
        <x:f>IF(NOT(ISNUMBER(F2431)),"",IF(AND(F2431&gt;0,MOD(F2431,1)=0),IF(F2431&gt;=700,5,IF(F2431&gt;=500,4,IF(F2431&gt;=350,3,IF(F2431&gt;=200,2,1)))),""))</x:f>
      </x:c>
      <x:c r="S2431" s="1" t="str">
        <x:f>IF(COUNT(O2431:R2431)=4,SUM(O2431:R2431),"")</x:f>
      </x:c>
      <x:c r="T2431" s="1" t="str">
        <x:f>IF(OR(COUNT(O2431:R2431)&lt;&gt;4,COUNT('Top 15'!$B$35:$E$35)&lt;&gt;4,MIN('Top 15'!$B$35:$E$35)&lt;0,SUM('Top 15'!$B$35:$E$35)&lt;=0),"",ROUND(85*(O2431/30*'Top 15'!$B$35+P2431/25*'Top 15'!$C$35+Q2431/25*'Top 15'!$D$35+R2431/5*'Top 15'!$E$35)/SUM('Top 15'!$B$35:$E$35),6))</x:f>
      </x:c>
      <x:c r="U2431" s="1" t="str">
        <x:f>IF(A2431="","",IF(AND(M2431="Verified",N2431="Verified"),"Verified",IF(AND(M2431="Listed",N2431="Listed"),"Listed","Mixed")))</x:f>
      </x:c>
      <x:c r="V2431" s="1" t="str">
        <x:f>IF(A2431="","",IF(AK2431&lt;&gt;1,"Duplicate source ID",IF(COUNTIFS('Staff Review'!$A$8:$A$507,A2431)&gt;1,"Duplicate review ID",IF(H2431&lt;&gt;"Yes","Outside scope",IF(J2431="Yes","Already served",IF(NOT(ISNUMBER(T2431)),"Missing data","Candidate"))))))</x:f>
      </x:c>
      <x:c r="W2431" s="1" t="str">
        <x:f>IF(AL2431=0,"",1+COUNTIFS($AL$2051:$AL$2550,1,$T$2051:$T$2550,"&gt;"&amp;T2431)+COUNTIFS($AL$2051:$AL$2550,1,$T$2051:$T$2550,T2431,$G$2051:$G$2550,"&gt;"&amp;G2431)+COUNTIFS($AL$2051:$AL$2550,1,$T$2051:$T$2550,T2431,$G$2051:$G$2550,G2431,$F$2051:$F$2550,"&gt;"&amp;F2431)+COUNTIFS($AL$2051:$AL$2550,1,$T$2051:$T$2550,T2431,$G$2051:$G$2550,G2431,$F$2051:$F$2550,F2431,$AM$2051:$AM$2550,"&lt;"&amp;AM2431))</x:f>
      </x:c>
      <x:c r="X2431" s="1" t="str">
        <x:f>IF(AL2431=0,"",1+COUNTIFS($AL$2051:$AL$2550,1,$T$2051:$T$2550,"&gt;"&amp;T2431))</x:f>
      </x:c>
      <x:c r="Y2431" s="1" t="n">
        <x:f>IF(AND(H2431="Yes",OR(LEN('School Search'!$B$5)=0,ISNUMBER(SEARCH('School Search'!$B$5,B2431&amp;" "&amp;E2431&amp;" "&amp;A2431))),OR('School Search'!$D$5="All",C2431='School Search'!$D$5),OR('School Search'!$G$5="All eligible",AND('School Search'!$G$5="Not marked served",J2431&lt;&gt;"Yes"),AND('School Search'!$G$5="Missing data",V2431="Missing data"),AND('School Search'!$G$5="Marked served",J2431="Yes"))),1,0)</x:f>
        <x:v>0</x:v>
      </x:c>
      <x:c r="Z2431" s="1" t="str">
        <x:f>IF(Y2431=0,"",COUNTIFS($Y$2051:$Y$2550,1,$AO$2051:$AO$2550,"&lt;"&amp;AO2431)+COUNTIFS($Y$2051:Y2431,1,$AO$2051:AO2431,AO2431))</x:f>
      </x:c>
      <x:c r="AA2431" s="1" t="str">
        <x:f>IF(NOT(ISNUMBER(S2431)),"Missing demographic or access input",TEXT(G2431,"0%")&amp;" economic need; "&amp;TEXT(K2431,"0.00")&amp;" mi fresh access; "&amp;L2431&amp;" nearby resources")</x:f>
        <x:v>Missing demographic or access input</x:v>
      </x:c>
      <x:c r="AB2431" s="1" t="n">
        <x:f>IF(OR(A2431="",COUNTIFS($A$1531:$A$2030,A2431)&lt;&gt;1),0,MATCH(A2431,$A$1531:$A$2030,0))</x:f>
        <x:v>0</x:v>
      </x:c>
      <x:c r="AC2431" s="1" t="str">
        <x:f>IF(AB2431=0,"",INDEX($E$1531:$E$2030,AB2431))</x:f>
      </x:c>
      <x:c r="AD2431" s="1" t="str">
        <x:f>IF(AB2431=0,"",INDEX($F$1531:$F$2030,AB2431))</x:f>
      </x:c>
      <x:c r="AE2431" s="1" t="str">
        <x:f>IF(A2431="","",F382)</x:f>
      </x:c>
      <x:c r="AF2431" s="1" t="str">
        <x:f>IF(ISNUMBER(I382),I382,"")</x:f>
      </x:c>
      <x:c r="AG2431" s="1" t="str">
        <x:f>IF(ISNUMBER(J382),J382,"")</x:f>
      </x:c>
      <x:c r="AH2431" s="1" t="str">
        <x:f>IF(I2431=0,"Not contacted",IF(INDEX('Staff Review'!$J$8:$J$507,I2431)="","Not contacted",INDEX('Staff Review'!$J$8:$J$507,I2431)))</x:f>
        <x:v>Not contacted</x:v>
      </x:c>
      <x:c r="AI2431" s="1" t="str">
        <x:f>IF(I2431=0,"No",IF(AND(COUNT(INDEX('Staff Review'!$D$8:$D$507,I2431))=1,INDEX('Staff Review'!$D$8:$D$507,I2431)&gt;=0,COUNT(INDEX('Staff Review'!$E$8:$E$507,I2431))=1,INDEX('Staff Review'!$E$8:$E$507,I2431)&gt;0,INDEX('Staff Review'!$E$8:$E$507,I2431)&lt;='Top 15'!$E$5,'Top 15'!$E$5-INDEX('Staff Review'!$E$8:$E$507,I2431)&lt;='Top 15'!$H$5,LEN(INDEX('Staff Review'!$H$8:$H$507,I2431))&gt;0),"Yes","No"))</x:f>
        <x:v>No</x:v>
      </x:c>
      <x:c r="AJ2431" s="1" t="str">
        <x:f>IF(I2431=0,"No",IF(COUNT(INDEX('Staff Review'!$F$8:$F$507,I2431))&lt;&gt;1,"No",IF(AND(INDEX('Staff Review'!$F$8:$F$507,I2431)&gt;=0,MOD(INDEX('Staff Review'!$F$8:$F$507,I2431),1)=0,COUNT(INDEX('Staff Review'!$G$8:$G$507,I2431))=1,INDEX('Staff Review'!$G$8:$G$507,I2431)&gt;0,INDEX('Staff Review'!$G$8:$G$507,I2431)&lt;='Top 15'!$E$5,'Top 15'!$E$5-INDEX('Staff Review'!$G$8:$G$507,I2431)&lt;='Top 15'!$H$5,LEN(INDEX('Staff Review'!$H$8:$H$507,I2431))&gt;0),"Yes","No")))</x:f>
        <x:v>No</x:v>
      </x:c>
      <x:c r="AK2431" s="1" t="n">
        <x:f>IF(A2431="",0,COUNTIFS($A$2:$A$501,A2431))</x:f>
        <x:v>0</x:v>
      </x:c>
      <x:c r="AL2431" s="1" t="n">
        <x:f>IF(V2431="Candidate",1,0)</x:f>
        <x:v>0</x:v>
      </x:c>
      <x:c r="AM2431" s="1" t="n">
        <x:f>IF(A2431="",0,VALUE(A2431))</x:f>
        <x:v>0</x:v>
      </x:c>
      <x:c r="AN2431" s="1" t="n">
        <x:f>IF(OR(A2431="",COUNTIFS($T$41:$T$540,A2431)&lt;&gt;1),0,MATCH(A2431,$T$41:$T$540,0))</x:f>
        <x:v>0</x:v>
      </x:c>
      <x:c r="AO2431" t="n">
        <x:f>IF(ISNUMBER(W2431),W2431,10000+AM2431)</x:f>
        <x:v>10000</x:v>
      </x:c>
    </x:row>
    <x:row r="2432" ht="22" customHeight="1">
      <x:c r="A2432" s="1" t="str">
        <x:f>IF(A383="","",A383)</x:f>
      </x:c>
      <x:c r="B2432" s="1" t="str">
        <x:f>IF(A2432="","",B383)</x:f>
      </x:c>
      <x:c r="C2432" s="1" t="str">
        <x:f>IF(A2432="","",C383)</x:f>
      </x:c>
      <x:c r="D2432" s="1" t="str">
        <x:f>IF(A2432="","",E383)</x:f>
      </x:c>
      <x:c r="E2432" s="1" t="str">
        <x:f>IF(A2432="","",H383)</x:f>
      </x:c>
      <x:c r="F2432" s="1" t="str">
        <x:f>IF(ISNUMBER(K383),K383,"")</x:f>
      </x:c>
      <x:c r="G2432" s="1" t="str">
        <x:f>IF(ISNUMBER(L383),L383,"")</x:f>
      </x:c>
      <x:c r="H2432" s="1" t="str">
        <x:f>IF(A2432="","",IF(AND(UPPER(G383)="PHILADELPHIA",OR(C2432="District",AND(C2432="Charter",D383="Yes"))),"Yes","No"))</x:f>
      </x:c>
      <x:c r="I2432" s="1" t="n">
        <x:f>IF(OR(A2432="",COUNTIFS('Staff Review'!$A$8:$A$507,A2432)&lt;&gt;1),0,MATCH(A2432,'Staff Review'!$A$8:$A$507,0))</x:f>
        <x:v>0</x:v>
      </x:c>
      <x:c r="J2432" s="1" t="str">
        <x:f>IF(I2432=0,"No",IF(INDEX('Staff Review'!$C$8:$C$507,I2432)="Yes","Yes","No"))</x:f>
        <x:v>No</x:v>
      </x:c>
      <x:c r="K2432" s="1" t="str">
        <x:f>IF(AI2432="Yes",INDEX('Staff Review'!$D$8:$D$507,I2432),IF(AB2432=0,"",IF(COUNT(INDEX($C$1531:$C$2030,AB2432))=1,INDEX($C$1531:$C$2030,AB2432),"")))</x:f>
      </x:c>
      <x:c r="L2432" s="1" t="str">
        <x:f>IF(AJ2432="Yes",INDEX('Staff Review'!$F$8:$F$507,I2432),IF(AB2432=0,"",IF(COUNT(INDEX($G$1531:$G$2030,AB2432))=1,INDEX($G$1531:$G$2030,AB2432),"")))</x:f>
      </x:c>
      <x:c r="M2432" s="1" t="str">
        <x:f>IF(A2432="","",IF(AI2432="Yes","Verified","Listed"))</x:f>
      </x:c>
      <x:c r="N2432" s="1" t="str">
        <x:f>IF(A2432="","",IF(AJ2432="Yes","Verified","Listed"))</x:f>
      </x:c>
      <x:c r="O2432" s="1" t="str">
        <x:f>IF(AND(ISNUMBER(G2432),G2432&gt;=0,G2432&lt;=1),IF(G2432&gt;=0.9,30,IF(G2432&gt;=0.8,25,IF(G2432&gt;=0.7,20,IF(G2432&gt;=0.6,15,IF(G2432&gt;=0.5,10,IF(G2432&gt;=0.4,5,0)))))),"")</x:f>
      </x:c>
      <x:c r="P2432" s="1" t="str">
        <x:f>IF(ISNUMBER(K2432),IF(K2432&lt;0,"",IF(K2432&gt;1,25,IF(K2432&gt;=0.75,20,IF(K2432&gt;=0.5,15,IF(K2432&gt;=0.25,10,5))))),"")</x:f>
      </x:c>
      <x:c r="Q2432" s="1" t="str">
        <x:f>IF(NOT(ISNUMBER(L2432)),"",IF(AND(L2432&gt;=0,MOD(L2432,1)=0),MAX(0,25-5*L2432),""))</x:f>
      </x:c>
      <x:c r="R2432" s="1" t="str">
        <x:f>IF(NOT(ISNUMBER(F2432)),"",IF(AND(F2432&gt;0,MOD(F2432,1)=0),IF(F2432&gt;=700,5,IF(F2432&gt;=500,4,IF(F2432&gt;=350,3,IF(F2432&gt;=200,2,1)))),""))</x:f>
      </x:c>
      <x:c r="S2432" s="1" t="str">
        <x:f>IF(COUNT(O2432:R2432)=4,SUM(O2432:R2432),"")</x:f>
      </x:c>
      <x:c r="T2432" s="1" t="str">
        <x:f>IF(OR(COUNT(O2432:R2432)&lt;&gt;4,COUNT('Top 15'!$B$35:$E$35)&lt;&gt;4,MIN('Top 15'!$B$35:$E$35)&lt;0,SUM('Top 15'!$B$35:$E$35)&lt;=0),"",ROUND(85*(O2432/30*'Top 15'!$B$35+P2432/25*'Top 15'!$C$35+Q2432/25*'Top 15'!$D$35+R2432/5*'Top 15'!$E$35)/SUM('Top 15'!$B$35:$E$35),6))</x:f>
      </x:c>
      <x:c r="U2432" s="1" t="str">
        <x:f>IF(A2432="","",IF(AND(M2432="Verified",N2432="Verified"),"Verified",IF(AND(M2432="Listed",N2432="Listed"),"Listed","Mixed")))</x:f>
      </x:c>
      <x:c r="V2432" s="1" t="str">
        <x:f>IF(A2432="","",IF(AK2432&lt;&gt;1,"Duplicate source ID",IF(COUNTIFS('Staff Review'!$A$8:$A$507,A2432)&gt;1,"Duplicate review ID",IF(H2432&lt;&gt;"Yes","Outside scope",IF(J2432="Yes","Already served",IF(NOT(ISNUMBER(T2432)),"Missing data","Candidate"))))))</x:f>
      </x:c>
      <x:c r="W2432" s="1" t="str">
        <x:f>IF(AL2432=0,"",1+COUNTIFS($AL$2051:$AL$2550,1,$T$2051:$T$2550,"&gt;"&amp;T2432)+COUNTIFS($AL$2051:$AL$2550,1,$T$2051:$T$2550,T2432,$G$2051:$G$2550,"&gt;"&amp;G2432)+COUNTIFS($AL$2051:$AL$2550,1,$T$2051:$T$2550,T2432,$G$2051:$G$2550,G2432,$F$2051:$F$2550,"&gt;"&amp;F2432)+COUNTIFS($AL$2051:$AL$2550,1,$T$2051:$T$2550,T2432,$G$2051:$G$2550,G2432,$F$2051:$F$2550,F2432,$AM$2051:$AM$2550,"&lt;"&amp;AM2432))</x:f>
      </x:c>
      <x:c r="X2432" s="1" t="str">
        <x:f>IF(AL2432=0,"",1+COUNTIFS($AL$2051:$AL$2550,1,$T$2051:$T$2550,"&gt;"&amp;T2432))</x:f>
      </x:c>
      <x:c r="Y2432" s="1" t="n">
        <x:f>IF(AND(H2432="Yes",OR(LEN('School Search'!$B$5)=0,ISNUMBER(SEARCH('School Search'!$B$5,B2432&amp;" "&amp;E2432&amp;" "&amp;A2432))),OR('School Search'!$D$5="All",C2432='School Search'!$D$5),OR('School Search'!$G$5="All eligible",AND('School Search'!$G$5="Not marked served",J2432&lt;&gt;"Yes"),AND('School Search'!$G$5="Missing data",V2432="Missing data"),AND('School Search'!$G$5="Marked served",J2432="Yes"))),1,0)</x:f>
        <x:v>0</x:v>
      </x:c>
      <x:c r="Z2432" s="1" t="str">
        <x:f>IF(Y2432=0,"",COUNTIFS($Y$2051:$Y$2550,1,$AO$2051:$AO$2550,"&lt;"&amp;AO2432)+COUNTIFS($Y$2051:Y2432,1,$AO$2051:AO2432,AO2432))</x:f>
      </x:c>
      <x:c r="AA2432" s="1" t="str">
        <x:f>IF(NOT(ISNUMBER(S2432)),"Missing demographic or access input",TEXT(G2432,"0%")&amp;" economic need; "&amp;TEXT(K2432,"0.00")&amp;" mi fresh access; "&amp;L2432&amp;" nearby resources")</x:f>
        <x:v>Missing demographic or access input</x:v>
      </x:c>
      <x:c r="AB2432" s="1" t="n">
        <x:f>IF(OR(A2432="",COUNTIFS($A$1531:$A$2030,A2432)&lt;&gt;1),0,MATCH(A2432,$A$1531:$A$2030,0))</x:f>
        <x:v>0</x:v>
      </x:c>
      <x:c r="AC2432" s="1" t="str">
        <x:f>IF(AB2432=0,"",INDEX($E$1531:$E$2030,AB2432))</x:f>
      </x:c>
      <x:c r="AD2432" s="1" t="str">
        <x:f>IF(AB2432=0,"",INDEX($F$1531:$F$2030,AB2432))</x:f>
      </x:c>
      <x:c r="AE2432" s="1" t="str">
        <x:f>IF(A2432="","",F383)</x:f>
      </x:c>
      <x:c r="AF2432" s="1" t="str">
        <x:f>IF(ISNUMBER(I383),I383,"")</x:f>
      </x:c>
      <x:c r="AG2432" s="1" t="str">
        <x:f>IF(ISNUMBER(J383),J383,"")</x:f>
      </x:c>
      <x:c r="AH2432" s="1" t="str">
        <x:f>IF(I2432=0,"Not contacted",IF(INDEX('Staff Review'!$J$8:$J$507,I2432)="","Not contacted",INDEX('Staff Review'!$J$8:$J$507,I2432)))</x:f>
        <x:v>Not contacted</x:v>
      </x:c>
      <x:c r="AI2432" s="1" t="str">
        <x:f>IF(I2432=0,"No",IF(AND(COUNT(INDEX('Staff Review'!$D$8:$D$507,I2432))=1,INDEX('Staff Review'!$D$8:$D$507,I2432)&gt;=0,COUNT(INDEX('Staff Review'!$E$8:$E$507,I2432))=1,INDEX('Staff Review'!$E$8:$E$507,I2432)&gt;0,INDEX('Staff Review'!$E$8:$E$507,I2432)&lt;='Top 15'!$E$5,'Top 15'!$E$5-INDEX('Staff Review'!$E$8:$E$507,I2432)&lt;='Top 15'!$H$5,LEN(INDEX('Staff Review'!$H$8:$H$507,I2432))&gt;0),"Yes","No"))</x:f>
        <x:v>No</x:v>
      </x:c>
      <x:c r="AJ2432" s="1" t="str">
        <x:f>IF(I2432=0,"No",IF(COUNT(INDEX('Staff Review'!$F$8:$F$507,I2432))&lt;&gt;1,"No",IF(AND(INDEX('Staff Review'!$F$8:$F$507,I2432)&gt;=0,MOD(INDEX('Staff Review'!$F$8:$F$507,I2432),1)=0,COUNT(INDEX('Staff Review'!$G$8:$G$507,I2432))=1,INDEX('Staff Review'!$G$8:$G$507,I2432)&gt;0,INDEX('Staff Review'!$G$8:$G$507,I2432)&lt;='Top 15'!$E$5,'Top 15'!$E$5-INDEX('Staff Review'!$G$8:$G$507,I2432)&lt;='Top 15'!$H$5,LEN(INDEX('Staff Review'!$H$8:$H$507,I2432))&gt;0),"Yes","No")))</x:f>
        <x:v>No</x:v>
      </x:c>
      <x:c r="AK2432" s="1" t="n">
        <x:f>IF(A2432="",0,COUNTIFS($A$2:$A$501,A2432))</x:f>
        <x:v>0</x:v>
      </x:c>
      <x:c r="AL2432" s="1" t="n">
        <x:f>IF(V2432="Candidate",1,0)</x:f>
        <x:v>0</x:v>
      </x:c>
      <x:c r="AM2432" s="1" t="n">
        <x:f>IF(A2432="",0,VALUE(A2432))</x:f>
        <x:v>0</x:v>
      </x:c>
      <x:c r="AN2432" s="1" t="n">
        <x:f>IF(OR(A2432="",COUNTIFS($T$41:$T$540,A2432)&lt;&gt;1),0,MATCH(A2432,$T$41:$T$540,0))</x:f>
        <x:v>0</x:v>
      </x:c>
      <x:c r="AO2432" t="n">
        <x:f>IF(ISNUMBER(W2432),W2432,10000+AM2432)</x:f>
        <x:v>10000</x:v>
      </x:c>
    </x:row>
    <x:row r="2433" ht="22" customHeight="1">
      <x:c r="A2433" s="1" t="str">
        <x:f>IF(A384="","",A384)</x:f>
      </x:c>
      <x:c r="B2433" s="1" t="str">
        <x:f>IF(A2433="","",B384)</x:f>
      </x:c>
      <x:c r="C2433" s="1" t="str">
        <x:f>IF(A2433="","",C384)</x:f>
      </x:c>
      <x:c r="D2433" s="1" t="str">
        <x:f>IF(A2433="","",E384)</x:f>
      </x:c>
      <x:c r="E2433" s="1" t="str">
        <x:f>IF(A2433="","",H384)</x:f>
      </x:c>
      <x:c r="F2433" s="1" t="str">
        <x:f>IF(ISNUMBER(K384),K384,"")</x:f>
      </x:c>
      <x:c r="G2433" s="1" t="str">
        <x:f>IF(ISNUMBER(L384),L384,"")</x:f>
      </x:c>
      <x:c r="H2433" s="1" t="str">
        <x:f>IF(A2433="","",IF(AND(UPPER(G384)="PHILADELPHIA",OR(C2433="District",AND(C2433="Charter",D384="Yes"))),"Yes","No"))</x:f>
      </x:c>
      <x:c r="I2433" s="1" t="n">
        <x:f>IF(OR(A2433="",COUNTIFS('Staff Review'!$A$8:$A$507,A2433)&lt;&gt;1),0,MATCH(A2433,'Staff Review'!$A$8:$A$507,0))</x:f>
        <x:v>0</x:v>
      </x:c>
      <x:c r="J2433" s="1" t="str">
        <x:f>IF(I2433=0,"No",IF(INDEX('Staff Review'!$C$8:$C$507,I2433)="Yes","Yes","No"))</x:f>
        <x:v>No</x:v>
      </x:c>
      <x:c r="K2433" s="1" t="str">
        <x:f>IF(AI2433="Yes",INDEX('Staff Review'!$D$8:$D$507,I2433),IF(AB2433=0,"",IF(COUNT(INDEX($C$1531:$C$2030,AB2433))=1,INDEX($C$1531:$C$2030,AB2433),"")))</x:f>
      </x:c>
      <x:c r="L2433" s="1" t="str">
        <x:f>IF(AJ2433="Yes",INDEX('Staff Review'!$F$8:$F$507,I2433),IF(AB2433=0,"",IF(COUNT(INDEX($G$1531:$G$2030,AB2433))=1,INDEX($G$1531:$G$2030,AB2433),"")))</x:f>
      </x:c>
      <x:c r="M2433" s="1" t="str">
        <x:f>IF(A2433="","",IF(AI2433="Yes","Verified","Listed"))</x:f>
      </x:c>
      <x:c r="N2433" s="1" t="str">
        <x:f>IF(A2433="","",IF(AJ2433="Yes","Verified","Listed"))</x:f>
      </x:c>
      <x:c r="O2433" s="1" t="str">
        <x:f>IF(AND(ISNUMBER(G2433),G2433&gt;=0,G2433&lt;=1),IF(G2433&gt;=0.9,30,IF(G2433&gt;=0.8,25,IF(G2433&gt;=0.7,20,IF(G2433&gt;=0.6,15,IF(G2433&gt;=0.5,10,IF(G2433&gt;=0.4,5,0)))))),"")</x:f>
      </x:c>
      <x:c r="P2433" s="1" t="str">
        <x:f>IF(ISNUMBER(K2433),IF(K2433&lt;0,"",IF(K2433&gt;1,25,IF(K2433&gt;=0.75,20,IF(K2433&gt;=0.5,15,IF(K2433&gt;=0.25,10,5))))),"")</x:f>
      </x:c>
      <x:c r="Q2433" s="1" t="str">
        <x:f>IF(NOT(ISNUMBER(L2433)),"",IF(AND(L2433&gt;=0,MOD(L2433,1)=0),MAX(0,25-5*L2433),""))</x:f>
      </x:c>
      <x:c r="R2433" s="1" t="str">
        <x:f>IF(NOT(ISNUMBER(F2433)),"",IF(AND(F2433&gt;0,MOD(F2433,1)=0),IF(F2433&gt;=700,5,IF(F2433&gt;=500,4,IF(F2433&gt;=350,3,IF(F2433&gt;=200,2,1)))),""))</x:f>
      </x:c>
      <x:c r="S2433" s="1" t="str">
        <x:f>IF(COUNT(O2433:R2433)=4,SUM(O2433:R2433),"")</x:f>
      </x:c>
      <x:c r="T2433" s="1" t="str">
        <x:f>IF(OR(COUNT(O2433:R2433)&lt;&gt;4,COUNT('Top 15'!$B$35:$E$35)&lt;&gt;4,MIN('Top 15'!$B$35:$E$35)&lt;0,SUM('Top 15'!$B$35:$E$35)&lt;=0),"",ROUND(85*(O2433/30*'Top 15'!$B$35+P2433/25*'Top 15'!$C$35+Q2433/25*'Top 15'!$D$35+R2433/5*'Top 15'!$E$35)/SUM('Top 15'!$B$35:$E$35),6))</x:f>
      </x:c>
      <x:c r="U2433" s="1" t="str">
        <x:f>IF(A2433="","",IF(AND(M2433="Verified",N2433="Verified"),"Verified",IF(AND(M2433="Listed",N2433="Listed"),"Listed","Mixed")))</x:f>
      </x:c>
      <x:c r="V2433" s="1" t="str">
        <x:f>IF(A2433="","",IF(AK2433&lt;&gt;1,"Duplicate source ID",IF(COUNTIFS('Staff Review'!$A$8:$A$507,A2433)&gt;1,"Duplicate review ID",IF(H2433&lt;&gt;"Yes","Outside scope",IF(J2433="Yes","Already served",IF(NOT(ISNUMBER(T2433)),"Missing data","Candidate"))))))</x:f>
      </x:c>
      <x:c r="W2433" s="1" t="str">
        <x:f>IF(AL2433=0,"",1+COUNTIFS($AL$2051:$AL$2550,1,$T$2051:$T$2550,"&gt;"&amp;T2433)+COUNTIFS($AL$2051:$AL$2550,1,$T$2051:$T$2550,T2433,$G$2051:$G$2550,"&gt;"&amp;G2433)+COUNTIFS($AL$2051:$AL$2550,1,$T$2051:$T$2550,T2433,$G$2051:$G$2550,G2433,$F$2051:$F$2550,"&gt;"&amp;F2433)+COUNTIFS($AL$2051:$AL$2550,1,$T$2051:$T$2550,T2433,$G$2051:$G$2550,G2433,$F$2051:$F$2550,F2433,$AM$2051:$AM$2550,"&lt;"&amp;AM2433))</x:f>
      </x:c>
      <x:c r="X2433" s="1" t="str">
        <x:f>IF(AL2433=0,"",1+COUNTIFS($AL$2051:$AL$2550,1,$T$2051:$T$2550,"&gt;"&amp;T2433))</x:f>
      </x:c>
      <x:c r="Y2433" s="1" t="n">
        <x:f>IF(AND(H2433="Yes",OR(LEN('School Search'!$B$5)=0,ISNUMBER(SEARCH('School Search'!$B$5,B2433&amp;" "&amp;E2433&amp;" "&amp;A2433))),OR('School Search'!$D$5="All",C2433='School Search'!$D$5),OR('School Search'!$G$5="All eligible",AND('School Search'!$G$5="Not marked served",J2433&lt;&gt;"Yes"),AND('School Search'!$G$5="Missing data",V2433="Missing data"),AND('School Search'!$G$5="Marked served",J2433="Yes"))),1,0)</x:f>
        <x:v>0</x:v>
      </x:c>
      <x:c r="Z2433" s="1" t="str">
        <x:f>IF(Y2433=0,"",COUNTIFS($Y$2051:$Y$2550,1,$AO$2051:$AO$2550,"&lt;"&amp;AO2433)+COUNTIFS($Y$2051:Y2433,1,$AO$2051:AO2433,AO2433))</x:f>
      </x:c>
      <x:c r="AA2433" s="1" t="str">
        <x:f>IF(NOT(ISNUMBER(S2433)),"Missing demographic or access input",TEXT(G2433,"0%")&amp;" economic need; "&amp;TEXT(K2433,"0.00")&amp;" mi fresh access; "&amp;L2433&amp;" nearby resources")</x:f>
        <x:v>Missing demographic or access input</x:v>
      </x:c>
      <x:c r="AB2433" s="1" t="n">
        <x:f>IF(OR(A2433="",COUNTIFS($A$1531:$A$2030,A2433)&lt;&gt;1),0,MATCH(A2433,$A$1531:$A$2030,0))</x:f>
        <x:v>0</x:v>
      </x:c>
      <x:c r="AC2433" s="1" t="str">
        <x:f>IF(AB2433=0,"",INDEX($E$1531:$E$2030,AB2433))</x:f>
      </x:c>
      <x:c r="AD2433" s="1" t="str">
        <x:f>IF(AB2433=0,"",INDEX($F$1531:$F$2030,AB2433))</x:f>
      </x:c>
      <x:c r="AE2433" s="1" t="str">
        <x:f>IF(A2433="","",F384)</x:f>
      </x:c>
      <x:c r="AF2433" s="1" t="str">
        <x:f>IF(ISNUMBER(I384),I384,"")</x:f>
      </x:c>
      <x:c r="AG2433" s="1" t="str">
        <x:f>IF(ISNUMBER(J384),J384,"")</x:f>
      </x:c>
      <x:c r="AH2433" s="1" t="str">
        <x:f>IF(I2433=0,"Not contacted",IF(INDEX('Staff Review'!$J$8:$J$507,I2433)="","Not contacted",INDEX('Staff Review'!$J$8:$J$507,I2433)))</x:f>
        <x:v>Not contacted</x:v>
      </x:c>
      <x:c r="AI2433" s="1" t="str">
        <x:f>IF(I2433=0,"No",IF(AND(COUNT(INDEX('Staff Review'!$D$8:$D$507,I2433))=1,INDEX('Staff Review'!$D$8:$D$507,I2433)&gt;=0,COUNT(INDEX('Staff Review'!$E$8:$E$507,I2433))=1,INDEX('Staff Review'!$E$8:$E$507,I2433)&gt;0,INDEX('Staff Review'!$E$8:$E$507,I2433)&lt;='Top 15'!$E$5,'Top 15'!$E$5-INDEX('Staff Review'!$E$8:$E$507,I2433)&lt;='Top 15'!$H$5,LEN(INDEX('Staff Review'!$H$8:$H$507,I2433))&gt;0),"Yes","No"))</x:f>
        <x:v>No</x:v>
      </x:c>
      <x:c r="AJ2433" s="1" t="str">
        <x:f>IF(I2433=0,"No",IF(COUNT(INDEX('Staff Review'!$F$8:$F$507,I2433))&lt;&gt;1,"No",IF(AND(INDEX('Staff Review'!$F$8:$F$507,I2433)&gt;=0,MOD(INDEX('Staff Review'!$F$8:$F$507,I2433),1)=0,COUNT(INDEX('Staff Review'!$G$8:$G$507,I2433))=1,INDEX('Staff Review'!$G$8:$G$507,I2433)&gt;0,INDEX('Staff Review'!$G$8:$G$507,I2433)&lt;='Top 15'!$E$5,'Top 15'!$E$5-INDEX('Staff Review'!$G$8:$G$507,I2433)&lt;='Top 15'!$H$5,LEN(INDEX('Staff Review'!$H$8:$H$507,I2433))&gt;0),"Yes","No")))</x:f>
        <x:v>No</x:v>
      </x:c>
      <x:c r="AK2433" s="1" t="n">
        <x:f>IF(A2433="",0,COUNTIFS($A$2:$A$501,A2433))</x:f>
        <x:v>0</x:v>
      </x:c>
      <x:c r="AL2433" s="1" t="n">
        <x:f>IF(V2433="Candidate",1,0)</x:f>
        <x:v>0</x:v>
      </x:c>
      <x:c r="AM2433" s="1" t="n">
        <x:f>IF(A2433="",0,VALUE(A2433))</x:f>
        <x:v>0</x:v>
      </x:c>
      <x:c r="AN2433" s="1" t="n">
        <x:f>IF(OR(A2433="",COUNTIFS($T$41:$T$540,A2433)&lt;&gt;1),0,MATCH(A2433,$T$41:$T$540,0))</x:f>
        <x:v>0</x:v>
      </x:c>
      <x:c r="AO2433" t="n">
        <x:f>IF(ISNUMBER(W2433),W2433,10000+AM2433)</x:f>
        <x:v>10000</x:v>
      </x:c>
    </x:row>
    <x:row r="2434" ht="22" customHeight="1">
      <x:c r="A2434" s="1" t="str">
        <x:f>IF(A385="","",A385)</x:f>
      </x:c>
      <x:c r="B2434" s="1" t="str">
        <x:f>IF(A2434="","",B385)</x:f>
      </x:c>
      <x:c r="C2434" s="1" t="str">
        <x:f>IF(A2434="","",C385)</x:f>
      </x:c>
      <x:c r="D2434" s="1" t="str">
        <x:f>IF(A2434="","",E385)</x:f>
      </x:c>
      <x:c r="E2434" s="1" t="str">
        <x:f>IF(A2434="","",H385)</x:f>
      </x:c>
      <x:c r="F2434" s="1" t="str">
        <x:f>IF(ISNUMBER(K385),K385,"")</x:f>
      </x:c>
      <x:c r="G2434" s="1" t="str">
        <x:f>IF(ISNUMBER(L385),L385,"")</x:f>
      </x:c>
      <x:c r="H2434" s="1" t="str">
        <x:f>IF(A2434="","",IF(AND(UPPER(G385)="PHILADELPHIA",OR(C2434="District",AND(C2434="Charter",D385="Yes"))),"Yes","No"))</x:f>
      </x:c>
      <x:c r="I2434" s="1" t="n">
        <x:f>IF(OR(A2434="",COUNTIFS('Staff Review'!$A$8:$A$507,A2434)&lt;&gt;1),0,MATCH(A2434,'Staff Review'!$A$8:$A$507,0))</x:f>
        <x:v>0</x:v>
      </x:c>
      <x:c r="J2434" s="1" t="str">
        <x:f>IF(I2434=0,"No",IF(INDEX('Staff Review'!$C$8:$C$507,I2434)="Yes","Yes","No"))</x:f>
        <x:v>No</x:v>
      </x:c>
      <x:c r="K2434" s="1" t="str">
        <x:f>IF(AI2434="Yes",INDEX('Staff Review'!$D$8:$D$507,I2434),IF(AB2434=0,"",IF(COUNT(INDEX($C$1531:$C$2030,AB2434))=1,INDEX($C$1531:$C$2030,AB2434),"")))</x:f>
      </x:c>
      <x:c r="L2434" s="1" t="str">
        <x:f>IF(AJ2434="Yes",INDEX('Staff Review'!$F$8:$F$507,I2434),IF(AB2434=0,"",IF(COUNT(INDEX($G$1531:$G$2030,AB2434))=1,INDEX($G$1531:$G$2030,AB2434),"")))</x:f>
      </x:c>
      <x:c r="M2434" s="1" t="str">
        <x:f>IF(A2434="","",IF(AI2434="Yes","Verified","Listed"))</x:f>
      </x:c>
      <x:c r="N2434" s="1" t="str">
        <x:f>IF(A2434="","",IF(AJ2434="Yes","Verified","Listed"))</x:f>
      </x:c>
      <x:c r="O2434" s="1" t="str">
        <x:f>IF(AND(ISNUMBER(G2434),G2434&gt;=0,G2434&lt;=1),IF(G2434&gt;=0.9,30,IF(G2434&gt;=0.8,25,IF(G2434&gt;=0.7,20,IF(G2434&gt;=0.6,15,IF(G2434&gt;=0.5,10,IF(G2434&gt;=0.4,5,0)))))),"")</x:f>
      </x:c>
      <x:c r="P2434" s="1" t="str">
        <x:f>IF(ISNUMBER(K2434),IF(K2434&lt;0,"",IF(K2434&gt;1,25,IF(K2434&gt;=0.75,20,IF(K2434&gt;=0.5,15,IF(K2434&gt;=0.25,10,5))))),"")</x:f>
      </x:c>
      <x:c r="Q2434" s="1" t="str">
        <x:f>IF(NOT(ISNUMBER(L2434)),"",IF(AND(L2434&gt;=0,MOD(L2434,1)=0),MAX(0,25-5*L2434),""))</x:f>
      </x:c>
      <x:c r="R2434" s="1" t="str">
        <x:f>IF(NOT(ISNUMBER(F2434)),"",IF(AND(F2434&gt;0,MOD(F2434,1)=0),IF(F2434&gt;=700,5,IF(F2434&gt;=500,4,IF(F2434&gt;=350,3,IF(F2434&gt;=200,2,1)))),""))</x:f>
      </x:c>
      <x:c r="S2434" s="1" t="str">
        <x:f>IF(COUNT(O2434:R2434)=4,SUM(O2434:R2434),"")</x:f>
      </x:c>
      <x:c r="T2434" s="1" t="str">
        <x:f>IF(OR(COUNT(O2434:R2434)&lt;&gt;4,COUNT('Top 15'!$B$35:$E$35)&lt;&gt;4,MIN('Top 15'!$B$35:$E$35)&lt;0,SUM('Top 15'!$B$35:$E$35)&lt;=0),"",ROUND(85*(O2434/30*'Top 15'!$B$35+P2434/25*'Top 15'!$C$35+Q2434/25*'Top 15'!$D$35+R2434/5*'Top 15'!$E$35)/SUM('Top 15'!$B$35:$E$35),6))</x:f>
      </x:c>
      <x:c r="U2434" s="1" t="str">
        <x:f>IF(A2434="","",IF(AND(M2434="Verified",N2434="Verified"),"Verified",IF(AND(M2434="Listed",N2434="Listed"),"Listed","Mixed")))</x:f>
      </x:c>
      <x:c r="V2434" s="1" t="str">
        <x:f>IF(A2434="","",IF(AK2434&lt;&gt;1,"Duplicate source ID",IF(COUNTIFS('Staff Review'!$A$8:$A$507,A2434)&gt;1,"Duplicate review ID",IF(H2434&lt;&gt;"Yes","Outside scope",IF(J2434="Yes","Already served",IF(NOT(ISNUMBER(T2434)),"Missing data","Candidate"))))))</x:f>
      </x:c>
      <x:c r="W2434" s="1" t="str">
        <x:f>IF(AL2434=0,"",1+COUNTIFS($AL$2051:$AL$2550,1,$T$2051:$T$2550,"&gt;"&amp;T2434)+COUNTIFS($AL$2051:$AL$2550,1,$T$2051:$T$2550,T2434,$G$2051:$G$2550,"&gt;"&amp;G2434)+COUNTIFS($AL$2051:$AL$2550,1,$T$2051:$T$2550,T2434,$G$2051:$G$2550,G2434,$F$2051:$F$2550,"&gt;"&amp;F2434)+COUNTIFS($AL$2051:$AL$2550,1,$T$2051:$T$2550,T2434,$G$2051:$G$2550,G2434,$F$2051:$F$2550,F2434,$AM$2051:$AM$2550,"&lt;"&amp;AM2434))</x:f>
      </x:c>
      <x:c r="X2434" s="1" t="str">
        <x:f>IF(AL2434=0,"",1+COUNTIFS($AL$2051:$AL$2550,1,$T$2051:$T$2550,"&gt;"&amp;T2434))</x:f>
      </x:c>
      <x:c r="Y2434" s="1" t="n">
        <x:f>IF(AND(H2434="Yes",OR(LEN('School Search'!$B$5)=0,ISNUMBER(SEARCH('School Search'!$B$5,B2434&amp;" "&amp;E2434&amp;" "&amp;A2434))),OR('School Search'!$D$5="All",C2434='School Search'!$D$5),OR('School Search'!$G$5="All eligible",AND('School Search'!$G$5="Not marked served",J2434&lt;&gt;"Yes"),AND('School Search'!$G$5="Missing data",V2434="Missing data"),AND('School Search'!$G$5="Marked served",J2434="Yes"))),1,0)</x:f>
        <x:v>0</x:v>
      </x:c>
      <x:c r="Z2434" s="1" t="str">
        <x:f>IF(Y2434=0,"",COUNTIFS($Y$2051:$Y$2550,1,$AO$2051:$AO$2550,"&lt;"&amp;AO2434)+COUNTIFS($Y$2051:Y2434,1,$AO$2051:AO2434,AO2434))</x:f>
      </x:c>
      <x:c r="AA2434" s="1" t="str">
        <x:f>IF(NOT(ISNUMBER(S2434)),"Missing demographic or access input",TEXT(G2434,"0%")&amp;" economic need; "&amp;TEXT(K2434,"0.00")&amp;" mi fresh access; "&amp;L2434&amp;" nearby resources")</x:f>
        <x:v>Missing demographic or access input</x:v>
      </x:c>
      <x:c r="AB2434" s="1" t="n">
        <x:f>IF(OR(A2434="",COUNTIFS($A$1531:$A$2030,A2434)&lt;&gt;1),0,MATCH(A2434,$A$1531:$A$2030,0))</x:f>
        <x:v>0</x:v>
      </x:c>
      <x:c r="AC2434" s="1" t="str">
        <x:f>IF(AB2434=0,"",INDEX($E$1531:$E$2030,AB2434))</x:f>
      </x:c>
      <x:c r="AD2434" s="1" t="str">
        <x:f>IF(AB2434=0,"",INDEX($F$1531:$F$2030,AB2434))</x:f>
      </x:c>
      <x:c r="AE2434" s="1" t="str">
        <x:f>IF(A2434="","",F385)</x:f>
      </x:c>
      <x:c r="AF2434" s="1" t="str">
        <x:f>IF(ISNUMBER(I385),I385,"")</x:f>
      </x:c>
      <x:c r="AG2434" s="1" t="str">
        <x:f>IF(ISNUMBER(J385),J385,"")</x:f>
      </x:c>
      <x:c r="AH2434" s="1" t="str">
        <x:f>IF(I2434=0,"Not contacted",IF(INDEX('Staff Review'!$J$8:$J$507,I2434)="","Not contacted",INDEX('Staff Review'!$J$8:$J$507,I2434)))</x:f>
        <x:v>Not contacted</x:v>
      </x:c>
      <x:c r="AI2434" s="1" t="str">
        <x:f>IF(I2434=0,"No",IF(AND(COUNT(INDEX('Staff Review'!$D$8:$D$507,I2434))=1,INDEX('Staff Review'!$D$8:$D$507,I2434)&gt;=0,COUNT(INDEX('Staff Review'!$E$8:$E$507,I2434))=1,INDEX('Staff Review'!$E$8:$E$507,I2434)&gt;0,INDEX('Staff Review'!$E$8:$E$507,I2434)&lt;='Top 15'!$E$5,'Top 15'!$E$5-INDEX('Staff Review'!$E$8:$E$507,I2434)&lt;='Top 15'!$H$5,LEN(INDEX('Staff Review'!$H$8:$H$507,I2434))&gt;0),"Yes","No"))</x:f>
        <x:v>No</x:v>
      </x:c>
      <x:c r="AJ2434" s="1" t="str">
        <x:f>IF(I2434=0,"No",IF(COUNT(INDEX('Staff Review'!$F$8:$F$507,I2434))&lt;&gt;1,"No",IF(AND(INDEX('Staff Review'!$F$8:$F$507,I2434)&gt;=0,MOD(INDEX('Staff Review'!$F$8:$F$507,I2434),1)=0,COUNT(INDEX('Staff Review'!$G$8:$G$507,I2434))=1,INDEX('Staff Review'!$G$8:$G$507,I2434)&gt;0,INDEX('Staff Review'!$G$8:$G$507,I2434)&lt;='Top 15'!$E$5,'Top 15'!$E$5-INDEX('Staff Review'!$G$8:$G$507,I2434)&lt;='Top 15'!$H$5,LEN(INDEX('Staff Review'!$H$8:$H$507,I2434))&gt;0),"Yes","No")))</x:f>
        <x:v>No</x:v>
      </x:c>
      <x:c r="AK2434" s="1" t="n">
        <x:f>IF(A2434="",0,COUNTIFS($A$2:$A$501,A2434))</x:f>
        <x:v>0</x:v>
      </x:c>
      <x:c r="AL2434" s="1" t="n">
        <x:f>IF(V2434="Candidate",1,0)</x:f>
        <x:v>0</x:v>
      </x:c>
      <x:c r="AM2434" s="1" t="n">
        <x:f>IF(A2434="",0,VALUE(A2434))</x:f>
        <x:v>0</x:v>
      </x:c>
      <x:c r="AN2434" s="1" t="n">
        <x:f>IF(OR(A2434="",COUNTIFS($T$41:$T$540,A2434)&lt;&gt;1),0,MATCH(A2434,$T$41:$T$540,0))</x:f>
        <x:v>0</x:v>
      </x:c>
      <x:c r="AO2434" t="n">
        <x:f>IF(ISNUMBER(W2434),W2434,10000+AM2434)</x:f>
        <x:v>10000</x:v>
      </x:c>
    </x:row>
    <x:row r="2435" ht="22" customHeight="1">
      <x:c r="A2435" s="1" t="str">
        <x:f>IF(A386="","",A386)</x:f>
      </x:c>
      <x:c r="B2435" s="1" t="str">
        <x:f>IF(A2435="","",B386)</x:f>
      </x:c>
      <x:c r="C2435" s="1" t="str">
        <x:f>IF(A2435="","",C386)</x:f>
      </x:c>
      <x:c r="D2435" s="1" t="str">
        <x:f>IF(A2435="","",E386)</x:f>
      </x:c>
      <x:c r="E2435" s="1" t="str">
        <x:f>IF(A2435="","",H386)</x:f>
      </x:c>
      <x:c r="F2435" s="1" t="str">
        <x:f>IF(ISNUMBER(K386),K386,"")</x:f>
      </x:c>
      <x:c r="G2435" s="1" t="str">
        <x:f>IF(ISNUMBER(L386),L386,"")</x:f>
      </x:c>
      <x:c r="H2435" s="1" t="str">
        <x:f>IF(A2435="","",IF(AND(UPPER(G386)="PHILADELPHIA",OR(C2435="District",AND(C2435="Charter",D386="Yes"))),"Yes","No"))</x:f>
      </x:c>
      <x:c r="I2435" s="1" t="n">
        <x:f>IF(OR(A2435="",COUNTIFS('Staff Review'!$A$8:$A$507,A2435)&lt;&gt;1),0,MATCH(A2435,'Staff Review'!$A$8:$A$507,0))</x:f>
        <x:v>0</x:v>
      </x:c>
      <x:c r="J2435" s="1" t="str">
        <x:f>IF(I2435=0,"No",IF(INDEX('Staff Review'!$C$8:$C$507,I2435)="Yes","Yes","No"))</x:f>
        <x:v>No</x:v>
      </x:c>
      <x:c r="K2435" s="1" t="str">
        <x:f>IF(AI2435="Yes",INDEX('Staff Review'!$D$8:$D$507,I2435),IF(AB2435=0,"",IF(COUNT(INDEX($C$1531:$C$2030,AB2435))=1,INDEX($C$1531:$C$2030,AB2435),"")))</x:f>
      </x:c>
      <x:c r="L2435" s="1" t="str">
        <x:f>IF(AJ2435="Yes",INDEX('Staff Review'!$F$8:$F$507,I2435),IF(AB2435=0,"",IF(COUNT(INDEX($G$1531:$G$2030,AB2435))=1,INDEX($G$1531:$G$2030,AB2435),"")))</x:f>
      </x:c>
      <x:c r="M2435" s="1" t="str">
        <x:f>IF(A2435="","",IF(AI2435="Yes","Verified","Listed"))</x:f>
      </x:c>
      <x:c r="N2435" s="1" t="str">
        <x:f>IF(A2435="","",IF(AJ2435="Yes","Verified","Listed"))</x:f>
      </x:c>
      <x:c r="O2435" s="1" t="str">
        <x:f>IF(AND(ISNUMBER(G2435),G2435&gt;=0,G2435&lt;=1),IF(G2435&gt;=0.9,30,IF(G2435&gt;=0.8,25,IF(G2435&gt;=0.7,20,IF(G2435&gt;=0.6,15,IF(G2435&gt;=0.5,10,IF(G2435&gt;=0.4,5,0)))))),"")</x:f>
      </x:c>
      <x:c r="P2435" s="1" t="str">
        <x:f>IF(ISNUMBER(K2435),IF(K2435&lt;0,"",IF(K2435&gt;1,25,IF(K2435&gt;=0.75,20,IF(K2435&gt;=0.5,15,IF(K2435&gt;=0.25,10,5))))),"")</x:f>
      </x:c>
      <x:c r="Q2435" s="1" t="str">
        <x:f>IF(NOT(ISNUMBER(L2435)),"",IF(AND(L2435&gt;=0,MOD(L2435,1)=0),MAX(0,25-5*L2435),""))</x:f>
      </x:c>
      <x:c r="R2435" s="1" t="str">
        <x:f>IF(NOT(ISNUMBER(F2435)),"",IF(AND(F2435&gt;0,MOD(F2435,1)=0),IF(F2435&gt;=700,5,IF(F2435&gt;=500,4,IF(F2435&gt;=350,3,IF(F2435&gt;=200,2,1)))),""))</x:f>
      </x:c>
      <x:c r="S2435" s="1" t="str">
        <x:f>IF(COUNT(O2435:R2435)=4,SUM(O2435:R2435),"")</x:f>
      </x:c>
      <x:c r="T2435" s="1" t="str">
        <x:f>IF(OR(COUNT(O2435:R2435)&lt;&gt;4,COUNT('Top 15'!$B$35:$E$35)&lt;&gt;4,MIN('Top 15'!$B$35:$E$35)&lt;0,SUM('Top 15'!$B$35:$E$35)&lt;=0),"",ROUND(85*(O2435/30*'Top 15'!$B$35+P2435/25*'Top 15'!$C$35+Q2435/25*'Top 15'!$D$35+R2435/5*'Top 15'!$E$35)/SUM('Top 15'!$B$35:$E$35),6))</x:f>
      </x:c>
      <x:c r="U2435" s="1" t="str">
        <x:f>IF(A2435="","",IF(AND(M2435="Verified",N2435="Verified"),"Verified",IF(AND(M2435="Listed",N2435="Listed"),"Listed","Mixed")))</x:f>
      </x:c>
      <x:c r="V2435" s="1" t="str">
        <x:f>IF(A2435="","",IF(AK2435&lt;&gt;1,"Duplicate source ID",IF(COUNTIFS('Staff Review'!$A$8:$A$507,A2435)&gt;1,"Duplicate review ID",IF(H2435&lt;&gt;"Yes","Outside scope",IF(J2435="Yes","Already served",IF(NOT(ISNUMBER(T2435)),"Missing data","Candidate"))))))</x:f>
      </x:c>
      <x:c r="W2435" s="1" t="str">
        <x:f>IF(AL2435=0,"",1+COUNTIFS($AL$2051:$AL$2550,1,$T$2051:$T$2550,"&gt;"&amp;T2435)+COUNTIFS($AL$2051:$AL$2550,1,$T$2051:$T$2550,T2435,$G$2051:$G$2550,"&gt;"&amp;G2435)+COUNTIFS($AL$2051:$AL$2550,1,$T$2051:$T$2550,T2435,$G$2051:$G$2550,G2435,$F$2051:$F$2550,"&gt;"&amp;F2435)+COUNTIFS($AL$2051:$AL$2550,1,$T$2051:$T$2550,T2435,$G$2051:$G$2550,G2435,$F$2051:$F$2550,F2435,$AM$2051:$AM$2550,"&lt;"&amp;AM2435))</x:f>
      </x:c>
      <x:c r="X2435" s="1" t="str">
        <x:f>IF(AL2435=0,"",1+COUNTIFS($AL$2051:$AL$2550,1,$T$2051:$T$2550,"&gt;"&amp;T2435))</x:f>
      </x:c>
      <x:c r="Y2435" s="1" t="n">
        <x:f>IF(AND(H2435="Yes",OR(LEN('School Search'!$B$5)=0,ISNUMBER(SEARCH('School Search'!$B$5,B2435&amp;" "&amp;E2435&amp;" "&amp;A2435))),OR('School Search'!$D$5="All",C2435='School Search'!$D$5),OR('School Search'!$G$5="All eligible",AND('School Search'!$G$5="Not marked served",J2435&lt;&gt;"Yes"),AND('School Search'!$G$5="Missing data",V2435="Missing data"),AND('School Search'!$G$5="Marked served",J2435="Yes"))),1,0)</x:f>
        <x:v>0</x:v>
      </x:c>
      <x:c r="Z2435" s="1" t="str">
        <x:f>IF(Y2435=0,"",COUNTIFS($Y$2051:$Y$2550,1,$AO$2051:$AO$2550,"&lt;"&amp;AO2435)+COUNTIFS($Y$2051:Y2435,1,$AO$2051:AO2435,AO2435))</x:f>
      </x:c>
      <x:c r="AA2435" s="1" t="str">
        <x:f>IF(NOT(ISNUMBER(S2435)),"Missing demographic or access input",TEXT(G2435,"0%")&amp;" economic need; "&amp;TEXT(K2435,"0.00")&amp;" mi fresh access; "&amp;L2435&amp;" nearby resources")</x:f>
        <x:v>Missing demographic or access input</x:v>
      </x:c>
      <x:c r="AB2435" s="1" t="n">
        <x:f>IF(OR(A2435="",COUNTIFS($A$1531:$A$2030,A2435)&lt;&gt;1),0,MATCH(A2435,$A$1531:$A$2030,0))</x:f>
        <x:v>0</x:v>
      </x:c>
      <x:c r="AC2435" s="1" t="str">
        <x:f>IF(AB2435=0,"",INDEX($E$1531:$E$2030,AB2435))</x:f>
      </x:c>
      <x:c r="AD2435" s="1" t="str">
        <x:f>IF(AB2435=0,"",INDEX($F$1531:$F$2030,AB2435))</x:f>
      </x:c>
      <x:c r="AE2435" s="1" t="str">
        <x:f>IF(A2435="","",F386)</x:f>
      </x:c>
      <x:c r="AF2435" s="1" t="str">
        <x:f>IF(ISNUMBER(I386),I386,"")</x:f>
      </x:c>
      <x:c r="AG2435" s="1" t="str">
        <x:f>IF(ISNUMBER(J386),J386,"")</x:f>
      </x:c>
      <x:c r="AH2435" s="1" t="str">
        <x:f>IF(I2435=0,"Not contacted",IF(INDEX('Staff Review'!$J$8:$J$507,I2435)="","Not contacted",INDEX('Staff Review'!$J$8:$J$507,I2435)))</x:f>
        <x:v>Not contacted</x:v>
      </x:c>
      <x:c r="AI2435" s="1" t="str">
        <x:f>IF(I2435=0,"No",IF(AND(COUNT(INDEX('Staff Review'!$D$8:$D$507,I2435))=1,INDEX('Staff Review'!$D$8:$D$507,I2435)&gt;=0,COUNT(INDEX('Staff Review'!$E$8:$E$507,I2435))=1,INDEX('Staff Review'!$E$8:$E$507,I2435)&gt;0,INDEX('Staff Review'!$E$8:$E$507,I2435)&lt;='Top 15'!$E$5,'Top 15'!$E$5-INDEX('Staff Review'!$E$8:$E$507,I2435)&lt;='Top 15'!$H$5,LEN(INDEX('Staff Review'!$H$8:$H$507,I2435))&gt;0),"Yes","No"))</x:f>
        <x:v>No</x:v>
      </x:c>
      <x:c r="AJ2435" s="1" t="str">
        <x:f>IF(I2435=0,"No",IF(COUNT(INDEX('Staff Review'!$F$8:$F$507,I2435))&lt;&gt;1,"No",IF(AND(INDEX('Staff Review'!$F$8:$F$507,I2435)&gt;=0,MOD(INDEX('Staff Review'!$F$8:$F$507,I2435),1)=0,COUNT(INDEX('Staff Review'!$G$8:$G$507,I2435))=1,INDEX('Staff Review'!$G$8:$G$507,I2435)&gt;0,INDEX('Staff Review'!$G$8:$G$507,I2435)&lt;='Top 15'!$E$5,'Top 15'!$E$5-INDEX('Staff Review'!$G$8:$G$507,I2435)&lt;='Top 15'!$H$5,LEN(INDEX('Staff Review'!$H$8:$H$507,I2435))&gt;0),"Yes","No")))</x:f>
        <x:v>No</x:v>
      </x:c>
      <x:c r="AK2435" s="1" t="n">
        <x:f>IF(A2435="",0,COUNTIFS($A$2:$A$501,A2435))</x:f>
        <x:v>0</x:v>
      </x:c>
      <x:c r="AL2435" s="1" t="n">
        <x:f>IF(V2435="Candidate",1,0)</x:f>
        <x:v>0</x:v>
      </x:c>
      <x:c r="AM2435" s="1" t="n">
        <x:f>IF(A2435="",0,VALUE(A2435))</x:f>
        <x:v>0</x:v>
      </x:c>
      <x:c r="AN2435" s="1" t="n">
        <x:f>IF(OR(A2435="",COUNTIFS($T$41:$T$540,A2435)&lt;&gt;1),0,MATCH(A2435,$T$41:$T$540,0))</x:f>
        <x:v>0</x:v>
      </x:c>
      <x:c r="AO2435" t="n">
        <x:f>IF(ISNUMBER(W2435),W2435,10000+AM2435)</x:f>
        <x:v>10000</x:v>
      </x:c>
    </x:row>
    <x:row r="2436" ht="22" customHeight="1">
      <x:c r="A2436" s="1" t="str">
        <x:f>IF(A387="","",A387)</x:f>
      </x:c>
      <x:c r="B2436" s="1" t="str">
        <x:f>IF(A2436="","",B387)</x:f>
      </x:c>
      <x:c r="C2436" s="1" t="str">
        <x:f>IF(A2436="","",C387)</x:f>
      </x:c>
      <x:c r="D2436" s="1" t="str">
        <x:f>IF(A2436="","",E387)</x:f>
      </x:c>
      <x:c r="E2436" s="1" t="str">
        <x:f>IF(A2436="","",H387)</x:f>
      </x:c>
      <x:c r="F2436" s="1" t="str">
        <x:f>IF(ISNUMBER(K387),K387,"")</x:f>
      </x:c>
      <x:c r="G2436" s="1" t="str">
        <x:f>IF(ISNUMBER(L387),L387,"")</x:f>
      </x:c>
      <x:c r="H2436" s="1" t="str">
        <x:f>IF(A2436="","",IF(AND(UPPER(G387)="PHILADELPHIA",OR(C2436="District",AND(C2436="Charter",D387="Yes"))),"Yes","No"))</x:f>
      </x:c>
      <x:c r="I2436" s="1" t="n">
        <x:f>IF(OR(A2436="",COUNTIFS('Staff Review'!$A$8:$A$507,A2436)&lt;&gt;1),0,MATCH(A2436,'Staff Review'!$A$8:$A$507,0))</x:f>
        <x:v>0</x:v>
      </x:c>
      <x:c r="J2436" s="1" t="str">
        <x:f>IF(I2436=0,"No",IF(INDEX('Staff Review'!$C$8:$C$507,I2436)="Yes","Yes","No"))</x:f>
        <x:v>No</x:v>
      </x:c>
      <x:c r="K2436" s="1" t="str">
        <x:f>IF(AI2436="Yes",INDEX('Staff Review'!$D$8:$D$507,I2436),IF(AB2436=0,"",IF(COUNT(INDEX($C$1531:$C$2030,AB2436))=1,INDEX($C$1531:$C$2030,AB2436),"")))</x:f>
      </x:c>
      <x:c r="L2436" s="1" t="str">
        <x:f>IF(AJ2436="Yes",INDEX('Staff Review'!$F$8:$F$507,I2436),IF(AB2436=0,"",IF(COUNT(INDEX($G$1531:$G$2030,AB2436))=1,INDEX($G$1531:$G$2030,AB2436),"")))</x:f>
      </x:c>
      <x:c r="M2436" s="1" t="str">
        <x:f>IF(A2436="","",IF(AI2436="Yes","Verified","Listed"))</x:f>
      </x:c>
      <x:c r="N2436" s="1" t="str">
        <x:f>IF(A2436="","",IF(AJ2436="Yes","Verified","Listed"))</x:f>
      </x:c>
      <x:c r="O2436" s="1" t="str">
        <x:f>IF(AND(ISNUMBER(G2436),G2436&gt;=0,G2436&lt;=1),IF(G2436&gt;=0.9,30,IF(G2436&gt;=0.8,25,IF(G2436&gt;=0.7,20,IF(G2436&gt;=0.6,15,IF(G2436&gt;=0.5,10,IF(G2436&gt;=0.4,5,0)))))),"")</x:f>
      </x:c>
      <x:c r="P2436" s="1" t="str">
        <x:f>IF(ISNUMBER(K2436),IF(K2436&lt;0,"",IF(K2436&gt;1,25,IF(K2436&gt;=0.75,20,IF(K2436&gt;=0.5,15,IF(K2436&gt;=0.25,10,5))))),"")</x:f>
      </x:c>
      <x:c r="Q2436" s="1" t="str">
        <x:f>IF(NOT(ISNUMBER(L2436)),"",IF(AND(L2436&gt;=0,MOD(L2436,1)=0),MAX(0,25-5*L2436),""))</x:f>
      </x:c>
      <x:c r="R2436" s="1" t="str">
        <x:f>IF(NOT(ISNUMBER(F2436)),"",IF(AND(F2436&gt;0,MOD(F2436,1)=0),IF(F2436&gt;=700,5,IF(F2436&gt;=500,4,IF(F2436&gt;=350,3,IF(F2436&gt;=200,2,1)))),""))</x:f>
      </x:c>
      <x:c r="S2436" s="1" t="str">
        <x:f>IF(COUNT(O2436:R2436)=4,SUM(O2436:R2436),"")</x:f>
      </x:c>
      <x:c r="T2436" s="1" t="str">
        <x:f>IF(OR(COUNT(O2436:R2436)&lt;&gt;4,COUNT('Top 15'!$B$35:$E$35)&lt;&gt;4,MIN('Top 15'!$B$35:$E$35)&lt;0,SUM('Top 15'!$B$35:$E$35)&lt;=0),"",ROUND(85*(O2436/30*'Top 15'!$B$35+P2436/25*'Top 15'!$C$35+Q2436/25*'Top 15'!$D$35+R2436/5*'Top 15'!$E$35)/SUM('Top 15'!$B$35:$E$35),6))</x:f>
      </x:c>
      <x:c r="U2436" s="1" t="str">
        <x:f>IF(A2436="","",IF(AND(M2436="Verified",N2436="Verified"),"Verified",IF(AND(M2436="Listed",N2436="Listed"),"Listed","Mixed")))</x:f>
      </x:c>
      <x:c r="V2436" s="1" t="str">
        <x:f>IF(A2436="","",IF(AK2436&lt;&gt;1,"Duplicate source ID",IF(COUNTIFS('Staff Review'!$A$8:$A$507,A2436)&gt;1,"Duplicate review ID",IF(H2436&lt;&gt;"Yes","Outside scope",IF(J2436="Yes","Already served",IF(NOT(ISNUMBER(T2436)),"Missing data","Candidate"))))))</x:f>
      </x:c>
      <x:c r="W2436" s="1" t="str">
        <x:f>IF(AL2436=0,"",1+COUNTIFS($AL$2051:$AL$2550,1,$T$2051:$T$2550,"&gt;"&amp;T2436)+COUNTIFS($AL$2051:$AL$2550,1,$T$2051:$T$2550,T2436,$G$2051:$G$2550,"&gt;"&amp;G2436)+COUNTIFS($AL$2051:$AL$2550,1,$T$2051:$T$2550,T2436,$G$2051:$G$2550,G2436,$F$2051:$F$2550,"&gt;"&amp;F2436)+COUNTIFS($AL$2051:$AL$2550,1,$T$2051:$T$2550,T2436,$G$2051:$G$2550,G2436,$F$2051:$F$2550,F2436,$AM$2051:$AM$2550,"&lt;"&amp;AM2436))</x:f>
      </x:c>
      <x:c r="X2436" s="1" t="str">
        <x:f>IF(AL2436=0,"",1+COUNTIFS($AL$2051:$AL$2550,1,$T$2051:$T$2550,"&gt;"&amp;T2436))</x:f>
      </x:c>
      <x:c r="Y2436" s="1" t="n">
        <x:f>IF(AND(H2436="Yes",OR(LEN('School Search'!$B$5)=0,ISNUMBER(SEARCH('School Search'!$B$5,B2436&amp;" "&amp;E2436&amp;" "&amp;A2436))),OR('School Search'!$D$5="All",C2436='School Search'!$D$5),OR('School Search'!$G$5="All eligible",AND('School Search'!$G$5="Not marked served",J2436&lt;&gt;"Yes"),AND('School Search'!$G$5="Missing data",V2436="Missing data"),AND('School Search'!$G$5="Marked served",J2436="Yes"))),1,0)</x:f>
        <x:v>0</x:v>
      </x:c>
      <x:c r="Z2436" s="1" t="str">
        <x:f>IF(Y2436=0,"",COUNTIFS($Y$2051:$Y$2550,1,$AO$2051:$AO$2550,"&lt;"&amp;AO2436)+COUNTIFS($Y$2051:Y2436,1,$AO$2051:AO2436,AO2436))</x:f>
      </x:c>
      <x:c r="AA2436" s="1" t="str">
        <x:f>IF(NOT(ISNUMBER(S2436)),"Missing demographic or access input",TEXT(G2436,"0%")&amp;" economic need; "&amp;TEXT(K2436,"0.00")&amp;" mi fresh access; "&amp;L2436&amp;" nearby resources")</x:f>
        <x:v>Missing demographic or access input</x:v>
      </x:c>
      <x:c r="AB2436" s="1" t="n">
        <x:f>IF(OR(A2436="",COUNTIFS($A$1531:$A$2030,A2436)&lt;&gt;1),0,MATCH(A2436,$A$1531:$A$2030,0))</x:f>
        <x:v>0</x:v>
      </x:c>
      <x:c r="AC2436" s="1" t="str">
        <x:f>IF(AB2436=0,"",INDEX($E$1531:$E$2030,AB2436))</x:f>
      </x:c>
      <x:c r="AD2436" s="1" t="str">
        <x:f>IF(AB2436=0,"",INDEX($F$1531:$F$2030,AB2436))</x:f>
      </x:c>
      <x:c r="AE2436" s="1" t="str">
        <x:f>IF(A2436="","",F387)</x:f>
      </x:c>
      <x:c r="AF2436" s="1" t="str">
        <x:f>IF(ISNUMBER(I387),I387,"")</x:f>
      </x:c>
      <x:c r="AG2436" s="1" t="str">
        <x:f>IF(ISNUMBER(J387),J387,"")</x:f>
      </x:c>
      <x:c r="AH2436" s="1" t="str">
        <x:f>IF(I2436=0,"Not contacted",IF(INDEX('Staff Review'!$J$8:$J$507,I2436)="","Not contacted",INDEX('Staff Review'!$J$8:$J$507,I2436)))</x:f>
        <x:v>Not contacted</x:v>
      </x:c>
      <x:c r="AI2436" s="1" t="str">
        <x:f>IF(I2436=0,"No",IF(AND(COUNT(INDEX('Staff Review'!$D$8:$D$507,I2436))=1,INDEX('Staff Review'!$D$8:$D$507,I2436)&gt;=0,COUNT(INDEX('Staff Review'!$E$8:$E$507,I2436))=1,INDEX('Staff Review'!$E$8:$E$507,I2436)&gt;0,INDEX('Staff Review'!$E$8:$E$507,I2436)&lt;='Top 15'!$E$5,'Top 15'!$E$5-INDEX('Staff Review'!$E$8:$E$507,I2436)&lt;='Top 15'!$H$5,LEN(INDEX('Staff Review'!$H$8:$H$507,I2436))&gt;0),"Yes","No"))</x:f>
        <x:v>No</x:v>
      </x:c>
      <x:c r="AJ2436" s="1" t="str">
        <x:f>IF(I2436=0,"No",IF(COUNT(INDEX('Staff Review'!$F$8:$F$507,I2436))&lt;&gt;1,"No",IF(AND(INDEX('Staff Review'!$F$8:$F$507,I2436)&gt;=0,MOD(INDEX('Staff Review'!$F$8:$F$507,I2436),1)=0,COUNT(INDEX('Staff Review'!$G$8:$G$507,I2436))=1,INDEX('Staff Review'!$G$8:$G$507,I2436)&gt;0,INDEX('Staff Review'!$G$8:$G$507,I2436)&lt;='Top 15'!$E$5,'Top 15'!$E$5-INDEX('Staff Review'!$G$8:$G$507,I2436)&lt;='Top 15'!$H$5,LEN(INDEX('Staff Review'!$H$8:$H$507,I2436))&gt;0),"Yes","No")))</x:f>
        <x:v>No</x:v>
      </x:c>
      <x:c r="AK2436" s="1" t="n">
        <x:f>IF(A2436="",0,COUNTIFS($A$2:$A$501,A2436))</x:f>
        <x:v>0</x:v>
      </x:c>
      <x:c r="AL2436" s="1" t="n">
        <x:f>IF(V2436="Candidate",1,0)</x:f>
        <x:v>0</x:v>
      </x:c>
      <x:c r="AM2436" s="1" t="n">
        <x:f>IF(A2436="",0,VALUE(A2436))</x:f>
        <x:v>0</x:v>
      </x:c>
      <x:c r="AN2436" s="1" t="n">
        <x:f>IF(OR(A2436="",COUNTIFS($T$41:$T$540,A2436)&lt;&gt;1),0,MATCH(A2436,$T$41:$T$540,0))</x:f>
        <x:v>0</x:v>
      </x:c>
      <x:c r="AO2436" t="n">
        <x:f>IF(ISNUMBER(W2436),W2436,10000+AM2436)</x:f>
        <x:v>10000</x:v>
      </x:c>
    </x:row>
    <x:row r="2437" ht="22" customHeight="1">
      <x:c r="A2437" s="1" t="str">
        <x:f>IF(A388="","",A388)</x:f>
      </x:c>
      <x:c r="B2437" s="1" t="str">
        <x:f>IF(A2437="","",B388)</x:f>
      </x:c>
      <x:c r="C2437" s="1" t="str">
        <x:f>IF(A2437="","",C388)</x:f>
      </x:c>
      <x:c r="D2437" s="1" t="str">
        <x:f>IF(A2437="","",E388)</x:f>
      </x:c>
      <x:c r="E2437" s="1" t="str">
        <x:f>IF(A2437="","",H388)</x:f>
      </x:c>
      <x:c r="F2437" s="1" t="str">
        <x:f>IF(ISNUMBER(K388),K388,"")</x:f>
      </x:c>
      <x:c r="G2437" s="1" t="str">
        <x:f>IF(ISNUMBER(L388),L388,"")</x:f>
      </x:c>
      <x:c r="H2437" s="1" t="str">
        <x:f>IF(A2437="","",IF(AND(UPPER(G388)="PHILADELPHIA",OR(C2437="District",AND(C2437="Charter",D388="Yes"))),"Yes","No"))</x:f>
      </x:c>
      <x:c r="I2437" s="1" t="n">
        <x:f>IF(OR(A2437="",COUNTIFS('Staff Review'!$A$8:$A$507,A2437)&lt;&gt;1),0,MATCH(A2437,'Staff Review'!$A$8:$A$507,0))</x:f>
        <x:v>0</x:v>
      </x:c>
      <x:c r="J2437" s="1" t="str">
        <x:f>IF(I2437=0,"No",IF(INDEX('Staff Review'!$C$8:$C$507,I2437)="Yes","Yes","No"))</x:f>
        <x:v>No</x:v>
      </x:c>
      <x:c r="K2437" s="1" t="str">
        <x:f>IF(AI2437="Yes",INDEX('Staff Review'!$D$8:$D$507,I2437),IF(AB2437=0,"",IF(COUNT(INDEX($C$1531:$C$2030,AB2437))=1,INDEX($C$1531:$C$2030,AB2437),"")))</x:f>
      </x:c>
      <x:c r="L2437" s="1" t="str">
        <x:f>IF(AJ2437="Yes",INDEX('Staff Review'!$F$8:$F$507,I2437),IF(AB2437=0,"",IF(COUNT(INDEX($G$1531:$G$2030,AB2437))=1,INDEX($G$1531:$G$2030,AB2437),"")))</x:f>
      </x:c>
      <x:c r="M2437" s="1" t="str">
        <x:f>IF(A2437="","",IF(AI2437="Yes","Verified","Listed"))</x:f>
      </x:c>
      <x:c r="N2437" s="1" t="str">
        <x:f>IF(A2437="","",IF(AJ2437="Yes","Verified","Listed"))</x:f>
      </x:c>
      <x:c r="O2437" s="1" t="str">
        <x:f>IF(AND(ISNUMBER(G2437),G2437&gt;=0,G2437&lt;=1),IF(G2437&gt;=0.9,30,IF(G2437&gt;=0.8,25,IF(G2437&gt;=0.7,20,IF(G2437&gt;=0.6,15,IF(G2437&gt;=0.5,10,IF(G2437&gt;=0.4,5,0)))))),"")</x:f>
      </x:c>
      <x:c r="P2437" s="1" t="str">
        <x:f>IF(ISNUMBER(K2437),IF(K2437&lt;0,"",IF(K2437&gt;1,25,IF(K2437&gt;=0.75,20,IF(K2437&gt;=0.5,15,IF(K2437&gt;=0.25,10,5))))),"")</x:f>
      </x:c>
      <x:c r="Q2437" s="1" t="str">
        <x:f>IF(NOT(ISNUMBER(L2437)),"",IF(AND(L2437&gt;=0,MOD(L2437,1)=0),MAX(0,25-5*L2437),""))</x:f>
      </x:c>
      <x:c r="R2437" s="1" t="str">
        <x:f>IF(NOT(ISNUMBER(F2437)),"",IF(AND(F2437&gt;0,MOD(F2437,1)=0),IF(F2437&gt;=700,5,IF(F2437&gt;=500,4,IF(F2437&gt;=350,3,IF(F2437&gt;=200,2,1)))),""))</x:f>
      </x:c>
      <x:c r="S2437" s="1" t="str">
        <x:f>IF(COUNT(O2437:R2437)=4,SUM(O2437:R2437),"")</x:f>
      </x:c>
      <x:c r="T2437" s="1" t="str">
        <x:f>IF(OR(COUNT(O2437:R2437)&lt;&gt;4,COUNT('Top 15'!$B$35:$E$35)&lt;&gt;4,MIN('Top 15'!$B$35:$E$35)&lt;0,SUM('Top 15'!$B$35:$E$35)&lt;=0),"",ROUND(85*(O2437/30*'Top 15'!$B$35+P2437/25*'Top 15'!$C$35+Q2437/25*'Top 15'!$D$35+R2437/5*'Top 15'!$E$35)/SUM('Top 15'!$B$35:$E$35),6))</x:f>
      </x:c>
      <x:c r="U2437" s="1" t="str">
        <x:f>IF(A2437="","",IF(AND(M2437="Verified",N2437="Verified"),"Verified",IF(AND(M2437="Listed",N2437="Listed"),"Listed","Mixed")))</x:f>
      </x:c>
      <x:c r="V2437" s="1" t="str">
        <x:f>IF(A2437="","",IF(AK2437&lt;&gt;1,"Duplicate source ID",IF(COUNTIFS('Staff Review'!$A$8:$A$507,A2437)&gt;1,"Duplicate review ID",IF(H2437&lt;&gt;"Yes","Outside scope",IF(J2437="Yes","Already served",IF(NOT(ISNUMBER(T2437)),"Missing data","Candidate"))))))</x:f>
      </x:c>
      <x:c r="W2437" s="1" t="str">
        <x:f>IF(AL2437=0,"",1+COUNTIFS($AL$2051:$AL$2550,1,$T$2051:$T$2550,"&gt;"&amp;T2437)+COUNTIFS($AL$2051:$AL$2550,1,$T$2051:$T$2550,T2437,$G$2051:$G$2550,"&gt;"&amp;G2437)+COUNTIFS($AL$2051:$AL$2550,1,$T$2051:$T$2550,T2437,$G$2051:$G$2550,G2437,$F$2051:$F$2550,"&gt;"&amp;F2437)+COUNTIFS($AL$2051:$AL$2550,1,$T$2051:$T$2550,T2437,$G$2051:$G$2550,G2437,$F$2051:$F$2550,F2437,$AM$2051:$AM$2550,"&lt;"&amp;AM2437))</x:f>
      </x:c>
      <x:c r="X2437" s="1" t="str">
        <x:f>IF(AL2437=0,"",1+COUNTIFS($AL$2051:$AL$2550,1,$T$2051:$T$2550,"&gt;"&amp;T2437))</x:f>
      </x:c>
      <x:c r="Y2437" s="1" t="n">
        <x:f>IF(AND(H2437="Yes",OR(LEN('School Search'!$B$5)=0,ISNUMBER(SEARCH('School Search'!$B$5,B2437&amp;" "&amp;E2437&amp;" "&amp;A2437))),OR('School Search'!$D$5="All",C2437='School Search'!$D$5),OR('School Search'!$G$5="All eligible",AND('School Search'!$G$5="Not marked served",J2437&lt;&gt;"Yes"),AND('School Search'!$G$5="Missing data",V2437="Missing data"),AND('School Search'!$G$5="Marked served",J2437="Yes"))),1,0)</x:f>
        <x:v>0</x:v>
      </x:c>
      <x:c r="Z2437" s="1" t="str">
        <x:f>IF(Y2437=0,"",COUNTIFS($Y$2051:$Y$2550,1,$AO$2051:$AO$2550,"&lt;"&amp;AO2437)+COUNTIFS($Y$2051:Y2437,1,$AO$2051:AO2437,AO2437))</x:f>
      </x:c>
      <x:c r="AA2437" s="1" t="str">
        <x:f>IF(NOT(ISNUMBER(S2437)),"Missing demographic or access input",TEXT(G2437,"0%")&amp;" economic need; "&amp;TEXT(K2437,"0.00")&amp;" mi fresh access; "&amp;L2437&amp;" nearby resources")</x:f>
        <x:v>Missing demographic or access input</x:v>
      </x:c>
      <x:c r="AB2437" s="1" t="n">
        <x:f>IF(OR(A2437="",COUNTIFS($A$1531:$A$2030,A2437)&lt;&gt;1),0,MATCH(A2437,$A$1531:$A$2030,0))</x:f>
        <x:v>0</x:v>
      </x:c>
      <x:c r="AC2437" s="1" t="str">
        <x:f>IF(AB2437=0,"",INDEX($E$1531:$E$2030,AB2437))</x:f>
      </x:c>
      <x:c r="AD2437" s="1" t="str">
        <x:f>IF(AB2437=0,"",INDEX($F$1531:$F$2030,AB2437))</x:f>
      </x:c>
      <x:c r="AE2437" s="1" t="str">
        <x:f>IF(A2437="","",F388)</x:f>
      </x:c>
      <x:c r="AF2437" s="1" t="str">
        <x:f>IF(ISNUMBER(I388),I388,"")</x:f>
      </x:c>
      <x:c r="AG2437" s="1" t="str">
        <x:f>IF(ISNUMBER(J388),J388,"")</x:f>
      </x:c>
      <x:c r="AH2437" s="1" t="str">
        <x:f>IF(I2437=0,"Not contacted",IF(INDEX('Staff Review'!$J$8:$J$507,I2437)="","Not contacted",INDEX('Staff Review'!$J$8:$J$507,I2437)))</x:f>
        <x:v>Not contacted</x:v>
      </x:c>
      <x:c r="AI2437" s="1" t="str">
        <x:f>IF(I2437=0,"No",IF(AND(COUNT(INDEX('Staff Review'!$D$8:$D$507,I2437))=1,INDEX('Staff Review'!$D$8:$D$507,I2437)&gt;=0,COUNT(INDEX('Staff Review'!$E$8:$E$507,I2437))=1,INDEX('Staff Review'!$E$8:$E$507,I2437)&gt;0,INDEX('Staff Review'!$E$8:$E$507,I2437)&lt;='Top 15'!$E$5,'Top 15'!$E$5-INDEX('Staff Review'!$E$8:$E$507,I2437)&lt;='Top 15'!$H$5,LEN(INDEX('Staff Review'!$H$8:$H$507,I2437))&gt;0),"Yes","No"))</x:f>
        <x:v>No</x:v>
      </x:c>
      <x:c r="AJ2437" s="1" t="str">
        <x:f>IF(I2437=0,"No",IF(COUNT(INDEX('Staff Review'!$F$8:$F$507,I2437))&lt;&gt;1,"No",IF(AND(INDEX('Staff Review'!$F$8:$F$507,I2437)&gt;=0,MOD(INDEX('Staff Review'!$F$8:$F$507,I2437),1)=0,COUNT(INDEX('Staff Review'!$G$8:$G$507,I2437))=1,INDEX('Staff Review'!$G$8:$G$507,I2437)&gt;0,INDEX('Staff Review'!$G$8:$G$507,I2437)&lt;='Top 15'!$E$5,'Top 15'!$E$5-INDEX('Staff Review'!$G$8:$G$507,I2437)&lt;='Top 15'!$H$5,LEN(INDEX('Staff Review'!$H$8:$H$507,I2437))&gt;0),"Yes","No")))</x:f>
        <x:v>No</x:v>
      </x:c>
      <x:c r="AK2437" s="1" t="n">
        <x:f>IF(A2437="",0,COUNTIFS($A$2:$A$501,A2437))</x:f>
        <x:v>0</x:v>
      </x:c>
      <x:c r="AL2437" s="1" t="n">
        <x:f>IF(V2437="Candidate",1,0)</x:f>
        <x:v>0</x:v>
      </x:c>
      <x:c r="AM2437" s="1" t="n">
        <x:f>IF(A2437="",0,VALUE(A2437))</x:f>
        <x:v>0</x:v>
      </x:c>
      <x:c r="AN2437" s="1" t="n">
        <x:f>IF(OR(A2437="",COUNTIFS($T$41:$T$540,A2437)&lt;&gt;1),0,MATCH(A2437,$T$41:$T$540,0))</x:f>
        <x:v>0</x:v>
      </x:c>
      <x:c r="AO2437" t="n">
        <x:f>IF(ISNUMBER(W2437),W2437,10000+AM2437)</x:f>
        <x:v>10000</x:v>
      </x:c>
    </x:row>
    <x:row r="2438" ht="22" customHeight="1">
      <x:c r="A2438" s="1" t="str">
        <x:f>IF(A389="","",A389)</x:f>
      </x:c>
      <x:c r="B2438" s="1" t="str">
        <x:f>IF(A2438="","",B389)</x:f>
      </x:c>
      <x:c r="C2438" s="1" t="str">
        <x:f>IF(A2438="","",C389)</x:f>
      </x:c>
      <x:c r="D2438" s="1" t="str">
        <x:f>IF(A2438="","",E389)</x:f>
      </x:c>
      <x:c r="E2438" s="1" t="str">
        <x:f>IF(A2438="","",H389)</x:f>
      </x:c>
      <x:c r="F2438" s="1" t="str">
        <x:f>IF(ISNUMBER(K389),K389,"")</x:f>
      </x:c>
      <x:c r="G2438" s="1" t="str">
        <x:f>IF(ISNUMBER(L389),L389,"")</x:f>
      </x:c>
      <x:c r="H2438" s="1" t="str">
        <x:f>IF(A2438="","",IF(AND(UPPER(G389)="PHILADELPHIA",OR(C2438="District",AND(C2438="Charter",D389="Yes"))),"Yes","No"))</x:f>
      </x:c>
      <x:c r="I2438" s="1" t="n">
        <x:f>IF(OR(A2438="",COUNTIFS('Staff Review'!$A$8:$A$507,A2438)&lt;&gt;1),0,MATCH(A2438,'Staff Review'!$A$8:$A$507,0))</x:f>
        <x:v>0</x:v>
      </x:c>
      <x:c r="J2438" s="1" t="str">
        <x:f>IF(I2438=0,"No",IF(INDEX('Staff Review'!$C$8:$C$507,I2438)="Yes","Yes","No"))</x:f>
        <x:v>No</x:v>
      </x:c>
      <x:c r="K2438" s="1" t="str">
        <x:f>IF(AI2438="Yes",INDEX('Staff Review'!$D$8:$D$507,I2438),IF(AB2438=0,"",IF(COUNT(INDEX($C$1531:$C$2030,AB2438))=1,INDEX($C$1531:$C$2030,AB2438),"")))</x:f>
      </x:c>
      <x:c r="L2438" s="1" t="str">
        <x:f>IF(AJ2438="Yes",INDEX('Staff Review'!$F$8:$F$507,I2438),IF(AB2438=0,"",IF(COUNT(INDEX($G$1531:$G$2030,AB2438))=1,INDEX($G$1531:$G$2030,AB2438),"")))</x:f>
      </x:c>
      <x:c r="M2438" s="1" t="str">
        <x:f>IF(A2438="","",IF(AI2438="Yes","Verified","Listed"))</x:f>
      </x:c>
      <x:c r="N2438" s="1" t="str">
        <x:f>IF(A2438="","",IF(AJ2438="Yes","Verified","Listed"))</x:f>
      </x:c>
      <x:c r="O2438" s="1" t="str">
        <x:f>IF(AND(ISNUMBER(G2438),G2438&gt;=0,G2438&lt;=1),IF(G2438&gt;=0.9,30,IF(G2438&gt;=0.8,25,IF(G2438&gt;=0.7,20,IF(G2438&gt;=0.6,15,IF(G2438&gt;=0.5,10,IF(G2438&gt;=0.4,5,0)))))),"")</x:f>
      </x:c>
      <x:c r="P2438" s="1" t="str">
        <x:f>IF(ISNUMBER(K2438),IF(K2438&lt;0,"",IF(K2438&gt;1,25,IF(K2438&gt;=0.75,20,IF(K2438&gt;=0.5,15,IF(K2438&gt;=0.25,10,5))))),"")</x:f>
      </x:c>
      <x:c r="Q2438" s="1" t="str">
        <x:f>IF(NOT(ISNUMBER(L2438)),"",IF(AND(L2438&gt;=0,MOD(L2438,1)=0),MAX(0,25-5*L2438),""))</x:f>
      </x:c>
      <x:c r="R2438" s="1" t="str">
        <x:f>IF(NOT(ISNUMBER(F2438)),"",IF(AND(F2438&gt;0,MOD(F2438,1)=0),IF(F2438&gt;=700,5,IF(F2438&gt;=500,4,IF(F2438&gt;=350,3,IF(F2438&gt;=200,2,1)))),""))</x:f>
      </x:c>
      <x:c r="S2438" s="1" t="str">
        <x:f>IF(COUNT(O2438:R2438)=4,SUM(O2438:R2438),"")</x:f>
      </x:c>
      <x:c r="T2438" s="1" t="str">
        <x:f>IF(OR(COUNT(O2438:R2438)&lt;&gt;4,COUNT('Top 15'!$B$35:$E$35)&lt;&gt;4,MIN('Top 15'!$B$35:$E$35)&lt;0,SUM('Top 15'!$B$35:$E$35)&lt;=0),"",ROUND(85*(O2438/30*'Top 15'!$B$35+P2438/25*'Top 15'!$C$35+Q2438/25*'Top 15'!$D$35+R2438/5*'Top 15'!$E$35)/SUM('Top 15'!$B$35:$E$35),6))</x:f>
      </x:c>
      <x:c r="U2438" s="1" t="str">
        <x:f>IF(A2438="","",IF(AND(M2438="Verified",N2438="Verified"),"Verified",IF(AND(M2438="Listed",N2438="Listed"),"Listed","Mixed")))</x:f>
      </x:c>
      <x:c r="V2438" s="1" t="str">
        <x:f>IF(A2438="","",IF(AK2438&lt;&gt;1,"Duplicate source ID",IF(COUNTIFS('Staff Review'!$A$8:$A$507,A2438)&gt;1,"Duplicate review ID",IF(H2438&lt;&gt;"Yes","Outside scope",IF(J2438="Yes","Already served",IF(NOT(ISNUMBER(T2438)),"Missing data","Candidate"))))))</x:f>
      </x:c>
      <x:c r="W2438" s="1" t="str">
        <x:f>IF(AL2438=0,"",1+COUNTIFS($AL$2051:$AL$2550,1,$T$2051:$T$2550,"&gt;"&amp;T2438)+COUNTIFS($AL$2051:$AL$2550,1,$T$2051:$T$2550,T2438,$G$2051:$G$2550,"&gt;"&amp;G2438)+COUNTIFS($AL$2051:$AL$2550,1,$T$2051:$T$2550,T2438,$G$2051:$G$2550,G2438,$F$2051:$F$2550,"&gt;"&amp;F2438)+COUNTIFS($AL$2051:$AL$2550,1,$T$2051:$T$2550,T2438,$G$2051:$G$2550,G2438,$F$2051:$F$2550,F2438,$AM$2051:$AM$2550,"&lt;"&amp;AM2438))</x:f>
      </x:c>
      <x:c r="X2438" s="1" t="str">
        <x:f>IF(AL2438=0,"",1+COUNTIFS($AL$2051:$AL$2550,1,$T$2051:$T$2550,"&gt;"&amp;T2438))</x:f>
      </x:c>
      <x:c r="Y2438" s="1" t="n">
        <x:f>IF(AND(H2438="Yes",OR(LEN('School Search'!$B$5)=0,ISNUMBER(SEARCH('School Search'!$B$5,B2438&amp;" "&amp;E2438&amp;" "&amp;A2438))),OR('School Search'!$D$5="All",C2438='School Search'!$D$5),OR('School Search'!$G$5="All eligible",AND('School Search'!$G$5="Not marked served",J2438&lt;&gt;"Yes"),AND('School Search'!$G$5="Missing data",V2438="Missing data"),AND('School Search'!$G$5="Marked served",J2438="Yes"))),1,0)</x:f>
        <x:v>0</x:v>
      </x:c>
      <x:c r="Z2438" s="1" t="str">
        <x:f>IF(Y2438=0,"",COUNTIFS($Y$2051:$Y$2550,1,$AO$2051:$AO$2550,"&lt;"&amp;AO2438)+COUNTIFS($Y$2051:Y2438,1,$AO$2051:AO2438,AO2438))</x:f>
      </x:c>
      <x:c r="AA2438" s="1" t="str">
        <x:f>IF(NOT(ISNUMBER(S2438)),"Missing demographic or access input",TEXT(G2438,"0%")&amp;" economic need; "&amp;TEXT(K2438,"0.00")&amp;" mi fresh access; "&amp;L2438&amp;" nearby resources")</x:f>
        <x:v>Missing demographic or access input</x:v>
      </x:c>
      <x:c r="AB2438" s="1" t="n">
        <x:f>IF(OR(A2438="",COUNTIFS($A$1531:$A$2030,A2438)&lt;&gt;1),0,MATCH(A2438,$A$1531:$A$2030,0))</x:f>
        <x:v>0</x:v>
      </x:c>
      <x:c r="AC2438" s="1" t="str">
        <x:f>IF(AB2438=0,"",INDEX($E$1531:$E$2030,AB2438))</x:f>
      </x:c>
      <x:c r="AD2438" s="1" t="str">
        <x:f>IF(AB2438=0,"",INDEX($F$1531:$F$2030,AB2438))</x:f>
      </x:c>
      <x:c r="AE2438" s="1" t="str">
        <x:f>IF(A2438="","",F389)</x:f>
      </x:c>
      <x:c r="AF2438" s="1" t="str">
        <x:f>IF(ISNUMBER(I389),I389,"")</x:f>
      </x:c>
      <x:c r="AG2438" s="1" t="str">
        <x:f>IF(ISNUMBER(J389),J389,"")</x:f>
      </x:c>
      <x:c r="AH2438" s="1" t="str">
        <x:f>IF(I2438=0,"Not contacted",IF(INDEX('Staff Review'!$J$8:$J$507,I2438)="","Not contacted",INDEX('Staff Review'!$J$8:$J$507,I2438)))</x:f>
        <x:v>Not contacted</x:v>
      </x:c>
      <x:c r="AI2438" s="1" t="str">
        <x:f>IF(I2438=0,"No",IF(AND(COUNT(INDEX('Staff Review'!$D$8:$D$507,I2438))=1,INDEX('Staff Review'!$D$8:$D$507,I2438)&gt;=0,COUNT(INDEX('Staff Review'!$E$8:$E$507,I2438))=1,INDEX('Staff Review'!$E$8:$E$507,I2438)&gt;0,INDEX('Staff Review'!$E$8:$E$507,I2438)&lt;='Top 15'!$E$5,'Top 15'!$E$5-INDEX('Staff Review'!$E$8:$E$507,I2438)&lt;='Top 15'!$H$5,LEN(INDEX('Staff Review'!$H$8:$H$507,I2438))&gt;0),"Yes","No"))</x:f>
        <x:v>No</x:v>
      </x:c>
      <x:c r="AJ2438" s="1" t="str">
        <x:f>IF(I2438=0,"No",IF(COUNT(INDEX('Staff Review'!$F$8:$F$507,I2438))&lt;&gt;1,"No",IF(AND(INDEX('Staff Review'!$F$8:$F$507,I2438)&gt;=0,MOD(INDEX('Staff Review'!$F$8:$F$507,I2438),1)=0,COUNT(INDEX('Staff Review'!$G$8:$G$507,I2438))=1,INDEX('Staff Review'!$G$8:$G$507,I2438)&gt;0,INDEX('Staff Review'!$G$8:$G$507,I2438)&lt;='Top 15'!$E$5,'Top 15'!$E$5-INDEX('Staff Review'!$G$8:$G$507,I2438)&lt;='Top 15'!$H$5,LEN(INDEX('Staff Review'!$H$8:$H$507,I2438))&gt;0),"Yes","No")))</x:f>
        <x:v>No</x:v>
      </x:c>
      <x:c r="AK2438" s="1" t="n">
        <x:f>IF(A2438="",0,COUNTIFS($A$2:$A$501,A2438))</x:f>
        <x:v>0</x:v>
      </x:c>
      <x:c r="AL2438" s="1" t="n">
        <x:f>IF(V2438="Candidate",1,0)</x:f>
        <x:v>0</x:v>
      </x:c>
      <x:c r="AM2438" s="1" t="n">
        <x:f>IF(A2438="",0,VALUE(A2438))</x:f>
        <x:v>0</x:v>
      </x:c>
      <x:c r="AN2438" s="1" t="n">
        <x:f>IF(OR(A2438="",COUNTIFS($T$41:$T$540,A2438)&lt;&gt;1),0,MATCH(A2438,$T$41:$T$540,0))</x:f>
        <x:v>0</x:v>
      </x:c>
      <x:c r="AO2438" t="n">
        <x:f>IF(ISNUMBER(W2438),W2438,10000+AM2438)</x:f>
        <x:v>10000</x:v>
      </x:c>
    </x:row>
    <x:row r="2439" ht="22" customHeight="1">
      <x:c r="A2439" s="1" t="str">
        <x:f>IF(A390="","",A390)</x:f>
      </x:c>
      <x:c r="B2439" s="1" t="str">
        <x:f>IF(A2439="","",B390)</x:f>
      </x:c>
      <x:c r="C2439" s="1" t="str">
        <x:f>IF(A2439="","",C390)</x:f>
      </x:c>
      <x:c r="D2439" s="1" t="str">
        <x:f>IF(A2439="","",E390)</x:f>
      </x:c>
      <x:c r="E2439" s="1" t="str">
        <x:f>IF(A2439="","",H390)</x:f>
      </x:c>
      <x:c r="F2439" s="1" t="str">
        <x:f>IF(ISNUMBER(K390),K390,"")</x:f>
      </x:c>
      <x:c r="G2439" s="1" t="str">
        <x:f>IF(ISNUMBER(L390),L390,"")</x:f>
      </x:c>
      <x:c r="H2439" s="1" t="str">
        <x:f>IF(A2439="","",IF(AND(UPPER(G390)="PHILADELPHIA",OR(C2439="District",AND(C2439="Charter",D390="Yes"))),"Yes","No"))</x:f>
      </x:c>
      <x:c r="I2439" s="1" t="n">
        <x:f>IF(OR(A2439="",COUNTIFS('Staff Review'!$A$8:$A$507,A2439)&lt;&gt;1),0,MATCH(A2439,'Staff Review'!$A$8:$A$507,0))</x:f>
        <x:v>0</x:v>
      </x:c>
      <x:c r="J2439" s="1" t="str">
        <x:f>IF(I2439=0,"No",IF(INDEX('Staff Review'!$C$8:$C$507,I2439)="Yes","Yes","No"))</x:f>
        <x:v>No</x:v>
      </x:c>
      <x:c r="K2439" s="1" t="str">
        <x:f>IF(AI2439="Yes",INDEX('Staff Review'!$D$8:$D$507,I2439),IF(AB2439=0,"",IF(COUNT(INDEX($C$1531:$C$2030,AB2439))=1,INDEX($C$1531:$C$2030,AB2439),"")))</x:f>
      </x:c>
      <x:c r="L2439" s="1" t="str">
        <x:f>IF(AJ2439="Yes",INDEX('Staff Review'!$F$8:$F$507,I2439),IF(AB2439=0,"",IF(COUNT(INDEX($G$1531:$G$2030,AB2439))=1,INDEX($G$1531:$G$2030,AB2439),"")))</x:f>
      </x:c>
      <x:c r="M2439" s="1" t="str">
        <x:f>IF(A2439="","",IF(AI2439="Yes","Verified","Listed"))</x:f>
      </x:c>
      <x:c r="N2439" s="1" t="str">
        <x:f>IF(A2439="","",IF(AJ2439="Yes","Verified","Listed"))</x:f>
      </x:c>
      <x:c r="O2439" s="1" t="str">
        <x:f>IF(AND(ISNUMBER(G2439),G2439&gt;=0,G2439&lt;=1),IF(G2439&gt;=0.9,30,IF(G2439&gt;=0.8,25,IF(G2439&gt;=0.7,20,IF(G2439&gt;=0.6,15,IF(G2439&gt;=0.5,10,IF(G2439&gt;=0.4,5,0)))))),"")</x:f>
      </x:c>
      <x:c r="P2439" s="1" t="str">
        <x:f>IF(ISNUMBER(K2439),IF(K2439&lt;0,"",IF(K2439&gt;1,25,IF(K2439&gt;=0.75,20,IF(K2439&gt;=0.5,15,IF(K2439&gt;=0.25,10,5))))),"")</x:f>
      </x:c>
      <x:c r="Q2439" s="1" t="str">
        <x:f>IF(NOT(ISNUMBER(L2439)),"",IF(AND(L2439&gt;=0,MOD(L2439,1)=0),MAX(0,25-5*L2439),""))</x:f>
      </x:c>
      <x:c r="R2439" s="1" t="str">
        <x:f>IF(NOT(ISNUMBER(F2439)),"",IF(AND(F2439&gt;0,MOD(F2439,1)=0),IF(F2439&gt;=700,5,IF(F2439&gt;=500,4,IF(F2439&gt;=350,3,IF(F2439&gt;=200,2,1)))),""))</x:f>
      </x:c>
      <x:c r="S2439" s="1" t="str">
        <x:f>IF(COUNT(O2439:R2439)=4,SUM(O2439:R2439),"")</x:f>
      </x:c>
      <x:c r="T2439" s="1" t="str">
        <x:f>IF(OR(COUNT(O2439:R2439)&lt;&gt;4,COUNT('Top 15'!$B$35:$E$35)&lt;&gt;4,MIN('Top 15'!$B$35:$E$35)&lt;0,SUM('Top 15'!$B$35:$E$35)&lt;=0),"",ROUND(85*(O2439/30*'Top 15'!$B$35+P2439/25*'Top 15'!$C$35+Q2439/25*'Top 15'!$D$35+R2439/5*'Top 15'!$E$35)/SUM('Top 15'!$B$35:$E$35),6))</x:f>
      </x:c>
      <x:c r="U2439" s="1" t="str">
        <x:f>IF(A2439="","",IF(AND(M2439="Verified",N2439="Verified"),"Verified",IF(AND(M2439="Listed",N2439="Listed"),"Listed","Mixed")))</x:f>
      </x:c>
      <x:c r="V2439" s="1" t="str">
        <x:f>IF(A2439="","",IF(AK2439&lt;&gt;1,"Duplicate source ID",IF(COUNTIFS('Staff Review'!$A$8:$A$507,A2439)&gt;1,"Duplicate review ID",IF(H2439&lt;&gt;"Yes","Outside scope",IF(J2439="Yes","Already served",IF(NOT(ISNUMBER(T2439)),"Missing data","Candidate"))))))</x:f>
      </x:c>
      <x:c r="W2439" s="1" t="str">
        <x:f>IF(AL2439=0,"",1+COUNTIFS($AL$2051:$AL$2550,1,$T$2051:$T$2550,"&gt;"&amp;T2439)+COUNTIFS($AL$2051:$AL$2550,1,$T$2051:$T$2550,T2439,$G$2051:$G$2550,"&gt;"&amp;G2439)+COUNTIFS($AL$2051:$AL$2550,1,$T$2051:$T$2550,T2439,$G$2051:$G$2550,G2439,$F$2051:$F$2550,"&gt;"&amp;F2439)+COUNTIFS($AL$2051:$AL$2550,1,$T$2051:$T$2550,T2439,$G$2051:$G$2550,G2439,$F$2051:$F$2550,F2439,$AM$2051:$AM$2550,"&lt;"&amp;AM2439))</x:f>
      </x:c>
      <x:c r="X2439" s="1" t="str">
        <x:f>IF(AL2439=0,"",1+COUNTIFS($AL$2051:$AL$2550,1,$T$2051:$T$2550,"&gt;"&amp;T2439))</x:f>
      </x:c>
      <x:c r="Y2439" s="1" t="n">
        <x:f>IF(AND(H2439="Yes",OR(LEN('School Search'!$B$5)=0,ISNUMBER(SEARCH('School Search'!$B$5,B2439&amp;" "&amp;E2439&amp;" "&amp;A2439))),OR('School Search'!$D$5="All",C2439='School Search'!$D$5),OR('School Search'!$G$5="All eligible",AND('School Search'!$G$5="Not marked served",J2439&lt;&gt;"Yes"),AND('School Search'!$G$5="Missing data",V2439="Missing data"),AND('School Search'!$G$5="Marked served",J2439="Yes"))),1,0)</x:f>
        <x:v>0</x:v>
      </x:c>
      <x:c r="Z2439" s="1" t="str">
        <x:f>IF(Y2439=0,"",COUNTIFS($Y$2051:$Y$2550,1,$AO$2051:$AO$2550,"&lt;"&amp;AO2439)+COUNTIFS($Y$2051:Y2439,1,$AO$2051:AO2439,AO2439))</x:f>
      </x:c>
      <x:c r="AA2439" s="1" t="str">
        <x:f>IF(NOT(ISNUMBER(S2439)),"Missing demographic or access input",TEXT(G2439,"0%")&amp;" economic need; "&amp;TEXT(K2439,"0.00")&amp;" mi fresh access; "&amp;L2439&amp;" nearby resources")</x:f>
        <x:v>Missing demographic or access input</x:v>
      </x:c>
      <x:c r="AB2439" s="1" t="n">
        <x:f>IF(OR(A2439="",COUNTIFS($A$1531:$A$2030,A2439)&lt;&gt;1),0,MATCH(A2439,$A$1531:$A$2030,0))</x:f>
        <x:v>0</x:v>
      </x:c>
      <x:c r="AC2439" s="1" t="str">
        <x:f>IF(AB2439=0,"",INDEX($E$1531:$E$2030,AB2439))</x:f>
      </x:c>
      <x:c r="AD2439" s="1" t="str">
        <x:f>IF(AB2439=0,"",INDEX($F$1531:$F$2030,AB2439))</x:f>
      </x:c>
      <x:c r="AE2439" s="1" t="str">
        <x:f>IF(A2439="","",F390)</x:f>
      </x:c>
      <x:c r="AF2439" s="1" t="str">
        <x:f>IF(ISNUMBER(I390),I390,"")</x:f>
      </x:c>
      <x:c r="AG2439" s="1" t="str">
        <x:f>IF(ISNUMBER(J390),J390,"")</x:f>
      </x:c>
      <x:c r="AH2439" s="1" t="str">
        <x:f>IF(I2439=0,"Not contacted",IF(INDEX('Staff Review'!$J$8:$J$507,I2439)="","Not contacted",INDEX('Staff Review'!$J$8:$J$507,I2439)))</x:f>
        <x:v>Not contacted</x:v>
      </x:c>
      <x:c r="AI2439" s="1" t="str">
        <x:f>IF(I2439=0,"No",IF(AND(COUNT(INDEX('Staff Review'!$D$8:$D$507,I2439))=1,INDEX('Staff Review'!$D$8:$D$507,I2439)&gt;=0,COUNT(INDEX('Staff Review'!$E$8:$E$507,I2439))=1,INDEX('Staff Review'!$E$8:$E$507,I2439)&gt;0,INDEX('Staff Review'!$E$8:$E$507,I2439)&lt;='Top 15'!$E$5,'Top 15'!$E$5-INDEX('Staff Review'!$E$8:$E$507,I2439)&lt;='Top 15'!$H$5,LEN(INDEX('Staff Review'!$H$8:$H$507,I2439))&gt;0),"Yes","No"))</x:f>
        <x:v>No</x:v>
      </x:c>
      <x:c r="AJ2439" s="1" t="str">
        <x:f>IF(I2439=0,"No",IF(COUNT(INDEX('Staff Review'!$F$8:$F$507,I2439))&lt;&gt;1,"No",IF(AND(INDEX('Staff Review'!$F$8:$F$507,I2439)&gt;=0,MOD(INDEX('Staff Review'!$F$8:$F$507,I2439),1)=0,COUNT(INDEX('Staff Review'!$G$8:$G$507,I2439))=1,INDEX('Staff Review'!$G$8:$G$507,I2439)&gt;0,INDEX('Staff Review'!$G$8:$G$507,I2439)&lt;='Top 15'!$E$5,'Top 15'!$E$5-INDEX('Staff Review'!$G$8:$G$507,I2439)&lt;='Top 15'!$H$5,LEN(INDEX('Staff Review'!$H$8:$H$507,I2439))&gt;0),"Yes","No")))</x:f>
        <x:v>No</x:v>
      </x:c>
      <x:c r="AK2439" s="1" t="n">
        <x:f>IF(A2439="",0,COUNTIFS($A$2:$A$501,A2439))</x:f>
        <x:v>0</x:v>
      </x:c>
      <x:c r="AL2439" s="1" t="n">
        <x:f>IF(V2439="Candidate",1,0)</x:f>
        <x:v>0</x:v>
      </x:c>
      <x:c r="AM2439" s="1" t="n">
        <x:f>IF(A2439="",0,VALUE(A2439))</x:f>
        <x:v>0</x:v>
      </x:c>
      <x:c r="AN2439" s="1" t="n">
        <x:f>IF(OR(A2439="",COUNTIFS($T$41:$T$540,A2439)&lt;&gt;1),0,MATCH(A2439,$T$41:$T$540,0))</x:f>
        <x:v>0</x:v>
      </x:c>
      <x:c r="AO2439" t="n">
        <x:f>IF(ISNUMBER(W2439),W2439,10000+AM2439)</x:f>
        <x:v>10000</x:v>
      </x:c>
    </x:row>
    <x:row r="2440" ht="22" customHeight="1">
      <x:c r="A2440" s="1" t="str">
        <x:f>IF(A391="","",A391)</x:f>
      </x:c>
      <x:c r="B2440" s="1" t="str">
        <x:f>IF(A2440="","",B391)</x:f>
      </x:c>
      <x:c r="C2440" s="1" t="str">
        <x:f>IF(A2440="","",C391)</x:f>
      </x:c>
      <x:c r="D2440" s="1" t="str">
        <x:f>IF(A2440="","",E391)</x:f>
      </x:c>
      <x:c r="E2440" s="1" t="str">
        <x:f>IF(A2440="","",H391)</x:f>
      </x:c>
      <x:c r="F2440" s="1" t="str">
        <x:f>IF(ISNUMBER(K391),K391,"")</x:f>
      </x:c>
      <x:c r="G2440" s="1" t="str">
        <x:f>IF(ISNUMBER(L391),L391,"")</x:f>
      </x:c>
      <x:c r="H2440" s="1" t="str">
        <x:f>IF(A2440="","",IF(AND(UPPER(G391)="PHILADELPHIA",OR(C2440="District",AND(C2440="Charter",D391="Yes"))),"Yes","No"))</x:f>
      </x:c>
      <x:c r="I2440" s="1" t="n">
        <x:f>IF(OR(A2440="",COUNTIFS('Staff Review'!$A$8:$A$507,A2440)&lt;&gt;1),0,MATCH(A2440,'Staff Review'!$A$8:$A$507,0))</x:f>
        <x:v>0</x:v>
      </x:c>
      <x:c r="J2440" s="1" t="str">
        <x:f>IF(I2440=0,"No",IF(INDEX('Staff Review'!$C$8:$C$507,I2440)="Yes","Yes","No"))</x:f>
        <x:v>No</x:v>
      </x:c>
      <x:c r="K2440" s="1" t="str">
        <x:f>IF(AI2440="Yes",INDEX('Staff Review'!$D$8:$D$507,I2440),IF(AB2440=0,"",IF(COUNT(INDEX($C$1531:$C$2030,AB2440))=1,INDEX($C$1531:$C$2030,AB2440),"")))</x:f>
      </x:c>
      <x:c r="L2440" s="1" t="str">
        <x:f>IF(AJ2440="Yes",INDEX('Staff Review'!$F$8:$F$507,I2440),IF(AB2440=0,"",IF(COUNT(INDEX($G$1531:$G$2030,AB2440))=1,INDEX($G$1531:$G$2030,AB2440),"")))</x:f>
      </x:c>
      <x:c r="M2440" s="1" t="str">
        <x:f>IF(A2440="","",IF(AI2440="Yes","Verified","Listed"))</x:f>
      </x:c>
      <x:c r="N2440" s="1" t="str">
        <x:f>IF(A2440="","",IF(AJ2440="Yes","Verified","Listed"))</x:f>
      </x:c>
      <x:c r="O2440" s="1" t="str">
        <x:f>IF(AND(ISNUMBER(G2440),G2440&gt;=0,G2440&lt;=1),IF(G2440&gt;=0.9,30,IF(G2440&gt;=0.8,25,IF(G2440&gt;=0.7,20,IF(G2440&gt;=0.6,15,IF(G2440&gt;=0.5,10,IF(G2440&gt;=0.4,5,0)))))),"")</x:f>
      </x:c>
      <x:c r="P2440" s="1" t="str">
        <x:f>IF(ISNUMBER(K2440),IF(K2440&lt;0,"",IF(K2440&gt;1,25,IF(K2440&gt;=0.75,20,IF(K2440&gt;=0.5,15,IF(K2440&gt;=0.25,10,5))))),"")</x:f>
      </x:c>
      <x:c r="Q2440" s="1" t="str">
        <x:f>IF(NOT(ISNUMBER(L2440)),"",IF(AND(L2440&gt;=0,MOD(L2440,1)=0),MAX(0,25-5*L2440),""))</x:f>
      </x:c>
      <x:c r="R2440" s="1" t="str">
        <x:f>IF(NOT(ISNUMBER(F2440)),"",IF(AND(F2440&gt;0,MOD(F2440,1)=0),IF(F2440&gt;=700,5,IF(F2440&gt;=500,4,IF(F2440&gt;=350,3,IF(F2440&gt;=200,2,1)))),""))</x:f>
      </x:c>
      <x:c r="S2440" s="1" t="str">
        <x:f>IF(COUNT(O2440:R2440)=4,SUM(O2440:R2440),"")</x:f>
      </x:c>
      <x:c r="T2440" s="1" t="str">
        <x:f>IF(OR(COUNT(O2440:R2440)&lt;&gt;4,COUNT('Top 15'!$B$35:$E$35)&lt;&gt;4,MIN('Top 15'!$B$35:$E$35)&lt;0,SUM('Top 15'!$B$35:$E$35)&lt;=0),"",ROUND(85*(O2440/30*'Top 15'!$B$35+P2440/25*'Top 15'!$C$35+Q2440/25*'Top 15'!$D$35+R2440/5*'Top 15'!$E$35)/SUM('Top 15'!$B$35:$E$35),6))</x:f>
      </x:c>
      <x:c r="U2440" s="1" t="str">
        <x:f>IF(A2440="","",IF(AND(M2440="Verified",N2440="Verified"),"Verified",IF(AND(M2440="Listed",N2440="Listed"),"Listed","Mixed")))</x:f>
      </x:c>
      <x:c r="V2440" s="1" t="str">
        <x:f>IF(A2440="","",IF(AK2440&lt;&gt;1,"Duplicate source ID",IF(COUNTIFS('Staff Review'!$A$8:$A$507,A2440)&gt;1,"Duplicate review ID",IF(H2440&lt;&gt;"Yes","Outside scope",IF(J2440="Yes","Already served",IF(NOT(ISNUMBER(T2440)),"Missing data","Candidate"))))))</x:f>
      </x:c>
      <x:c r="W2440" s="1" t="str">
        <x:f>IF(AL2440=0,"",1+COUNTIFS($AL$2051:$AL$2550,1,$T$2051:$T$2550,"&gt;"&amp;T2440)+COUNTIFS($AL$2051:$AL$2550,1,$T$2051:$T$2550,T2440,$G$2051:$G$2550,"&gt;"&amp;G2440)+COUNTIFS($AL$2051:$AL$2550,1,$T$2051:$T$2550,T2440,$G$2051:$G$2550,G2440,$F$2051:$F$2550,"&gt;"&amp;F2440)+COUNTIFS($AL$2051:$AL$2550,1,$T$2051:$T$2550,T2440,$G$2051:$G$2550,G2440,$F$2051:$F$2550,F2440,$AM$2051:$AM$2550,"&lt;"&amp;AM2440))</x:f>
      </x:c>
      <x:c r="X2440" s="1" t="str">
        <x:f>IF(AL2440=0,"",1+COUNTIFS($AL$2051:$AL$2550,1,$T$2051:$T$2550,"&gt;"&amp;T2440))</x:f>
      </x:c>
      <x:c r="Y2440" s="1" t="n">
        <x:f>IF(AND(H2440="Yes",OR(LEN('School Search'!$B$5)=0,ISNUMBER(SEARCH('School Search'!$B$5,B2440&amp;" "&amp;E2440&amp;" "&amp;A2440))),OR('School Search'!$D$5="All",C2440='School Search'!$D$5),OR('School Search'!$G$5="All eligible",AND('School Search'!$G$5="Not marked served",J2440&lt;&gt;"Yes"),AND('School Search'!$G$5="Missing data",V2440="Missing data"),AND('School Search'!$G$5="Marked served",J2440="Yes"))),1,0)</x:f>
        <x:v>0</x:v>
      </x:c>
      <x:c r="Z2440" s="1" t="str">
        <x:f>IF(Y2440=0,"",COUNTIFS($Y$2051:$Y$2550,1,$AO$2051:$AO$2550,"&lt;"&amp;AO2440)+COUNTIFS($Y$2051:Y2440,1,$AO$2051:AO2440,AO2440))</x:f>
      </x:c>
      <x:c r="AA2440" s="1" t="str">
        <x:f>IF(NOT(ISNUMBER(S2440)),"Missing demographic or access input",TEXT(G2440,"0%")&amp;" economic need; "&amp;TEXT(K2440,"0.00")&amp;" mi fresh access; "&amp;L2440&amp;" nearby resources")</x:f>
        <x:v>Missing demographic or access input</x:v>
      </x:c>
      <x:c r="AB2440" s="1" t="n">
        <x:f>IF(OR(A2440="",COUNTIFS($A$1531:$A$2030,A2440)&lt;&gt;1),0,MATCH(A2440,$A$1531:$A$2030,0))</x:f>
        <x:v>0</x:v>
      </x:c>
      <x:c r="AC2440" s="1" t="str">
        <x:f>IF(AB2440=0,"",INDEX($E$1531:$E$2030,AB2440))</x:f>
      </x:c>
      <x:c r="AD2440" s="1" t="str">
        <x:f>IF(AB2440=0,"",INDEX($F$1531:$F$2030,AB2440))</x:f>
      </x:c>
      <x:c r="AE2440" s="1" t="str">
        <x:f>IF(A2440="","",F391)</x:f>
      </x:c>
      <x:c r="AF2440" s="1" t="str">
        <x:f>IF(ISNUMBER(I391),I391,"")</x:f>
      </x:c>
      <x:c r="AG2440" s="1" t="str">
        <x:f>IF(ISNUMBER(J391),J391,"")</x:f>
      </x:c>
      <x:c r="AH2440" s="1" t="str">
        <x:f>IF(I2440=0,"Not contacted",IF(INDEX('Staff Review'!$J$8:$J$507,I2440)="","Not contacted",INDEX('Staff Review'!$J$8:$J$507,I2440)))</x:f>
        <x:v>Not contacted</x:v>
      </x:c>
      <x:c r="AI2440" s="1" t="str">
        <x:f>IF(I2440=0,"No",IF(AND(COUNT(INDEX('Staff Review'!$D$8:$D$507,I2440))=1,INDEX('Staff Review'!$D$8:$D$507,I2440)&gt;=0,COUNT(INDEX('Staff Review'!$E$8:$E$507,I2440))=1,INDEX('Staff Review'!$E$8:$E$507,I2440)&gt;0,INDEX('Staff Review'!$E$8:$E$507,I2440)&lt;='Top 15'!$E$5,'Top 15'!$E$5-INDEX('Staff Review'!$E$8:$E$507,I2440)&lt;='Top 15'!$H$5,LEN(INDEX('Staff Review'!$H$8:$H$507,I2440))&gt;0),"Yes","No"))</x:f>
        <x:v>No</x:v>
      </x:c>
      <x:c r="AJ2440" s="1" t="str">
        <x:f>IF(I2440=0,"No",IF(COUNT(INDEX('Staff Review'!$F$8:$F$507,I2440))&lt;&gt;1,"No",IF(AND(INDEX('Staff Review'!$F$8:$F$507,I2440)&gt;=0,MOD(INDEX('Staff Review'!$F$8:$F$507,I2440),1)=0,COUNT(INDEX('Staff Review'!$G$8:$G$507,I2440))=1,INDEX('Staff Review'!$G$8:$G$507,I2440)&gt;0,INDEX('Staff Review'!$G$8:$G$507,I2440)&lt;='Top 15'!$E$5,'Top 15'!$E$5-INDEX('Staff Review'!$G$8:$G$507,I2440)&lt;='Top 15'!$H$5,LEN(INDEX('Staff Review'!$H$8:$H$507,I2440))&gt;0),"Yes","No")))</x:f>
        <x:v>No</x:v>
      </x:c>
      <x:c r="AK2440" s="1" t="n">
        <x:f>IF(A2440="",0,COUNTIFS($A$2:$A$501,A2440))</x:f>
        <x:v>0</x:v>
      </x:c>
      <x:c r="AL2440" s="1" t="n">
        <x:f>IF(V2440="Candidate",1,0)</x:f>
        <x:v>0</x:v>
      </x:c>
      <x:c r="AM2440" s="1" t="n">
        <x:f>IF(A2440="",0,VALUE(A2440))</x:f>
        <x:v>0</x:v>
      </x:c>
      <x:c r="AN2440" s="1" t="n">
        <x:f>IF(OR(A2440="",COUNTIFS($T$41:$T$540,A2440)&lt;&gt;1),0,MATCH(A2440,$T$41:$T$540,0))</x:f>
        <x:v>0</x:v>
      </x:c>
      <x:c r="AO2440" t="n">
        <x:f>IF(ISNUMBER(W2440),W2440,10000+AM2440)</x:f>
        <x:v>10000</x:v>
      </x:c>
    </x:row>
    <x:row r="2441" ht="22" customHeight="1">
      <x:c r="A2441" s="1" t="str">
        <x:f>IF(A392="","",A392)</x:f>
      </x:c>
      <x:c r="B2441" s="1" t="str">
        <x:f>IF(A2441="","",B392)</x:f>
      </x:c>
      <x:c r="C2441" s="1" t="str">
        <x:f>IF(A2441="","",C392)</x:f>
      </x:c>
      <x:c r="D2441" s="1" t="str">
        <x:f>IF(A2441="","",E392)</x:f>
      </x:c>
      <x:c r="E2441" s="1" t="str">
        <x:f>IF(A2441="","",H392)</x:f>
      </x:c>
      <x:c r="F2441" s="1" t="str">
        <x:f>IF(ISNUMBER(K392),K392,"")</x:f>
      </x:c>
      <x:c r="G2441" s="1" t="str">
        <x:f>IF(ISNUMBER(L392),L392,"")</x:f>
      </x:c>
      <x:c r="H2441" s="1" t="str">
        <x:f>IF(A2441="","",IF(AND(UPPER(G392)="PHILADELPHIA",OR(C2441="District",AND(C2441="Charter",D392="Yes"))),"Yes","No"))</x:f>
      </x:c>
      <x:c r="I2441" s="1" t="n">
        <x:f>IF(OR(A2441="",COUNTIFS('Staff Review'!$A$8:$A$507,A2441)&lt;&gt;1),0,MATCH(A2441,'Staff Review'!$A$8:$A$507,0))</x:f>
        <x:v>0</x:v>
      </x:c>
      <x:c r="J2441" s="1" t="str">
        <x:f>IF(I2441=0,"No",IF(INDEX('Staff Review'!$C$8:$C$507,I2441)="Yes","Yes","No"))</x:f>
        <x:v>No</x:v>
      </x:c>
      <x:c r="K2441" s="1" t="str">
        <x:f>IF(AI2441="Yes",INDEX('Staff Review'!$D$8:$D$507,I2441),IF(AB2441=0,"",IF(COUNT(INDEX($C$1531:$C$2030,AB2441))=1,INDEX($C$1531:$C$2030,AB2441),"")))</x:f>
      </x:c>
      <x:c r="L2441" s="1" t="str">
        <x:f>IF(AJ2441="Yes",INDEX('Staff Review'!$F$8:$F$507,I2441),IF(AB2441=0,"",IF(COUNT(INDEX($G$1531:$G$2030,AB2441))=1,INDEX($G$1531:$G$2030,AB2441),"")))</x:f>
      </x:c>
      <x:c r="M2441" s="1" t="str">
        <x:f>IF(A2441="","",IF(AI2441="Yes","Verified","Listed"))</x:f>
      </x:c>
      <x:c r="N2441" s="1" t="str">
        <x:f>IF(A2441="","",IF(AJ2441="Yes","Verified","Listed"))</x:f>
      </x:c>
      <x:c r="O2441" s="1" t="str">
        <x:f>IF(AND(ISNUMBER(G2441),G2441&gt;=0,G2441&lt;=1),IF(G2441&gt;=0.9,30,IF(G2441&gt;=0.8,25,IF(G2441&gt;=0.7,20,IF(G2441&gt;=0.6,15,IF(G2441&gt;=0.5,10,IF(G2441&gt;=0.4,5,0)))))),"")</x:f>
      </x:c>
      <x:c r="P2441" s="1" t="str">
        <x:f>IF(ISNUMBER(K2441),IF(K2441&lt;0,"",IF(K2441&gt;1,25,IF(K2441&gt;=0.75,20,IF(K2441&gt;=0.5,15,IF(K2441&gt;=0.25,10,5))))),"")</x:f>
      </x:c>
      <x:c r="Q2441" s="1" t="str">
        <x:f>IF(NOT(ISNUMBER(L2441)),"",IF(AND(L2441&gt;=0,MOD(L2441,1)=0),MAX(0,25-5*L2441),""))</x:f>
      </x:c>
      <x:c r="R2441" s="1" t="str">
        <x:f>IF(NOT(ISNUMBER(F2441)),"",IF(AND(F2441&gt;0,MOD(F2441,1)=0),IF(F2441&gt;=700,5,IF(F2441&gt;=500,4,IF(F2441&gt;=350,3,IF(F2441&gt;=200,2,1)))),""))</x:f>
      </x:c>
      <x:c r="S2441" s="1" t="str">
        <x:f>IF(COUNT(O2441:R2441)=4,SUM(O2441:R2441),"")</x:f>
      </x:c>
      <x:c r="T2441" s="1" t="str">
        <x:f>IF(OR(COUNT(O2441:R2441)&lt;&gt;4,COUNT('Top 15'!$B$35:$E$35)&lt;&gt;4,MIN('Top 15'!$B$35:$E$35)&lt;0,SUM('Top 15'!$B$35:$E$35)&lt;=0),"",ROUND(85*(O2441/30*'Top 15'!$B$35+P2441/25*'Top 15'!$C$35+Q2441/25*'Top 15'!$D$35+R2441/5*'Top 15'!$E$35)/SUM('Top 15'!$B$35:$E$35),6))</x:f>
      </x:c>
      <x:c r="U2441" s="1" t="str">
        <x:f>IF(A2441="","",IF(AND(M2441="Verified",N2441="Verified"),"Verified",IF(AND(M2441="Listed",N2441="Listed"),"Listed","Mixed")))</x:f>
      </x:c>
      <x:c r="V2441" s="1" t="str">
        <x:f>IF(A2441="","",IF(AK2441&lt;&gt;1,"Duplicate source ID",IF(COUNTIFS('Staff Review'!$A$8:$A$507,A2441)&gt;1,"Duplicate review ID",IF(H2441&lt;&gt;"Yes","Outside scope",IF(J2441="Yes","Already served",IF(NOT(ISNUMBER(T2441)),"Missing data","Candidate"))))))</x:f>
      </x:c>
      <x:c r="W2441" s="1" t="str">
        <x:f>IF(AL2441=0,"",1+COUNTIFS($AL$2051:$AL$2550,1,$T$2051:$T$2550,"&gt;"&amp;T2441)+COUNTIFS($AL$2051:$AL$2550,1,$T$2051:$T$2550,T2441,$G$2051:$G$2550,"&gt;"&amp;G2441)+COUNTIFS($AL$2051:$AL$2550,1,$T$2051:$T$2550,T2441,$G$2051:$G$2550,G2441,$F$2051:$F$2550,"&gt;"&amp;F2441)+COUNTIFS($AL$2051:$AL$2550,1,$T$2051:$T$2550,T2441,$G$2051:$G$2550,G2441,$F$2051:$F$2550,F2441,$AM$2051:$AM$2550,"&lt;"&amp;AM2441))</x:f>
      </x:c>
      <x:c r="X2441" s="1" t="str">
        <x:f>IF(AL2441=0,"",1+COUNTIFS($AL$2051:$AL$2550,1,$T$2051:$T$2550,"&gt;"&amp;T2441))</x:f>
      </x:c>
      <x:c r="Y2441" s="1" t="n">
        <x:f>IF(AND(H2441="Yes",OR(LEN('School Search'!$B$5)=0,ISNUMBER(SEARCH('School Search'!$B$5,B2441&amp;" "&amp;E2441&amp;" "&amp;A2441))),OR('School Search'!$D$5="All",C2441='School Search'!$D$5),OR('School Search'!$G$5="All eligible",AND('School Search'!$G$5="Not marked served",J2441&lt;&gt;"Yes"),AND('School Search'!$G$5="Missing data",V2441="Missing data"),AND('School Search'!$G$5="Marked served",J2441="Yes"))),1,0)</x:f>
        <x:v>0</x:v>
      </x:c>
      <x:c r="Z2441" s="1" t="str">
        <x:f>IF(Y2441=0,"",COUNTIFS($Y$2051:$Y$2550,1,$AO$2051:$AO$2550,"&lt;"&amp;AO2441)+COUNTIFS($Y$2051:Y2441,1,$AO$2051:AO2441,AO2441))</x:f>
      </x:c>
      <x:c r="AA2441" s="1" t="str">
        <x:f>IF(NOT(ISNUMBER(S2441)),"Missing demographic or access input",TEXT(G2441,"0%")&amp;" economic need; "&amp;TEXT(K2441,"0.00")&amp;" mi fresh access; "&amp;L2441&amp;" nearby resources")</x:f>
        <x:v>Missing demographic or access input</x:v>
      </x:c>
      <x:c r="AB2441" s="1" t="n">
        <x:f>IF(OR(A2441="",COUNTIFS($A$1531:$A$2030,A2441)&lt;&gt;1),0,MATCH(A2441,$A$1531:$A$2030,0))</x:f>
        <x:v>0</x:v>
      </x:c>
      <x:c r="AC2441" s="1" t="str">
        <x:f>IF(AB2441=0,"",INDEX($E$1531:$E$2030,AB2441))</x:f>
      </x:c>
      <x:c r="AD2441" s="1" t="str">
        <x:f>IF(AB2441=0,"",INDEX($F$1531:$F$2030,AB2441))</x:f>
      </x:c>
      <x:c r="AE2441" s="1" t="str">
        <x:f>IF(A2441="","",F392)</x:f>
      </x:c>
      <x:c r="AF2441" s="1" t="str">
        <x:f>IF(ISNUMBER(I392),I392,"")</x:f>
      </x:c>
      <x:c r="AG2441" s="1" t="str">
        <x:f>IF(ISNUMBER(J392),J392,"")</x:f>
      </x:c>
      <x:c r="AH2441" s="1" t="str">
        <x:f>IF(I2441=0,"Not contacted",IF(INDEX('Staff Review'!$J$8:$J$507,I2441)="","Not contacted",INDEX('Staff Review'!$J$8:$J$507,I2441)))</x:f>
        <x:v>Not contacted</x:v>
      </x:c>
      <x:c r="AI2441" s="1" t="str">
        <x:f>IF(I2441=0,"No",IF(AND(COUNT(INDEX('Staff Review'!$D$8:$D$507,I2441))=1,INDEX('Staff Review'!$D$8:$D$507,I2441)&gt;=0,COUNT(INDEX('Staff Review'!$E$8:$E$507,I2441))=1,INDEX('Staff Review'!$E$8:$E$507,I2441)&gt;0,INDEX('Staff Review'!$E$8:$E$507,I2441)&lt;='Top 15'!$E$5,'Top 15'!$E$5-INDEX('Staff Review'!$E$8:$E$507,I2441)&lt;='Top 15'!$H$5,LEN(INDEX('Staff Review'!$H$8:$H$507,I2441))&gt;0),"Yes","No"))</x:f>
        <x:v>No</x:v>
      </x:c>
      <x:c r="AJ2441" s="1" t="str">
        <x:f>IF(I2441=0,"No",IF(COUNT(INDEX('Staff Review'!$F$8:$F$507,I2441))&lt;&gt;1,"No",IF(AND(INDEX('Staff Review'!$F$8:$F$507,I2441)&gt;=0,MOD(INDEX('Staff Review'!$F$8:$F$507,I2441),1)=0,COUNT(INDEX('Staff Review'!$G$8:$G$507,I2441))=1,INDEX('Staff Review'!$G$8:$G$507,I2441)&gt;0,INDEX('Staff Review'!$G$8:$G$507,I2441)&lt;='Top 15'!$E$5,'Top 15'!$E$5-INDEX('Staff Review'!$G$8:$G$507,I2441)&lt;='Top 15'!$H$5,LEN(INDEX('Staff Review'!$H$8:$H$507,I2441))&gt;0),"Yes","No")))</x:f>
        <x:v>No</x:v>
      </x:c>
      <x:c r="AK2441" s="1" t="n">
        <x:f>IF(A2441="",0,COUNTIFS($A$2:$A$501,A2441))</x:f>
        <x:v>0</x:v>
      </x:c>
      <x:c r="AL2441" s="1" t="n">
        <x:f>IF(V2441="Candidate",1,0)</x:f>
        <x:v>0</x:v>
      </x:c>
      <x:c r="AM2441" s="1" t="n">
        <x:f>IF(A2441="",0,VALUE(A2441))</x:f>
        <x:v>0</x:v>
      </x:c>
      <x:c r="AN2441" s="1" t="n">
        <x:f>IF(OR(A2441="",COUNTIFS($T$41:$T$540,A2441)&lt;&gt;1),0,MATCH(A2441,$T$41:$T$540,0))</x:f>
        <x:v>0</x:v>
      </x:c>
      <x:c r="AO2441" t="n">
        <x:f>IF(ISNUMBER(W2441),W2441,10000+AM2441)</x:f>
        <x:v>10000</x:v>
      </x:c>
    </x:row>
    <x:row r="2442" ht="22" customHeight="1">
      <x:c r="A2442" s="1" t="str">
        <x:f>IF(A393="","",A393)</x:f>
      </x:c>
      <x:c r="B2442" s="1" t="str">
        <x:f>IF(A2442="","",B393)</x:f>
      </x:c>
      <x:c r="C2442" s="1" t="str">
        <x:f>IF(A2442="","",C393)</x:f>
      </x:c>
      <x:c r="D2442" s="1" t="str">
        <x:f>IF(A2442="","",E393)</x:f>
      </x:c>
      <x:c r="E2442" s="1" t="str">
        <x:f>IF(A2442="","",H393)</x:f>
      </x:c>
      <x:c r="F2442" s="1" t="str">
        <x:f>IF(ISNUMBER(K393),K393,"")</x:f>
      </x:c>
      <x:c r="G2442" s="1" t="str">
        <x:f>IF(ISNUMBER(L393),L393,"")</x:f>
      </x:c>
      <x:c r="H2442" s="1" t="str">
        <x:f>IF(A2442="","",IF(AND(UPPER(G393)="PHILADELPHIA",OR(C2442="District",AND(C2442="Charter",D393="Yes"))),"Yes","No"))</x:f>
      </x:c>
      <x:c r="I2442" s="1" t="n">
        <x:f>IF(OR(A2442="",COUNTIFS('Staff Review'!$A$8:$A$507,A2442)&lt;&gt;1),0,MATCH(A2442,'Staff Review'!$A$8:$A$507,0))</x:f>
        <x:v>0</x:v>
      </x:c>
      <x:c r="J2442" s="1" t="str">
        <x:f>IF(I2442=0,"No",IF(INDEX('Staff Review'!$C$8:$C$507,I2442)="Yes","Yes","No"))</x:f>
        <x:v>No</x:v>
      </x:c>
      <x:c r="K2442" s="1" t="str">
        <x:f>IF(AI2442="Yes",INDEX('Staff Review'!$D$8:$D$507,I2442),IF(AB2442=0,"",IF(COUNT(INDEX($C$1531:$C$2030,AB2442))=1,INDEX($C$1531:$C$2030,AB2442),"")))</x:f>
      </x:c>
      <x:c r="L2442" s="1" t="str">
        <x:f>IF(AJ2442="Yes",INDEX('Staff Review'!$F$8:$F$507,I2442),IF(AB2442=0,"",IF(COUNT(INDEX($G$1531:$G$2030,AB2442))=1,INDEX($G$1531:$G$2030,AB2442),"")))</x:f>
      </x:c>
      <x:c r="M2442" s="1" t="str">
        <x:f>IF(A2442="","",IF(AI2442="Yes","Verified","Listed"))</x:f>
      </x:c>
      <x:c r="N2442" s="1" t="str">
        <x:f>IF(A2442="","",IF(AJ2442="Yes","Verified","Listed"))</x:f>
      </x:c>
      <x:c r="O2442" s="1" t="str">
        <x:f>IF(AND(ISNUMBER(G2442),G2442&gt;=0,G2442&lt;=1),IF(G2442&gt;=0.9,30,IF(G2442&gt;=0.8,25,IF(G2442&gt;=0.7,20,IF(G2442&gt;=0.6,15,IF(G2442&gt;=0.5,10,IF(G2442&gt;=0.4,5,0)))))),"")</x:f>
      </x:c>
      <x:c r="P2442" s="1" t="str">
        <x:f>IF(ISNUMBER(K2442),IF(K2442&lt;0,"",IF(K2442&gt;1,25,IF(K2442&gt;=0.75,20,IF(K2442&gt;=0.5,15,IF(K2442&gt;=0.25,10,5))))),"")</x:f>
      </x:c>
      <x:c r="Q2442" s="1" t="str">
        <x:f>IF(NOT(ISNUMBER(L2442)),"",IF(AND(L2442&gt;=0,MOD(L2442,1)=0),MAX(0,25-5*L2442),""))</x:f>
      </x:c>
      <x:c r="R2442" s="1" t="str">
        <x:f>IF(NOT(ISNUMBER(F2442)),"",IF(AND(F2442&gt;0,MOD(F2442,1)=0),IF(F2442&gt;=700,5,IF(F2442&gt;=500,4,IF(F2442&gt;=350,3,IF(F2442&gt;=200,2,1)))),""))</x:f>
      </x:c>
      <x:c r="S2442" s="1" t="str">
        <x:f>IF(COUNT(O2442:R2442)=4,SUM(O2442:R2442),"")</x:f>
      </x:c>
      <x:c r="T2442" s="1" t="str">
        <x:f>IF(OR(COUNT(O2442:R2442)&lt;&gt;4,COUNT('Top 15'!$B$35:$E$35)&lt;&gt;4,MIN('Top 15'!$B$35:$E$35)&lt;0,SUM('Top 15'!$B$35:$E$35)&lt;=0),"",ROUND(85*(O2442/30*'Top 15'!$B$35+P2442/25*'Top 15'!$C$35+Q2442/25*'Top 15'!$D$35+R2442/5*'Top 15'!$E$35)/SUM('Top 15'!$B$35:$E$35),6))</x:f>
      </x:c>
      <x:c r="U2442" s="1" t="str">
        <x:f>IF(A2442="","",IF(AND(M2442="Verified",N2442="Verified"),"Verified",IF(AND(M2442="Listed",N2442="Listed"),"Listed","Mixed")))</x:f>
      </x:c>
      <x:c r="V2442" s="1" t="str">
        <x:f>IF(A2442="","",IF(AK2442&lt;&gt;1,"Duplicate source ID",IF(COUNTIFS('Staff Review'!$A$8:$A$507,A2442)&gt;1,"Duplicate review ID",IF(H2442&lt;&gt;"Yes","Outside scope",IF(J2442="Yes","Already served",IF(NOT(ISNUMBER(T2442)),"Missing data","Candidate"))))))</x:f>
      </x:c>
      <x:c r="W2442" s="1" t="str">
        <x:f>IF(AL2442=0,"",1+COUNTIFS($AL$2051:$AL$2550,1,$T$2051:$T$2550,"&gt;"&amp;T2442)+COUNTIFS($AL$2051:$AL$2550,1,$T$2051:$T$2550,T2442,$G$2051:$G$2550,"&gt;"&amp;G2442)+COUNTIFS($AL$2051:$AL$2550,1,$T$2051:$T$2550,T2442,$G$2051:$G$2550,G2442,$F$2051:$F$2550,"&gt;"&amp;F2442)+COUNTIFS($AL$2051:$AL$2550,1,$T$2051:$T$2550,T2442,$G$2051:$G$2550,G2442,$F$2051:$F$2550,F2442,$AM$2051:$AM$2550,"&lt;"&amp;AM2442))</x:f>
      </x:c>
      <x:c r="X2442" s="1" t="str">
        <x:f>IF(AL2442=0,"",1+COUNTIFS($AL$2051:$AL$2550,1,$T$2051:$T$2550,"&gt;"&amp;T2442))</x:f>
      </x:c>
      <x:c r="Y2442" s="1" t="n">
        <x:f>IF(AND(H2442="Yes",OR(LEN('School Search'!$B$5)=0,ISNUMBER(SEARCH('School Search'!$B$5,B2442&amp;" "&amp;E2442&amp;" "&amp;A2442))),OR('School Search'!$D$5="All",C2442='School Search'!$D$5),OR('School Search'!$G$5="All eligible",AND('School Search'!$G$5="Not marked served",J2442&lt;&gt;"Yes"),AND('School Search'!$G$5="Missing data",V2442="Missing data"),AND('School Search'!$G$5="Marked served",J2442="Yes"))),1,0)</x:f>
        <x:v>0</x:v>
      </x:c>
      <x:c r="Z2442" s="1" t="str">
        <x:f>IF(Y2442=0,"",COUNTIFS($Y$2051:$Y$2550,1,$AO$2051:$AO$2550,"&lt;"&amp;AO2442)+COUNTIFS($Y$2051:Y2442,1,$AO$2051:AO2442,AO2442))</x:f>
      </x:c>
      <x:c r="AA2442" s="1" t="str">
        <x:f>IF(NOT(ISNUMBER(S2442)),"Missing demographic or access input",TEXT(G2442,"0%")&amp;" economic need; "&amp;TEXT(K2442,"0.00")&amp;" mi fresh access; "&amp;L2442&amp;" nearby resources")</x:f>
        <x:v>Missing demographic or access input</x:v>
      </x:c>
      <x:c r="AB2442" s="1" t="n">
        <x:f>IF(OR(A2442="",COUNTIFS($A$1531:$A$2030,A2442)&lt;&gt;1),0,MATCH(A2442,$A$1531:$A$2030,0))</x:f>
        <x:v>0</x:v>
      </x:c>
      <x:c r="AC2442" s="1" t="str">
        <x:f>IF(AB2442=0,"",INDEX($E$1531:$E$2030,AB2442))</x:f>
      </x:c>
      <x:c r="AD2442" s="1" t="str">
        <x:f>IF(AB2442=0,"",INDEX($F$1531:$F$2030,AB2442))</x:f>
      </x:c>
      <x:c r="AE2442" s="1" t="str">
        <x:f>IF(A2442="","",F393)</x:f>
      </x:c>
      <x:c r="AF2442" s="1" t="str">
        <x:f>IF(ISNUMBER(I393),I393,"")</x:f>
      </x:c>
      <x:c r="AG2442" s="1" t="str">
        <x:f>IF(ISNUMBER(J393),J393,"")</x:f>
      </x:c>
      <x:c r="AH2442" s="1" t="str">
        <x:f>IF(I2442=0,"Not contacted",IF(INDEX('Staff Review'!$J$8:$J$507,I2442)="","Not contacted",INDEX('Staff Review'!$J$8:$J$507,I2442)))</x:f>
        <x:v>Not contacted</x:v>
      </x:c>
      <x:c r="AI2442" s="1" t="str">
        <x:f>IF(I2442=0,"No",IF(AND(COUNT(INDEX('Staff Review'!$D$8:$D$507,I2442))=1,INDEX('Staff Review'!$D$8:$D$507,I2442)&gt;=0,COUNT(INDEX('Staff Review'!$E$8:$E$507,I2442))=1,INDEX('Staff Review'!$E$8:$E$507,I2442)&gt;0,INDEX('Staff Review'!$E$8:$E$507,I2442)&lt;='Top 15'!$E$5,'Top 15'!$E$5-INDEX('Staff Review'!$E$8:$E$507,I2442)&lt;='Top 15'!$H$5,LEN(INDEX('Staff Review'!$H$8:$H$507,I2442))&gt;0),"Yes","No"))</x:f>
        <x:v>No</x:v>
      </x:c>
      <x:c r="AJ2442" s="1" t="str">
        <x:f>IF(I2442=0,"No",IF(COUNT(INDEX('Staff Review'!$F$8:$F$507,I2442))&lt;&gt;1,"No",IF(AND(INDEX('Staff Review'!$F$8:$F$507,I2442)&gt;=0,MOD(INDEX('Staff Review'!$F$8:$F$507,I2442),1)=0,COUNT(INDEX('Staff Review'!$G$8:$G$507,I2442))=1,INDEX('Staff Review'!$G$8:$G$507,I2442)&gt;0,INDEX('Staff Review'!$G$8:$G$507,I2442)&lt;='Top 15'!$E$5,'Top 15'!$E$5-INDEX('Staff Review'!$G$8:$G$507,I2442)&lt;='Top 15'!$H$5,LEN(INDEX('Staff Review'!$H$8:$H$507,I2442))&gt;0),"Yes","No")))</x:f>
        <x:v>No</x:v>
      </x:c>
      <x:c r="AK2442" s="1" t="n">
        <x:f>IF(A2442="",0,COUNTIFS($A$2:$A$501,A2442))</x:f>
        <x:v>0</x:v>
      </x:c>
      <x:c r="AL2442" s="1" t="n">
        <x:f>IF(V2442="Candidate",1,0)</x:f>
        <x:v>0</x:v>
      </x:c>
      <x:c r="AM2442" s="1" t="n">
        <x:f>IF(A2442="",0,VALUE(A2442))</x:f>
        <x:v>0</x:v>
      </x:c>
      <x:c r="AN2442" s="1" t="n">
        <x:f>IF(OR(A2442="",COUNTIFS($T$41:$T$540,A2442)&lt;&gt;1),0,MATCH(A2442,$T$41:$T$540,0))</x:f>
        <x:v>0</x:v>
      </x:c>
      <x:c r="AO2442" t="n">
        <x:f>IF(ISNUMBER(W2442),W2442,10000+AM2442)</x:f>
        <x:v>10000</x:v>
      </x:c>
    </x:row>
    <x:row r="2443" ht="22" customHeight="1">
      <x:c r="A2443" s="1" t="str">
        <x:f>IF(A394="","",A394)</x:f>
      </x:c>
      <x:c r="B2443" s="1" t="str">
        <x:f>IF(A2443="","",B394)</x:f>
      </x:c>
      <x:c r="C2443" s="1" t="str">
        <x:f>IF(A2443="","",C394)</x:f>
      </x:c>
      <x:c r="D2443" s="1" t="str">
        <x:f>IF(A2443="","",E394)</x:f>
      </x:c>
      <x:c r="E2443" s="1" t="str">
        <x:f>IF(A2443="","",H394)</x:f>
      </x:c>
      <x:c r="F2443" s="1" t="str">
        <x:f>IF(ISNUMBER(K394),K394,"")</x:f>
      </x:c>
      <x:c r="G2443" s="1" t="str">
        <x:f>IF(ISNUMBER(L394),L394,"")</x:f>
      </x:c>
      <x:c r="H2443" s="1" t="str">
        <x:f>IF(A2443="","",IF(AND(UPPER(G394)="PHILADELPHIA",OR(C2443="District",AND(C2443="Charter",D394="Yes"))),"Yes","No"))</x:f>
      </x:c>
      <x:c r="I2443" s="1" t="n">
        <x:f>IF(OR(A2443="",COUNTIFS('Staff Review'!$A$8:$A$507,A2443)&lt;&gt;1),0,MATCH(A2443,'Staff Review'!$A$8:$A$507,0))</x:f>
        <x:v>0</x:v>
      </x:c>
      <x:c r="J2443" s="1" t="str">
        <x:f>IF(I2443=0,"No",IF(INDEX('Staff Review'!$C$8:$C$507,I2443)="Yes","Yes","No"))</x:f>
        <x:v>No</x:v>
      </x:c>
      <x:c r="K2443" s="1" t="str">
        <x:f>IF(AI2443="Yes",INDEX('Staff Review'!$D$8:$D$507,I2443),IF(AB2443=0,"",IF(COUNT(INDEX($C$1531:$C$2030,AB2443))=1,INDEX($C$1531:$C$2030,AB2443),"")))</x:f>
      </x:c>
      <x:c r="L2443" s="1" t="str">
        <x:f>IF(AJ2443="Yes",INDEX('Staff Review'!$F$8:$F$507,I2443),IF(AB2443=0,"",IF(COUNT(INDEX($G$1531:$G$2030,AB2443))=1,INDEX($G$1531:$G$2030,AB2443),"")))</x:f>
      </x:c>
      <x:c r="M2443" s="1" t="str">
        <x:f>IF(A2443="","",IF(AI2443="Yes","Verified","Listed"))</x:f>
      </x:c>
      <x:c r="N2443" s="1" t="str">
        <x:f>IF(A2443="","",IF(AJ2443="Yes","Verified","Listed"))</x:f>
      </x:c>
      <x:c r="O2443" s="1" t="str">
        <x:f>IF(AND(ISNUMBER(G2443),G2443&gt;=0,G2443&lt;=1),IF(G2443&gt;=0.9,30,IF(G2443&gt;=0.8,25,IF(G2443&gt;=0.7,20,IF(G2443&gt;=0.6,15,IF(G2443&gt;=0.5,10,IF(G2443&gt;=0.4,5,0)))))),"")</x:f>
      </x:c>
      <x:c r="P2443" s="1" t="str">
        <x:f>IF(ISNUMBER(K2443),IF(K2443&lt;0,"",IF(K2443&gt;1,25,IF(K2443&gt;=0.75,20,IF(K2443&gt;=0.5,15,IF(K2443&gt;=0.25,10,5))))),"")</x:f>
      </x:c>
      <x:c r="Q2443" s="1" t="str">
        <x:f>IF(NOT(ISNUMBER(L2443)),"",IF(AND(L2443&gt;=0,MOD(L2443,1)=0),MAX(0,25-5*L2443),""))</x:f>
      </x:c>
      <x:c r="R2443" s="1" t="str">
        <x:f>IF(NOT(ISNUMBER(F2443)),"",IF(AND(F2443&gt;0,MOD(F2443,1)=0),IF(F2443&gt;=700,5,IF(F2443&gt;=500,4,IF(F2443&gt;=350,3,IF(F2443&gt;=200,2,1)))),""))</x:f>
      </x:c>
      <x:c r="S2443" s="1" t="str">
        <x:f>IF(COUNT(O2443:R2443)=4,SUM(O2443:R2443),"")</x:f>
      </x:c>
      <x:c r="T2443" s="1" t="str">
        <x:f>IF(OR(COUNT(O2443:R2443)&lt;&gt;4,COUNT('Top 15'!$B$35:$E$35)&lt;&gt;4,MIN('Top 15'!$B$35:$E$35)&lt;0,SUM('Top 15'!$B$35:$E$35)&lt;=0),"",ROUND(85*(O2443/30*'Top 15'!$B$35+P2443/25*'Top 15'!$C$35+Q2443/25*'Top 15'!$D$35+R2443/5*'Top 15'!$E$35)/SUM('Top 15'!$B$35:$E$35),6))</x:f>
      </x:c>
      <x:c r="U2443" s="1" t="str">
        <x:f>IF(A2443="","",IF(AND(M2443="Verified",N2443="Verified"),"Verified",IF(AND(M2443="Listed",N2443="Listed"),"Listed","Mixed")))</x:f>
      </x:c>
      <x:c r="V2443" s="1" t="str">
        <x:f>IF(A2443="","",IF(AK2443&lt;&gt;1,"Duplicate source ID",IF(COUNTIFS('Staff Review'!$A$8:$A$507,A2443)&gt;1,"Duplicate review ID",IF(H2443&lt;&gt;"Yes","Outside scope",IF(J2443="Yes","Already served",IF(NOT(ISNUMBER(T2443)),"Missing data","Candidate"))))))</x:f>
      </x:c>
      <x:c r="W2443" s="1" t="str">
        <x:f>IF(AL2443=0,"",1+COUNTIFS($AL$2051:$AL$2550,1,$T$2051:$T$2550,"&gt;"&amp;T2443)+COUNTIFS($AL$2051:$AL$2550,1,$T$2051:$T$2550,T2443,$G$2051:$G$2550,"&gt;"&amp;G2443)+COUNTIFS($AL$2051:$AL$2550,1,$T$2051:$T$2550,T2443,$G$2051:$G$2550,G2443,$F$2051:$F$2550,"&gt;"&amp;F2443)+COUNTIFS($AL$2051:$AL$2550,1,$T$2051:$T$2550,T2443,$G$2051:$G$2550,G2443,$F$2051:$F$2550,F2443,$AM$2051:$AM$2550,"&lt;"&amp;AM2443))</x:f>
      </x:c>
      <x:c r="X2443" s="1" t="str">
        <x:f>IF(AL2443=0,"",1+COUNTIFS($AL$2051:$AL$2550,1,$T$2051:$T$2550,"&gt;"&amp;T2443))</x:f>
      </x:c>
      <x:c r="Y2443" s="1" t="n">
        <x:f>IF(AND(H2443="Yes",OR(LEN('School Search'!$B$5)=0,ISNUMBER(SEARCH('School Search'!$B$5,B2443&amp;" "&amp;E2443&amp;" "&amp;A2443))),OR('School Search'!$D$5="All",C2443='School Search'!$D$5),OR('School Search'!$G$5="All eligible",AND('School Search'!$G$5="Not marked served",J2443&lt;&gt;"Yes"),AND('School Search'!$G$5="Missing data",V2443="Missing data"),AND('School Search'!$G$5="Marked served",J2443="Yes"))),1,0)</x:f>
        <x:v>0</x:v>
      </x:c>
      <x:c r="Z2443" s="1" t="str">
        <x:f>IF(Y2443=0,"",COUNTIFS($Y$2051:$Y$2550,1,$AO$2051:$AO$2550,"&lt;"&amp;AO2443)+COUNTIFS($Y$2051:Y2443,1,$AO$2051:AO2443,AO2443))</x:f>
      </x:c>
      <x:c r="AA2443" s="1" t="str">
        <x:f>IF(NOT(ISNUMBER(S2443)),"Missing demographic or access input",TEXT(G2443,"0%")&amp;" economic need; "&amp;TEXT(K2443,"0.00")&amp;" mi fresh access; "&amp;L2443&amp;" nearby resources")</x:f>
        <x:v>Missing demographic or access input</x:v>
      </x:c>
      <x:c r="AB2443" s="1" t="n">
        <x:f>IF(OR(A2443="",COUNTIFS($A$1531:$A$2030,A2443)&lt;&gt;1),0,MATCH(A2443,$A$1531:$A$2030,0))</x:f>
        <x:v>0</x:v>
      </x:c>
      <x:c r="AC2443" s="1" t="str">
        <x:f>IF(AB2443=0,"",INDEX($E$1531:$E$2030,AB2443))</x:f>
      </x:c>
      <x:c r="AD2443" s="1" t="str">
        <x:f>IF(AB2443=0,"",INDEX($F$1531:$F$2030,AB2443))</x:f>
      </x:c>
      <x:c r="AE2443" s="1" t="str">
        <x:f>IF(A2443="","",F394)</x:f>
      </x:c>
      <x:c r="AF2443" s="1" t="str">
        <x:f>IF(ISNUMBER(I394),I394,"")</x:f>
      </x:c>
      <x:c r="AG2443" s="1" t="str">
        <x:f>IF(ISNUMBER(J394),J394,"")</x:f>
      </x:c>
      <x:c r="AH2443" s="1" t="str">
        <x:f>IF(I2443=0,"Not contacted",IF(INDEX('Staff Review'!$J$8:$J$507,I2443)="","Not contacted",INDEX('Staff Review'!$J$8:$J$507,I2443)))</x:f>
        <x:v>Not contacted</x:v>
      </x:c>
      <x:c r="AI2443" s="1" t="str">
        <x:f>IF(I2443=0,"No",IF(AND(COUNT(INDEX('Staff Review'!$D$8:$D$507,I2443))=1,INDEX('Staff Review'!$D$8:$D$507,I2443)&gt;=0,COUNT(INDEX('Staff Review'!$E$8:$E$507,I2443))=1,INDEX('Staff Review'!$E$8:$E$507,I2443)&gt;0,INDEX('Staff Review'!$E$8:$E$507,I2443)&lt;='Top 15'!$E$5,'Top 15'!$E$5-INDEX('Staff Review'!$E$8:$E$507,I2443)&lt;='Top 15'!$H$5,LEN(INDEX('Staff Review'!$H$8:$H$507,I2443))&gt;0),"Yes","No"))</x:f>
        <x:v>No</x:v>
      </x:c>
      <x:c r="AJ2443" s="1" t="str">
        <x:f>IF(I2443=0,"No",IF(COUNT(INDEX('Staff Review'!$F$8:$F$507,I2443))&lt;&gt;1,"No",IF(AND(INDEX('Staff Review'!$F$8:$F$507,I2443)&gt;=0,MOD(INDEX('Staff Review'!$F$8:$F$507,I2443),1)=0,COUNT(INDEX('Staff Review'!$G$8:$G$507,I2443))=1,INDEX('Staff Review'!$G$8:$G$507,I2443)&gt;0,INDEX('Staff Review'!$G$8:$G$507,I2443)&lt;='Top 15'!$E$5,'Top 15'!$E$5-INDEX('Staff Review'!$G$8:$G$507,I2443)&lt;='Top 15'!$H$5,LEN(INDEX('Staff Review'!$H$8:$H$507,I2443))&gt;0),"Yes","No")))</x:f>
        <x:v>No</x:v>
      </x:c>
      <x:c r="AK2443" s="1" t="n">
        <x:f>IF(A2443="",0,COUNTIFS($A$2:$A$501,A2443))</x:f>
        <x:v>0</x:v>
      </x:c>
      <x:c r="AL2443" s="1" t="n">
        <x:f>IF(V2443="Candidate",1,0)</x:f>
        <x:v>0</x:v>
      </x:c>
      <x:c r="AM2443" s="1" t="n">
        <x:f>IF(A2443="",0,VALUE(A2443))</x:f>
        <x:v>0</x:v>
      </x:c>
      <x:c r="AN2443" s="1" t="n">
        <x:f>IF(OR(A2443="",COUNTIFS($T$41:$T$540,A2443)&lt;&gt;1),0,MATCH(A2443,$T$41:$T$540,0))</x:f>
        <x:v>0</x:v>
      </x:c>
      <x:c r="AO2443" t="n">
        <x:f>IF(ISNUMBER(W2443),W2443,10000+AM2443)</x:f>
        <x:v>10000</x:v>
      </x:c>
    </x:row>
    <x:row r="2444" ht="22" customHeight="1">
      <x:c r="A2444" s="1" t="str">
        <x:f>IF(A395="","",A395)</x:f>
      </x:c>
      <x:c r="B2444" s="1" t="str">
        <x:f>IF(A2444="","",B395)</x:f>
      </x:c>
      <x:c r="C2444" s="1" t="str">
        <x:f>IF(A2444="","",C395)</x:f>
      </x:c>
      <x:c r="D2444" s="1" t="str">
        <x:f>IF(A2444="","",E395)</x:f>
      </x:c>
      <x:c r="E2444" s="1" t="str">
        <x:f>IF(A2444="","",H395)</x:f>
      </x:c>
      <x:c r="F2444" s="1" t="str">
        <x:f>IF(ISNUMBER(K395),K395,"")</x:f>
      </x:c>
      <x:c r="G2444" s="1" t="str">
        <x:f>IF(ISNUMBER(L395),L395,"")</x:f>
      </x:c>
      <x:c r="H2444" s="1" t="str">
        <x:f>IF(A2444="","",IF(AND(UPPER(G395)="PHILADELPHIA",OR(C2444="District",AND(C2444="Charter",D395="Yes"))),"Yes","No"))</x:f>
      </x:c>
      <x:c r="I2444" s="1" t="n">
        <x:f>IF(OR(A2444="",COUNTIFS('Staff Review'!$A$8:$A$507,A2444)&lt;&gt;1),0,MATCH(A2444,'Staff Review'!$A$8:$A$507,0))</x:f>
        <x:v>0</x:v>
      </x:c>
      <x:c r="J2444" s="1" t="str">
        <x:f>IF(I2444=0,"No",IF(INDEX('Staff Review'!$C$8:$C$507,I2444)="Yes","Yes","No"))</x:f>
        <x:v>No</x:v>
      </x:c>
      <x:c r="K2444" s="1" t="str">
        <x:f>IF(AI2444="Yes",INDEX('Staff Review'!$D$8:$D$507,I2444),IF(AB2444=0,"",IF(COUNT(INDEX($C$1531:$C$2030,AB2444))=1,INDEX($C$1531:$C$2030,AB2444),"")))</x:f>
      </x:c>
      <x:c r="L2444" s="1" t="str">
        <x:f>IF(AJ2444="Yes",INDEX('Staff Review'!$F$8:$F$507,I2444),IF(AB2444=0,"",IF(COUNT(INDEX($G$1531:$G$2030,AB2444))=1,INDEX($G$1531:$G$2030,AB2444),"")))</x:f>
      </x:c>
      <x:c r="M2444" s="1" t="str">
        <x:f>IF(A2444="","",IF(AI2444="Yes","Verified","Listed"))</x:f>
      </x:c>
      <x:c r="N2444" s="1" t="str">
        <x:f>IF(A2444="","",IF(AJ2444="Yes","Verified","Listed"))</x:f>
      </x:c>
      <x:c r="O2444" s="1" t="str">
        <x:f>IF(AND(ISNUMBER(G2444),G2444&gt;=0,G2444&lt;=1),IF(G2444&gt;=0.9,30,IF(G2444&gt;=0.8,25,IF(G2444&gt;=0.7,20,IF(G2444&gt;=0.6,15,IF(G2444&gt;=0.5,10,IF(G2444&gt;=0.4,5,0)))))),"")</x:f>
      </x:c>
      <x:c r="P2444" s="1" t="str">
        <x:f>IF(ISNUMBER(K2444),IF(K2444&lt;0,"",IF(K2444&gt;1,25,IF(K2444&gt;=0.75,20,IF(K2444&gt;=0.5,15,IF(K2444&gt;=0.25,10,5))))),"")</x:f>
      </x:c>
      <x:c r="Q2444" s="1" t="str">
        <x:f>IF(NOT(ISNUMBER(L2444)),"",IF(AND(L2444&gt;=0,MOD(L2444,1)=0),MAX(0,25-5*L2444),""))</x:f>
      </x:c>
      <x:c r="R2444" s="1" t="str">
        <x:f>IF(NOT(ISNUMBER(F2444)),"",IF(AND(F2444&gt;0,MOD(F2444,1)=0),IF(F2444&gt;=700,5,IF(F2444&gt;=500,4,IF(F2444&gt;=350,3,IF(F2444&gt;=200,2,1)))),""))</x:f>
      </x:c>
      <x:c r="S2444" s="1" t="str">
        <x:f>IF(COUNT(O2444:R2444)=4,SUM(O2444:R2444),"")</x:f>
      </x:c>
      <x:c r="T2444" s="1" t="str">
        <x:f>IF(OR(COUNT(O2444:R2444)&lt;&gt;4,COUNT('Top 15'!$B$35:$E$35)&lt;&gt;4,MIN('Top 15'!$B$35:$E$35)&lt;0,SUM('Top 15'!$B$35:$E$35)&lt;=0),"",ROUND(85*(O2444/30*'Top 15'!$B$35+P2444/25*'Top 15'!$C$35+Q2444/25*'Top 15'!$D$35+R2444/5*'Top 15'!$E$35)/SUM('Top 15'!$B$35:$E$35),6))</x:f>
      </x:c>
      <x:c r="U2444" s="1" t="str">
        <x:f>IF(A2444="","",IF(AND(M2444="Verified",N2444="Verified"),"Verified",IF(AND(M2444="Listed",N2444="Listed"),"Listed","Mixed")))</x:f>
      </x:c>
      <x:c r="V2444" s="1" t="str">
        <x:f>IF(A2444="","",IF(AK2444&lt;&gt;1,"Duplicate source ID",IF(COUNTIFS('Staff Review'!$A$8:$A$507,A2444)&gt;1,"Duplicate review ID",IF(H2444&lt;&gt;"Yes","Outside scope",IF(J2444="Yes","Already served",IF(NOT(ISNUMBER(T2444)),"Missing data","Candidate"))))))</x:f>
      </x:c>
      <x:c r="W2444" s="1" t="str">
        <x:f>IF(AL2444=0,"",1+COUNTIFS($AL$2051:$AL$2550,1,$T$2051:$T$2550,"&gt;"&amp;T2444)+COUNTIFS($AL$2051:$AL$2550,1,$T$2051:$T$2550,T2444,$G$2051:$G$2550,"&gt;"&amp;G2444)+COUNTIFS($AL$2051:$AL$2550,1,$T$2051:$T$2550,T2444,$G$2051:$G$2550,G2444,$F$2051:$F$2550,"&gt;"&amp;F2444)+COUNTIFS($AL$2051:$AL$2550,1,$T$2051:$T$2550,T2444,$G$2051:$G$2550,G2444,$F$2051:$F$2550,F2444,$AM$2051:$AM$2550,"&lt;"&amp;AM2444))</x:f>
      </x:c>
      <x:c r="X2444" s="1" t="str">
        <x:f>IF(AL2444=0,"",1+COUNTIFS($AL$2051:$AL$2550,1,$T$2051:$T$2550,"&gt;"&amp;T2444))</x:f>
      </x:c>
      <x:c r="Y2444" s="1" t="n">
        <x:f>IF(AND(H2444="Yes",OR(LEN('School Search'!$B$5)=0,ISNUMBER(SEARCH('School Search'!$B$5,B2444&amp;" "&amp;E2444&amp;" "&amp;A2444))),OR('School Search'!$D$5="All",C2444='School Search'!$D$5),OR('School Search'!$G$5="All eligible",AND('School Search'!$G$5="Not marked served",J2444&lt;&gt;"Yes"),AND('School Search'!$G$5="Missing data",V2444="Missing data"),AND('School Search'!$G$5="Marked served",J2444="Yes"))),1,0)</x:f>
        <x:v>0</x:v>
      </x:c>
      <x:c r="Z2444" s="1" t="str">
        <x:f>IF(Y2444=0,"",COUNTIFS($Y$2051:$Y$2550,1,$AO$2051:$AO$2550,"&lt;"&amp;AO2444)+COUNTIFS($Y$2051:Y2444,1,$AO$2051:AO2444,AO2444))</x:f>
      </x:c>
      <x:c r="AA2444" s="1" t="str">
        <x:f>IF(NOT(ISNUMBER(S2444)),"Missing demographic or access input",TEXT(G2444,"0%")&amp;" economic need; "&amp;TEXT(K2444,"0.00")&amp;" mi fresh access; "&amp;L2444&amp;" nearby resources")</x:f>
        <x:v>Missing demographic or access input</x:v>
      </x:c>
      <x:c r="AB2444" s="1" t="n">
        <x:f>IF(OR(A2444="",COUNTIFS($A$1531:$A$2030,A2444)&lt;&gt;1),0,MATCH(A2444,$A$1531:$A$2030,0))</x:f>
        <x:v>0</x:v>
      </x:c>
      <x:c r="AC2444" s="1" t="str">
        <x:f>IF(AB2444=0,"",INDEX($E$1531:$E$2030,AB2444))</x:f>
      </x:c>
      <x:c r="AD2444" s="1" t="str">
        <x:f>IF(AB2444=0,"",INDEX($F$1531:$F$2030,AB2444))</x:f>
      </x:c>
      <x:c r="AE2444" s="1" t="str">
        <x:f>IF(A2444="","",F395)</x:f>
      </x:c>
      <x:c r="AF2444" s="1" t="str">
        <x:f>IF(ISNUMBER(I395),I395,"")</x:f>
      </x:c>
      <x:c r="AG2444" s="1" t="str">
        <x:f>IF(ISNUMBER(J395),J395,"")</x:f>
      </x:c>
      <x:c r="AH2444" s="1" t="str">
        <x:f>IF(I2444=0,"Not contacted",IF(INDEX('Staff Review'!$J$8:$J$507,I2444)="","Not contacted",INDEX('Staff Review'!$J$8:$J$507,I2444)))</x:f>
        <x:v>Not contacted</x:v>
      </x:c>
      <x:c r="AI2444" s="1" t="str">
        <x:f>IF(I2444=0,"No",IF(AND(COUNT(INDEX('Staff Review'!$D$8:$D$507,I2444))=1,INDEX('Staff Review'!$D$8:$D$507,I2444)&gt;=0,COUNT(INDEX('Staff Review'!$E$8:$E$507,I2444))=1,INDEX('Staff Review'!$E$8:$E$507,I2444)&gt;0,INDEX('Staff Review'!$E$8:$E$507,I2444)&lt;='Top 15'!$E$5,'Top 15'!$E$5-INDEX('Staff Review'!$E$8:$E$507,I2444)&lt;='Top 15'!$H$5,LEN(INDEX('Staff Review'!$H$8:$H$507,I2444))&gt;0),"Yes","No"))</x:f>
        <x:v>No</x:v>
      </x:c>
      <x:c r="AJ2444" s="1" t="str">
        <x:f>IF(I2444=0,"No",IF(COUNT(INDEX('Staff Review'!$F$8:$F$507,I2444))&lt;&gt;1,"No",IF(AND(INDEX('Staff Review'!$F$8:$F$507,I2444)&gt;=0,MOD(INDEX('Staff Review'!$F$8:$F$507,I2444),1)=0,COUNT(INDEX('Staff Review'!$G$8:$G$507,I2444))=1,INDEX('Staff Review'!$G$8:$G$507,I2444)&gt;0,INDEX('Staff Review'!$G$8:$G$507,I2444)&lt;='Top 15'!$E$5,'Top 15'!$E$5-INDEX('Staff Review'!$G$8:$G$507,I2444)&lt;='Top 15'!$H$5,LEN(INDEX('Staff Review'!$H$8:$H$507,I2444))&gt;0),"Yes","No")))</x:f>
        <x:v>No</x:v>
      </x:c>
      <x:c r="AK2444" s="1" t="n">
        <x:f>IF(A2444="",0,COUNTIFS($A$2:$A$501,A2444))</x:f>
        <x:v>0</x:v>
      </x:c>
      <x:c r="AL2444" s="1" t="n">
        <x:f>IF(V2444="Candidate",1,0)</x:f>
        <x:v>0</x:v>
      </x:c>
      <x:c r="AM2444" s="1" t="n">
        <x:f>IF(A2444="",0,VALUE(A2444))</x:f>
        <x:v>0</x:v>
      </x:c>
      <x:c r="AN2444" s="1" t="n">
        <x:f>IF(OR(A2444="",COUNTIFS($T$41:$T$540,A2444)&lt;&gt;1),0,MATCH(A2444,$T$41:$T$540,0))</x:f>
        <x:v>0</x:v>
      </x:c>
      <x:c r="AO2444" t="n">
        <x:f>IF(ISNUMBER(W2444),W2444,10000+AM2444)</x:f>
        <x:v>10000</x:v>
      </x:c>
    </x:row>
    <x:row r="2445" ht="22" customHeight="1">
      <x:c r="A2445" s="1" t="str">
        <x:f>IF(A396="","",A396)</x:f>
      </x:c>
      <x:c r="B2445" s="1" t="str">
        <x:f>IF(A2445="","",B396)</x:f>
      </x:c>
      <x:c r="C2445" s="1" t="str">
        <x:f>IF(A2445="","",C396)</x:f>
      </x:c>
      <x:c r="D2445" s="1" t="str">
        <x:f>IF(A2445="","",E396)</x:f>
      </x:c>
      <x:c r="E2445" s="1" t="str">
        <x:f>IF(A2445="","",H396)</x:f>
      </x:c>
      <x:c r="F2445" s="1" t="str">
        <x:f>IF(ISNUMBER(K396),K396,"")</x:f>
      </x:c>
      <x:c r="G2445" s="1" t="str">
        <x:f>IF(ISNUMBER(L396),L396,"")</x:f>
      </x:c>
      <x:c r="H2445" s="1" t="str">
        <x:f>IF(A2445="","",IF(AND(UPPER(G396)="PHILADELPHIA",OR(C2445="District",AND(C2445="Charter",D396="Yes"))),"Yes","No"))</x:f>
      </x:c>
      <x:c r="I2445" s="1" t="n">
        <x:f>IF(OR(A2445="",COUNTIFS('Staff Review'!$A$8:$A$507,A2445)&lt;&gt;1),0,MATCH(A2445,'Staff Review'!$A$8:$A$507,0))</x:f>
        <x:v>0</x:v>
      </x:c>
      <x:c r="J2445" s="1" t="str">
        <x:f>IF(I2445=0,"No",IF(INDEX('Staff Review'!$C$8:$C$507,I2445)="Yes","Yes","No"))</x:f>
        <x:v>No</x:v>
      </x:c>
      <x:c r="K2445" s="1" t="str">
        <x:f>IF(AI2445="Yes",INDEX('Staff Review'!$D$8:$D$507,I2445),IF(AB2445=0,"",IF(COUNT(INDEX($C$1531:$C$2030,AB2445))=1,INDEX($C$1531:$C$2030,AB2445),"")))</x:f>
      </x:c>
      <x:c r="L2445" s="1" t="str">
        <x:f>IF(AJ2445="Yes",INDEX('Staff Review'!$F$8:$F$507,I2445),IF(AB2445=0,"",IF(COUNT(INDEX($G$1531:$G$2030,AB2445))=1,INDEX($G$1531:$G$2030,AB2445),"")))</x:f>
      </x:c>
      <x:c r="M2445" s="1" t="str">
        <x:f>IF(A2445="","",IF(AI2445="Yes","Verified","Listed"))</x:f>
      </x:c>
      <x:c r="N2445" s="1" t="str">
        <x:f>IF(A2445="","",IF(AJ2445="Yes","Verified","Listed"))</x:f>
      </x:c>
      <x:c r="O2445" s="1" t="str">
        <x:f>IF(AND(ISNUMBER(G2445),G2445&gt;=0,G2445&lt;=1),IF(G2445&gt;=0.9,30,IF(G2445&gt;=0.8,25,IF(G2445&gt;=0.7,20,IF(G2445&gt;=0.6,15,IF(G2445&gt;=0.5,10,IF(G2445&gt;=0.4,5,0)))))),"")</x:f>
      </x:c>
      <x:c r="P2445" s="1" t="str">
        <x:f>IF(ISNUMBER(K2445),IF(K2445&lt;0,"",IF(K2445&gt;1,25,IF(K2445&gt;=0.75,20,IF(K2445&gt;=0.5,15,IF(K2445&gt;=0.25,10,5))))),"")</x:f>
      </x:c>
      <x:c r="Q2445" s="1" t="str">
        <x:f>IF(NOT(ISNUMBER(L2445)),"",IF(AND(L2445&gt;=0,MOD(L2445,1)=0),MAX(0,25-5*L2445),""))</x:f>
      </x:c>
      <x:c r="R2445" s="1" t="str">
        <x:f>IF(NOT(ISNUMBER(F2445)),"",IF(AND(F2445&gt;0,MOD(F2445,1)=0),IF(F2445&gt;=700,5,IF(F2445&gt;=500,4,IF(F2445&gt;=350,3,IF(F2445&gt;=200,2,1)))),""))</x:f>
      </x:c>
      <x:c r="S2445" s="1" t="str">
        <x:f>IF(COUNT(O2445:R2445)=4,SUM(O2445:R2445),"")</x:f>
      </x:c>
      <x:c r="T2445" s="1" t="str">
        <x:f>IF(OR(COUNT(O2445:R2445)&lt;&gt;4,COUNT('Top 15'!$B$35:$E$35)&lt;&gt;4,MIN('Top 15'!$B$35:$E$35)&lt;0,SUM('Top 15'!$B$35:$E$35)&lt;=0),"",ROUND(85*(O2445/30*'Top 15'!$B$35+P2445/25*'Top 15'!$C$35+Q2445/25*'Top 15'!$D$35+R2445/5*'Top 15'!$E$35)/SUM('Top 15'!$B$35:$E$35),6))</x:f>
      </x:c>
      <x:c r="U2445" s="1" t="str">
        <x:f>IF(A2445="","",IF(AND(M2445="Verified",N2445="Verified"),"Verified",IF(AND(M2445="Listed",N2445="Listed"),"Listed","Mixed")))</x:f>
      </x:c>
      <x:c r="V2445" s="1" t="str">
        <x:f>IF(A2445="","",IF(AK2445&lt;&gt;1,"Duplicate source ID",IF(COUNTIFS('Staff Review'!$A$8:$A$507,A2445)&gt;1,"Duplicate review ID",IF(H2445&lt;&gt;"Yes","Outside scope",IF(J2445="Yes","Already served",IF(NOT(ISNUMBER(T2445)),"Missing data","Candidate"))))))</x:f>
      </x:c>
      <x:c r="W2445" s="1" t="str">
        <x:f>IF(AL2445=0,"",1+COUNTIFS($AL$2051:$AL$2550,1,$T$2051:$T$2550,"&gt;"&amp;T2445)+COUNTIFS($AL$2051:$AL$2550,1,$T$2051:$T$2550,T2445,$G$2051:$G$2550,"&gt;"&amp;G2445)+COUNTIFS($AL$2051:$AL$2550,1,$T$2051:$T$2550,T2445,$G$2051:$G$2550,G2445,$F$2051:$F$2550,"&gt;"&amp;F2445)+COUNTIFS($AL$2051:$AL$2550,1,$T$2051:$T$2550,T2445,$G$2051:$G$2550,G2445,$F$2051:$F$2550,F2445,$AM$2051:$AM$2550,"&lt;"&amp;AM2445))</x:f>
      </x:c>
      <x:c r="X2445" s="1" t="str">
        <x:f>IF(AL2445=0,"",1+COUNTIFS($AL$2051:$AL$2550,1,$T$2051:$T$2550,"&gt;"&amp;T2445))</x:f>
      </x:c>
      <x:c r="Y2445" s="1" t="n">
        <x:f>IF(AND(H2445="Yes",OR(LEN('School Search'!$B$5)=0,ISNUMBER(SEARCH('School Search'!$B$5,B2445&amp;" "&amp;E2445&amp;" "&amp;A2445))),OR('School Search'!$D$5="All",C2445='School Search'!$D$5),OR('School Search'!$G$5="All eligible",AND('School Search'!$G$5="Not marked served",J2445&lt;&gt;"Yes"),AND('School Search'!$G$5="Missing data",V2445="Missing data"),AND('School Search'!$G$5="Marked served",J2445="Yes"))),1,0)</x:f>
        <x:v>0</x:v>
      </x:c>
      <x:c r="Z2445" s="1" t="str">
        <x:f>IF(Y2445=0,"",COUNTIFS($Y$2051:$Y$2550,1,$AO$2051:$AO$2550,"&lt;"&amp;AO2445)+COUNTIFS($Y$2051:Y2445,1,$AO$2051:AO2445,AO2445))</x:f>
      </x:c>
      <x:c r="AA2445" s="1" t="str">
        <x:f>IF(NOT(ISNUMBER(S2445)),"Missing demographic or access input",TEXT(G2445,"0%")&amp;" economic need; "&amp;TEXT(K2445,"0.00")&amp;" mi fresh access; "&amp;L2445&amp;" nearby resources")</x:f>
        <x:v>Missing demographic or access input</x:v>
      </x:c>
      <x:c r="AB2445" s="1" t="n">
        <x:f>IF(OR(A2445="",COUNTIFS($A$1531:$A$2030,A2445)&lt;&gt;1),0,MATCH(A2445,$A$1531:$A$2030,0))</x:f>
        <x:v>0</x:v>
      </x:c>
      <x:c r="AC2445" s="1" t="str">
        <x:f>IF(AB2445=0,"",INDEX($E$1531:$E$2030,AB2445))</x:f>
      </x:c>
      <x:c r="AD2445" s="1" t="str">
        <x:f>IF(AB2445=0,"",INDEX($F$1531:$F$2030,AB2445))</x:f>
      </x:c>
      <x:c r="AE2445" s="1" t="str">
        <x:f>IF(A2445="","",F396)</x:f>
      </x:c>
      <x:c r="AF2445" s="1" t="str">
        <x:f>IF(ISNUMBER(I396),I396,"")</x:f>
      </x:c>
      <x:c r="AG2445" s="1" t="str">
        <x:f>IF(ISNUMBER(J396),J396,"")</x:f>
      </x:c>
      <x:c r="AH2445" s="1" t="str">
        <x:f>IF(I2445=0,"Not contacted",IF(INDEX('Staff Review'!$J$8:$J$507,I2445)="","Not contacted",INDEX('Staff Review'!$J$8:$J$507,I2445)))</x:f>
        <x:v>Not contacted</x:v>
      </x:c>
      <x:c r="AI2445" s="1" t="str">
        <x:f>IF(I2445=0,"No",IF(AND(COUNT(INDEX('Staff Review'!$D$8:$D$507,I2445))=1,INDEX('Staff Review'!$D$8:$D$507,I2445)&gt;=0,COUNT(INDEX('Staff Review'!$E$8:$E$507,I2445))=1,INDEX('Staff Review'!$E$8:$E$507,I2445)&gt;0,INDEX('Staff Review'!$E$8:$E$507,I2445)&lt;='Top 15'!$E$5,'Top 15'!$E$5-INDEX('Staff Review'!$E$8:$E$507,I2445)&lt;='Top 15'!$H$5,LEN(INDEX('Staff Review'!$H$8:$H$507,I2445))&gt;0),"Yes","No"))</x:f>
        <x:v>No</x:v>
      </x:c>
      <x:c r="AJ2445" s="1" t="str">
        <x:f>IF(I2445=0,"No",IF(COUNT(INDEX('Staff Review'!$F$8:$F$507,I2445))&lt;&gt;1,"No",IF(AND(INDEX('Staff Review'!$F$8:$F$507,I2445)&gt;=0,MOD(INDEX('Staff Review'!$F$8:$F$507,I2445),1)=0,COUNT(INDEX('Staff Review'!$G$8:$G$507,I2445))=1,INDEX('Staff Review'!$G$8:$G$507,I2445)&gt;0,INDEX('Staff Review'!$G$8:$G$507,I2445)&lt;='Top 15'!$E$5,'Top 15'!$E$5-INDEX('Staff Review'!$G$8:$G$507,I2445)&lt;='Top 15'!$H$5,LEN(INDEX('Staff Review'!$H$8:$H$507,I2445))&gt;0),"Yes","No")))</x:f>
        <x:v>No</x:v>
      </x:c>
      <x:c r="AK2445" s="1" t="n">
        <x:f>IF(A2445="",0,COUNTIFS($A$2:$A$501,A2445))</x:f>
        <x:v>0</x:v>
      </x:c>
      <x:c r="AL2445" s="1" t="n">
        <x:f>IF(V2445="Candidate",1,0)</x:f>
        <x:v>0</x:v>
      </x:c>
      <x:c r="AM2445" s="1" t="n">
        <x:f>IF(A2445="",0,VALUE(A2445))</x:f>
        <x:v>0</x:v>
      </x:c>
      <x:c r="AN2445" s="1" t="n">
        <x:f>IF(OR(A2445="",COUNTIFS($T$41:$T$540,A2445)&lt;&gt;1),0,MATCH(A2445,$T$41:$T$540,0))</x:f>
        <x:v>0</x:v>
      </x:c>
      <x:c r="AO2445" t="n">
        <x:f>IF(ISNUMBER(W2445),W2445,10000+AM2445)</x:f>
        <x:v>10000</x:v>
      </x:c>
    </x:row>
    <x:row r="2446" ht="22" customHeight="1">
      <x:c r="A2446" s="1" t="str">
        <x:f>IF(A397="","",A397)</x:f>
      </x:c>
      <x:c r="B2446" s="1" t="str">
        <x:f>IF(A2446="","",B397)</x:f>
      </x:c>
      <x:c r="C2446" s="1" t="str">
        <x:f>IF(A2446="","",C397)</x:f>
      </x:c>
      <x:c r="D2446" s="1" t="str">
        <x:f>IF(A2446="","",E397)</x:f>
      </x:c>
      <x:c r="E2446" s="1" t="str">
        <x:f>IF(A2446="","",H397)</x:f>
      </x:c>
      <x:c r="F2446" s="1" t="str">
        <x:f>IF(ISNUMBER(K397),K397,"")</x:f>
      </x:c>
      <x:c r="G2446" s="1" t="str">
        <x:f>IF(ISNUMBER(L397),L397,"")</x:f>
      </x:c>
      <x:c r="H2446" s="1" t="str">
        <x:f>IF(A2446="","",IF(AND(UPPER(G397)="PHILADELPHIA",OR(C2446="District",AND(C2446="Charter",D397="Yes"))),"Yes","No"))</x:f>
      </x:c>
      <x:c r="I2446" s="1" t="n">
        <x:f>IF(OR(A2446="",COUNTIFS('Staff Review'!$A$8:$A$507,A2446)&lt;&gt;1),0,MATCH(A2446,'Staff Review'!$A$8:$A$507,0))</x:f>
        <x:v>0</x:v>
      </x:c>
      <x:c r="J2446" s="1" t="str">
        <x:f>IF(I2446=0,"No",IF(INDEX('Staff Review'!$C$8:$C$507,I2446)="Yes","Yes","No"))</x:f>
        <x:v>No</x:v>
      </x:c>
      <x:c r="K2446" s="1" t="str">
        <x:f>IF(AI2446="Yes",INDEX('Staff Review'!$D$8:$D$507,I2446),IF(AB2446=0,"",IF(COUNT(INDEX($C$1531:$C$2030,AB2446))=1,INDEX($C$1531:$C$2030,AB2446),"")))</x:f>
      </x:c>
      <x:c r="L2446" s="1" t="str">
        <x:f>IF(AJ2446="Yes",INDEX('Staff Review'!$F$8:$F$507,I2446),IF(AB2446=0,"",IF(COUNT(INDEX($G$1531:$G$2030,AB2446))=1,INDEX($G$1531:$G$2030,AB2446),"")))</x:f>
      </x:c>
      <x:c r="M2446" s="1" t="str">
        <x:f>IF(A2446="","",IF(AI2446="Yes","Verified","Listed"))</x:f>
      </x:c>
      <x:c r="N2446" s="1" t="str">
        <x:f>IF(A2446="","",IF(AJ2446="Yes","Verified","Listed"))</x:f>
      </x:c>
      <x:c r="O2446" s="1" t="str">
        <x:f>IF(AND(ISNUMBER(G2446),G2446&gt;=0,G2446&lt;=1),IF(G2446&gt;=0.9,30,IF(G2446&gt;=0.8,25,IF(G2446&gt;=0.7,20,IF(G2446&gt;=0.6,15,IF(G2446&gt;=0.5,10,IF(G2446&gt;=0.4,5,0)))))),"")</x:f>
      </x:c>
      <x:c r="P2446" s="1" t="str">
        <x:f>IF(ISNUMBER(K2446),IF(K2446&lt;0,"",IF(K2446&gt;1,25,IF(K2446&gt;=0.75,20,IF(K2446&gt;=0.5,15,IF(K2446&gt;=0.25,10,5))))),"")</x:f>
      </x:c>
      <x:c r="Q2446" s="1" t="str">
        <x:f>IF(NOT(ISNUMBER(L2446)),"",IF(AND(L2446&gt;=0,MOD(L2446,1)=0),MAX(0,25-5*L2446),""))</x:f>
      </x:c>
      <x:c r="R2446" s="1" t="str">
        <x:f>IF(NOT(ISNUMBER(F2446)),"",IF(AND(F2446&gt;0,MOD(F2446,1)=0),IF(F2446&gt;=700,5,IF(F2446&gt;=500,4,IF(F2446&gt;=350,3,IF(F2446&gt;=200,2,1)))),""))</x:f>
      </x:c>
      <x:c r="S2446" s="1" t="str">
        <x:f>IF(COUNT(O2446:R2446)=4,SUM(O2446:R2446),"")</x:f>
      </x:c>
      <x:c r="T2446" s="1" t="str">
        <x:f>IF(OR(COUNT(O2446:R2446)&lt;&gt;4,COUNT('Top 15'!$B$35:$E$35)&lt;&gt;4,MIN('Top 15'!$B$35:$E$35)&lt;0,SUM('Top 15'!$B$35:$E$35)&lt;=0),"",ROUND(85*(O2446/30*'Top 15'!$B$35+P2446/25*'Top 15'!$C$35+Q2446/25*'Top 15'!$D$35+R2446/5*'Top 15'!$E$35)/SUM('Top 15'!$B$35:$E$35),6))</x:f>
      </x:c>
      <x:c r="U2446" s="1" t="str">
        <x:f>IF(A2446="","",IF(AND(M2446="Verified",N2446="Verified"),"Verified",IF(AND(M2446="Listed",N2446="Listed"),"Listed","Mixed")))</x:f>
      </x:c>
      <x:c r="V2446" s="1" t="str">
        <x:f>IF(A2446="","",IF(AK2446&lt;&gt;1,"Duplicate source ID",IF(COUNTIFS('Staff Review'!$A$8:$A$507,A2446)&gt;1,"Duplicate review ID",IF(H2446&lt;&gt;"Yes","Outside scope",IF(J2446="Yes","Already served",IF(NOT(ISNUMBER(T2446)),"Missing data","Candidate"))))))</x:f>
      </x:c>
      <x:c r="W2446" s="1" t="str">
        <x:f>IF(AL2446=0,"",1+COUNTIFS($AL$2051:$AL$2550,1,$T$2051:$T$2550,"&gt;"&amp;T2446)+COUNTIFS($AL$2051:$AL$2550,1,$T$2051:$T$2550,T2446,$G$2051:$G$2550,"&gt;"&amp;G2446)+COUNTIFS($AL$2051:$AL$2550,1,$T$2051:$T$2550,T2446,$G$2051:$G$2550,G2446,$F$2051:$F$2550,"&gt;"&amp;F2446)+COUNTIFS($AL$2051:$AL$2550,1,$T$2051:$T$2550,T2446,$G$2051:$G$2550,G2446,$F$2051:$F$2550,F2446,$AM$2051:$AM$2550,"&lt;"&amp;AM2446))</x:f>
      </x:c>
      <x:c r="X2446" s="1" t="str">
        <x:f>IF(AL2446=0,"",1+COUNTIFS($AL$2051:$AL$2550,1,$T$2051:$T$2550,"&gt;"&amp;T2446))</x:f>
      </x:c>
      <x:c r="Y2446" s="1" t="n">
        <x:f>IF(AND(H2446="Yes",OR(LEN('School Search'!$B$5)=0,ISNUMBER(SEARCH('School Search'!$B$5,B2446&amp;" "&amp;E2446&amp;" "&amp;A2446))),OR('School Search'!$D$5="All",C2446='School Search'!$D$5),OR('School Search'!$G$5="All eligible",AND('School Search'!$G$5="Not marked served",J2446&lt;&gt;"Yes"),AND('School Search'!$G$5="Missing data",V2446="Missing data"),AND('School Search'!$G$5="Marked served",J2446="Yes"))),1,0)</x:f>
        <x:v>0</x:v>
      </x:c>
      <x:c r="Z2446" s="1" t="str">
        <x:f>IF(Y2446=0,"",COUNTIFS($Y$2051:$Y$2550,1,$AO$2051:$AO$2550,"&lt;"&amp;AO2446)+COUNTIFS($Y$2051:Y2446,1,$AO$2051:AO2446,AO2446))</x:f>
      </x:c>
      <x:c r="AA2446" s="1" t="str">
        <x:f>IF(NOT(ISNUMBER(S2446)),"Missing demographic or access input",TEXT(G2446,"0%")&amp;" economic need; "&amp;TEXT(K2446,"0.00")&amp;" mi fresh access; "&amp;L2446&amp;" nearby resources")</x:f>
        <x:v>Missing demographic or access input</x:v>
      </x:c>
      <x:c r="AB2446" s="1" t="n">
        <x:f>IF(OR(A2446="",COUNTIFS($A$1531:$A$2030,A2446)&lt;&gt;1),0,MATCH(A2446,$A$1531:$A$2030,0))</x:f>
        <x:v>0</x:v>
      </x:c>
      <x:c r="AC2446" s="1" t="str">
        <x:f>IF(AB2446=0,"",INDEX($E$1531:$E$2030,AB2446))</x:f>
      </x:c>
      <x:c r="AD2446" s="1" t="str">
        <x:f>IF(AB2446=0,"",INDEX($F$1531:$F$2030,AB2446))</x:f>
      </x:c>
      <x:c r="AE2446" s="1" t="str">
        <x:f>IF(A2446="","",F397)</x:f>
      </x:c>
      <x:c r="AF2446" s="1" t="str">
        <x:f>IF(ISNUMBER(I397),I397,"")</x:f>
      </x:c>
      <x:c r="AG2446" s="1" t="str">
        <x:f>IF(ISNUMBER(J397),J397,"")</x:f>
      </x:c>
      <x:c r="AH2446" s="1" t="str">
        <x:f>IF(I2446=0,"Not contacted",IF(INDEX('Staff Review'!$J$8:$J$507,I2446)="","Not contacted",INDEX('Staff Review'!$J$8:$J$507,I2446)))</x:f>
        <x:v>Not contacted</x:v>
      </x:c>
      <x:c r="AI2446" s="1" t="str">
        <x:f>IF(I2446=0,"No",IF(AND(COUNT(INDEX('Staff Review'!$D$8:$D$507,I2446))=1,INDEX('Staff Review'!$D$8:$D$507,I2446)&gt;=0,COUNT(INDEX('Staff Review'!$E$8:$E$507,I2446))=1,INDEX('Staff Review'!$E$8:$E$507,I2446)&gt;0,INDEX('Staff Review'!$E$8:$E$507,I2446)&lt;='Top 15'!$E$5,'Top 15'!$E$5-INDEX('Staff Review'!$E$8:$E$507,I2446)&lt;='Top 15'!$H$5,LEN(INDEX('Staff Review'!$H$8:$H$507,I2446))&gt;0),"Yes","No"))</x:f>
        <x:v>No</x:v>
      </x:c>
      <x:c r="AJ2446" s="1" t="str">
        <x:f>IF(I2446=0,"No",IF(COUNT(INDEX('Staff Review'!$F$8:$F$507,I2446))&lt;&gt;1,"No",IF(AND(INDEX('Staff Review'!$F$8:$F$507,I2446)&gt;=0,MOD(INDEX('Staff Review'!$F$8:$F$507,I2446),1)=0,COUNT(INDEX('Staff Review'!$G$8:$G$507,I2446))=1,INDEX('Staff Review'!$G$8:$G$507,I2446)&gt;0,INDEX('Staff Review'!$G$8:$G$507,I2446)&lt;='Top 15'!$E$5,'Top 15'!$E$5-INDEX('Staff Review'!$G$8:$G$507,I2446)&lt;='Top 15'!$H$5,LEN(INDEX('Staff Review'!$H$8:$H$507,I2446))&gt;0),"Yes","No")))</x:f>
        <x:v>No</x:v>
      </x:c>
      <x:c r="AK2446" s="1" t="n">
        <x:f>IF(A2446="",0,COUNTIFS($A$2:$A$501,A2446))</x:f>
        <x:v>0</x:v>
      </x:c>
      <x:c r="AL2446" s="1" t="n">
        <x:f>IF(V2446="Candidate",1,0)</x:f>
        <x:v>0</x:v>
      </x:c>
      <x:c r="AM2446" s="1" t="n">
        <x:f>IF(A2446="",0,VALUE(A2446))</x:f>
        <x:v>0</x:v>
      </x:c>
      <x:c r="AN2446" s="1" t="n">
        <x:f>IF(OR(A2446="",COUNTIFS($T$41:$T$540,A2446)&lt;&gt;1),0,MATCH(A2446,$T$41:$T$540,0))</x:f>
        <x:v>0</x:v>
      </x:c>
      <x:c r="AO2446" t="n">
        <x:f>IF(ISNUMBER(W2446),W2446,10000+AM2446)</x:f>
        <x:v>10000</x:v>
      </x:c>
    </x:row>
    <x:row r="2447" ht="22" customHeight="1">
      <x:c r="A2447" s="1" t="str">
        <x:f>IF(A398="","",A398)</x:f>
      </x:c>
      <x:c r="B2447" s="1" t="str">
        <x:f>IF(A2447="","",B398)</x:f>
      </x:c>
      <x:c r="C2447" s="1" t="str">
        <x:f>IF(A2447="","",C398)</x:f>
      </x:c>
      <x:c r="D2447" s="1" t="str">
        <x:f>IF(A2447="","",E398)</x:f>
      </x:c>
      <x:c r="E2447" s="1" t="str">
        <x:f>IF(A2447="","",H398)</x:f>
      </x:c>
      <x:c r="F2447" s="1" t="str">
        <x:f>IF(ISNUMBER(K398),K398,"")</x:f>
      </x:c>
      <x:c r="G2447" s="1" t="str">
        <x:f>IF(ISNUMBER(L398),L398,"")</x:f>
      </x:c>
      <x:c r="H2447" s="1" t="str">
        <x:f>IF(A2447="","",IF(AND(UPPER(G398)="PHILADELPHIA",OR(C2447="District",AND(C2447="Charter",D398="Yes"))),"Yes","No"))</x:f>
      </x:c>
      <x:c r="I2447" s="1" t="n">
        <x:f>IF(OR(A2447="",COUNTIFS('Staff Review'!$A$8:$A$507,A2447)&lt;&gt;1),0,MATCH(A2447,'Staff Review'!$A$8:$A$507,0))</x:f>
        <x:v>0</x:v>
      </x:c>
      <x:c r="J2447" s="1" t="str">
        <x:f>IF(I2447=0,"No",IF(INDEX('Staff Review'!$C$8:$C$507,I2447)="Yes","Yes","No"))</x:f>
        <x:v>No</x:v>
      </x:c>
      <x:c r="K2447" s="1" t="str">
        <x:f>IF(AI2447="Yes",INDEX('Staff Review'!$D$8:$D$507,I2447),IF(AB2447=0,"",IF(COUNT(INDEX($C$1531:$C$2030,AB2447))=1,INDEX($C$1531:$C$2030,AB2447),"")))</x:f>
      </x:c>
      <x:c r="L2447" s="1" t="str">
        <x:f>IF(AJ2447="Yes",INDEX('Staff Review'!$F$8:$F$507,I2447),IF(AB2447=0,"",IF(COUNT(INDEX($G$1531:$G$2030,AB2447))=1,INDEX($G$1531:$G$2030,AB2447),"")))</x:f>
      </x:c>
      <x:c r="M2447" s="1" t="str">
        <x:f>IF(A2447="","",IF(AI2447="Yes","Verified","Listed"))</x:f>
      </x:c>
      <x:c r="N2447" s="1" t="str">
        <x:f>IF(A2447="","",IF(AJ2447="Yes","Verified","Listed"))</x:f>
      </x:c>
      <x:c r="O2447" s="1" t="str">
        <x:f>IF(AND(ISNUMBER(G2447),G2447&gt;=0,G2447&lt;=1),IF(G2447&gt;=0.9,30,IF(G2447&gt;=0.8,25,IF(G2447&gt;=0.7,20,IF(G2447&gt;=0.6,15,IF(G2447&gt;=0.5,10,IF(G2447&gt;=0.4,5,0)))))),"")</x:f>
      </x:c>
      <x:c r="P2447" s="1" t="str">
        <x:f>IF(ISNUMBER(K2447),IF(K2447&lt;0,"",IF(K2447&gt;1,25,IF(K2447&gt;=0.75,20,IF(K2447&gt;=0.5,15,IF(K2447&gt;=0.25,10,5))))),"")</x:f>
      </x:c>
      <x:c r="Q2447" s="1" t="str">
        <x:f>IF(NOT(ISNUMBER(L2447)),"",IF(AND(L2447&gt;=0,MOD(L2447,1)=0),MAX(0,25-5*L2447),""))</x:f>
      </x:c>
      <x:c r="R2447" s="1" t="str">
        <x:f>IF(NOT(ISNUMBER(F2447)),"",IF(AND(F2447&gt;0,MOD(F2447,1)=0),IF(F2447&gt;=700,5,IF(F2447&gt;=500,4,IF(F2447&gt;=350,3,IF(F2447&gt;=200,2,1)))),""))</x:f>
      </x:c>
      <x:c r="S2447" s="1" t="str">
        <x:f>IF(COUNT(O2447:R2447)=4,SUM(O2447:R2447),"")</x:f>
      </x:c>
      <x:c r="T2447" s="1" t="str">
        <x:f>IF(OR(COUNT(O2447:R2447)&lt;&gt;4,COUNT('Top 15'!$B$35:$E$35)&lt;&gt;4,MIN('Top 15'!$B$35:$E$35)&lt;0,SUM('Top 15'!$B$35:$E$35)&lt;=0),"",ROUND(85*(O2447/30*'Top 15'!$B$35+P2447/25*'Top 15'!$C$35+Q2447/25*'Top 15'!$D$35+R2447/5*'Top 15'!$E$35)/SUM('Top 15'!$B$35:$E$35),6))</x:f>
      </x:c>
      <x:c r="U2447" s="1" t="str">
        <x:f>IF(A2447="","",IF(AND(M2447="Verified",N2447="Verified"),"Verified",IF(AND(M2447="Listed",N2447="Listed"),"Listed","Mixed")))</x:f>
      </x:c>
      <x:c r="V2447" s="1" t="str">
        <x:f>IF(A2447="","",IF(AK2447&lt;&gt;1,"Duplicate source ID",IF(COUNTIFS('Staff Review'!$A$8:$A$507,A2447)&gt;1,"Duplicate review ID",IF(H2447&lt;&gt;"Yes","Outside scope",IF(J2447="Yes","Already served",IF(NOT(ISNUMBER(T2447)),"Missing data","Candidate"))))))</x:f>
      </x:c>
      <x:c r="W2447" s="1" t="str">
        <x:f>IF(AL2447=0,"",1+COUNTIFS($AL$2051:$AL$2550,1,$T$2051:$T$2550,"&gt;"&amp;T2447)+COUNTIFS($AL$2051:$AL$2550,1,$T$2051:$T$2550,T2447,$G$2051:$G$2550,"&gt;"&amp;G2447)+COUNTIFS($AL$2051:$AL$2550,1,$T$2051:$T$2550,T2447,$G$2051:$G$2550,G2447,$F$2051:$F$2550,"&gt;"&amp;F2447)+COUNTIFS($AL$2051:$AL$2550,1,$T$2051:$T$2550,T2447,$G$2051:$G$2550,G2447,$F$2051:$F$2550,F2447,$AM$2051:$AM$2550,"&lt;"&amp;AM2447))</x:f>
      </x:c>
      <x:c r="X2447" s="1" t="str">
        <x:f>IF(AL2447=0,"",1+COUNTIFS($AL$2051:$AL$2550,1,$T$2051:$T$2550,"&gt;"&amp;T2447))</x:f>
      </x:c>
      <x:c r="Y2447" s="1" t="n">
        <x:f>IF(AND(H2447="Yes",OR(LEN('School Search'!$B$5)=0,ISNUMBER(SEARCH('School Search'!$B$5,B2447&amp;" "&amp;E2447&amp;" "&amp;A2447))),OR('School Search'!$D$5="All",C2447='School Search'!$D$5),OR('School Search'!$G$5="All eligible",AND('School Search'!$G$5="Not marked served",J2447&lt;&gt;"Yes"),AND('School Search'!$G$5="Missing data",V2447="Missing data"),AND('School Search'!$G$5="Marked served",J2447="Yes"))),1,0)</x:f>
        <x:v>0</x:v>
      </x:c>
      <x:c r="Z2447" s="1" t="str">
        <x:f>IF(Y2447=0,"",COUNTIFS($Y$2051:$Y$2550,1,$AO$2051:$AO$2550,"&lt;"&amp;AO2447)+COUNTIFS($Y$2051:Y2447,1,$AO$2051:AO2447,AO2447))</x:f>
      </x:c>
      <x:c r="AA2447" s="1" t="str">
        <x:f>IF(NOT(ISNUMBER(S2447)),"Missing demographic or access input",TEXT(G2447,"0%")&amp;" economic need; "&amp;TEXT(K2447,"0.00")&amp;" mi fresh access; "&amp;L2447&amp;" nearby resources")</x:f>
        <x:v>Missing demographic or access input</x:v>
      </x:c>
      <x:c r="AB2447" s="1" t="n">
        <x:f>IF(OR(A2447="",COUNTIFS($A$1531:$A$2030,A2447)&lt;&gt;1),0,MATCH(A2447,$A$1531:$A$2030,0))</x:f>
        <x:v>0</x:v>
      </x:c>
      <x:c r="AC2447" s="1" t="str">
        <x:f>IF(AB2447=0,"",INDEX($E$1531:$E$2030,AB2447))</x:f>
      </x:c>
      <x:c r="AD2447" s="1" t="str">
        <x:f>IF(AB2447=0,"",INDEX($F$1531:$F$2030,AB2447))</x:f>
      </x:c>
      <x:c r="AE2447" s="1" t="str">
        <x:f>IF(A2447="","",F398)</x:f>
      </x:c>
      <x:c r="AF2447" s="1" t="str">
        <x:f>IF(ISNUMBER(I398),I398,"")</x:f>
      </x:c>
      <x:c r="AG2447" s="1" t="str">
        <x:f>IF(ISNUMBER(J398),J398,"")</x:f>
      </x:c>
      <x:c r="AH2447" s="1" t="str">
        <x:f>IF(I2447=0,"Not contacted",IF(INDEX('Staff Review'!$J$8:$J$507,I2447)="","Not contacted",INDEX('Staff Review'!$J$8:$J$507,I2447)))</x:f>
        <x:v>Not contacted</x:v>
      </x:c>
      <x:c r="AI2447" s="1" t="str">
        <x:f>IF(I2447=0,"No",IF(AND(COUNT(INDEX('Staff Review'!$D$8:$D$507,I2447))=1,INDEX('Staff Review'!$D$8:$D$507,I2447)&gt;=0,COUNT(INDEX('Staff Review'!$E$8:$E$507,I2447))=1,INDEX('Staff Review'!$E$8:$E$507,I2447)&gt;0,INDEX('Staff Review'!$E$8:$E$507,I2447)&lt;='Top 15'!$E$5,'Top 15'!$E$5-INDEX('Staff Review'!$E$8:$E$507,I2447)&lt;='Top 15'!$H$5,LEN(INDEX('Staff Review'!$H$8:$H$507,I2447))&gt;0),"Yes","No"))</x:f>
        <x:v>No</x:v>
      </x:c>
      <x:c r="AJ2447" s="1" t="str">
        <x:f>IF(I2447=0,"No",IF(COUNT(INDEX('Staff Review'!$F$8:$F$507,I2447))&lt;&gt;1,"No",IF(AND(INDEX('Staff Review'!$F$8:$F$507,I2447)&gt;=0,MOD(INDEX('Staff Review'!$F$8:$F$507,I2447),1)=0,COUNT(INDEX('Staff Review'!$G$8:$G$507,I2447))=1,INDEX('Staff Review'!$G$8:$G$507,I2447)&gt;0,INDEX('Staff Review'!$G$8:$G$507,I2447)&lt;='Top 15'!$E$5,'Top 15'!$E$5-INDEX('Staff Review'!$G$8:$G$507,I2447)&lt;='Top 15'!$H$5,LEN(INDEX('Staff Review'!$H$8:$H$507,I2447))&gt;0),"Yes","No")))</x:f>
        <x:v>No</x:v>
      </x:c>
      <x:c r="AK2447" s="1" t="n">
        <x:f>IF(A2447="",0,COUNTIFS($A$2:$A$501,A2447))</x:f>
        <x:v>0</x:v>
      </x:c>
      <x:c r="AL2447" s="1" t="n">
        <x:f>IF(V2447="Candidate",1,0)</x:f>
        <x:v>0</x:v>
      </x:c>
      <x:c r="AM2447" s="1" t="n">
        <x:f>IF(A2447="",0,VALUE(A2447))</x:f>
        <x:v>0</x:v>
      </x:c>
      <x:c r="AN2447" s="1" t="n">
        <x:f>IF(OR(A2447="",COUNTIFS($T$41:$T$540,A2447)&lt;&gt;1),0,MATCH(A2447,$T$41:$T$540,0))</x:f>
        <x:v>0</x:v>
      </x:c>
      <x:c r="AO2447" t="n">
        <x:f>IF(ISNUMBER(W2447),W2447,10000+AM2447)</x:f>
        <x:v>10000</x:v>
      </x:c>
    </x:row>
    <x:row r="2448" ht="22" customHeight="1">
      <x:c r="A2448" s="1" t="str">
        <x:f>IF(A399="","",A399)</x:f>
      </x:c>
      <x:c r="B2448" s="1" t="str">
        <x:f>IF(A2448="","",B399)</x:f>
      </x:c>
      <x:c r="C2448" s="1" t="str">
        <x:f>IF(A2448="","",C399)</x:f>
      </x:c>
      <x:c r="D2448" s="1" t="str">
        <x:f>IF(A2448="","",E399)</x:f>
      </x:c>
      <x:c r="E2448" s="1" t="str">
        <x:f>IF(A2448="","",H399)</x:f>
      </x:c>
      <x:c r="F2448" s="1" t="str">
        <x:f>IF(ISNUMBER(K399),K399,"")</x:f>
      </x:c>
      <x:c r="G2448" s="1" t="str">
        <x:f>IF(ISNUMBER(L399),L399,"")</x:f>
      </x:c>
      <x:c r="H2448" s="1" t="str">
        <x:f>IF(A2448="","",IF(AND(UPPER(G399)="PHILADELPHIA",OR(C2448="District",AND(C2448="Charter",D399="Yes"))),"Yes","No"))</x:f>
      </x:c>
      <x:c r="I2448" s="1" t="n">
        <x:f>IF(OR(A2448="",COUNTIFS('Staff Review'!$A$8:$A$507,A2448)&lt;&gt;1),0,MATCH(A2448,'Staff Review'!$A$8:$A$507,0))</x:f>
        <x:v>0</x:v>
      </x:c>
      <x:c r="J2448" s="1" t="str">
        <x:f>IF(I2448=0,"No",IF(INDEX('Staff Review'!$C$8:$C$507,I2448)="Yes","Yes","No"))</x:f>
        <x:v>No</x:v>
      </x:c>
      <x:c r="K2448" s="1" t="str">
        <x:f>IF(AI2448="Yes",INDEX('Staff Review'!$D$8:$D$507,I2448),IF(AB2448=0,"",IF(COUNT(INDEX($C$1531:$C$2030,AB2448))=1,INDEX($C$1531:$C$2030,AB2448),"")))</x:f>
      </x:c>
      <x:c r="L2448" s="1" t="str">
        <x:f>IF(AJ2448="Yes",INDEX('Staff Review'!$F$8:$F$507,I2448),IF(AB2448=0,"",IF(COUNT(INDEX($G$1531:$G$2030,AB2448))=1,INDEX($G$1531:$G$2030,AB2448),"")))</x:f>
      </x:c>
      <x:c r="M2448" s="1" t="str">
        <x:f>IF(A2448="","",IF(AI2448="Yes","Verified","Listed"))</x:f>
      </x:c>
      <x:c r="N2448" s="1" t="str">
        <x:f>IF(A2448="","",IF(AJ2448="Yes","Verified","Listed"))</x:f>
      </x:c>
      <x:c r="O2448" s="1" t="str">
        <x:f>IF(AND(ISNUMBER(G2448),G2448&gt;=0,G2448&lt;=1),IF(G2448&gt;=0.9,30,IF(G2448&gt;=0.8,25,IF(G2448&gt;=0.7,20,IF(G2448&gt;=0.6,15,IF(G2448&gt;=0.5,10,IF(G2448&gt;=0.4,5,0)))))),"")</x:f>
      </x:c>
      <x:c r="P2448" s="1" t="str">
        <x:f>IF(ISNUMBER(K2448),IF(K2448&lt;0,"",IF(K2448&gt;1,25,IF(K2448&gt;=0.75,20,IF(K2448&gt;=0.5,15,IF(K2448&gt;=0.25,10,5))))),"")</x:f>
      </x:c>
      <x:c r="Q2448" s="1" t="str">
        <x:f>IF(NOT(ISNUMBER(L2448)),"",IF(AND(L2448&gt;=0,MOD(L2448,1)=0),MAX(0,25-5*L2448),""))</x:f>
      </x:c>
      <x:c r="R2448" s="1" t="str">
        <x:f>IF(NOT(ISNUMBER(F2448)),"",IF(AND(F2448&gt;0,MOD(F2448,1)=0),IF(F2448&gt;=700,5,IF(F2448&gt;=500,4,IF(F2448&gt;=350,3,IF(F2448&gt;=200,2,1)))),""))</x:f>
      </x:c>
      <x:c r="S2448" s="1" t="str">
        <x:f>IF(COUNT(O2448:R2448)=4,SUM(O2448:R2448),"")</x:f>
      </x:c>
      <x:c r="T2448" s="1" t="str">
        <x:f>IF(OR(COUNT(O2448:R2448)&lt;&gt;4,COUNT('Top 15'!$B$35:$E$35)&lt;&gt;4,MIN('Top 15'!$B$35:$E$35)&lt;0,SUM('Top 15'!$B$35:$E$35)&lt;=0),"",ROUND(85*(O2448/30*'Top 15'!$B$35+P2448/25*'Top 15'!$C$35+Q2448/25*'Top 15'!$D$35+R2448/5*'Top 15'!$E$35)/SUM('Top 15'!$B$35:$E$35),6))</x:f>
      </x:c>
      <x:c r="U2448" s="1" t="str">
        <x:f>IF(A2448="","",IF(AND(M2448="Verified",N2448="Verified"),"Verified",IF(AND(M2448="Listed",N2448="Listed"),"Listed","Mixed")))</x:f>
      </x:c>
      <x:c r="V2448" s="1" t="str">
        <x:f>IF(A2448="","",IF(AK2448&lt;&gt;1,"Duplicate source ID",IF(COUNTIFS('Staff Review'!$A$8:$A$507,A2448)&gt;1,"Duplicate review ID",IF(H2448&lt;&gt;"Yes","Outside scope",IF(J2448="Yes","Already served",IF(NOT(ISNUMBER(T2448)),"Missing data","Candidate"))))))</x:f>
      </x:c>
      <x:c r="W2448" s="1" t="str">
        <x:f>IF(AL2448=0,"",1+COUNTIFS($AL$2051:$AL$2550,1,$T$2051:$T$2550,"&gt;"&amp;T2448)+COUNTIFS($AL$2051:$AL$2550,1,$T$2051:$T$2550,T2448,$G$2051:$G$2550,"&gt;"&amp;G2448)+COUNTIFS($AL$2051:$AL$2550,1,$T$2051:$T$2550,T2448,$G$2051:$G$2550,G2448,$F$2051:$F$2550,"&gt;"&amp;F2448)+COUNTIFS($AL$2051:$AL$2550,1,$T$2051:$T$2550,T2448,$G$2051:$G$2550,G2448,$F$2051:$F$2550,F2448,$AM$2051:$AM$2550,"&lt;"&amp;AM2448))</x:f>
      </x:c>
      <x:c r="X2448" s="1" t="str">
        <x:f>IF(AL2448=0,"",1+COUNTIFS($AL$2051:$AL$2550,1,$T$2051:$T$2550,"&gt;"&amp;T2448))</x:f>
      </x:c>
      <x:c r="Y2448" s="1" t="n">
        <x:f>IF(AND(H2448="Yes",OR(LEN('School Search'!$B$5)=0,ISNUMBER(SEARCH('School Search'!$B$5,B2448&amp;" "&amp;E2448&amp;" "&amp;A2448))),OR('School Search'!$D$5="All",C2448='School Search'!$D$5),OR('School Search'!$G$5="All eligible",AND('School Search'!$G$5="Not marked served",J2448&lt;&gt;"Yes"),AND('School Search'!$G$5="Missing data",V2448="Missing data"),AND('School Search'!$G$5="Marked served",J2448="Yes"))),1,0)</x:f>
        <x:v>0</x:v>
      </x:c>
      <x:c r="Z2448" s="1" t="str">
        <x:f>IF(Y2448=0,"",COUNTIFS($Y$2051:$Y$2550,1,$AO$2051:$AO$2550,"&lt;"&amp;AO2448)+COUNTIFS($Y$2051:Y2448,1,$AO$2051:AO2448,AO2448))</x:f>
      </x:c>
      <x:c r="AA2448" s="1" t="str">
        <x:f>IF(NOT(ISNUMBER(S2448)),"Missing demographic or access input",TEXT(G2448,"0%")&amp;" economic need; "&amp;TEXT(K2448,"0.00")&amp;" mi fresh access; "&amp;L2448&amp;" nearby resources")</x:f>
        <x:v>Missing demographic or access input</x:v>
      </x:c>
      <x:c r="AB2448" s="1" t="n">
        <x:f>IF(OR(A2448="",COUNTIFS($A$1531:$A$2030,A2448)&lt;&gt;1),0,MATCH(A2448,$A$1531:$A$2030,0))</x:f>
        <x:v>0</x:v>
      </x:c>
      <x:c r="AC2448" s="1" t="str">
        <x:f>IF(AB2448=0,"",INDEX($E$1531:$E$2030,AB2448))</x:f>
      </x:c>
      <x:c r="AD2448" s="1" t="str">
        <x:f>IF(AB2448=0,"",INDEX($F$1531:$F$2030,AB2448))</x:f>
      </x:c>
      <x:c r="AE2448" s="1" t="str">
        <x:f>IF(A2448="","",F399)</x:f>
      </x:c>
      <x:c r="AF2448" s="1" t="str">
        <x:f>IF(ISNUMBER(I399),I399,"")</x:f>
      </x:c>
      <x:c r="AG2448" s="1" t="str">
        <x:f>IF(ISNUMBER(J399),J399,"")</x:f>
      </x:c>
      <x:c r="AH2448" s="1" t="str">
        <x:f>IF(I2448=0,"Not contacted",IF(INDEX('Staff Review'!$J$8:$J$507,I2448)="","Not contacted",INDEX('Staff Review'!$J$8:$J$507,I2448)))</x:f>
        <x:v>Not contacted</x:v>
      </x:c>
      <x:c r="AI2448" s="1" t="str">
        <x:f>IF(I2448=0,"No",IF(AND(COUNT(INDEX('Staff Review'!$D$8:$D$507,I2448))=1,INDEX('Staff Review'!$D$8:$D$507,I2448)&gt;=0,COUNT(INDEX('Staff Review'!$E$8:$E$507,I2448))=1,INDEX('Staff Review'!$E$8:$E$507,I2448)&gt;0,INDEX('Staff Review'!$E$8:$E$507,I2448)&lt;='Top 15'!$E$5,'Top 15'!$E$5-INDEX('Staff Review'!$E$8:$E$507,I2448)&lt;='Top 15'!$H$5,LEN(INDEX('Staff Review'!$H$8:$H$507,I2448))&gt;0),"Yes","No"))</x:f>
        <x:v>No</x:v>
      </x:c>
      <x:c r="AJ2448" s="1" t="str">
        <x:f>IF(I2448=0,"No",IF(COUNT(INDEX('Staff Review'!$F$8:$F$507,I2448))&lt;&gt;1,"No",IF(AND(INDEX('Staff Review'!$F$8:$F$507,I2448)&gt;=0,MOD(INDEX('Staff Review'!$F$8:$F$507,I2448),1)=0,COUNT(INDEX('Staff Review'!$G$8:$G$507,I2448))=1,INDEX('Staff Review'!$G$8:$G$507,I2448)&gt;0,INDEX('Staff Review'!$G$8:$G$507,I2448)&lt;='Top 15'!$E$5,'Top 15'!$E$5-INDEX('Staff Review'!$G$8:$G$507,I2448)&lt;='Top 15'!$H$5,LEN(INDEX('Staff Review'!$H$8:$H$507,I2448))&gt;0),"Yes","No")))</x:f>
        <x:v>No</x:v>
      </x:c>
      <x:c r="AK2448" s="1" t="n">
        <x:f>IF(A2448="",0,COUNTIFS($A$2:$A$501,A2448))</x:f>
        <x:v>0</x:v>
      </x:c>
      <x:c r="AL2448" s="1" t="n">
        <x:f>IF(V2448="Candidate",1,0)</x:f>
        <x:v>0</x:v>
      </x:c>
      <x:c r="AM2448" s="1" t="n">
        <x:f>IF(A2448="",0,VALUE(A2448))</x:f>
        <x:v>0</x:v>
      </x:c>
      <x:c r="AN2448" s="1" t="n">
        <x:f>IF(OR(A2448="",COUNTIFS($T$41:$T$540,A2448)&lt;&gt;1),0,MATCH(A2448,$T$41:$T$540,0))</x:f>
        <x:v>0</x:v>
      </x:c>
      <x:c r="AO2448" t="n">
        <x:f>IF(ISNUMBER(W2448),W2448,10000+AM2448)</x:f>
        <x:v>10000</x:v>
      </x:c>
    </x:row>
    <x:row r="2449" ht="22" customHeight="1">
      <x:c r="A2449" s="1" t="str">
        <x:f>IF(A400="","",A400)</x:f>
      </x:c>
      <x:c r="B2449" s="1" t="str">
        <x:f>IF(A2449="","",B400)</x:f>
      </x:c>
      <x:c r="C2449" s="1" t="str">
        <x:f>IF(A2449="","",C400)</x:f>
      </x:c>
      <x:c r="D2449" s="1" t="str">
        <x:f>IF(A2449="","",E400)</x:f>
      </x:c>
      <x:c r="E2449" s="1" t="str">
        <x:f>IF(A2449="","",H400)</x:f>
      </x:c>
      <x:c r="F2449" s="1" t="str">
        <x:f>IF(ISNUMBER(K400),K400,"")</x:f>
      </x:c>
      <x:c r="G2449" s="1" t="str">
        <x:f>IF(ISNUMBER(L400),L400,"")</x:f>
      </x:c>
      <x:c r="H2449" s="1" t="str">
        <x:f>IF(A2449="","",IF(AND(UPPER(G400)="PHILADELPHIA",OR(C2449="District",AND(C2449="Charter",D400="Yes"))),"Yes","No"))</x:f>
      </x:c>
      <x:c r="I2449" s="1" t="n">
        <x:f>IF(OR(A2449="",COUNTIFS('Staff Review'!$A$8:$A$507,A2449)&lt;&gt;1),0,MATCH(A2449,'Staff Review'!$A$8:$A$507,0))</x:f>
        <x:v>0</x:v>
      </x:c>
      <x:c r="J2449" s="1" t="str">
        <x:f>IF(I2449=0,"No",IF(INDEX('Staff Review'!$C$8:$C$507,I2449)="Yes","Yes","No"))</x:f>
        <x:v>No</x:v>
      </x:c>
      <x:c r="K2449" s="1" t="str">
        <x:f>IF(AI2449="Yes",INDEX('Staff Review'!$D$8:$D$507,I2449),IF(AB2449=0,"",IF(COUNT(INDEX($C$1531:$C$2030,AB2449))=1,INDEX($C$1531:$C$2030,AB2449),"")))</x:f>
      </x:c>
      <x:c r="L2449" s="1" t="str">
        <x:f>IF(AJ2449="Yes",INDEX('Staff Review'!$F$8:$F$507,I2449),IF(AB2449=0,"",IF(COUNT(INDEX($G$1531:$G$2030,AB2449))=1,INDEX($G$1531:$G$2030,AB2449),"")))</x:f>
      </x:c>
      <x:c r="M2449" s="1" t="str">
        <x:f>IF(A2449="","",IF(AI2449="Yes","Verified","Listed"))</x:f>
      </x:c>
      <x:c r="N2449" s="1" t="str">
        <x:f>IF(A2449="","",IF(AJ2449="Yes","Verified","Listed"))</x:f>
      </x:c>
      <x:c r="O2449" s="1" t="str">
        <x:f>IF(AND(ISNUMBER(G2449),G2449&gt;=0,G2449&lt;=1),IF(G2449&gt;=0.9,30,IF(G2449&gt;=0.8,25,IF(G2449&gt;=0.7,20,IF(G2449&gt;=0.6,15,IF(G2449&gt;=0.5,10,IF(G2449&gt;=0.4,5,0)))))),"")</x:f>
      </x:c>
      <x:c r="P2449" s="1" t="str">
        <x:f>IF(ISNUMBER(K2449),IF(K2449&lt;0,"",IF(K2449&gt;1,25,IF(K2449&gt;=0.75,20,IF(K2449&gt;=0.5,15,IF(K2449&gt;=0.25,10,5))))),"")</x:f>
      </x:c>
      <x:c r="Q2449" s="1" t="str">
        <x:f>IF(NOT(ISNUMBER(L2449)),"",IF(AND(L2449&gt;=0,MOD(L2449,1)=0),MAX(0,25-5*L2449),""))</x:f>
      </x:c>
      <x:c r="R2449" s="1" t="str">
        <x:f>IF(NOT(ISNUMBER(F2449)),"",IF(AND(F2449&gt;0,MOD(F2449,1)=0),IF(F2449&gt;=700,5,IF(F2449&gt;=500,4,IF(F2449&gt;=350,3,IF(F2449&gt;=200,2,1)))),""))</x:f>
      </x:c>
      <x:c r="S2449" s="1" t="str">
        <x:f>IF(COUNT(O2449:R2449)=4,SUM(O2449:R2449),"")</x:f>
      </x:c>
      <x:c r="T2449" s="1" t="str">
        <x:f>IF(OR(COUNT(O2449:R2449)&lt;&gt;4,COUNT('Top 15'!$B$35:$E$35)&lt;&gt;4,MIN('Top 15'!$B$35:$E$35)&lt;0,SUM('Top 15'!$B$35:$E$35)&lt;=0),"",ROUND(85*(O2449/30*'Top 15'!$B$35+P2449/25*'Top 15'!$C$35+Q2449/25*'Top 15'!$D$35+R2449/5*'Top 15'!$E$35)/SUM('Top 15'!$B$35:$E$35),6))</x:f>
      </x:c>
      <x:c r="U2449" s="1" t="str">
        <x:f>IF(A2449="","",IF(AND(M2449="Verified",N2449="Verified"),"Verified",IF(AND(M2449="Listed",N2449="Listed"),"Listed","Mixed")))</x:f>
      </x:c>
      <x:c r="V2449" s="1" t="str">
        <x:f>IF(A2449="","",IF(AK2449&lt;&gt;1,"Duplicate source ID",IF(COUNTIFS('Staff Review'!$A$8:$A$507,A2449)&gt;1,"Duplicate review ID",IF(H2449&lt;&gt;"Yes","Outside scope",IF(J2449="Yes","Already served",IF(NOT(ISNUMBER(T2449)),"Missing data","Candidate"))))))</x:f>
      </x:c>
      <x:c r="W2449" s="1" t="str">
        <x:f>IF(AL2449=0,"",1+COUNTIFS($AL$2051:$AL$2550,1,$T$2051:$T$2550,"&gt;"&amp;T2449)+COUNTIFS($AL$2051:$AL$2550,1,$T$2051:$T$2550,T2449,$G$2051:$G$2550,"&gt;"&amp;G2449)+COUNTIFS($AL$2051:$AL$2550,1,$T$2051:$T$2550,T2449,$G$2051:$G$2550,G2449,$F$2051:$F$2550,"&gt;"&amp;F2449)+COUNTIFS($AL$2051:$AL$2550,1,$T$2051:$T$2550,T2449,$G$2051:$G$2550,G2449,$F$2051:$F$2550,F2449,$AM$2051:$AM$2550,"&lt;"&amp;AM2449))</x:f>
      </x:c>
      <x:c r="X2449" s="1" t="str">
        <x:f>IF(AL2449=0,"",1+COUNTIFS($AL$2051:$AL$2550,1,$T$2051:$T$2550,"&gt;"&amp;T2449))</x:f>
      </x:c>
      <x:c r="Y2449" s="1" t="n">
        <x:f>IF(AND(H2449="Yes",OR(LEN('School Search'!$B$5)=0,ISNUMBER(SEARCH('School Search'!$B$5,B2449&amp;" "&amp;E2449&amp;" "&amp;A2449))),OR('School Search'!$D$5="All",C2449='School Search'!$D$5),OR('School Search'!$G$5="All eligible",AND('School Search'!$G$5="Not marked served",J2449&lt;&gt;"Yes"),AND('School Search'!$G$5="Missing data",V2449="Missing data"),AND('School Search'!$G$5="Marked served",J2449="Yes"))),1,0)</x:f>
        <x:v>0</x:v>
      </x:c>
      <x:c r="Z2449" s="1" t="str">
        <x:f>IF(Y2449=0,"",COUNTIFS($Y$2051:$Y$2550,1,$AO$2051:$AO$2550,"&lt;"&amp;AO2449)+COUNTIFS($Y$2051:Y2449,1,$AO$2051:AO2449,AO2449))</x:f>
      </x:c>
      <x:c r="AA2449" s="1" t="str">
        <x:f>IF(NOT(ISNUMBER(S2449)),"Missing demographic or access input",TEXT(G2449,"0%")&amp;" economic need; "&amp;TEXT(K2449,"0.00")&amp;" mi fresh access; "&amp;L2449&amp;" nearby resources")</x:f>
        <x:v>Missing demographic or access input</x:v>
      </x:c>
      <x:c r="AB2449" s="1" t="n">
        <x:f>IF(OR(A2449="",COUNTIFS($A$1531:$A$2030,A2449)&lt;&gt;1),0,MATCH(A2449,$A$1531:$A$2030,0))</x:f>
        <x:v>0</x:v>
      </x:c>
      <x:c r="AC2449" s="1" t="str">
        <x:f>IF(AB2449=0,"",INDEX($E$1531:$E$2030,AB2449))</x:f>
      </x:c>
      <x:c r="AD2449" s="1" t="str">
        <x:f>IF(AB2449=0,"",INDEX($F$1531:$F$2030,AB2449))</x:f>
      </x:c>
      <x:c r="AE2449" s="1" t="str">
        <x:f>IF(A2449="","",F400)</x:f>
      </x:c>
      <x:c r="AF2449" s="1" t="str">
        <x:f>IF(ISNUMBER(I400),I400,"")</x:f>
      </x:c>
      <x:c r="AG2449" s="1" t="str">
        <x:f>IF(ISNUMBER(J400),J400,"")</x:f>
      </x:c>
      <x:c r="AH2449" s="1" t="str">
        <x:f>IF(I2449=0,"Not contacted",IF(INDEX('Staff Review'!$J$8:$J$507,I2449)="","Not contacted",INDEX('Staff Review'!$J$8:$J$507,I2449)))</x:f>
        <x:v>Not contacted</x:v>
      </x:c>
      <x:c r="AI2449" s="1" t="str">
        <x:f>IF(I2449=0,"No",IF(AND(COUNT(INDEX('Staff Review'!$D$8:$D$507,I2449))=1,INDEX('Staff Review'!$D$8:$D$507,I2449)&gt;=0,COUNT(INDEX('Staff Review'!$E$8:$E$507,I2449))=1,INDEX('Staff Review'!$E$8:$E$507,I2449)&gt;0,INDEX('Staff Review'!$E$8:$E$507,I2449)&lt;='Top 15'!$E$5,'Top 15'!$E$5-INDEX('Staff Review'!$E$8:$E$507,I2449)&lt;='Top 15'!$H$5,LEN(INDEX('Staff Review'!$H$8:$H$507,I2449))&gt;0),"Yes","No"))</x:f>
        <x:v>No</x:v>
      </x:c>
      <x:c r="AJ2449" s="1" t="str">
        <x:f>IF(I2449=0,"No",IF(COUNT(INDEX('Staff Review'!$F$8:$F$507,I2449))&lt;&gt;1,"No",IF(AND(INDEX('Staff Review'!$F$8:$F$507,I2449)&gt;=0,MOD(INDEX('Staff Review'!$F$8:$F$507,I2449),1)=0,COUNT(INDEX('Staff Review'!$G$8:$G$507,I2449))=1,INDEX('Staff Review'!$G$8:$G$507,I2449)&gt;0,INDEX('Staff Review'!$G$8:$G$507,I2449)&lt;='Top 15'!$E$5,'Top 15'!$E$5-INDEX('Staff Review'!$G$8:$G$507,I2449)&lt;='Top 15'!$H$5,LEN(INDEX('Staff Review'!$H$8:$H$507,I2449))&gt;0),"Yes","No")))</x:f>
        <x:v>No</x:v>
      </x:c>
      <x:c r="AK2449" s="1" t="n">
        <x:f>IF(A2449="",0,COUNTIFS($A$2:$A$501,A2449))</x:f>
        <x:v>0</x:v>
      </x:c>
      <x:c r="AL2449" s="1" t="n">
        <x:f>IF(V2449="Candidate",1,0)</x:f>
        <x:v>0</x:v>
      </x:c>
      <x:c r="AM2449" s="1" t="n">
        <x:f>IF(A2449="",0,VALUE(A2449))</x:f>
        <x:v>0</x:v>
      </x:c>
      <x:c r="AN2449" s="1" t="n">
        <x:f>IF(OR(A2449="",COUNTIFS($T$41:$T$540,A2449)&lt;&gt;1),0,MATCH(A2449,$T$41:$T$540,0))</x:f>
        <x:v>0</x:v>
      </x:c>
      <x:c r="AO2449" t="n">
        <x:f>IF(ISNUMBER(W2449),W2449,10000+AM2449)</x:f>
        <x:v>10000</x:v>
      </x:c>
    </x:row>
    <x:row r="2450" ht="22" customHeight="1">
      <x:c r="A2450" s="1" t="str">
        <x:f>IF(A401="","",A401)</x:f>
      </x:c>
      <x:c r="B2450" s="1" t="str">
        <x:f>IF(A2450="","",B401)</x:f>
      </x:c>
      <x:c r="C2450" s="1" t="str">
        <x:f>IF(A2450="","",C401)</x:f>
      </x:c>
      <x:c r="D2450" s="1" t="str">
        <x:f>IF(A2450="","",E401)</x:f>
      </x:c>
      <x:c r="E2450" s="1" t="str">
        <x:f>IF(A2450="","",H401)</x:f>
      </x:c>
      <x:c r="F2450" s="1" t="str">
        <x:f>IF(ISNUMBER(K401),K401,"")</x:f>
      </x:c>
      <x:c r="G2450" s="1" t="str">
        <x:f>IF(ISNUMBER(L401),L401,"")</x:f>
      </x:c>
      <x:c r="H2450" s="1" t="str">
        <x:f>IF(A2450="","",IF(AND(UPPER(G401)="PHILADELPHIA",OR(C2450="District",AND(C2450="Charter",D401="Yes"))),"Yes","No"))</x:f>
      </x:c>
      <x:c r="I2450" s="1" t="n">
        <x:f>IF(OR(A2450="",COUNTIFS('Staff Review'!$A$8:$A$507,A2450)&lt;&gt;1),0,MATCH(A2450,'Staff Review'!$A$8:$A$507,0))</x:f>
        <x:v>0</x:v>
      </x:c>
      <x:c r="J2450" s="1" t="str">
        <x:f>IF(I2450=0,"No",IF(INDEX('Staff Review'!$C$8:$C$507,I2450)="Yes","Yes","No"))</x:f>
        <x:v>No</x:v>
      </x:c>
      <x:c r="K2450" s="1" t="str">
        <x:f>IF(AI2450="Yes",INDEX('Staff Review'!$D$8:$D$507,I2450),IF(AB2450=0,"",IF(COUNT(INDEX($C$1531:$C$2030,AB2450))=1,INDEX($C$1531:$C$2030,AB2450),"")))</x:f>
      </x:c>
      <x:c r="L2450" s="1" t="str">
        <x:f>IF(AJ2450="Yes",INDEX('Staff Review'!$F$8:$F$507,I2450),IF(AB2450=0,"",IF(COUNT(INDEX($G$1531:$G$2030,AB2450))=1,INDEX($G$1531:$G$2030,AB2450),"")))</x:f>
      </x:c>
      <x:c r="M2450" s="1" t="str">
        <x:f>IF(A2450="","",IF(AI2450="Yes","Verified","Listed"))</x:f>
      </x:c>
      <x:c r="N2450" s="1" t="str">
        <x:f>IF(A2450="","",IF(AJ2450="Yes","Verified","Listed"))</x:f>
      </x:c>
      <x:c r="O2450" s="1" t="str">
        <x:f>IF(AND(ISNUMBER(G2450),G2450&gt;=0,G2450&lt;=1),IF(G2450&gt;=0.9,30,IF(G2450&gt;=0.8,25,IF(G2450&gt;=0.7,20,IF(G2450&gt;=0.6,15,IF(G2450&gt;=0.5,10,IF(G2450&gt;=0.4,5,0)))))),"")</x:f>
      </x:c>
      <x:c r="P2450" s="1" t="str">
        <x:f>IF(ISNUMBER(K2450),IF(K2450&lt;0,"",IF(K2450&gt;1,25,IF(K2450&gt;=0.75,20,IF(K2450&gt;=0.5,15,IF(K2450&gt;=0.25,10,5))))),"")</x:f>
      </x:c>
      <x:c r="Q2450" s="1" t="str">
        <x:f>IF(NOT(ISNUMBER(L2450)),"",IF(AND(L2450&gt;=0,MOD(L2450,1)=0),MAX(0,25-5*L2450),""))</x:f>
      </x:c>
      <x:c r="R2450" s="1" t="str">
        <x:f>IF(NOT(ISNUMBER(F2450)),"",IF(AND(F2450&gt;0,MOD(F2450,1)=0),IF(F2450&gt;=700,5,IF(F2450&gt;=500,4,IF(F2450&gt;=350,3,IF(F2450&gt;=200,2,1)))),""))</x:f>
      </x:c>
      <x:c r="S2450" s="1" t="str">
        <x:f>IF(COUNT(O2450:R2450)=4,SUM(O2450:R2450),"")</x:f>
      </x:c>
      <x:c r="T2450" s="1" t="str">
        <x:f>IF(OR(COUNT(O2450:R2450)&lt;&gt;4,COUNT('Top 15'!$B$35:$E$35)&lt;&gt;4,MIN('Top 15'!$B$35:$E$35)&lt;0,SUM('Top 15'!$B$35:$E$35)&lt;=0),"",ROUND(85*(O2450/30*'Top 15'!$B$35+P2450/25*'Top 15'!$C$35+Q2450/25*'Top 15'!$D$35+R2450/5*'Top 15'!$E$35)/SUM('Top 15'!$B$35:$E$35),6))</x:f>
      </x:c>
      <x:c r="U2450" s="1" t="str">
        <x:f>IF(A2450="","",IF(AND(M2450="Verified",N2450="Verified"),"Verified",IF(AND(M2450="Listed",N2450="Listed"),"Listed","Mixed")))</x:f>
      </x:c>
      <x:c r="V2450" s="1" t="str">
        <x:f>IF(A2450="","",IF(AK2450&lt;&gt;1,"Duplicate source ID",IF(COUNTIFS('Staff Review'!$A$8:$A$507,A2450)&gt;1,"Duplicate review ID",IF(H2450&lt;&gt;"Yes","Outside scope",IF(J2450="Yes","Already served",IF(NOT(ISNUMBER(T2450)),"Missing data","Candidate"))))))</x:f>
      </x:c>
      <x:c r="W2450" s="1" t="str">
        <x:f>IF(AL2450=0,"",1+COUNTIFS($AL$2051:$AL$2550,1,$T$2051:$T$2550,"&gt;"&amp;T2450)+COUNTIFS($AL$2051:$AL$2550,1,$T$2051:$T$2550,T2450,$G$2051:$G$2550,"&gt;"&amp;G2450)+COUNTIFS($AL$2051:$AL$2550,1,$T$2051:$T$2550,T2450,$G$2051:$G$2550,G2450,$F$2051:$F$2550,"&gt;"&amp;F2450)+COUNTIFS($AL$2051:$AL$2550,1,$T$2051:$T$2550,T2450,$G$2051:$G$2550,G2450,$F$2051:$F$2550,F2450,$AM$2051:$AM$2550,"&lt;"&amp;AM2450))</x:f>
      </x:c>
      <x:c r="X2450" s="1" t="str">
        <x:f>IF(AL2450=0,"",1+COUNTIFS($AL$2051:$AL$2550,1,$T$2051:$T$2550,"&gt;"&amp;T2450))</x:f>
      </x:c>
      <x:c r="Y2450" s="1" t="n">
        <x:f>IF(AND(H2450="Yes",OR(LEN('School Search'!$B$5)=0,ISNUMBER(SEARCH('School Search'!$B$5,B2450&amp;" "&amp;E2450&amp;" "&amp;A2450))),OR('School Search'!$D$5="All",C2450='School Search'!$D$5),OR('School Search'!$G$5="All eligible",AND('School Search'!$G$5="Not marked served",J2450&lt;&gt;"Yes"),AND('School Search'!$G$5="Missing data",V2450="Missing data"),AND('School Search'!$G$5="Marked served",J2450="Yes"))),1,0)</x:f>
        <x:v>0</x:v>
      </x:c>
      <x:c r="Z2450" s="1" t="str">
        <x:f>IF(Y2450=0,"",COUNTIFS($Y$2051:$Y$2550,1,$AO$2051:$AO$2550,"&lt;"&amp;AO2450)+COUNTIFS($Y$2051:Y2450,1,$AO$2051:AO2450,AO2450))</x:f>
      </x:c>
      <x:c r="AA2450" s="1" t="str">
        <x:f>IF(NOT(ISNUMBER(S2450)),"Missing demographic or access input",TEXT(G2450,"0%")&amp;" economic need; "&amp;TEXT(K2450,"0.00")&amp;" mi fresh access; "&amp;L2450&amp;" nearby resources")</x:f>
        <x:v>Missing demographic or access input</x:v>
      </x:c>
      <x:c r="AB2450" s="1" t="n">
        <x:f>IF(OR(A2450="",COUNTIFS($A$1531:$A$2030,A2450)&lt;&gt;1),0,MATCH(A2450,$A$1531:$A$2030,0))</x:f>
        <x:v>0</x:v>
      </x:c>
      <x:c r="AC2450" s="1" t="str">
        <x:f>IF(AB2450=0,"",INDEX($E$1531:$E$2030,AB2450))</x:f>
      </x:c>
      <x:c r="AD2450" s="1" t="str">
        <x:f>IF(AB2450=0,"",INDEX($F$1531:$F$2030,AB2450))</x:f>
      </x:c>
      <x:c r="AE2450" s="1" t="str">
        <x:f>IF(A2450="","",F401)</x:f>
      </x:c>
      <x:c r="AF2450" s="1" t="str">
        <x:f>IF(ISNUMBER(I401),I401,"")</x:f>
      </x:c>
      <x:c r="AG2450" s="1" t="str">
        <x:f>IF(ISNUMBER(J401),J401,"")</x:f>
      </x:c>
      <x:c r="AH2450" s="1" t="str">
        <x:f>IF(I2450=0,"Not contacted",IF(INDEX('Staff Review'!$J$8:$J$507,I2450)="","Not contacted",INDEX('Staff Review'!$J$8:$J$507,I2450)))</x:f>
        <x:v>Not contacted</x:v>
      </x:c>
      <x:c r="AI2450" s="1" t="str">
        <x:f>IF(I2450=0,"No",IF(AND(COUNT(INDEX('Staff Review'!$D$8:$D$507,I2450))=1,INDEX('Staff Review'!$D$8:$D$507,I2450)&gt;=0,COUNT(INDEX('Staff Review'!$E$8:$E$507,I2450))=1,INDEX('Staff Review'!$E$8:$E$507,I2450)&gt;0,INDEX('Staff Review'!$E$8:$E$507,I2450)&lt;='Top 15'!$E$5,'Top 15'!$E$5-INDEX('Staff Review'!$E$8:$E$507,I2450)&lt;='Top 15'!$H$5,LEN(INDEX('Staff Review'!$H$8:$H$507,I2450))&gt;0),"Yes","No"))</x:f>
        <x:v>No</x:v>
      </x:c>
      <x:c r="AJ2450" s="1" t="str">
        <x:f>IF(I2450=0,"No",IF(COUNT(INDEX('Staff Review'!$F$8:$F$507,I2450))&lt;&gt;1,"No",IF(AND(INDEX('Staff Review'!$F$8:$F$507,I2450)&gt;=0,MOD(INDEX('Staff Review'!$F$8:$F$507,I2450),1)=0,COUNT(INDEX('Staff Review'!$G$8:$G$507,I2450))=1,INDEX('Staff Review'!$G$8:$G$507,I2450)&gt;0,INDEX('Staff Review'!$G$8:$G$507,I2450)&lt;='Top 15'!$E$5,'Top 15'!$E$5-INDEX('Staff Review'!$G$8:$G$507,I2450)&lt;='Top 15'!$H$5,LEN(INDEX('Staff Review'!$H$8:$H$507,I2450))&gt;0),"Yes","No")))</x:f>
        <x:v>No</x:v>
      </x:c>
      <x:c r="AK2450" s="1" t="n">
        <x:f>IF(A2450="",0,COUNTIFS($A$2:$A$501,A2450))</x:f>
        <x:v>0</x:v>
      </x:c>
      <x:c r="AL2450" s="1" t="n">
        <x:f>IF(V2450="Candidate",1,0)</x:f>
        <x:v>0</x:v>
      </x:c>
      <x:c r="AM2450" s="1" t="n">
        <x:f>IF(A2450="",0,VALUE(A2450))</x:f>
        <x:v>0</x:v>
      </x:c>
      <x:c r="AN2450" s="1" t="n">
        <x:f>IF(OR(A2450="",COUNTIFS($T$41:$T$540,A2450)&lt;&gt;1),0,MATCH(A2450,$T$41:$T$540,0))</x:f>
        <x:v>0</x:v>
      </x:c>
      <x:c r="AO2450" t="n">
        <x:f>IF(ISNUMBER(W2450),W2450,10000+AM2450)</x:f>
        <x:v>10000</x:v>
      </x:c>
    </x:row>
    <x:row r="2451" ht="22" customHeight="1">
      <x:c r="A2451" s="1" t="str">
        <x:f>IF(A402="","",A402)</x:f>
      </x:c>
      <x:c r="B2451" s="1" t="str">
        <x:f>IF(A2451="","",B402)</x:f>
      </x:c>
      <x:c r="C2451" s="1" t="str">
        <x:f>IF(A2451="","",C402)</x:f>
      </x:c>
      <x:c r="D2451" s="1" t="str">
        <x:f>IF(A2451="","",E402)</x:f>
      </x:c>
      <x:c r="E2451" s="1" t="str">
        <x:f>IF(A2451="","",H402)</x:f>
      </x:c>
      <x:c r="F2451" s="1" t="str">
        <x:f>IF(ISNUMBER(K402),K402,"")</x:f>
      </x:c>
      <x:c r="G2451" s="1" t="str">
        <x:f>IF(ISNUMBER(L402),L402,"")</x:f>
      </x:c>
      <x:c r="H2451" s="1" t="str">
        <x:f>IF(A2451="","",IF(AND(UPPER(G402)="PHILADELPHIA",OR(C2451="District",AND(C2451="Charter",D402="Yes"))),"Yes","No"))</x:f>
      </x:c>
      <x:c r="I2451" s="1" t="n">
        <x:f>IF(OR(A2451="",COUNTIFS('Staff Review'!$A$8:$A$507,A2451)&lt;&gt;1),0,MATCH(A2451,'Staff Review'!$A$8:$A$507,0))</x:f>
        <x:v>0</x:v>
      </x:c>
      <x:c r="J2451" s="1" t="str">
        <x:f>IF(I2451=0,"No",IF(INDEX('Staff Review'!$C$8:$C$507,I2451)="Yes","Yes","No"))</x:f>
        <x:v>No</x:v>
      </x:c>
      <x:c r="K2451" s="1" t="str">
        <x:f>IF(AI2451="Yes",INDEX('Staff Review'!$D$8:$D$507,I2451),IF(AB2451=0,"",IF(COUNT(INDEX($C$1531:$C$2030,AB2451))=1,INDEX($C$1531:$C$2030,AB2451),"")))</x:f>
      </x:c>
      <x:c r="L2451" s="1" t="str">
        <x:f>IF(AJ2451="Yes",INDEX('Staff Review'!$F$8:$F$507,I2451),IF(AB2451=0,"",IF(COUNT(INDEX($G$1531:$G$2030,AB2451))=1,INDEX($G$1531:$G$2030,AB2451),"")))</x:f>
      </x:c>
      <x:c r="M2451" s="1" t="str">
        <x:f>IF(A2451="","",IF(AI2451="Yes","Verified","Listed"))</x:f>
      </x:c>
      <x:c r="N2451" s="1" t="str">
        <x:f>IF(A2451="","",IF(AJ2451="Yes","Verified","Listed"))</x:f>
      </x:c>
      <x:c r="O2451" s="1" t="str">
        <x:f>IF(AND(ISNUMBER(G2451),G2451&gt;=0,G2451&lt;=1),IF(G2451&gt;=0.9,30,IF(G2451&gt;=0.8,25,IF(G2451&gt;=0.7,20,IF(G2451&gt;=0.6,15,IF(G2451&gt;=0.5,10,IF(G2451&gt;=0.4,5,0)))))),"")</x:f>
      </x:c>
      <x:c r="P2451" s="1" t="str">
        <x:f>IF(ISNUMBER(K2451),IF(K2451&lt;0,"",IF(K2451&gt;1,25,IF(K2451&gt;=0.75,20,IF(K2451&gt;=0.5,15,IF(K2451&gt;=0.25,10,5))))),"")</x:f>
      </x:c>
      <x:c r="Q2451" s="1" t="str">
        <x:f>IF(NOT(ISNUMBER(L2451)),"",IF(AND(L2451&gt;=0,MOD(L2451,1)=0),MAX(0,25-5*L2451),""))</x:f>
      </x:c>
      <x:c r="R2451" s="1" t="str">
        <x:f>IF(NOT(ISNUMBER(F2451)),"",IF(AND(F2451&gt;0,MOD(F2451,1)=0),IF(F2451&gt;=700,5,IF(F2451&gt;=500,4,IF(F2451&gt;=350,3,IF(F2451&gt;=200,2,1)))),""))</x:f>
      </x:c>
      <x:c r="S2451" s="1" t="str">
        <x:f>IF(COUNT(O2451:R2451)=4,SUM(O2451:R2451),"")</x:f>
      </x:c>
      <x:c r="T2451" s="1" t="str">
        <x:f>IF(OR(COUNT(O2451:R2451)&lt;&gt;4,COUNT('Top 15'!$B$35:$E$35)&lt;&gt;4,MIN('Top 15'!$B$35:$E$35)&lt;0,SUM('Top 15'!$B$35:$E$35)&lt;=0),"",ROUND(85*(O2451/30*'Top 15'!$B$35+P2451/25*'Top 15'!$C$35+Q2451/25*'Top 15'!$D$35+R2451/5*'Top 15'!$E$35)/SUM('Top 15'!$B$35:$E$35),6))</x:f>
      </x:c>
      <x:c r="U2451" s="1" t="str">
        <x:f>IF(A2451="","",IF(AND(M2451="Verified",N2451="Verified"),"Verified",IF(AND(M2451="Listed",N2451="Listed"),"Listed","Mixed")))</x:f>
      </x:c>
      <x:c r="V2451" s="1" t="str">
        <x:f>IF(A2451="","",IF(AK2451&lt;&gt;1,"Duplicate source ID",IF(COUNTIFS('Staff Review'!$A$8:$A$507,A2451)&gt;1,"Duplicate review ID",IF(H2451&lt;&gt;"Yes","Outside scope",IF(J2451="Yes","Already served",IF(NOT(ISNUMBER(T2451)),"Missing data","Candidate"))))))</x:f>
      </x:c>
      <x:c r="W2451" s="1" t="str">
        <x:f>IF(AL2451=0,"",1+COUNTIFS($AL$2051:$AL$2550,1,$T$2051:$T$2550,"&gt;"&amp;T2451)+COUNTIFS($AL$2051:$AL$2550,1,$T$2051:$T$2550,T2451,$G$2051:$G$2550,"&gt;"&amp;G2451)+COUNTIFS($AL$2051:$AL$2550,1,$T$2051:$T$2550,T2451,$G$2051:$G$2550,G2451,$F$2051:$F$2550,"&gt;"&amp;F2451)+COUNTIFS($AL$2051:$AL$2550,1,$T$2051:$T$2550,T2451,$G$2051:$G$2550,G2451,$F$2051:$F$2550,F2451,$AM$2051:$AM$2550,"&lt;"&amp;AM2451))</x:f>
      </x:c>
      <x:c r="X2451" s="1" t="str">
        <x:f>IF(AL2451=0,"",1+COUNTIFS($AL$2051:$AL$2550,1,$T$2051:$T$2550,"&gt;"&amp;T2451))</x:f>
      </x:c>
      <x:c r="Y2451" s="1" t="n">
        <x:f>IF(AND(H2451="Yes",OR(LEN('School Search'!$B$5)=0,ISNUMBER(SEARCH('School Search'!$B$5,B2451&amp;" "&amp;E2451&amp;" "&amp;A2451))),OR('School Search'!$D$5="All",C2451='School Search'!$D$5),OR('School Search'!$G$5="All eligible",AND('School Search'!$G$5="Not marked served",J2451&lt;&gt;"Yes"),AND('School Search'!$G$5="Missing data",V2451="Missing data"),AND('School Search'!$G$5="Marked served",J2451="Yes"))),1,0)</x:f>
        <x:v>0</x:v>
      </x:c>
      <x:c r="Z2451" s="1" t="str">
        <x:f>IF(Y2451=0,"",COUNTIFS($Y$2051:$Y$2550,1,$AO$2051:$AO$2550,"&lt;"&amp;AO2451)+COUNTIFS($Y$2051:Y2451,1,$AO$2051:AO2451,AO2451))</x:f>
      </x:c>
      <x:c r="AA2451" s="1" t="str">
        <x:f>IF(NOT(ISNUMBER(S2451)),"Missing demographic or access input",TEXT(G2451,"0%")&amp;" economic need; "&amp;TEXT(K2451,"0.00")&amp;" mi fresh access; "&amp;L2451&amp;" nearby resources")</x:f>
        <x:v>Missing demographic or access input</x:v>
      </x:c>
      <x:c r="AB2451" s="1" t="n">
        <x:f>IF(OR(A2451="",COUNTIFS($A$1531:$A$2030,A2451)&lt;&gt;1),0,MATCH(A2451,$A$1531:$A$2030,0))</x:f>
        <x:v>0</x:v>
      </x:c>
      <x:c r="AC2451" s="1" t="str">
        <x:f>IF(AB2451=0,"",INDEX($E$1531:$E$2030,AB2451))</x:f>
      </x:c>
      <x:c r="AD2451" s="1" t="str">
        <x:f>IF(AB2451=0,"",INDEX($F$1531:$F$2030,AB2451))</x:f>
      </x:c>
      <x:c r="AE2451" s="1" t="str">
        <x:f>IF(A2451="","",F402)</x:f>
      </x:c>
      <x:c r="AF2451" s="1" t="str">
        <x:f>IF(ISNUMBER(I402),I402,"")</x:f>
      </x:c>
      <x:c r="AG2451" s="1" t="str">
        <x:f>IF(ISNUMBER(J402),J402,"")</x:f>
      </x:c>
      <x:c r="AH2451" s="1" t="str">
        <x:f>IF(I2451=0,"Not contacted",IF(INDEX('Staff Review'!$J$8:$J$507,I2451)="","Not contacted",INDEX('Staff Review'!$J$8:$J$507,I2451)))</x:f>
        <x:v>Not contacted</x:v>
      </x:c>
      <x:c r="AI2451" s="1" t="str">
        <x:f>IF(I2451=0,"No",IF(AND(COUNT(INDEX('Staff Review'!$D$8:$D$507,I2451))=1,INDEX('Staff Review'!$D$8:$D$507,I2451)&gt;=0,COUNT(INDEX('Staff Review'!$E$8:$E$507,I2451))=1,INDEX('Staff Review'!$E$8:$E$507,I2451)&gt;0,INDEX('Staff Review'!$E$8:$E$507,I2451)&lt;='Top 15'!$E$5,'Top 15'!$E$5-INDEX('Staff Review'!$E$8:$E$507,I2451)&lt;='Top 15'!$H$5,LEN(INDEX('Staff Review'!$H$8:$H$507,I2451))&gt;0),"Yes","No"))</x:f>
        <x:v>No</x:v>
      </x:c>
      <x:c r="AJ2451" s="1" t="str">
        <x:f>IF(I2451=0,"No",IF(COUNT(INDEX('Staff Review'!$F$8:$F$507,I2451))&lt;&gt;1,"No",IF(AND(INDEX('Staff Review'!$F$8:$F$507,I2451)&gt;=0,MOD(INDEX('Staff Review'!$F$8:$F$507,I2451),1)=0,COUNT(INDEX('Staff Review'!$G$8:$G$507,I2451))=1,INDEX('Staff Review'!$G$8:$G$507,I2451)&gt;0,INDEX('Staff Review'!$G$8:$G$507,I2451)&lt;='Top 15'!$E$5,'Top 15'!$E$5-INDEX('Staff Review'!$G$8:$G$507,I2451)&lt;='Top 15'!$H$5,LEN(INDEX('Staff Review'!$H$8:$H$507,I2451))&gt;0),"Yes","No")))</x:f>
        <x:v>No</x:v>
      </x:c>
      <x:c r="AK2451" s="1" t="n">
        <x:f>IF(A2451="",0,COUNTIFS($A$2:$A$501,A2451))</x:f>
        <x:v>0</x:v>
      </x:c>
      <x:c r="AL2451" s="1" t="n">
        <x:f>IF(V2451="Candidate",1,0)</x:f>
        <x:v>0</x:v>
      </x:c>
      <x:c r="AM2451" s="1" t="n">
        <x:f>IF(A2451="",0,VALUE(A2451))</x:f>
        <x:v>0</x:v>
      </x:c>
      <x:c r="AN2451" s="1" t="n">
        <x:f>IF(OR(A2451="",COUNTIFS($T$41:$T$540,A2451)&lt;&gt;1),0,MATCH(A2451,$T$41:$T$540,0))</x:f>
        <x:v>0</x:v>
      </x:c>
      <x:c r="AO2451" t="n">
        <x:f>IF(ISNUMBER(W2451),W2451,10000+AM2451)</x:f>
        <x:v>10000</x:v>
      </x:c>
    </x:row>
    <x:row r="2452" ht="22" customHeight="1">
      <x:c r="A2452" s="1" t="str">
        <x:f>IF(A403="","",A403)</x:f>
      </x:c>
      <x:c r="B2452" s="1" t="str">
        <x:f>IF(A2452="","",B403)</x:f>
      </x:c>
      <x:c r="C2452" s="1" t="str">
        <x:f>IF(A2452="","",C403)</x:f>
      </x:c>
      <x:c r="D2452" s="1" t="str">
        <x:f>IF(A2452="","",E403)</x:f>
      </x:c>
      <x:c r="E2452" s="1" t="str">
        <x:f>IF(A2452="","",H403)</x:f>
      </x:c>
      <x:c r="F2452" s="1" t="str">
        <x:f>IF(ISNUMBER(K403),K403,"")</x:f>
      </x:c>
      <x:c r="G2452" s="1" t="str">
        <x:f>IF(ISNUMBER(L403),L403,"")</x:f>
      </x:c>
      <x:c r="H2452" s="1" t="str">
        <x:f>IF(A2452="","",IF(AND(UPPER(G403)="PHILADELPHIA",OR(C2452="District",AND(C2452="Charter",D403="Yes"))),"Yes","No"))</x:f>
      </x:c>
      <x:c r="I2452" s="1" t="n">
        <x:f>IF(OR(A2452="",COUNTIFS('Staff Review'!$A$8:$A$507,A2452)&lt;&gt;1),0,MATCH(A2452,'Staff Review'!$A$8:$A$507,0))</x:f>
        <x:v>0</x:v>
      </x:c>
      <x:c r="J2452" s="1" t="str">
        <x:f>IF(I2452=0,"No",IF(INDEX('Staff Review'!$C$8:$C$507,I2452)="Yes","Yes","No"))</x:f>
        <x:v>No</x:v>
      </x:c>
      <x:c r="K2452" s="1" t="str">
        <x:f>IF(AI2452="Yes",INDEX('Staff Review'!$D$8:$D$507,I2452),IF(AB2452=0,"",IF(COUNT(INDEX($C$1531:$C$2030,AB2452))=1,INDEX($C$1531:$C$2030,AB2452),"")))</x:f>
      </x:c>
      <x:c r="L2452" s="1" t="str">
        <x:f>IF(AJ2452="Yes",INDEX('Staff Review'!$F$8:$F$507,I2452),IF(AB2452=0,"",IF(COUNT(INDEX($G$1531:$G$2030,AB2452))=1,INDEX($G$1531:$G$2030,AB2452),"")))</x:f>
      </x:c>
      <x:c r="M2452" s="1" t="str">
        <x:f>IF(A2452="","",IF(AI2452="Yes","Verified","Listed"))</x:f>
      </x:c>
      <x:c r="N2452" s="1" t="str">
        <x:f>IF(A2452="","",IF(AJ2452="Yes","Verified","Listed"))</x:f>
      </x:c>
      <x:c r="O2452" s="1" t="str">
        <x:f>IF(AND(ISNUMBER(G2452),G2452&gt;=0,G2452&lt;=1),IF(G2452&gt;=0.9,30,IF(G2452&gt;=0.8,25,IF(G2452&gt;=0.7,20,IF(G2452&gt;=0.6,15,IF(G2452&gt;=0.5,10,IF(G2452&gt;=0.4,5,0)))))),"")</x:f>
      </x:c>
      <x:c r="P2452" s="1" t="str">
        <x:f>IF(ISNUMBER(K2452),IF(K2452&lt;0,"",IF(K2452&gt;1,25,IF(K2452&gt;=0.75,20,IF(K2452&gt;=0.5,15,IF(K2452&gt;=0.25,10,5))))),"")</x:f>
      </x:c>
      <x:c r="Q2452" s="1" t="str">
        <x:f>IF(NOT(ISNUMBER(L2452)),"",IF(AND(L2452&gt;=0,MOD(L2452,1)=0),MAX(0,25-5*L2452),""))</x:f>
      </x:c>
      <x:c r="R2452" s="1" t="str">
        <x:f>IF(NOT(ISNUMBER(F2452)),"",IF(AND(F2452&gt;0,MOD(F2452,1)=0),IF(F2452&gt;=700,5,IF(F2452&gt;=500,4,IF(F2452&gt;=350,3,IF(F2452&gt;=200,2,1)))),""))</x:f>
      </x:c>
      <x:c r="S2452" s="1" t="str">
        <x:f>IF(COUNT(O2452:R2452)=4,SUM(O2452:R2452),"")</x:f>
      </x:c>
      <x:c r="T2452" s="1" t="str">
        <x:f>IF(OR(COUNT(O2452:R2452)&lt;&gt;4,COUNT('Top 15'!$B$35:$E$35)&lt;&gt;4,MIN('Top 15'!$B$35:$E$35)&lt;0,SUM('Top 15'!$B$35:$E$35)&lt;=0),"",ROUND(85*(O2452/30*'Top 15'!$B$35+P2452/25*'Top 15'!$C$35+Q2452/25*'Top 15'!$D$35+R2452/5*'Top 15'!$E$35)/SUM('Top 15'!$B$35:$E$35),6))</x:f>
      </x:c>
      <x:c r="U2452" s="1" t="str">
        <x:f>IF(A2452="","",IF(AND(M2452="Verified",N2452="Verified"),"Verified",IF(AND(M2452="Listed",N2452="Listed"),"Listed","Mixed")))</x:f>
      </x:c>
      <x:c r="V2452" s="1" t="str">
        <x:f>IF(A2452="","",IF(AK2452&lt;&gt;1,"Duplicate source ID",IF(COUNTIFS('Staff Review'!$A$8:$A$507,A2452)&gt;1,"Duplicate review ID",IF(H2452&lt;&gt;"Yes","Outside scope",IF(J2452="Yes","Already served",IF(NOT(ISNUMBER(T2452)),"Missing data","Candidate"))))))</x:f>
      </x:c>
      <x:c r="W2452" s="1" t="str">
        <x:f>IF(AL2452=0,"",1+COUNTIFS($AL$2051:$AL$2550,1,$T$2051:$T$2550,"&gt;"&amp;T2452)+COUNTIFS($AL$2051:$AL$2550,1,$T$2051:$T$2550,T2452,$G$2051:$G$2550,"&gt;"&amp;G2452)+COUNTIFS($AL$2051:$AL$2550,1,$T$2051:$T$2550,T2452,$G$2051:$G$2550,G2452,$F$2051:$F$2550,"&gt;"&amp;F2452)+COUNTIFS($AL$2051:$AL$2550,1,$T$2051:$T$2550,T2452,$G$2051:$G$2550,G2452,$F$2051:$F$2550,F2452,$AM$2051:$AM$2550,"&lt;"&amp;AM2452))</x:f>
      </x:c>
      <x:c r="X2452" s="1" t="str">
        <x:f>IF(AL2452=0,"",1+COUNTIFS($AL$2051:$AL$2550,1,$T$2051:$T$2550,"&gt;"&amp;T2452))</x:f>
      </x:c>
      <x:c r="Y2452" s="1" t="n">
        <x:f>IF(AND(H2452="Yes",OR(LEN('School Search'!$B$5)=0,ISNUMBER(SEARCH('School Search'!$B$5,B2452&amp;" "&amp;E2452&amp;" "&amp;A2452))),OR('School Search'!$D$5="All",C2452='School Search'!$D$5),OR('School Search'!$G$5="All eligible",AND('School Search'!$G$5="Not marked served",J2452&lt;&gt;"Yes"),AND('School Search'!$G$5="Missing data",V2452="Missing data"),AND('School Search'!$G$5="Marked served",J2452="Yes"))),1,0)</x:f>
        <x:v>0</x:v>
      </x:c>
      <x:c r="Z2452" s="1" t="str">
        <x:f>IF(Y2452=0,"",COUNTIFS($Y$2051:$Y$2550,1,$AO$2051:$AO$2550,"&lt;"&amp;AO2452)+COUNTIFS($Y$2051:Y2452,1,$AO$2051:AO2452,AO2452))</x:f>
      </x:c>
      <x:c r="AA2452" s="1" t="str">
        <x:f>IF(NOT(ISNUMBER(S2452)),"Missing demographic or access input",TEXT(G2452,"0%")&amp;" economic need; "&amp;TEXT(K2452,"0.00")&amp;" mi fresh access; "&amp;L2452&amp;" nearby resources")</x:f>
        <x:v>Missing demographic or access input</x:v>
      </x:c>
      <x:c r="AB2452" s="1" t="n">
        <x:f>IF(OR(A2452="",COUNTIFS($A$1531:$A$2030,A2452)&lt;&gt;1),0,MATCH(A2452,$A$1531:$A$2030,0))</x:f>
        <x:v>0</x:v>
      </x:c>
      <x:c r="AC2452" s="1" t="str">
        <x:f>IF(AB2452=0,"",INDEX($E$1531:$E$2030,AB2452))</x:f>
      </x:c>
      <x:c r="AD2452" s="1" t="str">
        <x:f>IF(AB2452=0,"",INDEX($F$1531:$F$2030,AB2452))</x:f>
      </x:c>
      <x:c r="AE2452" s="1" t="str">
        <x:f>IF(A2452="","",F403)</x:f>
      </x:c>
      <x:c r="AF2452" s="1" t="str">
        <x:f>IF(ISNUMBER(I403),I403,"")</x:f>
      </x:c>
      <x:c r="AG2452" s="1" t="str">
        <x:f>IF(ISNUMBER(J403),J403,"")</x:f>
      </x:c>
      <x:c r="AH2452" s="1" t="str">
        <x:f>IF(I2452=0,"Not contacted",IF(INDEX('Staff Review'!$J$8:$J$507,I2452)="","Not contacted",INDEX('Staff Review'!$J$8:$J$507,I2452)))</x:f>
        <x:v>Not contacted</x:v>
      </x:c>
      <x:c r="AI2452" s="1" t="str">
        <x:f>IF(I2452=0,"No",IF(AND(COUNT(INDEX('Staff Review'!$D$8:$D$507,I2452))=1,INDEX('Staff Review'!$D$8:$D$507,I2452)&gt;=0,COUNT(INDEX('Staff Review'!$E$8:$E$507,I2452))=1,INDEX('Staff Review'!$E$8:$E$507,I2452)&gt;0,INDEX('Staff Review'!$E$8:$E$507,I2452)&lt;='Top 15'!$E$5,'Top 15'!$E$5-INDEX('Staff Review'!$E$8:$E$507,I2452)&lt;='Top 15'!$H$5,LEN(INDEX('Staff Review'!$H$8:$H$507,I2452))&gt;0),"Yes","No"))</x:f>
        <x:v>No</x:v>
      </x:c>
      <x:c r="AJ2452" s="1" t="str">
        <x:f>IF(I2452=0,"No",IF(COUNT(INDEX('Staff Review'!$F$8:$F$507,I2452))&lt;&gt;1,"No",IF(AND(INDEX('Staff Review'!$F$8:$F$507,I2452)&gt;=0,MOD(INDEX('Staff Review'!$F$8:$F$507,I2452),1)=0,COUNT(INDEX('Staff Review'!$G$8:$G$507,I2452))=1,INDEX('Staff Review'!$G$8:$G$507,I2452)&gt;0,INDEX('Staff Review'!$G$8:$G$507,I2452)&lt;='Top 15'!$E$5,'Top 15'!$E$5-INDEX('Staff Review'!$G$8:$G$507,I2452)&lt;='Top 15'!$H$5,LEN(INDEX('Staff Review'!$H$8:$H$507,I2452))&gt;0),"Yes","No")))</x:f>
        <x:v>No</x:v>
      </x:c>
      <x:c r="AK2452" s="1" t="n">
        <x:f>IF(A2452="",0,COUNTIFS($A$2:$A$501,A2452))</x:f>
        <x:v>0</x:v>
      </x:c>
      <x:c r="AL2452" s="1" t="n">
        <x:f>IF(V2452="Candidate",1,0)</x:f>
        <x:v>0</x:v>
      </x:c>
      <x:c r="AM2452" s="1" t="n">
        <x:f>IF(A2452="",0,VALUE(A2452))</x:f>
        <x:v>0</x:v>
      </x:c>
      <x:c r="AN2452" s="1" t="n">
        <x:f>IF(OR(A2452="",COUNTIFS($T$41:$T$540,A2452)&lt;&gt;1),0,MATCH(A2452,$T$41:$T$540,0))</x:f>
        <x:v>0</x:v>
      </x:c>
      <x:c r="AO2452" t="n">
        <x:f>IF(ISNUMBER(W2452),W2452,10000+AM2452)</x:f>
        <x:v>10000</x:v>
      </x:c>
    </x:row>
    <x:row r="2453" ht="22" customHeight="1">
      <x:c r="A2453" s="1" t="str">
        <x:f>IF(A404="","",A404)</x:f>
      </x:c>
      <x:c r="B2453" s="1" t="str">
        <x:f>IF(A2453="","",B404)</x:f>
      </x:c>
      <x:c r="C2453" s="1" t="str">
        <x:f>IF(A2453="","",C404)</x:f>
      </x:c>
      <x:c r="D2453" s="1" t="str">
        <x:f>IF(A2453="","",E404)</x:f>
      </x:c>
      <x:c r="E2453" s="1" t="str">
        <x:f>IF(A2453="","",H404)</x:f>
      </x:c>
      <x:c r="F2453" s="1" t="str">
        <x:f>IF(ISNUMBER(K404),K404,"")</x:f>
      </x:c>
      <x:c r="G2453" s="1" t="str">
        <x:f>IF(ISNUMBER(L404),L404,"")</x:f>
      </x:c>
      <x:c r="H2453" s="1" t="str">
        <x:f>IF(A2453="","",IF(AND(UPPER(G404)="PHILADELPHIA",OR(C2453="District",AND(C2453="Charter",D404="Yes"))),"Yes","No"))</x:f>
      </x:c>
      <x:c r="I2453" s="1" t="n">
        <x:f>IF(OR(A2453="",COUNTIFS('Staff Review'!$A$8:$A$507,A2453)&lt;&gt;1),0,MATCH(A2453,'Staff Review'!$A$8:$A$507,0))</x:f>
        <x:v>0</x:v>
      </x:c>
      <x:c r="J2453" s="1" t="str">
        <x:f>IF(I2453=0,"No",IF(INDEX('Staff Review'!$C$8:$C$507,I2453)="Yes","Yes","No"))</x:f>
        <x:v>No</x:v>
      </x:c>
      <x:c r="K2453" s="1" t="str">
        <x:f>IF(AI2453="Yes",INDEX('Staff Review'!$D$8:$D$507,I2453),IF(AB2453=0,"",IF(COUNT(INDEX($C$1531:$C$2030,AB2453))=1,INDEX($C$1531:$C$2030,AB2453),"")))</x:f>
      </x:c>
      <x:c r="L2453" s="1" t="str">
        <x:f>IF(AJ2453="Yes",INDEX('Staff Review'!$F$8:$F$507,I2453),IF(AB2453=0,"",IF(COUNT(INDEX($G$1531:$G$2030,AB2453))=1,INDEX($G$1531:$G$2030,AB2453),"")))</x:f>
      </x:c>
      <x:c r="M2453" s="1" t="str">
        <x:f>IF(A2453="","",IF(AI2453="Yes","Verified","Listed"))</x:f>
      </x:c>
      <x:c r="N2453" s="1" t="str">
        <x:f>IF(A2453="","",IF(AJ2453="Yes","Verified","Listed"))</x:f>
      </x:c>
      <x:c r="O2453" s="1" t="str">
        <x:f>IF(AND(ISNUMBER(G2453),G2453&gt;=0,G2453&lt;=1),IF(G2453&gt;=0.9,30,IF(G2453&gt;=0.8,25,IF(G2453&gt;=0.7,20,IF(G2453&gt;=0.6,15,IF(G2453&gt;=0.5,10,IF(G2453&gt;=0.4,5,0)))))),"")</x:f>
      </x:c>
      <x:c r="P2453" s="1" t="str">
        <x:f>IF(ISNUMBER(K2453),IF(K2453&lt;0,"",IF(K2453&gt;1,25,IF(K2453&gt;=0.75,20,IF(K2453&gt;=0.5,15,IF(K2453&gt;=0.25,10,5))))),"")</x:f>
      </x:c>
      <x:c r="Q2453" s="1" t="str">
        <x:f>IF(NOT(ISNUMBER(L2453)),"",IF(AND(L2453&gt;=0,MOD(L2453,1)=0),MAX(0,25-5*L2453),""))</x:f>
      </x:c>
      <x:c r="R2453" s="1" t="str">
        <x:f>IF(NOT(ISNUMBER(F2453)),"",IF(AND(F2453&gt;0,MOD(F2453,1)=0),IF(F2453&gt;=700,5,IF(F2453&gt;=500,4,IF(F2453&gt;=350,3,IF(F2453&gt;=200,2,1)))),""))</x:f>
      </x:c>
      <x:c r="S2453" s="1" t="str">
        <x:f>IF(COUNT(O2453:R2453)=4,SUM(O2453:R2453),"")</x:f>
      </x:c>
      <x:c r="T2453" s="1" t="str">
        <x:f>IF(OR(COUNT(O2453:R2453)&lt;&gt;4,COUNT('Top 15'!$B$35:$E$35)&lt;&gt;4,MIN('Top 15'!$B$35:$E$35)&lt;0,SUM('Top 15'!$B$35:$E$35)&lt;=0),"",ROUND(85*(O2453/30*'Top 15'!$B$35+P2453/25*'Top 15'!$C$35+Q2453/25*'Top 15'!$D$35+R2453/5*'Top 15'!$E$35)/SUM('Top 15'!$B$35:$E$35),6))</x:f>
      </x:c>
      <x:c r="U2453" s="1" t="str">
        <x:f>IF(A2453="","",IF(AND(M2453="Verified",N2453="Verified"),"Verified",IF(AND(M2453="Listed",N2453="Listed"),"Listed","Mixed")))</x:f>
      </x:c>
      <x:c r="V2453" s="1" t="str">
        <x:f>IF(A2453="","",IF(AK2453&lt;&gt;1,"Duplicate source ID",IF(COUNTIFS('Staff Review'!$A$8:$A$507,A2453)&gt;1,"Duplicate review ID",IF(H2453&lt;&gt;"Yes","Outside scope",IF(J2453="Yes","Already served",IF(NOT(ISNUMBER(T2453)),"Missing data","Candidate"))))))</x:f>
      </x:c>
      <x:c r="W2453" s="1" t="str">
        <x:f>IF(AL2453=0,"",1+COUNTIFS($AL$2051:$AL$2550,1,$T$2051:$T$2550,"&gt;"&amp;T2453)+COUNTIFS($AL$2051:$AL$2550,1,$T$2051:$T$2550,T2453,$G$2051:$G$2550,"&gt;"&amp;G2453)+COUNTIFS($AL$2051:$AL$2550,1,$T$2051:$T$2550,T2453,$G$2051:$G$2550,G2453,$F$2051:$F$2550,"&gt;"&amp;F2453)+COUNTIFS($AL$2051:$AL$2550,1,$T$2051:$T$2550,T2453,$G$2051:$G$2550,G2453,$F$2051:$F$2550,F2453,$AM$2051:$AM$2550,"&lt;"&amp;AM2453))</x:f>
      </x:c>
      <x:c r="X2453" s="1" t="str">
        <x:f>IF(AL2453=0,"",1+COUNTIFS($AL$2051:$AL$2550,1,$T$2051:$T$2550,"&gt;"&amp;T2453))</x:f>
      </x:c>
      <x:c r="Y2453" s="1" t="n">
        <x:f>IF(AND(H2453="Yes",OR(LEN('School Search'!$B$5)=0,ISNUMBER(SEARCH('School Search'!$B$5,B2453&amp;" "&amp;E2453&amp;" "&amp;A2453))),OR('School Search'!$D$5="All",C2453='School Search'!$D$5),OR('School Search'!$G$5="All eligible",AND('School Search'!$G$5="Not marked served",J2453&lt;&gt;"Yes"),AND('School Search'!$G$5="Missing data",V2453="Missing data"),AND('School Search'!$G$5="Marked served",J2453="Yes"))),1,0)</x:f>
        <x:v>0</x:v>
      </x:c>
      <x:c r="Z2453" s="1" t="str">
        <x:f>IF(Y2453=0,"",COUNTIFS($Y$2051:$Y$2550,1,$AO$2051:$AO$2550,"&lt;"&amp;AO2453)+COUNTIFS($Y$2051:Y2453,1,$AO$2051:AO2453,AO2453))</x:f>
      </x:c>
      <x:c r="AA2453" s="1" t="str">
        <x:f>IF(NOT(ISNUMBER(S2453)),"Missing demographic or access input",TEXT(G2453,"0%")&amp;" economic need; "&amp;TEXT(K2453,"0.00")&amp;" mi fresh access; "&amp;L2453&amp;" nearby resources")</x:f>
        <x:v>Missing demographic or access input</x:v>
      </x:c>
      <x:c r="AB2453" s="1" t="n">
        <x:f>IF(OR(A2453="",COUNTIFS($A$1531:$A$2030,A2453)&lt;&gt;1),0,MATCH(A2453,$A$1531:$A$2030,0))</x:f>
        <x:v>0</x:v>
      </x:c>
      <x:c r="AC2453" s="1" t="str">
        <x:f>IF(AB2453=0,"",INDEX($E$1531:$E$2030,AB2453))</x:f>
      </x:c>
      <x:c r="AD2453" s="1" t="str">
        <x:f>IF(AB2453=0,"",INDEX($F$1531:$F$2030,AB2453))</x:f>
      </x:c>
      <x:c r="AE2453" s="1" t="str">
        <x:f>IF(A2453="","",F404)</x:f>
      </x:c>
      <x:c r="AF2453" s="1" t="str">
        <x:f>IF(ISNUMBER(I404),I404,"")</x:f>
      </x:c>
      <x:c r="AG2453" s="1" t="str">
        <x:f>IF(ISNUMBER(J404),J404,"")</x:f>
      </x:c>
      <x:c r="AH2453" s="1" t="str">
        <x:f>IF(I2453=0,"Not contacted",IF(INDEX('Staff Review'!$J$8:$J$507,I2453)="","Not contacted",INDEX('Staff Review'!$J$8:$J$507,I2453)))</x:f>
        <x:v>Not contacted</x:v>
      </x:c>
      <x:c r="AI2453" s="1" t="str">
        <x:f>IF(I2453=0,"No",IF(AND(COUNT(INDEX('Staff Review'!$D$8:$D$507,I2453))=1,INDEX('Staff Review'!$D$8:$D$507,I2453)&gt;=0,COUNT(INDEX('Staff Review'!$E$8:$E$507,I2453))=1,INDEX('Staff Review'!$E$8:$E$507,I2453)&gt;0,INDEX('Staff Review'!$E$8:$E$507,I2453)&lt;='Top 15'!$E$5,'Top 15'!$E$5-INDEX('Staff Review'!$E$8:$E$507,I2453)&lt;='Top 15'!$H$5,LEN(INDEX('Staff Review'!$H$8:$H$507,I2453))&gt;0),"Yes","No"))</x:f>
        <x:v>No</x:v>
      </x:c>
      <x:c r="AJ2453" s="1" t="str">
        <x:f>IF(I2453=0,"No",IF(COUNT(INDEX('Staff Review'!$F$8:$F$507,I2453))&lt;&gt;1,"No",IF(AND(INDEX('Staff Review'!$F$8:$F$507,I2453)&gt;=0,MOD(INDEX('Staff Review'!$F$8:$F$507,I2453),1)=0,COUNT(INDEX('Staff Review'!$G$8:$G$507,I2453))=1,INDEX('Staff Review'!$G$8:$G$507,I2453)&gt;0,INDEX('Staff Review'!$G$8:$G$507,I2453)&lt;='Top 15'!$E$5,'Top 15'!$E$5-INDEX('Staff Review'!$G$8:$G$507,I2453)&lt;='Top 15'!$H$5,LEN(INDEX('Staff Review'!$H$8:$H$507,I2453))&gt;0),"Yes","No")))</x:f>
        <x:v>No</x:v>
      </x:c>
      <x:c r="AK2453" s="1" t="n">
        <x:f>IF(A2453="",0,COUNTIFS($A$2:$A$501,A2453))</x:f>
        <x:v>0</x:v>
      </x:c>
      <x:c r="AL2453" s="1" t="n">
        <x:f>IF(V2453="Candidate",1,0)</x:f>
        <x:v>0</x:v>
      </x:c>
      <x:c r="AM2453" s="1" t="n">
        <x:f>IF(A2453="",0,VALUE(A2453))</x:f>
        <x:v>0</x:v>
      </x:c>
      <x:c r="AN2453" s="1" t="n">
        <x:f>IF(OR(A2453="",COUNTIFS($T$41:$T$540,A2453)&lt;&gt;1),0,MATCH(A2453,$T$41:$T$540,0))</x:f>
        <x:v>0</x:v>
      </x:c>
      <x:c r="AO2453" t="n">
        <x:f>IF(ISNUMBER(W2453),W2453,10000+AM2453)</x:f>
        <x:v>10000</x:v>
      </x:c>
    </x:row>
    <x:row r="2454" ht="22" customHeight="1">
      <x:c r="A2454" s="1" t="str">
        <x:f>IF(A405="","",A405)</x:f>
      </x:c>
      <x:c r="B2454" s="1" t="str">
        <x:f>IF(A2454="","",B405)</x:f>
      </x:c>
      <x:c r="C2454" s="1" t="str">
        <x:f>IF(A2454="","",C405)</x:f>
      </x:c>
      <x:c r="D2454" s="1" t="str">
        <x:f>IF(A2454="","",E405)</x:f>
      </x:c>
      <x:c r="E2454" s="1" t="str">
        <x:f>IF(A2454="","",H405)</x:f>
      </x:c>
      <x:c r="F2454" s="1" t="str">
        <x:f>IF(ISNUMBER(K405),K405,"")</x:f>
      </x:c>
      <x:c r="G2454" s="1" t="str">
        <x:f>IF(ISNUMBER(L405),L405,"")</x:f>
      </x:c>
      <x:c r="H2454" s="1" t="str">
        <x:f>IF(A2454="","",IF(AND(UPPER(G405)="PHILADELPHIA",OR(C2454="District",AND(C2454="Charter",D405="Yes"))),"Yes","No"))</x:f>
      </x:c>
      <x:c r="I2454" s="1" t="n">
        <x:f>IF(OR(A2454="",COUNTIFS('Staff Review'!$A$8:$A$507,A2454)&lt;&gt;1),0,MATCH(A2454,'Staff Review'!$A$8:$A$507,0))</x:f>
        <x:v>0</x:v>
      </x:c>
      <x:c r="J2454" s="1" t="str">
        <x:f>IF(I2454=0,"No",IF(INDEX('Staff Review'!$C$8:$C$507,I2454)="Yes","Yes","No"))</x:f>
        <x:v>No</x:v>
      </x:c>
      <x:c r="K2454" s="1" t="str">
        <x:f>IF(AI2454="Yes",INDEX('Staff Review'!$D$8:$D$507,I2454),IF(AB2454=0,"",IF(COUNT(INDEX($C$1531:$C$2030,AB2454))=1,INDEX($C$1531:$C$2030,AB2454),"")))</x:f>
      </x:c>
      <x:c r="L2454" s="1" t="str">
        <x:f>IF(AJ2454="Yes",INDEX('Staff Review'!$F$8:$F$507,I2454),IF(AB2454=0,"",IF(COUNT(INDEX($G$1531:$G$2030,AB2454))=1,INDEX($G$1531:$G$2030,AB2454),"")))</x:f>
      </x:c>
      <x:c r="M2454" s="1" t="str">
        <x:f>IF(A2454="","",IF(AI2454="Yes","Verified","Listed"))</x:f>
      </x:c>
      <x:c r="N2454" s="1" t="str">
        <x:f>IF(A2454="","",IF(AJ2454="Yes","Verified","Listed"))</x:f>
      </x:c>
      <x:c r="O2454" s="1" t="str">
        <x:f>IF(AND(ISNUMBER(G2454),G2454&gt;=0,G2454&lt;=1),IF(G2454&gt;=0.9,30,IF(G2454&gt;=0.8,25,IF(G2454&gt;=0.7,20,IF(G2454&gt;=0.6,15,IF(G2454&gt;=0.5,10,IF(G2454&gt;=0.4,5,0)))))),"")</x:f>
      </x:c>
      <x:c r="P2454" s="1" t="str">
        <x:f>IF(ISNUMBER(K2454),IF(K2454&lt;0,"",IF(K2454&gt;1,25,IF(K2454&gt;=0.75,20,IF(K2454&gt;=0.5,15,IF(K2454&gt;=0.25,10,5))))),"")</x:f>
      </x:c>
      <x:c r="Q2454" s="1" t="str">
        <x:f>IF(NOT(ISNUMBER(L2454)),"",IF(AND(L2454&gt;=0,MOD(L2454,1)=0),MAX(0,25-5*L2454),""))</x:f>
      </x:c>
      <x:c r="R2454" s="1" t="str">
        <x:f>IF(NOT(ISNUMBER(F2454)),"",IF(AND(F2454&gt;0,MOD(F2454,1)=0),IF(F2454&gt;=700,5,IF(F2454&gt;=500,4,IF(F2454&gt;=350,3,IF(F2454&gt;=200,2,1)))),""))</x:f>
      </x:c>
      <x:c r="S2454" s="1" t="str">
        <x:f>IF(COUNT(O2454:R2454)=4,SUM(O2454:R2454),"")</x:f>
      </x:c>
      <x:c r="T2454" s="1" t="str">
        <x:f>IF(OR(COUNT(O2454:R2454)&lt;&gt;4,COUNT('Top 15'!$B$35:$E$35)&lt;&gt;4,MIN('Top 15'!$B$35:$E$35)&lt;0,SUM('Top 15'!$B$35:$E$35)&lt;=0),"",ROUND(85*(O2454/30*'Top 15'!$B$35+P2454/25*'Top 15'!$C$35+Q2454/25*'Top 15'!$D$35+R2454/5*'Top 15'!$E$35)/SUM('Top 15'!$B$35:$E$35),6))</x:f>
      </x:c>
      <x:c r="U2454" s="1" t="str">
        <x:f>IF(A2454="","",IF(AND(M2454="Verified",N2454="Verified"),"Verified",IF(AND(M2454="Listed",N2454="Listed"),"Listed","Mixed")))</x:f>
      </x:c>
      <x:c r="V2454" s="1" t="str">
        <x:f>IF(A2454="","",IF(AK2454&lt;&gt;1,"Duplicate source ID",IF(COUNTIFS('Staff Review'!$A$8:$A$507,A2454)&gt;1,"Duplicate review ID",IF(H2454&lt;&gt;"Yes","Outside scope",IF(J2454="Yes","Already served",IF(NOT(ISNUMBER(T2454)),"Missing data","Candidate"))))))</x:f>
      </x:c>
      <x:c r="W2454" s="1" t="str">
        <x:f>IF(AL2454=0,"",1+COUNTIFS($AL$2051:$AL$2550,1,$T$2051:$T$2550,"&gt;"&amp;T2454)+COUNTIFS($AL$2051:$AL$2550,1,$T$2051:$T$2550,T2454,$G$2051:$G$2550,"&gt;"&amp;G2454)+COUNTIFS($AL$2051:$AL$2550,1,$T$2051:$T$2550,T2454,$G$2051:$G$2550,G2454,$F$2051:$F$2550,"&gt;"&amp;F2454)+COUNTIFS($AL$2051:$AL$2550,1,$T$2051:$T$2550,T2454,$G$2051:$G$2550,G2454,$F$2051:$F$2550,F2454,$AM$2051:$AM$2550,"&lt;"&amp;AM2454))</x:f>
      </x:c>
      <x:c r="X2454" s="1" t="str">
        <x:f>IF(AL2454=0,"",1+COUNTIFS($AL$2051:$AL$2550,1,$T$2051:$T$2550,"&gt;"&amp;T2454))</x:f>
      </x:c>
      <x:c r="Y2454" s="1" t="n">
        <x:f>IF(AND(H2454="Yes",OR(LEN('School Search'!$B$5)=0,ISNUMBER(SEARCH('School Search'!$B$5,B2454&amp;" "&amp;E2454&amp;" "&amp;A2454))),OR('School Search'!$D$5="All",C2454='School Search'!$D$5),OR('School Search'!$G$5="All eligible",AND('School Search'!$G$5="Not marked served",J2454&lt;&gt;"Yes"),AND('School Search'!$G$5="Missing data",V2454="Missing data"),AND('School Search'!$G$5="Marked served",J2454="Yes"))),1,0)</x:f>
        <x:v>0</x:v>
      </x:c>
      <x:c r="Z2454" s="1" t="str">
        <x:f>IF(Y2454=0,"",COUNTIFS($Y$2051:$Y$2550,1,$AO$2051:$AO$2550,"&lt;"&amp;AO2454)+COUNTIFS($Y$2051:Y2454,1,$AO$2051:AO2454,AO2454))</x:f>
      </x:c>
      <x:c r="AA2454" s="1" t="str">
        <x:f>IF(NOT(ISNUMBER(S2454)),"Missing demographic or access input",TEXT(G2454,"0%")&amp;" economic need; "&amp;TEXT(K2454,"0.00")&amp;" mi fresh access; "&amp;L2454&amp;" nearby resources")</x:f>
        <x:v>Missing demographic or access input</x:v>
      </x:c>
      <x:c r="AB2454" s="1" t="n">
        <x:f>IF(OR(A2454="",COUNTIFS($A$1531:$A$2030,A2454)&lt;&gt;1),0,MATCH(A2454,$A$1531:$A$2030,0))</x:f>
        <x:v>0</x:v>
      </x:c>
      <x:c r="AC2454" s="1" t="str">
        <x:f>IF(AB2454=0,"",INDEX($E$1531:$E$2030,AB2454))</x:f>
      </x:c>
      <x:c r="AD2454" s="1" t="str">
        <x:f>IF(AB2454=0,"",INDEX($F$1531:$F$2030,AB2454))</x:f>
      </x:c>
      <x:c r="AE2454" s="1" t="str">
        <x:f>IF(A2454="","",F405)</x:f>
      </x:c>
      <x:c r="AF2454" s="1" t="str">
        <x:f>IF(ISNUMBER(I405),I405,"")</x:f>
      </x:c>
      <x:c r="AG2454" s="1" t="str">
        <x:f>IF(ISNUMBER(J405),J405,"")</x:f>
      </x:c>
      <x:c r="AH2454" s="1" t="str">
        <x:f>IF(I2454=0,"Not contacted",IF(INDEX('Staff Review'!$J$8:$J$507,I2454)="","Not contacted",INDEX('Staff Review'!$J$8:$J$507,I2454)))</x:f>
        <x:v>Not contacted</x:v>
      </x:c>
      <x:c r="AI2454" s="1" t="str">
        <x:f>IF(I2454=0,"No",IF(AND(COUNT(INDEX('Staff Review'!$D$8:$D$507,I2454))=1,INDEX('Staff Review'!$D$8:$D$507,I2454)&gt;=0,COUNT(INDEX('Staff Review'!$E$8:$E$507,I2454))=1,INDEX('Staff Review'!$E$8:$E$507,I2454)&gt;0,INDEX('Staff Review'!$E$8:$E$507,I2454)&lt;='Top 15'!$E$5,'Top 15'!$E$5-INDEX('Staff Review'!$E$8:$E$507,I2454)&lt;='Top 15'!$H$5,LEN(INDEX('Staff Review'!$H$8:$H$507,I2454))&gt;0),"Yes","No"))</x:f>
        <x:v>No</x:v>
      </x:c>
      <x:c r="AJ2454" s="1" t="str">
        <x:f>IF(I2454=0,"No",IF(COUNT(INDEX('Staff Review'!$F$8:$F$507,I2454))&lt;&gt;1,"No",IF(AND(INDEX('Staff Review'!$F$8:$F$507,I2454)&gt;=0,MOD(INDEX('Staff Review'!$F$8:$F$507,I2454),1)=0,COUNT(INDEX('Staff Review'!$G$8:$G$507,I2454))=1,INDEX('Staff Review'!$G$8:$G$507,I2454)&gt;0,INDEX('Staff Review'!$G$8:$G$507,I2454)&lt;='Top 15'!$E$5,'Top 15'!$E$5-INDEX('Staff Review'!$G$8:$G$507,I2454)&lt;='Top 15'!$H$5,LEN(INDEX('Staff Review'!$H$8:$H$507,I2454))&gt;0),"Yes","No")))</x:f>
        <x:v>No</x:v>
      </x:c>
      <x:c r="AK2454" s="1" t="n">
        <x:f>IF(A2454="",0,COUNTIFS($A$2:$A$501,A2454))</x:f>
        <x:v>0</x:v>
      </x:c>
      <x:c r="AL2454" s="1" t="n">
        <x:f>IF(V2454="Candidate",1,0)</x:f>
        <x:v>0</x:v>
      </x:c>
      <x:c r="AM2454" s="1" t="n">
        <x:f>IF(A2454="",0,VALUE(A2454))</x:f>
        <x:v>0</x:v>
      </x:c>
      <x:c r="AN2454" s="1" t="n">
        <x:f>IF(OR(A2454="",COUNTIFS($T$41:$T$540,A2454)&lt;&gt;1),0,MATCH(A2454,$T$41:$T$540,0))</x:f>
        <x:v>0</x:v>
      </x:c>
      <x:c r="AO2454" t="n">
        <x:f>IF(ISNUMBER(W2454),W2454,10000+AM2454)</x:f>
        <x:v>10000</x:v>
      </x:c>
    </x:row>
    <x:row r="2455" ht="22" customHeight="1">
      <x:c r="A2455" s="1" t="str">
        <x:f>IF(A406="","",A406)</x:f>
      </x:c>
      <x:c r="B2455" s="1" t="str">
        <x:f>IF(A2455="","",B406)</x:f>
      </x:c>
      <x:c r="C2455" s="1" t="str">
        <x:f>IF(A2455="","",C406)</x:f>
      </x:c>
      <x:c r="D2455" s="1" t="str">
        <x:f>IF(A2455="","",E406)</x:f>
      </x:c>
      <x:c r="E2455" s="1" t="str">
        <x:f>IF(A2455="","",H406)</x:f>
      </x:c>
      <x:c r="F2455" s="1" t="str">
        <x:f>IF(ISNUMBER(K406),K406,"")</x:f>
      </x:c>
      <x:c r="G2455" s="1" t="str">
        <x:f>IF(ISNUMBER(L406),L406,"")</x:f>
      </x:c>
      <x:c r="H2455" s="1" t="str">
        <x:f>IF(A2455="","",IF(AND(UPPER(G406)="PHILADELPHIA",OR(C2455="District",AND(C2455="Charter",D406="Yes"))),"Yes","No"))</x:f>
      </x:c>
      <x:c r="I2455" s="1" t="n">
        <x:f>IF(OR(A2455="",COUNTIFS('Staff Review'!$A$8:$A$507,A2455)&lt;&gt;1),0,MATCH(A2455,'Staff Review'!$A$8:$A$507,0))</x:f>
        <x:v>0</x:v>
      </x:c>
      <x:c r="J2455" s="1" t="str">
        <x:f>IF(I2455=0,"No",IF(INDEX('Staff Review'!$C$8:$C$507,I2455)="Yes","Yes","No"))</x:f>
        <x:v>No</x:v>
      </x:c>
      <x:c r="K2455" s="1" t="str">
        <x:f>IF(AI2455="Yes",INDEX('Staff Review'!$D$8:$D$507,I2455),IF(AB2455=0,"",IF(COUNT(INDEX($C$1531:$C$2030,AB2455))=1,INDEX($C$1531:$C$2030,AB2455),"")))</x:f>
      </x:c>
      <x:c r="L2455" s="1" t="str">
        <x:f>IF(AJ2455="Yes",INDEX('Staff Review'!$F$8:$F$507,I2455),IF(AB2455=0,"",IF(COUNT(INDEX($G$1531:$G$2030,AB2455))=1,INDEX($G$1531:$G$2030,AB2455),"")))</x:f>
      </x:c>
      <x:c r="M2455" s="1" t="str">
        <x:f>IF(A2455="","",IF(AI2455="Yes","Verified","Listed"))</x:f>
      </x:c>
      <x:c r="N2455" s="1" t="str">
        <x:f>IF(A2455="","",IF(AJ2455="Yes","Verified","Listed"))</x:f>
      </x:c>
      <x:c r="O2455" s="1" t="str">
        <x:f>IF(AND(ISNUMBER(G2455),G2455&gt;=0,G2455&lt;=1),IF(G2455&gt;=0.9,30,IF(G2455&gt;=0.8,25,IF(G2455&gt;=0.7,20,IF(G2455&gt;=0.6,15,IF(G2455&gt;=0.5,10,IF(G2455&gt;=0.4,5,0)))))),"")</x:f>
      </x:c>
      <x:c r="P2455" s="1" t="str">
        <x:f>IF(ISNUMBER(K2455),IF(K2455&lt;0,"",IF(K2455&gt;1,25,IF(K2455&gt;=0.75,20,IF(K2455&gt;=0.5,15,IF(K2455&gt;=0.25,10,5))))),"")</x:f>
      </x:c>
      <x:c r="Q2455" s="1" t="str">
        <x:f>IF(NOT(ISNUMBER(L2455)),"",IF(AND(L2455&gt;=0,MOD(L2455,1)=0),MAX(0,25-5*L2455),""))</x:f>
      </x:c>
      <x:c r="R2455" s="1" t="str">
        <x:f>IF(NOT(ISNUMBER(F2455)),"",IF(AND(F2455&gt;0,MOD(F2455,1)=0),IF(F2455&gt;=700,5,IF(F2455&gt;=500,4,IF(F2455&gt;=350,3,IF(F2455&gt;=200,2,1)))),""))</x:f>
      </x:c>
      <x:c r="S2455" s="1" t="str">
        <x:f>IF(COUNT(O2455:R2455)=4,SUM(O2455:R2455),"")</x:f>
      </x:c>
      <x:c r="T2455" s="1" t="str">
        <x:f>IF(OR(COUNT(O2455:R2455)&lt;&gt;4,COUNT('Top 15'!$B$35:$E$35)&lt;&gt;4,MIN('Top 15'!$B$35:$E$35)&lt;0,SUM('Top 15'!$B$35:$E$35)&lt;=0),"",ROUND(85*(O2455/30*'Top 15'!$B$35+P2455/25*'Top 15'!$C$35+Q2455/25*'Top 15'!$D$35+R2455/5*'Top 15'!$E$35)/SUM('Top 15'!$B$35:$E$35),6))</x:f>
      </x:c>
      <x:c r="U2455" s="1" t="str">
        <x:f>IF(A2455="","",IF(AND(M2455="Verified",N2455="Verified"),"Verified",IF(AND(M2455="Listed",N2455="Listed"),"Listed","Mixed")))</x:f>
      </x:c>
      <x:c r="V2455" s="1" t="str">
        <x:f>IF(A2455="","",IF(AK2455&lt;&gt;1,"Duplicate source ID",IF(COUNTIFS('Staff Review'!$A$8:$A$507,A2455)&gt;1,"Duplicate review ID",IF(H2455&lt;&gt;"Yes","Outside scope",IF(J2455="Yes","Already served",IF(NOT(ISNUMBER(T2455)),"Missing data","Candidate"))))))</x:f>
      </x:c>
      <x:c r="W2455" s="1" t="str">
        <x:f>IF(AL2455=0,"",1+COUNTIFS($AL$2051:$AL$2550,1,$T$2051:$T$2550,"&gt;"&amp;T2455)+COUNTIFS($AL$2051:$AL$2550,1,$T$2051:$T$2550,T2455,$G$2051:$G$2550,"&gt;"&amp;G2455)+COUNTIFS($AL$2051:$AL$2550,1,$T$2051:$T$2550,T2455,$G$2051:$G$2550,G2455,$F$2051:$F$2550,"&gt;"&amp;F2455)+COUNTIFS($AL$2051:$AL$2550,1,$T$2051:$T$2550,T2455,$G$2051:$G$2550,G2455,$F$2051:$F$2550,F2455,$AM$2051:$AM$2550,"&lt;"&amp;AM2455))</x:f>
      </x:c>
      <x:c r="X2455" s="1" t="str">
        <x:f>IF(AL2455=0,"",1+COUNTIFS($AL$2051:$AL$2550,1,$T$2051:$T$2550,"&gt;"&amp;T2455))</x:f>
      </x:c>
      <x:c r="Y2455" s="1" t="n">
        <x:f>IF(AND(H2455="Yes",OR(LEN('School Search'!$B$5)=0,ISNUMBER(SEARCH('School Search'!$B$5,B2455&amp;" "&amp;E2455&amp;" "&amp;A2455))),OR('School Search'!$D$5="All",C2455='School Search'!$D$5),OR('School Search'!$G$5="All eligible",AND('School Search'!$G$5="Not marked served",J2455&lt;&gt;"Yes"),AND('School Search'!$G$5="Missing data",V2455="Missing data"),AND('School Search'!$G$5="Marked served",J2455="Yes"))),1,0)</x:f>
        <x:v>0</x:v>
      </x:c>
      <x:c r="Z2455" s="1" t="str">
        <x:f>IF(Y2455=0,"",COUNTIFS($Y$2051:$Y$2550,1,$AO$2051:$AO$2550,"&lt;"&amp;AO2455)+COUNTIFS($Y$2051:Y2455,1,$AO$2051:AO2455,AO2455))</x:f>
      </x:c>
      <x:c r="AA2455" s="1" t="str">
        <x:f>IF(NOT(ISNUMBER(S2455)),"Missing demographic or access input",TEXT(G2455,"0%")&amp;" economic need; "&amp;TEXT(K2455,"0.00")&amp;" mi fresh access; "&amp;L2455&amp;" nearby resources")</x:f>
        <x:v>Missing demographic or access input</x:v>
      </x:c>
      <x:c r="AB2455" s="1" t="n">
        <x:f>IF(OR(A2455="",COUNTIFS($A$1531:$A$2030,A2455)&lt;&gt;1),0,MATCH(A2455,$A$1531:$A$2030,0))</x:f>
        <x:v>0</x:v>
      </x:c>
      <x:c r="AC2455" s="1" t="str">
        <x:f>IF(AB2455=0,"",INDEX($E$1531:$E$2030,AB2455))</x:f>
      </x:c>
      <x:c r="AD2455" s="1" t="str">
        <x:f>IF(AB2455=0,"",INDEX($F$1531:$F$2030,AB2455))</x:f>
      </x:c>
      <x:c r="AE2455" s="1" t="str">
        <x:f>IF(A2455="","",F406)</x:f>
      </x:c>
      <x:c r="AF2455" s="1" t="str">
        <x:f>IF(ISNUMBER(I406),I406,"")</x:f>
      </x:c>
      <x:c r="AG2455" s="1" t="str">
        <x:f>IF(ISNUMBER(J406),J406,"")</x:f>
      </x:c>
      <x:c r="AH2455" s="1" t="str">
        <x:f>IF(I2455=0,"Not contacted",IF(INDEX('Staff Review'!$J$8:$J$507,I2455)="","Not contacted",INDEX('Staff Review'!$J$8:$J$507,I2455)))</x:f>
        <x:v>Not contacted</x:v>
      </x:c>
      <x:c r="AI2455" s="1" t="str">
        <x:f>IF(I2455=0,"No",IF(AND(COUNT(INDEX('Staff Review'!$D$8:$D$507,I2455))=1,INDEX('Staff Review'!$D$8:$D$507,I2455)&gt;=0,COUNT(INDEX('Staff Review'!$E$8:$E$507,I2455))=1,INDEX('Staff Review'!$E$8:$E$507,I2455)&gt;0,INDEX('Staff Review'!$E$8:$E$507,I2455)&lt;='Top 15'!$E$5,'Top 15'!$E$5-INDEX('Staff Review'!$E$8:$E$507,I2455)&lt;='Top 15'!$H$5,LEN(INDEX('Staff Review'!$H$8:$H$507,I2455))&gt;0),"Yes","No"))</x:f>
        <x:v>No</x:v>
      </x:c>
      <x:c r="AJ2455" s="1" t="str">
        <x:f>IF(I2455=0,"No",IF(COUNT(INDEX('Staff Review'!$F$8:$F$507,I2455))&lt;&gt;1,"No",IF(AND(INDEX('Staff Review'!$F$8:$F$507,I2455)&gt;=0,MOD(INDEX('Staff Review'!$F$8:$F$507,I2455),1)=0,COUNT(INDEX('Staff Review'!$G$8:$G$507,I2455))=1,INDEX('Staff Review'!$G$8:$G$507,I2455)&gt;0,INDEX('Staff Review'!$G$8:$G$507,I2455)&lt;='Top 15'!$E$5,'Top 15'!$E$5-INDEX('Staff Review'!$G$8:$G$507,I2455)&lt;='Top 15'!$H$5,LEN(INDEX('Staff Review'!$H$8:$H$507,I2455))&gt;0),"Yes","No")))</x:f>
        <x:v>No</x:v>
      </x:c>
      <x:c r="AK2455" s="1" t="n">
        <x:f>IF(A2455="",0,COUNTIFS($A$2:$A$501,A2455))</x:f>
        <x:v>0</x:v>
      </x:c>
      <x:c r="AL2455" s="1" t="n">
        <x:f>IF(V2455="Candidate",1,0)</x:f>
        <x:v>0</x:v>
      </x:c>
      <x:c r="AM2455" s="1" t="n">
        <x:f>IF(A2455="",0,VALUE(A2455))</x:f>
        <x:v>0</x:v>
      </x:c>
      <x:c r="AN2455" s="1" t="n">
        <x:f>IF(OR(A2455="",COUNTIFS($T$41:$T$540,A2455)&lt;&gt;1),0,MATCH(A2455,$T$41:$T$540,0))</x:f>
        <x:v>0</x:v>
      </x:c>
      <x:c r="AO2455" t="n">
        <x:f>IF(ISNUMBER(W2455),W2455,10000+AM2455)</x:f>
        <x:v>10000</x:v>
      </x:c>
    </x:row>
    <x:row r="2456" ht="22" customHeight="1">
      <x:c r="A2456" s="1" t="str">
        <x:f>IF(A407="","",A407)</x:f>
      </x:c>
      <x:c r="B2456" s="1" t="str">
        <x:f>IF(A2456="","",B407)</x:f>
      </x:c>
      <x:c r="C2456" s="1" t="str">
        <x:f>IF(A2456="","",C407)</x:f>
      </x:c>
      <x:c r="D2456" s="1" t="str">
        <x:f>IF(A2456="","",E407)</x:f>
      </x:c>
      <x:c r="E2456" s="1" t="str">
        <x:f>IF(A2456="","",H407)</x:f>
      </x:c>
      <x:c r="F2456" s="1" t="str">
        <x:f>IF(ISNUMBER(K407),K407,"")</x:f>
      </x:c>
      <x:c r="G2456" s="1" t="str">
        <x:f>IF(ISNUMBER(L407),L407,"")</x:f>
      </x:c>
      <x:c r="H2456" s="1" t="str">
        <x:f>IF(A2456="","",IF(AND(UPPER(G407)="PHILADELPHIA",OR(C2456="District",AND(C2456="Charter",D407="Yes"))),"Yes","No"))</x:f>
      </x:c>
      <x:c r="I2456" s="1" t="n">
        <x:f>IF(OR(A2456="",COUNTIFS('Staff Review'!$A$8:$A$507,A2456)&lt;&gt;1),0,MATCH(A2456,'Staff Review'!$A$8:$A$507,0))</x:f>
        <x:v>0</x:v>
      </x:c>
      <x:c r="J2456" s="1" t="str">
        <x:f>IF(I2456=0,"No",IF(INDEX('Staff Review'!$C$8:$C$507,I2456)="Yes","Yes","No"))</x:f>
        <x:v>No</x:v>
      </x:c>
      <x:c r="K2456" s="1" t="str">
        <x:f>IF(AI2456="Yes",INDEX('Staff Review'!$D$8:$D$507,I2456),IF(AB2456=0,"",IF(COUNT(INDEX($C$1531:$C$2030,AB2456))=1,INDEX($C$1531:$C$2030,AB2456),"")))</x:f>
      </x:c>
      <x:c r="L2456" s="1" t="str">
        <x:f>IF(AJ2456="Yes",INDEX('Staff Review'!$F$8:$F$507,I2456),IF(AB2456=0,"",IF(COUNT(INDEX($G$1531:$G$2030,AB2456))=1,INDEX($G$1531:$G$2030,AB2456),"")))</x:f>
      </x:c>
      <x:c r="M2456" s="1" t="str">
        <x:f>IF(A2456="","",IF(AI2456="Yes","Verified","Listed"))</x:f>
      </x:c>
      <x:c r="N2456" s="1" t="str">
        <x:f>IF(A2456="","",IF(AJ2456="Yes","Verified","Listed"))</x:f>
      </x:c>
      <x:c r="O2456" s="1" t="str">
        <x:f>IF(AND(ISNUMBER(G2456),G2456&gt;=0,G2456&lt;=1),IF(G2456&gt;=0.9,30,IF(G2456&gt;=0.8,25,IF(G2456&gt;=0.7,20,IF(G2456&gt;=0.6,15,IF(G2456&gt;=0.5,10,IF(G2456&gt;=0.4,5,0)))))),"")</x:f>
      </x:c>
      <x:c r="P2456" s="1" t="str">
        <x:f>IF(ISNUMBER(K2456),IF(K2456&lt;0,"",IF(K2456&gt;1,25,IF(K2456&gt;=0.75,20,IF(K2456&gt;=0.5,15,IF(K2456&gt;=0.25,10,5))))),"")</x:f>
      </x:c>
      <x:c r="Q2456" s="1" t="str">
        <x:f>IF(NOT(ISNUMBER(L2456)),"",IF(AND(L2456&gt;=0,MOD(L2456,1)=0),MAX(0,25-5*L2456),""))</x:f>
      </x:c>
      <x:c r="R2456" s="1" t="str">
        <x:f>IF(NOT(ISNUMBER(F2456)),"",IF(AND(F2456&gt;0,MOD(F2456,1)=0),IF(F2456&gt;=700,5,IF(F2456&gt;=500,4,IF(F2456&gt;=350,3,IF(F2456&gt;=200,2,1)))),""))</x:f>
      </x:c>
      <x:c r="S2456" s="1" t="str">
        <x:f>IF(COUNT(O2456:R2456)=4,SUM(O2456:R2456),"")</x:f>
      </x:c>
      <x:c r="T2456" s="1" t="str">
        <x:f>IF(OR(COUNT(O2456:R2456)&lt;&gt;4,COUNT('Top 15'!$B$35:$E$35)&lt;&gt;4,MIN('Top 15'!$B$35:$E$35)&lt;0,SUM('Top 15'!$B$35:$E$35)&lt;=0),"",ROUND(85*(O2456/30*'Top 15'!$B$35+P2456/25*'Top 15'!$C$35+Q2456/25*'Top 15'!$D$35+R2456/5*'Top 15'!$E$35)/SUM('Top 15'!$B$35:$E$35),6))</x:f>
      </x:c>
      <x:c r="U2456" s="1" t="str">
        <x:f>IF(A2456="","",IF(AND(M2456="Verified",N2456="Verified"),"Verified",IF(AND(M2456="Listed",N2456="Listed"),"Listed","Mixed")))</x:f>
      </x:c>
      <x:c r="V2456" s="1" t="str">
        <x:f>IF(A2456="","",IF(AK2456&lt;&gt;1,"Duplicate source ID",IF(COUNTIFS('Staff Review'!$A$8:$A$507,A2456)&gt;1,"Duplicate review ID",IF(H2456&lt;&gt;"Yes","Outside scope",IF(J2456="Yes","Already served",IF(NOT(ISNUMBER(T2456)),"Missing data","Candidate"))))))</x:f>
      </x:c>
      <x:c r="W2456" s="1" t="str">
        <x:f>IF(AL2456=0,"",1+COUNTIFS($AL$2051:$AL$2550,1,$T$2051:$T$2550,"&gt;"&amp;T2456)+COUNTIFS($AL$2051:$AL$2550,1,$T$2051:$T$2550,T2456,$G$2051:$G$2550,"&gt;"&amp;G2456)+COUNTIFS($AL$2051:$AL$2550,1,$T$2051:$T$2550,T2456,$G$2051:$G$2550,G2456,$F$2051:$F$2550,"&gt;"&amp;F2456)+COUNTIFS($AL$2051:$AL$2550,1,$T$2051:$T$2550,T2456,$G$2051:$G$2550,G2456,$F$2051:$F$2550,F2456,$AM$2051:$AM$2550,"&lt;"&amp;AM2456))</x:f>
      </x:c>
      <x:c r="X2456" s="1" t="str">
        <x:f>IF(AL2456=0,"",1+COUNTIFS($AL$2051:$AL$2550,1,$T$2051:$T$2550,"&gt;"&amp;T2456))</x:f>
      </x:c>
      <x:c r="Y2456" s="1" t="n">
        <x:f>IF(AND(H2456="Yes",OR(LEN('School Search'!$B$5)=0,ISNUMBER(SEARCH('School Search'!$B$5,B2456&amp;" "&amp;E2456&amp;" "&amp;A2456))),OR('School Search'!$D$5="All",C2456='School Search'!$D$5),OR('School Search'!$G$5="All eligible",AND('School Search'!$G$5="Not marked served",J2456&lt;&gt;"Yes"),AND('School Search'!$G$5="Missing data",V2456="Missing data"),AND('School Search'!$G$5="Marked served",J2456="Yes"))),1,0)</x:f>
        <x:v>0</x:v>
      </x:c>
      <x:c r="Z2456" s="1" t="str">
        <x:f>IF(Y2456=0,"",COUNTIFS($Y$2051:$Y$2550,1,$AO$2051:$AO$2550,"&lt;"&amp;AO2456)+COUNTIFS($Y$2051:Y2456,1,$AO$2051:AO2456,AO2456))</x:f>
      </x:c>
      <x:c r="AA2456" s="1" t="str">
        <x:f>IF(NOT(ISNUMBER(S2456)),"Missing demographic or access input",TEXT(G2456,"0%")&amp;" economic need; "&amp;TEXT(K2456,"0.00")&amp;" mi fresh access; "&amp;L2456&amp;" nearby resources")</x:f>
        <x:v>Missing demographic or access input</x:v>
      </x:c>
      <x:c r="AB2456" s="1" t="n">
        <x:f>IF(OR(A2456="",COUNTIFS($A$1531:$A$2030,A2456)&lt;&gt;1),0,MATCH(A2456,$A$1531:$A$2030,0))</x:f>
        <x:v>0</x:v>
      </x:c>
      <x:c r="AC2456" s="1" t="str">
        <x:f>IF(AB2456=0,"",INDEX($E$1531:$E$2030,AB2456))</x:f>
      </x:c>
      <x:c r="AD2456" s="1" t="str">
        <x:f>IF(AB2456=0,"",INDEX($F$1531:$F$2030,AB2456))</x:f>
      </x:c>
      <x:c r="AE2456" s="1" t="str">
        <x:f>IF(A2456="","",F407)</x:f>
      </x:c>
      <x:c r="AF2456" s="1" t="str">
        <x:f>IF(ISNUMBER(I407),I407,"")</x:f>
      </x:c>
      <x:c r="AG2456" s="1" t="str">
        <x:f>IF(ISNUMBER(J407),J407,"")</x:f>
      </x:c>
      <x:c r="AH2456" s="1" t="str">
        <x:f>IF(I2456=0,"Not contacted",IF(INDEX('Staff Review'!$J$8:$J$507,I2456)="","Not contacted",INDEX('Staff Review'!$J$8:$J$507,I2456)))</x:f>
        <x:v>Not contacted</x:v>
      </x:c>
      <x:c r="AI2456" s="1" t="str">
        <x:f>IF(I2456=0,"No",IF(AND(COUNT(INDEX('Staff Review'!$D$8:$D$507,I2456))=1,INDEX('Staff Review'!$D$8:$D$507,I2456)&gt;=0,COUNT(INDEX('Staff Review'!$E$8:$E$507,I2456))=1,INDEX('Staff Review'!$E$8:$E$507,I2456)&gt;0,INDEX('Staff Review'!$E$8:$E$507,I2456)&lt;='Top 15'!$E$5,'Top 15'!$E$5-INDEX('Staff Review'!$E$8:$E$507,I2456)&lt;='Top 15'!$H$5,LEN(INDEX('Staff Review'!$H$8:$H$507,I2456))&gt;0),"Yes","No"))</x:f>
        <x:v>No</x:v>
      </x:c>
      <x:c r="AJ2456" s="1" t="str">
        <x:f>IF(I2456=0,"No",IF(COUNT(INDEX('Staff Review'!$F$8:$F$507,I2456))&lt;&gt;1,"No",IF(AND(INDEX('Staff Review'!$F$8:$F$507,I2456)&gt;=0,MOD(INDEX('Staff Review'!$F$8:$F$507,I2456),1)=0,COUNT(INDEX('Staff Review'!$G$8:$G$507,I2456))=1,INDEX('Staff Review'!$G$8:$G$507,I2456)&gt;0,INDEX('Staff Review'!$G$8:$G$507,I2456)&lt;='Top 15'!$E$5,'Top 15'!$E$5-INDEX('Staff Review'!$G$8:$G$507,I2456)&lt;='Top 15'!$H$5,LEN(INDEX('Staff Review'!$H$8:$H$507,I2456))&gt;0),"Yes","No")))</x:f>
        <x:v>No</x:v>
      </x:c>
      <x:c r="AK2456" s="1" t="n">
        <x:f>IF(A2456="",0,COUNTIFS($A$2:$A$501,A2456))</x:f>
        <x:v>0</x:v>
      </x:c>
      <x:c r="AL2456" s="1" t="n">
        <x:f>IF(V2456="Candidate",1,0)</x:f>
        <x:v>0</x:v>
      </x:c>
      <x:c r="AM2456" s="1" t="n">
        <x:f>IF(A2456="",0,VALUE(A2456))</x:f>
        <x:v>0</x:v>
      </x:c>
      <x:c r="AN2456" s="1" t="n">
        <x:f>IF(OR(A2456="",COUNTIFS($T$41:$T$540,A2456)&lt;&gt;1),0,MATCH(A2456,$T$41:$T$540,0))</x:f>
        <x:v>0</x:v>
      </x:c>
      <x:c r="AO2456" t="n">
        <x:f>IF(ISNUMBER(W2456),W2456,10000+AM2456)</x:f>
        <x:v>10000</x:v>
      </x:c>
    </x:row>
    <x:row r="2457" ht="22" customHeight="1">
      <x:c r="A2457" s="1" t="str">
        <x:f>IF(A408="","",A408)</x:f>
      </x:c>
      <x:c r="B2457" s="1" t="str">
        <x:f>IF(A2457="","",B408)</x:f>
      </x:c>
      <x:c r="C2457" s="1" t="str">
        <x:f>IF(A2457="","",C408)</x:f>
      </x:c>
      <x:c r="D2457" s="1" t="str">
        <x:f>IF(A2457="","",E408)</x:f>
      </x:c>
      <x:c r="E2457" s="1" t="str">
        <x:f>IF(A2457="","",H408)</x:f>
      </x:c>
      <x:c r="F2457" s="1" t="str">
        <x:f>IF(ISNUMBER(K408),K408,"")</x:f>
      </x:c>
      <x:c r="G2457" s="1" t="str">
        <x:f>IF(ISNUMBER(L408),L408,"")</x:f>
      </x:c>
      <x:c r="H2457" s="1" t="str">
        <x:f>IF(A2457="","",IF(AND(UPPER(G408)="PHILADELPHIA",OR(C2457="District",AND(C2457="Charter",D408="Yes"))),"Yes","No"))</x:f>
      </x:c>
      <x:c r="I2457" s="1" t="n">
        <x:f>IF(OR(A2457="",COUNTIFS('Staff Review'!$A$8:$A$507,A2457)&lt;&gt;1),0,MATCH(A2457,'Staff Review'!$A$8:$A$507,0))</x:f>
        <x:v>0</x:v>
      </x:c>
      <x:c r="J2457" s="1" t="str">
        <x:f>IF(I2457=0,"No",IF(INDEX('Staff Review'!$C$8:$C$507,I2457)="Yes","Yes","No"))</x:f>
        <x:v>No</x:v>
      </x:c>
      <x:c r="K2457" s="1" t="str">
        <x:f>IF(AI2457="Yes",INDEX('Staff Review'!$D$8:$D$507,I2457),IF(AB2457=0,"",IF(COUNT(INDEX($C$1531:$C$2030,AB2457))=1,INDEX($C$1531:$C$2030,AB2457),"")))</x:f>
      </x:c>
      <x:c r="L2457" s="1" t="str">
        <x:f>IF(AJ2457="Yes",INDEX('Staff Review'!$F$8:$F$507,I2457),IF(AB2457=0,"",IF(COUNT(INDEX($G$1531:$G$2030,AB2457))=1,INDEX($G$1531:$G$2030,AB2457),"")))</x:f>
      </x:c>
      <x:c r="M2457" s="1" t="str">
        <x:f>IF(A2457="","",IF(AI2457="Yes","Verified","Listed"))</x:f>
      </x:c>
      <x:c r="N2457" s="1" t="str">
        <x:f>IF(A2457="","",IF(AJ2457="Yes","Verified","Listed"))</x:f>
      </x:c>
      <x:c r="O2457" s="1" t="str">
        <x:f>IF(AND(ISNUMBER(G2457),G2457&gt;=0,G2457&lt;=1),IF(G2457&gt;=0.9,30,IF(G2457&gt;=0.8,25,IF(G2457&gt;=0.7,20,IF(G2457&gt;=0.6,15,IF(G2457&gt;=0.5,10,IF(G2457&gt;=0.4,5,0)))))),"")</x:f>
      </x:c>
      <x:c r="P2457" s="1" t="str">
        <x:f>IF(ISNUMBER(K2457),IF(K2457&lt;0,"",IF(K2457&gt;1,25,IF(K2457&gt;=0.75,20,IF(K2457&gt;=0.5,15,IF(K2457&gt;=0.25,10,5))))),"")</x:f>
      </x:c>
      <x:c r="Q2457" s="1" t="str">
        <x:f>IF(NOT(ISNUMBER(L2457)),"",IF(AND(L2457&gt;=0,MOD(L2457,1)=0),MAX(0,25-5*L2457),""))</x:f>
      </x:c>
      <x:c r="R2457" s="1" t="str">
        <x:f>IF(NOT(ISNUMBER(F2457)),"",IF(AND(F2457&gt;0,MOD(F2457,1)=0),IF(F2457&gt;=700,5,IF(F2457&gt;=500,4,IF(F2457&gt;=350,3,IF(F2457&gt;=200,2,1)))),""))</x:f>
      </x:c>
      <x:c r="S2457" s="1" t="str">
        <x:f>IF(COUNT(O2457:R2457)=4,SUM(O2457:R2457),"")</x:f>
      </x:c>
      <x:c r="T2457" s="1" t="str">
        <x:f>IF(OR(COUNT(O2457:R2457)&lt;&gt;4,COUNT('Top 15'!$B$35:$E$35)&lt;&gt;4,MIN('Top 15'!$B$35:$E$35)&lt;0,SUM('Top 15'!$B$35:$E$35)&lt;=0),"",ROUND(85*(O2457/30*'Top 15'!$B$35+P2457/25*'Top 15'!$C$35+Q2457/25*'Top 15'!$D$35+R2457/5*'Top 15'!$E$35)/SUM('Top 15'!$B$35:$E$35),6))</x:f>
      </x:c>
      <x:c r="U2457" s="1" t="str">
        <x:f>IF(A2457="","",IF(AND(M2457="Verified",N2457="Verified"),"Verified",IF(AND(M2457="Listed",N2457="Listed"),"Listed","Mixed")))</x:f>
      </x:c>
      <x:c r="V2457" s="1" t="str">
        <x:f>IF(A2457="","",IF(AK2457&lt;&gt;1,"Duplicate source ID",IF(COUNTIFS('Staff Review'!$A$8:$A$507,A2457)&gt;1,"Duplicate review ID",IF(H2457&lt;&gt;"Yes","Outside scope",IF(J2457="Yes","Already served",IF(NOT(ISNUMBER(T2457)),"Missing data","Candidate"))))))</x:f>
      </x:c>
      <x:c r="W2457" s="1" t="str">
        <x:f>IF(AL2457=0,"",1+COUNTIFS($AL$2051:$AL$2550,1,$T$2051:$T$2550,"&gt;"&amp;T2457)+COUNTIFS($AL$2051:$AL$2550,1,$T$2051:$T$2550,T2457,$G$2051:$G$2550,"&gt;"&amp;G2457)+COUNTIFS($AL$2051:$AL$2550,1,$T$2051:$T$2550,T2457,$G$2051:$G$2550,G2457,$F$2051:$F$2550,"&gt;"&amp;F2457)+COUNTIFS($AL$2051:$AL$2550,1,$T$2051:$T$2550,T2457,$G$2051:$G$2550,G2457,$F$2051:$F$2550,F2457,$AM$2051:$AM$2550,"&lt;"&amp;AM2457))</x:f>
      </x:c>
      <x:c r="X2457" s="1" t="str">
        <x:f>IF(AL2457=0,"",1+COUNTIFS($AL$2051:$AL$2550,1,$T$2051:$T$2550,"&gt;"&amp;T2457))</x:f>
      </x:c>
      <x:c r="Y2457" s="1" t="n">
        <x:f>IF(AND(H2457="Yes",OR(LEN('School Search'!$B$5)=0,ISNUMBER(SEARCH('School Search'!$B$5,B2457&amp;" "&amp;E2457&amp;" "&amp;A2457))),OR('School Search'!$D$5="All",C2457='School Search'!$D$5),OR('School Search'!$G$5="All eligible",AND('School Search'!$G$5="Not marked served",J2457&lt;&gt;"Yes"),AND('School Search'!$G$5="Missing data",V2457="Missing data"),AND('School Search'!$G$5="Marked served",J2457="Yes"))),1,0)</x:f>
        <x:v>0</x:v>
      </x:c>
      <x:c r="Z2457" s="1" t="str">
        <x:f>IF(Y2457=0,"",COUNTIFS($Y$2051:$Y$2550,1,$AO$2051:$AO$2550,"&lt;"&amp;AO2457)+COUNTIFS($Y$2051:Y2457,1,$AO$2051:AO2457,AO2457))</x:f>
      </x:c>
      <x:c r="AA2457" s="1" t="str">
        <x:f>IF(NOT(ISNUMBER(S2457)),"Missing demographic or access input",TEXT(G2457,"0%")&amp;" economic need; "&amp;TEXT(K2457,"0.00")&amp;" mi fresh access; "&amp;L2457&amp;" nearby resources")</x:f>
        <x:v>Missing demographic or access input</x:v>
      </x:c>
      <x:c r="AB2457" s="1" t="n">
        <x:f>IF(OR(A2457="",COUNTIFS($A$1531:$A$2030,A2457)&lt;&gt;1),0,MATCH(A2457,$A$1531:$A$2030,0))</x:f>
        <x:v>0</x:v>
      </x:c>
      <x:c r="AC2457" s="1" t="str">
        <x:f>IF(AB2457=0,"",INDEX($E$1531:$E$2030,AB2457))</x:f>
      </x:c>
      <x:c r="AD2457" s="1" t="str">
        <x:f>IF(AB2457=0,"",INDEX($F$1531:$F$2030,AB2457))</x:f>
      </x:c>
      <x:c r="AE2457" s="1" t="str">
        <x:f>IF(A2457="","",F408)</x:f>
      </x:c>
      <x:c r="AF2457" s="1" t="str">
        <x:f>IF(ISNUMBER(I408),I408,"")</x:f>
      </x:c>
      <x:c r="AG2457" s="1" t="str">
        <x:f>IF(ISNUMBER(J408),J408,"")</x:f>
      </x:c>
      <x:c r="AH2457" s="1" t="str">
        <x:f>IF(I2457=0,"Not contacted",IF(INDEX('Staff Review'!$J$8:$J$507,I2457)="","Not contacted",INDEX('Staff Review'!$J$8:$J$507,I2457)))</x:f>
        <x:v>Not contacted</x:v>
      </x:c>
      <x:c r="AI2457" s="1" t="str">
        <x:f>IF(I2457=0,"No",IF(AND(COUNT(INDEX('Staff Review'!$D$8:$D$507,I2457))=1,INDEX('Staff Review'!$D$8:$D$507,I2457)&gt;=0,COUNT(INDEX('Staff Review'!$E$8:$E$507,I2457))=1,INDEX('Staff Review'!$E$8:$E$507,I2457)&gt;0,INDEX('Staff Review'!$E$8:$E$507,I2457)&lt;='Top 15'!$E$5,'Top 15'!$E$5-INDEX('Staff Review'!$E$8:$E$507,I2457)&lt;='Top 15'!$H$5,LEN(INDEX('Staff Review'!$H$8:$H$507,I2457))&gt;0),"Yes","No"))</x:f>
        <x:v>No</x:v>
      </x:c>
      <x:c r="AJ2457" s="1" t="str">
        <x:f>IF(I2457=0,"No",IF(COUNT(INDEX('Staff Review'!$F$8:$F$507,I2457))&lt;&gt;1,"No",IF(AND(INDEX('Staff Review'!$F$8:$F$507,I2457)&gt;=0,MOD(INDEX('Staff Review'!$F$8:$F$507,I2457),1)=0,COUNT(INDEX('Staff Review'!$G$8:$G$507,I2457))=1,INDEX('Staff Review'!$G$8:$G$507,I2457)&gt;0,INDEX('Staff Review'!$G$8:$G$507,I2457)&lt;='Top 15'!$E$5,'Top 15'!$E$5-INDEX('Staff Review'!$G$8:$G$507,I2457)&lt;='Top 15'!$H$5,LEN(INDEX('Staff Review'!$H$8:$H$507,I2457))&gt;0),"Yes","No")))</x:f>
        <x:v>No</x:v>
      </x:c>
      <x:c r="AK2457" s="1" t="n">
        <x:f>IF(A2457="",0,COUNTIFS($A$2:$A$501,A2457))</x:f>
        <x:v>0</x:v>
      </x:c>
      <x:c r="AL2457" s="1" t="n">
        <x:f>IF(V2457="Candidate",1,0)</x:f>
        <x:v>0</x:v>
      </x:c>
      <x:c r="AM2457" s="1" t="n">
        <x:f>IF(A2457="",0,VALUE(A2457))</x:f>
        <x:v>0</x:v>
      </x:c>
      <x:c r="AN2457" s="1" t="n">
        <x:f>IF(OR(A2457="",COUNTIFS($T$41:$T$540,A2457)&lt;&gt;1),0,MATCH(A2457,$T$41:$T$540,0))</x:f>
        <x:v>0</x:v>
      </x:c>
      <x:c r="AO2457" t="n">
        <x:f>IF(ISNUMBER(W2457),W2457,10000+AM2457)</x:f>
        <x:v>10000</x:v>
      </x:c>
    </x:row>
    <x:row r="2458" ht="22" customHeight="1">
      <x:c r="A2458" s="1" t="str">
        <x:f>IF(A409="","",A409)</x:f>
      </x:c>
      <x:c r="B2458" s="1" t="str">
        <x:f>IF(A2458="","",B409)</x:f>
      </x:c>
      <x:c r="C2458" s="1" t="str">
        <x:f>IF(A2458="","",C409)</x:f>
      </x:c>
      <x:c r="D2458" s="1" t="str">
        <x:f>IF(A2458="","",E409)</x:f>
      </x:c>
      <x:c r="E2458" s="1" t="str">
        <x:f>IF(A2458="","",H409)</x:f>
      </x:c>
      <x:c r="F2458" s="1" t="str">
        <x:f>IF(ISNUMBER(K409),K409,"")</x:f>
      </x:c>
      <x:c r="G2458" s="1" t="str">
        <x:f>IF(ISNUMBER(L409),L409,"")</x:f>
      </x:c>
      <x:c r="H2458" s="1" t="str">
        <x:f>IF(A2458="","",IF(AND(UPPER(G409)="PHILADELPHIA",OR(C2458="District",AND(C2458="Charter",D409="Yes"))),"Yes","No"))</x:f>
      </x:c>
      <x:c r="I2458" s="1" t="n">
        <x:f>IF(OR(A2458="",COUNTIFS('Staff Review'!$A$8:$A$507,A2458)&lt;&gt;1),0,MATCH(A2458,'Staff Review'!$A$8:$A$507,0))</x:f>
        <x:v>0</x:v>
      </x:c>
      <x:c r="J2458" s="1" t="str">
        <x:f>IF(I2458=0,"No",IF(INDEX('Staff Review'!$C$8:$C$507,I2458)="Yes","Yes","No"))</x:f>
        <x:v>No</x:v>
      </x:c>
      <x:c r="K2458" s="1" t="str">
        <x:f>IF(AI2458="Yes",INDEX('Staff Review'!$D$8:$D$507,I2458),IF(AB2458=0,"",IF(COUNT(INDEX($C$1531:$C$2030,AB2458))=1,INDEX($C$1531:$C$2030,AB2458),"")))</x:f>
      </x:c>
      <x:c r="L2458" s="1" t="str">
        <x:f>IF(AJ2458="Yes",INDEX('Staff Review'!$F$8:$F$507,I2458),IF(AB2458=0,"",IF(COUNT(INDEX($G$1531:$G$2030,AB2458))=1,INDEX($G$1531:$G$2030,AB2458),"")))</x:f>
      </x:c>
      <x:c r="M2458" s="1" t="str">
        <x:f>IF(A2458="","",IF(AI2458="Yes","Verified","Listed"))</x:f>
      </x:c>
      <x:c r="N2458" s="1" t="str">
        <x:f>IF(A2458="","",IF(AJ2458="Yes","Verified","Listed"))</x:f>
      </x:c>
      <x:c r="O2458" s="1" t="str">
        <x:f>IF(AND(ISNUMBER(G2458),G2458&gt;=0,G2458&lt;=1),IF(G2458&gt;=0.9,30,IF(G2458&gt;=0.8,25,IF(G2458&gt;=0.7,20,IF(G2458&gt;=0.6,15,IF(G2458&gt;=0.5,10,IF(G2458&gt;=0.4,5,0)))))),"")</x:f>
      </x:c>
      <x:c r="P2458" s="1" t="str">
        <x:f>IF(ISNUMBER(K2458),IF(K2458&lt;0,"",IF(K2458&gt;1,25,IF(K2458&gt;=0.75,20,IF(K2458&gt;=0.5,15,IF(K2458&gt;=0.25,10,5))))),"")</x:f>
      </x:c>
      <x:c r="Q2458" s="1" t="str">
        <x:f>IF(NOT(ISNUMBER(L2458)),"",IF(AND(L2458&gt;=0,MOD(L2458,1)=0),MAX(0,25-5*L2458),""))</x:f>
      </x:c>
      <x:c r="R2458" s="1" t="str">
        <x:f>IF(NOT(ISNUMBER(F2458)),"",IF(AND(F2458&gt;0,MOD(F2458,1)=0),IF(F2458&gt;=700,5,IF(F2458&gt;=500,4,IF(F2458&gt;=350,3,IF(F2458&gt;=200,2,1)))),""))</x:f>
      </x:c>
      <x:c r="S2458" s="1" t="str">
        <x:f>IF(COUNT(O2458:R2458)=4,SUM(O2458:R2458),"")</x:f>
      </x:c>
      <x:c r="T2458" s="1" t="str">
        <x:f>IF(OR(COUNT(O2458:R2458)&lt;&gt;4,COUNT('Top 15'!$B$35:$E$35)&lt;&gt;4,MIN('Top 15'!$B$35:$E$35)&lt;0,SUM('Top 15'!$B$35:$E$35)&lt;=0),"",ROUND(85*(O2458/30*'Top 15'!$B$35+P2458/25*'Top 15'!$C$35+Q2458/25*'Top 15'!$D$35+R2458/5*'Top 15'!$E$35)/SUM('Top 15'!$B$35:$E$35),6))</x:f>
      </x:c>
      <x:c r="U2458" s="1" t="str">
        <x:f>IF(A2458="","",IF(AND(M2458="Verified",N2458="Verified"),"Verified",IF(AND(M2458="Listed",N2458="Listed"),"Listed","Mixed")))</x:f>
      </x:c>
      <x:c r="V2458" s="1" t="str">
        <x:f>IF(A2458="","",IF(AK2458&lt;&gt;1,"Duplicate source ID",IF(COUNTIFS('Staff Review'!$A$8:$A$507,A2458)&gt;1,"Duplicate review ID",IF(H2458&lt;&gt;"Yes","Outside scope",IF(J2458="Yes","Already served",IF(NOT(ISNUMBER(T2458)),"Missing data","Candidate"))))))</x:f>
      </x:c>
      <x:c r="W2458" s="1" t="str">
        <x:f>IF(AL2458=0,"",1+COUNTIFS($AL$2051:$AL$2550,1,$T$2051:$T$2550,"&gt;"&amp;T2458)+COUNTIFS($AL$2051:$AL$2550,1,$T$2051:$T$2550,T2458,$G$2051:$G$2550,"&gt;"&amp;G2458)+COUNTIFS($AL$2051:$AL$2550,1,$T$2051:$T$2550,T2458,$G$2051:$G$2550,G2458,$F$2051:$F$2550,"&gt;"&amp;F2458)+COUNTIFS($AL$2051:$AL$2550,1,$T$2051:$T$2550,T2458,$G$2051:$G$2550,G2458,$F$2051:$F$2550,F2458,$AM$2051:$AM$2550,"&lt;"&amp;AM2458))</x:f>
      </x:c>
      <x:c r="X2458" s="1" t="str">
        <x:f>IF(AL2458=0,"",1+COUNTIFS($AL$2051:$AL$2550,1,$T$2051:$T$2550,"&gt;"&amp;T2458))</x:f>
      </x:c>
      <x:c r="Y2458" s="1" t="n">
        <x:f>IF(AND(H2458="Yes",OR(LEN('School Search'!$B$5)=0,ISNUMBER(SEARCH('School Search'!$B$5,B2458&amp;" "&amp;E2458&amp;" "&amp;A2458))),OR('School Search'!$D$5="All",C2458='School Search'!$D$5),OR('School Search'!$G$5="All eligible",AND('School Search'!$G$5="Not marked served",J2458&lt;&gt;"Yes"),AND('School Search'!$G$5="Missing data",V2458="Missing data"),AND('School Search'!$G$5="Marked served",J2458="Yes"))),1,0)</x:f>
        <x:v>0</x:v>
      </x:c>
      <x:c r="Z2458" s="1" t="str">
        <x:f>IF(Y2458=0,"",COUNTIFS($Y$2051:$Y$2550,1,$AO$2051:$AO$2550,"&lt;"&amp;AO2458)+COUNTIFS($Y$2051:Y2458,1,$AO$2051:AO2458,AO2458))</x:f>
      </x:c>
      <x:c r="AA2458" s="1" t="str">
        <x:f>IF(NOT(ISNUMBER(S2458)),"Missing demographic or access input",TEXT(G2458,"0%")&amp;" economic need; "&amp;TEXT(K2458,"0.00")&amp;" mi fresh access; "&amp;L2458&amp;" nearby resources")</x:f>
        <x:v>Missing demographic or access input</x:v>
      </x:c>
      <x:c r="AB2458" s="1" t="n">
        <x:f>IF(OR(A2458="",COUNTIFS($A$1531:$A$2030,A2458)&lt;&gt;1),0,MATCH(A2458,$A$1531:$A$2030,0))</x:f>
        <x:v>0</x:v>
      </x:c>
      <x:c r="AC2458" s="1" t="str">
        <x:f>IF(AB2458=0,"",INDEX($E$1531:$E$2030,AB2458))</x:f>
      </x:c>
      <x:c r="AD2458" s="1" t="str">
        <x:f>IF(AB2458=0,"",INDEX($F$1531:$F$2030,AB2458))</x:f>
      </x:c>
      <x:c r="AE2458" s="1" t="str">
        <x:f>IF(A2458="","",F409)</x:f>
      </x:c>
      <x:c r="AF2458" s="1" t="str">
        <x:f>IF(ISNUMBER(I409),I409,"")</x:f>
      </x:c>
      <x:c r="AG2458" s="1" t="str">
        <x:f>IF(ISNUMBER(J409),J409,"")</x:f>
      </x:c>
      <x:c r="AH2458" s="1" t="str">
        <x:f>IF(I2458=0,"Not contacted",IF(INDEX('Staff Review'!$J$8:$J$507,I2458)="","Not contacted",INDEX('Staff Review'!$J$8:$J$507,I2458)))</x:f>
        <x:v>Not contacted</x:v>
      </x:c>
      <x:c r="AI2458" s="1" t="str">
        <x:f>IF(I2458=0,"No",IF(AND(COUNT(INDEX('Staff Review'!$D$8:$D$507,I2458))=1,INDEX('Staff Review'!$D$8:$D$507,I2458)&gt;=0,COUNT(INDEX('Staff Review'!$E$8:$E$507,I2458))=1,INDEX('Staff Review'!$E$8:$E$507,I2458)&gt;0,INDEX('Staff Review'!$E$8:$E$507,I2458)&lt;='Top 15'!$E$5,'Top 15'!$E$5-INDEX('Staff Review'!$E$8:$E$507,I2458)&lt;='Top 15'!$H$5,LEN(INDEX('Staff Review'!$H$8:$H$507,I2458))&gt;0),"Yes","No"))</x:f>
        <x:v>No</x:v>
      </x:c>
      <x:c r="AJ2458" s="1" t="str">
        <x:f>IF(I2458=0,"No",IF(COUNT(INDEX('Staff Review'!$F$8:$F$507,I2458))&lt;&gt;1,"No",IF(AND(INDEX('Staff Review'!$F$8:$F$507,I2458)&gt;=0,MOD(INDEX('Staff Review'!$F$8:$F$507,I2458),1)=0,COUNT(INDEX('Staff Review'!$G$8:$G$507,I2458))=1,INDEX('Staff Review'!$G$8:$G$507,I2458)&gt;0,INDEX('Staff Review'!$G$8:$G$507,I2458)&lt;='Top 15'!$E$5,'Top 15'!$E$5-INDEX('Staff Review'!$G$8:$G$507,I2458)&lt;='Top 15'!$H$5,LEN(INDEX('Staff Review'!$H$8:$H$507,I2458))&gt;0),"Yes","No")))</x:f>
        <x:v>No</x:v>
      </x:c>
      <x:c r="AK2458" s="1" t="n">
        <x:f>IF(A2458="",0,COUNTIFS($A$2:$A$501,A2458))</x:f>
        <x:v>0</x:v>
      </x:c>
      <x:c r="AL2458" s="1" t="n">
        <x:f>IF(V2458="Candidate",1,0)</x:f>
        <x:v>0</x:v>
      </x:c>
      <x:c r="AM2458" s="1" t="n">
        <x:f>IF(A2458="",0,VALUE(A2458))</x:f>
        <x:v>0</x:v>
      </x:c>
      <x:c r="AN2458" s="1" t="n">
        <x:f>IF(OR(A2458="",COUNTIFS($T$41:$T$540,A2458)&lt;&gt;1),0,MATCH(A2458,$T$41:$T$540,0))</x:f>
        <x:v>0</x:v>
      </x:c>
      <x:c r="AO2458" t="n">
        <x:f>IF(ISNUMBER(W2458),W2458,10000+AM2458)</x:f>
        <x:v>10000</x:v>
      </x:c>
    </x:row>
    <x:row r="2459" ht="22" customHeight="1">
      <x:c r="A2459" s="1" t="str">
        <x:f>IF(A410="","",A410)</x:f>
      </x:c>
      <x:c r="B2459" s="1" t="str">
        <x:f>IF(A2459="","",B410)</x:f>
      </x:c>
      <x:c r="C2459" s="1" t="str">
        <x:f>IF(A2459="","",C410)</x:f>
      </x:c>
      <x:c r="D2459" s="1" t="str">
        <x:f>IF(A2459="","",E410)</x:f>
      </x:c>
      <x:c r="E2459" s="1" t="str">
        <x:f>IF(A2459="","",H410)</x:f>
      </x:c>
      <x:c r="F2459" s="1" t="str">
        <x:f>IF(ISNUMBER(K410),K410,"")</x:f>
      </x:c>
      <x:c r="G2459" s="1" t="str">
        <x:f>IF(ISNUMBER(L410),L410,"")</x:f>
      </x:c>
      <x:c r="H2459" s="1" t="str">
        <x:f>IF(A2459="","",IF(AND(UPPER(G410)="PHILADELPHIA",OR(C2459="District",AND(C2459="Charter",D410="Yes"))),"Yes","No"))</x:f>
      </x:c>
      <x:c r="I2459" s="1" t="n">
        <x:f>IF(OR(A2459="",COUNTIFS('Staff Review'!$A$8:$A$507,A2459)&lt;&gt;1),0,MATCH(A2459,'Staff Review'!$A$8:$A$507,0))</x:f>
        <x:v>0</x:v>
      </x:c>
      <x:c r="J2459" s="1" t="str">
        <x:f>IF(I2459=0,"No",IF(INDEX('Staff Review'!$C$8:$C$507,I2459)="Yes","Yes","No"))</x:f>
        <x:v>No</x:v>
      </x:c>
      <x:c r="K2459" s="1" t="str">
        <x:f>IF(AI2459="Yes",INDEX('Staff Review'!$D$8:$D$507,I2459),IF(AB2459=0,"",IF(COUNT(INDEX($C$1531:$C$2030,AB2459))=1,INDEX($C$1531:$C$2030,AB2459),"")))</x:f>
      </x:c>
      <x:c r="L2459" s="1" t="str">
        <x:f>IF(AJ2459="Yes",INDEX('Staff Review'!$F$8:$F$507,I2459),IF(AB2459=0,"",IF(COUNT(INDEX($G$1531:$G$2030,AB2459))=1,INDEX($G$1531:$G$2030,AB2459),"")))</x:f>
      </x:c>
      <x:c r="M2459" s="1" t="str">
        <x:f>IF(A2459="","",IF(AI2459="Yes","Verified","Listed"))</x:f>
      </x:c>
      <x:c r="N2459" s="1" t="str">
        <x:f>IF(A2459="","",IF(AJ2459="Yes","Verified","Listed"))</x:f>
      </x:c>
      <x:c r="O2459" s="1" t="str">
        <x:f>IF(AND(ISNUMBER(G2459),G2459&gt;=0,G2459&lt;=1),IF(G2459&gt;=0.9,30,IF(G2459&gt;=0.8,25,IF(G2459&gt;=0.7,20,IF(G2459&gt;=0.6,15,IF(G2459&gt;=0.5,10,IF(G2459&gt;=0.4,5,0)))))),"")</x:f>
      </x:c>
      <x:c r="P2459" s="1" t="str">
        <x:f>IF(ISNUMBER(K2459),IF(K2459&lt;0,"",IF(K2459&gt;1,25,IF(K2459&gt;=0.75,20,IF(K2459&gt;=0.5,15,IF(K2459&gt;=0.25,10,5))))),"")</x:f>
      </x:c>
      <x:c r="Q2459" s="1" t="str">
        <x:f>IF(NOT(ISNUMBER(L2459)),"",IF(AND(L2459&gt;=0,MOD(L2459,1)=0),MAX(0,25-5*L2459),""))</x:f>
      </x:c>
      <x:c r="R2459" s="1" t="str">
        <x:f>IF(NOT(ISNUMBER(F2459)),"",IF(AND(F2459&gt;0,MOD(F2459,1)=0),IF(F2459&gt;=700,5,IF(F2459&gt;=500,4,IF(F2459&gt;=350,3,IF(F2459&gt;=200,2,1)))),""))</x:f>
      </x:c>
      <x:c r="S2459" s="1" t="str">
        <x:f>IF(COUNT(O2459:R2459)=4,SUM(O2459:R2459),"")</x:f>
      </x:c>
      <x:c r="T2459" s="1" t="str">
        <x:f>IF(OR(COUNT(O2459:R2459)&lt;&gt;4,COUNT('Top 15'!$B$35:$E$35)&lt;&gt;4,MIN('Top 15'!$B$35:$E$35)&lt;0,SUM('Top 15'!$B$35:$E$35)&lt;=0),"",ROUND(85*(O2459/30*'Top 15'!$B$35+P2459/25*'Top 15'!$C$35+Q2459/25*'Top 15'!$D$35+R2459/5*'Top 15'!$E$35)/SUM('Top 15'!$B$35:$E$35),6))</x:f>
      </x:c>
      <x:c r="U2459" s="1" t="str">
        <x:f>IF(A2459="","",IF(AND(M2459="Verified",N2459="Verified"),"Verified",IF(AND(M2459="Listed",N2459="Listed"),"Listed","Mixed")))</x:f>
      </x:c>
      <x:c r="V2459" s="1" t="str">
        <x:f>IF(A2459="","",IF(AK2459&lt;&gt;1,"Duplicate source ID",IF(COUNTIFS('Staff Review'!$A$8:$A$507,A2459)&gt;1,"Duplicate review ID",IF(H2459&lt;&gt;"Yes","Outside scope",IF(J2459="Yes","Already served",IF(NOT(ISNUMBER(T2459)),"Missing data","Candidate"))))))</x:f>
      </x:c>
      <x:c r="W2459" s="1" t="str">
        <x:f>IF(AL2459=0,"",1+COUNTIFS($AL$2051:$AL$2550,1,$T$2051:$T$2550,"&gt;"&amp;T2459)+COUNTIFS($AL$2051:$AL$2550,1,$T$2051:$T$2550,T2459,$G$2051:$G$2550,"&gt;"&amp;G2459)+COUNTIFS($AL$2051:$AL$2550,1,$T$2051:$T$2550,T2459,$G$2051:$G$2550,G2459,$F$2051:$F$2550,"&gt;"&amp;F2459)+COUNTIFS($AL$2051:$AL$2550,1,$T$2051:$T$2550,T2459,$G$2051:$G$2550,G2459,$F$2051:$F$2550,F2459,$AM$2051:$AM$2550,"&lt;"&amp;AM2459))</x:f>
      </x:c>
      <x:c r="X2459" s="1" t="str">
        <x:f>IF(AL2459=0,"",1+COUNTIFS($AL$2051:$AL$2550,1,$T$2051:$T$2550,"&gt;"&amp;T2459))</x:f>
      </x:c>
      <x:c r="Y2459" s="1" t="n">
        <x:f>IF(AND(H2459="Yes",OR(LEN('School Search'!$B$5)=0,ISNUMBER(SEARCH('School Search'!$B$5,B2459&amp;" "&amp;E2459&amp;" "&amp;A2459))),OR('School Search'!$D$5="All",C2459='School Search'!$D$5),OR('School Search'!$G$5="All eligible",AND('School Search'!$G$5="Not marked served",J2459&lt;&gt;"Yes"),AND('School Search'!$G$5="Missing data",V2459="Missing data"),AND('School Search'!$G$5="Marked served",J2459="Yes"))),1,0)</x:f>
        <x:v>0</x:v>
      </x:c>
      <x:c r="Z2459" s="1" t="str">
        <x:f>IF(Y2459=0,"",COUNTIFS($Y$2051:$Y$2550,1,$AO$2051:$AO$2550,"&lt;"&amp;AO2459)+COUNTIFS($Y$2051:Y2459,1,$AO$2051:AO2459,AO2459))</x:f>
      </x:c>
      <x:c r="AA2459" s="1" t="str">
        <x:f>IF(NOT(ISNUMBER(S2459)),"Missing demographic or access input",TEXT(G2459,"0%")&amp;" economic need; "&amp;TEXT(K2459,"0.00")&amp;" mi fresh access; "&amp;L2459&amp;" nearby resources")</x:f>
        <x:v>Missing demographic or access input</x:v>
      </x:c>
      <x:c r="AB2459" s="1" t="n">
        <x:f>IF(OR(A2459="",COUNTIFS($A$1531:$A$2030,A2459)&lt;&gt;1),0,MATCH(A2459,$A$1531:$A$2030,0))</x:f>
        <x:v>0</x:v>
      </x:c>
      <x:c r="AC2459" s="1" t="str">
        <x:f>IF(AB2459=0,"",INDEX($E$1531:$E$2030,AB2459))</x:f>
      </x:c>
      <x:c r="AD2459" s="1" t="str">
        <x:f>IF(AB2459=0,"",INDEX($F$1531:$F$2030,AB2459))</x:f>
      </x:c>
      <x:c r="AE2459" s="1" t="str">
        <x:f>IF(A2459="","",F410)</x:f>
      </x:c>
      <x:c r="AF2459" s="1" t="str">
        <x:f>IF(ISNUMBER(I410),I410,"")</x:f>
      </x:c>
      <x:c r="AG2459" s="1" t="str">
        <x:f>IF(ISNUMBER(J410),J410,"")</x:f>
      </x:c>
      <x:c r="AH2459" s="1" t="str">
        <x:f>IF(I2459=0,"Not contacted",IF(INDEX('Staff Review'!$J$8:$J$507,I2459)="","Not contacted",INDEX('Staff Review'!$J$8:$J$507,I2459)))</x:f>
        <x:v>Not contacted</x:v>
      </x:c>
      <x:c r="AI2459" s="1" t="str">
        <x:f>IF(I2459=0,"No",IF(AND(COUNT(INDEX('Staff Review'!$D$8:$D$507,I2459))=1,INDEX('Staff Review'!$D$8:$D$507,I2459)&gt;=0,COUNT(INDEX('Staff Review'!$E$8:$E$507,I2459))=1,INDEX('Staff Review'!$E$8:$E$507,I2459)&gt;0,INDEX('Staff Review'!$E$8:$E$507,I2459)&lt;='Top 15'!$E$5,'Top 15'!$E$5-INDEX('Staff Review'!$E$8:$E$507,I2459)&lt;='Top 15'!$H$5,LEN(INDEX('Staff Review'!$H$8:$H$507,I2459))&gt;0),"Yes","No"))</x:f>
        <x:v>No</x:v>
      </x:c>
      <x:c r="AJ2459" s="1" t="str">
        <x:f>IF(I2459=0,"No",IF(COUNT(INDEX('Staff Review'!$F$8:$F$507,I2459))&lt;&gt;1,"No",IF(AND(INDEX('Staff Review'!$F$8:$F$507,I2459)&gt;=0,MOD(INDEX('Staff Review'!$F$8:$F$507,I2459),1)=0,COUNT(INDEX('Staff Review'!$G$8:$G$507,I2459))=1,INDEX('Staff Review'!$G$8:$G$507,I2459)&gt;0,INDEX('Staff Review'!$G$8:$G$507,I2459)&lt;='Top 15'!$E$5,'Top 15'!$E$5-INDEX('Staff Review'!$G$8:$G$507,I2459)&lt;='Top 15'!$H$5,LEN(INDEX('Staff Review'!$H$8:$H$507,I2459))&gt;0),"Yes","No")))</x:f>
        <x:v>No</x:v>
      </x:c>
      <x:c r="AK2459" s="1" t="n">
        <x:f>IF(A2459="",0,COUNTIFS($A$2:$A$501,A2459))</x:f>
        <x:v>0</x:v>
      </x:c>
      <x:c r="AL2459" s="1" t="n">
        <x:f>IF(V2459="Candidate",1,0)</x:f>
        <x:v>0</x:v>
      </x:c>
      <x:c r="AM2459" s="1" t="n">
        <x:f>IF(A2459="",0,VALUE(A2459))</x:f>
        <x:v>0</x:v>
      </x:c>
      <x:c r="AN2459" s="1" t="n">
        <x:f>IF(OR(A2459="",COUNTIFS($T$41:$T$540,A2459)&lt;&gt;1),0,MATCH(A2459,$T$41:$T$540,0))</x:f>
        <x:v>0</x:v>
      </x:c>
      <x:c r="AO2459" t="n">
        <x:f>IF(ISNUMBER(W2459),W2459,10000+AM2459)</x:f>
        <x:v>10000</x:v>
      </x:c>
    </x:row>
    <x:row r="2460" ht="22" customHeight="1">
      <x:c r="A2460" s="1" t="str">
        <x:f>IF(A411="","",A411)</x:f>
      </x:c>
      <x:c r="B2460" s="1" t="str">
        <x:f>IF(A2460="","",B411)</x:f>
      </x:c>
      <x:c r="C2460" s="1" t="str">
        <x:f>IF(A2460="","",C411)</x:f>
      </x:c>
      <x:c r="D2460" s="1" t="str">
        <x:f>IF(A2460="","",E411)</x:f>
      </x:c>
      <x:c r="E2460" s="1" t="str">
        <x:f>IF(A2460="","",H411)</x:f>
      </x:c>
      <x:c r="F2460" s="1" t="str">
        <x:f>IF(ISNUMBER(K411),K411,"")</x:f>
      </x:c>
      <x:c r="G2460" s="1" t="str">
        <x:f>IF(ISNUMBER(L411),L411,"")</x:f>
      </x:c>
      <x:c r="H2460" s="1" t="str">
        <x:f>IF(A2460="","",IF(AND(UPPER(G411)="PHILADELPHIA",OR(C2460="District",AND(C2460="Charter",D411="Yes"))),"Yes","No"))</x:f>
      </x:c>
      <x:c r="I2460" s="1" t="n">
        <x:f>IF(OR(A2460="",COUNTIFS('Staff Review'!$A$8:$A$507,A2460)&lt;&gt;1),0,MATCH(A2460,'Staff Review'!$A$8:$A$507,0))</x:f>
        <x:v>0</x:v>
      </x:c>
      <x:c r="J2460" s="1" t="str">
        <x:f>IF(I2460=0,"No",IF(INDEX('Staff Review'!$C$8:$C$507,I2460)="Yes","Yes","No"))</x:f>
        <x:v>No</x:v>
      </x:c>
      <x:c r="K2460" s="1" t="str">
        <x:f>IF(AI2460="Yes",INDEX('Staff Review'!$D$8:$D$507,I2460),IF(AB2460=0,"",IF(COUNT(INDEX($C$1531:$C$2030,AB2460))=1,INDEX($C$1531:$C$2030,AB2460),"")))</x:f>
      </x:c>
      <x:c r="L2460" s="1" t="str">
        <x:f>IF(AJ2460="Yes",INDEX('Staff Review'!$F$8:$F$507,I2460),IF(AB2460=0,"",IF(COUNT(INDEX($G$1531:$G$2030,AB2460))=1,INDEX($G$1531:$G$2030,AB2460),"")))</x:f>
      </x:c>
      <x:c r="M2460" s="1" t="str">
        <x:f>IF(A2460="","",IF(AI2460="Yes","Verified","Listed"))</x:f>
      </x:c>
      <x:c r="N2460" s="1" t="str">
        <x:f>IF(A2460="","",IF(AJ2460="Yes","Verified","Listed"))</x:f>
      </x:c>
      <x:c r="O2460" s="1" t="str">
        <x:f>IF(AND(ISNUMBER(G2460),G2460&gt;=0,G2460&lt;=1),IF(G2460&gt;=0.9,30,IF(G2460&gt;=0.8,25,IF(G2460&gt;=0.7,20,IF(G2460&gt;=0.6,15,IF(G2460&gt;=0.5,10,IF(G2460&gt;=0.4,5,0)))))),"")</x:f>
      </x:c>
      <x:c r="P2460" s="1" t="str">
        <x:f>IF(ISNUMBER(K2460),IF(K2460&lt;0,"",IF(K2460&gt;1,25,IF(K2460&gt;=0.75,20,IF(K2460&gt;=0.5,15,IF(K2460&gt;=0.25,10,5))))),"")</x:f>
      </x:c>
      <x:c r="Q2460" s="1" t="str">
        <x:f>IF(NOT(ISNUMBER(L2460)),"",IF(AND(L2460&gt;=0,MOD(L2460,1)=0),MAX(0,25-5*L2460),""))</x:f>
      </x:c>
      <x:c r="R2460" s="1" t="str">
        <x:f>IF(NOT(ISNUMBER(F2460)),"",IF(AND(F2460&gt;0,MOD(F2460,1)=0),IF(F2460&gt;=700,5,IF(F2460&gt;=500,4,IF(F2460&gt;=350,3,IF(F2460&gt;=200,2,1)))),""))</x:f>
      </x:c>
      <x:c r="S2460" s="1" t="str">
        <x:f>IF(COUNT(O2460:R2460)=4,SUM(O2460:R2460),"")</x:f>
      </x:c>
      <x:c r="T2460" s="1" t="str">
        <x:f>IF(OR(COUNT(O2460:R2460)&lt;&gt;4,COUNT('Top 15'!$B$35:$E$35)&lt;&gt;4,MIN('Top 15'!$B$35:$E$35)&lt;0,SUM('Top 15'!$B$35:$E$35)&lt;=0),"",ROUND(85*(O2460/30*'Top 15'!$B$35+P2460/25*'Top 15'!$C$35+Q2460/25*'Top 15'!$D$35+R2460/5*'Top 15'!$E$35)/SUM('Top 15'!$B$35:$E$35),6))</x:f>
      </x:c>
      <x:c r="U2460" s="1" t="str">
        <x:f>IF(A2460="","",IF(AND(M2460="Verified",N2460="Verified"),"Verified",IF(AND(M2460="Listed",N2460="Listed"),"Listed","Mixed")))</x:f>
      </x:c>
      <x:c r="V2460" s="1" t="str">
        <x:f>IF(A2460="","",IF(AK2460&lt;&gt;1,"Duplicate source ID",IF(COUNTIFS('Staff Review'!$A$8:$A$507,A2460)&gt;1,"Duplicate review ID",IF(H2460&lt;&gt;"Yes","Outside scope",IF(J2460="Yes","Already served",IF(NOT(ISNUMBER(T2460)),"Missing data","Candidate"))))))</x:f>
      </x:c>
      <x:c r="W2460" s="1" t="str">
        <x:f>IF(AL2460=0,"",1+COUNTIFS($AL$2051:$AL$2550,1,$T$2051:$T$2550,"&gt;"&amp;T2460)+COUNTIFS($AL$2051:$AL$2550,1,$T$2051:$T$2550,T2460,$G$2051:$G$2550,"&gt;"&amp;G2460)+COUNTIFS($AL$2051:$AL$2550,1,$T$2051:$T$2550,T2460,$G$2051:$G$2550,G2460,$F$2051:$F$2550,"&gt;"&amp;F2460)+COUNTIFS($AL$2051:$AL$2550,1,$T$2051:$T$2550,T2460,$G$2051:$G$2550,G2460,$F$2051:$F$2550,F2460,$AM$2051:$AM$2550,"&lt;"&amp;AM2460))</x:f>
      </x:c>
      <x:c r="X2460" s="1" t="str">
        <x:f>IF(AL2460=0,"",1+COUNTIFS($AL$2051:$AL$2550,1,$T$2051:$T$2550,"&gt;"&amp;T2460))</x:f>
      </x:c>
      <x:c r="Y2460" s="1" t="n">
        <x:f>IF(AND(H2460="Yes",OR(LEN('School Search'!$B$5)=0,ISNUMBER(SEARCH('School Search'!$B$5,B2460&amp;" "&amp;E2460&amp;" "&amp;A2460))),OR('School Search'!$D$5="All",C2460='School Search'!$D$5),OR('School Search'!$G$5="All eligible",AND('School Search'!$G$5="Not marked served",J2460&lt;&gt;"Yes"),AND('School Search'!$G$5="Missing data",V2460="Missing data"),AND('School Search'!$G$5="Marked served",J2460="Yes"))),1,0)</x:f>
        <x:v>0</x:v>
      </x:c>
      <x:c r="Z2460" s="1" t="str">
        <x:f>IF(Y2460=0,"",COUNTIFS($Y$2051:$Y$2550,1,$AO$2051:$AO$2550,"&lt;"&amp;AO2460)+COUNTIFS($Y$2051:Y2460,1,$AO$2051:AO2460,AO2460))</x:f>
      </x:c>
      <x:c r="AA2460" s="1" t="str">
        <x:f>IF(NOT(ISNUMBER(S2460)),"Missing demographic or access input",TEXT(G2460,"0%")&amp;" economic need; "&amp;TEXT(K2460,"0.00")&amp;" mi fresh access; "&amp;L2460&amp;" nearby resources")</x:f>
        <x:v>Missing demographic or access input</x:v>
      </x:c>
      <x:c r="AB2460" s="1" t="n">
        <x:f>IF(OR(A2460="",COUNTIFS($A$1531:$A$2030,A2460)&lt;&gt;1),0,MATCH(A2460,$A$1531:$A$2030,0))</x:f>
        <x:v>0</x:v>
      </x:c>
      <x:c r="AC2460" s="1" t="str">
        <x:f>IF(AB2460=0,"",INDEX($E$1531:$E$2030,AB2460))</x:f>
      </x:c>
      <x:c r="AD2460" s="1" t="str">
        <x:f>IF(AB2460=0,"",INDEX($F$1531:$F$2030,AB2460))</x:f>
      </x:c>
      <x:c r="AE2460" s="1" t="str">
        <x:f>IF(A2460="","",F411)</x:f>
      </x:c>
      <x:c r="AF2460" s="1" t="str">
        <x:f>IF(ISNUMBER(I411),I411,"")</x:f>
      </x:c>
      <x:c r="AG2460" s="1" t="str">
        <x:f>IF(ISNUMBER(J411),J411,"")</x:f>
      </x:c>
      <x:c r="AH2460" s="1" t="str">
        <x:f>IF(I2460=0,"Not contacted",IF(INDEX('Staff Review'!$J$8:$J$507,I2460)="","Not contacted",INDEX('Staff Review'!$J$8:$J$507,I2460)))</x:f>
        <x:v>Not contacted</x:v>
      </x:c>
      <x:c r="AI2460" s="1" t="str">
        <x:f>IF(I2460=0,"No",IF(AND(COUNT(INDEX('Staff Review'!$D$8:$D$507,I2460))=1,INDEX('Staff Review'!$D$8:$D$507,I2460)&gt;=0,COUNT(INDEX('Staff Review'!$E$8:$E$507,I2460))=1,INDEX('Staff Review'!$E$8:$E$507,I2460)&gt;0,INDEX('Staff Review'!$E$8:$E$507,I2460)&lt;='Top 15'!$E$5,'Top 15'!$E$5-INDEX('Staff Review'!$E$8:$E$507,I2460)&lt;='Top 15'!$H$5,LEN(INDEX('Staff Review'!$H$8:$H$507,I2460))&gt;0),"Yes","No"))</x:f>
        <x:v>No</x:v>
      </x:c>
      <x:c r="AJ2460" s="1" t="str">
        <x:f>IF(I2460=0,"No",IF(COUNT(INDEX('Staff Review'!$F$8:$F$507,I2460))&lt;&gt;1,"No",IF(AND(INDEX('Staff Review'!$F$8:$F$507,I2460)&gt;=0,MOD(INDEX('Staff Review'!$F$8:$F$507,I2460),1)=0,COUNT(INDEX('Staff Review'!$G$8:$G$507,I2460))=1,INDEX('Staff Review'!$G$8:$G$507,I2460)&gt;0,INDEX('Staff Review'!$G$8:$G$507,I2460)&lt;='Top 15'!$E$5,'Top 15'!$E$5-INDEX('Staff Review'!$G$8:$G$507,I2460)&lt;='Top 15'!$H$5,LEN(INDEX('Staff Review'!$H$8:$H$507,I2460))&gt;0),"Yes","No")))</x:f>
        <x:v>No</x:v>
      </x:c>
      <x:c r="AK2460" s="1" t="n">
        <x:f>IF(A2460="",0,COUNTIFS($A$2:$A$501,A2460))</x:f>
        <x:v>0</x:v>
      </x:c>
      <x:c r="AL2460" s="1" t="n">
        <x:f>IF(V2460="Candidate",1,0)</x:f>
        <x:v>0</x:v>
      </x:c>
      <x:c r="AM2460" s="1" t="n">
        <x:f>IF(A2460="",0,VALUE(A2460))</x:f>
        <x:v>0</x:v>
      </x:c>
      <x:c r="AN2460" s="1" t="n">
        <x:f>IF(OR(A2460="",COUNTIFS($T$41:$T$540,A2460)&lt;&gt;1),0,MATCH(A2460,$T$41:$T$540,0))</x:f>
        <x:v>0</x:v>
      </x:c>
      <x:c r="AO2460" t="n">
        <x:f>IF(ISNUMBER(W2460),W2460,10000+AM2460)</x:f>
        <x:v>10000</x:v>
      </x:c>
    </x:row>
    <x:row r="2461" ht="22" customHeight="1">
      <x:c r="A2461" s="1" t="str">
        <x:f>IF(A412="","",A412)</x:f>
      </x:c>
      <x:c r="B2461" s="1" t="str">
        <x:f>IF(A2461="","",B412)</x:f>
      </x:c>
      <x:c r="C2461" s="1" t="str">
        <x:f>IF(A2461="","",C412)</x:f>
      </x:c>
      <x:c r="D2461" s="1" t="str">
        <x:f>IF(A2461="","",E412)</x:f>
      </x:c>
      <x:c r="E2461" s="1" t="str">
        <x:f>IF(A2461="","",H412)</x:f>
      </x:c>
      <x:c r="F2461" s="1" t="str">
        <x:f>IF(ISNUMBER(K412),K412,"")</x:f>
      </x:c>
      <x:c r="G2461" s="1" t="str">
        <x:f>IF(ISNUMBER(L412),L412,"")</x:f>
      </x:c>
      <x:c r="H2461" s="1" t="str">
        <x:f>IF(A2461="","",IF(AND(UPPER(G412)="PHILADELPHIA",OR(C2461="District",AND(C2461="Charter",D412="Yes"))),"Yes","No"))</x:f>
      </x:c>
      <x:c r="I2461" s="1" t="n">
        <x:f>IF(OR(A2461="",COUNTIFS('Staff Review'!$A$8:$A$507,A2461)&lt;&gt;1),0,MATCH(A2461,'Staff Review'!$A$8:$A$507,0))</x:f>
        <x:v>0</x:v>
      </x:c>
      <x:c r="J2461" s="1" t="str">
        <x:f>IF(I2461=0,"No",IF(INDEX('Staff Review'!$C$8:$C$507,I2461)="Yes","Yes","No"))</x:f>
        <x:v>No</x:v>
      </x:c>
      <x:c r="K2461" s="1" t="str">
        <x:f>IF(AI2461="Yes",INDEX('Staff Review'!$D$8:$D$507,I2461),IF(AB2461=0,"",IF(COUNT(INDEX($C$1531:$C$2030,AB2461))=1,INDEX($C$1531:$C$2030,AB2461),"")))</x:f>
      </x:c>
      <x:c r="L2461" s="1" t="str">
        <x:f>IF(AJ2461="Yes",INDEX('Staff Review'!$F$8:$F$507,I2461),IF(AB2461=0,"",IF(COUNT(INDEX($G$1531:$G$2030,AB2461))=1,INDEX($G$1531:$G$2030,AB2461),"")))</x:f>
      </x:c>
      <x:c r="M2461" s="1" t="str">
        <x:f>IF(A2461="","",IF(AI2461="Yes","Verified","Listed"))</x:f>
      </x:c>
      <x:c r="N2461" s="1" t="str">
        <x:f>IF(A2461="","",IF(AJ2461="Yes","Verified","Listed"))</x:f>
      </x:c>
      <x:c r="O2461" s="1" t="str">
        <x:f>IF(AND(ISNUMBER(G2461),G2461&gt;=0,G2461&lt;=1),IF(G2461&gt;=0.9,30,IF(G2461&gt;=0.8,25,IF(G2461&gt;=0.7,20,IF(G2461&gt;=0.6,15,IF(G2461&gt;=0.5,10,IF(G2461&gt;=0.4,5,0)))))),"")</x:f>
      </x:c>
      <x:c r="P2461" s="1" t="str">
        <x:f>IF(ISNUMBER(K2461),IF(K2461&lt;0,"",IF(K2461&gt;1,25,IF(K2461&gt;=0.75,20,IF(K2461&gt;=0.5,15,IF(K2461&gt;=0.25,10,5))))),"")</x:f>
      </x:c>
      <x:c r="Q2461" s="1" t="str">
        <x:f>IF(NOT(ISNUMBER(L2461)),"",IF(AND(L2461&gt;=0,MOD(L2461,1)=0),MAX(0,25-5*L2461),""))</x:f>
      </x:c>
      <x:c r="R2461" s="1" t="str">
        <x:f>IF(NOT(ISNUMBER(F2461)),"",IF(AND(F2461&gt;0,MOD(F2461,1)=0),IF(F2461&gt;=700,5,IF(F2461&gt;=500,4,IF(F2461&gt;=350,3,IF(F2461&gt;=200,2,1)))),""))</x:f>
      </x:c>
      <x:c r="S2461" s="1" t="str">
        <x:f>IF(COUNT(O2461:R2461)=4,SUM(O2461:R2461),"")</x:f>
      </x:c>
      <x:c r="T2461" s="1" t="str">
        <x:f>IF(OR(COUNT(O2461:R2461)&lt;&gt;4,COUNT('Top 15'!$B$35:$E$35)&lt;&gt;4,MIN('Top 15'!$B$35:$E$35)&lt;0,SUM('Top 15'!$B$35:$E$35)&lt;=0),"",ROUND(85*(O2461/30*'Top 15'!$B$35+P2461/25*'Top 15'!$C$35+Q2461/25*'Top 15'!$D$35+R2461/5*'Top 15'!$E$35)/SUM('Top 15'!$B$35:$E$35),6))</x:f>
      </x:c>
      <x:c r="U2461" s="1" t="str">
        <x:f>IF(A2461="","",IF(AND(M2461="Verified",N2461="Verified"),"Verified",IF(AND(M2461="Listed",N2461="Listed"),"Listed","Mixed")))</x:f>
      </x:c>
      <x:c r="V2461" s="1" t="str">
        <x:f>IF(A2461="","",IF(AK2461&lt;&gt;1,"Duplicate source ID",IF(COUNTIFS('Staff Review'!$A$8:$A$507,A2461)&gt;1,"Duplicate review ID",IF(H2461&lt;&gt;"Yes","Outside scope",IF(J2461="Yes","Already served",IF(NOT(ISNUMBER(T2461)),"Missing data","Candidate"))))))</x:f>
      </x:c>
      <x:c r="W2461" s="1" t="str">
        <x:f>IF(AL2461=0,"",1+COUNTIFS($AL$2051:$AL$2550,1,$T$2051:$T$2550,"&gt;"&amp;T2461)+COUNTIFS($AL$2051:$AL$2550,1,$T$2051:$T$2550,T2461,$G$2051:$G$2550,"&gt;"&amp;G2461)+COUNTIFS($AL$2051:$AL$2550,1,$T$2051:$T$2550,T2461,$G$2051:$G$2550,G2461,$F$2051:$F$2550,"&gt;"&amp;F2461)+COUNTIFS($AL$2051:$AL$2550,1,$T$2051:$T$2550,T2461,$G$2051:$G$2550,G2461,$F$2051:$F$2550,F2461,$AM$2051:$AM$2550,"&lt;"&amp;AM2461))</x:f>
      </x:c>
      <x:c r="X2461" s="1" t="str">
        <x:f>IF(AL2461=0,"",1+COUNTIFS($AL$2051:$AL$2550,1,$T$2051:$T$2550,"&gt;"&amp;T2461))</x:f>
      </x:c>
      <x:c r="Y2461" s="1" t="n">
        <x:f>IF(AND(H2461="Yes",OR(LEN('School Search'!$B$5)=0,ISNUMBER(SEARCH('School Search'!$B$5,B2461&amp;" "&amp;E2461&amp;" "&amp;A2461))),OR('School Search'!$D$5="All",C2461='School Search'!$D$5),OR('School Search'!$G$5="All eligible",AND('School Search'!$G$5="Not marked served",J2461&lt;&gt;"Yes"),AND('School Search'!$G$5="Missing data",V2461="Missing data"),AND('School Search'!$G$5="Marked served",J2461="Yes"))),1,0)</x:f>
        <x:v>0</x:v>
      </x:c>
      <x:c r="Z2461" s="1" t="str">
        <x:f>IF(Y2461=0,"",COUNTIFS($Y$2051:$Y$2550,1,$AO$2051:$AO$2550,"&lt;"&amp;AO2461)+COUNTIFS($Y$2051:Y2461,1,$AO$2051:AO2461,AO2461))</x:f>
      </x:c>
      <x:c r="AA2461" s="1" t="str">
        <x:f>IF(NOT(ISNUMBER(S2461)),"Missing demographic or access input",TEXT(G2461,"0%")&amp;" economic need; "&amp;TEXT(K2461,"0.00")&amp;" mi fresh access; "&amp;L2461&amp;" nearby resources")</x:f>
        <x:v>Missing demographic or access input</x:v>
      </x:c>
      <x:c r="AB2461" s="1" t="n">
        <x:f>IF(OR(A2461="",COUNTIFS($A$1531:$A$2030,A2461)&lt;&gt;1),0,MATCH(A2461,$A$1531:$A$2030,0))</x:f>
        <x:v>0</x:v>
      </x:c>
      <x:c r="AC2461" s="1" t="str">
        <x:f>IF(AB2461=0,"",INDEX($E$1531:$E$2030,AB2461))</x:f>
      </x:c>
      <x:c r="AD2461" s="1" t="str">
        <x:f>IF(AB2461=0,"",INDEX($F$1531:$F$2030,AB2461))</x:f>
      </x:c>
      <x:c r="AE2461" s="1" t="str">
        <x:f>IF(A2461="","",F412)</x:f>
      </x:c>
      <x:c r="AF2461" s="1" t="str">
        <x:f>IF(ISNUMBER(I412),I412,"")</x:f>
      </x:c>
      <x:c r="AG2461" s="1" t="str">
        <x:f>IF(ISNUMBER(J412),J412,"")</x:f>
      </x:c>
      <x:c r="AH2461" s="1" t="str">
        <x:f>IF(I2461=0,"Not contacted",IF(INDEX('Staff Review'!$J$8:$J$507,I2461)="","Not contacted",INDEX('Staff Review'!$J$8:$J$507,I2461)))</x:f>
        <x:v>Not contacted</x:v>
      </x:c>
      <x:c r="AI2461" s="1" t="str">
        <x:f>IF(I2461=0,"No",IF(AND(COUNT(INDEX('Staff Review'!$D$8:$D$507,I2461))=1,INDEX('Staff Review'!$D$8:$D$507,I2461)&gt;=0,COUNT(INDEX('Staff Review'!$E$8:$E$507,I2461))=1,INDEX('Staff Review'!$E$8:$E$507,I2461)&gt;0,INDEX('Staff Review'!$E$8:$E$507,I2461)&lt;='Top 15'!$E$5,'Top 15'!$E$5-INDEX('Staff Review'!$E$8:$E$507,I2461)&lt;='Top 15'!$H$5,LEN(INDEX('Staff Review'!$H$8:$H$507,I2461))&gt;0),"Yes","No"))</x:f>
        <x:v>No</x:v>
      </x:c>
      <x:c r="AJ2461" s="1" t="str">
        <x:f>IF(I2461=0,"No",IF(COUNT(INDEX('Staff Review'!$F$8:$F$507,I2461))&lt;&gt;1,"No",IF(AND(INDEX('Staff Review'!$F$8:$F$507,I2461)&gt;=0,MOD(INDEX('Staff Review'!$F$8:$F$507,I2461),1)=0,COUNT(INDEX('Staff Review'!$G$8:$G$507,I2461))=1,INDEX('Staff Review'!$G$8:$G$507,I2461)&gt;0,INDEX('Staff Review'!$G$8:$G$507,I2461)&lt;='Top 15'!$E$5,'Top 15'!$E$5-INDEX('Staff Review'!$G$8:$G$507,I2461)&lt;='Top 15'!$H$5,LEN(INDEX('Staff Review'!$H$8:$H$507,I2461))&gt;0),"Yes","No")))</x:f>
        <x:v>No</x:v>
      </x:c>
      <x:c r="AK2461" s="1" t="n">
        <x:f>IF(A2461="",0,COUNTIFS($A$2:$A$501,A2461))</x:f>
        <x:v>0</x:v>
      </x:c>
      <x:c r="AL2461" s="1" t="n">
        <x:f>IF(V2461="Candidate",1,0)</x:f>
        <x:v>0</x:v>
      </x:c>
      <x:c r="AM2461" s="1" t="n">
        <x:f>IF(A2461="",0,VALUE(A2461))</x:f>
        <x:v>0</x:v>
      </x:c>
      <x:c r="AN2461" s="1" t="n">
        <x:f>IF(OR(A2461="",COUNTIFS($T$41:$T$540,A2461)&lt;&gt;1),0,MATCH(A2461,$T$41:$T$540,0))</x:f>
        <x:v>0</x:v>
      </x:c>
      <x:c r="AO2461" t="n">
        <x:f>IF(ISNUMBER(W2461),W2461,10000+AM2461)</x:f>
        <x:v>10000</x:v>
      </x:c>
    </x:row>
    <x:row r="2462" ht="22" customHeight="1">
      <x:c r="A2462" s="1" t="str">
        <x:f>IF(A413="","",A413)</x:f>
      </x:c>
      <x:c r="B2462" s="1" t="str">
        <x:f>IF(A2462="","",B413)</x:f>
      </x:c>
      <x:c r="C2462" s="1" t="str">
        <x:f>IF(A2462="","",C413)</x:f>
      </x:c>
      <x:c r="D2462" s="1" t="str">
        <x:f>IF(A2462="","",E413)</x:f>
      </x:c>
      <x:c r="E2462" s="1" t="str">
        <x:f>IF(A2462="","",H413)</x:f>
      </x:c>
      <x:c r="F2462" s="1" t="str">
        <x:f>IF(ISNUMBER(K413),K413,"")</x:f>
      </x:c>
      <x:c r="G2462" s="1" t="str">
        <x:f>IF(ISNUMBER(L413),L413,"")</x:f>
      </x:c>
      <x:c r="H2462" s="1" t="str">
        <x:f>IF(A2462="","",IF(AND(UPPER(G413)="PHILADELPHIA",OR(C2462="District",AND(C2462="Charter",D413="Yes"))),"Yes","No"))</x:f>
      </x:c>
      <x:c r="I2462" s="1" t="n">
        <x:f>IF(OR(A2462="",COUNTIFS('Staff Review'!$A$8:$A$507,A2462)&lt;&gt;1),0,MATCH(A2462,'Staff Review'!$A$8:$A$507,0))</x:f>
        <x:v>0</x:v>
      </x:c>
      <x:c r="J2462" s="1" t="str">
        <x:f>IF(I2462=0,"No",IF(INDEX('Staff Review'!$C$8:$C$507,I2462)="Yes","Yes","No"))</x:f>
        <x:v>No</x:v>
      </x:c>
      <x:c r="K2462" s="1" t="str">
        <x:f>IF(AI2462="Yes",INDEX('Staff Review'!$D$8:$D$507,I2462),IF(AB2462=0,"",IF(COUNT(INDEX($C$1531:$C$2030,AB2462))=1,INDEX($C$1531:$C$2030,AB2462),"")))</x:f>
      </x:c>
      <x:c r="L2462" s="1" t="str">
        <x:f>IF(AJ2462="Yes",INDEX('Staff Review'!$F$8:$F$507,I2462),IF(AB2462=0,"",IF(COUNT(INDEX($G$1531:$G$2030,AB2462))=1,INDEX($G$1531:$G$2030,AB2462),"")))</x:f>
      </x:c>
      <x:c r="M2462" s="1" t="str">
        <x:f>IF(A2462="","",IF(AI2462="Yes","Verified","Listed"))</x:f>
      </x:c>
      <x:c r="N2462" s="1" t="str">
        <x:f>IF(A2462="","",IF(AJ2462="Yes","Verified","Listed"))</x:f>
      </x:c>
      <x:c r="O2462" s="1" t="str">
        <x:f>IF(AND(ISNUMBER(G2462),G2462&gt;=0,G2462&lt;=1),IF(G2462&gt;=0.9,30,IF(G2462&gt;=0.8,25,IF(G2462&gt;=0.7,20,IF(G2462&gt;=0.6,15,IF(G2462&gt;=0.5,10,IF(G2462&gt;=0.4,5,0)))))),"")</x:f>
      </x:c>
      <x:c r="P2462" s="1" t="str">
        <x:f>IF(ISNUMBER(K2462),IF(K2462&lt;0,"",IF(K2462&gt;1,25,IF(K2462&gt;=0.75,20,IF(K2462&gt;=0.5,15,IF(K2462&gt;=0.25,10,5))))),"")</x:f>
      </x:c>
      <x:c r="Q2462" s="1" t="str">
        <x:f>IF(NOT(ISNUMBER(L2462)),"",IF(AND(L2462&gt;=0,MOD(L2462,1)=0),MAX(0,25-5*L2462),""))</x:f>
      </x:c>
      <x:c r="R2462" s="1" t="str">
        <x:f>IF(NOT(ISNUMBER(F2462)),"",IF(AND(F2462&gt;0,MOD(F2462,1)=0),IF(F2462&gt;=700,5,IF(F2462&gt;=500,4,IF(F2462&gt;=350,3,IF(F2462&gt;=200,2,1)))),""))</x:f>
      </x:c>
      <x:c r="S2462" s="1" t="str">
        <x:f>IF(COUNT(O2462:R2462)=4,SUM(O2462:R2462),"")</x:f>
      </x:c>
      <x:c r="T2462" s="1" t="str">
        <x:f>IF(OR(COUNT(O2462:R2462)&lt;&gt;4,COUNT('Top 15'!$B$35:$E$35)&lt;&gt;4,MIN('Top 15'!$B$35:$E$35)&lt;0,SUM('Top 15'!$B$35:$E$35)&lt;=0),"",ROUND(85*(O2462/30*'Top 15'!$B$35+P2462/25*'Top 15'!$C$35+Q2462/25*'Top 15'!$D$35+R2462/5*'Top 15'!$E$35)/SUM('Top 15'!$B$35:$E$35),6))</x:f>
      </x:c>
      <x:c r="U2462" s="1" t="str">
        <x:f>IF(A2462="","",IF(AND(M2462="Verified",N2462="Verified"),"Verified",IF(AND(M2462="Listed",N2462="Listed"),"Listed","Mixed")))</x:f>
      </x:c>
      <x:c r="V2462" s="1" t="str">
        <x:f>IF(A2462="","",IF(AK2462&lt;&gt;1,"Duplicate source ID",IF(COUNTIFS('Staff Review'!$A$8:$A$507,A2462)&gt;1,"Duplicate review ID",IF(H2462&lt;&gt;"Yes","Outside scope",IF(J2462="Yes","Already served",IF(NOT(ISNUMBER(T2462)),"Missing data","Candidate"))))))</x:f>
      </x:c>
      <x:c r="W2462" s="1" t="str">
        <x:f>IF(AL2462=0,"",1+COUNTIFS($AL$2051:$AL$2550,1,$T$2051:$T$2550,"&gt;"&amp;T2462)+COUNTIFS($AL$2051:$AL$2550,1,$T$2051:$T$2550,T2462,$G$2051:$G$2550,"&gt;"&amp;G2462)+COUNTIFS($AL$2051:$AL$2550,1,$T$2051:$T$2550,T2462,$G$2051:$G$2550,G2462,$F$2051:$F$2550,"&gt;"&amp;F2462)+COUNTIFS($AL$2051:$AL$2550,1,$T$2051:$T$2550,T2462,$G$2051:$G$2550,G2462,$F$2051:$F$2550,F2462,$AM$2051:$AM$2550,"&lt;"&amp;AM2462))</x:f>
      </x:c>
      <x:c r="X2462" s="1" t="str">
        <x:f>IF(AL2462=0,"",1+COUNTIFS($AL$2051:$AL$2550,1,$T$2051:$T$2550,"&gt;"&amp;T2462))</x:f>
      </x:c>
      <x:c r="Y2462" s="1" t="n">
        <x:f>IF(AND(H2462="Yes",OR(LEN('School Search'!$B$5)=0,ISNUMBER(SEARCH('School Search'!$B$5,B2462&amp;" "&amp;E2462&amp;" "&amp;A2462))),OR('School Search'!$D$5="All",C2462='School Search'!$D$5),OR('School Search'!$G$5="All eligible",AND('School Search'!$G$5="Not marked served",J2462&lt;&gt;"Yes"),AND('School Search'!$G$5="Missing data",V2462="Missing data"),AND('School Search'!$G$5="Marked served",J2462="Yes"))),1,0)</x:f>
        <x:v>0</x:v>
      </x:c>
      <x:c r="Z2462" s="1" t="str">
        <x:f>IF(Y2462=0,"",COUNTIFS($Y$2051:$Y$2550,1,$AO$2051:$AO$2550,"&lt;"&amp;AO2462)+COUNTIFS($Y$2051:Y2462,1,$AO$2051:AO2462,AO2462))</x:f>
      </x:c>
      <x:c r="AA2462" s="1" t="str">
        <x:f>IF(NOT(ISNUMBER(S2462)),"Missing demographic or access input",TEXT(G2462,"0%")&amp;" economic need; "&amp;TEXT(K2462,"0.00")&amp;" mi fresh access; "&amp;L2462&amp;" nearby resources")</x:f>
        <x:v>Missing demographic or access input</x:v>
      </x:c>
      <x:c r="AB2462" s="1" t="n">
        <x:f>IF(OR(A2462="",COUNTIFS($A$1531:$A$2030,A2462)&lt;&gt;1),0,MATCH(A2462,$A$1531:$A$2030,0))</x:f>
        <x:v>0</x:v>
      </x:c>
      <x:c r="AC2462" s="1" t="str">
        <x:f>IF(AB2462=0,"",INDEX($E$1531:$E$2030,AB2462))</x:f>
      </x:c>
      <x:c r="AD2462" s="1" t="str">
        <x:f>IF(AB2462=0,"",INDEX($F$1531:$F$2030,AB2462))</x:f>
      </x:c>
      <x:c r="AE2462" s="1" t="str">
        <x:f>IF(A2462="","",F413)</x:f>
      </x:c>
      <x:c r="AF2462" s="1" t="str">
        <x:f>IF(ISNUMBER(I413),I413,"")</x:f>
      </x:c>
      <x:c r="AG2462" s="1" t="str">
        <x:f>IF(ISNUMBER(J413),J413,"")</x:f>
      </x:c>
      <x:c r="AH2462" s="1" t="str">
        <x:f>IF(I2462=0,"Not contacted",IF(INDEX('Staff Review'!$J$8:$J$507,I2462)="","Not contacted",INDEX('Staff Review'!$J$8:$J$507,I2462)))</x:f>
        <x:v>Not contacted</x:v>
      </x:c>
      <x:c r="AI2462" s="1" t="str">
        <x:f>IF(I2462=0,"No",IF(AND(COUNT(INDEX('Staff Review'!$D$8:$D$507,I2462))=1,INDEX('Staff Review'!$D$8:$D$507,I2462)&gt;=0,COUNT(INDEX('Staff Review'!$E$8:$E$507,I2462))=1,INDEX('Staff Review'!$E$8:$E$507,I2462)&gt;0,INDEX('Staff Review'!$E$8:$E$507,I2462)&lt;='Top 15'!$E$5,'Top 15'!$E$5-INDEX('Staff Review'!$E$8:$E$507,I2462)&lt;='Top 15'!$H$5,LEN(INDEX('Staff Review'!$H$8:$H$507,I2462))&gt;0),"Yes","No"))</x:f>
        <x:v>No</x:v>
      </x:c>
      <x:c r="AJ2462" s="1" t="str">
        <x:f>IF(I2462=0,"No",IF(COUNT(INDEX('Staff Review'!$F$8:$F$507,I2462))&lt;&gt;1,"No",IF(AND(INDEX('Staff Review'!$F$8:$F$507,I2462)&gt;=0,MOD(INDEX('Staff Review'!$F$8:$F$507,I2462),1)=0,COUNT(INDEX('Staff Review'!$G$8:$G$507,I2462))=1,INDEX('Staff Review'!$G$8:$G$507,I2462)&gt;0,INDEX('Staff Review'!$G$8:$G$507,I2462)&lt;='Top 15'!$E$5,'Top 15'!$E$5-INDEX('Staff Review'!$G$8:$G$507,I2462)&lt;='Top 15'!$H$5,LEN(INDEX('Staff Review'!$H$8:$H$507,I2462))&gt;0),"Yes","No")))</x:f>
        <x:v>No</x:v>
      </x:c>
      <x:c r="AK2462" s="1" t="n">
        <x:f>IF(A2462="",0,COUNTIFS($A$2:$A$501,A2462))</x:f>
        <x:v>0</x:v>
      </x:c>
      <x:c r="AL2462" s="1" t="n">
        <x:f>IF(V2462="Candidate",1,0)</x:f>
        <x:v>0</x:v>
      </x:c>
      <x:c r="AM2462" s="1" t="n">
        <x:f>IF(A2462="",0,VALUE(A2462))</x:f>
        <x:v>0</x:v>
      </x:c>
      <x:c r="AN2462" s="1" t="n">
        <x:f>IF(OR(A2462="",COUNTIFS($T$41:$T$540,A2462)&lt;&gt;1),0,MATCH(A2462,$T$41:$T$540,0))</x:f>
        <x:v>0</x:v>
      </x:c>
      <x:c r="AO2462" t="n">
        <x:f>IF(ISNUMBER(W2462),W2462,10000+AM2462)</x:f>
        <x:v>10000</x:v>
      </x:c>
    </x:row>
    <x:row r="2463" ht="22" customHeight="1">
      <x:c r="A2463" s="1" t="str">
        <x:f>IF(A414="","",A414)</x:f>
      </x:c>
      <x:c r="B2463" s="1" t="str">
        <x:f>IF(A2463="","",B414)</x:f>
      </x:c>
      <x:c r="C2463" s="1" t="str">
        <x:f>IF(A2463="","",C414)</x:f>
      </x:c>
      <x:c r="D2463" s="1" t="str">
        <x:f>IF(A2463="","",E414)</x:f>
      </x:c>
      <x:c r="E2463" s="1" t="str">
        <x:f>IF(A2463="","",H414)</x:f>
      </x:c>
      <x:c r="F2463" s="1" t="str">
        <x:f>IF(ISNUMBER(K414),K414,"")</x:f>
      </x:c>
      <x:c r="G2463" s="1" t="str">
        <x:f>IF(ISNUMBER(L414),L414,"")</x:f>
      </x:c>
      <x:c r="H2463" s="1" t="str">
        <x:f>IF(A2463="","",IF(AND(UPPER(G414)="PHILADELPHIA",OR(C2463="District",AND(C2463="Charter",D414="Yes"))),"Yes","No"))</x:f>
      </x:c>
      <x:c r="I2463" s="1" t="n">
        <x:f>IF(OR(A2463="",COUNTIFS('Staff Review'!$A$8:$A$507,A2463)&lt;&gt;1),0,MATCH(A2463,'Staff Review'!$A$8:$A$507,0))</x:f>
        <x:v>0</x:v>
      </x:c>
      <x:c r="J2463" s="1" t="str">
        <x:f>IF(I2463=0,"No",IF(INDEX('Staff Review'!$C$8:$C$507,I2463)="Yes","Yes","No"))</x:f>
        <x:v>No</x:v>
      </x:c>
      <x:c r="K2463" s="1" t="str">
        <x:f>IF(AI2463="Yes",INDEX('Staff Review'!$D$8:$D$507,I2463),IF(AB2463=0,"",IF(COUNT(INDEX($C$1531:$C$2030,AB2463))=1,INDEX($C$1531:$C$2030,AB2463),"")))</x:f>
      </x:c>
      <x:c r="L2463" s="1" t="str">
        <x:f>IF(AJ2463="Yes",INDEX('Staff Review'!$F$8:$F$507,I2463),IF(AB2463=0,"",IF(COUNT(INDEX($G$1531:$G$2030,AB2463))=1,INDEX($G$1531:$G$2030,AB2463),"")))</x:f>
      </x:c>
      <x:c r="M2463" s="1" t="str">
        <x:f>IF(A2463="","",IF(AI2463="Yes","Verified","Listed"))</x:f>
      </x:c>
      <x:c r="N2463" s="1" t="str">
        <x:f>IF(A2463="","",IF(AJ2463="Yes","Verified","Listed"))</x:f>
      </x:c>
      <x:c r="O2463" s="1" t="str">
        <x:f>IF(AND(ISNUMBER(G2463),G2463&gt;=0,G2463&lt;=1),IF(G2463&gt;=0.9,30,IF(G2463&gt;=0.8,25,IF(G2463&gt;=0.7,20,IF(G2463&gt;=0.6,15,IF(G2463&gt;=0.5,10,IF(G2463&gt;=0.4,5,0)))))),"")</x:f>
      </x:c>
      <x:c r="P2463" s="1" t="str">
        <x:f>IF(ISNUMBER(K2463),IF(K2463&lt;0,"",IF(K2463&gt;1,25,IF(K2463&gt;=0.75,20,IF(K2463&gt;=0.5,15,IF(K2463&gt;=0.25,10,5))))),"")</x:f>
      </x:c>
      <x:c r="Q2463" s="1" t="str">
        <x:f>IF(NOT(ISNUMBER(L2463)),"",IF(AND(L2463&gt;=0,MOD(L2463,1)=0),MAX(0,25-5*L2463),""))</x:f>
      </x:c>
      <x:c r="R2463" s="1" t="str">
        <x:f>IF(NOT(ISNUMBER(F2463)),"",IF(AND(F2463&gt;0,MOD(F2463,1)=0),IF(F2463&gt;=700,5,IF(F2463&gt;=500,4,IF(F2463&gt;=350,3,IF(F2463&gt;=200,2,1)))),""))</x:f>
      </x:c>
      <x:c r="S2463" s="1" t="str">
        <x:f>IF(COUNT(O2463:R2463)=4,SUM(O2463:R2463),"")</x:f>
      </x:c>
      <x:c r="T2463" s="1" t="str">
        <x:f>IF(OR(COUNT(O2463:R2463)&lt;&gt;4,COUNT('Top 15'!$B$35:$E$35)&lt;&gt;4,MIN('Top 15'!$B$35:$E$35)&lt;0,SUM('Top 15'!$B$35:$E$35)&lt;=0),"",ROUND(85*(O2463/30*'Top 15'!$B$35+P2463/25*'Top 15'!$C$35+Q2463/25*'Top 15'!$D$35+R2463/5*'Top 15'!$E$35)/SUM('Top 15'!$B$35:$E$35),6))</x:f>
      </x:c>
      <x:c r="U2463" s="1" t="str">
        <x:f>IF(A2463="","",IF(AND(M2463="Verified",N2463="Verified"),"Verified",IF(AND(M2463="Listed",N2463="Listed"),"Listed","Mixed")))</x:f>
      </x:c>
      <x:c r="V2463" s="1" t="str">
        <x:f>IF(A2463="","",IF(AK2463&lt;&gt;1,"Duplicate source ID",IF(COUNTIFS('Staff Review'!$A$8:$A$507,A2463)&gt;1,"Duplicate review ID",IF(H2463&lt;&gt;"Yes","Outside scope",IF(J2463="Yes","Already served",IF(NOT(ISNUMBER(T2463)),"Missing data","Candidate"))))))</x:f>
      </x:c>
      <x:c r="W2463" s="1" t="str">
        <x:f>IF(AL2463=0,"",1+COUNTIFS($AL$2051:$AL$2550,1,$T$2051:$T$2550,"&gt;"&amp;T2463)+COUNTIFS($AL$2051:$AL$2550,1,$T$2051:$T$2550,T2463,$G$2051:$G$2550,"&gt;"&amp;G2463)+COUNTIFS($AL$2051:$AL$2550,1,$T$2051:$T$2550,T2463,$G$2051:$G$2550,G2463,$F$2051:$F$2550,"&gt;"&amp;F2463)+COUNTIFS($AL$2051:$AL$2550,1,$T$2051:$T$2550,T2463,$G$2051:$G$2550,G2463,$F$2051:$F$2550,F2463,$AM$2051:$AM$2550,"&lt;"&amp;AM2463))</x:f>
      </x:c>
      <x:c r="X2463" s="1" t="str">
        <x:f>IF(AL2463=0,"",1+COUNTIFS($AL$2051:$AL$2550,1,$T$2051:$T$2550,"&gt;"&amp;T2463))</x:f>
      </x:c>
      <x:c r="Y2463" s="1" t="n">
        <x:f>IF(AND(H2463="Yes",OR(LEN('School Search'!$B$5)=0,ISNUMBER(SEARCH('School Search'!$B$5,B2463&amp;" "&amp;E2463&amp;" "&amp;A2463))),OR('School Search'!$D$5="All",C2463='School Search'!$D$5),OR('School Search'!$G$5="All eligible",AND('School Search'!$G$5="Not marked served",J2463&lt;&gt;"Yes"),AND('School Search'!$G$5="Missing data",V2463="Missing data"),AND('School Search'!$G$5="Marked served",J2463="Yes"))),1,0)</x:f>
        <x:v>0</x:v>
      </x:c>
      <x:c r="Z2463" s="1" t="str">
        <x:f>IF(Y2463=0,"",COUNTIFS($Y$2051:$Y$2550,1,$AO$2051:$AO$2550,"&lt;"&amp;AO2463)+COUNTIFS($Y$2051:Y2463,1,$AO$2051:AO2463,AO2463))</x:f>
      </x:c>
      <x:c r="AA2463" s="1" t="str">
        <x:f>IF(NOT(ISNUMBER(S2463)),"Missing demographic or access input",TEXT(G2463,"0%")&amp;" economic need; "&amp;TEXT(K2463,"0.00")&amp;" mi fresh access; "&amp;L2463&amp;" nearby resources")</x:f>
        <x:v>Missing demographic or access input</x:v>
      </x:c>
      <x:c r="AB2463" s="1" t="n">
        <x:f>IF(OR(A2463="",COUNTIFS($A$1531:$A$2030,A2463)&lt;&gt;1),0,MATCH(A2463,$A$1531:$A$2030,0))</x:f>
        <x:v>0</x:v>
      </x:c>
      <x:c r="AC2463" s="1" t="str">
        <x:f>IF(AB2463=0,"",INDEX($E$1531:$E$2030,AB2463))</x:f>
      </x:c>
      <x:c r="AD2463" s="1" t="str">
        <x:f>IF(AB2463=0,"",INDEX($F$1531:$F$2030,AB2463))</x:f>
      </x:c>
      <x:c r="AE2463" s="1" t="str">
        <x:f>IF(A2463="","",F414)</x:f>
      </x:c>
      <x:c r="AF2463" s="1" t="str">
        <x:f>IF(ISNUMBER(I414),I414,"")</x:f>
      </x:c>
      <x:c r="AG2463" s="1" t="str">
        <x:f>IF(ISNUMBER(J414),J414,"")</x:f>
      </x:c>
      <x:c r="AH2463" s="1" t="str">
        <x:f>IF(I2463=0,"Not contacted",IF(INDEX('Staff Review'!$J$8:$J$507,I2463)="","Not contacted",INDEX('Staff Review'!$J$8:$J$507,I2463)))</x:f>
        <x:v>Not contacted</x:v>
      </x:c>
      <x:c r="AI2463" s="1" t="str">
        <x:f>IF(I2463=0,"No",IF(AND(COUNT(INDEX('Staff Review'!$D$8:$D$507,I2463))=1,INDEX('Staff Review'!$D$8:$D$507,I2463)&gt;=0,COUNT(INDEX('Staff Review'!$E$8:$E$507,I2463))=1,INDEX('Staff Review'!$E$8:$E$507,I2463)&gt;0,INDEX('Staff Review'!$E$8:$E$507,I2463)&lt;='Top 15'!$E$5,'Top 15'!$E$5-INDEX('Staff Review'!$E$8:$E$507,I2463)&lt;='Top 15'!$H$5,LEN(INDEX('Staff Review'!$H$8:$H$507,I2463))&gt;0),"Yes","No"))</x:f>
        <x:v>No</x:v>
      </x:c>
      <x:c r="AJ2463" s="1" t="str">
        <x:f>IF(I2463=0,"No",IF(COUNT(INDEX('Staff Review'!$F$8:$F$507,I2463))&lt;&gt;1,"No",IF(AND(INDEX('Staff Review'!$F$8:$F$507,I2463)&gt;=0,MOD(INDEX('Staff Review'!$F$8:$F$507,I2463),1)=0,COUNT(INDEX('Staff Review'!$G$8:$G$507,I2463))=1,INDEX('Staff Review'!$G$8:$G$507,I2463)&gt;0,INDEX('Staff Review'!$G$8:$G$507,I2463)&lt;='Top 15'!$E$5,'Top 15'!$E$5-INDEX('Staff Review'!$G$8:$G$507,I2463)&lt;='Top 15'!$H$5,LEN(INDEX('Staff Review'!$H$8:$H$507,I2463))&gt;0),"Yes","No")))</x:f>
        <x:v>No</x:v>
      </x:c>
      <x:c r="AK2463" s="1" t="n">
        <x:f>IF(A2463="",0,COUNTIFS($A$2:$A$501,A2463))</x:f>
        <x:v>0</x:v>
      </x:c>
      <x:c r="AL2463" s="1" t="n">
        <x:f>IF(V2463="Candidate",1,0)</x:f>
        <x:v>0</x:v>
      </x:c>
      <x:c r="AM2463" s="1" t="n">
        <x:f>IF(A2463="",0,VALUE(A2463))</x:f>
        <x:v>0</x:v>
      </x:c>
      <x:c r="AN2463" s="1" t="n">
        <x:f>IF(OR(A2463="",COUNTIFS($T$41:$T$540,A2463)&lt;&gt;1),0,MATCH(A2463,$T$41:$T$540,0))</x:f>
        <x:v>0</x:v>
      </x:c>
      <x:c r="AO2463" t="n">
        <x:f>IF(ISNUMBER(W2463),W2463,10000+AM2463)</x:f>
        <x:v>10000</x:v>
      </x:c>
    </x:row>
    <x:row r="2464" ht="22" customHeight="1">
      <x:c r="A2464" s="1" t="str">
        <x:f>IF(A415="","",A415)</x:f>
      </x:c>
      <x:c r="B2464" s="1" t="str">
        <x:f>IF(A2464="","",B415)</x:f>
      </x:c>
      <x:c r="C2464" s="1" t="str">
        <x:f>IF(A2464="","",C415)</x:f>
      </x:c>
      <x:c r="D2464" s="1" t="str">
        <x:f>IF(A2464="","",E415)</x:f>
      </x:c>
      <x:c r="E2464" s="1" t="str">
        <x:f>IF(A2464="","",H415)</x:f>
      </x:c>
      <x:c r="F2464" s="1" t="str">
        <x:f>IF(ISNUMBER(K415),K415,"")</x:f>
      </x:c>
      <x:c r="G2464" s="1" t="str">
        <x:f>IF(ISNUMBER(L415),L415,"")</x:f>
      </x:c>
      <x:c r="H2464" s="1" t="str">
        <x:f>IF(A2464="","",IF(AND(UPPER(G415)="PHILADELPHIA",OR(C2464="District",AND(C2464="Charter",D415="Yes"))),"Yes","No"))</x:f>
      </x:c>
      <x:c r="I2464" s="1" t="n">
        <x:f>IF(OR(A2464="",COUNTIFS('Staff Review'!$A$8:$A$507,A2464)&lt;&gt;1),0,MATCH(A2464,'Staff Review'!$A$8:$A$507,0))</x:f>
        <x:v>0</x:v>
      </x:c>
      <x:c r="J2464" s="1" t="str">
        <x:f>IF(I2464=0,"No",IF(INDEX('Staff Review'!$C$8:$C$507,I2464)="Yes","Yes","No"))</x:f>
        <x:v>No</x:v>
      </x:c>
      <x:c r="K2464" s="1" t="str">
        <x:f>IF(AI2464="Yes",INDEX('Staff Review'!$D$8:$D$507,I2464),IF(AB2464=0,"",IF(COUNT(INDEX($C$1531:$C$2030,AB2464))=1,INDEX($C$1531:$C$2030,AB2464),"")))</x:f>
      </x:c>
      <x:c r="L2464" s="1" t="str">
        <x:f>IF(AJ2464="Yes",INDEX('Staff Review'!$F$8:$F$507,I2464),IF(AB2464=0,"",IF(COUNT(INDEX($G$1531:$G$2030,AB2464))=1,INDEX($G$1531:$G$2030,AB2464),"")))</x:f>
      </x:c>
      <x:c r="M2464" s="1" t="str">
        <x:f>IF(A2464="","",IF(AI2464="Yes","Verified","Listed"))</x:f>
      </x:c>
      <x:c r="N2464" s="1" t="str">
        <x:f>IF(A2464="","",IF(AJ2464="Yes","Verified","Listed"))</x:f>
      </x:c>
      <x:c r="O2464" s="1" t="str">
        <x:f>IF(AND(ISNUMBER(G2464),G2464&gt;=0,G2464&lt;=1),IF(G2464&gt;=0.9,30,IF(G2464&gt;=0.8,25,IF(G2464&gt;=0.7,20,IF(G2464&gt;=0.6,15,IF(G2464&gt;=0.5,10,IF(G2464&gt;=0.4,5,0)))))),"")</x:f>
      </x:c>
      <x:c r="P2464" s="1" t="str">
        <x:f>IF(ISNUMBER(K2464),IF(K2464&lt;0,"",IF(K2464&gt;1,25,IF(K2464&gt;=0.75,20,IF(K2464&gt;=0.5,15,IF(K2464&gt;=0.25,10,5))))),"")</x:f>
      </x:c>
      <x:c r="Q2464" s="1" t="str">
        <x:f>IF(NOT(ISNUMBER(L2464)),"",IF(AND(L2464&gt;=0,MOD(L2464,1)=0),MAX(0,25-5*L2464),""))</x:f>
      </x:c>
      <x:c r="R2464" s="1" t="str">
        <x:f>IF(NOT(ISNUMBER(F2464)),"",IF(AND(F2464&gt;0,MOD(F2464,1)=0),IF(F2464&gt;=700,5,IF(F2464&gt;=500,4,IF(F2464&gt;=350,3,IF(F2464&gt;=200,2,1)))),""))</x:f>
      </x:c>
      <x:c r="S2464" s="1" t="str">
        <x:f>IF(COUNT(O2464:R2464)=4,SUM(O2464:R2464),"")</x:f>
      </x:c>
      <x:c r="T2464" s="1" t="str">
        <x:f>IF(OR(COUNT(O2464:R2464)&lt;&gt;4,COUNT('Top 15'!$B$35:$E$35)&lt;&gt;4,MIN('Top 15'!$B$35:$E$35)&lt;0,SUM('Top 15'!$B$35:$E$35)&lt;=0),"",ROUND(85*(O2464/30*'Top 15'!$B$35+P2464/25*'Top 15'!$C$35+Q2464/25*'Top 15'!$D$35+R2464/5*'Top 15'!$E$35)/SUM('Top 15'!$B$35:$E$35),6))</x:f>
      </x:c>
      <x:c r="U2464" s="1" t="str">
        <x:f>IF(A2464="","",IF(AND(M2464="Verified",N2464="Verified"),"Verified",IF(AND(M2464="Listed",N2464="Listed"),"Listed","Mixed")))</x:f>
      </x:c>
      <x:c r="V2464" s="1" t="str">
        <x:f>IF(A2464="","",IF(AK2464&lt;&gt;1,"Duplicate source ID",IF(COUNTIFS('Staff Review'!$A$8:$A$507,A2464)&gt;1,"Duplicate review ID",IF(H2464&lt;&gt;"Yes","Outside scope",IF(J2464="Yes","Already served",IF(NOT(ISNUMBER(T2464)),"Missing data","Candidate"))))))</x:f>
      </x:c>
      <x:c r="W2464" s="1" t="str">
        <x:f>IF(AL2464=0,"",1+COUNTIFS($AL$2051:$AL$2550,1,$T$2051:$T$2550,"&gt;"&amp;T2464)+COUNTIFS($AL$2051:$AL$2550,1,$T$2051:$T$2550,T2464,$G$2051:$G$2550,"&gt;"&amp;G2464)+COUNTIFS($AL$2051:$AL$2550,1,$T$2051:$T$2550,T2464,$G$2051:$G$2550,G2464,$F$2051:$F$2550,"&gt;"&amp;F2464)+COUNTIFS($AL$2051:$AL$2550,1,$T$2051:$T$2550,T2464,$G$2051:$G$2550,G2464,$F$2051:$F$2550,F2464,$AM$2051:$AM$2550,"&lt;"&amp;AM2464))</x:f>
      </x:c>
      <x:c r="X2464" s="1" t="str">
        <x:f>IF(AL2464=0,"",1+COUNTIFS($AL$2051:$AL$2550,1,$T$2051:$T$2550,"&gt;"&amp;T2464))</x:f>
      </x:c>
      <x:c r="Y2464" s="1" t="n">
        <x:f>IF(AND(H2464="Yes",OR(LEN('School Search'!$B$5)=0,ISNUMBER(SEARCH('School Search'!$B$5,B2464&amp;" "&amp;E2464&amp;" "&amp;A2464))),OR('School Search'!$D$5="All",C2464='School Search'!$D$5),OR('School Search'!$G$5="All eligible",AND('School Search'!$G$5="Not marked served",J2464&lt;&gt;"Yes"),AND('School Search'!$G$5="Missing data",V2464="Missing data"),AND('School Search'!$G$5="Marked served",J2464="Yes"))),1,0)</x:f>
        <x:v>0</x:v>
      </x:c>
      <x:c r="Z2464" s="1" t="str">
        <x:f>IF(Y2464=0,"",COUNTIFS($Y$2051:$Y$2550,1,$AO$2051:$AO$2550,"&lt;"&amp;AO2464)+COUNTIFS($Y$2051:Y2464,1,$AO$2051:AO2464,AO2464))</x:f>
      </x:c>
      <x:c r="AA2464" s="1" t="str">
        <x:f>IF(NOT(ISNUMBER(S2464)),"Missing demographic or access input",TEXT(G2464,"0%")&amp;" economic need; "&amp;TEXT(K2464,"0.00")&amp;" mi fresh access; "&amp;L2464&amp;" nearby resources")</x:f>
        <x:v>Missing demographic or access input</x:v>
      </x:c>
      <x:c r="AB2464" s="1" t="n">
        <x:f>IF(OR(A2464="",COUNTIFS($A$1531:$A$2030,A2464)&lt;&gt;1),0,MATCH(A2464,$A$1531:$A$2030,0))</x:f>
        <x:v>0</x:v>
      </x:c>
      <x:c r="AC2464" s="1" t="str">
        <x:f>IF(AB2464=0,"",INDEX($E$1531:$E$2030,AB2464))</x:f>
      </x:c>
      <x:c r="AD2464" s="1" t="str">
        <x:f>IF(AB2464=0,"",INDEX($F$1531:$F$2030,AB2464))</x:f>
      </x:c>
      <x:c r="AE2464" s="1" t="str">
        <x:f>IF(A2464="","",F415)</x:f>
      </x:c>
      <x:c r="AF2464" s="1" t="str">
        <x:f>IF(ISNUMBER(I415),I415,"")</x:f>
      </x:c>
      <x:c r="AG2464" s="1" t="str">
        <x:f>IF(ISNUMBER(J415),J415,"")</x:f>
      </x:c>
      <x:c r="AH2464" s="1" t="str">
        <x:f>IF(I2464=0,"Not contacted",IF(INDEX('Staff Review'!$J$8:$J$507,I2464)="","Not contacted",INDEX('Staff Review'!$J$8:$J$507,I2464)))</x:f>
        <x:v>Not contacted</x:v>
      </x:c>
      <x:c r="AI2464" s="1" t="str">
        <x:f>IF(I2464=0,"No",IF(AND(COUNT(INDEX('Staff Review'!$D$8:$D$507,I2464))=1,INDEX('Staff Review'!$D$8:$D$507,I2464)&gt;=0,COUNT(INDEX('Staff Review'!$E$8:$E$507,I2464))=1,INDEX('Staff Review'!$E$8:$E$507,I2464)&gt;0,INDEX('Staff Review'!$E$8:$E$507,I2464)&lt;='Top 15'!$E$5,'Top 15'!$E$5-INDEX('Staff Review'!$E$8:$E$507,I2464)&lt;='Top 15'!$H$5,LEN(INDEX('Staff Review'!$H$8:$H$507,I2464))&gt;0),"Yes","No"))</x:f>
        <x:v>No</x:v>
      </x:c>
      <x:c r="AJ2464" s="1" t="str">
        <x:f>IF(I2464=0,"No",IF(COUNT(INDEX('Staff Review'!$F$8:$F$507,I2464))&lt;&gt;1,"No",IF(AND(INDEX('Staff Review'!$F$8:$F$507,I2464)&gt;=0,MOD(INDEX('Staff Review'!$F$8:$F$507,I2464),1)=0,COUNT(INDEX('Staff Review'!$G$8:$G$507,I2464))=1,INDEX('Staff Review'!$G$8:$G$507,I2464)&gt;0,INDEX('Staff Review'!$G$8:$G$507,I2464)&lt;='Top 15'!$E$5,'Top 15'!$E$5-INDEX('Staff Review'!$G$8:$G$507,I2464)&lt;='Top 15'!$H$5,LEN(INDEX('Staff Review'!$H$8:$H$507,I2464))&gt;0),"Yes","No")))</x:f>
        <x:v>No</x:v>
      </x:c>
      <x:c r="AK2464" s="1" t="n">
        <x:f>IF(A2464="",0,COUNTIFS($A$2:$A$501,A2464))</x:f>
        <x:v>0</x:v>
      </x:c>
      <x:c r="AL2464" s="1" t="n">
        <x:f>IF(V2464="Candidate",1,0)</x:f>
        <x:v>0</x:v>
      </x:c>
      <x:c r="AM2464" s="1" t="n">
        <x:f>IF(A2464="",0,VALUE(A2464))</x:f>
        <x:v>0</x:v>
      </x:c>
      <x:c r="AN2464" s="1" t="n">
        <x:f>IF(OR(A2464="",COUNTIFS($T$41:$T$540,A2464)&lt;&gt;1),0,MATCH(A2464,$T$41:$T$540,0))</x:f>
        <x:v>0</x:v>
      </x:c>
      <x:c r="AO2464" t="n">
        <x:f>IF(ISNUMBER(W2464),W2464,10000+AM2464)</x:f>
        <x:v>10000</x:v>
      </x:c>
    </x:row>
    <x:row r="2465" ht="22" customHeight="1">
      <x:c r="A2465" s="1" t="str">
        <x:f>IF(A416="","",A416)</x:f>
      </x:c>
      <x:c r="B2465" s="1" t="str">
        <x:f>IF(A2465="","",B416)</x:f>
      </x:c>
      <x:c r="C2465" s="1" t="str">
        <x:f>IF(A2465="","",C416)</x:f>
      </x:c>
      <x:c r="D2465" s="1" t="str">
        <x:f>IF(A2465="","",E416)</x:f>
      </x:c>
      <x:c r="E2465" s="1" t="str">
        <x:f>IF(A2465="","",H416)</x:f>
      </x:c>
      <x:c r="F2465" s="1" t="str">
        <x:f>IF(ISNUMBER(K416),K416,"")</x:f>
      </x:c>
      <x:c r="G2465" s="1" t="str">
        <x:f>IF(ISNUMBER(L416),L416,"")</x:f>
      </x:c>
      <x:c r="H2465" s="1" t="str">
        <x:f>IF(A2465="","",IF(AND(UPPER(G416)="PHILADELPHIA",OR(C2465="District",AND(C2465="Charter",D416="Yes"))),"Yes","No"))</x:f>
      </x:c>
      <x:c r="I2465" s="1" t="n">
        <x:f>IF(OR(A2465="",COUNTIFS('Staff Review'!$A$8:$A$507,A2465)&lt;&gt;1),0,MATCH(A2465,'Staff Review'!$A$8:$A$507,0))</x:f>
        <x:v>0</x:v>
      </x:c>
      <x:c r="J2465" s="1" t="str">
        <x:f>IF(I2465=0,"No",IF(INDEX('Staff Review'!$C$8:$C$507,I2465)="Yes","Yes","No"))</x:f>
        <x:v>No</x:v>
      </x:c>
      <x:c r="K2465" s="1" t="str">
        <x:f>IF(AI2465="Yes",INDEX('Staff Review'!$D$8:$D$507,I2465),IF(AB2465=0,"",IF(COUNT(INDEX($C$1531:$C$2030,AB2465))=1,INDEX($C$1531:$C$2030,AB2465),"")))</x:f>
      </x:c>
      <x:c r="L2465" s="1" t="str">
        <x:f>IF(AJ2465="Yes",INDEX('Staff Review'!$F$8:$F$507,I2465),IF(AB2465=0,"",IF(COUNT(INDEX($G$1531:$G$2030,AB2465))=1,INDEX($G$1531:$G$2030,AB2465),"")))</x:f>
      </x:c>
      <x:c r="M2465" s="1" t="str">
        <x:f>IF(A2465="","",IF(AI2465="Yes","Verified","Listed"))</x:f>
      </x:c>
      <x:c r="N2465" s="1" t="str">
        <x:f>IF(A2465="","",IF(AJ2465="Yes","Verified","Listed"))</x:f>
      </x:c>
      <x:c r="O2465" s="1" t="str">
        <x:f>IF(AND(ISNUMBER(G2465),G2465&gt;=0,G2465&lt;=1),IF(G2465&gt;=0.9,30,IF(G2465&gt;=0.8,25,IF(G2465&gt;=0.7,20,IF(G2465&gt;=0.6,15,IF(G2465&gt;=0.5,10,IF(G2465&gt;=0.4,5,0)))))),"")</x:f>
      </x:c>
      <x:c r="P2465" s="1" t="str">
        <x:f>IF(ISNUMBER(K2465),IF(K2465&lt;0,"",IF(K2465&gt;1,25,IF(K2465&gt;=0.75,20,IF(K2465&gt;=0.5,15,IF(K2465&gt;=0.25,10,5))))),"")</x:f>
      </x:c>
      <x:c r="Q2465" s="1" t="str">
        <x:f>IF(NOT(ISNUMBER(L2465)),"",IF(AND(L2465&gt;=0,MOD(L2465,1)=0),MAX(0,25-5*L2465),""))</x:f>
      </x:c>
      <x:c r="R2465" s="1" t="str">
        <x:f>IF(NOT(ISNUMBER(F2465)),"",IF(AND(F2465&gt;0,MOD(F2465,1)=0),IF(F2465&gt;=700,5,IF(F2465&gt;=500,4,IF(F2465&gt;=350,3,IF(F2465&gt;=200,2,1)))),""))</x:f>
      </x:c>
      <x:c r="S2465" s="1" t="str">
        <x:f>IF(COUNT(O2465:R2465)=4,SUM(O2465:R2465),"")</x:f>
      </x:c>
      <x:c r="T2465" s="1" t="str">
        <x:f>IF(OR(COUNT(O2465:R2465)&lt;&gt;4,COUNT('Top 15'!$B$35:$E$35)&lt;&gt;4,MIN('Top 15'!$B$35:$E$35)&lt;0,SUM('Top 15'!$B$35:$E$35)&lt;=0),"",ROUND(85*(O2465/30*'Top 15'!$B$35+P2465/25*'Top 15'!$C$35+Q2465/25*'Top 15'!$D$35+R2465/5*'Top 15'!$E$35)/SUM('Top 15'!$B$35:$E$35),6))</x:f>
      </x:c>
      <x:c r="U2465" s="1" t="str">
        <x:f>IF(A2465="","",IF(AND(M2465="Verified",N2465="Verified"),"Verified",IF(AND(M2465="Listed",N2465="Listed"),"Listed","Mixed")))</x:f>
      </x:c>
      <x:c r="V2465" s="1" t="str">
        <x:f>IF(A2465="","",IF(AK2465&lt;&gt;1,"Duplicate source ID",IF(COUNTIFS('Staff Review'!$A$8:$A$507,A2465)&gt;1,"Duplicate review ID",IF(H2465&lt;&gt;"Yes","Outside scope",IF(J2465="Yes","Already served",IF(NOT(ISNUMBER(T2465)),"Missing data","Candidate"))))))</x:f>
      </x:c>
      <x:c r="W2465" s="1" t="str">
        <x:f>IF(AL2465=0,"",1+COUNTIFS($AL$2051:$AL$2550,1,$T$2051:$T$2550,"&gt;"&amp;T2465)+COUNTIFS($AL$2051:$AL$2550,1,$T$2051:$T$2550,T2465,$G$2051:$G$2550,"&gt;"&amp;G2465)+COUNTIFS($AL$2051:$AL$2550,1,$T$2051:$T$2550,T2465,$G$2051:$G$2550,G2465,$F$2051:$F$2550,"&gt;"&amp;F2465)+COUNTIFS($AL$2051:$AL$2550,1,$T$2051:$T$2550,T2465,$G$2051:$G$2550,G2465,$F$2051:$F$2550,F2465,$AM$2051:$AM$2550,"&lt;"&amp;AM2465))</x:f>
      </x:c>
      <x:c r="X2465" s="1" t="str">
        <x:f>IF(AL2465=0,"",1+COUNTIFS($AL$2051:$AL$2550,1,$T$2051:$T$2550,"&gt;"&amp;T2465))</x:f>
      </x:c>
      <x:c r="Y2465" s="1" t="n">
        <x:f>IF(AND(H2465="Yes",OR(LEN('School Search'!$B$5)=0,ISNUMBER(SEARCH('School Search'!$B$5,B2465&amp;" "&amp;E2465&amp;" "&amp;A2465))),OR('School Search'!$D$5="All",C2465='School Search'!$D$5),OR('School Search'!$G$5="All eligible",AND('School Search'!$G$5="Not marked served",J2465&lt;&gt;"Yes"),AND('School Search'!$G$5="Missing data",V2465="Missing data"),AND('School Search'!$G$5="Marked served",J2465="Yes"))),1,0)</x:f>
        <x:v>0</x:v>
      </x:c>
      <x:c r="Z2465" s="1" t="str">
        <x:f>IF(Y2465=0,"",COUNTIFS($Y$2051:$Y$2550,1,$AO$2051:$AO$2550,"&lt;"&amp;AO2465)+COUNTIFS($Y$2051:Y2465,1,$AO$2051:AO2465,AO2465))</x:f>
      </x:c>
      <x:c r="AA2465" s="1" t="str">
        <x:f>IF(NOT(ISNUMBER(S2465)),"Missing demographic or access input",TEXT(G2465,"0%")&amp;" economic need; "&amp;TEXT(K2465,"0.00")&amp;" mi fresh access; "&amp;L2465&amp;" nearby resources")</x:f>
        <x:v>Missing demographic or access input</x:v>
      </x:c>
      <x:c r="AB2465" s="1" t="n">
        <x:f>IF(OR(A2465="",COUNTIFS($A$1531:$A$2030,A2465)&lt;&gt;1),0,MATCH(A2465,$A$1531:$A$2030,0))</x:f>
        <x:v>0</x:v>
      </x:c>
      <x:c r="AC2465" s="1" t="str">
        <x:f>IF(AB2465=0,"",INDEX($E$1531:$E$2030,AB2465))</x:f>
      </x:c>
      <x:c r="AD2465" s="1" t="str">
        <x:f>IF(AB2465=0,"",INDEX($F$1531:$F$2030,AB2465))</x:f>
      </x:c>
      <x:c r="AE2465" s="1" t="str">
        <x:f>IF(A2465="","",F416)</x:f>
      </x:c>
      <x:c r="AF2465" s="1" t="str">
        <x:f>IF(ISNUMBER(I416),I416,"")</x:f>
      </x:c>
      <x:c r="AG2465" s="1" t="str">
        <x:f>IF(ISNUMBER(J416),J416,"")</x:f>
      </x:c>
      <x:c r="AH2465" s="1" t="str">
        <x:f>IF(I2465=0,"Not contacted",IF(INDEX('Staff Review'!$J$8:$J$507,I2465)="","Not contacted",INDEX('Staff Review'!$J$8:$J$507,I2465)))</x:f>
        <x:v>Not contacted</x:v>
      </x:c>
      <x:c r="AI2465" s="1" t="str">
        <x:f>IF(I2465=0,"No",IF(AND(COUNT(INDEX('Staff Review'!$D$8:$D$507,I2465))=1,INDEX('Staff Review'!$D$8:$D$507,I2465)&gt;=0,COUNT(INDEX('Staff Review'!$E$8:$E$507,I2465))=1,INDEX('Staff Review'!$E$8:$E$507,I2465)&gt;0,INDEX('Staff Review'!$E$8:$E$507,I2465)&lt;='Top 15'!$E$5,'Top 15'!$E$5-INDEX('Staff Review'!$E$8:$E$507,I2465)&lt;='Top 15'!$H$5,LEN(INDEX('Staff Review'!$H$8:$H$507,I2465))&gt;0),"Yes","No"))</x:f>
        <x:v>No</x:v>
      </x:c>
      <x:c r="AJ2465" s="1" t="str">
        <x:f>IF(I2465=0,"No",IF(COUNT(INDEX('Staff Review'!$F$8:$F$507,I2465))&lt;&gt;1,"No",IF(AND(INDEX('Staff Review'!$F$8:$F$507,I2465)&gt;=0,MOD(INDEX('Staff Review'!$F$8:$F$507,I2465),1)=0,COUNT(INDEX('Staff Review'!$G$8:$G$507,I2465))=1,INDEX('Staff Review'!$G$8:$G$507,I2465)&gt;0,INDEX('Staff Review'!$G$8:$G$507,I2465)&lt;='Top 15'!$E$5,'Top 15'!$E$5-INDEX('Staff Review'!$G$8:$G$507,I2465)&lt;='Top 15'!$H$5,LEN(INDEX('Staff Review'!$H$8:$H$507,I2465))&gt;0),"Yes","No")))</x:f>
        <x:v>No</x:v>
      </x:c>
      <x:c r="AK2465" s="1" t="n">
        <x:f>IF(A2465="",0,COUNTIFS($A$2:$A$501,A2465))</x:f>
        <x:v>0</x:v>
      </x:c>
      <x:c r="AL2465" s="1" t="n">
        <x:f>IF(V2465="Candidate",1,0)</x:f>
        <x:v>0</x:v>
      </x:c>
      <x:c r="AM2465" s="1" t="n">
        <x:f>IF(A2465="",0,VALUE(A2465))</x:f>
        <x:v>0</x:v>
      </x:c>
      <x:c r="AN2465" s="1" t="n">
        <x:f>IF(OR(A2465="",COUNTIFS($T$41:$T$540,A2465)&lt;&gt;1),0,MATCH(A2465,$T$41:$T$540,0))</x:f>
        <x:v>0</x:v>
      </x:c>
      <x:c r="AO2465" t="n">
        <x:f>IF(ISNUMBER(W2465),W2465,10000+AM2465)</x:f>
        <x:v>10000</x:v>
      </x:c>
    </x:row>
    <x:row r="2466" ht="22" customHeight="1">
      <x:c r="A2466" s="1" t="str">
        <x:f>IF(A417="","",A417)</x:f>
      </x:c>
      <x:c r="B2466" s="1" t="str">
        <x:f>IF(A2466="","",B417)</x:f>
      </x:c>
      <x:c r="C2466" s="1" t="str">
        <x:f>IF(A2466="","",C417)</x:f>
      </x:c>
      <x:c r="D2466" s="1" t="str">
        <x:f>IF(A2466="","",E417)</x:f>
      </x:c>
      <x:c r="E2466" s="1" t="str">
        <x:f>IF(A2466="","",H417)</x:f>
      </x:c>
      <x:c r="F2466" s="1" t="str">
        <x:f>IF(ISNUMBER(K417),K417,"")</x:f>
      </x:c>
      <x:c r="G2466" s="1" t="str">
        <x:f>IF(ISNUMBER(L417),L417,"")</x:f>
      </x:c>
      <x:c r="H2466" s="1" t="str">
        <x:f>IF(A2466="","",IF(AND(UPPER(G417)="PHILADELPHIA",OR(C2466="District",AND(C2466="Charter",D417="Yes"))),"Yes","No"))</x:f>
      </x:c>
      <x:c r="I2466" s="1" t="n">
        <x:f>IF(OR(A2466="",COUNTIFS('Staff Review'!$A$8:$A$507,A2466)&lt;&gt;1),0,MATCH(A2466,'Staff Review'!$A$8:$A$507,0))</x:f>
        <x:v>0</x:v>
      </x:c>
      <x:c r="J2466" s="1" t="str">
        <x:f>IF(I2466=0,"No",IF(INDEX('Staff Review'!$C$8:$C$507,I2466)="Yes","Yes","No"))</x:f>
        <x:v>No</x:v>
      </x:c>
      <x:c r="K2466" s="1" t="str">
        <x:f>IF(AI2466="Yes",INDEX('Staff Review'!$D$8:$D$507,I2466),IF(AB2466=0,"",IF(COUNT(INDEX($C$1531:$C$2030,AB2466))=1,INDEX($C$1531:$C$2030,AB2466),"")))</x:f>
      </x:c>
      <x:c r="L2466" s="1" t="str">
        <x:f>IF(AJ2466="Yes",INDEX('Staff Review'!$F$8:$F$507,I2466),IF(AB2466=0,"",IF(COUNT(INDEX($G$1531:$G$2030,AB2466))=1,INDEX($G$1531:$G$2030,AB2466),"")))</x:f>
      </x:c>
      <x:c r="M2466" s="1" t="str">
        <x:f>IF(A2466="","",IF(AI2466="Yes","Verified","Listed"))</x:f>
      </x:c>
      <x:c r="N2466" s="1" t="str">
        <x:f>IF(A2466="","",IF(AJ2466="Yes","Verified","Listed"))</x:f>
      </x:c>
      <x:c r="O2466" s="1" t="str">
        <x:f>IF(AND(ISNUMBER(G2466),G2466&gt;=0,G2466&lt;=1),IF(G2466&gt;=0.9,30,IF(G2466&gt;=0.8,25,IF(G2466&gt;=0.7,20,IF(G2466&gt;=0.6,15,IF(G2466&gt;=0.5,10,IF(G2466&gt;=0.4,5,0)))))),"")</x:f>
      </x:c>
      <x:c r="P2466" s="1" t="str">
        <x:f>IF(ISNUMBER(K2466),IF(K2466&lt;0,"",IF(K2466&gt;1,25,IF(K2466&gt;=0.75,20,IF(K2466&gt;=0.5,15,IF(K2466&gt;=0.25,10,5))))),"")</x:f>
      </x:c>
      <x:c r="Q2466" s="1" t="str">
        <x:f>IF(NOT(ISNUMBER(L2466)),"",IF(AND(L2466&gt;=0,MOD(L2466,1)=0),MAX(0,25-5*L2466),""))</x:f>
      </x:c>
      <x:c r="R2466" s="1" t="str">
        <x:f>IF(NOT(ISNUMBER(F2466)),"",IF(AND(F2466&gt;0,MOD(F2466,1)=0),IF(F2466&gt;=700,5,IF(F2466&gt;=500,4,IF(F2466&gt;=350,3,IF(F2466&gt;=200,2,1)))),""))</x:f>
      </x:c>
      <x:c r="S2466" s="1" t="str">
        <x:f>IF(COUNT(O2466:R2466)=4,SUM(O2466:R2466),"")</x:f>
      </x:c>
      <x:c r="T2466" s="1" t="str">
        <x:f>IF(OR(COUNT(O2466:R2466)&lt;&gt;4,COUNT('Top 15'!$B$35:$E$35)&lt;&gt;4,MIN('Top 15'!$B$35:$E$35)&lt;0,SUM('Top 15'!$B$35:$E$35)&lt;=0),"",ROUND(85*(O2466/30*'Top 15'!$B$35+P2466/25*'Top 15'!$C$35+Q2466/25*'Top 15'!$D$35+R2466/5*'Top 15'!$E$35)/SUM('Top 15'!$B$35:$E$35),6))</x:f>
      </x:c>
      <x:c r="U2466" s="1" t="str">
        <x:f>IF(A2466="","",IF(AND(M2466="Verified",N2466="Verified"),"Verified",IF(AND(M2466="Listed",N2466="Listed"),"Listed","Mixed")))</x:f>
      </x:c>
      <x:c r="V2466" s="1" t="str">
        <x:f>IF(A2466="","",IF(AK2466&lt;&gt;1,"Duplicate source ID",IF(COUNTIFS('Staff Review'!$A$8:$A$507,A2466)&gt;1,"Duplicate review ID",IF(H2466&lt;&gt;"Yes","Outside scope",IF(J2466="Yes","Already served",IF(NOT(ISNUMBER(T2466)),"Missing data","Candidate"))))))</x:f>
      </x:c>
      <x:c r="W2466" s="1" t="str">
        <x:f>IF(AL2466=0,"",1+COUNTIFS($AL$2051:$AL$2550,1,$T$2051:$T$2550,"&gt;"&amp;T2466)+COUNTIFS($AL$2051:$AL$2550,1,$T$2051:$T$2550,T2466,$G$2051:$G$2550,"&gt;"&amp;G2466)+COUNTIFS($AL$2051:$AL$2550,1,$T$2051:$T$2550,T2466,$G$2051:$G$2550,G2466,$F$2051:$F$2550,"&gt;"&amp;F2466)+COUNTIFS($AL$2051:$AL$2550,1,$T$2051:$T$2550,T2466,$G$2051:$G$2550,G2466,$F$2051:$F$2550,F2466,$AM$2051:$AM$2550,"&lt;"&amp;AM2466))</x:f>
      </x:c>
      <x:c r="X2466" s="1" t="str">
        <x:f>IF(AL2466=0,"",1+COUNTIFS($AL$2051:$AL$2550,1,$T$2051:$T$2550,"&gt;"&amp;T2466))</x:f>
      </x:c>
      <x:c r="Y2466" s="1" t="n">
        <x:f>IF(AND(H2466="Yes",OR(LEN('School Search'!$B$5)=0,ISNUMBER(SEARCH('School Search'!$B$5,B2466&amp;" "&amp;E2466&amp;" "&amp;A2466))),OR('School Search'!$D$5="All",C2466='School Search'!$D$5),OR('School Search'!$G$5="All eligible",AND('School Search'!$G$5="Not marked served",J2466&lt;&gt;"Yes"),AND('School Search'!$G$5="Missing data",V2466="Missing data"),AND('School Search'!$G$5="Marked served",J2466="Yes"))),1,0)</x:f>
        <x:v>0</x:v>
      </x:c>
      <x:c r="Z2466" s="1" t="str">
        <x:f>IF(Y2466=0,"",COUNTIFS($Y$2051:$Y$2550,1,$AO$2051:$AO$2550,"&lt;"&amp;AO2466)+COUNTIFS($Y$2051:Y2466,1,$AO$2051:AO2466,AO2466))</x:f>
      </x:c>
      <x:c r="AA2466" s="1" t="str">
        <x:f>IF(NOT(ISNUMBER(S2466)),"Missing demographic or access input",TEXT(G2466,"0%")&amp;" economic need; "&amp;TEXT(K2466,"0.00")&amp;" mi fresh access; "&amp;L2466&amp;" nearby resources")</x:f>
        <x:v>Missing demographic or access input</x:v>
      </x:c>
      <x:c r="AB2466" s="1" t="n">
        <x:f>IF(OR(A2466="",COUNTIFS($A$1531:$A$2030,A2466)&lt;&gt;1),0,MATCH(A2466,$A$1531:$A$2030,0))</x:f>
        <x:v>0</x:v>
      </x:c>
      <x:c r="AC2466" s="1" t="str">
        <x:f>IF(AB2466=0,"",INDEX($E$1531:$E$2030,AB2466))</x:f>
      </x:c>
      <x:c r="AD2466" s="1" t="str">
        <x:f>IF(AB2466=0,"",INDEX($F$1531:$F$2030,AB2466))</x:f>
      </x:c>
      <x:c r="AE2466" s="1" t="str">
        <x:f>IF(A2466="","",F417)</x:f>
      </x:c>
      <x:c r="AF2466" s="1" t="str">
        <x:f>IF(ISNUMBER(I417),I417,"")</x:f>
      </x:c>
      <x:c r="AG2466" s="1" t="str">
        <x:f>IF(ISNUMBER(J417),J417,"")</x:f>
      </x:c>
      <x:c r="AH2466" s="1" t="str">
        <x:f>IF(I2466=0,"Not contacted",IF(INDEX('Staff Review'!$J$8:$J$507,I2466)="","Not contacted",INDEX('Staff Review'!$J$8:$J$507,I2466)))</x:f>
        <x:v>Not contacted</x:v>
      </x:c>
      <x:c r="AI2466" s="1" t="str">
        <x:f>IF(I2466=0,"No",IF(AND(COUNT(INDEX('Staff Review'!$D$8:$D$507,I2466))=1,INDEX('Staff Review'!$D$8:$D$507,I2466)&gt;=0,COUNT(INDEX('Staff Review'!$E$8:$E$507,I2466))=1,INDEX('Staff Review'!$E$8:$E$507,I2466)&gt;0,INDEX('Staff Review'!$E$8:$E$507,I2466)&lt;='Top 15'!$E$5,'Top 15'!$E$5-INDEX('Staff Review'!$E$8:$E$507,I2466)&lt;='Top 15'!$H$5,LEN(INDEX('Staff Review'!$H$8:$H$507,I2466))&gt;0),"Yes","No"))</x:f>
        <x:v>No</x:v>
      </x:c>
      <x:c r="AJ2466" s="1" t="str">
        <x:f>IF(I2466=0,"No",IF(COUNT(INDEX('Staff Review'!$F$8:$F$507,I2466))&lt;&gt;1,"No",IF(AND(INDEX('Staff Review'!$F$8:$F$507,I2466)&gt;=0,MOD(INDEX('Staff Review'!$F$8:$F$507,I2466),1)=0,COUNT(INDEX('Staff Review'!$G$8:$G$507,I2466))=1,INDEX('Staff Review'!$G$8:$G$507,I2466)&gt;0,INDEX('Staff Review'!$G$8:$G$507,I2466)&lt;='Top 15'!$E$5,'Top 15'!$E$5-INDEX('Staff Review'!$G$8:$G$507,I2466)&lt;='Top 15'!$H$5,LEN(INDEX('Staff Review'!$H$8:$H$507,I2466))&gt;0),"Yes","No")))</x:f>
        <x:v>No</x:v>
      </x:c>
      <x:c r="AK2466" s="1" t="n">
        <x:f>IF(A2466="",0,COUNTIFS($A$2:$A$501,A2466))</x:f>
        <x:v>0</x:v>
      </x:c>
      <x:c r="AL2466" s="1" t="n">
        <x:f>IF(V2466="Candidate",1,0)</x:f>
        <x:v>0</x:v>
      </x:c>
      <x:c r="AM2466" s="1" t="n">
        <x:f>IF(A2466="",0,VALUE(A2466))</x:f>
        <x:v>0</x:v>
      </x:c>
      <x:c r="AN2466" s="1" t="n">
        <x:f>IF(OR(A2466="",COUNTIFS($T$41:$T$540,A2466)&lt;&gt;1),0,MATCH(A2466,$T$41:$T$540,0))</x:f>
        <x:v>0</x:v>
      </x:c>
      <x:c r="AO2466" t="n">
        <x:f>IF(ISNUMBER(W2466),W2466,10000+AM2466)</x:f>
        <x:v>10000</x:v>
      </x:c>
    </x:row>
    <x:row r="2467" ht="22" customHeight="1">
      <x:c r="A2467" s="1" t="str">
        <x:f>IF(A418="","",A418)</x:f>
      </x:c>
      <x:c r="B2467" s="1" t="str">
        <x:f>IF(A2467="","",B418)</x:f>
      </x:c>
      <x:c r="C2467" s="1" t="str">
        <x:f>IF(A2467="","",C418)</x:f>
      </x:c>
      <x:c r="D2467" s="1" t="str">
        <x:f>IF(A2467="","",E418)</x:f>
      </x:c>
      <x:c r="E2467" s="1" t="str">
        <x:f>IF(A2467="","",H418)</x:f>
      </x:c>
      <x:c r="F2467" s="1" t="str">
        <x:f>IF(ISNUMBER(K418),K418,"")</x:f>
      </x:c>
      <x:c r="G2467" s="1" t="str">
        <x:f>IF(ISNUMBER(L418),L418,"")</x:f>
      </x:c>
      <x:c r="H2467" s="1" t="str">
        <x:f>IF(A2467="","",IF(AND(UPPER(G418)="PHILADELPHIA",OR(C2467="District",AND(C2467="Charter",D418="Yes"))),"Yes","No"))</x:f>
      </x:c>
      <x:c r="I2467" s="1" t="n">
        <x:f>IF(OR(A2467="",COUNTIFS('Staff Review'!$A$8:$A$507,A2467)&lt;&gt;1),0,MATCH(A2467,'Staff Review'!$A$8:$A$507,0))</x:f>
        <x:v>0</x:v>
      </x:c>
      <x:c r="J2467" s="1" t="str">
        <x:f>IF(I2467=0,"No",IF(INDEX('Staff Review'!$C$8:$C$507,I2467)="Yes","Yes","No"))</x:f>
        <x:v>No</x:v>
      </x:c>
      <x:c r="K2467" s="1" t="str">
        <x:f>IF(AI2467="Yes",INDEX('Staff Review'!$D$8:$D$507,I2467),IF(AB2467=0,"",IF(COUNT(INDEX($C$1531:$C$2030,AB2467))=1,INDEX($C$1531:$C$2030,AB2467),"")))</x:f>
      </x:c>
      <x:c r="L2467" s="1" t="str">
        <x:f>IF(AJ2467="Yes",INDEX('Staff Review'!$F$8:$F$507,I2467),IF(AB2467=0,"",IF(COUNT(INDEX($G$1531:$G$2030,AB2467))=1,INDEX($G$1531:$G$2030,AB2467),"")))</x:f>
      </x:c>
      <x:c r="M2467" s="1" t="str">
        <x:f>IF(A2467="","",IF(AI2467="Yes","Verified","Listed"))</x:f>
      </x:c>
      <x:c r="N2467" s="1" t="str">
        <x:f>IF(A2467="","",IF(AJ2467="Yes","Verified","Listed"))</x:f>
      </x:c>
      <x:c r="O2467" s="1" t="str">
        <x:f>IF(AND(ISNUMBER(G2467),G2467&gt;=0,G2467&lt;=1),IF(G2467&gt;=0.9,30,IF(G2467&gt;=0.8,25,IF(G2467&gt;=0.7,20,IF(G2467&gt;=0.6,15,IF(G2467&gt;=0.5,10,IF(G2467&gt;=0.4,5,0)))))),"")</x:f>
      </x:c>
      <x:c r="P2467" s="1" t="str">
        <x:f>IF(ISNUMBER(K2467),IF(K2467&lt;0,"",IF(K2467&gt;1,25,IF(K2467&gt;=0.75,20,IF(K2467&gt;=0.5,15,IF(K2467&gt;=0.25,10,5))))),"")</x:f>
      </x:c>
      <x:c r="Q2467" s="1" t="str">
        <x:f>IF(NOT(ISNUMBER(L2467)),"",IF(AND(L2467&gt;=0,MOD(L2467,1)=0),MAX(0,25-5*L2467),""))</x:f>
      </x:c>
      <x:c r="R2467" s="1" t="str">
        <x:f>IF(NOT(ISNUMBER(F2467)),"",IF(AND(F2467&gt;0,MOD(F2467,1)=0),IF(F2467&gt;=700,5,IF(F2467&gt;=500,4,IF(F2467&gt;=350,3,IF(F2467&gt;=200,2,1)))),""))</x:f>
      </x:c>
      <x:c r="S2467" s="1" t="str">
        <x:f>IF(COUNT(O2467:R2467)=4,SUM(O2467:R2467),"")</x:f>
      </x:c>
      <x:c r="T2467" s="1" t="str">
        <x:f>IF(OR(COUNT(O2467:R2467)&lt;&gt;4,COUNT('Top 15'!$B$35:$E$35)&lt;&gt;4,MIN('Top 15'!$B$35:$E$35)&lt;0,SUM('Top 15'!$B$35:$E$35)&lt;=0),"",ROUND(85*(O2467/30*'Top 15'!$B$35+P2467/25*'Top 15'!$C$35+Q2467/25*'Top 15'!$D$35+R2467/5*'Top 15'!$E$35)/SUM('Top 15'!$B$35:$E$35),6))</x:f>
      </x:c>
      <x:c r="U2467" s="1" t="str">
        <x:f>IF(A2467="","",IF(AND(M2467="Verified",N2467="Verified"),"Verified",IF(AND(M2467="Listed",N2467="Listed"),"Listed","Mixed")))</x:f>
      </x:c>
      <x:c r="V2467" s="1" t="str">
        <x:f>IF(A2467="","",IF(AK2467&lt;&gt;1,"Duplicate source ID",IF(COUNTIFS('Staff Review'!$A$8:$A$507,A2467)&gt;1,"Duplicate review ID",IF(H2467&lt;&gt;"Yes","Outside scope",IF(J2467="Yes","Already served",IF(NOT(ISNUMBER(T2467)),"Missing data","Candidate"))))))</x:f>
      </x:c>
      <x:c r="W2467" s="1" t="str">
        <x:f>IF(AL2467=0,"",1+COUNTIFS($AL$2051:$AL$2550,1,$T$2051:$T$2550,"&gt;"&amp;T2467)+COUNTIFS($AL$2051:$AL$2550,1,$T$2051:$T$2550,T2467,$G$2051:$G$2550,"&gt;"&amp;G2467)+COUNTIFS($AL$2051:$AL$2550,1,$T$2051:$T$2550,T2467,$G$2051:$G$2550,G2467,$F$2051:$F$2550,"&gt;"&amp;F2467)+COUNTIFS($AL$2051:$AL$2550,1,$T$2051:$T$2550,T2467,$G$2051:$G$2550,G2467,$F$2051:$F$2550,F2467,$AM$2051:$AM$2550,"&lt;"&amp;AM2467))</x:f>
      </x:c>
      <x:c r="X2467" s="1" t="str">
        <x:f>IF(AL2467=0,"",1+COUNTIFS($AL$2051:$AL$2550,1,$T$2051:$T$2550,"&gt;"&amp;T2467))</x:f>
      </x:c>
      <x:c r="Y2467" s="1" t="n">
        <x:f>IF(AND(H2467="Yes",OR(LEN('School Search'!$B$5)=0,ISNUMBER(SEARCH('School Search'!$B$5,B2467&amp;" "&amp;E2467&amp;" "&amp;A2467))),OR('School Search'!$D$5="All",C2467='School Search'!$D$5),OR('School Search'!$G$5="All eligible",AND('School Search'!$G$5="Not marked served",J2467&lt;&gt;"Yes"),AND('School Search'!$G$5="Missing data",V2467="Missing data"),AND('School Search'!$G$5="Marked served",J2467="Yes"))),1,0)</x:f>
        <x:v>0</x:v>
      </x:c>
      <x:c r="Z2467" s="1" t="str">
        <x:f>IF(Y2467=0,"",COUNTIFS($Y$2051:$Y$2550,1,$AO$2051:$AO$2550,"&lt;"&amp;AO2467)+COUNTIFS($Y$2051:Y2467,1,$AO$2051:AO2467,AO2467))</x:f>
      </x:c>
      <x:c r="AA2467" s="1" t="str">
        <x:f>IF(NOT(ISNUMBER(S2467)),"Missing demographic or access input",TEXT(G2467,"0%")&amp;" economic need; "&amp;TEXT(K2467,"0.00")&amp;" mi fresh access; "&amp;L2467&amp;" nearby resources")</x:f>
        <x:v>Missing demographic or access input</x:v>
      </x:c>
      <x:c r="AB2467" s="1" t="n">
        <x:f>IF(OR(A2467="",COUNTIFS($A$1531:$A$2030,A2467)&lt;&gt;1),0,MATCH(A2467,$A$1531:$A$2030,0))</x:f>
        <x:v>0</x:v>
      </x:c>
      <x:c r="AC2467" s="1" t="str">
        <x:f>IF(AB2467=0,"",INDEX($E$1531:$E$2030,AB2467))</x:f>
      </x:c>
      <x:c r="AD2467" s="1" t="str">
        <x:f>IF(AB2467=0,"",INDEX($F$1531:$F$2030,AB2467))</x:f>
      </x:c>
      <x:c r="AE2467" s="1" t="str">
        <x:f>IF(A2467="","",F418)</x:f>
      </x:c>
      <x:c r="AF2467" s="1" t="str">
        <x:f>IF(ISNUMBER(I418),I418,"")</x:f>
      </x:c>
      <x:c r="AG2467" s="1" t="str">
        <x:f>IF(ISNUMBER(J418),J418,"")</x:f>
      </x:c>
      <x:c r="AH2467" s="1" t="str">
        <x:f>IF(I2467=0,"Not contacted",IF(INDEX('Staff Review'!$J$8:$J$507,I2467)="","Not contacted",INDEX('Staff Review'!$J$8:$J$507,I2467)))</x:f>
        <x:v>Not contacted</x:v>
      </x:c>
      <x:c r="AI2467" s="1" t="str">
        <x:f>IF(I2467=0,"No",IF(AND(COUNT(INDEX('Staff Review'!$D$8:$D$507,I2467))=1,INDEX('Staff Review'!$D$8:$D$507,I2467)&gt;=0,COUNT(INDEX('Staff Review'!$E$8:$E$507,I2467))=1,INDEX('Staff Review'!$E$8:$E$507,I2467)&gt;0,INDEX('Staff Review'!$E$8:$E$507,I2467)&lt;='Top 15'!$E$5,'Top 15'!$E$5-INDEX('Staff Review'!$E$8:$E$507,I2467)&lt;='Top 15'!$H$5,LEN(INDEX('Staff Review'!$H$8:$H$507,I2467))&gt;0),"Yes","No"))</x:f>
        <x:v>No</x:v>
      </x:c>
      <x:c r="AJ2467" s="1" t="str">
        <x:f>IF(I2467=0,"No",IF(COUNT(INDEX('Staff Review'!$F$8:$F$507,I2467))&lt;&gt;1,"No",IF(AND(INDEX('Staff Review'!$F$8:$F$507,I2467)&gt;=0,MOD(INDEX('Staff Review'!$F$8:$F$507,I2467),1)=0,COUNT(INDEX('Staff Review'!$G$8:$G$507,I2467))=1,INDEX('Staff Review'!$G$8:$G$507,I2467)&gt;0,INDEX('Staff Review'!$G$8:$G$507,I2467)&lt;='Top 15'!$E$5,'Top 15'!$E$5-INDEX('Staff Review'!$G$8:$G$507,I2467)&lt;='Top 15'!$H$5,LEN(INDEX('Staff Review'!$H$8:$H$507,I2467))&gt;0),"Yes","No")))</x:f>
        <x:v>No</x:v>
      </x:c>
      <x:c r="AK2467" s="1" t="n">
        <x:f>IF(A2467="",0,COUNTIFS($A$2:$A$501,A2467))</x:f>
        <x:v>0</x:v>
      </x:c>
      <x:c r="AL2467" s="1" t="n">
        <x:f>IF(V2467="Candidate",1,0)</x:f>
        <x:v>0</x:v>
      </x:c>
      <x:c r="AM2467" s="1" t="n">
        <x:f>IF(A2467="",0,VALUE(A2467))</x:f>
        <x:v>0</x:v>
      </x:c>
      <x:c r="AN2467" s="1" t="n">
        <x:f>IF(OR(A2467="",COUNTIFS($T$41:$T$540,A2467)&lt;&gt;1),0,MATCH(A2467,$T$41:$T$540,0))</x:f>
        <x:v>0</x:v>
      </x:c>
      <x:c r="AO2467" t="n">
        <x:f>IF(ISNUMBER(W2467),W2467,10000+AM2467)</x:f>
        <x:v>10000</x:v>
      </x:c>
    </x:row>
    <x:row r="2468" ht="22" customHeight="1">
      <x:c r="A2468" s="1" t="str">
        <x:f>IF(A419="","",A419)</x:f>
      </x:c>
      <x:c r="B2468" s="1" t="str">
        <x:f>IF(A2468="","",B419)</x:f>
      </x:c>
      <x:c r="C2468" s="1" t="str">
        <x:f>IF(A2468="","",C419)</x:f>
      </x:c>
      <x:c r="D2468" s="1" t="str">
        <x:f>IF(A2468="","",E419)</x:f>
      </x:c>
      <x:c r="E2468" s="1" t="str">
        <x:f>IF(A2468="","",H419)</x:f>
      </x:c>
      <x:c r="F2468" s="1" t="str">
        <x:f>IF(ISNUMBER(K419),K419,"")</x:f>
      </x:c>
      <x:c r="G2468" s="1" t="str">
        <x:f>IF(ISNUMBER(L419),L419,"")</x:f>
      </x:c>
      <x:c r="H2468" s="1" t="str">
        <x:f>IF(A2468="","",IF(AND(UPPER(G419)="PHILADELPHIA",OR(C2468="District",AND(C2468="Charter",D419="Yes"))),"Yes","No"))</x:f>
      </x:c>
      <x:c r="I2468" s="1" t="n">
        <x:f>IF(OR(A2468="",COUNTIFS('Staff Review'!$A$8:$A$507,A2468)&lt;&gt;1),0,MATCH(A2468,'Staff Review'!$A$8:$A$507,0))</x:f>
        <x:v>0</x:v>
      </x:c>
      <x:c r="J2468" s="1" t="str">
        <x:f>IF(I2468=0,"No",IF(INDEX('Staff Review'!$C$8:$C$507,I2468)="Yes","Yes","No"))</x:f>
        <x:v>No</x:v>
      </x:c>
      <x:c r="K2468" s="1" t="str">
        <x:f>IF(AI2468="Yes",INDEX('Staff Review'!$D$8:$D$507,I2468),IF(AB2468=0,"",IF(COUNT(INDEX($C$1531:$C$2030,AB2468))=1,INDEX($C$1531:$C$2030,AB2468),"")))</x:f>
      </x:c>
      <x:c r="L2468" s="1" t="str">
        <x:f>IF(AJ2468="Yes",INDEX('Staff Review'!$F$8:$F$507,I2468),IF(AB2468=0,"",IF(COUNT(INDEX($G$1531:$G$2030,AB2468))=1,INDEX($G$1531:$G$2030,AB2468),"")))</x:f>
      </x:c>
      <x:c r="M2468" s="1" t="str">
        <x:f>IF(A2468="","",IF(AI2468="Yes","Verified","Listed"))</x:f>
      </x:c>
      <x:c r="N2468" s="1" t="str">
        <x:f>IF(A2468="","",IF(AJ2468="Yes","Verified","Listed"))</x:f>
      </x:c>
      <x:c r="O2468" s="1" t="str">
        <x:f>IF(AND(ISNUMBER(G2468),G2468&gt;=0,G2468&lt;=1),IF(G2468&gt;=0.9,30,IF(G2468&gt;=0.8,25,IF(G2468&gt;=0.7,20,IF(G2468&gt;=0.6,15,IF(G2468&gt;=0.5,10,IF(G2468&gt;=0.4,5,0)))))),"")</x:f>
      </x:c>
      <x:c r="P2468" s="1" t="str">
        <x:f>IF(ISNUMBER(K2468),IF(K2468&lt;0,"",IF(K2468&gt;1,25,IF(K2468&gt;=0.75,20,IF(K2468&gt;=0.5,15,IF(K2468&gt;=0.25,10,5))))),"")</x:f>
      </x:c>
      <x:c r="Q2468" s="1" t="str">
        <x:f>IF(NOT(ISNUMBER(L2468)),"",IF(AND(L2468&gt;=0,MOD(L2468,1)=0),MAX(0,25-5*L2468),""))</x:f>
      </x:c>
      <x:c r="R2468" s="1" t="str">
        <x:f>IF(NOT(ISNUMBER(F2468)),"",IF(AND(F2468&gt;0,MOD(F2468,1)=0),IF(F2468&gt;=700,5,IF(F2468&gt;=500,4,IF(F2468&gt;=350,3,IF(F2468&gt;=200,2,1)))),""))</x:f>
      </x:c>
      <x:c r="S2468" s="1" t="str">
        <x:f>IF(COUNT(O2468:R2468)=4,SUM(O2468:R2468),"")</x:f>
      </x:c>
      <x:c r="T2468" s="1" t="str">
        <x:f>IF(OR(COUNT(O2468:R2468)&lt;&gt;4,COUNT('Top 15'!$B$35:$E$35)&lt;&gt;4,MIN('Top 15'!$B$35:$E$35)&lt;0,SUM('Top 15'!$B$35:$E$35)&lt;=0),"",ROUND(85*(O2468/30*'Top 15'!$B$35+P2468/25*'Top 15'!$C$35+Q2468/25*'Top 15'!$D$35+R2468/5*'Top 15'!$E$35)/SUM('Top 15'!$B$35:$E$35),6))</x:f>
      </x:c>
      <x:c r="U2468" s="1" t="str">
        <x:f>IF(A2468="","",IF(AND(M2468="Verified",N2468="Verified"),"Verified",IF(AND(M2468="Listed",N2468="Listed"),"Listed","Mixed")))</x:f>
      </x:c>
      <x:c r="V2468" s="1" t="str">
        <x:f>IF(A2468="","",IF(AK2468&lt;&gt;1,"Duplicate source ID",IF(COUNTIFS('Staff Review'!$A$8:$A$507,A2468)&gt;1,"Duplicate review ID",IF(H2468&lt;&gt;"Yes","Outside scope",IF(J2468="Yes","Already served",IF(NOT(ISNUMBER(T2468)),"Missing data","Candidate"))))))</x:f>
      </x:c>
      <x:c r="W2468" s="1" t="str">
        <x:f>IF(AL2468=0,"",1+COUNTIFS($AL$2051:$AL$2550,1,$T$2051:$T$2550,"&gt;"&amp;T2468)+COUNTIFS($AL$2051:$AL$2550,1,$T$2051:$T$2550,T2468,$G$2051:$G$2550,"&gt;"&amp;G2468)+COUNTIFS($AL$2051:$AL$2550,1,$T$2051:$T$2550,T2468,$G$2051:$G$2550,G2468,$F$2051:$F$2550,"&gt;"&amp;F2468)+COUNTIFS($AL$2051:$AL$2550,1,$T$2051:$T$2550,T2468,$G$2051:$G$2550,G2468,$F$2051:$F$2550,F2468,$AM$2051:$AM$2550,"&lt;"&amp;AM2468))</x:f>
      </x:c>
      <x:c r="X2468" s="1" t="str">
        <x:f>IF(AL2468=0,"",1+COUNTIFS($AL$2051:$AL$2550,1,$T$2051:$T$2550,"&gt;"&amp;T2468))</x:f>
      </x:c>
      <x:c r="Y2468" s="1" t="n">
        <x:f>IF(AND(H2468="Yes",OR(LEN('School Search'!$B$5)=0,ISNUMBER(SEARCH('School Search'!$B$5,B2468&amp;" "&amp;E2468&amp;" "&amp;A2468))),OR('School Search'!$D$5="All",C2468='School Search'!$D$5),OR('School Search'!$G$5="All eligible",AND('School Search'!$G$5="Not marked served",J2468&lt;&gt;"Yes"),AND('School Search'!$G$5="Missing data",V2468="Missing data"),AND('School Search'!$G$5="Marked served",J2468="Yes"))),1,0)</x:f>
        <x:v>0</x:v>
      </x:c>
      <x:c r="Z2468" s="1" t="str">
        <x:f>IF(Y2468=0,"",COUNTIFS($Y$2051:$Y$2550,1,$AO$2051:$AO$2550,"&lt;"&amp;AO2468)+COUNTIFS($Y$2051:Y2468,1,$AO$2051:AO2468,AO2468))</x:f>
      </x:c>
      <x:c r="AA2468" s="1" t="str">
        <x:f>IF(NOT(ISNUMBER(S2468)),"Missing demographic or access input",TEXT(G2468,"0%")&amp;" economic need; "&amp;TEXT(K2468,"0.00")&amp;" mi fresh access; "&amp;L2468&amp;" nearby resources")</x:f>
        <x:v>Missing demographic or access input</x:v>
      </x:c>
      <x:c r="AB2468" s="1" t="n">
        <x:f>IF(OR(A2468="",COUNTIFS($A$1531:$A$2030,A2468)&lt;&gt;1),0,MATCH(A2468,$A$1531:$A$2030,0))</x:f>
        <x:v>0</x:v>
      </x:c>
      <x:c r="AC2468" s="1" t="str">
        <x:f>IF(AB2468=0,"",INDEX($E$1531:$E$2030,AB2468))</x:f>
      </x:c>
      <x:c r="AD2468" s="1" t="str">
        <x:f>IF(AB2468=0,"",INDEX($F$1531:$F$2030,AB2468))</x:f>
      </x:c>
      <x:c r="AE2468" s="1" t="str">
        <x:f>IF(A2468="","",F419)</x:f>
      </x:c>
      <x:c r="AF2468" s="1" t="str">
        <x:f>IF(ISNUMBER(I419),I419,"")</x:f>
      </x:c>
      <x:c r="AG2468" s="1" t="str">
        <x:f>IF(ISNUMBER(J419),J419,"")</x:f>
      </x:c>
      <x:c r="AH2468" s="1" t="str">
        <x:f>IF(I2468=0,"Not contacted",IF(INDEX('Staff Review'!$J$8:$J$507,I2468)="","Not contacted",INDEX('Staff Review'!$J$8:$J$507,I2468)))</x:f>
        <x:v>Not contacted</x:v>
      </x:c>
      <x:c r="AI2468" s="1" t="str">
        <x:f>IF(I2468=0,"No",IF(AND(COUNT(INDEX('Staff Review'!$D$8:$D$507,I2468))=1,INDEX('Staff Review'!$D$8:$D$507,I2468)&gt;=0,COUNT(INDEX('Staff Review'!$E$8:$E$507,I2468))=1,INDEX('Staff Review'!$E$8:$E$507,I2468)&gt;0,INDEX('Staff Review'!$E$8:$E$507,I2468)&lt;='Top 15'!$E$5,'Top 15'!$E$5-INDEX('Staff Review'!$E$8:$E$507,I2468)&lt;='Top 15'!$H$5,LEN(INDEX('Staff Review'!$H$8:$H$507,I2468))&gt;0),"Yes","No"))</x:f>
        <x:v>No</x:v>
      </x:c>
      <x:c r="AJ2468" s="1" t="str">
        <x:f>IF(I2468=0,"No",IF(COUNT(INDEX('Staff Review'!$F$8:$F$507,I2468))&lt;&gt;1,"No",IF(AND(INDEX('Staff Review'!$F$8:$F$507,I2468)&gt;=0,MOD(INDEX('Staff Review'!$F$8:$F$507,I2468),1)=0,COUNT(INDEX('Staff Review'!$G$8:$G$507,I2468))=1,INDEX('Staff Review'!$G$8:$G$507,I2468)&gt;0,INDEX('Staff Review'!$G$8:$G$507,I2468)&lt;='Top 15'!$E$5,'Top 15'!$E$5-INDEX('Staff Review'!$G$8:$G$507,I2468)&lt;='Top 15'!$H$5,LEN(INDEX('Staff Review'!$H$8:$H$507,I2468))&gt;0),"Yes","No")))</x:f>
        <x:v>No</x:v>
      </x:c>
      <x:c r="AK2468" s="1" t="n">
        <x:f>IF(A2468="",0,COUNTIFS($A$2:$A$501,A2468))</x:f>
        <x:v>0</x:v>
      </x:c>
      <x:c r="AL2468" s="1" t="n">
        <x:f>IF(V2468="Candidate",1,0)</x:f>
        <x:v>0</x:v>
      </x:c>
      <x:c r="AM2468" s="1" t="n">
        <x:f>IF(A2468="",0,VALUE(A2468))</x:f>
        <x:v>0</x:v>
      </x:c>
      <x:c r="AN2468" s="1" t="n">
        <x:f>IF(OR(A2468="",COUNTIFS($T$41:$T$540,A2468)&lt;&gt;1),0,MATCH(A2468,$T$41:$T$540,0))</x:f>
        <x:v>0</x:v>
      </x:c>
      <x:c r="AO2468" t="n">
        <x:f>IF(ISNUMBER(W2468),W2468,10000+AM2468)</x:f>
        <x:v>10000</x:v>
      </x:c>
    </x:row>
    <x:row r="2469" ht="22" customHeight="1">
      <x:c r="A2469" s="1" t="str">
        <x:f>IF(A420="","",A420)</x:f>
      </x:c>
      <x:c r="B2469" s="1" t="str">
        <x:f>IF(A2469="","",B420)</x:f>
      </x:c>
      <x:c r="C2469" s="1" t="str">
        <x:f>IF(A2469="","",C420)</x:f>
      </x:c>
      <x:c r="D2469" s="1" t="str">
        <x:f>IF(A2469="","",E420)</x:f>
      </x:c>
      <x:c r="E2469" s="1" t="str">
        <x:f>IF(A2469="","",H420)</x:f>
      </x:c>
      <x:c r="F2469" s="1" t="str">
        <x:f>IF(ISNUMBER(K420),K420,"")</x:f>
      </x:c>
      <x:c r="G2469" s="1" t="str">
        <x:f>IF(ISNUMBER(L420),L420,"")</x:f>
      </x:c>
      <x:c r="H2469" s="1" t="str">
        <x:f>IF(A2469="","",IF(AND(UPPER(G420)="PHILADELPHIA",OR(C2469="District",AND(C2469="Charter",D420="Yes"))),"Yes","No"))</x:f>
      </x:c>
      <x:c r="I2469" s="1" t="n">
        <x:f>IF(OR(A2469="",COUNTIFS('Staff Review'!$A$8:$A$507,A2469)&lt;&gt;1),0,MATCH(A2469,'Staff Review'!$A$8:$A$507,0))</x:f>
        <x:v>0</x:v>
      </x:c>
      <x:c r="J2469" s="1" t="str">
        <x:f>IF(I2469=0,"No",IF(INDEX('Staff Review'!$C$8:$C$507,I2469)="Yes","Yes","No"))</x:f>
        <x:v>No</x:v>
      </x:c>
      <x:c r="K2469" s="1" t="str">
        <x:f>IF(AI2469="Yes",INDEX('Staff Review'!$D$8:$D$507,I2469),IF(AB2469=0,"",IF(COUNT(INDEX($C$1531:$C$2030,AB2469))=1,INDEX($C$1531:$C$2030,AB2469),"")))</x:f>
      </x:c>
      <x:c r="L2469" s="1" t="str">
        <x:f>IF(AJ2469="Yes",INDEX('Staff Review'!$F$8:$F$507,I2469),IF(AB2469=0,"",IF(COUNT(INDEX($G$1531:$G$2030,AB2469))=1,INDEX($G$1531:$G$2030,AB2469),"")))</x:f>
      </x:c>
      <x:c r="M2469" s="1" t="str">
        <x:f>IF(A2469="","",IF(AI2469="Yes","Verified","Listed"))</x:f>
      </x:c>
      <x:c r="N2469" s="1" t="str">
        <x:f>IF(A2469="","",IF(AJ2469="Yes","Verified","Listed"))</x:f>
      </x:c>
      <x:c r="O2469" s="1" t="str">
        <x:f>IF(AND(ISNUMBER(G2469),G2469&gt;=0,G2469&lt;=1),IF(G2469&gt;=0.9,30,IF(G2469&gt;=0.8,25,IF(G2469&gt;=0.7,20,IF(G2469&gt;=0.6,15,IF(G2469&gt;=0.5,10,IF(G2469&gt;=0.4,5,0)))))),"")</x:f>
      </x:c>
      <x:c r="P2469" s="1" t="str">
        <x:f>IF(ISNUMBER(K2469),IF(K2469&lt;0,"",IF(K2469&gt;1,25,IF(K2469&gt;=0.75,20,IF(K2469&gt;=0.5,15,IF(K2469&gt;=0.25,10,5))))),"")</x:f>
      </x:c>
      <x:c r="Q2469" s="1" t="str">
        <x:f>IF(NOT(ISNUMBER(L2469)),"",IF(AND(L2469&gt;=0,MOD(L2469,1)=0),MAX(0,25-5*L2469),""))</x:f>
      </x:c>
      <x:c r="R2469" s="1" t="str">
        <x:f>IF(NOT(ISNUMBER(F2469)),"",IF(AND(F2469&gt;0,MOD(F2469,1)=0),IF(F2469&gt;=700,5,IF(F2469&gt;=500,4,IF(F2469&gt;=350,3,IF(F2469&gt;=200,2,1)))),""))</x:f>
      </x:c>
      <x:c r="S2469" s="1" t="str">
        <x:f>IF(COUNT(O2469:R2469)=4,SUM(O2469:R2469),"")</x:f>
      </x:c>
      <x:c r="T2469" s="1" t="str">
        <x:f>IF(OR(COUNT(O2469:R2469)&lt;&gt;4,COUNT('Top 15'!$B$35:$E$35)&lt;&gt;4,MIN('Top 15'!$B$35:$E$35)&lt;0,SUM('Top 15'!$B$35:$E$35)&lt;=0),"",ROUND(85*(O2469/30*'Top 15'!$B$35+P2469/25*'Top 15'!$C$35+Q2469/25*'Top 15'!$D$35+R2469/5*'Top 15'!$E$35)/SUM('Top 15'!$B$35:$E$35),6))</x:f>
      </x:c>
      <x:c r="U2469" s="1" t="str">
        <x:f>IF(A2469="","",IF(AND(M2469="Verified",N2469="Verified"),"Verified",IF(AND(M2469="Listed",N2469="Listed"),"Listed","Mixed")))</x:f>
      </x:c>
      <x:c r="V2469" s="1" t="str">
        <x:f>IF(A2469="","",IF(AK2469&lt;&gt;1,"Duplicate source ID",IF(COUNTIFS('Staff Review'!$A$8:$A$507,A2469)&gt;1,"Duplicate review ID",IF(H2469&lt;&gt;"Yes","Outside scope",IF(J2469="Yes","Already served",IF(NOT(ISNUMBER(T2469)),"Missing data","Candidate"))))))</x:f>
      </x:c>
      <x:c r="W2469" s="1" t="str">
        <x:f>IF(AL2469=0,"",1+COUNTIFS($AL$2051:$AL$2550,1,$T$2051:$T$2550,"&gt;"&amp;T2469)+COUNTIFS($AL$2051:$AL$2550,1,$T$2051:$T$2550,T2469,$G$2051:$G$2550,"&gt;"&amp;G2469)+COUNTIFS($AL$2051:$AL$2550,1,$T$2051:$T$2550,T2469,$G$2051:$G$2550,G2469,$F$2051:$F$2550,"&gt;"&amp;F2469)+COUNTIFS($AL$2051:$AL$2550,1,$T$2051:$T$2550,T2469,$G$2051:$G$2550,G2469,$F$2051:$F$2550,F2469,$AM$2051:$AM$2550,"&lt;"&amp;AM2469))</x:f>
      </x:c>
      <x:c r="X2469" s="1" t="str">
        <x:f>IF(AL2469=0,"",1+COUNTIFS($AL$2051:$AL$2550,1,$T$2051:$T$2550,"&gt;"&amp;T2469))</x:f>
      </x:c>
      <x:c r="Y2469" s="1" t="n">
        <x:f>IF(AND(H2469="Yes",OR(LEN('School Search'!$B$5)=0,ISNUMBER(SEARCH('School Search'!$B$5,B2469&amp;" "&amp;E2469&amp;" "&amp;A2469))),OR('School Search'!$D$5="All",C2469='School Search'!$D$5),OR('School Search'!$G$5="All eligible",AND('School Search'!$G$5="Not marked served",J2469&lt;&gt;"Yes"),AND('School Search'!$G$5="Missing data",V2469="Missing data"),AND('School Search'!$G$5="Marked served",J2469="Yes"))),1,0)</x:f>
        <x:v>0</x:v>
      </x:c>
      <x:c r="Z2469" s="1" t="str">
        <x:f>IF(Y2469=0,"",COUNTIFS($Y$2051:$Y$2550,1,$AO$2051:$AO$2550,"&lt;"&amp;AO2469)+COUNTIFS($Y$2051:Y2469,1,$AO$2051:AO2469,AO2469))</x:f>
      </x:c>
      <x:c r="AA2469" s="1" t="str">
        <x:f>IF(NOT(ISNUMBER(S2469)),"Missing demographic or access input",TEXT(G2469,"0%")&amp;" economic need; "&amp;TEXT(K2469,"0.00")&amp;" mi fresh access; "&amp;L2469&amp;" nearby resources")</x:f>
        <x:v>Missing demographic or access input</x:v>
      </x:c>
      <x:c r="AB2469" s="1" t="n">
        <x:f>IF(OR(A2469="",COUNTIFS($A$1531:$A$2030,A2469)&lt;&gt;1),0,MATCH(A2469,$A$1531:$A$2030,0))</x:f>
        <x:v>0</x:v>
      </x:c>
      <x:c r="AC2469" s="1" t="str">
        <x:f>IF(AB2469=0,"",INDEX($E$1531:$E$2030,AB2469))</x:f>
      </x:c>
      <x:c r="AD2469" s="1" t="str">
        <x:f>IF(AB2469=0,"",INDEX($F$1531:$F$2030,AB2469))</x:f>
      </x:c>
      <x:c r="AE2469" s="1" t="str">
        <x:f>IF(A2469="","",F420)</x:f>
      </x:c>
      <x:c r="AF2469" s="1" t="str">
        <x:f>IF(ISNUMBER(I420),I420,"")</x:f>
      </x:c>
      <x:c r="AG2469" s="1" t="str">
        <x:f>IF(ISNUMBER(J420),J420,"")</x:f>
      </x:c>
      <x:c r="AH2469" s="1" t="str">
        <x:f>IF(I2469=0,"Not contacted",IF(INDEX('Staff Review'!$J$8:$J$507,I2469)="","Not contacted",INDEX('Staff Review'!$J$8:$J$507,I2469)))</x:f>
        <x:v>Not contacted</x:v>
      </x:c>
      <x:c r="AI2469" s="1" t="str">
        <x:f>IF(I2469=0,"No",IF(AND(COUNT(INDEX('Staff Review'!$D$8:$D$507,I2469))=1,INDEX('Staff Review'!$D$8:$D$507,I2469)&gt;=0,COUNT(INDEX('Staff Review'!$E$8:$E$507,I2469))=1,INDEX('Staff Review'!$E$8:$E$507,I2469)&gt;0,INDEX('Staff Review'!$E$8:$E$507,I2469)&lt;='Top 15'!$E$5,'Top 15'!$E$5-INDEX('Staff Review'!$E$8:$E$507,I2469)&lt;='Top 15'!$H$5,LEN(INDEX('Staff Review'!$H$8:$H$507,I2469))&gt;0),"Yes","No"))</x:f>
        <x:v>No</x:v>
      </x:c>
      <x:c r="AJ2469" s="1" t="str">
        <x:f>IF(I2469=0,"No",IF(COUNT(INDEX('Staff Review'!$F$8:$F$507,I2469))&lt;&gt;1,"No",IF(AND(INDEX('Staff Review'!$F$8:$F$507,I2469)&gt;=0,MOD(INDEX('Staff Review'!$F$8:$F$507,I2469),1)=0,COUNT(INDEX('Staff Review'!$G$8:$G$507,I2469))=1,INDEX('Staff Review'!$G$8:$G$507,I2469)&gt;0,INDEX('Staff Review'!$G$8:$G$507,I2469)&lt;='Top 15'!$E$5,'Top 15'!$E$5-INDEX('Staff Review'!$G$8:$G$507,I2469)&lt;='Top 15'!$H$5,LEN(INDEX('Staff Review'!$H$8:$H$507,I2469))&gt;0),"Yes","No")))</x:f>
        <x:v>No</x:v>
      </x:c>
      <x:c r="AK2469" s="1" t="n">
        <x:f>IF(A2469="",0,COUNTIFS($A$2:$A$501,A2469))</x:f>
        <x:v>0</x:v>
      </x:c>
      <x:c r="AL2469" s="1" t="n">
        <x:f>IF(V2469="Candidate",1,0)</x:f>
        <x:v>0</x:v>
      </x:c>
      <x:c r="AM2469" s="1" t="n">
        <x:f>IF(A2469="",0,VALUE(A2469))</x:f>
        <x:v>0</x:v>
      </x:c>
      <x:c r="AN2469" s="1" t="n">
        <x:f>IF(OR(A2469="",COUNTIFS($T$41:$T$540,A2469)&lt;&gt;1),0,MATCH(A2469,$T$41:$T$540,0))</x:f>
        <x:v>0</x:v>
      </x:c>
      <x:c r="AO2469" t="n">
        <x:f>IF(ISNUMBER(W2469),W2469,10000+AM2469)</x:f>
        <x:v>10000</x:v>
      </x:c>
    </x:row>
    <x:row r="2470" ht="22" customHeight="1">
      <x:c r="A2470" s="1" t="str">
        <x:f>IF(A421="","",A421)</x:f>
      </x:c>
      <x:c r="B2470" s="1" t="str">
        <x:f>IF(A2470="","",B421)</x:f>
      </x:c>
      <x:c r="C2470" s="1" t="str">
        <x:f>IF(A2470="","",C421)</x:f>
      </x:c>
      <x:c r="D2470" s="1" t="str">
        <x:f>IF(A2470="","",E421)</x:f>
      </x:c>
      <x:c r="E2470" s="1" t="str">
        <x:f>IF(A2470="","",H421)</x:f>
      </x:c>
      <x:c r="F2470" s="1" t="str">
        <x:f>IF(ISNUMBER(K421),K421,"")</x:f>
      </x:c>
      <x:c r="G2470" s="1" t="str">
        <x:f>IF(ISNUMBER(L421),L421,"")</x:f>
      </x:c>
      <x:c r="H2470" s="1" t="str">
        <x:f>IF(A2470="","",IF(AND(UPPER(G421)="PHILADELPHIA",OR(C2470="District",AND(C2470="Charter",D421="Yes"))),"Yes","No"))</x:f>
      </x:c>
      <x:c r="I2470" s="1" t="n">
        <x:f>IF(OR(A2470="",COUNTIFS('Staff Review'!$A$8:$A$507,A2470)&lt;&gt;1),0,MATCH(A2470,'Staff Review'!$A$8:$A$507,0))</x:f>
        <x:v>0</x:v>
      </x:c>
      <x:c r="J2470" s="1" t="str">
        <x:f>IF(I2470=0,"No",IF(INDEX('Staff Review'!$C$8:$C$507,I2470)="Yes","Yes","No"))</x:f>
        <x:v>No</x:v>
      </x:c>
      <x:c r="K2470" s="1" t="str">
        <x:f>IF(AI2470="Yes",INDEX('Staff Review'!$D$8:$D$507,I2470),IF(AB2470=0,"",IF(COUNT(INDEX($C$1531:$C$2030,AB2470))=1,INDEX($C$1531:$C$2030,AB2470),"")))</x:f>
      </x:c>
      <x:c r="L2470" s="1" t="str">
        <x:f>IF(AJ2470="Yes",INDEX('Staff Review'!$F$8:$F$507,I2470),IF(AB2470=0,"",IF(COUNT(INDEX($G$1531:$G$2030,AB2470))=1,INDEX($G$1531:$G$2030,AB2470),"")))</x:f>
      </x:c>
      <x:c r="M2470" s="1" t="str">
        <x:f>IF(A2470="","",IF(AI2470="Yes","Verified","Listed"))</x:f>
      </x:c>
      <x:c r="N2470" s="1" t="str">
        <x:f>IF(A2470="","",IF(AJ2470="Yes","Verified","Listed"))</x:f>
      </x:c>
      <x:c r="O2470" s="1" t="str">
        <x:f>IF(AND(ISNUMBER(G2470),G2470&gt;=0,G2470&lt;=1),IF(G2470&gt;=0.9,30,IF(G2470&gt;=0.8,25,IF(G2470&gt;=0.7,20,IF(G2470&gt;=0.6,15,IF(G2470&gt;=0.5,10,IF(G2470&gt;=0.4,5,0)))))),"")</x:f>
      </x:c>
      <x:c r="P2470" s="1" t="str">
        <x:f>IF(ISNUMBER(K2470),IF(K2470&lt;0,"",IF(K2470&gt;1,25,IF(K2470&gt;=0.75,20,IF(K2470&gt;=0.5,15,IF(K2470&gt;=0.25,10,5))))),"")</x:f>
      </x:c>
      <x:c r="Q2470" s="1" t="str">
        <x:f>IF(NOT(ISNUMBER(L2470)),"",IF(AND(L2470&gt;=0,MOD(L2470,1)=0),MAX(0,25-5*L2470),""))</x:f>
      </x:c>
      <x:c r="R2470" s="1" t="str">
        <x:f>IF(NOT(ISNUMBER(F2470)),"",IF(AND(F2470&gt;0,MOD(F2470,1)=0),IF(F2470&gt;=700,5,IF(F2470&gt;=500,4,IF(F2470&gt;=350,3,IF(F2470&gt;=200,2,1)))),""))</x:f>
      </x:c>
      <x:c r="S2470" s="1" t="str">
        <x:f>IF(COUNT(O2470:R2470)=4,SUM(O2470:R2470),"")</x:f>
      </x:c>
      <x:c r="T2470" s="1" t="str">
        <x:f>IF(OR(COUNT(O2470:R2470)&lt;&gt;4,COUNT('Top 15'!$B$35:$E$35)&lt;&gt;4,MIN('Top 15'!$B$35:$E$35)&lt;0,SUM('Top 15'!$B$35:$E$35)&lt;=0),"",ROUND(85*(O2470/30*'Top 15'!$B$35+P2470/25*'Top 15'!$C$35+Q2470/25*'Top 15'!$D$35+R2470/5*'Top 15'!$E$35)/SUM('Top 15'!$B$35:$E$35),6))</x:f>
      </x:c>
      <x:c r="U2470" s="1" t="str">
        <x:f>IF(A2470="","",IF(AND(M2470="Verified",N2470="Verified"),"Verified",IF(AND(M2470="Listed",N2470="Listed"),"Listed","Mixed")))</x:f>
      </x:c>
      <x:c r="V2470" s="1" t="str">
        <x:f>IF(A2470="","",IF(AK2470&lt;&gt;1,"Duplicate source ID",IF(COUNTIFS('Staff Review'!$A$8:$A$507,A2470)&gt;1,"Duplicate review ID",IF(H2470&lt;&gt;"Yes","Outside scope",IF(J2470="Yes","Already served",IF(NOT(ISNUMBER(T2470)),"Missing data","Candidate"))))))</x:f>
      </x:c>
      <x:c r="W2470" s="1" t="str">
        <x:f>IF(AL2470=0,"",1+COUNTIFS($AL$2051:$AL$2550,1,$T$2051:$T$2550,"&gt;"&amp;T2470)+COUNTIFS($AL$2051:$AL$2550,1,$T$2051:$T$2550,T2470,$G$2051:$G$2550,"&gt;"&amp;G2470)+COUNTIFS($AL$2051:$AL$2550,1,$T$2051:$T$2550,T2470,$G$2051:$G$2550,G2470,$F$2051:$F$2550,"&gt;"&amp;F2470)+COUNTIFS($AL$2051:$AL$2550,1,$T$2051:$T$2550,T2470,$G$2051:$G$2550,G2470,$F$2051:$F$2550,F2470,$AM$2051:$AM$2550,"&lt;"&amp;AM2470))</x:f>
      </x:c>
      <x:c r="X2470" s="1" t="str">
        <x:f>IF(AL2470=0,"",1+COUNTIFS($AL$2051:$AL$2550,1,$T$2051:$T$2550,"&gt;"&amp;T2470))</x:f>
      </x:c>
      <x:c r="Y2470" s="1" t="n">
        <x:f>IF(AND(H2470="Yes",OR(LEN('School Search'!$B$5)=0,ISNUMBER(SEARCH('School Search'!$B$5,B2470&amp;" "&amp;E2470&amp;" "&amp;A2470))),OR('School Search'!$D$5="All",C2470='School Search'!$D$5),OR('School Search'!$G$5="All eligible",AND('School Search'!$G$5="Not marked served",J2470&lt;&gt;"Yes"),AND('School Search'!$G$5="Missing data",V2470="Missing data"),AND('School Search'!$G$5="Marked served",J2470="Yes"))),1,0)</x:f>
        <x:v>0</x:v>
      </x:c>
      <x:c r="Z2470" s="1" t="str">
        <x:f>IF(Y2470=0,"",COUNTIFS($Y$2051:$Y$2550,1,$AO$2051:$AO$2550,"&lt;"&amp;AO2470)+COUNTIFS($Y$2051:Y2470,1,$AO$2051:AO2470,AO2470))</x:f>
      </x:c>
      <x:c r="AA2470" s="1" t="str">
        <x:f>IF(NOT(ISNUMBER(S2470)),"Missing demographic or access input",TEXT(G2470,"0%")&amp;" economic need; "&amp;TEXT(K2470,"0.00")&amp;" mi fresh access; "&amp;L2470&amp;" nearby resources")</x:f>
        <x:v>Missing demographic or access input</x:v>
      </x:c>
      <x:c r="AB2470" s="1" t="n">
        <x:f>IF(OR(A2470="",COUNTIFS($A$1531:$A$2030,A2470)&lt;&gt;1),0,MATCH(A2470,$A$1531:$A$2030,0))</x:f>
        <x:v>0</x:v>
      </x:c>
      <x:c r="AC2470" s="1" t="str">
        <x:f>IF(AB2470=0,"",INDEX($E$1531:$E$2030,AB2470))</x:f>
      </x:c>
      <x:c r="AD2470" s="1" t="str">
        <x:f>IF(AB2470=0,"",INDEX($F$1531:$F$2030,AB2470))</x:f>
      </x:c>
      <x:c r="AE2470" s="1" t="str">
        <x:f>IF(A2470="","",F421)</x:f>
      </x:c>
      <x:c r="AF2470" s="1" t="str">
        <x:f>IF(ISNUMBER(I421),I421,"")</x:f>
      </x:c>
      <x:c r="AG2470" s="1" t="str">
        <x:f>IF(ISNUMBER(J421),J421,"")</x:f>
      </x:c>
      <x:c r="AH2470" s="1" t="str">
        <x:f>IF(I2470=0,"Not contacted",IF(INDEX('Staff Review'!$J$8:$J$507,I2470)="","Not contacted",INDEX('Staff Review'!$J$8:$J$507,I2470)))</x:f>
        <x:v>Not contacted</x:v>
      </x:c>
      <x:c r="AI2470" s="1" t="str">
        <x:f>IF(I2470=0,"No",IF(AND(COUNT(INDEX('Staff Review'!$D$8:$D$507,I2470))=1,INDEX('Staff Review'!$D$8:$D$507,I2470)&gt;=0,COUNT(INDEX('Staff Review'!$E$8:$E$507,I2470))=1,INDEX('Staff Review'!$E$8:$E$507,I2470)&gt;0,INDEX('Staff Review'!$E$8:$E$507,I2470)&lt;='Top 15'!$E$5,'Top 15'!$E$5-INDEX('Staff Review'!$E$8:$E$507,I2470)&lt;='Top 15'!$H$5,LEN(INDEX('Staff Review'!$H$8:$H$507,I2470))&gt;0),"Yes","No"))</x:f>
        <x:v>No</x:v>
      </x:c>
      <x:c r="AJ2470" s="1" t="str">
        <x:f>IF(I2470=0,"No",IF(COUNT(INDEX('Staff Review'!$F$8:$F$507,I2470))&lt;&gt;1,"No",IF(AND(INDEX('Staff Review'!$F$8:$F$507,I2470)&gt;=0,MOD(INDEX('Staff Review'!$F$8:$F$507,I2470),1)=0,COUNT(INDEX('Staff Review'!$G$8:$G$507,I2470))=1,INDEX('Staff Review'!$G$8:$G$507,I2470)&gt;0,INDEX('Staff Review'!$G$8:$G$507,I2470)&lt;='Top 15'!$E$5,'Top 15'!$E$5-INDEX('Staff Review'!$G$8:$G$507,I2470)&lt;='Top 15'!$H$5,LEN(INDEX('Staff Review'!$H$8:$H$507,I2470))&gt;0),"Yes","No")))</x:f>
        <x:v>No</x:v>
      </x:c>
      <x:c r="AK2470" s="1" t="n">
        <x:f>IF(A2470="",0,COUNTIFS($A$2:$A$501,A2470))</x:f>
        <x:v>0</x:v>
      </x:c>
      <x:c r="AL2470" s="1" t="n">
        <x:f>IF(V2470="Candidate",1,0)</x:f>
        <x:v>0</x:v>
      </x:c>
      <x:c r="AM2470" s="1" t="n">
        <x:f>IF(A2470="",0,VALUE(A2470))</x:f>
        <x:v>0</x:v>
      </x:c>
      <x:c r="AN2470" s="1" t="n">
        <x:f>IF(OR(A2470="",COUNTIFS($T$41:$T$540,A2470)&lt;&gt;1),0,MATCH(A2470,$T$41:$T$540,0))</x:f>
        <x:v>0</x:v>
      </x:c>
      <x:c r="AO2470" t="n">
        <x:f>IF(ISNUMBER(W2470),W2470,10000+AM2470)</x:f>
        <x:v>10000</x:v>
      </x:c>
    </x:row>
    <x:row r="2471" ht="22" customHeight="1">
      <x:c r="A2471" s="1" t="str">
        <x:f>IF(A422="","",A422)</x:f>
      </x:c>
      <x:c r="B2471" s="1" t="str">
        <x:f>IF(A2471="","",B422)</x:f>
      </x:c>
      <x:c r="C2471" s="1" t="str">
        <x:f>IF(A2471="","",C422)</x:f>
      </x:c>
      <x:c r="D2471" s="1" t="str">
        <x:f>IF(A2471="","",E422)</x:f>
      </x:c>
      <x:c r="E2471" s="1" t="str">
        <x:f>IF(A2471="","",H422)</x:f>
      </x:c>
      <x:c r="F2471" s="1" t="str">
        <x:f>IF(ISNUMBER(K422),K422,"")</x:f>
      </x:c>
      <x:c r="G2471" s="1" t="str">
        <x:f>IF(ISNUMBER(L422),L422,"")</x:f>
      </x:c>
      <x:c r="H2471" s="1" t="str">
        <x:f>IF(A2471="","",IF(AND(UPPER(G422)="PHILADELPHIA",OR(C2471="District",AND(C2471="Charter",D422="Yes"))),"Yes","No"))</x:f>
      </x:c>
      <x:c r="I2471" s="1" t="n">
        <x:f>IF(OR(A2471="",COUNTIFS('Staff Review'!$A$8:$A$507,A2471)&lt;&gt;1),0,MATCH(A2471,'Staff Review'!$A$8:$A$507,0))</x:f>
        <x:v>0</x:v>
      </x:c>
      <x:c r="J2471" s="1" t="str">
        <x:f>IF(I2471=0,"No",IF(INDEX('Staff Review'!$C$8:$C$507,I2471)="Yes","Yes","No"))</x:f>
        <x:v>No</x:v>
      </x:c>
      <x:c r="K2471" s="1" t="str">
        <x:f>IF(AI2471="Yes",INDEX('Staff Review'!$D$8:$D$507,I2471),IF(AB2471=0,"",IF(COUNT(INDEX($C$1531:$C$2030,AB2471))=1,INDEX($C$1531:$C$2030,AB2471),"")))</x:f>
      </x:c>
      <x:c r="L2471" s="1" t="str">
        <x:f>IF(AJ2471="Yes",INDEX('Staff Review'!$F$8:$F$507,I2471),IF(AB2471=0,"",IF(COUNT(INDEX($G$1531:$G$2030,AB2471))=1,INDEX($G$1531:$G$2030,AB2471),"")))</x:f>
      </x:c>
      <x:c r="M2471" s="1" t="str">
        <x:f>IF(A2471="","",IF(AI2471="Yes","Verified","Listed"))</x:f>
      </x:c>
      <x:c r="N2471" s="1" t="str">
        <x:f>IF(A2471="","",IF(AJ2471="Yes","Verified","Listed"))</x:f>
      </x:c>
      <x:c r="O2471" s="1" t="str">
        <x:f>IF(AND(ISNUMBER(G2471),G2471&gt;=0,G2471&lt;=1),IF(G2471&gt;=0.9,30,IF(G2471&gt;=0.8,25,IF(G2471&gt;=0.7,20,IF(G2471&gt;=0.6,15,IF(G2471&gt;=0.5,10,IF(G2471&gt;=0.4,5,0)))))),"")</x:f>
      </x:c>
      <x:c r="P2471" s="1" t="str">
        <x:f>IF(ISNUMBER(K2471),IF(K2471&lt;0,"",IF(K2471&gt;1,25,IF(K2471&gt;=0.75,20,IF(K2471&gt;=0.5,15,IF(K2471&gt;=0.25,10,5))))),"")</x:f>
      </x:c>
      <x:c r="Q2471" s="1" t="str">
        <x:f>IF(NOT(ISNUMBER(L2471)),"",IF(AND(L2471&gt;=0,MOD(L2471,1)=0),MAX(0,25-5*L2471),""))</x:f>
      </x:c>
      <x:c r="R2471" s="1" t="str">
        <x:f>IF(NOT(ISNUMBER(F2471)),"",IF(AND(F2471&gt;0,MOD(F2471,1)=0),IF(F2471&gt;=700,5,IF(F2471&gt;=500,4,IF(F2471&gt;=350,3,IF(F2471&gt;=200,2,1)))),""))</x:f>
      </x:c>
      <x:c r="S2471" s="1" t="str">
        <x:f>IF(COUNT(O2471:R2471)=4,SUM(O2471:R2471),"")</x:f>
      </x:c>
      <x:c r="T2471" s="1" t="str">
        <x:f>IF(OR(COUNT(O2471:R2471)&lt;&gt;4,COUNT('Top 15'!$B$35:$E$35)&lt;&gt;4,MIN('Top 15'!$B$35:$E$35)&lt;0,SUM('Top 15'!$B$35:$E$35)&lt;=0),"",ROUND(85*(O2471/30*'Top 15'!$B$35+P2471/25*'Top 15'!$C$35+Q2471/25*'Top 15'!$D$35+R2471/5*'Top 15'!$E$35)/SUM('Top 15'!$B$35:$E$35),6))</x:f>
      </x:c>
      <x:c r="U2471" s="1" t="str">
        <x:f>IF(A2471="","",IF(AND(M2471="Verified",N2471="Verified"),"Verified",IF(AND(M2471="Listed",N2471="Listed"),"Listed","Mixed")))</x:f>
      </x:c>
      <x:c r="V2471" s="1" t="str">
        <x:f>IF(A2471="","",IF(AK2471&lt;&gt;1,"Duplicate source ID",IF(COUNTIFS('Staff Review'!$A$8:$A$507,A2471)&gt;1,"Duplicate review ID",IF(H2471&lt;&gt;"Yes","Outside scope",IF(J2471="Yes","Already served",IF(NOT(ISNUMBER(T2471)),"Missing data","Candidate"))))))</x:f>
      </x:c>
      <x:c r="W2471" s="1" t="str">
        <x:f>IF(AL2471=0,"",1+COUNTIFS($AL$2051:$AL$2550,1,$T$2051:$T$2550,"&gt;"&amp;T2471)+COUNTIFS($AL$2051:$AL$2550,1,$T$2051:$T$2550,T2471,$G$2051:$G$2550,"&gt;"&amp;G2471)+COUNTIFS($AL$2051:$AL$2550,1,$T$2051:$T$2550,T2471,$G$2051:$G$2550,G2471,$F$2051:$F$2550,"&gt;"&amp;F2471)+COUNTIFS($AL$2051:$AL$2550,1,$T$2051:$T$2550,T2471,$G$2051:$G$2550,G2471,$F$2051:$F$2550,F2471,$AM$2051:$AM$2550,"&lt;"&amp;AM2471))</x:f>
      </x:c>
      <x:c r="X2471" s="1" t="str">
        <x:f>IF(AL2471=0,"",1+COUNTIFS($AL$2051:$AL$2550,1,$T$2051:$T$2550,"&gt;"&amp;T2471))</x:f>
      </x:c>
      <x:c r="Y2471" s="1" t="n">
        <x:f>IF(AND(H2471="Yes",OR(LEN('School Search'!$B$5)=0,ISNUMBER(SEARCH('School Search'!$B$5,B2471&amp;" "&amp;E2471&amp;" "&amp;A2471))),OR('School Search'!$D$5="All",C2471='School Search'!$D$5),OR('School Search'!$G$5="All eligible",AND('School Search'!$G$5="Not marked served",J2471&lt;&gt;"Yes"),AND('School Search'!$G$5="Missing data",V2471="Missing data"),AND('School Search'!$G$5="Marked served",J2471="Yes"))),1,0)</x:f>
        <x:v>0</x:v>
      </x:c>
      <x:c r="Z2471" s="1" t="str">
        <x:f>IF(Y2471=0,"",COUNTIFS($Y$2051:$Y$2550,1,$AO$2051:$AO$2550,"&lt;"&amp;AO2471)+COUNTIFS($Y$2051:Y2471,1,$AO$2051:AO2471,AO2471))</x:f>
      </x:c>
      <x:c r="AA2471" s="1" t="str">
        <x:f>IF(NOT(ISNUMBER(S2471)),"Missing demographic or access input",TEXT(G2471,"0%")&amp;" economic need; "&amp;TEXT(K2471,"0.00")&amp;" mi fresh access; "&amp;L2471&amp;" nearby resources")</x:f>
        <x:v>Missing demographic or access input</x:v>
      </x:c>
      <x:c r="AB2471" s="1" t="n">
        <x:f>IF(OR(A2471="",COUNTIFS($A$1531:$A$2030,A2471)&lt;&gt;1),0,MATCH(A2471,$A$1531:$A$2030,0))</x:f>
        <x:v>0</x:v>
      </x:c>
      <x:c r="AC2471" s="1" t="str">
        <x:f>IF(AB2471=0,"",INDEX($E$1531:$E$2030,AB2471))</x:f>
      </x:c>
      <x:c r="AD2471" s="1" t="str">
        <x:f>IF(AB2471=0,"",INDEX($F$1531:$F$2030,AB2471))</x:f>
      </x:c>
      <x:c r="AE2471" s="1" t="str">
        <x:f>IF(A2471="","",F422)</x:f>
      </x:c>
      <x:c r="AF2471" s="1" t="str">
        <x:f>IF(ISNUMBER(I422),I422,"")</x:f>
      </x:c>
      <x:c r="AG2471" s="1" t="str">
        <x:f>IF(ISNUMBER(J422),J422,"")</x:f>
      </x:c>
      <x:c r="AH2471" s="1" t="str">
        <x:f>IF(I2471=0,"Not contacted",IF(INDEX('Staff Review'!$J$8:$J$507,I2471)="","Not contacted",INDEX('Staff Review'!$J$8:$J$507,I2471)))</x:f>
        <x:v>Not contacted</x:v>
      </x:c>
      <x:c r="AI2471" s="1" t="str">
        <x:f>IF(I2471=0,"No",IF(AND(COUNT(INDEX('Staff Review'!$D$8:$D$507,I2471))=1,INDEX('Staff Review'!$D$8:$D$507,I2471)&gt;=0,COUNT(INDEX('Staff Review'!$E$8:$E$507,I2471))=1,INDEX('Staff Review'!$E$8:$E$507,I2471)&gt;0,INDEX('Staff Review'!$E$8:$E$507,I2471)&lt;='Top 15'!$E$5,'Top 15'!$E$5-INDEX('Staff Review'!$E$8:$E$507,I2471)&lt;='Top 15'!$H$5,LEN(INDEX('Staff Review'!$H$8:$H$507,I2471))&gt;0),"Yes","No"))</x:f>
        <x:v>No</x:v>
      </x:c>
      <x:c r="AJ2471" s="1" t="str">
        <x:f>IF(I2471=0,"No",IF(COUNT(INDEX('Staff Review'!$F$8:$F$507,I2471))&lt;&gt;1,"No",IF(AND(INDEX('Staff Review'!$F$8:$F$507,I2471)&gt;=0,MOD(INDEX('Staff Review'!$F$8:$F$507,I2471),1)=0,COUNT(INDEX('Staff Review'!$G$8:$G$507,I2471))=1,INDEX('Staff Review'!$G$8:$G$507,I2471)&gt;0,INDEX('Staff Review'!$G$8:$G$507,I2471)&lt;='Top 15'!$E$5,'Top 15'!$E$5-INDEX('Staff Review'!$G$8:$G$507,I2471)&lt;='Top 15'!$H$5,LEN(INDEX('Staff Review'!$H$8:$H$507,I2471))&gt;0),"Yes","No")))</x:f>
        <x:v>No</x:v>
      </x:c>
      <x:c r="AK2471" s="1" t="n">
        <x:f>IF(A2471="",0,COUNTIFS($A$2:$A$501,A2471))</x:f>
        <x:v>0</x:v>
      </x:c>
      <x:c r="AL2471" s="1" t="n">
        <x:f>IF(V2471="Candidate",1,0)</x:f>
        <x:v>0</x:v>
      </x:c>
      <x:c r="AM2471" s="1" t="n">
        <x:f>IF(A2471="",0,VALUE(A2471))</x:f>
        <x:v>0</x:v>
      </x:c>
      <x:c r="AN2471" s="1" t="n">
        <x:f>IF(OR(A2471="",COUNTIFS($T$41:$T$540,A2471)&lt;&gt;1),0,MATCH(A2471,$T$41:$T$540,0))</x:f>
        <x:v>0</x:v>
      </x:c>
      <x:c r="AO2471" t="n">
        <x:f>IF(ISNUMBER(W2471),W2471,10000+AM2471)</x:f>
        <x:v>10000</x:v>
      </x:c>
    </x:row>
    <x:row r="2472" ht="22" customHeight="1">
      <x:c r="A2472" s="1" t="str">
        <x:f>IF(A423="","",A423)</x:f>
      </x:c>
      <x:c r="B2472" s="1" t="str">
        <x:f>IF(A2472="","",B423)</x:f>
      </x:c>
      <x:c r="C2472" s="1" t="str">
        <x:f>IF(A2472="","",C423)</x:f>
      </x:c>
      <x:c r="D2472" s="1" t="str">
        <x:f>IF(A2472="","",E423)</x:f>
      </x:c>
      <x:c r="E2472" s="1" t="str">
        <x:f>IF(A2472="","",H423)</x:f>
      </x:c>
      <x:c r="F2472" s="1" t="str">
        <x:f>IF(ISNUMBER(K423),K423,"")</x:f>
      </x:c>
      <x:c r="G2472" s="1" t="str">
        <x:f>IF(ISNUMBER(L423),L423,"")</x:f>
      </x:c>
      <x:c r="H2472" s="1" t="str">
        <x:f>IF(A2472="","",IF(AND(UPPER(G423)="PHILADELPHIA",OR(C2472="District",AND(C2472="Charter",D423="Yes"))),"Yes","No"))</x:f>
      </x:c>
      <x:c r="I2472" s="1" t="n">
        <x:f>IF(OR(A2472="",COUNTIFS('Staff Review'!$A$8:$A$507,A2472)&lt;&gt;1),0,MATCH(A2472,'Staff Review'!$A$8:$A$507,0))</x:f>
        <x:v>0</x:v>
      </x:c>
      <x:c r="J2472" s="1" t="str">
        <x:f>IF(I2472=0,"No",IF(INDEX('Staff Review'!$C$8:$C$507,I2472)="Yes","Yes","No"))</x:f>
        <x:v>No</x:v>
      </x:c>
      <x:c r="K2472" s="1" t="str">
        <x:f>IF(AI2472="Yes",INDEX('Staff Review'!$D$8:$D$507,I2472),IF(AB2472=0,"",IF(COUNT(INDEX($C$1531:$C$2030,AB2472))=1,INDEX($C$1531:$C$2030,AB2472),"")))</x:f>
      </x:c>
      <x:c r="L2472" s="1" t="str">
        <x:f>IF(AJ2472="Yes",INDEX('Staff Review'!$F$8:$F$507,I2472),IF(AB2472=0,"",IF(COUNT(INDEX($G$1531:$G$2030,AB2472))=1,INDEX($G$1531:$G$2030,AB2472),"")))</x:f>
      </x:c>
      <x:c r="M2472" s="1" t="str">
        <x:f>IF(A2472="","",IF(AI2472="Yes","Verified","Listed"))</x:f>
      </x:c>
      <x:c r="N2472" s="1" t="str">
        <x:f>IF(A2472="","",IF(AJ2472="Yes","Verified","Listed"))</x:f>
      </x:c>
      <x:c r="O2472" s="1" t="str">
        <x:f>IF(AND(ISNUMBER(G2472),G2472&gt;=0,G2472&lt;=1),IF(G2472&gt;=0.9,30,IF(G2472&gt;=0.8,25,IF(G2472&gt;=0.7,20,IF(G2472&gt;=0.6,15,IF(G2472&gt;=0.5,10,IF(G2472&gt;=0.4,5,0)))))),"")</x:f>
      </x:c>
      <x:c r="P2472" s="1" t="str">
        <x:f>IF(ISNUMBER(K2472),IF(K2472&lt;0,"",IF(K2472&gt;1,25,IF(K2472&gt;=0.75,20,IF(K2472&gt;=0.5,15,IF(K2472&gt;=0.25,10,5))))),"")</x:f>
      </x:c>
      <x:c r="Q2472" s="1" t="str">
        <x:f>IF(NOT(ISNUMBER(L2472)),"",IF(AND(L2472&gt;=0,MOD(L2472,1)=0),MAX(0,25-5*L2472),""))</x:f>
      </x:c>
      <x:c r="R2472" s="1" t="str">
        <x:f>IF(NOT(ISNUMBER(F2472)),"",IF(AND(F2472&gt;0,MOD(F2472,1)=0),IF(F2472&gt;=700,5,IF(F2472&gt;=500,4,IF(F2472&gt;=350,3,IF(F2472&gt;=200,2,1)))),""))</x:f>
      </x:c>
      <x:c r="S2472" s="1" t="str">
        <x:f>IF(COUNT(O2472:R2472)=4,SUM(O2472:R2472),"")</x:f>
      </x:c>
      <x:c r="T2472" s="1" t="str">
        <x:f>IF(OR(COUNT(O2472:R2472)&lt;&gt;4,COUNT('Top 15'!$B$35:$E$35)&lt;&gt;4,MIN('Top 15'!$B$35:$E$35)&lt;0,SUM('Top 15'!$B$35:$E$35)&lt;=0),"",ROUND(85*(O2472/30*'Top 15'!$B$35+P2472/25*'Top 15'!$C$35+Q2472/25*'Top 15'!$D$35+R2472/5*'Top 15'!$E$35)/SUM('Top 15'!$B$35:$E$35),6))</x:f>
      </x:c>
      <x:c r="U2472" s="1" t="str">
        <x:f>IF(A2472="","",IF(AND(M2472="Verified",N2472="Verified"),"Verified",IF(AND(M2472="Listed",N2472="Listed"),"Listed","Mixed")))</x:f>
      </x:c>
      <x:c r="V2472" s="1" t="str">
        <x:f>IF(A2472="","",IF(AK2472&lt;&gt;1,"Duplicate source ID",IF(COUNTIFS('Staff Review'!$A$8:$A$507,A2472)&gt;1,"Duplicate review ID",IF(H2472&lt;&gt;"Yes","Outside scope",IF(J2472="Yes","Already served",IF(NOT(ISNUMBER(T2472)),"Missing data","Candidate"))))))</x:f>
      </x:c>
      <x:c r="W2472" s="1" t="str">
        <x:f>IF(AL2472=0,"",1+COUNTIFS($AL$2051:$AL$2550,1,$T$2051:$T$2550,"&gt;"&amp;T2472)+COUNTIFS($AL$2051:$AL$2550,1,$T$2051:$T$2550,T2472,$G$2051:$G$2550,"&gt;"&amp;G2472)+COUNTIFS($AL$2051:$AL$2550,1,$T$2051:$T$2550,T2472,$G$2051:$G$2550,G2472,$F$2051:$F$2550,"&gt;"&amp;F2472)+COUNTIFS($AL$2051:$AL$2550,1,$T$2051:$T$2550,T2472,$G$2051:$G$2550,G2472,$F$2051:$F$2550,F2472,$AM$2051:$AM$2550,"&lt;"&amp;AM2472))</x:f>
      </x:c>
      <x:c r="X2472" s="1" t="str">
        <x:f>IF(AL2472=0,"",1+COUNTIFS($AL$2051:$AL$2550,1,$T$2051:$T$2550,"&gt;"&amp;T2472))</x:f>
      </x:c>
      <x:c r="Y2472" s="1" t="n">
        <x:f>IF(AND(H2472="Yes",OR(LEN('School Search'!$B$5)=0,ISNUMBER(SEARCH('School Search'!$B$5,B2472&amp;" "&amp;E2472&amp;" "&amp;A2472))),OR('School Search'!$D$5="All",C2472='School Search'!$D$5),OR('School Search'!$G$5="All eligible",AND('School Search'!$G$5="Not marked served",J2472&lt;&gt;"Yes"),AND('School Search'!$G$5="Missing data",V2472="Missing data"),AND('School Search'!$G$5="Marked served",J2472="Yes"))),1,0)</x:f>
        <x:v>0</x:v>
      </x:c>
      <x:c r="Z2472" s="1" t="str">
        <x:f>IF(Y2472=0,"",COUNTIFS($Y$2051:$Y$2550,1,$AO$2051:$AO$2550,"&lt;"&amp;AO2472)+COUNTIFS($Y$2051:Y2472,1,$AO$2051:AO2472,AO2472))</x:f>
      </x:c>
      <x:c r="AA2472" s="1" t="str">
        <x:f>IF(NOT(ISNUMBER(S2472)),"Missing demographic or access input",TEXT(G2472,"0%")&amp;" economic need; "&amp;TEXT(K2472,"0.00")&amp;" mi fresh access; "&amp;L2472&amp;" nearby resources")</x:f>
        <x:v>Missing demographic or access input</x:v>
      </x:c>
      <x:c r="AB2472" s="1" t="n">
        <x:f>IF(OR(A2472="",COUNTIFS($A$1531:$A$2030,A2472)&lt;&gt;1),0,MATCH(A2472,$A$1531:$A$2030,0))</x:f>
        <x:v>0</x:v>
      </x:c>
      <x:c r="AC2472" s="1" t="str">
        <x:f>IF(AB2472=0,"",INDEX($E$1531:$E$2030,AB2472))</x:f>
      </x:c>
      <x:c r="AD2472" s="1" t="str">
        <x:f>IF(AB2472=0,"",INDEX($F$1531:$F$2030,AB2472))</x:f>
      </x:c>
      <x:c r="AE2472" s="1" t="str">
        <x:f>IF(A2472="","",F423)</x:f>
      </x:c>
      <x:c r="AF2472" s="1" t="str">
        <x:f>IF(ISNUMBER(I423),I423,"")</x:f>
      </x:c>
      <x:c r="AG2472" s="1" t="str">
        <x:f>IF(ISNUMBER(J423),J423,"")</x:f>
      </x:c>
      <x:c r="AH2472" s="1" t="str">
        <x:f>IF(I2472=0,"Not contacted",IF(INDEX('Staff Review'!$J$8:$J$507,I2472)="","Not contacted",INDEX('Staff Review'!$J$8:$J$507,I2472)))</x:f>
        <x:v>Not contacted</x:v>
      </x:c>
      <x:c r="AI2472" s="1" t="str">
        <x:f>IF(I2472=0,"No",IF(AND(COUNT(INDEX('Staff Review'!$D$8:$D$507,I2472))=1,INDEX('Staff Review'!$D$8:$D$507,I2472)&gt;=0,COUNT(INDEX('Staff Review'!$E$8:$E$507,I2472))=1,INDEX('Staff Review'!$E$8:$E$507,I2472)&gt;0,INDEX('Staff Review'!$E$8:$E$507,I2472)&lt;='Top 15'!$E$5,'Top 15'!$E$5-INDEX('Staff Review'!$E$8:$E$507,I2472)&lt;='Top 15'!$H$5,LEN(INDEX('Staff Review'!$H$8:$H$507,I2472))&gt;0),"Yes","No"))</x:f>
        <x:v>No</x:v>
      </x:c>
      <x:c r="AJ2472" s="1" t="str">
        <x:f>IF(I2472=0,"No",IF(COUNT(INDEX('Staff Review'!$F$8:$F$507,I2472))&lt;&gt;1,"No",IF(AND(INDEX('Staff Review'!$F$8:$F$507,I2472)&gt;=0,MOD(INDEX('Staff Review'!$F$8:$F$507,I2472),1)=0,COUNT(INDEX('Staff Review'!$G$8:$G$507,I2472))=1,INDEX('Staff Review'!$G$8:$G$507,I2472)&gt;0,INDEX('Staff Review'!$G$8:$G$507,I2472)&lt;='Top 15'!$E$5,'Top 15'!$E$5-INDEX('Staff Review'!$G$8:$G$507,I2472)&lt;='Top 15'!$H$5,LEN(INDEX('Staff Review'!$H$8:$H$507,I2472))&gt;0),"Yes","No")))</x:f>
        <x:v>No</x:v>
      </x:c>
      <x:c r="AK2472" s="1" t="n">
        <x:f>IF(A2472="",0,COUNTIFS($A$2:$A$501,A2472))</x:f>
        <x:v>0</x:v>
      </x:c>
      <x:c r="AL2472" s="1" t="n">
        <x:f>IF(V2472="Candidate",1,0)</x:f>
        <x:v>0</x:v>
      </x:c>
      <x:c r="AM2472" s="1" t="n">
        <x:f>IF(A2472="",0,VALUE(A2472))</x:f>
        <x:v>0</x:v>
      </x:c>
      <x:c r="AN2472" s="1" t="n">
        <x:f>IF(OR(A2472="",COUNTIFS($T$41:$T$540,A2472)&lt;&gt;1),0,MATCH(A2472,$T$41:$T$540,0))</x:f>
        <x:v>0</x:v>
      </x:c>
      <x:c r="AO2472" t="n">
        <x:f>IF(ISNUMBER(W2472),W2472,10000+AM2472)</x:f>
        <x:v>10000</x:v>
      </x:c>
    </x:row>
    <x:row r="2473" ht="22" customHeight="1">
      <x:c r="A2473" s="1" t="str">
        <x:f>IF(A424="","",A424)</x:f>
      </x:c>
      <x:c r="B2473" s="1" t="str">
        <x:f>IF(A2473="","",B424)</x:f>
      </x:c>
      <x:c r="C2473" s="1" t="str">
        <x:f>IF(A2473="","",C424)</x:f>
      </x:c>
      <x:c r="D2473" s="1" t="str">
        <x:f>IF(A2473="","",E424)</x:f>
      </x:c>
      <x:c r="E2473" s="1" t="str">
        <x:f>IF(A2473="","",H424)</x:f>
      </x:c>
      <x:c r="F2473" s="1" t="str">
        <x:f>IF(ISNUMBER(K424),K424,"")</x:f>
      </x:c>
      <x:c r="G2473" s="1" t="str">
        <x:f>IF(ISNUMBER(L424),L424,"")</x:f>
      </x:c>
      <x:c r="H2473" s="1" t="str">
        <x:f>IF(A2473="","",IF(AND(UPPER(G424)="PHILADELPHIA",OR(C2473="District",AND(C2473="Charter",D424="Yes"))),"Yes","No"))</x:f>
      </x:c>
      <x:c r="I2473" s="1" t="n">
        <x:f>IF(OR(A2473="",COUNTIFS('Staff Review'!$A$8:$A$507,A2473)&lt;&gt;1),0,MATCH(A2473,'Staff Review'!$A$8:$A$507,0))</x:f>
        <x:v>0</x:v>
      </x:c>
      <x:c r="J2473" s="1" t="str">
        <x:f>IF(I2473=0,"No",IF(INDEX('Staff Review'!$C$8:$C$507,I2473)="Yes","Yes","No"))</x:f>
        <x:v>No</x:v>
      </x:c>
      <x:c r="K2473" s="1" t="str">
        <x:f>IF(AI2473="Yes",INDEX('Staff Review'!$D$8:$D$507,I2473),IF(AB2473=0,"",IF(COUNT(INDEX($C$1531:$C$2030,AB2473))=1,INDEX($C$1531:$C$2030,AB2473),"")))</x:f>
      </x:c>
      <x:c r="L2473" s="1" t="str">
        <x:f>IF(AJ2473="Yes",INDEX('Staff Review'!$F$8:$F$507,I2473),IF(AB2473=0,"",IF(COUNT(INDEX($G$1531:$G$2030,AB2473))=1,INDEX($G$1531:$G$2030,AB2473),"")))</x:f>
      </x:c>
      <x:c r="M2473" s="1" t="str">
        <x:f>IF(A2473="","",IF(AI2473="Yes","Verified","Listed"))</x:f>
      </x:c>
      <x:c r="N2473" s="1" t="str">
        <x:f>IF(A2473="","",IF(AJ2473="Yes","Verified","Listed"))</x:f>
      </x:c>
      <x:c r="O2473" s="1" t="str">
        <x:f>IF(AND(ISNUMBER(G2473),G2473&gt;=0,G2473&lt;=1),IF(G2473&gt;=0.9,30,IF(G2473&gt;=0.8,25,IF(G2473&gt;=0.7,20,IF(G2473&gt;=0.6,15,IF(G2473&gt;=0.5,10,IF(G2473&gt;=0.4,5,0)))))),"")</x:f>
      </x:c>
      <x:c r="P2473" s="1" t="str">
        <x:f>IF(ISNUMBER(K2473),IF(K2473&lt;0,"",IF(K2473&gt;1,25,IF(K2473&gt;=0.75,20,IF(K2473&gt;=0.5,15,IF(K2473&gt;=0.25,10,5))))),"")</x:f>
      </x:c>
      <x:c r="Q2473" s="1" t="str">
        <x:f>IF(NOT(ISNUMBER(L2473)),"",IF(AND(L2473&gt;=0,MOD(L2473,1)=0),MAX(0,25-5*L2473),""))</x:f>
      </x:c>
      <x:c r="R2473" s="1" t="str">
        <x:f>IF(NOT(ISNUMBER(F2473)),"",IF(AND(F2473&gt;0,MOD(F2473,1)=0),IF(F2473&gt;=700,5,IF(F2473&gt;=500,4,IF(F2473&gt;=350,3,IF(F2473&gt;=200,2,1)))),""))</x:f>
      </x:c>
      <x:c r="S2473" s="1" t="str">
        <x:f>IF(COUNT(O2473:R2473)=4,SUM(O2473:R2473),"")</x:f>
      </x:c>
      <x:c r="T2473" s="1" t="str">
        <x:f>IF(OR(COUNT(O2473:R2473)&lt;&gt;4,COUNT('Top 15'!$B$35:$E$35)&lt;&gt;4,MIN('Top 15'!$B$35:$E$35)&lt;0,SUM('Top 15'!$B$35:$E$35)&lt;=0),"",ROUND(85*(O2473/30*'Top 15'!$B$35+P2473/25*'Top 15'!$C$35+Q2473/25*'Top 15'!$D$35+R2473/5*'Top 15'!$E$35)/SUM('Top 15'!$B$35:$E$35),6))</x:f>
      </x:c>
      <x:c r="U2473" s="1" t="str">
        <x:f>IF(A2473="","",IF(AND(M2473="Verified",N2473="Verified"),"Verified",IF(AND(M2473="Listed",N2473="Listed"),"Listed","Mixed")))</x:f>
      </x:c>
      <x:c r="V2473" s="1" t="str">
        <x:f>IF(A2473="","",IF(AK2473&lt;&gt;1,"Duplicate source ID",IF(COUNTIFS('Staff Review'!$A$8:$A$507,A2473)&gt;1,"Duplicate review ID",IF(H2473&lt;&gt;"Yes","Outside scope",IF(J2473="Yes","Already served",IF(NOT(ISNUMBER(T2473)),"Missing data","Candidate"))))))</x:f>
      </x:c>
      <x:c r="W2473" s="1" t="str">
        <x:f>IF(AL2473=0,"",1+COUNTIFS($AL$2051:$AL$2550,1,$T$2051:$T$2550,"&gt;"&amp;T2473)+COUNTIFS($AL$2051:$AL$2550,1,$T$2051:$T$2550,T2473,$G$2051:$G$2550,"&gt;"&amp;G2473)+COUNTIFS($AL$2051:$AL$2550,1,$T$2051:$T$2550,T2473,$G$2051:$G$2550,G2473,$F$2051:$F$2550,"&gt;"&amp;F2473)+COUNTIFS($AL$2051:$AL$2550,1,$T$2051:$T$2550,T2473,$G$2051:$G$2550,G2473,$F$2051:$F$2550,F2473,$AM$2051:$AM$2550,"&lt;"&amp;AM2473))</x:f>
      </x:c>
      <x:c r="X2473" s="1" t="str">
        <x:f>IF(AL2473=0,"",1+COUNTIFS($AL$2051:$AL$2550,1,$T$2051:$T$2550,"&gt;"&amp;T2473))</x:f>
      </x:c>
      <x:c r="Y2473" s="1" t="n">
        <x:f>IF(AND(H2473="Yes",OR(LEN('School Search'!$B$5)=0,ISNUMBER(SEARCH('School Search'!$B$5,B2473&amp;" "&amp;E2473&amp;" "&amp;A2473))),OR('School Search'!$D$5="All",C2473='School Search'!$D$5),OR('School Search'!$G$5="All eligible",AND('School Search'!$G$5="Not marked served",J2473&lt;&gt;"Yes"),AND('School Search'!$G$5="Missing data",V2473="Missing data"),AND('School Search'!$G$5="Marked served",J2473="Yes"))),1,0)</x:f>
        <x:v>0</x:v>
      </x:c>
      <x:c r="Z2473" s="1" t="str">
        <x:f>IF(Y2473=0,"",COUNTIFS($Y$2051:$Y$2550,1,$AO$2051:$AO$2550,"&lt;"&amp;AO2473)+COUNTIFS($Y$2051:Y2473,1,$AO$2051:AO2473,AO2473))</x:f>
      </x:c>
      <x:c r="AA2473" s="1" t="str">
        <x:f>IF(NOT(ISNUMBER(S2473)),"Missing demographic or access input",TEXT(G2473,"0%")&amp;" economic need; "&amp;TEXT(K2473,"0.00")&amp;" mi fresh access; "&amp;L2473&amp;" nearby resources")</x:f>
        <x:v>Missing demographic or access input</x:v>
      </x:c>
      <x:c r="AB2473" s="1" t="n">
        <x:f>IF(OR(A2473="",COUNTIFS($A$1531:$A$2030,A2473)&lt;&gt;1),0,MATCH(A2473,$A$1531:$A$2030,0))</x:f>
        <x:v>0</x:v>
      </x:c>
      <x:c r="AC2473" s="1" t="str">
        <x:f>IF(AB2473=0,"",INDEX($E$1531:$E$2030,AB2473))</x:f>
      </x:c>
      <x:c r="AD2473" s="1" t="str">
        <x:f>IF(AB2473=0,"",INDEX($F$1531:$F$2030,AB2473))</x:f>
      </x:c>
      <x:c r="AE2473" s="1" t="str">
        <x:f>IF(A2473="","",F424)</x:f>
      </x:c>
      <x:c r="AF2473" s="1" t="str">
        <x:f>IF(ISNUMBER(I424),I424,"")</x:f>
      </x:c>
      <x:c r="AG2473" s="1" t="str">
        <x:f>IF(ISNUMBER(J424),J424,"")</x:f>
      </x:c>
      <x:c r="AH2473" s="1" t="str">
        <x:f>IF(I2473=0,"Not contacted",IF(INDEX('Staff Review'!$J$8:$J$507,I2473)="","Not contacted",INDEX('Staff Review'!$J$8:$J$507,I2473)))</x:f>
        <x:v>Not contacted</x:v>
      </x:c>
      <x:c r="AI2473" s="1" t="str">
        <x:f>IF(I2473=0,"No",IF(AND(COUNT(INDEX('Staff Review'!$D$8:$D$507,I2473))=1,INDEX('Staff Review'!$D$8:$D$507,I2473)&gt;=0,COUNT(INDEX('Staff Review'!$E$8:$E$507,I2473))=1,INDEX('Staff Review'!$E$8:$E$507,I2473)&gt;0,INDEX('Staff Review'!$E$8:$E$507,I2473)&lt;='Top 15'!$E$5,'Top 15'!$E$5-INDEX('Staff Review'!$E$8:$E$507,I2473)&lt;='Top 15'!$H$5,LEN(INDEX('Staff Review'!$H$8:$H$507,I2473))&gt;0),"Yes","No"))</x:f>
        <x:v>No</x:v>
      </x:c>
      <x:c r="AJ2473" s="1" t="str">
        <x:f>IF(I2473=0,"No",IF(COUNT(INDEX('Staff Review'!$F$8:$F$507,I2473))&lt;&gt;1,"No",IF(AND(INDEX('Staff Review'!$F$8:$F$507,I2473)&gt;=0,MOD(INDEX('Staff Review'!$F$8:$F$507,I2473),1)=0,COUNT(INDEX('Staff Review'!$G$8:$G$507,I2473))=1,INDEX('Staff Review'!$G$8:$G$507,I2473)&gt;0,INDEX('Staff Review'!$G$8:$G$507,I2473)&lt;='Top 15'!$E$5,'Top 15'!$E$5-INDEX('Staff Review'!$G$8:$G$507,I2473)&lt;='Top 15'!$H$5,LEN(INDEX('Staff Review'!$H$8:$H$507,I2473))&gt;0),"Yes","No")))</x:f>
        <x:v>No</x:v>
      </x:c>
      <x:c r="AK2473" s="1" t="n">
        <x:f>IF(A2473="",0,COUNTIFS($A$2:$A$501,A2473))</x:f>
        <x:v>0</x:v>
      </x:c>
      <x:c r="AL2473" s="1" t="n">
        <x:f>IF(V2473="Candidate",1,0)</x:f>
        <x:v>0</x:v>
      </x:c>
      <x:c r="AM2473" s="1" t="n">
        <x:f>IF(A2473="",0,VALUE(A2473))</x:f>
        <x:v>0</x:v>
      </x:c>
      <x:c r="AN2473" s="1" t="n">
        <x:f>IF(OR(A2473="",COUNTIFS($T$41:$T$540,A2473)&lt;&gt;1),0,MATCH(A2473,$T$41:$T$540,0))</x:f>
        <x:v>0</x:v>
      </x:c>
      <x:c r="AO2473" t="n">
        <x:f>IF(ISNUMBER(W2473),W2473,10000+AM2473)</x:f>
        <x:v>10000</x:v>
      </x:c>
    </x:row>
    <x:row r="2474" ht="22" customHeight="1">
      <x:c r="A2474" s="1" t="str">
        <x:f>IF(A425="","",A425)</x:f>
      </x:c>
      <x:c r="B2474" s="1" t="str">
        <x:f>IF(A2474="","",B425)</x:f>
      </x:c>
      <x:c r="C2474" s="1" t="str">
        <x:f>IF(A2474="","",C425)</x:f>
      </x:c>
      <x:c r="D2474" s="1" t="str">
        <x:f>IF(A2474="","",E425)</x:f>
      </x:c>
      <x:c r="E2474" s="1" t="str">
        <x:f>IF(A2474="","",H425)</x:f>
      </x:c>
      <x:c r="F2474" s="1" t="str">
        <x:f>IF(ISNUMBER(K425),K425,"")</x:f>
      </x:c>
      <x:c r="G2474" s="1" t="str">
        <x:f>IF(ISNUMBER(L425),L425,"")</x:f>
      </x:c>
      <x:c r="H2474" s="1" t="str">
        <x:f>IF(A2474="","",IF(AND(UPPER(G425)="PHILADELPHIA",OR(C2474="District",AND(C2474="Charter",D425="Yes"))),"Yes","No"))</x:f>
      </x:c>
      <x:c r="I2474" s="1" t="n">
        <x:f>IF(OR(A2474="",COUNTIFS('Staff Review'!$A$8:$A$507,A2474)&lt;&gt;1),0,MATCH(A2474,'Staff Review'!$A$8:$A$507,0))</x:f>
        <x:v>0</x:v>
      </x:c>
      <x:c r="J2474" s="1" t="str">
        <x:f>IF(I2474=0,"No",IF(INDEX('Staff Review'!$C$8:$C$507,I2474)="Yes","Yes","No"))</x:f>
        <x:v>No</x:v>
      </x:c>
      <x:c r="K2474" s="1" t="str">
        <x:f>IF(AI2474="Yes",INDEX('Staff Review'!$D$8:$D$507,I2474),IF(AB2474=0,"",IF(COUNT(INDEX($C$1531:$C$2030,AB2474))=1,INDEX($C$1531:$C$2030,AB2474),"")))</x:f>
      </x:c>
      <x:c r="L2474" s="1" t="str">
        <x:f>IF(AJ2474="Yes",INDEX('Staff Review'!$F$8:$F$507,I2474),IF(AB2474=0,"",IF(COUNT(INDEX($G$1531:$G$2030,AB2474))=1,INDEX($G$1531:$G$2030,AB2474),"")))</x:f>
      </x:c>
      <x:c r="M2474" s="1" t="str">
        <x:f>IF(A2474="","",IF(AI2474="Yes","Verified","Listed"))</x:f>
      </x:c>
      <x:c r="N2474" s="1" t="str">
        <x:f>IF(A2474="","",IF(AJ2474="Yes","Verified","Listed"))</x:f>
      </x:c>
      <x:c r="O2474" s="1" t="str">
        <x:f>IF(AND(ISNUMBER(G2474),G2474&gt;=0,G2474&lt;=1),IF(G2474&gt;=0.9,30,IF(G2474&gt;=0.8,25,IF(G2474&gt;=0.7,20,IF(G2474&gt;=0.6,15,IF(G2474&gt;=0.5,10,IF(G2474&gt;=0.4,5,0)))))),"")</x:f>
      </x:c>
      <x:c r="P2474" s="1" t="str">
        <x:f>IF(ISNUMBER(K2474),IF(K2474&lt;0,"",IF(K2474&gt;1,25,IF(K2474&gt;=0.75,20,IF(K2474&gt;=0.5,15,IF(K2474&gt;=0.25,10,5))))),"")</x:f>
      </x:c>
      <x:c r="Q2474" s="1" t="str">
        <x:f>IF(NOT(ISNUMBER(L2474)),"",IF(AND(L2474&gt;=0,MOD(L2474,1)=0),MAX(0,25-5*L2474),""))</x:f>
      </x:c>
      <x:c r="R2474" s="1" t="str">
        <x:f>IF(NOT(ISNUMBER(F2474)),"",IF(AND(F2474&gt;0,MOD(F2474,1)=0),IF(F2474&gt;=700,5,IF(F2474&gt;=500,4,IF(F2474&gt;=350,3,IF(F2474&gt;=200,2,1)))),""))</x:f>
      </x:c>
      <x:c r="S2474" s="1" t="str">
        <x:f>IF(COUNT(O2474:R2474)=4,SUM(O2474:R2474),"")</x:f>
      </x:c>
      <x:c r="T2474" s="1" t="str">
        <x:f>IF(OR(COUNT(O2474:R2474)&lt;&gt;4,COUNT('Top 15'!$B$35:$E$35)&lt;&gt;4,MIN('Top 15'!$B$35:$E$35)&lt;0,SUM('Top 15'!$B$35:$E$35)&lt;=0),"",ROUND(85*(O2474/30*'Top 15'!$B$35+P2474/25*'Top 15'!$C$35+Q2474/25*'Top 15'!$D$35+R2474/5*'Top 15'!$E$35)/SUM('Top 15'!$B$35:$E$35),6))</x:f>
      </x:c>
      <x:c r="U2474" s="1" t="str">
        <x:f>IF(A2474="","",IF(AND(M2474="Verified",N2474="Verified"),"Verified",IF(AND(M2474="Listed",N2474="Listed"),"Listed","Mixed")))</x:f>
      </x:c>
      <x:c r="V2474" s="1" t="str">
        <x:f>IF(A2474="","",IF(AK2474&lt;&gt;1,"Duplicate source ID",IF(COUNTIFS('Staff Review'!$A$8:$A$507,A2474)&gt;1,"Duplicate review ID",IF(H2474&lt;&gt;"Yes","Outside scope",IF(J2474="Yes","Already served",IF(NOT(ISNUMBER(T2474)),"Missing data","Candidate"))))))</x:f>
      </x:c>
      <x:c r="W2474" s="1" t="str">
        <x:f>IF(AL2474=0,"",1+COUNTIFS($AL$2051:$AL$2550,1,$T$2051:$T$2550,"&gt;"&amp;T2474)+COUNTIFS($AL$2051:$AL$2550,1,$T$2051:$T$2550,T2474,$G$2051:$G$2550,"&gt;"&amp;G2474)+COUNTIFS($AL$2051:$AL$2550,1,$T$2051:$T$2550,T2474,$G$2051:$G$2550,G2474,$F$2051:$F$2550,"&gt;"&amp;F2474)+COUNTIFS($AL$2051:$AL$2550,1,$T$2051:$T$2550,T2474,$G$2051:$G$2550,G2474,$F$2051:$F$2550,F2474,$AM$2051:$AM$2550,"&lt;"&amp;AM2474))</x:f>
      </x:c>
      <x:c r="X2474" s="1" t="str">
        <x:f>IF(AL2474=0,"",1+COUNTIFS($AL$2051:$AL$2550,1,$T$2051:$T$2550,"&gt;"&amp;T2474))</x:f>
      </x:c>
      <x:c r="Y2474" s="1" t="n">
        <x:f>IF(AND(H2474="Yes",OR(LEN('School Search'!$B$5)=0,ISNUMBER(SEARCH('School Search'!$B$5,B2474&amp;" "&amp;E2474&amp;" "&amp;A2474))),OR('School Search'!$D$5="All",C2474='School Search'!$D$5),OR('School Search'!$G$5="All eligible",AND('School Search'!$G$5="Not marked served",J2474&lt;&gt;"Yes"),AND('School Search'!$G$5="Missing data",V2474="Missing data"),AND('School Search'!$G$5="Marked served",J2474="Yes"))),1,0)</x:f>
        <x:v>0</x:v>
      </x:c>
      <x:c r="Z2474" s="1" t="str">
        <x:f>IF(Y2474=0,"",COUNTIFS($Y$2051:$Y$2550,1,$AO$2051:$AO$2550,"&lt;"&amp;AO2474)+COUNTIFS($Y$2051:Y2474,1,$AO$2051:AO2474,AO2474))</x:f>
      </x:c>
      <x:c r="AA2474" s="1" t="str">
        <x:f>IF(NOT(ISNUMBER(S2474)),"Missing demographic or access input",TEXT(G2474,"0%")&amp;" economic need; "&amp;TEXT(K2474,"0.00")&amp;" mi fresh access; "&amp;L2474&amp;" nearby resources")</x:f>
        <x:v>Missing demographic or access input</x:v>
      </x:c>
      <x:c r="AB2474" s="1" t="n">
        <x:f>IF(OR(A2474="",COUNTIFS($A$1531:$A$2030,A2474)&lt;&gt;1),0,MATCH(A2474,$A$1531:$A$2030,0))</x:f>
        <x:v>0</x:v>
      </x:c>
      <x:c r="AC2474" s="1" t="str">
        <x:f>IF(AB2474=0,"",INDEX($E$1531:$E$2030,AB2474))</x:f>
      </x:c>
      <x:c r="AD2474" s="1" t="str">
        <x:f>IF(AB2474=0,"",INDEX($F$1531:$F$2030,AB2474))</x:f>
      </x:c>
      <x:c r="AE2474" s="1" t="str">
        <x:f>IF(A2474="","",F425)</x:f>
      </x:c>
      <x:c r="AF2474" s="1" t="str">
        <x:f>IF(ISNUMBER(I425),I425,"")</x:f>
      </x:c>
      <x:c r="AG2474" s="1" t="str">
        <x:f>IF(ISNUMBER(J425),J425,"")</x:f>
      </x:c>
      <x:c r="AH2474" s="1" t="str">
        <x:f>IF(I2474=0,"Not contacted",IF(INDEX('Staff Review'!$J$8:$J$507,I2474)="","Not contacted",INDEX('Staff Review'!$J$8:$J$507,I2474)))</x:f>
        <x:v>Not contacted</x:v>
      </x:c>
      <x:c r="AI2474" s="1" t="str">
        <x:f>IF(I2474=0,"No",IF(AND(COUNT(INDEX('Staff Review'!$D$8:$D$507,I2474))=1,INDEX('Staff Review'!$D$8:$D$507,I2474)&gt;=0,COUNT(INDEX('Staff Review'!$E$8:$E$507,I2474))=1,INDEX('Staff Review'!$E$8:$E$507,I2474)&gt;0,INDEX('Staff Review'!$E$8:$E$507,I2474)&lt;='Top 15'!$E$5,'Top 15'!$E$5-INDEX('Staff Review'!$E$8:$E$507,I2474)&lt;='Top 15'!$H$5,LEN(INDEX('Staff Review'!$H$8:$H$507,I2474))&gt;0),"Yes","No"))</x:f>
        <x:v>No</x:v>
      </x:c>
      <x:c r="AJ2474" s="1" t="str">
        <x:f>IF(I2474=0,"No",IF(COUNT(INDEX('Staff Review'!$F$8:$F$507,I2474))&lt;&gt;1,"No",IF(AND(INDEX('Staff Review'!$F$8:$F$507,I2474)&gt;=0,MOD(INDEX('Staff Review'!$F$8:$F$507,I2474),1)=0,COUNT(INDEX('Staff Review'!$G$8:$G$507,I2474))=1,INDEX('Staff Review'!$G$8:$G$507,I2474)&gt;0,INDEX('Staff Review'!$G$8:$G$507,I2474)&lt;='Top 15'!$E$5,'Top 15'!$E$5-INDEX('Staff Review'!$G$8:$G$507,I2474)&lt;='Top 15'!$H$5,LEN(INDEX('Staff Review'!$H$8:$H$507,I2474))&gt;0),"Yes","No")))</x:f>
        <x:v>No</x:v>
      </x:c>
      <x:c r="AK2474" s="1" t="n">
        <x:f>IF(A2474="",0,COUNTIFS($A$2:$A$501,A2474))</x:f>
        <x:v>0</x:v>
      </x:c>
      <x:c r="AL2474" s="1" t="n">
        <x:f>IF(V2474="Candidate",1,0)</x:f>
        <x:v>0</x:v>
      </x:c>
      <x:c r="AM2474" s="1" t="n">
        <x:f>IF(A2474="",0,VALUE(A2474))</x:f>
        <x:v>0</x:v>
      </x:c>
      <x:c r="AN2474" s="1" t="n">
        <x:f>IF(OR(A2474="",COUNTIFS($T$41:$T$540,A2474)&lt;&gt;1),0,MATCH(A2474,$T$41:$T$540,0))</x:f>
        <x:v>0</x:v>
      </x:c>
      <x:c r="AO2474" t="n">
        <x:f>IF(ISNUMBER(W2474),W2474,10000+AM2474)</x:f>
        <x:v>10000</x:v>
      </x:c>
    </x:row>
    <x:row r="2475" ht="22" customHeight="1">
      <x:c r="A2475" s="1" t="str">
        <x:f>IF(A426="","",A426)</x:f>
      </x:c>
      <x:c r="B2475" s="1" t="str">
        <x:f>IF(A2475="","",B426)</x:f>
      </x:c>
      <x:c r="C2475" s="1" t="str">
        <x:f>IF(A2475="","",C426)</x:f>
      </x:c>
      <x:c r="D2475" s="1" t="str">
        <x:f>IF(A2475="","",E426)</x:f>
      </x:c>
      <x:c r="E2475" s="1" t="str">
        <x:f>IF(A2475="","",H426)</x:f>
      </x:c>
      <x:c r="F2475" s="1" t="str">
        <x:f>IF(ISNUMBER(K426),K426,"")</x:f>
      </x:c>
      <x:c r="G2475" s="1" t="str">
        <x:f>IF(ISNUMBER(L426),L426,"")</x:f>
      </x:c>
      <x:c r="H2475" s="1" t="str">
        <x:f>IF(A2475="","",IF(AND(UPPER(G426)="PHILADELPHIA",OR(C2475="District",AND(C2475="Charter",D426="Yes"))),"Yes","No"))</x:f>
      </x:c>
      <x:c r="I2475" s="1" t="n">
        <x:f>IF(OR(A2475="",COUNTIFS('Staff Review'!$A$8:$A$507,A2475)&lt;&gt;1),0,MATCH(A2475,'Staff Review'!$A$8:$A$507,0))</x:f>
        <x:v>0</x:v>
      </x:c>
      <x:c r="J2475" s="1" t="str">
        <x:f>IF(I2475=0,"No",IF(INDEX('Staff Review'!$C$8:$C$507,I2475)="Yes","Yes","No"))</x:f>
        <x:v>No</x:v>
      </x:c>
      <x:c r="K2475" s="1" t="str">
        <x:f>IF(AI2475="Yes",INDEX('Staff Review'!$D$8:$D$507,I2475),IF(AB2475=0,"",IF(COUNT(INDEX($C$1531:$C$2030,AB2475))=1,INDEX($C$1531:$C$2030,AB2475),"")))</x:f>
      </x:c>
      <x:c r="L2475" s="1" t="str">
        <x:f>IF(AJ2475="Yes",INDEX('Staff Review'!$F$8:$F$507,I2475),IF(AB2475=0,"",IF(COUNT(INDEX($G$1531:$G$2030,AB2475))=1,INDEX($G$1531:$G$2030,AB2475),"")))</x:f>
      </x:c>
      <x:c r="M2475" s="1" t="str">
        <x:f>IF(A2475="","",IF(AI2475="Yes","Verified","Listed"))</x:f>
      </x:c>
      <x:c r="N2475" s="1" t="str">
        <x:f>IF(A2475="","",IF(AJ2475="Yes","Verified","Listed"))</x:f>
      </x:c>
      <x:c r="O2475" s="1" t="str">
        <x:f>IF(AND(ISNUMBER(G2475),G2475&gt;=0,G2475&lt;=1),IF(G2475&gt;=0.9,30,IF(G2475&gt;=0.8,25,IF(G2475&gt;=0.7,20,IF(G2475&gt;=0.6,15,IF(G2475&gt;=0.5,10,IF(G2475&gt;=0.4,5,0)))))),"")</x:f>
      </x:c>
      <x:c r="P2475" s="1" t="str">
        <x:f>IF(ISNUMBER(K2475),IF(K2475&lt;0,"",IF(K2475&gt;1,25,IF(K2475&gt;=0.75,20,IF(K2475&gt;=0.5,15,IF(K2475&gt;=0.25,10,5))))),"")</x:f>
      </x:c>
      <x:c r="Q2475" s="1" t="str">
        <x:f>IF(NOT(ISNUMBER(L2475)),"",IF(AND(L2475&gt;=0,MOD(L2475,1)=0),MAX(0,25-5*L2475),""))</x:f>
      </x:c>
      <x:c r="R2475" s="1" t="str">
        <x:f>IF(NOT(ISNUMBER(F2475)),"",IF(AND(F2475&gt;0,MOD(F2475,1)=0),IF(F2475&gt;=700,5,IF(F2475&gt;=500,4,IF(F2475&gt;=350,3,IF(F2475&gt;=200,2,1)))),""))</x:f>
      </x:c>
      <x:c r="S2475" s="1" t="str">
        <x:f>IF(COUNT(O2475:R2475)=4,SUM(O2475:R2475),"")</x:f>
      </x:c>
      <x:c r="T2475" s="1" t="str">
        <x:f>IF(OR(COUNT(O2475:R2475)&lt;&gt;4,COUNT('Top 15'!$B$35:$E$35)&lt;&gt;4,MIN('Top 15'!$B$35:$E$35)&lt;0,SUM('Top 15'!$B$35:$E$35)&lt;=0),"",ROUND(85*(O2475/30*'Top 15'!$B$35+P2475/25*'Top 15'!$C$35+Q2475/25*'Top 15'!$D$35+R2475/5*'Top 15'!$E$35)/SUM('Top 15'!$B$35:$E$35),6))</x:f>
      </x:c>
      <x:c r="U2475" s="1" t="str">
        <x:f>IF(A2475="","",IF(AND(M2475="Verified",N2475="Verified"),"Verified",IF(AND(M2475="Listed",N2475="Listed"),"Listed","Mixed")))</x:f>
      </x:c>
      <x:c r="V2475" s="1" t="str">
        <x:f>IF(A2475="","",IF(AK2475&lt;&gt;1,"Duplicate source ID",IF(COUNTIFS('Staff Review'!$A$8:$A$507,A2475)&gt;1,"Duplicate review ID",IF(H2475&lt;&gt;"Yes","Outside scope",IF(J2475="Yes","Already served",IF(NOT(ISNUMBER(T2475)),"Missing data","Candidate"))))))</x:f>
      </x:c>
      <x:c r="W2475" s="1" t="str">
        <x:f>IF(AL2475=0,"",1+COUNTIFS($AL$2051:$AL$2550,1,$T$2051:$T$2550,"&gt;"&amp;T2475)+COUNTIFS($AL$2051:$AL$2550,1,$T$2051:$T$2550,T2475,$G$2051:$G$2550,"&gt;"&amp;G2475)+COUNTIFS($AL$2051:$AL$2550,1,$T$2051:$T$2550,T2475,$G$2051:$G$2550,G2475,$F$2051:$F$2550,"&gt;"&amp;F2475)+COUNTIFS($AL$2051:$AL$2550,1,$T$2051:$T$2550,T2475,$G$2051:$G$2550,G2475,$F$2051:$F$2550,F2475,$AM$2051:$AM$2550,"&lt;"&amp;AM2475))</x:f>
      </x:c>
      <x:c r="X2475" s="1" t="str">
        <x:f>IF(AL2475=0,"",1+COUNTIFS($AL$2051:$AL$2550,1,$T$2051:$T$2550,"&gt;"&amp;T2475))</x:f>
      </x:c>
      <x:c r="Y2475" s="1" t="n">
        <x:f>IF(AND(H2475="Yes",OR(LEN('School Search'!$B$5)=0,ISNUMBER(SEARCH('School Search'!$B$5,B2475&amp;" "&amp;E2475&amp;" "&amp;A2475))),OR('School Search'!$D$5="All",C2475='School Search'!$D$5),OR('School Search'!$G$5="All eligible",AND('School Search'!$G$5="Not marked served",J2475&lt;&gt;"Yes"),AND('School Search'!$G$5="Missing data",V2475="Missing data"),AND('School Search'!$G$5="Marked served",J2475="Yes"))),1,0)</x:f>
        <x:v>0</x:v>
      </x:c>
      <x:c r="Z2475" s="1" t="str">
        <x:f>IF(Y2475=0,"",COUNTIFS($Y$2051:$Y$2550,1,$AO$2051:$AO$2550,"&lt;"&amp;AO2475)+COUNTIFS($Y$2051:Y2475,1,$AO$2051:AO2475,AO2475))</x:f>
      </x:c>
      <x:c r="AA2475" s="1" t="str">
        <x:f>IF(NOT(ISNUMBER(S2475)),"Missing demographic or access input",TEXT(G2475,"0%")&amp;" economic need; "&amp;TEXT(K2475,"0.00")&amp;" mi fresh access; "&amp;L2475&amp;" nearby resources")</x:f>
        <x:v>Missing demographic or access input</x:v>
      </x:c>
      <x:c r="AB2475" s="1" t="n">
        <x:f>IF(OR(A2475="",COUNTIFS($A$1531:$A$2030,A2475)&lt;&gt;1),0,MATCH(A2475,$A$1531:$A$2030,0))</x:f>
        <x:v>0</x:v>
      </x:c>
      <x:c r="AC2475" s="1" t="str">
        <x:f>IF(AB2475=0,"",INDEX($E$1531:$E$2030,AB2475))</x:f>
      </x:c>
      <x:c r="AD2475" s="1" t="str">
        <x:f>IF(AB2475=0,"",INDEX($F$1531:$F$2030,AB2475))</x:f>
      </x:c>
      <x:c r="AE2475" s="1" t="str">
        <x:f>IF(A2475="","",F426)</x:f>
      </x:c>
      <x:c r="AF2475" s="1" t="str">
        <x:f>IF(ISNUMBER(I426),I426,"")</x:f>
      </x:c>
      <x:c r="AG2475" s="1" t="str">
        <x:f>IF(ISNUMBER(J426),J426,"")</x:f>
      </x:c>
      <x:c r="AH2475" s="1" t="str">
        <x:f>IF(I2475=0,"Not contacted",IF(INDEX('Staff Review'!$J$8:$J$507,I2475)="","Not contacted",INDEX('Staff Review'!$J$8:$J$507,I2475)))</x:f>
        <x:v>Not contacted</x:v>
      </x:c>
      <x:c r="AI2475" s="1" t="str">
        <x:f>IF(I2475=0,"No",IF(AND(COUNT(INDEX('Staff Review'!$D$8:$D$507,I2475))=1,INDEX('Staff Review'!$D$8:$D$507,I2475)&gt;=0,COUNT(INDEX('Staff Review'!$E$8:$E$507,I2475))=1,INDEX('Staff Review'!$E$8:$E$507,I2475)&gt;0,INDEX('Staff Review'!$E$8:$E$507,I2475)&lt;='Top 15'!$E$5,'Top 15'!$E$5-INDEX('Staff Review'!$E$8:$E$507,I2475)&lt;='Top 15'!$H$5,LEN(INDEX('Staff Review'!$H$8:$H$507,I2475))&gt;0),"Yes","No"))</x:f>
        <x:v>No</x:v>
      </x:c>
      <x:c r="AJ2475" s="1" t="str">
        <x:f>IF(I2475=0,"No",IF(COUNT(INDEX('Staff Review'!$F$8:$F$507,I2475))&lt;&gt;1,"No",IF(AND(INDEX('Staff Review'!$F$8:$F$507,I2475)&gt;=0,MOD(INDEX('Staff Review'!$F$8:$F$507,I2475),1)=0,COUNT(INDEX('Staff Review'!$G$8:$G$507,I2475))=1,INDEX('Staff Review'!$G$8:$G$507,I2475)&gt;0,INDEX('Staff Review'!$G$8:$G$507,I2475)&lt;='Top 15'!$E$5,'Top 15'!$E$5-INDEX('Staff Review'!$G$8:$G$507,I2475)&lt;='Top 15'!$H$5,LEN(INDEX('Staff Review'!$H$8:$H$507,I2475))&gt;0),"Yes","No")))</x:f>
        <x:v>No</x:v>
      </x:c>
      <x:c r="AK2475" s="1" t="n">
        <x:f>IF(A2475="",0,COUNTIFS($A$2:$A$501,A2475))</x:f>
        <x:v>0</x:v>
      </x:c>
      <x:c r="AL2475" s="1" t="n">
        <x:f>IF(V2475="Candidate",1,0)</x:f>
        <x:v>0</x:v>
      </x:c>
      <x:c r="AM2475" s="1" t="n">
        <x:f>IF(A2475="",0,VALUE(A2475))</x:f>
        <x:v>0</x:v>
      </x:c>
      <x:c r="AN2475" s="1" t="n">
        <x:f>IF(OR(A2475="",COUNTIFS($T$41:$T$540,A2475)&lt;&gt;1),0,MATCH(A2475,$T$41:$T$540,0))</x:f>
        <x:v>0</x:v>
      </x:c>
      <x:c r="AO2475" t="n">
        <x:f>IF(ISNUMBER(W2475),W2475,10000+AM2475)</x:f>
        <x:v>10000</x:v>
      </x:c>
    </x:row>
    <x:row r="2476" ht="22" customHeight="1">
      <x:c r="A2476" s="1" t="str">
        <x:f>IF(A427="","",A427)</x:f>
      </x:c>
      <x:c r="B2476" s="1" t="str">
        <x:f>IF(A2476="","",B427)</x:f>
      </x:c>
      <x:c r="C2476" s="1" t="str">
        <x:f>IF(A2476="","",C427)</x:f>
      </x:c>
      <x:c r="D2476" s="1" t="str">
        <x:f>IF(A2476="","",E427)</x:f>
      </x:c>
      <x:c r="E2476" s="1" t="str">
        <x:f>IF(A2476="","",H427)</x:f>
      </x:c>
      <x:c r="F2476" s="1" t="str">
        <x:f>IF(ISNUMBER(K427),K427,"")</x:f>
      </x:c>
      <x:c r="G2476" s="1" t="str">
        <x:f>IF(ISNUMBER(L427),L427,"")</x:f>
      </x:c>
      <x:c r="H2476" s="1" t="str">
        <x:f>IF(A2476="","",IF(AND(UPPER(G427)="PHILADELPHIA",OR(C2476="District",AND(C2476="Charter",D427="Yes"))),"Yes","No"))</x:f>
      </x:c>
      <x:c r="I2476" s="1" t="n">
        <x:f>IF(OR(A2476="",COUNTIFS('Staff Review'!$A$8:$A$507,A2476)&lt;&gt;1),0,MATCH(A2476,'Staff Review'!$A$8:$A$507,0))</x:f>
        <x:v>0</x:v>
      </x:c>
      <x:c r="J2476" s="1" t="str">
        <x:f>IF(I2476=0,"No",IF(INDEX('Staff Review'!$C$8:$C$507,I2476)="Yes","Yes","No"))</x:f>
        <x:v>No</x:v>
      </x:c>
      <x:c r="K2476" s="1" t="str">
        <x:f>IF(AI2476="Yes",INDEX('Staff Review'!$D$8:$D$507,I2476),IF(AB2476=0,"",IF(COUNT(INDEX($C$1531:$C$2030,AB2476))=1,INDEX($C$1531:$C$2030,AB2476),"")))</x:f>
      </x:c>
      <x:c r="L2476" s="1" t="str">
        <x:f>IF(AJ2476="Yes",INDEX('Staff Review'!$F$8:$F$507,I2476),IF(AB2476=0,"",IF(COUNT(INDEX($G$1531:$G$2030,AB2476))=1,INDEX($G$1531:$G$2030,AB2476),"")))</x:f>
      </x:c>
      <x:c r="M2476" s="1" t="str">
        <x:f>IF(A2476="","",IF(AI2476="Yes","Verified","Listed"))</x:f>
      </x:c>
      <x:c r="N2476" s="1" t="str">
        <x:f>IF(A2476="","",IF(AJ2476="Yes","Verified","Listed"))</x:f>
      </x:c>
      <x:c r="O2476" s="1" t="str">
        <x:f>IF(AND(ISNUMBER(G2476),G2476&gt;=0,G2476&lt;=1),IF(G2476&gt;=0.9,30,IF(G2476&gt;=0.8,25,IF(G2476&gt;=0.7,20,IF(G2476&gt;=0.6,15,IF(G2476&gt;=0.5,10,IF(G2476&gt;=0.4,5,0)))))),"")</x:f>
      </x:c>
      <x:c r="P2476" s="1" t="str">
        <x:f>IF(ISNUMBER(K2476),IF(K2476&lt;0,"",IF(K2476&gt;1,25,IF(K2476&gt;=0.75,20,IF(K2476&gt;=0.5,15,IF(K2476&gt;=0.25,10,5))))),"")</x:f>
      </x:c>
      <x:c r="Q2476" s="1" t="str">
        <x:f>IF(NOT(ISNUMBER(L2476)),"",IF(AND(L2476&gt;=0,MOD(L2476,1)=0),MAX(0,25-5*L2476),""))</x:f>
      </x:c>
      <x:c r="R2476" s="1" t="str">
        <x:f>IF(NOT(ISNUMBER(F2476)),"",IF(AND(F2476&gt;0,MOD(F2476,1)=0),IF(F2476&gt;=700,5,IF(F2476&gt;=500,4,IF(F2476&gt;=350,3,IF(F2476&gt;=200,2,1)))),""))</x:f>
      </x:c>
      <x:c r="S2476" s="1" t="str">
        <x:f>IF(COUNT(O2476:R2476)=4,SUM(O2476:R2476),"")</x:f>
      </x:c>
      <x:c r="T2476" s="1" t="str">
        <x:f>IF(OR(COUNT(O2476:R2476)&lt;&gt;4,COUNT('Top 15'!$B$35:$E$35)&lt;&gt;4,MIN('Top 15'!$B$35:$E$35)&lt;0,SUM('Top 15'!$B$35:$E$35)&lt;=0),"",ROUND(85*(O2476/30*'Top 15'!$B$35+P2476/25*'Top 15'!$C$35+Q2476/25*'Top 15'!$D$35+R2476/5*'Top 15'!$E$35)/SUM('Top 15'!$B$35:$E$35),6))</x:f>
      </x:c>
      <x:c r="U2476" s="1" t="str">
        <x:f>IF(A2476="","",IF(AND(M2476="Verified",N2476="Verified"),"Verified",IF(AND(M2476="Listed",N2476="Listed"),"Listed","Mixed")))</x:f>
      </x:c>
      <x:c r="V2476" s="1" t="str">
        <x:f>IF(A2476="","",IF(AK2476&lt;&gt;1,"Duplicate source ID",IF(COUNTIFS('Staff Review'!$A$8:$A$507,A2476)&gt;1,"Duplicate review ID",IF(H2476&lt;&gt;"Yes","Outside scope",IF(J2476="Yes","Already served",IF(NOT(ISNUMBER(T2476)),"Missing data","Candidate"))))))</x:f>
      </x:c>
      <x:c r="W2476" s="1" t="str">
        <x:f>IF(AL2476=0,"",1+COUNTIFS($AL$2051:$AL$2550,1,$T$2051:$T$2550,"&gt;"&amp;T2476)+COUNTIFS($AL$2051:$AL$2550,1,$T$2051:$T$2550,T2476,$G$2051:$G$2550,"&gt;"&amp;G2476)+COUNTIFS($AL$2051:$AL$2550,1,$T$2051:$T$2550,T2476,$G$2051:$G$2550,G2476,$F$2051:$F$2550,"&gt;"&amp;F2476)+COUNTIFS($AL$2051:$AL$2550,1,$T$2051:$T$2550,T2476,$G$2051:$G$2550,G2476,$F$2051:$F$2550,F2476,$AM$2051:$AM$2550,"&lt;"&amp;AM2476))</x:f>
      </x:c>
      <x:c r="X2476" s="1" t="str">
        <x:f>IF(AL2476=0,"",1+COUNTIFS($AL$2051:$AL$2550,1,$T$2051:$T$2550,"&gt;"&amp;T2476))</x:f>
      </x:c>
      <x:c r="Y2476" s="1" t="n">
        <x:f>IF(AND(H2476="Yes",OR(LEN('School Search'!$B$5)=0,ISNUMBER(SEARCH('School Search'!$B$5,B2476&amp;" "&amp;E2476&amp;" "&amp;A2476))),OR('School Search'!$D$5="All",C2476='School Search'!$D$5),OR('School Search'!$G$5="All eligible",AND('School Search'!$G$5="Not marked served",J2476&lt;&gt;"Yes"),AND('School Search'!$G$5="Missing data",V2476="Missing data"),AND('School Search'!$G$5="Marked served",J2476="Yes"))),1,0)</x:f>
        <x:v>0</x:v>
      </x:c>
      <x:c r="Z2476" s="1" t="str">
        <x:f>IF(Y2476=0,"",COUNTIFS($Y$2051:$Y$2550,1,$AO$2051:$AO$2550,"&lt;"&amp;AO2476)+COUNTIFS($Y$2051:Y2476,1,$AO$2051:AO2476,AO2476))</x:f>
      </x:c>
      <x:c r="AA2476" s="1" t="str">
        <x:f>IF(NOT(ISNUMBER(S2476)),"Missing demographic or access input",TEXT(G2476,"0%")&amp;" economic need; "&amp;TEXT(K2476,"0.00")&amp;" mi fresh access; "&amp;L2476&amp;" nearby resources")</x:f>
        <x:v>Missing demographic or access input</x:v>
      </x:c>
      <x:c r="AB2476" s="1" t="n">
        <x:f>IF(OR(A2476="",COUNTIFS($A$1531:$A$2030,A2476)&lt;&gt;1),0,MATCH(A2476,$A$1531:$A$2030,0))</x:f>
        <x:v>0</x:v>
      </x:c>
      <x:c r="AC2476" s="1" t="str">
        <x:f>IF(AB2476=0,"",INDEX($E$1531:$E$2030,AB2476))</x:f>
      </x:c>
      <x:c r="AD2476" s="1" t="str">
        <x:f>IF(AB2476=0,"",INDEX($F$1531:$F$2030,AB2476))</x:f>
      </x:c>
      <x:c r="AE2476" s="1" t="str">
        <x:f>IF(A2476="","",F427)</x:f>
      </x:c>
      <x:c r="AF2476" s="1" t="str">
        <x:f>IF(ISNUMBER(I427),I427,"")</x:f>
      </x:c>
      <x:c r="AG2476" s="1" t="str">
        <x:f>IF(ISNUMBER(J427),J427,"")</x:f>
      </x:c>
      <x:c r="AH2476" s="1" t="str">
        <x:f>IF(I2476=0,"Not contacted",IF(INDEX('Staff Review'!$J$8:$J$507,I2476)="","Not contacted",INDEX('Staff Review'!$J$8:$J$507,I2476)))</x:f>
        <x:v>Not contacted</x:v>
      </x:c>
      <x:c r="AI2476" s="1" t="str">
        <x:f>IF(I2476=0,"No",IF(AND(COUNT(INDEX('Staff Review'!$D$8:$D$507,I2476))=1,INDEX('Staff Review'!$D$8:$D$507,I2476)&gt;=0,COUNT(INDEX('Staff Review'!$E$8:$E$507,I2476))=1,INDEX('Staff Review'!$E$8:$E$507,I2476)&gt;0,INDEX('Staff Review'!$E$8:$E$507,I2476)&lt;='Top 15'!$E$5,'Top 15'!$E$5-INDEX('Staff Review'!$E$8:$E$507,I2476)&lt;='Top 15'!$H$5,LEN(INDEX('Staff Review'!$H$8:$H$507,I2476))&gt;0),"Yes","No"))</x:f>
        <x:v>No</x:v>
      </x:c>
      <x:c r="AJ2476" s="1" t="str">
        <x:f>IF(I2476=0,"No",IF(COUNT(INDEX('Staff Review'!$F$8:$F$507,I2476))&lt;&gt;1,"No",IF(AND(INDEX('Staff Review'!$F$8:$F$507,I2476)&gt;=0,MOD(INDEX('Staff Review'!$F$8:$F$507,I2476),1)=0,COUNT(INDEX('Staff Review'!$G$8:$G$507,I2476))=1,INDEX('Staff Review'!$G$8:$G$507,I2476)&gt;0,INDEX('Staff Review'!$G$8:$G$507,I2476)&lt;='Top 15'!$E$5,'Top 15'!$E$5-INDEX('Staff Review'!$G$8:$G$507,I2476)&lt;='Top 15'!$H$5,LEN(INDEX('Staff Review'!$H$8:$H$507,I2476))&gt;0),"Yes","No")))</x:f>
        <x:v>No</x:v>
      </x:c>
      <x:c r="AK2476" s="1" t="n">
        <x:f>IF(A2476="",0,COUNTIFS($A$2:$A$501,A2476))</x:f>
        <x:v>0</x:v>
      </x:c>
      <x:c r="AL2476" s="1" t="n">
        <x:f>IF(V2476="Candidate",1,0)</x:f>
        <x:v>0</x:v>
      </x:c>
      <x:c r="AM2476" s="1" t="n">
        <x:f>IF(A2476="",0,VALUE(A2476))</x:f>
        <x:v>0</x:v>
      </x:c>
      <x:c r="AN2476" s="1" t="n">
        <x:f>IF(OR(A2476="",COUNTIFS($T$41:$T$540,A2476)&lt;&gt;1),0,MATCH(A2476,$T$41:$T$540,0))</x:f>
        <x:v>0</x:v>
      </x:c>
      <x:c r="AO2476" t="n">
        <x:f>IF(ISNUMBER(W2476),W2476,10000+AM2476)</x:f>
        <x:v>10000</x:v>
      </x:c>
    </x:row>
    <x:row r="2477" ht="22" customHeight="1">
      <x:c r="A2477" s="1" t="str">
        <x:f>IF(A428="","",A428)</x:f>
      </x:c>
      <x:c r="B2477" s="1" t="str">
        <x:f>IF(A2477="","",B428)</x:f>
      </x:c>
      <x:c r="C2477" s="1" t="str">
        <x:f>IF(A2477="","",C428)</x:f>
      </x:c>
      <x:c r="D2477" s="1" t="str">
        <x:f>IF(A2477="","",E428)</x:f>
      </x:c>
      <x:c r="E2477" s="1" t="str">
        <x:f>IF(A2477="","",H428)</x:f>
      </x:c>
      <x:c r="F2477" s="1" t="str">
        <x:f>IF(ISNUMBER(K428),K428,"")</x:f>
      </x:c>
      <x:c r="G2477" s="1" t="str">
        <x:f>IF(ISNUMBER(L428),L428,"")</x:f>
      </x:c>
      <x:c r="H2477" s="1" t="str">
        <x:f>IF(A2477="","",IF(AND(UPPER(G428)="PHILADELPHIA",OR(C2477="District",AND(C2477="Charter",D428="Yes"))),"Yes","No"))</x:f>
      </x:c>
      <x:c r="I2477" s="1" t="n">
        <x:f>IF(OR(A2477="",COUNTIFS('Staff Review'!$A$8:$A$507,A2477)&lt;&gt;1),0,MATCH(A2477,'Staff Review'!$A$8:$A$507,0))</x:f>
        <x:v>0</x:v>
      </x:c>
      <x:c r="J2477" s="1" t="str">
        <x:f>IF(I2477=0,"No",IF(INDEX('Staff Review'!$C$8:$C$507,I2477)="Yes","Yes","No"))</x:f>
        <x:v>No</x:v>
      </x:c>
      <x:c r="K2477" s="1" t="str">
        <x:f>IF(AI2477="Yes",INDEX('Staff Review'!$D$8:$D$507,I2477),IF(AB2477=0,"",IF(COUNT(INDEX($C$1531:$C$2030,AB2477))=1,INDEX($C$1531:$C$2030,AB2477),"")))</x:f>
      </x:c>
      <x:c r="L2477" s="1" t="str">
        <x:f>IF(AJ2477="Yes",INDEX('Staff Review'!$F$8:$F$507,I2477),IF(AB2477=0,"",IF(COUNT(INDEX($G$1531:$G$2030,AB2477))=1,INDEX($G$1531:$G$2030,AB2477),"")))</x:f>
      </x:c>
      <x:c r="M2477" s="1" t="str">
        <x:f>IF(A2477="","",IF(AI2477="Yes","Verified","Listed"))</x:f>
      </x:c>
      <x:c r="N2477" s="1" t="str">
        <x:f>IF(A2477="","",IF(AJ2477="Yes","Verified","Listed"))</x:f>
      </x:c>
      <x:c r="O2477" s="1" t="str">
        <x:f>IF(AND(ISNUMBER(G2477),G2477&gt;=0,G2477&lt;=1),IF(G2477&gt;=0.9,30,IF(G2477&gt;=0.8,25,IF(G2477&gt;=0.7,20,IF(G2477&gt;=0.6,15,IF(G2477&gt;=0.5,10,IF(G2477&gt;=0.4,5,0)))))),"")</x:f>
      </x:c>
      <x:c r="P2477" s="1" t="str">
        <x:f>IF(ISNUMBER(K2477),IF(K2477&lt;0,"",IF(K2477&gt;1,25,IF(K2477&gt;=0.75,20,IF(K2477&gt;=0.5,15,IF(K2477&gt;=0.25,10,5))))),"")</x:f>
      </x:c>
      <x:c r="Q2477" s="1" t="str">
        <x:f>IF(NOT(ISNUMBER(L2477)),"",IF(AND(L2477&gt;=0,MOD(L2477,1)=0),MAX(0,25-5*L2477),""))</x:f>
      </x:c>
      <x:c r="R2477" s="1" t="str">
        <x:f>IF(NOT(ISNUMBER(F2477)),"",IF(AND(F2477&gt;0,MOD(F2477,1)=0),IF(F2477&gt;=700,5,IF(F2477&gt;=500,4,IF(F2477&gt;=350,3,IF(F2477&gt;=200,2,1)))),""))</x:f>
      </x:c>
      <x:c r="S2477" s="1" t="str">
        <x:f>IF(COUNT(O2477:R2477)=4,SUM(O2477:R2477),"")</x:f>
      </x:c>
      <x:c r="T2477" s="1" t="str">
        <x:f>IF(OR(COUNT(O2477:R2477)&lt;&gt;4,COUNT('Top 15'!$B$35:$E$35)&lt;&gt;4,MIN('Top 15'!$B$35:$E$35)&lt;0,SUM('Top 15'!$B$35:$E$35)&lt;=0),"",ROUND(85*(O2477/30*'Top 15'!$B$35+P2477/25*'Top 15'!$C$35+Q2477/25*'Top 15'!$D$35+R2477/5*'Top 15'!$E$35)/SUM('Top 15'!$B$35:$E$35),6))</x:f>
      </x:c>
      <x:c r="U2477" s="1" t="str">
        <x:f>IF(A2477="","",IF(AND(M2477="Verified",N2477="Verified"),"Verified",IF(AND(M2477="Listed",N2477="Listed"),"Listed","Mixed")))</x:f>
      </x:c>
      <x:c r="V2477" s="1" t="str">
        <x:f>IF(A2477="","",IF(AK2477&lt;&gt;1,"Duplicate source ID",IF(COUNTIFS('Staff Review'!$A$8:$A$507,A2477)&gt;1,"Duplicate review ID",IF(H2477&lt;&gt;"Yes","Outside scope",IF(J2477="Yes","Already served",IF(NOT(ISNUMBER(T2477)),"Missing data","Candidate"))))))</x:f>
      </x:c>
      <x:c r="W2477" s="1" t="str">
        <x:f>IF(AL2477=0,"",1+COUNTIFS($AL$2051:$AL$2550,1,$T$2051:$T$2550,"&gt;"&amp;T2477)+COUNTIFS($AL$2051:$AL$2550,1,$T$2051:$T$2550,T2477,$G$2051:$G$2550,"&gt;"&amp;G2477)+COUNTIFS($AL$2051:$AL$2550,1,$T$2051:$T$2550,T2477,$G$2051:$G$2550,G2477,$F$2051:$F$2550,"&gt;"&amp;F2477)+COUNTIFS($AL$2051:$AL$2550,1,$T$2051:$T$2550,T2477,$G$2051:$G$2550,G2477,$F$2051:$F$2550,F2477,$AM$2051:$AM$2550,"&lt;"&amp;AM2477))</x:f>
      </x:c>
      <x:c r="X2477" s="1" t="str">
        <x:f>IF(AL2477=0,"",1+COUNTIFS($AL$2051:$AL$2550,1,$T$2051:$T$2550,"&gt;"&amp;T2477))</x:f>
      </x:c>
      <x:c r="Y2477" s="1" t="n">
        <x:f>IF(AND(H2477="Yes",OR(LEN('School Search'!$B$5)=0,ISNUMBER(SEARCH('School Search'!$B$5,B2477&amp;" "&amp;E2477&amp;" "&amp;A2477))),OR('School Search'!$D$5="All",C2477='School Search'!$D$5),OR('School Search'!$G$5="All eligible",AND('School Search'!$G$5="Not marked served",J2477&lt;&gt;"Yes"),AND('School Search'!$G$5="Missing data",V2477="Missing data"),AND('School Search'!$G$5="Marked served",J2477="Yes"))),1,0)</x:f>
        <x:v>0</x:v>
      </x:c>
      <x:c r="Z2477" s="1" t="str">
        <x:f>IF(Y2477=0,"",COUNTIFS($Y$2051:$Y$2550,1,$AO$2051:$AO$2550,"&lt;"&amp;AO2477)+COUNTIFS($Y$2051:Y2477,1,$AO$2051:AO2477,AO2477))</x:f>
      </x:c>
      <x:c r="AA2477" s="1" t="str">
        <x:f>IF(NOT(ISNUMBER(S2477)),"Missing demographic or access input",TEXT(G2477,"0%")&amp;" economic need; "&amp;TEXT(K2477,"0.00")&amp;" mi fresh access; "&amp;L2477&amp;" nearby resources")</x:f>
        <x:v>Missing demographic or access input</x:v>
      </x:c>
      <x:c r="AB2477" s="1" t="n">
        <x:f>IF(OR(A2477="",COUNTIFS($A$1531:$A$2030,A2477)&lt;&gt;1),0,MATCH(A2477,$A$1531:$A$2030,0))</x:f>
        <x:v>0</x:v>
      </x:c>
      <x:c r="AC2477" s="1" t="str">
        <x:f>IF(AB2477=0,"",INDEX($E$1531:$E$2030,AB2477))</x:f>
      </x:c>
      <x:c r="AD2477" s="1" t="str">
        <x:f>IF(AB2477=0,"",INDEX($F$1531:$F$2030,AB2477))</x:f>
      </x:c>
      <x:c r="AE2477" s="1" t="str">
        <x:f>IF(A2477="","",F428)</x:f>
      </x:c>
      <x:c r="AF2477" s="1" t="str">
        <x:f>IF(ISNUMBER(I428),I428,"")</x:f>
      </x:c>
      <x:c r="AG2477" s="1" t="str">
        <x:f>IF(ISNUMBER(J428),J428,"")</x:f>
      </x:c>
      <x:c r="AH2477" s="1" t="str">
        <x:f>IF(I2477=0,"Not contacted",IF(INDEX('Staff Review'!$J$8:$J$507,I2477)="","Not contacted",INDEX('Staff Review'!$J$8:$J$507,I2477)))</x:f>
        <x:v>Not contacted</x:v>
      </x:c>
      <x:c r="AI2477" s="1" t="str">
        <x:f>IF(I2477=0,"No",IF(AND(COUNT(INDEX('Staff Review'!$D$8:$D$507,I2477))=1,INDEX('Staff Review'!$D$8:$D$507,I2477)&gt;=0,COUNT(INDEX('Staff Review'!$E$8:$E$507,I2477))=1,INDEX('Staff Review'!$E$8:$E$507,I2477)&gt;0,INDEX('Staff Review'!$E$8:$E$507,I2477)&lt;='Top 15'!$E$5,'Top 15'!$E$5-INDEX('Staff Review'!$E$8:$E$507,I2477)&lt;='Top 15'!$H$5,LEN(INDEX('Staff Review'!$H$8:$H$507,I2477))&gt;0),"Yes","No"))</x:f>
        <x:v>No</x:v>
      </x:c>
      <x:c r="AJ2477" s="1" t="str">
        <x:f>IF(I2477=0,"No",IF(COUNT(INDEX('Staff Review'!$F$8:$F$507,I2477))&lt;&gt;1,"No",IF(AND(INDEX('Staff Review'!$F$8:$F$507,I2477)&gt;=0,MOD(INDEX('Staff Review'!$F$8:$F$507,I2477),1)=0,COUNT(INDEX('Staff Review'!$G$8:$G$507,I2477))=1,INDEX('Staff Review'!$G$8:$G$507,I2477)&gt;0,INDEX('Staff Review'!$G$8:$G$507,I2477)&lt;='Top 15'!$E$5,'Top 15'!$E$5-INDEX('Staff Review'!$G$8:$G$507,I2477)&lt;='Top 15'!$H$5,LEN(INDEX('Staff Review'!$H$8:$H$507,I2477))&gt;0),"Yes","No")))</x:f>
        <x:v>No</x:v>
      </x:c>
      <x:c r="AK2477" s="1" t="n">
        <x:f>IF(A2477="",0,COUNTIFS($A$2:$A$501,A2477))</x:f>
        <x:v>0</x:v>
      </x:c>
      <x:c r="AL2477" s="1" t="n">
        <x:f>IF(V2477="Candidate",1,0)</x:f>
        <x:v>0</x:v>
      </x:c>
      <x:c r="AM2477" s="1" t="n">
        <x:f>IF(A2477="",0,VALUE(A2477))</x:f>
        <x:v>0</x:v>
      </x:c>
      <x:c r="AN2477" s="1" t="n">
        <x:f>IF(OR(A2477="",COUNTIFS($T$41:$T$540,A2477)&lt;&gt;1),0,MATCH(A2477,$T$41:$T$540,0))</x:f>
        <x:v>0</x:v>
      </x:c>
      <x:c r="AO2477" t="n">
        <x:f>IF(ISNUMBER(W2477),W2477,10000+AM2477)</x:f>
        <x:v>10000</x:v>
      </x:c>
    </x:row>
    <x:row r="2478" ht="22" customHeight="1">
      <x:c r="A2478" s="1" t="str">
        <x:f>IF(A429="","",A429)</x:f>
      </x:c>
      <x:c r="B2478" s="1" t="str">
        <x:f>IF(A2478="","",B429)</x:f>
      </x:c>
      <x:c r="C2478" s="1" t="str">
        <x:f>IF(A2478="","",C429)</x:f>
      </x:c>
      <x:c r="D2478" s="1" t="str">
        <x:f>IF(A2478="","",E429)</x:f>
      </x:c>
      <x:c r="E2478" s="1" t="str">
        <x:f>IF(A2478="","",H429)</x:f>
      </x:c>
      <x:c r="F2478" s="1" t="str">
        <x:f>IF(ISNUMBER(K429),K429,"")</x:f>
      </x:c>
      <x:c r="G2478" s="1" t="str">
        <x:f>IF(ISNUMBER(L429),L429,"")</x:f>
      </x:c>
      <x:c r="H2478" s="1" t="str">
        <x:f>IF(A2478="","",IF(AND(UPPER(G429)="PHILADELPHIA",OR(C2478="District",AND(C2478="Charter",D429="Yes"))),"Yes","No"))</x:f>
      </x:c>
      <x:c r="I2478" s="1" t="n">
        <x:f>IF(OR(A2478="",COUNTIFS('Staff Review'!$A$8:$A$507,A2478)&lt;&gt;1),0,MATCH(A2478,'Staff Review'!$A$8:$A$507,0))</x:f>
        <x:v>0</x:v>
      </x:c>
      <x:c r="J2478" s="1" t="str">
        <x:f>IF(I2478=0,"No",IF(INDEX('Staff Review'!$C$8:$C$507,I2478)="Yes","Yes","No"))</x:f>
        <x:v>No</x:v>
      </x:c>
      <x:c r="K2478" s="1" t="str">
        <x:f>IF(AI2478="Yes",INDEX('Staff Review'!$D$8:$D$507,I2478),IF(AB2478=0,"",IF(COUNT(INDEX($C$1531:$C$2030,AB2478))=1,INDEX($C$1531:$C$2030,AB2478),"")))</x:f>
      </x:c>
      <x:c r="L2478" s="1" t="str">
        <x:f>IF(AJ2478="Yes",INDEX('Staff Review'!$F$8:$F$507,I2478),IF(AB2478=0,"",IF(COUNT(INDEX($G$1531:$G$2030,AB2478))=1,INDEX($G$1531:$G$2030,AB2478),"")))</x:f>
      </x:c>
      <x:c r="M2478" s="1" t="str">
        <x:f>IF(A2478="","",IF(AI2478="Yes","Verified","Listed"))</x:f>
      </x:c>
      <x:c r="N2478" s="1" t="str">
        <x:f>IF(A2478="","",IF(AJ2478="Yes","Verified","Listed"))</x:f>
      </x:c>
      <x:c r="O2478" s="1" t="str">
        <x:f>IF(AND(ISNUMBER(G2478),G2478&gt;=0,G2478&lt;=1),IF(G2478&gt;=0.9,30,IF(G2478&gt;=0.8,25,IF(G2478&gt;=0.7,20,IF(G2478&gt;=0.6,15,IF(G2478&gt;=0.5,10,IF(G2478&gt;=0.4,5,0)))))),"")</x:f>
      </x:c>
      <x:c r="P2478" s="1" t="str">
        <x:f>IF(ISNUMBER(K2478),IF(K2478&lt;0,"",IF(K2478&gt;1,25,IF(K2478&gt;=0.75,20,IF(K2478&gt;=0.5,15,IF(K2478&gt;=0.25,10,5))))),"")</x:f>
      </x:c>
      <x:c r="Q2478" s="1" t="str">
        <x:f>IF(NOT(ISNUMBER(L2478)),"",IF(AND(L2478&gt;=0,MOD(L2478,1)=0),MAX(0,25-5*L2478),""))</x:f>
      </x:c>
      <x:c r="R2478" s="1" t="str">
        <x:f>IF(NOT(ISNUMBER(F2478)),"",IF(AND(F2478&gt;0,MOD(F2478,1)=0),IF(F2478&gt;=700,5,IF(F2478&gt;=500,4,IF(F2478&gt;=350,3,IF(F2478&gt;=200,2,1)))),""))</x:f>
      </x:c>
      <x:c r="S2478" s="1" t="str">
        <x:f>IF(COUNT(O2478:R2478)=4,SUM(O2478:R2478),"")</x:f>
      </x:c>
      <x:c r="T2478" s="1" t="str">
        <x:f>IF(OR(COUNT(O2478:R2478)&lt;&gt;4,COUNT('Top 15'!$B$35:$E$35)&lt;&gt;4,MIN('Top 15'!$B$35:$E$35)&lt;0,SUM('Top 15'!$B$35:$E$35)&lt;=0),"",ROUND(85*(O2478/30*'Top 15'!$B$35+P2478/25*'Top 15'!$C$35+Q2478/25*'Top 15'!$D$35+R2478/5*'Top 15'!$E$35)/SUM('Top 15'!$B$35:$E$35),6))</x:f>
      </x:c>
      <x:c r="U2478" s="1" t="str">
        <x:f>IF(A2478="","",IF(AND(M2478="Verified",N2478="Verified"),"Verified",IF(AND(M2478="Listed",N2478="Listed"),"Listed","Mixed")))</x:f>
      </x:c>
      <x:c r="V2478" s="1" t="str">
        <x:f>IF(A2478="","",IF(AK2478&lt;&gt;1,"Duplicate source ID",IF(COUNTIFS('Staff Review'!$A$8:$A$507,A2478)&gt;1,"Duplicate review ID",IF(H2478&lt;&gt;"Yes","Outside scope",IF(J2478="Yes","Already served",IF(NOT(ISNUMBER(T2478)),"Missing data","Candidate"))))))</x:f>
      </x:c>
      <x:c r="W2478" s="1" t="str">
        <x:f>IF(AL2478=0,"",1+COUNTIFS($AL$2051:$AL$2550,1,$T$2051:$T$2550,"&gt;"&amp;T2478)+COUNTIFS($AL$2051:$AL$2550,1,$T$2051:$T$2550,T2478,$G$2051:$G$2550,"&gt;"&amp;G2478)+COUNTIFS($AL$2051:$AL$2550,1,$T$2051:$T$2550,T2478,$G$2051:$G$2550,G2478,$F$2051:$F$2550,"&gt;"&amp;F2478)+COUNTIFS($AL$2051:$AL$2550,1,$T$2051:$T$2550,T2478,$G$2051:$G$2550,G2478,$F$2051:$F$2550,F2478,$AM$2051:$AM$2550,"&lt;"&amp;AM2478))</x:f>
      </x:c>
      <x:c r="X2478" s="1" t="str">
        <x:f>IF(AL2478=0,"",1+COUNTIFS($AL$2051:$AL$2550,1,$T$2051:$T$2550,"&gt;"&amp;T2478))</x:f>
      </x:c>
      <x:c r="Y2478" s="1" t="n">
        <x:f>IF(AND(H2478="Yes",OR(LEN('School Search'!$B$5)=0,ISNUMBER(SEARCH('School Search'!$B$5,B2478&amp;" "&amp;E2478&amp;" "&amp;A2478))),OR('School Search'!$D$5="All",C2478='School Search'!$D$5),OR('School Search'!$G$5="All eligible",AND('School Search'!$G$5="Not marked served",J2478&lt;&gt;"Yes"),AND('School Search'!$G$5="Missing data",V2478="Missing data"),AND('School Search'!$G$5="Marked served",J2478="Yes"))),1,0)</x:f>
        <x:v>0</x:v>
      </x:c>
      <x:c r="Z2478" s="1" t="str">
        <x:f>IF(Y2478=0,"",COUNTIFS($Y$2051:$Y$2550,1,$AO$2051:$AO$2550,"&lt;"&amp;AO2478)+COUNTIFS($Y$2051:Y2478,1,$AO$2051:AO2478,AO2478))</x:f>
      </x:c>
      <x:c r="AA2478" s="1" t="str">
        <x:f>IF(NOT(ISNUMBER(S2478)),"Missing demographic or access input",TEXT(G2478,"0%")&amp;" economic need; "&amp;TEXT(K2478,"0.00")&amp;" mi fresh access; "&amp;L2478&amp;" nearby resources")</x:f>
        <x:v>Missing demographic or access input</x:v>
      </x:c>
      <x:c r="AB2478" s="1" t="n">
        <x:f>IF(OR(A2478="",COUNTIFS($A$1531:$A$2030,A2478)&lt;&gt;1),0,MATCH(A2478,$A$1531:$A$2030,0))</x:f>
        <x:v>0</x:v>
      </x:c>
      <x:c r="AC2478" s="1" t="str">
        <x:f>IF(AB2478=0,"",INDEX($E$1531:$E$2030,AB2478))</x:f>
      </x:c>
      <x:c r="AD2478" s="1" t="str">
        <x:f>IF(AB2478=0,"",INDEX($F$1531:$F$2030,AB2478))</x:f>
      </x:c>
      <x:c r="AE2478" s="1" t="str">
        <x:f>IF(A2478="","",F429)</x:f>
      </x:c>
      <x:c r="AF2478" s="1" t="str">
        <x:f>IF(ISNUMBER(I429),I429,"")</x:f>
      </x:c>
      <x:c r="AG2478" s="1" t="str">
        <x:f>IF(ISNUMBER(J429),J429,"")</x:f>
      </x:c>
      <x:c r="AH2478" s="1" t="str">
        <x:f>IF(I2478=0,"Not contacted",IF(INDEX('Staff Review'!$J$8:$J$507,I2478)="","Not contacted",INDEX('Staff Review'!$J$8:$J$507,I2478)))</x:f>
        <x:v>Not contacted</x:v>
      </x:c>
      <x:c r="AI2478" s="1" t="str">
        <x:f>IF(I2478=0,"No",IF(AND(COUNT(INDEX('Staff Review'!$D$8:$D$507,I2478))=1,INDEX('Staff Review'!$D$8:$D$507,I2478)&gt;=0,COUNT(INDEX('Staff Review'!$E$8:$E$507,I2478))=1,INDEX('Staff Review'!$E$8:$E$507,I2478)&gt;0,INDEX('Staff Review'!$E$8:$E$507,I2478)&lt;='Top 15'!$E$5,'Top 15'!$E$5-INDEX('Staff Review'!$E$8:$E$507,I2478)&lt;='Top 15'!$H$5,LEN(INDEX('Staff Review'!$H$8:$H$507,I2478))&gt;0),"Yes","No"))</x:f>
        <x:v>No</x:v>
      </x:c>
      <x:c r="AJ2478" s="1" t="str">
        <x:f>IF(I2478=0,"No",IF(COUNT(INDEX('Staff Review'!$F$8:$F$507,I2478))&lt;&gt;1,"No",IF(AND(INDEX('Staff Review'!$F$8:$F$507,I2478)&gt;=0,MOD(INDEX('Staff Review'!$F$8:$F$507,I2478),1)=0,COUNT(INDEX('Staff Review'!$G$8:$G$507,I2478))=1,INDEX('Staff Review'!$G$8:$G$507,I2478)&gt;0,INDEX('Staff Review'!$G$8:$G$507,I2478)&lt;='Top 15'!$E$5,'Top 15'!$E$5-INDEX('Staff Review'!$G$8:$G$507,I2478)&lt;='Top 15'!$H$5,LEN(INDEX('Staff Review'!$H$8:$H$507,I2478))&gt;0),"Yes","No")))</x:f>
        <x:v>No</x:v>
      </x:c>
      <x:c r="AK2478" s="1" t="n">
        <x:f>IF(A2478="",0,COUNTIFS($A$2:$A$501,A2478))</x:f>
        <x:v>0</x:v>
      </x:c>
      <x:c r="AL2478" s="1" t="n">
        <x:f>IF(V2478="Candidate",1,0)</x:f>
        <x:v>0</x:v>
      </x:c>
      <x:c r="AM2478" s="1" t="n">
        <x:f>IF(A2478="",0,VALUE(A2478))</x:f>
        <x:v>0</x:v>
      </x:c>
      <x:c r="AN2478" s="1" t="n">
        <x:f>IF(OR(A2478="",COUNTIFS($T$41:$T$540,A2478)&lt;&gt;1),0,MATCH(A2478,$T$41:$T$540,0))</x:f>
        <x:v>0</x:v>
      </x:c>
      <x:c r="AO2478" t="n">
        <x:f>IF(ISNUMBER(W2478),W2478,10000+AM2478)</x:f>
        <x:v>10000</x:v>
      </x:c>
    </x:row>
    <x:row r="2479" ht="22" customHeight="1">
      <x:c r="A2479" s="1" t="str">
        <x:f>IF(A430="","",A430)</x:f>
      </x:c>
      <x:c r="B2479" s="1" t="str">
        <x:f>IF(A2479="","",B430)</x:f>
      </x:c>
      <x:c r="C2479" s="1" t="str">
        <x:f>IF(A2479="","",C430)</x:f>
      </x:c>
      <x:c r="D2479" s="1" t="str">
        <x:f>IF(A2479="","",E430)</x:f>
      </x:c>
      <x:c r="E2479" s="1" t="str">
        <x:f>IF(A2479="","",H430)</x:f>
      </x:c>
      <x:c r="F2479" s="1" t="str">
        <x:f>IF(ISNUMBER(K430),K430,"")</x:f>
      </x:c>
      <x:c r="G2479" s="1" t="str">
        <x:f>IF(ISNUMBER(L430),L430,"")</x:f>
      </x:c>
      <x:c r="H2479" s="1" t="str">
        <x:f>IF(A2479="","",IF(AND(UPPER(G430)="PHILADELPHIA",OR(C2479="District",AND(C2479="Charter",D430="Yes"))),"Yes","No"))</x:f>
      </x:c>
      <x:c r="I2479" s="1" t="n">
        <x:f>IF(OR(A2479="",COUNTIFS('Staff Review'!$A$8:$A$507,A2479)&lt;&gt;1),0,MATCH(A2479,'Staff Review'!$A$8:$A$507,0))</x:f>
        <x:v>0</x:v>
      </x:c>
      <x:c r="J2479" s="1" t="str">
        <x:f>IF(I2479=0,"No",IF(INDEX('Staff Review'!$C$8:$C$507,I2479)="Yes","Yes","No"))</x:f>
        <x:v>No</x:v>
      </x:c>
      <x:c r="K2479" s="1" t="str">
        <x:f>IF(AI2479="Yes",INDEX('Staff Review'!$D$8:$D$507,I2479),IF(AB2479=0,"",IF(COUNT(INDEX($C$1531:$C$2030,AB2479))=1,INDEX($C$1531:$C$2030,AB2479),"")))</x:f>
      </x:c>
      <x:c r="L2479" s="1" t="str">
        <x:f>IF(AJ2479="Yes",INDEX('Staff Review'!$F$8:$F$507,I2479),IF(AB2479=0,"",IF(COUNT(INDEX($G$1531:$G$2030,AB2479))=1,INDEX($G$1531:$G$2030,AB2479),"")))</x:f>
      </x:c>
      <x:c r="M2479" s="1" t="str">
        <x:f>IF(A2479="","",IF(AI2479="Yes","Verified","Listed"))</x:f>
      </x:c>
      <x:c r="N2479" s="1" t="str">
        <x:f>IF(A2479="","",IF(AJ2479="Yes","Verified","Listed"))</x:f>
      </x:c>
      <x:c r="O2479" s="1" t="str">
        <x:f>IF(AND(ISNUMBER(G2479),G2479&gt;=0,G2479&lt;=1),IF(G2479&gt;=0.9,30,IF(G2479&gt;=0.8,25,IF(G2479&gt;=0.7,20,IF(G2479&gt;=0.6,15,IF(G2479&gt;=0.5,10,IF(G2479&gt;=0.4,5,0)))))),"")</x:f>
      </x:c>
      <x:c r="P2479" s="1" t="str">
        <x:f>IF(ISNUMBER(K2479),IF(K2479&lt;0,"",IF(K2479&gt;1,25,IF(K2479&gt;=0.75,20,IF(K2479&gt;=0.5,15,IF(K2479&gt;=0.25,10,5))))),"")</x:f>
      </x:c>
      <x:c r="Q2479" s="1" t="str">
        <x:f>IF(NOT(ISNUMBER(L2479)),"",IF(AND(L2479&gt;=0,MOD(L2479,1)=0),MAX(0,25-5*L2479),""))</x:f>
      </x:c>
      <x:c r="R2479" s="1" t="str">
        <x:f>IF(NOT(ISNUMBER(F2479)),"",IF(AND(F2479&gt;0,MOD(F2479,1)=0),IF(F2479&gt;=700,5,IF(F2479&gt;=500,4,IF(F2479&gt;=350,3,IF(F2479&gt;=200,2,1)))),""))</x:f>
      </x:c>
      <x:c r="S2479" s="1" t="str">
        <x:f>IF(COUNT(O2479:R2479)=4,SUM(O2479:R2479),"")</x:f>
      </x:c>
      <x:c r="T2479" s="1" t="str">
        <x:f>IF(OR(COUNT(O2479:R2479)&lt;&gt;4,COUNT('Top 15'!$B$35:$E$35)&lt;&gt;4,MIN('Top 15'!$B$35:$E$35)&lt;0,SUM('Top 15'!$B$35:$E$35)&lt;=0),"",ROUND(85*(O2479/30*'Top 15'!$B$35+P2479/25*'Top 15'!$C$35+Q2479/25*'Top 15'!$D$35+R2479/5*'Top 15'!$E$35)/SUM('Top 15'!$B$35:$E$35),6))</x:f>
      </x:c>
      <x:c r="U2479" s="1" t="str">
        <x:f>IF(A2479="","",IF(AND(M2479="Verified",N2479="Verified"),"Verified",IF(AND(M2479="Listed",N2479="Listed"),"Listed","Mixed")))</x:f>
      </x:c>
      <x:c r="V2479" s="1" t="str">
        <x:f>IF(A2479="","",IF(AK2479&lt;&gt;1,"Duplicate source ID",IF(COUNTIFS('Staff Review'!$A$8:$A$507,A2479)&gt;1,"Duplicate review ID",IF(H2479&lt;&gt;"Yes","Outside scope",IF(J2479="Yes","Already served",IF(NOT(ISNUMBER(T2479)),"Missing data","Candidate"))))))</x:f>
      </x:c>
      <x:c r="W2479" s="1" t="str">
        <x:f>IF(AL2479=0,"",1+COUNTIFS($AL$2051:$AL$2550,1,$T$2051:$T$2550,"&gt;"&amp;T2479)+COUNTIFS($AL$2051:$AL$2550,1,$T$2051:$T$2550,T2479,$G$2051:$G$2550,"&gt;"&amp;G2479)+COUNTIFS($AL$2051:$AL$2550,1,$T$2051:$T$2550,T2479,$G$2051:$G$2550,G2479,$F$2051:$F$2550,"&gt;"&amp;F2479)+COUNTIFS($AL$2051:$AL$2550,1,$T$2051:$T$2550,T2479,$G$2051:$G$2550,G2479,$F$2051:$F$2550,F2479,$AM$2051:$AM$2550,"&lt;"&amp;AM2479))</x:f>
      </x:c>
      <x:c r="X2479" s="1" t="str">
        <x:f>IF(AL2479=0,"",1+COUNTIFS($AL$2051:$AL$2550,1,$T$2051:$T$2550,"&gt;"&amp;T2479))</x:f>
      </x:c>
      <x:c r="Y2479" s="1" t="n">
        <x:f>IF(AND(H2479="Yes",OR(LEN('School Search'!$B$5)=0,ISNUMBER(SEARCH('School Search'!$B$5,B2479&amp;" "&amp;E2479&amp;" "&amp;A2479))),OR('School Search'!$D$5="All",C2479='School Search'!$D$5),OR('School Search'!$G$5="All eligible",AND('School Search'!$G$5="Not marked served",J2479&lt;&gt;"Yes"),AND('School Search'!$G$5="Missing data",V2479="Missing data"),AND('School Search'!$G$5="Marked served",J2479="Yes"))),1,0)</x:f>
        <x:v>0</x:v>
      </x:c>
      <x:c r="Z2479" s="1" t="str">
        <x:f>IF(Y2479=0,"",COUNTIFS($Y$2051:$Y$2550,1,$AO$2051:$AO$2550,"&lt;"&amp;AO2479)+COUNTIFS($Y$2051:Y2479,1,$AO$2051:AO2479,AO2479))</x:f>
      </x:c>
      <x:c r="AA2479" s="1" t="str">
        <x:f>IF(NOT(ISNUMBER(S2479)),"Missing demographic or access input",TEXT(G2479,"0%")&amp;" economic need; "&amp;TEXT(K2479,"0.00")&amp;" mi fresh access; "&amp;L2479&amp;" nearby resources")</x:f>
        <x:v>Missing demographic or access input</x:v>
      </x:c>
      <x:c r="AB2479" s="1" t="n">
        <x:f>IF(OR(A2479="",COUNTIFS($A$1531:$A$2030,A2479)&lt;&gt;1),0,MATCH(A2479,$A$1531:$A$2030,0))</x:f>
        <x:v>0</x:v>
      </x:c>
      <x:c r="AC2479" s="1" t="str">
        <x:f>IF(AB2479=0,"",INDEX($E$1531:$E$2030,AB2479))</x:f>
      </x:c>
      <x:c r="AD2479" s="1" t="str">
        <x:f>IF(AB2479=0,"",INDEX($F$1531:$F$2030,AB2479))</x:f>
      </x:c>
      <x:c r="AE2479" s="1" t="str">
        <x:f>IF(A2479="","",F430)</x:f>
      </x:c>
      <x:c r="AF2479" s="1" t="str">
        <x:f>IF(ISNUMBER(I430),I430,"")</x:f>
      </x:c>
      <x:c r="AG2479" s="1" t="str">
        <x:f>IF(ISNUMBER(J430),J430,"")</x:f>
      </x:c>
      <x:c r="AH2479" s="1" t="str">
        <x:f>IF(I2479=0,"Not contacted",IF(INDEX('Staff Review'!$J$8:$J$507,I2479)="","Not contacted",INDEX('Staff Review'!$J$8:$J$507,I2479)))</x:f>
        <x:v>Not contacted</x:v>
      </x:c>
      <x:c r="AI2479" s="1" t="str">
        <x:f>IF(I2479=0,"No",IF(AND(COUNT(INDEX('Staff Review'!$D$8:$D$507,I2479))=1,INDEX('Staff Review'!$D$8:$D$507,I2479)&gt;=0,COUNT(INDEX('Staff Review'!$E$8:$E$507,I2479))=1,INDEX('Staff Review'!$E$8:$E$507,I2479)&gt;0,INDEX('Staff Review'!$E$8:$E$507,I2479)&lt;='Top 15'!$E$5,'Top 15'!$E$5-INDEX('Staff Review'!$E$8:$E$507,I2479)&lt;='Top 15'!$H$5,LEN(INDEX('Staff Review'!$H$8:$H$507,I2479))&gt;0),"Yes","No"))</x:f>
        <x:v>No</x:v>
      </x:c>
      <x:c r="AJ2479" s="1" t="str">
        <x:f>IF(I2479=0,"No",IF(COUNT(INDEX('Staff Review'!$F$8:$F$507,I2479))&lt;&gt;1,"No",IF(AND(INDEX('Staff Review'!$F$8:$F$507,I2479)&gt;=0,MOD(INDEX('Staff Review'!$F$8:$F$507,I2479),1)=0,COUNT(INDEX('Staff Review'!$G$8:$G$507,I2479))=1,INDEX('Staff Review'!$G$8:$G$507,I2479)&gt;0,INDEX('Staff Review'!$G$8:$G$507,I2479)&lt;='Top 15'!$E$5,'Top 15'!$E$5-INDEX('Staff Review'!$G$8:$G$507,I2479)&lt;='Top 15'!$H$5,LEN(INDEX('Staff Review'!$H$8:$H$507,I2479))&gt;0),"Yes","No")))</x:f>
        <x:v>No</x:v>
      </x:c>
      <x:c r="AK2479" s="1" t="n">
        <x:f>IF(A2479="",0,COUNTIFS($A$2:$A$501,A2479))</x:f>
        <x:v>0</x:v>
      </x:c>
      <x:c r="AL2479" s="1" t="n">
        <x:f>IF(V2479="Candidate",1,0)</x:f>
        <x:v>0</x:v>
      </x:c>
      <x:c r="AM2479" s="1" t="n">
        <x:f>IF(A2479="",0,VALUE(A2479))</x:f>
        <x:v>0</x:v>
      </x:c>
      <x:c r="AN2479" s="1" t="n">
        <x:f>IF(OR(A2479="",COUNTIFS($T$41:$T$540,A2479)&lt;&gt;1),0,MATCH(A2479,$T$41:$T$540,0))</x:f>
        <x:v>0</x:v>
      </x:c>
      <x:c r="AO2479" t="n">
        <x:f>IF(ISNUMBER(W2479),W2479,10000+AM2479)</x:f>
        <x:v>10000</x:v>
      </x:c>
    </x:row>
    <x:row r="2480" ht="22" customHeight="1">
      <x:c r="A2480" s="1" t="str">
        <x:f>IF(A431="","",A431)</x:f>
      </x:c>
      <x:c r="B2480" s="1" t="str">
        <x:f>IF(A2480="","",B431)</x:f>
      </x:c>
      <x:c r="C2480" s="1" t="str">
        <x:f>IF(A2480="","",C431)</x:f>
      </x:c>
      <x:c r="D2480" s="1" t="str">
        <x:f>IF(A2480="","",E431)</x:f>
      </x:c>
      <x:c r="E2480" s="1" t="str">
        <x:f>IF(A2480="","",H431)</x:f>
      </x:c>
      <x:c r="F2480" s="1" t="str">
        <x:f>IF(ISNUMBER(K431),K431,"")</x:f>
      </x:c>
      <x:c r="G2480" s="1" t="str">
        <x:f>IF(ISNUMBER(L431),L431,"")</x:f>
      </x:c>
      <x:c r="H2480" s="1" t="str">
        <x:f>IF(A2480="","",IF(AND(UPPER(G431)="PHILADELPHIA",OR(C2480="District",AND(C2480="Charter",D431="Yes"))),"Yes","No"))</x:f>
      </x:c>
      <x:c r="I2480" s="1" t="n">
        <x:f>IF(OR(A2480="",COUNTIFS('Staff Review'!$A$8:$A$507,A2480)&lt;&gt;1),0,MATCH(A2480,'Staff Review'!$A$8:$A$507,0))</x:f>
        <x:v>0</x:v>
      </x:c>
      <x:c r="J2480" s="1" t="str">
        <x:f>IF(I2480=0,"No",IF(INDEX('Staff Review'!$C$8:$C$507,I2480)="Yes","Yes","No"))</x:f>
        <x:v>No</x:v>
      </x:c>
      <x:c r="K2480" s="1" t="str">
        <x:f>IF(AI2480="Yes",INDEX('Staff Review'!$D$8:$D$507,I2480),IF(AB2480=0,"",IF(COUNT(INDEX($C$1531:$C$2030,AB2480))=1,INDEX($C$1531:$C$2030,AB2480),"")))</x:f>
      </x:c>
      <x:c r="L2480" s="1" t="str">
        <x:f>IF(AJ2480="Yes",INDEX('Staff Review'!$F$8:$F$507,I2480),IF(AB2480=0,"",IF(COUNT(INDEX($G$1531:$G$2030,AB2480))=1,INDEX($G$1531:$G$2030,AB2480),"")))</x:f>
      </x:c>
      <x:c r="M2480" s="1" t="str">
        <x:f>IF(A2480="","",IF(AI2480="Yes","Verified","Listed"))</x:f>
      </x:c>
      <x:c r="N2480" s="1" t="str">
        <x:f>IF(A2480="","",IF(AJ2480="Yes","Verified","Listed"))</x:f>
      </x:c>
      <x:c r="O2480" s="1" t="str">
        <x:f>IF(AND(ISNUMBER(G2480),G2480&gt;=0,G2480&lt;=1),IF(G2480&gt;=0.9,30,IF(G2480&gt;=0.8,25,IF(G2480&gt;=0.7,20,IF(G2480&gt;=0.6,15,IF(G2480&gt;=0.5,10,IF(G2480&gt;=0.4,5,0)))))),"")</x:f>
      </x:c>
      <x:c r="P2480" s="1" t="str">
        <x:f>IF(ISNUMBER(K2480),IF(K2480&lt;0,"",IF(K2480&gt;1,25,IF(K2480&gt;=0.75,20,IF(K2480&gt;=0.5,15,IF(K2480&gt;=0.25,10,5))))),"")</x:f>
      </x:c>
      <x:c r="Q2480" s="1" t="str">
        <x:f>IF(NOT(ISNUMBER(L2480)),"",IF(AND(L2480&gt;=0,MOD(L2480,1)=0),MAX(0,25-5*L2480),""))</x:f>
      </x:c>
      <x:c r="R2480" s="1" t="str">
        <x:f>IF(NOT(ISNUMBER(F2480)),"",IF(AND(F2480&gt;0,MOD(F2480,1)=0),IF(F2480&gt;=700,5,IF(F2480&gt;=500,4,IF(F2480&gt;=350,3,IF(F2480&gt;=200,2,1)))),""))</x:f>
      </x:c>
      <x:c r="S2480" s="1" t="str">
        <x:f>IF(COUNT(O2480:R2480)=4,SUM(O2480:R2480),"")</x:f>
      </x:c>
      <x:c r="T2480" s="1" t="str">
        <x:f>IF(OR(COUNT(O2480:R2480)&lt;&gt;4,COUNT('Top 15'!$B$35:$E$35)&lt;&gt;4,MIN('Top 15'!$B$35:$E$35)&lt;0,SUM('Top 15'!$B$35:$E$35)&lt;=0),"",ROUND(85*(O2480/30*'Top 15'!$B$35+P2480/25*'Top 15'!$C$35+Q2480/25*'Top 15'!$D$35+R2480/5*'Top 15'!$E$35)/SUM('Top 15'!$B$35:$E$35),6))</x:f>
      </x:c>
      <x:c r="U2480" s="1" t="str">
        <x:f>IF(A2480="","",IF(AND(M2480="Verified",N2480="Verified"),"Verified",IF(AND(M2480="Listed",N2480="Listed"),"Listed","Mixed")))</x:f>
      </x:c>
      <x:c r="V2480" s="1" t="str">
        <x:f>IF(A2480="","",IF(AK2480&lt;&gt;1,"Duplicate source ID",IF(COUNTIFS('Staff Review'!$A$8:$A$507,A2480)&gt;1,"Duplicate review ID",IF(H2480&lt;&gt;"Yes","Outside scope",IF(J2480="Yes","Already served",IF(NOT(ISNUMBER(T2480)),"Missing data","Candidate"))))))</x:f>
      </x:c>
      <x:c r="W2480" s="1" t="str">
        <x:f>IF(AL2480=0,"",1+COUNTIFS($AL$2051:$AL$2550,1,$T$2051:$T$2550,"&gt;"&amp;T2480)+COUNTIFS($AL$2051:$AL$2550,1,$T$2051:$T$2550,T2480,$G$2051:$G$2550,"&gt;"&amp;G2480)+COUNTIFS($AL$2051:$AL$2550,1,$T$2051:$T$2550,T2480,$G$2051:$G$2550,G2480,$F$2051:$F$2550,"&gt;"&amp;F2480)+COUNTIFS($AL$2051:$AL$2550,1,$T$2051:$T$2550,T2480,$G$2051:$G$2550,G2480,$F$2051:$F$2550,F2480,$AM$2051:$AM$2550,"&lt;"&amp;AM2480))</x:f>
      </x:c>
      <x:c r="X2480" s="1" t="str">
        <x:f>IF(AL2480=0,"",1+COUNTIFS($AL$2051:$AL$2550,1,$T$2051:$T$2550,"&gt;"&amp;T2480))</x:f>
      </x:c>
      <x:c r="Y2480" s="1" t="n">
        <x:f>IF(AND(H2480="Yes",OR(LEN('School Search'!$B$5)=0,ISNUMBER(SEARCH('School Search'!$B$5,B2480&amp;" "&amp;E2480&amp;" "&amp;A2480))),OR('School Search'!$D$5="All",C2480='School Search'!$D$5),OR('School Search'!$G$5="All eligible",AND('School Search'!$G$5="Not marked served",J2480&lt;&gt;"Yes"),AND('School Search'!$G$5="Missing data",V2480="Missing data"),AND('School Search'!$G$5="Marked served",J2480="Yes"))),1,0)</x:f>
        <x:v>0</x:v>
      </x:c>
      <x:c r="Z2480" s="1" t="str">
        <x:f>IF(Y2480=0,"",COUNTIFS($Y$2051:$Y$2550,1,$AO$2051:$AO$2550,"&lt;"&amp;AO2480)+COUNTIFS($Y$2051:Y2480,1,$AO$2051:AO2480,AO2480))</x:f>
      </x:c>
      <x:c r="AA2480" s="1" t="str">
        <x:f>IF(NOT(ISNUMBER(S2480)),"Missing demographic or access input",TEXT(G2480,"0%")&amp;" economic need; "&amp;TEXT(K2480,"0.00")&amp;" mi fresh access; "&amp;L2480&amp;" nearby resources")</x:f>
        <x:v>Missing demographic or access input</x:v>
      </x:c>
      <x:c r="AB2480" s="1" t="n">
        <x:f>IF(OR(A2480="",COUNTIFS($A$1531:$A$2030,A2480)&lt;&gt;1),0,MATCH(A2480,$A$1531:$A$2030,0))</x:f>
        <x:v>0</x:v>
      </x:c>
      <x:c r="AC2480" s="1" t="str">
        <x:f>IF(AB2480=0,"",INDEX($E$1531:$E$2030,AB2480))</x:f>
      </x:c>
      <x:c r="AD2480" s="1" t="str">
        <x:f>IF(AB2480=0,"",INDEX($F$1531:$F$2030,AB2480))</x:f>
      </x:c>
      <x:c r="AE2480" s="1" t="str">
        <x:f>IF(A2480="","",F431)</x:f>
      </x:c>
      <x:c r="AF2480" s="1" t="str">
        <x:f>IF(ISNUMBER(I431),I431,"")</x:f>
      </x:c>
      <x:c r="AG2480" s="1" t="str">
        <x:f>IF(ISNUMBER(J431),J431,"")</x:f>
      </x:c>
      <x:c r="AH2480" s="1" t="str">
        <x:f>IF(I2480=0,"Not contacted",IF(INDEX('Staff Review'!$J$8:$J$507,I2480)="","Not contacted",INDEX('Staff Review'!$J$8:$J$507,I2480)))</x:f>
        <x:v>Not contacted</x:v>
      </x:c>
      <x:c r="AI2480" s="1" t="str">
        <x:f>IF(I2480=0,"No",IF(AND(COUNT(INDEX('Staff Review'!$D$8:$D$507,I2480))=1,INDEX('Staff Review'!$D$8:$D$507,I2480)&gt;=0,COUNT(INDEX('Staff Review'!$E$8:$E$507,I2480))=1,INDEX('Staff Review'!$E$8:$E$507,I2480)&gt;0,INDEX('Staff Review'!$E$8:$E$507,I2480)&lt;='Top 15'!$E$5,'Top 15'!$E$5-INDEX('Staff Review'!$E$8:$E$507,I2480)&lt;='Top 15'!$H$5,LEN(INDEX('Staff Review'!$H$8:$H$507,I2480))&gt;0),"Yes","No"))</x:f>
        <x:v>No</x:v>
      </x:c>
      <x:c r="AJ2480" s="1" t="str">
        <x:f>IF(I2480=0,"No",IF(COUNT(INDEX('Staff Review'!$F$8:$F$507,I2480))&lt;&gt;1,"No",IF(AND(INDEX('Staff Review'!$F$8:$F$507,I2480)&gt;=0,MOD(INDEX('Staff Review'!$F$8:$F$507,I2480),1)=0,COUNT(INDEX('Staff Review'!$G$8:$G$507,I2480))=1,INDEX('Staff Review'!$G$8:$G$507,I2480)&gt;0,INDEX('Staff Review'!$G$8:$G$507,I2480)&lt;='Top 15'!$E$5,'Top 15'!$E$5-INDEX('Staff Review'!$G$8:$G$507,I2480)&lt;='Top 15'!$H$5,LEN(INDEX('Staff Review'!$H$8:$H$507,I2480))&gt;0),"Yes","No")))</x:f>
        <x:v>No</x:v>
      </x:c>
      <x:c r="AK2480" s="1" t="n">
        <x:f>IF(A2480="",0,COUNTIFS($A$2:$A$501,A2480))</x:f>
        <x:v>0</x:v>
      </x:c>
      <x:c r="AL2480" s="1" t="n">
        <x:f>IF(V2480="Candidate",1,0)</x:f>
        <x:v>0</x:v>
      </x:c>
      <x:c r="AM2480" s="1" t="n">
        <x:f>IF(A2480="",0,VALUE(A2480))</x:f>
        <x:v>0</x:v>
      </x:c>
      <x:c r="AN2480" s="1" t="n">
        <x:f>IF(OR(A2480="",COUNTIFS($T$41:$T$540,A2480)&lt;&gt;1),0,MATCH(A2480,$T$41:$T$540,0))</x:f>
        <x:v>0</x:v>
      </x:c>
      <x:c r="AO2480" t="n">
        <x:f>IF(ISNUMBER(W2480),W2480,10000+AM2480)</x:f>
        <x:v>10000</x:v>
      </x:c>
    </x:row>
    <x:row r="2481" ht="22" customHeight="1">
      <x:c r="A2481" s="1" t="str">
        <x:f>IF(A432="","",A432)</x:f>
      </x:c>
      <x:c r="B2481" s="1" t="str">
        <x:f>IF(A2481="","",B432)</x:f>
      </x:c>
      <x:c r="C2481" s="1" t="str">
        <x:f>IF(A2481="","",C432)</x:f>
      </x:c>
      <x:c r="D2481" s="1" t="str">
        <x:f>IF(A2481="","",E432)</x:f>
      </x:c>
      <x:c r="E2481" s="1" t="str">
        <x:f>IF(A2481="","",H432)</x:f>
      </x:c>
      <x:c r="F2481" s="1" t="str">
        <x:f>IF(ISNUMBER(K432),K432,"")</x:f>
      </x:c>
      <x:c r="G2481" s="1" t="str">
        <x:f>IF(ISNUMBER(L432),L432,"")</x:f>
      </x:c>
      <x:c r="H2481" s="1" t="str">
        <x:f>IF(A2481="","",IF(AND(UPPER(G432)="PHILADELPHIA",OR(C2481="District",AND(C2481="Charter",D432="Yes"))),"Yes","No"))</x:f>
      </x:c>
      <x:c r="I2481" s="1" t="n">
        <x:f>IF(OR(A2481="",COUNTIFS('Staff Review'!$A$8:$A$507,A2481)&lt;&gt;1),0,MATCH(A2481,'Staff Review'!$A$8:$A$507,0))</x:f>
        <x:v>0</x:v>
      </x:c>
      <x:c r="J2481" s="1" t="str">
        <x:f>IF(I2481=0,"No",IF(INDEX('Staff Review'!$C$8:$C$507,I2481)="Yes","Yes","No"))</x:f>
        <x:v>No</x:v>
      </x:c>
      <x:c r="K2481" s="1" t="str">
        <x:f>IF(AI2481="Yes",INDEX('Staff Review'!$D$8:$D$507,I2481),IF(AB2481=0,"",IF(COUNT(INDEX($C$1531:$C$2030,AB2481))=1,INDEX($C$1531:$C$2030,AB2481),"")))</x:f>
      </x:c>
      <x:c r="L2481" s="1" t="str">
        <x:f>IF(AJ2481="Yes",INDEX('Staff Review'!$F$8:$F$507,I2481),IF(AB2481=0,"",IF(COUNT(INDEX($G$1531:$G$2030,AB2481))=1,INDEX($G$1531:$G$2030,AB2481),"")))</x:f>
      </x:c>
      <x:c r="M2481" s="1" t="str">
        <x:f>IF(A2481="","",IF(AI2481="Yes","Verified","Listed"))</x:f>
      </x:c>
      <x:c r="N2481" s="1" t="str">
        <x:f>IF(A2481="","",IF(AJ2481="Yes","Verified","Listed"))</x:f>
      </x:c>
      <x:c r="O2481" s="1" t="str">
        <x:f>IF(AND(ISNUMBER(G2481),G2481&gt;=0,G2481&lt;=1),IF(G2481&gt;=0.9,30,IF(G2481&gt;=0.8,25,IF(G2481&gt;=0.7,20,IF(G2481&gt;=0.6,15,IF(G2481&gt;=0.5,10,IF(G2481&gt;=0.4,5,0)))))),"")</x:f>
      </x:c>
      <x:c r="P2481" s="1" t="str">
        <x:f>IF(ISNUMBER(K2481),IF(K2481&lt;0,"",IF(K2481&gt;1,25,IF(K2481&gt;=0.75,20,IF(K2481&gt;=0.5,15,IF(K2481&gt;=0.25,10,5))))),"")</x:f>
      </x:c>
      <x:c r="Q2481" s="1" t="str">
        <x:f>IF(NOT(ISNUMBER(L2481)),"",IF(AND(L2481&gt;=0,MOD(L2481,1)=0),MAX(0,25-5*L2481),""))</x:f>
      </x:c>
      <x:c r="R2481" s="1" t="str">
        <x:f>IF(NOT(ISNUMBER(F2481)),"",IF(AND(F2481&gt;0,MOD(F2481,1)=0),IF(F2481&gt;=700,5,IF(F2481&gt;=500,4,IF(F2481&gt;=350,3,IF(F2481&gt;=200,2,1)))),""))</x:f>
      </x:c>
      <x:c r="S2481" s="1" t="str">
        <x:f>IF(COUNT(O2481:R2481)=4,SUM(O2481:R2481),"")</x:f>
      </x:c>
      <x:c r="T2481" s="1" t="str">
        <x:f>IF(OR(COUNT(O2481:R2481)&lt;&gt;4,COUNT('Top 15'!$B$35:$E$35)&lt;&gt;4,MIN('Top 15'!$B$35:$E$35)&lt;0,SUM('Top 15'!$B$35:$E$35)&lt;=0),"",ROUND(85*(O2481/30*'Top 15'!$B$35+P2481/25*'Top 15'!$C$35+Q2481/25*'Top 15'!$D$35+R2481/5*'Top 15'!$E$35)/SUM('Top 15'!$B$35:$E$35),6))</x:f>
      </x:c>
      <x:c r="U2481" s="1" t="str">
        <x:f>IF(A2481="","",IF(AND(M2481="Verified",N2481="Verified"),"Verified",IF(AND(M2481="Listed",N2481="Listed"),"Listed","Mixed")))</x:f>
      </x:c>
      <x:c r="V2481" s="1" t="str">
        <x:f>IF(A2481="","",IF(AK2481&lt;&gt;1,"Duplicate source ID",IF(COUNTIFS('Staff Review'!$A$8:$A$507,A2481)&gt;1,"Duplicate review ID",IF(H2481&lt;&gt;"Yes","Outside scope",IF(J2481="Yes","Already served",IF(NOT(ISNUMBER(T2481)),"Missing data","Candidate"))))))</x:f>
      </x:c>
      <x:c r="W2481" s="1" t="str">
        <x:f>IF(AL2481=0,"",1+COUNTIFS($AL$2051:$AL$2550,1,$T$2051:$T$2550,"&gt;"&amp;T2481)+COUNTIFS($AL$2051:$AL$2550,1,$T$2051:$T$2550,T2481,$G$2051:$G$2550,"&gt;"&amp;G2481)+COUNTIFS($AL$2051:$AL$2550,1,$T$2051:$T$2550,T2481,$G$2051:$G$2550,G2481,$F$2051:$F$2550,"&gt;"&amp;F2481)+COUNTIFS($AL$2051:$AL$2550,1,$T$2051:$T$2550,T2481,$G$2051:$G$2550,G2481,$F$2051:$F$2550,F2481,$AM$2051:$AM$2550,"&lt;"&amp;AM2481))</x:f>
      </x:c>
      <x:c r="X2481" s="1" t="str">
        <x:f>IF(AL2481=0,"",1+COUNTIFS($AL$2051:$AL$2550,1,$T$2051:$T$2550,"&gt;"&amp;T2481))</x:f>
      </x:c>
      <x:c r="Y2481" s="1" t="n">
        <x:f>IF(AND(H2481="Yes",OR(LEN('School Search'!$B$5)=0,ISNUMBER(SEARCH('School Search'!$B$5,B2481&amp;" "&amp;E2481&amp;" "&amp;A2481))),OR('School Search'!$D$5="All",C2481='School Search'!$D$5),OR('School Search'!$G$5="All eligible",AND('School Search'!$G$5="Not marked served",J2481&lt;&gt;"Yes"),AND('School Search'!$G$5="Missing data",V2481="Missing data"),AND('School Search'!$G$5="Marked served",J2481="Yes"))),1,0)</x:f>
        <x:v>0</x:v>
      </x:c>
      <x:c r="Z2481" s="1" t="str">
        <x:f>IF(Y2481=0,"",COUNTIFS($Y$2051:$Y$2550,1,$AO$2051:$AO$2550,"&lt;"&amp;AO2481)+COUNTIFS($Y$2051:Y2481,1,$AO$2051:AO2481,AO2481))</x:f>
      </x:c>
      <x:c r="AA2481" s="1" t="str">
        <x:f>IF(NOT(ISNUMBER(S2481)),"Missing demographic or access input",TEXT(G2481,"0%")&amp;" economic need; "&amp;TEXT(K2481,"0.00")&amp;" mi fresh access; "&amp;L2481&amp;" nearby resources")</x:f>
        <x:v>Missing demographic or access input</x:v>
      </x:c>
      <x:c r="AB2481" s="1" t="n">
        <x:f>IF(OR(A2481="",COUNTIFS($A$1531:$A$2030,A2481)&lt;&gt;1),0,MATCH(A2481,$A$1531:$A$2030,0))</x:f>
        <x:v>0</x:v>
      </x:c>
      <x:c r="AC2481" s="1" t="str">
        <x:f>IF(AB2481=0,"",INDEX($E$1531:$E$2030,AB2481))</x:f>
      </x:c>
      <x:c r="AD2481" s="1" t="str">
        <x:f>IF(AB2481=0,"",INDEX($F$1531:$F$2030,AB2481))</x:f>
      </x:c>
      <x:c r="AE2481" s="1" t="str">
        <x:f>IF(A2481="","",F432)</x:f>
      </x:c>
      <x:c r="AF2481" s="1" t="str">
        <x:f>IF(ISNUMBER(I432),I432,"")</x:f>
      </x:c>
      <x:c r="AG2481" s="1" t="str">
        <x:f>IF(ISNUMBER(J432),J432,"")</x:f>
      </x:c>
      <x:c r="AH2481" s="1" t="str">
        <x:f>IF(I2481=0,"Not contacted",IF(INDEX('Staff Review'!$J$8:$J$507,I2481)="","Not contacted",INDEX('Staff Review'!$J$8:$J$507,I2481)))</x:f>
        <x:v>Not contacted</x:v>
      </x:c>
      <x:c r="AI2481" s="1" t="str">
        <x:f>IF(I2481=0,"No",IF(AND(COUNT(INDEX('Staff Review'!$D$8:$D$507,I2481))=1,INDEX('Staff Review'!$D$8:$D$507,I2481)&gt;=0,COUNT(INDEX('Staff Review'!$E$8:$E$507,I2481))=1,INDEX('Staff Review'!$E$8:$E$507,I2481)&gt;0,INDEX('Staff Review'!$E$8:$E$507,I2481)&lt;='Top 15'!$E$5,'Top 15'!$E$5-INDEX('Staff Review'!$E$8:$E$507,I2481)&lt;='Top 15'!$H$5,LEN(INDEX('Staff Review'!$H$8:$H$507,I2481))&gt;0),"Yes","No"))</x:f>
        <x:v>No</x:v>
      </x:c>
      <x:c r="AJ2481" s="1" t="str">
        <x:f>IF(I2481=0,"No",IF(COUNT(INDEX('Staff Review'!$F$8:$F$507,I2481))&lt;&gt;1,"No",IF(AND(INDEX('Staff Review'!$F$8:$F$507,I2481)&gt;=0,MOD(INDEX('Staff Review'!$F$8:$F$507,I2481),1)=0,COUNT(INDEX('Staff Review'!$G$8:$G$507,I2481))=1,INDEX('Staff Review'!$G$8:$G$507,I2481)&gt;0,INDEX('Staff Review'!$G$8:$G$507,I2481)&lt;='Top 15'!$E$5,'Top 15'!$E$5-INDEX('Staff Review'!$G$8:$G$507,I2481)&lt;='Top 15'!$H$5,LEN(INDEX('Staff Review'!$H$8:$H$507,I2481))&gt;0),"Yes","No")))</x:f>
        <x:v>No</x:v>
      </x:c>
      <x:c r="AK2481" s="1" t="n">
        <x:f>IF(A2481="",0,COUNTIFS($A$2:$A$501,A2481))</x:f>
        <x:v>0</x:v>
      </x:c>
      <x:c r="AL2481" s="1" t="n">
        <x:f>IF(V2481="Candidate",1,0)</x:f>
        <x:v>0</x:v>
      </x:c>
      <x:c r="AM2481" s="1" t="n">
        <x:f>IF(A2481="",0,VALUE(A2481))</x:f>
        <x:v>0</x:v>
      </x:c>
      <x:c r="AN2481" s="1" t="n">
        <x:f>IF(OR(A2481="",COUNTIFS($T$41:$T$540,A2481)&lt;&gt;1),0,MATCH(A2481,$T$41:$T$540,0))</x:f>
        <x:v>0</x:v>
      </x:c>
      <x:c r="AO2481" t="n">
        <x:f>IF(ISNUMBER(W2481),W2481,10000+AM2481)</x:f>
        <x:v>10000</x:v>
      </x:c>
    </x:row>
    <x:row r="2482" ht="22" customHeight="1">
      <x:c r="A2482" s="1" t="str">
        <x:f>IF(A433="","",A433)</x:f>
      </x:c>
      <x:c r="B2482" s="1" t="str">
        <x:f>IF(A2482="","",B433)</x:f>
      </x:c>
      <x:c r="C2482" s="1" t="str">
        <x:f>IF(A2482="","",C433)</x:f>
      </x:c>
      <x:c r="D2482" s="1" t="str">
        <x:f>IF(A2482="","",E433)</x:f>
      </x:c>
      <x:c r="E2482" s="1" t="str">
        <x:f>IF(A2482="","",H433)</x:f>
      </x:c>
      <x:c r="F2482" s="1" t="str">
        <x:f>IF(ISNUMBER(K433),K433,"")</x:f>
      </x:c>
      <x:c r="G2482" s="1" t="str">
        <x:f>IF(ISNUMBER(L433),L433,"")</x:f>
      </x:c>
      <x:c r="H2482" s="1" t="str">
        <x:f>IF(A2482="","",IF(AND(UPPER(G433)="PHILADELPHIA",OR(C2482="District",AND(C2482="Charter",D433="Yes"))),"Yes","No"))</x:f>
      </x:c>
      <x:c r="I2482" s="1" t="n">
        <x:f>IF(OR(A2482="",COUNTIFS('Staff Review'!$A$8:$A$507,A2482)&lt;&gt;1),0,MATCH(A2482,'Staff Review'!$A$8:$A$507,0))</x:f>
        <x:v>0</x:v>
      </x:c>
      <x:c r="J2482" s="1" t="str">
        <x:f>IF(I2482=0,"No",IF(INDEX('Staff Review'!$C$8:$C$507,I2482)="Yes","Yes","No"))</x:f>
        <x:v>No</x:v>
      </x:c>
      <x:c r="K2482" s="1" t="str">
        <x:f>IF(AI2482="Yes",INDEX('Staff Review'!$D$8:$D$507,I2482),IF(AB2482=0,"",IF(COUNT(INDEX($C$1531:$C$2030,AB2482))=1,INDEX($C$1531:$C$2030,AB2482),"")))</x:f>
      </x:c>
      <x:c r="L2482" s="1" t="str">
        <x:f>IF(AJ2482="Yes",INDEX('Staff Review'!$F$8:$F$507,I2482),IF(AB2482=0,"",IF(COUNT(INDEX($G$1531:$G$2030,AB2482))=1,INDEX($G$1531:$G$2030,AB2482),"")))</x:f>
      </x:c>
      <x:c r="M2482" s="1" t="str">
        <x:f>IF(A2482="","",IF(AI2482="Yes","Verified","Listed"))</x:f>
      </x:c>
      <x:c r="N2482" s="1" t="str">
        <x:f>IF(A2482="","",IF(AJ2482="Yes","Verified","Listed"))</x:f>
      </x:c>
      <x:c r="O2482" s="1" t="str">
        <x:f>IF(AND(ISNUMBER(G2482),G2482&gt;=0,G2482&lt;=1),IF(G2482&gt;=0.9,30,IF(G2482&gt;=0.8,25,IF(G2482&gt;=0.7,20,IF(G2482&gt;=0.6,15,IF(G2482&gt;=0.5,10,IF(G2482&gt;=0.4,5,0)))))),"")</x:f>
      </x:c>
      <x:c r="P2482" s="1" t="str">
        <x:f>IF(ISNUMBER(K2482),IF(K2482&lt;0,"",IF(K2482&gt;1,25,IF(K2482&gt;=0.75,20,IF(K2482&gt;=0.5,15,IF(K2482&gt;=0.25,10,5))))),"")</x:f>
      </x:c>
      <x:c r="Q2482" s="1" t="str">
        <x:f>IF(NOT(ISNUMBER(L2482)),"",IF(AND(L2482&gt;=0,MOD(L2482,1)=0),MAX(0,25-5*L2482),""))</x:f>
      </x:c>
      <x:c r="R2482" s="1" t="str">
        <x:f>IF(NOT(ISNUMBER(F2482)),"",IF(AND(F2482&gt;0,MOD(F2482,1)=0),IF(F2482&gt;=700,5,IF(F2482&gt;=500,4,IF(F2482&gt;=350,3,IF(F2482&gt;=200,2,1)))),""))</x:f>
      </x:c>
      <x:c r="S2482" s="1" t="str">
        <x:f>IF(COUNT(O2482:R2482)=4,SUM(O2482:R2482),"")</x:f>
      </x:c>
      <x:c r="T2482" s="1" t="str">
        <x:f>IF(OR(COUNT(O2482:R2482)&lt;&gt;4,COUNT('Top 15'!$B$35:$E$35)&lt;&gt;4,MIN('Top 15'!$B$35:$E$35)&lt;0,SUM('Top 15'!$B$35:$E$35)&lt;=0),"",ROUND(85*(O2482/30*'Top 15'!$B$35+P2482/25*'Top 15'!$C$35+Q2482/25*'Top 15'!$D$35+R2482/5*'Top 15'!$E$35)/SUM('Top 15'!$B$35:$E$35),6))</x:f>
      </x:c>
      <x:c r="U2482" s="1" t="str">
        <x:f>IF(A2482="","",IF(AND(M2482="Verified",N2482="Verified"),"Verified",IF(AND(M2482="Listed",N2482="Listed"),"Listed","Mixed")))</x:f>
      </x:c>
      <x:c r="V2482" s="1" t="str">
        <x:f>IF(A2482="","",IF(AK2482&lt;&gt;1,"Duplicate source ID",IF(COUNTIFS('Staff Review'!$A$8:$A$507,A2482)&gt;1,"Duplicate review ID",IF(H2482&lt;&gt;"Yes","Outside scope",IF(J2482="Yes","Already served",IF(NOT(ISNUMBER(T2482)),"Missing data","Candidate"))))))</x:f>
      </x:c>
      <x:c r="W2482" s="1" t="str">
        <x:f>IF(AL2482=0,"",1+COUNTIFS($AL$2051:$AL$2550,1,$T$2051:$T$2550,"&gt;"&amp;T2482)+COUNTIFS($AL$2051:$AL$2550,1,$T$2051:$T$2550,T2482,$G$2051:$G$2550,"&gt;"&amp;G2482)+COUNTIFS($AL$2051:$AL$2550,1,$T$2051:$T$2550,T2482,$G$2051:$G$2550,G2482,$F$2051:$F$2550,"&gt;"&amp;F2482)+COUNTIFS($AL$2051:$AL$2550,1,$T$2051:$T$2550,T2482,$G$2051:$G$2550,G2482,$F$2051:$F$2550,F2482,$AM$2051:$AM$2550,"&lt;"&amp;AM2482))</x:f>
      </x:c>
      <x:c r="X2482" s="1" t="str">
        <x:f>IF(AL2482=0,"",1+COUNTIFS($AL$2051:$AL$2550,1,$T$2051:$T$2550,"&gt;"&amp;T2482))</x:f>
      </x:c>
      <x:c r="Y2482" s="1" t="n">
        <x:f>IF(AND(H2482="Yes",OR(LEN('School Search'!$B$5)=0,ISNUMBER(SEARCH('School Search'!$B$5,B2482&amp;" "&amp;E2482&amp;" "&amp;A2482))),OR('School Search'!$D$5="All",C2482='School Search'!$D$5),OR('School Search'!$G$5="All eligible",AND('School Search'!$G$5="Not marked served",J2482&lt;&gt;"Yes"),AND('School Search'!$G$5="Missing data",V2482="Missing data"),AND('School Search'!$G$5="Marked served",J2482="Yes"))),1,0)</x:f>
        <x:v>0</x:v>
      </x:c>
      <x:c r="Z2482" s="1" t="str">
        <x:f>IF(Y2482=0,"",COUNTIFS($Y$2051:$Y$2550,1,$AO$2051:$AO$2550,"&lt;"&amp;AO2482)+COUNTIFS($Y$2051:Y2482,1,$AO$2051:AO2482,AO2482))</x:f>
      </x:c>
      <x:c r="AA2482" s="1" t="str">
        <x:f>IF(NOT(ISNUMBER(S2482)),"Missing demographic or access input",TEXT(G2482,"0%")&amp;" economic need; "&amp;TEXT(K2482,"0.00")&amp;" mi fresh access; "&amp;L2482&amp;" nearby resources")</x:f>
        <x:v>Missing demographic or access input</x:v>
      </x:c>
      <x:c r="AB2482" s="1" t="n">
        <x:f>IF(OR(A2482="",COUNTIFS($A$1531:$A$2030,A2482)&lt;&gt;1),0,MATCH(A2482,$A$1531:$A$2030,0))</x:f>
        <x:v>0</x:v>
      </x:c>
      <x:c r="AC2482" s="1" t="str">
        <x:f>IF(AB2482=0,"",INDEX($E$1531:$E$2030,AB2482))</x:f>
      </x:c>
      <x:c r="AD2482" s="1" t="str">
        <x:f>IF(AB2482=0,"",INDEX($F$1531:$F$2030,AB2482))</x:f>
      </x:c>
      <x:c r="AE2482" s="1" t="str">
        <x:f>IF(A2482="","",F433)</x:f>
      </x:c>
      <x:c r="AF2482" s="1" t="str">
        <x:f>IF(ISNUMBER(I433),I433,"")</x:f>
      </x:c>
      <x:c r="AG2482" s="1" t="str">
        <x:f>IF(ISNUMBER(J433),J433,"")</x:f>
      </x:c>
      <x:c r="AH2482" s="1" t="str">
        <x:f>IF(I2482=0,"Not contacted",IF(INDEX('Staff Review'!$J$8:$J$507,I2482)="","Not contacted",INDEX('Staff Review'!$J$8:$J$507,I2482)))</x:f>
        <x:v>Not contacted</x:v>
      </x:c>
      <x:c r="AI2482" s="1" t="str">
        <x:f>IF(I2482=0,"No",IF(AND(COUNT(INDEX('Staff Review'!$D$8:$D$507,I2482))=1,INDEX('Staff Review'!$D$8:$D$507,I2482)&gt;=0,COUNT(INDEX('Staff Review'!$E$8:$E$507,I2482))=1,INDEX('Staff Review'!$E$8:$E$507,I2482)&gt;0,INDEX('Staff Review'!$E$8:$E$507,I2482)&lt;='Top 15'!$E$5,'Top 15'!$E$5-INDEX('Staff Review'!$E$8:$E$507,I2482)&lt;='Top 15'!$H$5,LEN(INDEX('Staff Review'!$H$8:$H$507,I2482))&gt;0),"Yes","No"))</x:f>
        <x:v>No</x:v>
      </x:c>
      <x:c r="AJ2482" s="1" t="str">
        <x:f>IF(I2482=0,"No",IF(COUNT(INDEX('Staff Review'!$F$8:$F$507,I2482))&lt;&gt;1,"No",IF(AND(INDEX('Staff Review'!$F$8:$F$507,I2482)&gt;=0,MOD(INDEX('Staff Review'!$F$8:$F$507,I2482),1)=0,COUNT(INDEX('Staff Review'!$G$8:$G$507,I2482))=1,INDEX('Staff Review'!$G$8:$G$507,I2482)&gt;0,INDEX('Staff Review'!$G$8:$G$507,I2482)&lt;='Top 15'!$E$5,'Top 15'!$E$5-INDEX('Staff Review'!$G$8:$G$507,I2482)&lt;='Top 15'!$H$5,LEN(INDEX('Staff Review'!$H$8:$H$507,I2482))&gt;0),"Yes","No")))</x:f>
        <x:v>No</x:v>
      </x:c>
      <x:c r="AK2482" s="1" t="n">
        <x:f>IF(A2482="",0,COUNTIFS($A$2:$A$501,A2482))</x:f>
        <x:v>0</x:v>
      </x:c>
      <x:c r="AL2482" s="1" t="n">
        <x:f>IF(V2482="Candidate",1,0)</x:f>
        <x:v>0</x:v>
      </x:c>
      <x:c r="AM2482" s="1" t="n">
        <x:f>IF(A2482="",0,VALUE(A2482))</x:f>
        <x:v>0</x:v>
      </x:c>
      <x:c r="AN2482" s="1" t="n">
        <x:f>IF(OR(A2482="",COUNTIFS($T$41:$T$540,A2482)&lt;&gt;1),0,MATCH(A2482,$T$41:$T$540,0))</x:f>
        <x:v>0</x:v>
      </x:c>
      <x:c r="AO2482" t="n">
        <x:f>IF(ISNUMBER(W2482),W2482,10000+AM2482)</x:f>
        <x:v>10000</x:v>
      </x:c>
    </x:row>
    <x:row r="2483" ht="22" customHeight="1">
      <x:c r="A2483" s="1" t="str">
        <x:f>IF(A434="","",A434)</x:f>
      </x:c>
      <x:c r="B2483" s="1" t="str">
        <x:f>IF(A2483="","",B434)</x:f>
      </x:c>
      <x:c r="C2483" s="1" t="str">
        <x:f>IF(A2483="","",C434)</x:f>
      </x:c>
      <x:c r="D2483" s="1" t="str">
        <x:f>IF(A2483="","",E434)</x:f>
      </x:c>
      <x:c r="E2483" s="1" t="str">
        <x:f>IF(A2483="","",H434)</x:f>
      </x:c>
      <x:c r="F2483" s="1" t="str">
        <x:f>IF(ISNUMBER(K434),K434,"")</x:f>
      </x:c>
      <x:c r="G2483" s="1" t="str">
        <x:f>IF(ISNUMBER(L434),L434,"")</x:f>
      </x:c>
      <x:c r="H2483" s="1" t="str">
        <x:f>IF(A2483="","",IF(AND(UPPER(G434)="PHILADELPHIA",OR(C2483="District",AND(C2483="Charter",D434="Yes"))),"Yes","No"))</x:f>
      </x:c>
      <x:c r="I2483" s="1" t="n">
        <x:f>IF(OR(A2483="",COUNTIFS('Staff Review'!$A$8:$A$507,A2483)&lt;&gt;1),0,MATCH(A2483,'Staff Review'!$A$8:$A$507,0))</x:f>
        <x:v>0</x:v>
      </x:c>
      <x:c r="J2483" s="1" t="str">
        <x:f>IF(I2483=0,"No",IF(INDEX('Staff Review'!$C$8:$C$507,I2483)="Yes","Yes","No"))</x:f>
        <x:v>No</x:v>
      </x:c>
      <x:c r="K2483" s="1" t="str">
        <x:f>IF(AI2483="Yes",INDEX('Staff Review'!$D$8:$D$507,I2483),IF(AB2483=0,"",IF(COUNT(INDEX($C$1531:$C$2030,AB2483))=1,INDEX($C$1531:$C$2030,AB2483),"")))</x:f>
      </x:c>
      <x:c r="L2483" s="1" t="str">
        <x:f>IF(AJ2483="Yes",INDEX('Staff Review'!$F$8:$F$507,I2483),IF(AB2483=0,"",IF(COUNT(INDEX($G$1531:$G$2030,AB2483))=1,INDEX($G$1531:$G$2030,AB2483),"")))</x:f>
      </x:c>
      <x:c r="M2483" s="1" t="str">
        <x:f>IF(A2483="","",IF(AI2483="Yes","Verified","Listed"))</x:f>
      </x:c>
      <x:c r="N2483" s="1" t="str">
        <x:f>IF(A2483="","",IF(AJ2483="Yes","Verified","Listed"))</x:f>
      </x:c>
      <x:c r="O2483" s="1" t="str">
        <x:f>IF(AND(ISNUMBER(G2483),G2483&gt;=0,G2483&lt;=1),IF(G2483&gt;=0.9,30,IF(G2483&gt;=0.8,25,IF(G2483&gt;=0.7,20,IF(G2483&gt;=0.6,15,IF(G2483&gt;=0.5,10,IF(G2483&gt;=0.4,5,0)))))),"")</x:f>
      </x:c>
      <x:c r="P2483" s="1" t="str">
        <x:f>IF(ISNUMBER(K2483),IF(K2483&lt;0,"",IF(K2483&gt;1,25,IF(K2483&gt;=0.75,20,IF(K2483&gt;=0.5,15,IF(K2483&gt;=0.25,10,5))))),"")</x:f>
      </x:c>
      <x:c r="Q2483" s="1" t="str">
        <x:f>IF(NOT(ISNUMBER(L2483)),"",IF(AND(L2483&gt;=0,MOD(L2483,1)=0),MAX(0,25-5*L2483),""))</x:f>
      </x:c>
      <x:c r="R2483" s="1" t="str">
        <x:f>IF(NOT(ISNUMBER(F2483)),"",IF(AND(F2483&gt;0,MOD(F2483,1)=0),IF(F2483&gt;=700,5,IF(F2483&gt;=500,4,IF(F2483&gt;=350,3,IF(F2483&gt;=200,2,1)))),""))</x:f>
      </x:c>
      <x:c r="S2483" s="1" t="str">
        <x:f>IF(COUNT(O2483:R2483)=4,SUM(O2483:R2483),"")</x:f>
      </x:c>
      <x:c r="T2483" s="1" t="str">
        <x:f>IF(OR(COUNT(O2483:R2483)&lt;&gt;4,COUNT('Top 15'!$B$35:$E$35)&lt;&gt;4,MIN('Top 15'!$B$35:$E$35)&lt;0,SUM('Top 15'!$B$35:$E$35)&lt;=0),"",ROUND(85*(O2483/30*'Top 15'!$B$35+P2483/25*'Top 15'!$C$35+Q2483/25*'Top 15'!$D$35+R2483/5*'Top 15'!$E$35)/SUM('Top 15'!$B$35:$E$35),6))</x:f>
      </x:c>
      <x:c r="U2483" s="1" t="str">
        <x:f>IF(A2483="","",IF(AND(M2483="Verified",N2483="Verified"),"Verified",IF(AND(M2483="Listed",N2483="Listed"),"Listed","Mixed")))</x:f>
      </x:c>
      <x:c r="V2483" s="1" t="str">
        <x:f>IF(A2483="","",IF(AK2483&lt;&gt;1,"Duplicate source ID",IF(COUNTIFS('Staff Review'!$A$8:$A$507,A2483)&gt;1,"Duplicate review ID",IF(H2483&lt;&gt;"Yes","Outside scope",IF(J2483="Yes","Already served",IF(NOT(ISNUMBER(T2483)),"Missing data","Candidate"))))))</x:f>
      </x:c>
      <x:c r="W2483" s="1" t="str">
        <x:f>IF(AL2483=0,"",1+COUNTIFS($AL$2051:$AL$2550,1,$T$2051:$T$2550,"&gt;"&amp;T2483)+COUNTIFS($AL$2051:$AL$2550,1,$T$2051:$T$2550,T2483,$G$2051:$G$2550,"&gt;"&amp;G2483)+COUNTIFS($AL$2051:$AL$2550,1,$T$2051:$T$2550,T2483,$G$2051:$G$2550,G2483,$F$2051:$F$2550,"&gt;"&amp;F2483)+COUNTIFS($AL$2051:$AL$2550,1,$T$2051:$T$2550,T2483,$G$2051:$G$2550,G2483,$F$2051:$F$2550,F2483,$AM$2051:$AM$2550,"&lt;"&amp;AM2483))</x:f>
      </x:c>
      <x:c r="X2483" s="1" t="str">
        <x:f>IF(AL2483=0,"",1+COUNTIFS($AL$2051:$AL$2550,1,$T$2051:$T$2550,"&gt;"&amp;T2483))</x:f>
      </x:c>
      <x:c r="Y2483" s="1" t="n">
        <x:f>IF(AND(H2483="Yes",OR(LEN('School Search'!$B$5)=0,ISNUMBER(SEARCH('School Search'!$B$5,B2483&amp;" "&amp;E2483&amp;" "&amp;A2483))),OR('School Search'!$D$5="All",C2483='School Search'!$D$5),OR('School Search'!$G$5="All eligible",AND('School Search'!$G$5="Not marked served",J2483&lt;&gt;"Yes"),AND('School Search'!$G$5="Missing data",V2483="Missing data"),AND('School Search'!$G$5="Marked served",J2483="Yes"))),1,0)</x:f>
        <x:v>0</x:v>
      </x:c>
      <x:c r="Z2483" s="1" t="str">
        <x:f>IF(Y2483=0,"",COUNTIFS($Y$2051:$Y$2550,1,$AO$2051:$AO$2550,"&lt;"&amp;AO2483)+COUNTIFS($Y$2051:Y2483,1,$AO$2051:AO2483,AO2483))</x:f>
      </x:c>
      <x:c r="AA2483" s="1" t="str">
        <x:f>IF(NOT(ISNUMBER(S2483)),"Missing demographic or access input",TEXT(G2483,"0%")&amp;" economic need; "&amp;TEXT(K2483,"0.00")&amp;" mi fresh access; "&amp;L2483&amp;" nearby resources")</x:f>
        <x:v>Missing demographic or access input</x:v>
      </x:c>
      <x:c r="AB2483" s="1" t="n">
        <x:f>IF(OR(A2483="",COUNTIFS($A$1531:$A$2030,A2483)&lt;&gt;1),0,MATCH(A2483,$A$1531:$A$2030,0))</x:f>
        <x:v>0</x:v>
      </x:c>
      <x:c r="AC2483" s="1" t="str">
        <x:f>IF(AB2483=0,"",INDEX($E$1531:$E$2030,AB2483))</x:f>
      </x:c>
      <x:c r="AD2483" s="1" t="str">
        <x:f>IF(AB2483=0,"",INDEX($F$1531:$F$2030,AB2483))</x:f>
      </x:c>
      <x:c r="AE2483" s="1" t="str">
        <x:f>IF(A2483="","",F434)</x:f>
      </x:c>
      <x:c r="AF2483" s="1" t="str">
        <x:f>IF(ISNUMBER(I434),I434,"")</x:f>
      </x:c>
      <x:c r="AG2483" s="1" t="str">
        <x:f>IF(ISNUMBER(J434),J434,"")</x:f>
      </x:c>
      <x:c r="AH2483" s="1" t="str">
        <x:f>IF(I2483=0,"Not contacted",IF(INDEX('Staff Review'!$J$8:$J$507,I2483)="","Not contacted",INDEX('Staff Review'!$J$8:$J$507,I2483)))</x:f>
        <x:v>Not contacted</x:v>
      </x:c>
      <x:c r="AI2483" s="1" t="str">
        <x:f>IF(I2483=0,"No",IF(AND(COUNT(INDEX('Staff Review'!$D$8:$D$507,I2483))=1,INDEX('Staff Review'!$D$8:$D$507,I2483)&gt;=0,COUNT(INDEX('Staff Review'!$E$8:$E$507,I2483))=1,INDEX('Staff Review'!$E$8:$E$507,I2483)&gt;0,INDEX('Staff Review'!$E$8:$E$507,I2483)&lt;='Top 15'!$E$5,'Top 15'!$E$5-INDEX('Staff Review'!$E$8:$E$507,I2483)&lt;='Top 15'!$H$5,LEN(INDEX('Staff Review'!$H$8:$H$507,I2483))&gt;0),"Yes","No"))</x:f>
        <x:v>No</x:v>
      </x:c>
      <x:c r="AJ2483" s="1" t="str">
        <x:f>IF(I2483=0,"No",IF(COUNT(INDEX('Staff Review'!$F$8:$F$507,I2483))&lt;&gt;1,"No",IF(AND(INDEX('Staff Review'!$F$8:$F$507,I2483)&gt;=0,MOD(INDEX('Staff Review'!$F$8:$F$507,I2483),1)=0,COUNT(INDEX('Staff Review'!$G$8:$G$507,I2483))=1,INDEX('Staff Review'!$G$8:$G$507,I2483)&gt;0,INDEX('Staff Review'!$G$8:$G$507,I2483)&lt;='Top 15'!$E$5,'Top 15'!$E$5-INDEX('Staff Review'!$G$8:$G$507,I2483)&lt;='Top 15'!$H$5,LEN(INDEX('Staff Review'!$H$8:$H$507,I2483))&gt;0),"Yes","No")))</x:f>
        <x:v>No</x:v>
      </x:c>
      <x:c r="AK2483" s="1" t="n">
        <x:f>IF(A2483="",0,COUNTIFS($A$2:$A$501,A2483))</x:f>
        <x:v>0</x:v>
      </x:c>
      <x:c r="AL2483" s="1" t="n">
        <x:f>IF(V2483="Candidate",1,0)</x:f>
        <x:v>0</x:v>
      </x:c>
      <x:c r="AM2483" s="1" t="n">
        <x:f>IF(A2483="",0,VALUE(A2483))</x:f>
        <x:v>0</x:v>
      </x:c>
      <x:c r="AN2483" s="1" t="n">
        <x:f>IF(OR(A2483="",COUNTIFS($T$41:$T$540,A2483)&lt;&gt;1),0,MATCH(A2483,$T$41:$T$540,0))</x:f>
        <x:v>0</x:v>
      </x:c>
      <x:c r="AO2483" t="n">
        <x:f>IF(ISNUMBER(W2483),W2483,10000+AM2483)</x:f>
        <x:v>10000</x:v>
      </x:c>
    </x:row>
    <x:row r="2484" ht="22" customHeight="1">
      <x:c r="A2484" s="1" t="str">
        <x:f>IF(A435="","",A435)</x:f>
      </x:c>
      <x:c r="B2484" s="1" t="str">
        <x:f>IF(A2484="","",B435)</x:f>
      </x:c>
      <x:c r="C2484" s="1" t="str">
        <x:f>IF(A2484="","",C435)</x:f>
      </x:c>
      <x:c r="D2484" s="1" t="str">
        <x:f>IF(A2484="","",E435)</x:f>
      </x:c>
      <x:c r="E2484" s="1" t="str">
        <x:f>IF(A2484="","",H435)</x:f>
      </x:c>
      <x:c r="F2484" s="1" t="str">
        <x:f>IF(ISNUMBER(K435),K435,"")</x:f>
      </x:c>
      <x:c r="G2484" s="1" t="str">
        <x:f>IF(ISNUMBER(L435),L435,"")</x:f>
      </x:c>
      <x:c r="H2484" s="1" t="str">
        <x:f>IF(A2484="","",IF(AND(UPPER(G435)="PHILADELPHIA",OR(C2484="District",AND(C2484="Charter",D435="Yes"))),"Yes","No"))</x:f>
      </x:c>
      <x:c r="I2484" s="1" t="n">
        <x:f>IF(OR(A2484="",COUNTIFS('Staff Review'!$A$8:$A$507,A2484)&lt;&gt;1),0,MATCH(A2484,'Staff Review'!$A$8:$A$507,0))</x:f>
        <x:v>0</x:v>
      </x:c>
      <x:c r="J2484" s="1" t="str">
        <x:f>IF(I2484=0,"No",IF(INDEX('Staff Review'!$C$8:$C$507,I2484)="Yes","Yes","No"))</x:f>
        <x:v>No</x:v>
      </x:c>
      <x:c r="K2484" s="1" t="str">
        <x:f>IF(AI2484="Yes",INDEX('Staff Review'!$D$8:$D$507,I2484),IF(AB2484=0,"",IF(COUNT(INDEX($C$1531:$C$2030,AB2484))=1,INDEX($C$1531:$C$2030,AB2484),"")))</x:f>
      </x:c>
      <x:c r="L2484" s="1" t="str">
        <x:f>IF(AJ2484="Yes",INDEX('Staff Review'!$F$8:$F$507,I2484),IF(AB2484=0,"",IF(COUNT(INDEX($G$1531:$G$2030,AB2484))=1,INDEX($G$1531:$G$2030,AB2484),"")))</x:f>
      </x:c>
      <x:c r="M2484" s="1" t="str">
        <x:f>IF(A2484="","",IF(AI2484="Yes","Verified","Listed"))</x:f>
      </x:c>
      <x:c r="N2484" s="1" t="str">
        <x:f>IF(A2484="","",IF(AJ2484="Yes","Verified","Listed"))</x:f>
      </x:c>
      <x:c r="O2484" s="1" t="str">
        <x:f>IF(AND(ISNUMBER(G2484),G2484&gt;=0,G2484&lt;=1),IF(G2484&gt;=0.9,30,IF(G2484&gt;=0.8,25,IF(G2484&gt;=0.7,20,IF(G2484&gt;=0.6,15,IF(G2484&gt;=0.5,10,IF(G2484&gt;=0.4,5,0)))))),"")</x:f>
      </x:c>
      <x:c r="P2484" s="1" t="str">
        <x:f>IF(ISNUMBER(K2484),IF(K2484&lt;0,"",IF(K2484&gt;1,25,IF(K2484&gt;=0.75,20,IF(K2484&gt;=0.5,15,IF(K2484&gt;=0.25,10,5))))),"")</x:f>
      </x:c>
      <x:c r="Q2484" s="1" t="str">
        <x:f>IF(NOT(ISNUMBER(L2484)),"",IF(AND(L2484&gt;=0,MOD(L2484,1)=0),MAX(0,25-5*L2484),""))</x:f>
      </x:c>
      <x:c r="R2484" s="1" t="str">
        <x:f>IF(NOT(ISNUMBER(F2484)),"",IF(AND(F2484&gt;0,MOD(F2484,1)=0),IF(F2484&gt;=700,5,IF(F2484&gt;=500,4,IF(F2484&gt;=350,3,IF(F2484&gt;=200,2,1)))),""))</x:f>
      </x:c>
      <x:c r="S2484" s="1" t="str">
        <x:f>IF(COUNT(O2484:R2484)=4,SUM(O2484:R2484),"")</x:f>
      </x:c>
      <x:c r="T2484" s="1" t="str">
        <x:f>IF(OR(COUNT(O2484:R2484)&lt;&gt;4,COUNT('Top 15'!$B$35:$E$35)&lt;&gt;4,MIN('Top 15'!$B$35:$E$35)&lt;0,SUM('Top 15'!$B$35:$E$35)&lt;=0),"",ROUND(85*(O2484/30*'Top 15'!$B$35+P2484/25*'Top 15'!$C$35+Q2484/25*'Top 15'!$D$35+R2484/5*'Top 15'!$E$35)/SUM('Top 15'!$B$35:$E$35),6))</x:f>
      </x:c>
      <x:c r="U2484" s="1" t="str">
        <x:f>IF(A2484="","",IF(AND(M2484="Verified",N2484="Verified"),"Verified",IF(AND(M2484="Listed",N2484="Listed"),"Listed","Mixed")))</x:f>
      </x:c>
      <x:c r="V2484" s="1" t="str">
        <x:f>IF(A2484="","",IF(AK2484&lt;&gt;1,"Duplicate source ID",IF(COUNTIFS('Staff Review'!$A$8:$A$507,A2484)&gt;1,"Duplicate review ID",IF(H2484&lt;&gt;"Yes","Outside scope",IF(J2484="Yes","Already served",IF(NOT(ISNUMBER(T2484)),"Missing data","Candidate"))))))</x:f>
      </x:c>
      <x:c r="W2484" s="1" t="str">
        <x:f>IF(AL2484=0,"",1+COUNTIFS($AL$2051:$AL$2550,1,$T$2051:$T$2550,"&gt;"&amp;T2484)+COUNTIFS($AL$2051:$AL$2550,1,$T$2051:$T$2550,T2484,$G$2051:$G$2550,"&gt;"&amp;G2484)+COUNTIFS($AL$2051:$AL$2550,1,$T$2051:$T$2550,T2484,$G$2051:$G$2550,G2484,$F$2051:$F$2550,"&gt;"&amp;F2484)+COUNTIFS($AL$2051:$AL$2550,1,$T$2051:$T$2550,T2484,$G$2051:$G$2550,G2484,$F$2051:$F$2550,F2484,$AM$2051:$AM$2550,"&lt;"&amp;AM2484))</x:f>
      </x:c>
      <x:c r="X2484" s="1" t="str">
        <x:f>IF(AL2484=0,"",1+COUNTIFS($AL$2051:$AL$2550,1,$T$2051:$T$2550,"&gt;"&amp;T2484))</x:f>
      </x:c>
      <x:c r="Y2484" s="1" t="n">
        <x:f>IF(AND(H2484="Yes",OR(LEN('School Search'!$B$5)=0,ISNUMBER(SEARCH('School Search'!$B$5,B2484&amp;" "&amp;E2484&amp;" "&amp;A2484))),OR('School Search'!$D$5="All",C2484='School Search'!$D$5),OR('School Search'!$G$5="All eligible",AND('School Search'!$G$5="Not marked served",J2484&lt;&gt;"Yes"),AND('School Search'!$G$5="Missing data",V2484="Missing data"),AND('School Search'!$G$5="Marked served",J2484="Yes"))),1,0)</x:f>
        <x:v>0</x:v>
      </x:c>
      <x:c r="Z2484" s="1" t="str">
        <x:f>IF(Y2484=0,"",COUNTIFS($Y$2051:$Y$2550,1,$AO$2051:$AO$2550,"&lt;"&amp;AO2484)+COUNTIFS($Y$2051:Y2484,1,$AO$2051:AO2484,AO2484))</x:f>
      </x:c>
      <x:c r="AA2484" s="1" t="str">
        <x:f>IF(NOT(ISNUMBER(S2484)),"Missing demographic or access input",TEXT(G2484,"0%")&amp;" economic need; "&amp;TEXT(K2484,"0.00")&amp;" mi fresh access; "&amp;L2484&amp;" nearby resources")</x:f>
        <x:v>Missing demographic or access input</x:v>
      </x:c>
      <x:c r="AB2484" s="1" t="n">
        <x:f>IF(OR(A2484="",COUNTIFS($A$1531:$A$2030,A2484)&lt;&gt;1),0,MATCH(A2484,$A$1531:$A$2030,0))</x:f>
        <x:v>0</x:v>
      </x:c>
      <x:c r="AC2484" s="1" t="str">
        <x:f>IF(AB2484=0,"",INDEX($E$1531:$E$2030,AB2484))</x:f>
      </x:c>
      <x:c r="AD2484" s="1" t="str">
        <x:f>IF(AB2484=0,"",INDEX($F$1531:$F$2030,AB2484))</x:f>
      </x:c>
      <x:c r="AE2484" s="1" t="str">
        <x:f>IF(A2484="","",F435)</x:f>
      </x:c>
      <x:c r="AF2484" s="1" t="str">
        <x:f>IF(ISNUMBER(I435),I435,"")</x:f>
      </x:c>
      <x:c r="AG2484" s="1" t="str">
        <x:f>IF(ISNUMBER(J435),J435,"")</x:f>
      </x:c>
      <x:c r="AH2484" s="1" t="str">
        <x:f>IF(I2484=0,"Not contacted",IF(INDEX('Staff Review'!$J$8:$J$507,I2484)="","Not contacted",INDEX('Staff Review'!$J$8:$J$507,I2484)))</x:f>
        <x:v>Not contacted</x:v>
      </x:c>
      <x:c r="AI2484" s="1" t="str">
        <x:f>IF(I2484=0,"No",IF(AND(COUNT(INDEX('Staff Review'!$D$8:$D$507,I2484))=1,INDEX('Staff Review'!$D$8:$D$507,I2484)&gt;=0,COUNT(INDEX('Staff Review'!$E$8:$E$507,I2484))=1,INDEX('Staff Review'!$E$8:$E$507,I2484)&gt;0,INDEX('Staff Review'!$E$8:$E$507,I2484)&lt;='Top 15'!$E$5,'Top 15'!$E$5-INDEX('Staff Review'!$E$8:$E$507,I2484)&lt;='Top 15'!$H$5,LEN(INDEX('Staff Review'!$H$8:$H$507,I2484))&gt;0),"Yes","No"))</x:f>
        <x:v>No</x:v>
      </x:c>
      <x:c r="AJ2484" s="1" t="str">
        <x:f>IF(I2484=0,"No",IF(COUNT(INDEX('Staff Review'!$F$8:$F$507,I2484))&lt;&gt;1,"No",IF(AND(INDEX('Staff Review'!$F$8:$F$507,I2484)&gt;=0,MOD(INDEX('Staff Review'!$F$8:$F$507,I2484),1)=0,COUNT(INDEX('Staff Review'!$G$8:$G$507,I2484))=1,INDEX('Staff Review'!$G$8:$G$507,I2484)&gt;0,INDEX('Staff Review'!$G$8:$G$507,I2484)&lt;='Top 15'!$E$5,'Top 15'!$E$5-INDEX('Staff Review'!$G$8:$G$507,I2484)&lt;='Top 15'!$H$5,LEN(INDEX('Staff Review'!$H$8:$H$507,I2484))&gt;0),"Yes","No")))</x:f>
        <x:v>No</x:v>
      </x:c>
      <x:c r="AK2484" s="1" t="n">
        <x:f>IF(A2484="",0,COUNTIFS($A$2:$A$501,A2484))</x:f>
        <x:v>0</x:v>
      </x:c>
      <x:c r="AL2484" s="1" t="n">
        <x:f>IF(V2484="Candidate",1,0)</x:f>
        <x:v>0</x:v>
      </x:c>
      <x:c r="AM2484" s="1" t="n">
        <x:f>IF(A2484="",0,VALUE(A2484))</x:f>
        <x:v>0</x:v>
      </x:c>
      <x:c r="AN2484" s="1" t="n">
        <x:f>IF(OR(A2484="",COUNTIFS($T$41:$T$540,A2484)&lt;&gt;1),0,MATCH(A2484,$T$41:$T$540,0))</x:f>
        <x:v>0</x:v>
      </x:c>
      <x:c r="AO2484" t="n">
        <x:f>IF(ISNUMBER(W2484),W2484,10000+AM2484)</x:f>
        <x:v>10000</x:v>
      </x:c>
    </x:row>
    <x:row r="2485" ht="22" customHeight="1">
      <x:c r="A2485" s="1" t="str">
        <x:f>IF(A436="","",A436)</x:f>
      </x:c>
      <x:c r="B2485" s="1" t="str">
        <x:f>IF(A2485="","",B436)</x:f>
      </x:c>
      <x:c r="C2485" s="1" t="str">
        <x:f>IF(A2485="","",C436)</x:f>
      </x:c>
      <x:c r="D2485" s="1" t="str">
        <x:f>IF(A2485="","",E436)</x:f>
      </x:c>
      <x:c r="E2485" s="1" t="str">
        <x:f>IF(A2485="","",H436)</x:f>
      </x:c>
      <x:c r="F2485" s="1" t="str">
        <x:f>IF(ISNUMBER(K436),K436,"")</x:f>
      </x:c>
      <x:c r="G2485" s="1" t="str">
        <x:f>IF(ISNUMBER(L436),L436,"")</x:f>
      </x:c>
      <x:c r="H2485" s="1" t="str">
        <x:f>IF(A2485="","",IF(AND(UPPER(G436)="PHILADELPHIA",OR(C2485="District",AND(C2485="Charter",D436="Yes"))),"Yes","No"))</x:f>
      </x:c>
      <x:c r="I2485" s="1" t="n">
        <x:f>IF(OR(A2485="",COUNTIFS('Staff Review'!$A$8:$A$507,A2485)&lt;&gt;1),0,MATCH(A2485,'Staff Review'!$A$8:$A$507,0))</x:f>
        <x:v>0</x:v>
      </x:c>
      <x:c r="J2485" s="1" t="str">
        <x:f>IF(I2485=0,"No",IF(INDEX('Staff Review'!$C$8:$C$507,I2485)="Yes","Yes","No"))</x:f>
        <x:v>No</x:v>
      </x:c>
      <x:c r="K2485" s="1" t="str">
        <x:f>IF(AI2485="Yes",INDEX('Staff Review'!$D$8:$D$507,I2485),IF(AB2485=0,"",IF(COUNT(INDEX($C$1531:$C$2030,AB2485))=1,INDEX($C$1531:$C$2030,AB2485),"")))</x:f>
      </x:c>
      <x:c r="L2485" s="1" t="str">
        <x:f>IF(AJ2485="Yes",INDEX('Staff Review'!$F$8:$F$507,I2485),IF(AB2485=0,"",IF(COUNT(INDEX($G$1531:$G$2030,AB2485))=1,INDEX($G$1531:$G$2030,AB2485),"")))</x:f>
      </x:c>
      <x:c r="M2485" s="1" t="str">
        <x:f>IF(A2485="","",IF(AI2485="Yes","Verified","Listed"))</x:f>
      </x:c>
      <x:c r="N2485" s="1" t="str">
        <x:f>IF(A2485="","",IF(AJ2485="Yes","Verified","Listed"))</x:f>
      </x:c>
      <x:c r="O2485" s="1" t="str">
        <x:f>IF(AND(ISNUMBER(G2485),G2485&gt;=0,G2485&lt;=1),IF(G2485&gt;=0.9,30,IF(G2485&gt;=0.8,25,IF(G2485&gt;=0.7,20,IF(G2485&gt;=0.6,15,IF(G2485&gt;=0.5,10,IF(G2485&gt;=0.4,5,0)))))),"")</x:f>
      </x:c>
      <x:c r="P2485" s="1" t="str">
        <x:f>IF(ISNUMBER(K2485),IF(K2485&lt;0,"",IF(K2485&gt;1,25,IF(K2485&gt;=0.75,20,IF(K2485&gt;=0.5,15,IF(K2485&gt;=0.25,10,5))))),"")</x:f>
      </x:c>
      <x:c r="Q2485" s="1" t="str">
        <x:f>IF(NOT(ISNUMBER(L2485)),"",IF(AND(L2485&gt;=0,MOD(L2485,1)=0),MAX(0,25-5*L2485),""))</x:f>
      </x:c>
      <x:c r="R2485" s="1" t="str">
        <x:f>IF(NOT(ISNUMBER(F2485)),"",IF(AND(F2485&gt;0,MOD(F2485,1)=0),IF(F2485&gt;=700,5,IF(F2485&gt;=500,4,IF(F2485&gt;=350,3,IF(F2485&gt;=200,2,1)))),""))</x:f>
      </x:c>
      <x:c r="S2485" s="1" t="str">
        <x:f>IF(COUNT(O2485:R2485)=4,SUM(O2485:R2485),"")</x:f>
      </x:c>
      <x:c r="T2485" s="1" t="str">
        <x:f>IF(OR(COUNT(O2485:R2485)&lt;&gt;4,COUNT('Top 15'!$B$35:$E$35)&lt;&gt;4,MIN('Top 15'!$B$35:$E$35)&lt;0,SUM('Top 15'!$B$35:$E$35)&lt;=0),"",ROUND(85*(O2485/30*'Top 15'!$B$35+P2485/25*'Top 15'!$C$35+Q2485/25*'Top 15'!$D$35+R2485/5*'Top 15'!$E$35)/SUM('Top 15'!$B$35:$E$35),6))</x:f>
      </x:c>
      <x:c r="U2485" s="1" t="str">
        <x:f>IF(A2485="","",IF(AND(M2485="Verified",N2485="Verified"),"Verified",IF(AND(M2485="Listed",N2485="Listed"),"Listed","Mixed")))</x:f>
      </x:c>
      <x:c r="V2485" s="1" t="str">
        <x:f>IF(A2485="","",IF(AK2485&lt;&gt;1,"Duplicate source ID",IF(COUNTIFS('Staff Review'!$A$8:$A$507,A2485)&gt;1,"Duplicate review ID",IF(H2485&lt;&gt;"Yes","Outside scope",IF(J2485="Yes","Already served",IF(NOT(ISNUMBER(T2485)),"Missing data","Candidate"))))))</x:f>
      </x:c>
      <x:c r="W2485" s="1" t="str">
        <x:f>IF(AL2485=0,"",1+COUNTIFS($AL$2051:$AL$2550,1,$T$2051:$T$2550,"&gt;"&amp;T2485)+COUNTIFS($AL$2051:$AL$2550,1,$T$2051:$T$2550,T2485,$G$2051:$G$2550,"&gt;"&amp;G2485)+COUNTIFS($AL$2051:$AL$2550,1,$T$2051:$T$2550,T2485,$G$2051:$G$2550,G2485,$F$2051:$F$2550,"&gt;"&amp;F2485)+COUNTIFS($AL$2051:$AL$2550,1,$T$2051:$T$2550,T2485,$G$2051:$G$2550,G2485,$F$2051:$F$2550,F2485,$AM$2051:$AM$2550,"&lt;"&amp;AM2485))</x:f>
      </x:c>
      <x:c r="X2485" s="1" t="str">
        <x:f>IF(AL2485=0,"",1+COUNTIFS($AL$2051:$AL$2550,1,$T$2051:$T$2550,"&gt;"&amp;T2485))</x:f>
      </x:c>
      <x:c r="Y2485" s="1" t="n">
        <x:f>IF(AND(H2485="Yes",OR(LEN('School Search'!$B$5)=0,ISNUMBER(SEARCH('School Search'!$B$5,B2485&amp;" "&amp;E2485&amp;" "&amp;A2485))),OR('School Search'!$D$5="All",C2485='School Search'!$D$5),OR('School Search'!$G$5="All eligible",AND('School Search'!$G$5="Not marked served",J2485&lt;&gt;"Yes"),AND('School Search'!$G$5="Missing data",V2485="Missing data"),AND('School Search'!$G$5="Marked served",J2485="Yes"))),1,0)</x:f>
        <x:v>0</x:v>
      </x:c>
      <x:c r="Z2485" s="1" t="str">
        <x:f>IF(Y2485=0,"",COUNTIFS($Y$2051:$Y$2550,1,$AO$2051:$AO$2550,"&lt;"&amp;AO2485)+COUNTIFS($Y$2051:Y2485,1,$AO$2051:AO2485,AO2485))</x:f>
      </x:c>
      <x:c r="AA2485" s="1" t="str">
        <x:f>IF(NOT(ISNUMBER(S2485)),"Missing demographic or access input",TEXT(G2485,"0%")&amp;" economic need; "&amp;TEXT(K2485,"0.00")&amp;" mi fresh access; "&amp;L2485&amp;" nearby resources")</x:f>
        <x:v>Missing demographic or access input</x:v>
      </x:c>
      <x:c r="AB2485" s="1" t="n">
        <x:f>IF(OR(A2485="",COUNTIFS($A$1531:$A$2030,A2485)&lt;&gt;1),0,MATCH(A2485,$A$1531:$A$2030,0))</x:f>
        <x:v>0</x:v>
      </x:c>
      <x:c r="AC2485" s="1" t="str">
        <x:f>IF(AB2485=0,"",INDEX($E$1531:$E$2030,AB2485))</x:f>
      </x:c>
      <x:c r="AD2485" s="1" t="str">
        <x:f>IF(AB2485=0,"",INDEX($F$1531:$F$2030,AB2485))</x:f>
      </x:c>
      <x:c r="AE2485" s="1" t="str">
        <x:f>IF(A2485="","",F436)</x:f>
      </x:c>
      <x:c r="AF2485" s="1" t="str">
        <x:f>IF(ISNUMBER(I436),I436,"")</x:f>
      </x:c>
      <x:c r="AG2485" s="1" t="str">
        <x:f>IF(ISNUMBER(J436),J436,"")</x:f>
      </x:c>
      <x:c r="AH2485" s="1" t="str">
        <x:f>IF(I2485=0,"Not contacted",IF(INDEX('Staff Review'!$J$8:$J$507,I2485)="","Not contacted",INDEX('Staff Review'!$J$8:$J$507,I2485)))</x:f>
        <x:v>Not contacted</x:v>
      </x:c>
      <x:c r="AI2485" s="1" t="str">
        <x:f>IF(I2485=0,"No",IF(AND(COUNT(INDEX('Staff Review'!$D$8:$D$507,I2485))=1,INDEX('Staff Review'!$D$8:$D$507,I2485)&gt;=0,COUNT(INDEX('Staff Review'!$E$8:$E$507,I2485))=1,INDEX('Staff Review'!$E$8:$E$507,I2485)&gt;0,INDEX('Staff Review'!$E$8:$E$507,I2485)&lt;='Top 15'!$E$5,'Top 15'!$E$5-INDEX('Staff Review'!$E$8:$E$507,I2485)&lt;='Top 15'!$H$5,LEN(INDEX('Staff Review'!$H$8:$H$507,I2485))&gt;0),"Yes","No"))</x:f>
        <x:v>No</x:v>
      </x:c>
      <x:c r="AJ2485" s="1" t="str">
        <x:f>IF(I2485=0,"No",IF(COUNT(INDEX('Staff Review'!$F$8:$F$507,I2485))&lt;&gt;1,"No",IF(AND(INDEX('Staff Review'!$F$8:$F$507,I2485)&gt;=0,MOD(INDEX('Staff Review'!$F$8:$F$507,I2485),1)=0,COUNT(INDEX('Staff Review'!$G$8:$G$507,I2485))=1,INDEX('Staff Review'!$G$8:$G$507,I2485)&gt;0,INDEX('Staff Review'!$G$8:$G$507,I2485)&lt;='Top 15'!$E$5,'Top 15'!$E$5-INDEX('Staff Review'!$G$8:$G$507,I2485)&lt;='Top 15'!$H$5,LEN(INDEX('Staff Review'!$H$8:$H$507,I2485))&gt;0),"Yes","No")))</x:f>
        <x:v>No</x:v>
      </x:c>
      <x:c r="AK2485" s="1" t="n">
        <x:f>IF(A2485="",0,COUNTIFS($A$2:$A$501,A2485))</x:f>
        <x:v>0</x:v>
      </x:c>
      <x:c r="AL2485" s="1" t="n">
        <x:f>IF(V2485="Candidate",1,0)</x:f>
        <x:v>0</x:v>
      </x:c>
      <x:c r="AM2485" s="1" t="n">
        <x:f>IF(A2485="",0,VALUE(A2485))</x:f>
        <x:v>0</x:v>
      </x:c>
      <x:c r="AN2485" s="1" t="n">
        <x:f>IF(OR(A2485="",COUNTIFS($T$41:$T$540,A2485)&lt;&gt;1),0,MATCH(A2485,$T$41:$T$540,0))</x:f>
        <x:v>0</x:v>
      </x:c>
      <x:c r="AO2485" t="n">
        <x:f>IF(ISNUMBER(W2485),W2485,10000+AM2485)</x:f>
        <x:v>10000</x:v>
      </x:c>
    </x:row>
    <x:row r="2486" ht="22" customHeight="1">
      <x:c r="A2486" s="1" t="str">
        <x:f>IF(A437="","",A437)</x:f>
      </x:c>
      <x:c r="B2486" s="1" t="str">
        <x:f>IF(A2486="","",B437)</x:f>
      </x:c>
      <x:c r="C2486" s="1" t="str">
        <x:f>IF(A2486="","",C437)</x:f>
      </x:c>
      <x:c r="D2486" s="1" t="str">
        <x:f>IF(A2486="","",E437)</x:f>
      </x:c>
      <x:c r="E2486" s="1" t="str">
        <x:f>IF(A2486="","",H437)</x:f>
      </x:c>
      <x:c r="F2486" s="1" t="str">
        <x:f>IF(ISNUMBER(K437),K437,"")</x:f>
      </x:c>
      <x:c r="G2486" s="1" t="str">
        <x:f>IF(ISNUMBER(L437),L437,"")</x:f>
      </x:c>
      <x:c r="H2486" s="1" t="str">
        <x:f>IF(A2486="","",IF(AND(UPPER(G437)="PHILADELPHIA",OR(C2486="District",AND(C2486="Charter",D437="Yes"))),"Yes","No"))</x:f>
      </x:c>
      <x:c r="I2486" s="1" t="n">
        <x:f>IF(OR(A2486="",COUNTIFS('Staff Review'!$A$8:$A$507,A2486)&lt;&gt;1),0,MATCH(A2486,'Staff Review'!$A$8:$A$507,0))</x:f>
        <x:v>0</x:v>
      </x:c>
      <x:c r="J2486" s="1" t="str">
        <x:f>IF(I2486=0,"No",IF(INDEX('Staff Review'!$C$8:$C$507,I2486)="Yes","Yes","No"))</x:f>
        <x:v>No</x:v>
      </x:c>
      <x:c r="K2486" s="1" t="str">
        <x:f>IF(AI2486="Yes",INDEX('Staff Review'!$D$8:$D$507,I2486),IF(AB2486=0,"",IF(COUNT(INDEX($C$1531:$C$2030,AB2486))=1,INDEX($C$1531:$C$2030,AB2486),"")))</x:f>
      </x:c>
      <x:c r="L2486" s="1" t="str">
        <x:f>IF(AJ2486="Yes",INDEX('Staff Review'!$F$8:$F$507,I2486),IF(AB2486=0,"",IF(COUNT(INDEX($G$1531:$G$2030,AB2486))=1,INDEX($G$1531:$G$2030,AB2486),"")))</x:f>
      </x:c>
      <x:c r="M2486" s="1" t="str">
        <x:f>IF(A2486="","",IF(AI2486="Yes","Verified","Listed"))</x:f>
      </x:c>
      <x:c r="N2486" s="1" t="str">
        <x:f>IF(A2486="","",IF(AJ2486="Yes","Verified","Listed"))</x:f>
      </x:c>
      <x:c r="O2486" s="1" t="str">
        <x:f>IF(AND(ISNUMBER(G2486),G2486&gt;=0,G2486&lt;=1),IF(G2486&gt;=0.9,30,IF(G2486&gt;=0.8,25,IF(G2486&gt;=0.7,20,IF(G2486&gt;=0.6,15,IF(G2486&gt;=0.5,10,IF(G2486&gt;=0.4,5,0)))))),"")</x:f>
      </x:c>
      <x:c r="P2486" s="1" t="str">
        <x:f>IF(ISNUMBER(K2486),IF(K2486&lt;0,"",IF(K2486&gt;1,25,IF(K2486&gt;=0.75,20,IF(K2486&gt;=0.5,15,IF(K2486&gt;=0.25,10,5))))),"")</x:f>
      </x:c>
      <x:c r="Q2486" s="1" t="str">
        <x:f>IF(NOT(ISNUMBER(L2486)),"",IF(AND(L2486&gt;=0,MOD(L2486,1)=0),MAX(0,25-5*L2486),""))</x:f>
      </x:c>
      <x:c r="R2486" s="1" t="str">
        <x:f>IF(NOT(ISNUMBER(F2486)),"",IF(AND(F2486&gt;0,MOD(F2486,1)=0),IF(F2486&gt;=700,5,IF(F2486&gt;=500,4,IF(F2486&gt;=350,3,IF(F2486&gt;=200,2,1)))),""))</x:f>
      </x:c>
      <x:c r="S2486" s="1" t="str">
        <x:f>IF(COUNT(O2486:R2486)=4,SUM(O2486:R2486),"")</x:f>
      </x:c>
      <x:c r="T2486" s="1" t="str">
        <x:f>IF(OR(COUNT(O2486:R2486)&lt;&gt;4,COUNT('Top 15'!$B$35:$E$35)&lt;&gt;4,MIN('Top 15'!$B$35:$E$35)&lt;0,SUM('Top 15'!$B$35:$E$35)&lt;=0),"",ROUND(85*(O2486/30*'Top 15'!$B$35+P2486/25*'Top 15'!$C$35+Q2486/25*'Top 15'!$D$35+R2486/5*'Top 15'!$E$35)/SUM('Top 15'!$B$35:$E$35),6))</x:f>
      </x:c>
      <x:c r="U2486" s="1" t="str">
        <x:f>IF(A2486="","",IF(AND(M2486="Verified",N2486="Verified"),"Verified",IF(AND(M2486="Listed",N2486="Listed"),"Listed","Mixed")))</x:f>
      </x:c>
      <x:c r="V2486" s="1" t="str">
        <x:f>IF(A2486="","",IF(AK2486&lt;&gt;1,"Duplicate source ID",IF(COUNTIFS('Staff Review'!$A$8:$A$507,A2486)&gt;1,"Duplicate review ID",IF(H2486&lt;&gt;"Yes","Outside scope",IF(J2486="Yes","Already served",IF(NOT(ISNUMBER(T2486)),"Missing data","Candidate"))))))</x:f>
      </x:c>
      <x:c r="W2486" s="1" t="str">
        <x:f>IF(AL2486=0,"",1+COUNTIFS($AL$2051:$AL$2550,1,$T$2051:$T$2550,"&gt;"&amp;T2486)+COUNTIFS($AL$2051:$AL$2550,1,$T$2051:$T$2550,T2486,$G$2051:$G$2550,"&gt;"&amp;G2486)+COUNTIFS($AL$2051:$AL$2550,1,$T$2051:$T$2550,T2486,$G$2051:$G$2550,G2486,$F$2051:$F$2550,"&gt;"&amp;F2486)+COUNTIFS($AL$2051:$AL$2550,1,$T$2051:$T$2550,T2486,$G$2051:$G$2550,G2486,$F$2051:$F$2550,F2486,$AM$2051:$AM$2550,"&lt;"&amp;AM2486))</x:f>
      </x:c>
      <x:c r="X2486" s="1" t="str">
        <x:f>IF(AL2486=0,"",1+COUNTIFS($AL$2051:$AL$2550,1,$T$2051:$T$2550,"&gt;"&amp;T2486))</x:f>
      </x:c>
      <x:c r="Y2486" s="1" t="n">
        <x:f>IF(AND(H2486="Yes",OR(LEN('School Search'!$B$5)=0,ISNUMBER(SEARCH('School Search'!$B$5,B2486&amp;" "&amp;E2486&amp;" "&amp;A2486))),OR('School Search'!$D$5="All",C2486='School Search'!$D$5),OR('School Search'!$G$5="All eligible",AND('School Search'!$G$5="Not marked served",J2486&lt;&gt;"Yes"),AND('School Search'!$G$5="Missing data",V2486="Missing data"),AND('School Search'!$G$5="Marked served",J2486="Yes"))),1,0)</x:f>
        <x:v>0</x:v>
      </x:c>
      <x:c r="Z2486" s="1" t="str">
        <x:f>IF(Y2486=0,"",COUNTIFS($Y$2051:$Y$2550,1,$AO$2051:$AO$2550,"&lt;"&amp;AO2486)+COUNTIFS($Y$2051:Y2486,1,$AO$2051:AO2486,AO2486))</x:f>
      </x:c>
      <x:c r="AA2486" s="1" t="str">
        <x:f>IF(NOT(ISNUMBER(S2486)),"Missing demographic or access input",TEXT(G2486,"0%")&amp;" economic need; "&amp;TEXT(K2486,"0.00")&amp;" mi fresh access; "&amp;L2486&amp;" nearby resources")</x:f>
        <x:v>Missing demographic or access input</x:v>
      </x:c>
      <x:c r="AB2486" s="1" t="n">
        <x:f>IF(OR(A2486="",COUNTIFS($A$1531:$A$2030,A2486)&lt;&gt;1),0,MATCH(A2486,$A$1531:$A$2030,0))</x:f>
        <x:v>0</x:v>
      </x:c>
      <x:c r="AC2486" s="1" t="str">
        <x:f>IF(AB2486=0,"",INDEX($E$1531:$E$2030,AB2486))</x:f>
      </x:c>
      <x:c r="AD2486" s="1" t="str">
        <x:f>IF(AB2486=0,"",INDEX($F$1531:$F$2030,AB2486))</x:f>
      </x:c>
      <x:c r="AE2486" s="1" t="str">
        <x:f>IF(A2486="","",F437)</x:f>
      </x:c>
      <x:c r="AF2486" s="1" t="str">
        <x:f>IF(ISNUMBER(I437),I437,"")</x:f>
      </x:c>
      <x:c r="AG2486" s="1" t="str">
        <x:f>IF(ISNUMBER(J437),J437,"")</x:f>
      </x:c>
      <x:c r="AH2486" s="1" t="str">
        <x:f>IF(I2486=0,"Not contacted",IF(INDEX('Staff Review'!$J$8:$J$507,I2486)="","Not contacted",INDEX('Staff Review'!$J$8:$J$507,I2486)))</x:f>
        <x:v>Not contacted</x:v>
      </x:c>
      <x:c r="AI2486" s="1" t="str">
        <x:f>IF(I2486=0,"No",IF(AND(COUNT(INDEX('Staff Review'!$D$8:$D$507,I2486))=1,INDEX('Staff Review'!$D$8:$D$507,I2486)&gt;=0,COUNT(INDEX('Staff Review'!$E$8:$E$507,I2486))=1,INDEX('Staff Review'!$E$8:$E$507,I2486)&gt;0,INDEX('Staff Review'!$E$8:$E$507,I2486)&lt;='Top 15'!$E$5,'Top 15'!$E$5-INDEX('Staff Review'!$E$8:$E$507,I2486)&lt;='Top 15'!$H$5,LEN(INDEX('Staff Review'!$H$8:$H$507,I2486))&gt;0),"Yes","No"))</x:f>
        <x:v>No</x:v>
      </x:c>
      <x:c r="AJ2486" s="1" t="str">
        <x:f>IF(I2486=0,"No",IF(COUNT(INDEX('Staff Review'!$F$8:$F$507,I2486))&lt;&gt;1,"No",IF(AND(INDEX('Staff Review'!$F$8:$F$507,I2486)&gt;=0,MOD(INDEX('Staff Review'!$F$8:$F$507,I2486),1)=0,COUNT(INDEX('Staff Review'!$G$8:$G$507,I2486))=1,INDEX('Staff Review'!$G$8:$G$507,I2486)&gt;0,INDEX('Staff Review'!$G$8:$G$507,I2486)&lt;='Top 15'!$E$5,'Top 15'!$E$5-INDEX('Staff Review'!$G$8:$G$507,I2486)&lt;='Top 15'!$H$5,LEN(INDEX('Staff Review'!$H$8:$H$507,I2486))&gt;0),"Yes","No")))</x:f>
        <x:v>No</x:v>
      </x:c>
      <x:c r="AK2486" s="1" t="n">
        <x:f>IF(A2486="",0,COUNTIFS($A$2:$A$501,A2486))</x:f>
        <x:v>0</x:v>
      </x:c>
      <x:c r="AL2486" s="1" t="n">
        <x:f>IF(V2486="Candidate",1,0)</x:f>
        <x:v>0</x:v>
      </x:c>
      <x:c r="AM2486" s="1" t="n">
        <x:f>IF(A2486="",0,VALUE(A2486))</x:f>
        <x:v>0</x:v>
      </x:c>
      <x:c r="AN2486" s="1" t="n">
        <x:f>IF(OR(A2486="",COUNTIFS($T$41:$T$540,A2486)&lt;&gt;1),0,MATCH(A2486,$T$41:$T$540,0))</x:f>
        <x:v>0</x:v>
      </x:c>
      <x:c r="AO2486" t="n">
        <x:f>IF(ISNUMBER(W2486),W2486,10000+AM2486)</x:f>
        <x:v>10000</x:v>
      </x:c>
    </x:row>
    <x:row r="2487" ht="22" customHeight="1">
      <x:c r="A2487" s="1" t="str">
        <x:f>IF(A438="","",A438)</x:f>
      </x:c>
      <x:c r="B2487" s="1" t="str">
        <x:f>IF(A2487="","",B438)</x:f>
      </x:c>
      <x:c r="C2487" s="1" t="str">
        <x:f>IF(A2487="","",C438)</x:f>
      </x:c>
      <x:c r="D2487" s="1" t="str">
        <x:f>IF(A2487="","",E438)</x:f>
      </x:c>
      <x:c r="E2487" s="1" t="str">
        <x:f>IF(A2487="","",H438)</x:f>
      </x:c>
      <x:c r="F2487" s="1" t="str">
        <x:f>IF(ISNUMBER(K438),K438,"")</x:f>
      </x:c>
      <x:c r="G2487" s="1" t="str">
        <x:f>IF(ISNUMBER(L438),L438,"")</x:f>
      </x:c>
      <x:c r="H2487" s="1" t="str">
        <x:f>IF(A2487="","",IF(AND(UPPER(G438)="PHILADELPHIA",OR(C2487="District",AND(C2487="Charter",D438="Yes"))),"Yes","No"))</x:f>
      </x:c>
      <x:c r="I2487" s="1" t="n">
        <x:f>IF(OR(A2487="",COUNTIFS('Staff Review'!$A$8:$A$507,A2487)&lt;&gt;1),0,MATCH(A2487,'Staff Review'!$A$8:$A$507,0))</x:f>
        <x:v>0</x:v>
      </x:c>
      <x:c r="J2487" s="1" t="str">
        <x:f>IF(I2487=0,"No",IF(INDEX('Staff Review'!$C$8:$C$507,I2487)="Yes","Yes","No"))</x:f>
        <x:v>No</x:v>
      </x:c>
      <x:c r="K2487" s="1" t="str">
        <x:f>IF(AI2487="Yes",INDEX('Staff Review'!$D$8:$D$507,I2487),IF(AB2487=0,"",IF(COUNT(INDEX($C$1531:$C$2030,AB2487))=1,INDEX($C$1531:$C$2030,AB2487),"")))</x:f>
      </x:c>
      <x:c r="L2487" s="1" t="str">
        <x:f>IF(AJ2487="Yes",INDEX('Staff Review'!$F$8:$F$507,I2487),IF(AB2487=0,"",IF(COUNT(INDEX($G$1531:$G$2030,AB2487))=1,INDEX($G$1531:$G$2030,AB2487),"")))</x:f>
      </x:c>
      <x:c r="M2487" s="1" t="str">
        <x:f>IF(A2487="","",IF(AI2487="Yes","Verified","Listed"))</x:f>
      </x:c>
      <x:c r="N2487" s="1" t="str">
        <x:f>IF(A2487="","",IF(AJ2487="Yes","Verified","Listed"))</x:f>
      </x:c>
      <x:c r="O2487" s="1" t="str">
        <x:f>IF(AND(ISNUMBER(G2487),G2487&gt;=0,G2487&lt;=1),IF(G2487&gt;=0.9,30,IF(G2487&gt;=0.8,25,IF(G2487&gt;=0.7,20,IF(G2487&gt;=0.6,15,IF(G2487&gt;=0.5,10,IF(G2487&gt;=0.4,5,0)))))),"")</x:f>
      </x:c>
      <x:c r="P2487" s="1" t="str">
        <x:f>IF(ISNUMBER(K2487),IF(K2487&lt;0,"",IF(K2487&gt;1,25,IF(K2487&gt;=0.75,20,IF(K2487&gt;=0.5,15,IF(K2487&gt;=0.25,10,5))))),"")</x:f>
      </x:c>
      <x:c r="Q2487" s="1" t="str">
        <x:f>IF(NOT(ISNUMBER(L2487)),"",IF(AND(L2487&gt;=0,MOD(L2487,1)=0),MAX(0,25-5*L2487),""))</x:f>
      </x:c>
      <x:c r="R2487" s="1" t="str">
        <x:f>IF(NOT(ISNUMBER(F2487)),"",IF(AND(F2487&gt;0,MOD(F2487,1)=0),IF(F2487&gt;=700,5,IF(F2487&gt;=500,4,IF(F2487&gt;=350,3,IF(F2487&gt;=200,2,1)))),""))</x:f>
      </x:c>
      <x:c r="S2487" s="1" t="str">
        <x:f>IF(COUNT(O2487:R2487)=4,SUM(O2487:R2487),"")</x:f>
      </x:c>
      <x:c r="T2487" s="1" t="str">
        <x:f>IF(OR(COUNT(O2487:R2487)&lt;&gt;4,COUNT('Top 15'!$B$35:$E$35)&lt;&gt;4,MIN('Top 15'!$B$35:$E$35)&lt;0,SUM('Top 15'!$B$35:$E$35)&lt;=0),"",ROUND(85*(O2487/30*'Top 15'!$B$35+P2487/25*'Top 15'!$C$35+Q2487/25*'Top 15'!$D$35+R2487/5*'Top 15'!$E$35)/SUM('Top 15'!$B$35:$E$35),6))</x:f>
      </x:c>
      <x:c r="U2487" s="1" t="str">
        <x:f>IF(A2487="","",IF(AND(M2487="Verified",N2487="Verified"),"Verified",IF(AND(M2487="Listed",N2487="Listed"),"Listed","Mixed")))</x:f>
      </x:c>
      <x:c r="V2487" s="1" t="str">
        <x:f>IF(A2487="","",IF(AK2487&lt;&gt;1,"Duplicate source ID",IF(COUNTIFS('Staff Review'!$A$8:$A$507,A2487)&gt;1,"Duplicate review ID",IF(H2487&lt;&gt;"Yes","Outside scope",IF(J2487="Yes","Already served",IF(NOT(ISNUMBER(T2487)),"Missing data","Candidate"))))))</x:f>
      </x:c>
      <x:c r="W2487" s="1" t="str">
        <x:f>IF(AL2487=0,"",1+COUNTIFS($AL$2051:$AL$2550,1,$T$2051:$T$2550,"&gt;"&amp;T2487)+COUNTIFS($AL$2051:$AL$2550,1,$T$2051:$T$2550,T2487,$G$2051:$G$2550,"&gt;"&amp;G2487)+COUNTIFS($AL$2051:$AL$2550,1,$T$2051:$T$2550,T2487,$G$2051:$G$2550,G2487,$F$2051:$F$2550,"&gt;"&amp;F2487)+COUNTIFS($AL$2051:$AL$2550,1,$T$2051:$T$2550,T2487,$G$2051:$G$2550,G2487,$F$2051:$F$2550,F2487,$AM$2051:$AM$2550,"&lt;"&amp;AM2487))</x:f>
      </x:c>
      <x:c r="X2487" s="1" t="str">
        <x:f>IF(AL2487=0,"",1+COUNTIFS($AL$2051:$AL$2550,1,$T$2051:$T$2550,"&gt;"&amp;T2487))</x:f>
      </x:c>
      <x:c r="Y2487" s="1" t="n">
        <x:f>IF(AND(H2487="Yes",OR(LEN('School Search'!$B$5)=0,ISNUMBER(SEARCH('School Search'!$B$5,B2487&amp;" "&amp;E2487&amp;" "&amp;A2487))),OR('School Search'!$D$5="All",C2487='School Search'!$D$5),OR('School Search'!$G$5="All eligible",AND('School Search'!$G$5="Not marked served",J2487&lt;&gt;"Yes"),AND('School Search'!$G$5="Missing data",V2487="Missing data"),AND('School Search'!$G$5="Marked served",J2487="Yes"))),1,0)</x:f>
        <x:v>0</x:v>
      </x:c>
      <x:c r="Z2487" s="1" t="str">
        <x:f>IF(Y2487=0,"",COUNTIFS($Y$2051:$Y$2550,1,$AO$2051:$AO$2550,"&lt;"&amp;AO2487)+COUNTIFS($Y$2051:Y2487,1,$AO$2051:AO2487,AO2487))</x:f>
      </x:c>
      <x:c r="AA2487" s="1" t="str">
        <x:f>IF(NOT(ISNUMBER(S2487)),"Missing demographic or access input",TEXT(G2487,"0%")&amp;" economic need; "&amp;TEXT(K2487,"0.00")&amp;" mi fresh access; "&amp;L2487&amp;" nearby resources")</x:f>
        <x:v>Missing demographic or access input</x:v>
      </x:c>
      <x:c r="AB2487" s="1" t="n">
        <x:f>IF(OR(A2487="",COUNTIFS($A$1531:$A$2030,A2487)&lt;&gt;1),0,MATCH(A2487,$A$1531:$A$2030,0))</x:f>
        <x:v>0</x:v>
      </x:c>
      <x:c r="AC2487" s="1" t="str">
        <x:f>IF(AB2487=0,"",INDEX($E$1531:$E$2030,AB2487))</x:f>
      </x:c>
      <x:c r="AD2487" s="1" t="str">
        <x:f>IF(AB2487=0,"",INDEX($F$1531:$F$2030,AB2487))</x:f>
      </x:c>
      <x:c r="AE2487" s="1" t="str">
        <x:f>IF(A2487="","",F438)</x:f>
      </x:c>
      <x:c r="AF2487" s="1" t="str">
        <x:f>IF(ISNUMBER(I438),I438,"")</x:f>
      </x:c>
      <x:c r="AG2487" s="1" t="str">
        <x:f>IF(ISNUMBER(J438),J438,"")</x:f>
      </x:c>
      <x:c r="AH2487" s="1" t="str">
        <x:f>IF(I2487=0,"Not contacted",IF(INDEX('Staff Review'!$J$8:$J$507,I2487)="","Not contacted",INDEX('Staff Review'!$J$8:$J$507,I2487)))</x:f>
        <x:v>Not contacted</x:v>
      </x:c>
      <x:c r="AI2487" s="1" t="str">
        <x:f>IF(I2487=0,"No",IF(AND(COUNT(INDEX('Staff Review'!$D$8:$D$507,I2487))=1,INDEX('Staff Review'!$D$8:$D$507,I2487)&gt;=0,COUNT(INDEX('Staff Review'!$E$8:$E$507,I2487))=1,INDEX('Staff Review'!$E$8:$E$507,I2487)&gt;0,INDEX('Staff Review'!$E$8:$E$507,I2487)&lt;='Top 15'!$E$5,'Top 15'!$E$5-INDEX('Staff Review'!$E$8:$E$507,I2487)&lt;='Top 15'!$H$5,LEN(INDEX('Staff Review'!$H$8:$H$507,I2487))&gt;0),"Yes","No"))</x:f>
        <x:v>No</x:v>
      </x:c>
      <x:c r="AJ2487" s="1" t="str">
        <x:f>IF(I2487=0,"No",IF(COUNT(INDEX('Staff Review'!$F$8:$F$507,I2487))&lt;&gt;1,"No",IF(AND(INDEX('Staff Review'!$F$8:$F$507,I2487)&gt;=0,MOD(INDEX('Staff Review'!$F$8:$F$507,I2487),1)=0,COUNT(INDEX('Staff Review'!$G$8:$G$507,I2487))=1,INDEX('Staff Review'!$G$8:$G$507,I2487)&gt;0,INDEX('Staff Review'!$G$8:$G$507,I2487)&lt;='Top 15'!$E$5,'Top 15'!$E$5-INDEX('Staff Review'!$G$8:$G$507,I2487)&lt;='Top 15'!$H$5,LEN(INDEX('Staff Review'!$H$8:$H$507,I2487))&gt;0),"Yes","No")))</x:f>
        <x:v>No</x:v>
      </x:c>
      <x:c r="AK2487" s="1" t="n">
        <x:f>IF(A2487="",0,COUNTIFS($A$2:$A$501,A2487))</x:f>
        <x:v>0</x:v>
      </x:c>
      <x:c r="AL2487" s="1" t="n">
        <x:f>IF(V2487="Candidate",1,0)</x:f>
        <x:v>0</x:v>
      </x:c>
      <x:c r="AM2487" s="1" t="n">
        <x:f>IF(A2487="",0,VALUE(A2487))</x:f>
        <x:v>0</x:v>
      </x:c>
      <x:c r="AN2487" s="1" t="n">
        <x:f>IF(OR(A2487="",COUNTIFS($T$41:$T$540,A2487)&lt;&gt;1),0,MATCH(A2487,$T$41:$T$540,0))</x:f>
        <x:v>0</x:v>
      </x:c>
      <x:c r="AO2487" t="n">
        <x:f>IF(ISNUMBER(W2487),W2487,10000+AM2487)</x:f>
        <x:v>10000</x:v>
      </x:c>
    </x:row>
    <x:row r="2488" ht="22" customHeight="1">
      <x:c r="A2488" s="1" t="str">
        <x:f>IF(A439="","",A439)</x:f>
      </x:c>
      <x:c r="B2488" s="1" t="str">
        <x:f>IF(A2488="","",B439)</x:f>
      </x:c>
      <x:c r="C2488" s="1" t="str">
        <x:f>IF(A2488="","",C439)</x:f>
      </x:c>
      <x:c r="D2488" s="1" t="str">
        <x:f>IF(A2488="","",E439)</x:f>
      </x:c>
      <x:c r="E2488" s="1" t="str">
        <x:f>IF(A2488="","",H439)</x:f>
      </x:c>
      <x:c r="F2488" s="1" t="str">
        <x:f>IF(ISNUMBER(K439),K439,"")</x:f>
      </x:c>
      <x:c r="G2488" s="1" t="str">
        <x:f>IF(ISNUMBER(L439),L439,"")</x:f>
      </x:c>
      <x:c r="H2488" s="1" t="str">
        <x:f>IF(A2488="","",IF(AND(UPPER(G439)="PHILADELPHIA",OR(C2488="District",AND(C2488="Charter",D439="Yes"))),"Yes","No"))</x:f>
      </x:c>
      <x:c r="I2488" s="1" t="n">
        <x:f>IF(OR(A2488="",COUNTIFS('Staff Review'!$A$8:$A$507,A2488)&lt;&gt;1),0,MATCH(A2488,'Staff Review'!$A$8:$A$507,0))</x:f>
        <x:v>0</x:v>
      </x:c>
      <x:c r="J2488" s="1" t="str">
        <x:f>IF(I2488=0,"No",IF(INDEX('Staff Review'!$C$8:$C$507,I2488)="Yes","Yes","No"))</x:f>
        <x:v>No</x:v>
      </x:c>
      <x:c r="K2488" s="1" t="str">
        <x:f>IF(AI2488="Yes",INDEX('Staff Review'!$D$8:$D$507,I2488),IF(AB2488=0,"",IF(COUNT(INDEX($C$1531:$C$2030,AB2488))=1,INDEX($C$1531:$C$2030,AB2488),"")))</x:f>
      </x:c>
      <x:c r="L2488" s="1" t="str">
        <x:f>IF(AJ2488="Yes",INDEX('Staff Review'!$F$8:$F$507,I2488),IF(AB2488=0,"",IF(COUNT(INDEX($G$1531:$G$2030,AB2488))=1,INDEX($G$1531:$G$2030,AB2488),"")))</x:f>
      </x:c>
      <x:c r="M2488" s="1" t="str">
        <x:f>IF(A2488="","",IF(AI2488="Yes","Verified","Listed"))</x:f>
      </x:c>
      <x:c r="N2488" s="1" t="str">
        <x:f>IF(A2488="","",IF(AJ2488="Yes","Verified","Listed"))</x:f>
      </x:c>
      <x:c r="O2488" s="1" t="str">
        <x:f>IF(AND(ISNUMBER(G2488),G2488&gt;=0,G2488&lt;=1),IF(G2488&gt;=0.9,30,IF(G2488&gt;=0.8,25,IF(G2488&gt;=0.7,20,IF(G2488&gt;=0.6,15,IF(G2488&gt;=0.5,10,IF(G2488&gt;=0.4,5,0)))))),"")</x:f>
      </x:c>
      <x:c r="P2488" s="1" t="str">
        <x:f>IF(ISNUMBER(K2488),IF(K2488&lt;0,"",IF(K2488&gt;1,25,IF(K2488&gt;=0.75,20,IF(K2488&gt;=0.5,15,IF(K2488&gt;=0.25,10,5))))),"")</x:f>
      </x:c>
      <x:c r="Q2488" s="1" t="str">
        <x:f>IF(NOT(ISNUMBER(L2488)),"",IF(AND(L2488&gt;=0,MOD(L2488,1)=0),MAX(0,25-5*L2488),""))</x:f>
      </x:c>
      <x:c r="R2488" s="1" t="str">
        <x:f>IF(NOT(ISNUMBER(F2488)),"",IF(AND(F2488&gt;0,MOD(F2488,1)=0),IF(F2488&gt;=700,5,IF(F2488&gt;=500,4,IF(F2488&gt;=350,3,IF(F2488&gt;=200,2,1)))),""))</x:f>
      </x:c>
      <x:c r="S2488" s="1" t="str">
        <x:f>IF(COUNT(O2488:R2488)=4,SUM(O2488:R2488),"")</x:f>
      </x:c>
      <x:c r="T2488" s="1" t="str">
        <x:f>IF(OR(COUNT(O2488:R2488)&lt;&gt;4,COUNT('Top 15'!$B$35:$E$35)&lt;&gt;4,MIN('Top 15'!$B$35:$E$35)&lt;0,SUM('Top 15'!$B$35:$E$35)&lt;=0),"",ROUND(85*(O2488/30*'Top 15'!$B$35+P2488/25*'Top 15'!$C$35+Q2488/25*'Top 15'!$D$35+R2488/5*'Top 15'!$E$35)/SUM('Top 15'!$B$35:$E$35),6))</x:f>
      </x:c>
      <x:c r="U2488" s="1" t="str">
        <x:f>IF(A2488="","",IF(AND(M2488="Verified",N2488="Verified"),"Verified",IF(AND(M2488="Listed",N2488="Listed"),"Listed","Mixed")))</x:f>
      </x:c>
      <x:c r="V2488" s="1" t="str">
        <x:f>IF(A2488="","",IF(AK2488&lt;&gt;1,"Duplicate source ID",IF(COUNTIFS('Staff Review'!$A$8:$A$507,A2488)&gt;1,"Duplicate review ID",IF(H2488&lt;&gt;"Yes","Outside scope",IF(J2488="Yes","Already served",IF(NOT(ISNUMBER(T2488)),"Missing data","Candidate"))))))</x:f>
      </x:c>
      <x:c r="W2488" s="1" t="str">
        <x:f>IF(AL2488=0,"",1+COUNTIFS($AL$2051:$AL$2550,1,$T$2051:$T$2550,"&gt;"&amp;T2488)+COUNTIFS($AL$2051:$AL$2550,1,$T$2051:$T$2550,T2488,$G$2051:$G$2550,"&gt;"&amp;G2488)+COUNTIFS($AL$2051:$AL$2550,1,$T$2051:$T$2550,T2488,$G$2051:$G$2550,G2488,$F$2051:$F$2550,"&gt;"&amp;F2488)+COUNTIFS($AL$2051:$AL$2550,1,$T$2051:$T$2550,T2488,$G$2051:$G$2550,G2488,$F$2051:$F$2550,F2488,$AM$2051:$AM$2550,"&lt;"&amp;AM2488))</x:f>
      </x:c>
      <x:c r="X2488" s="1" t="str">
        <x:f>IF(AL2488=0,"",1+COUNTIFS($AL$2051:$AL$2550,1,$T$2051:$T$2550,"&gt;"&amp;T2488))</x:f>
      </x:c>
      <x:c r="Y2488" s="1" t="n">
        <x:f>IF(AND(H2488="Yes",OR(LEN('School Search'!$B$5)=0,ISNUMBER(SEARCH('School Search'!$B$5,B2488&amp;" "&amp;E2488&amp;" "&amp;A2488))),OR('School Search'!$D$5="All",C2488='School Search'!$D$5),OR('School Search'!$G$5="All eligible",AND('School Search'!$G$5="Not marked served",J2488&lt;&gt;"Yes"),AND('School Search'!$G$5="Missing data",V2488="Missing data"),AND('School Search'!$G$5="Marked served",J2488="Yes"))),1,0)</x:f>
        <x:v>0</x:v>
      </x:c>
      <x:c r="Z2488" s="1" t="str">
        <x:f>IF(Y2488=0,"",COUNTIFS($Y$2051:$Y$2550,1,$AO$2051:$AO$2550,"&lt;"&amp;AO2488)+COUNTIFS($Y$2051:Y2488,1,$AO$2051:AO2488,AO2488))</x:f>
      </x:c>
      <x:c r="AA2488" s="1" t="str">
        <x:f>IF(NOT(ISNUMBER(S2488)),"Missing demographic or access input",TEXT(G2488,"0%")&amp;" economic need; "&amp;TEXT(K2488,"0.00")&amp;" mi fresh access; "&amp;L2488&amp;" nearby resources")</x:f>
        <x:v>Missing demographic or access input</x:v>
      </x:c>
      <x:c r="AB2488" s="1" t="n">
        <x:f>IF(OR(A2488="",COUNTIFS($A$1531:$A$2030,A2488)&lt;&gt;1),0,MATCH(A2488,$A$1531:$A$2030,0))</x:f>
        <x:v>0</x:v>
      </x:c>
      <x:c r="AC2488" s="1" t="str">
        <x:f>IF(AB2488=0,"",INDEX($E$1531:$E$2030,AB2488))</x:f>
      </x:c>
      <x:c r="AD2488" s="1" t="str">
        <x:f>IF(AB2488=0,"",INDEX($F$1531:$F$2030,AB2488))</x:f>
      </x:c>
      <x:c r="AE2488" s="1" t="str">
        <x:f>IF(A2488="","",F439)</x:f>
      </x:c>
      <x:c r="AF2488" s="1" t="str">
        <x:f>IF(ISNUMBER(I439),I439,"")</x:f>
      </x:c>
      <x:c r="AG2488" s="1" t="str">
        <x:f>IF(ISNUMBER(J439),J439,"")</x:f>
      </x:c>
      <x:c r="AH2488" s="1" t="str">
        <x:f>IF(I2488=0,"Not contacted",IF(INDEX('Staff Review'!$J$8:$J$507,I2488)="","Not contacted",INDEX('Staff Review'!$J$8:$J$507,I2488)))</x:f>
        <x:v>Not contacted</x:v>
      </x:c>
      <x:c r="AI2488" s="1" t="str">
        <x:f>IF(I2488=0,"No",IF(AND(COUNT(INDEX('Staff Review'!$D$8:$D$507,I2488))=1,INDEX('Staff Review'!$D$8:$D$507,I2488)&gt;=0,COUNT(INDEX('Staff Review'!$E$8:$E$507,I2488))=1,INDEX('Staff Review'!$E$8:$E$507,I2488)&gt;0,INDEX('Staff Review'!$E$8:$E$507,I2488)&lt;='Top 15'!$E$5,'Top 15'!$E$5-INDEX('Staff Review'!$E$8:$E$507,I2488)&lt;='Top 15'!$H$5,LEN(INDEX('Staff Review'!$H$8:$H$507,I2488))&gt;0),"Yes","No"))</x:f>
        <x:v>No</x:v>
      </x:c>
      <x:c r="AJ2488" s="1" t="str">
        <x:f>IF(I2488=0,"No",IF(COUNT(INDEX('Staff Review'!$F$8:$F$507,I2488))&lt;&gt;1,"No",IF(AND(INDEX('Staff Review'!$F$8:$F$507,I2488)&gt;=0,MOD(INDEX('Staff Review'!$F$8:$F$507,I2488),1)=0,COUNT(INDEX('Staff Review'!$G$8:$G$507,I2488))=1,INDEX('Staff Review'!$G$8:$G$507,I2488)&gt;0,INDEX('Staff Review'!$G$8:$G$507,I2488)&lt;='Top 15'!$E$5,'Top 15'!$E$5-INDEX('Staff Review'!$G$8:$G$507,I2488)&lt;='Top 15'!$H$5,LEN(INDEX('Staff Review'!$H$8:$H$507,I2488))&gt;0),"Yes","No")))</x:f>
        <x:v>No</x:v>
      </x:c>
      <x:c r="AK2488" s="1" t="n">
        <x:f>IF(A2488="",0,COUNTIFS($A$2:$A$501,A2488))</x:f>
        <x:v>0</x:v>
      </x:c>
      <x:c r="AL2488" s="1" t="n">
        <x:f>IF(V2488="Candidate",1,0)</x:f>
        <x:v>0</x:v>
      </x:c>
      <x:c r="AM2488" s="1" t="n">
        <x:f>IF(A2488="",0,VALUE(A2488))</x:f>
        <x:v>0</x:v>
      </x:c>
      <x:c r="AN2488" s="1" t="n">
        <x:f>IF(OR(A2488="",COUNTIFS($T$41:$T$540,A2488)&lt;&gt;1),0,MATCH(A2488,$T$41:$T$540,0))</x:f>
        <x:v>0</x:v>
      </x:c>
      <x:c r="AO2488" t="n">
        <x:f>IF(ISNUMBER(W2488),W2488,10000+AM2488)</x:f>
        <x:v>10000</x:v>
      </x:c>
    </x:row>
    <x:row r="2489" ht="22" customHeight="1">
      <x:c r="A2489" s="1" t="str">
        <x:f>IF(A440="","",A440)</x:f>
      </x:c>
      <x:c r="B2489" s="1" t="str">
        <x:f>IF(A2489="","",B440)</x:f>
      </x:c>
      <x:c r="C2489" s="1" t="str">
        <x:f>IF(A2489="","",C440)</x:f>
      </x:c>
      <x:c r="D2489" s="1" t="str">
        <x:f>IF(A2489="","",E440)</x:f>
      </x:c>
      <x:c r="E2489" s="1" t="str">
        <x:f>IF(A2489="","",H440)</x:f>
      </x:c>
      <x:c r="F2489" s="1" t="str">
        <x:f>IF(ISNUMBER(K440),K440,"")</x:f>
      </x:c>
      <x:c r="G2489" s="1" t="str">
        <x:f>IF(ISNUMBER(L440),L440,"")</x:f>
      </x:c>
      <x:c r="H2489" s="1" t="str">
        <x:f>IF(A2489="","",IF(AND(UPPER(G440)="PHILADELPHIA",OR(C2489="District",AND(C2489="Charter",D440="Yes"))),"Yes","No"))</x:f>
      </x:c>
      <x:c r="I2489" s="1" t="n">
        <x:f>IF(OR(A2489="",COUNTIFS('Staff Review'!$A$8:$A$507,A2489)&lt;&gt;1),0,MATCH(A2489,'Staff Review'!$A$8:$A$507,0))</x:f>
        <x:v>0</x:v>
      </x:c>
      <x:c r="J2489" s="1" t="str">
        <x:f>IF(I2489=0,"No",IF(INDEX('Staff Review'!$C$8:$C$507,I2489)="Yes","Yes","No"))</x:f>
        <x:v>No</x:v>
      </x:c>
      <x:c r="K2489" s="1" t="str">
        <x:f>IF(AI2489="Yes",INDEX('Staff Review'!$D$8:$D$507,I2489),IF(AB2489=0,"",IF(COUNT(INDEX($C$1531:$C$2030,AB2489))=1,INDEX($C$1531:$C$2030,AB2489),"")))</x:f>
      </x:c>
      <x:c r="L2489" s="1" t="str">
        <x:f>IF(AJ2489="Yes",INDEX('Staff Review'!$F$8:$F$507,I2489),IF(AB2489=0,"",IF(COUNT(INDEX($G$1531:$G$2030,AB2489))=1,INDEX($G$1531:$G$2030,AB2489),"")))</x:f>
      </x:c>
      <x:c r="M2489" s="1" t="str">
        <x:f>IF(A2489="","",IF(AI2489="Yes","Verified","Listed"))</x:f>
      </x:c>
      <x:c r="N2489" s="1" t="str">
        <x:f>IF(A2489="","",IF(AJ2489="Yes","Verified","Listed"))</x:f>
      </x:c>
      <x:c r="O2489" s="1" t="str">
        <x:f>IF(AND(ISNUMBER(G2489),G2489&gt;=0,G2489&lt;=1),IF(G2489&gt;=0.9,30,IF(G2489&gt;=0.8,25,IF(G2489&gt;=0.7,20,IF(G2489&gt;=0.6,15,IF(G2489&gt;=0.5,10,IF(G2489&gt;=0.4,5,0)))))),"")</x:f>
      </x:c>
      <x:c r="P2489" s="1" t="str">
        <x:f>IF(ISNUMBER(K2489),IF(K2489&lt;0,"",IF(K2489&gt;1,25,IF(K2489&gt;=0.75,20,IF(K2489&gt;=0.5,15,IF(K2489&gt;=0.25,10,5))))),"")</x:f>
      </x:c>
      <x:c r="Q2489" s="1" t="str">
        <x:f>IF(NOT(ISNUMBER(L2489)),"",IF(AND(L2489&gt;=0,MOD(L2489,1)=0),MAX(0,25-5*L2489),""))</x:f>
      </x:c>
      <x:c r="R2489" s="1" t="str">
        <x:f>IF(NOT(ISNUMBER(F2489)),"",IF(AND(F2489&gt;0,MOD(F2489,1)=0),IF(F2489&gt;=700,5,IF(F2489&gt;=500,4,IF(F2489&gt;=350,3,IF(F2489&gt;=200,2,1)))),""))</x:f>
      </x:c>
      <x:c r="S2489" s="1" t="str">
        <x:f>IF(COUNT(O2489:R2489)=4,SUM(O2489:R2489),"")</x:f>
      </x:c>
      <x:c r="T2489" s="1" t="str">
        <x:f>IF(OR(COUNT(O2489:R2489)&lt;&gt;4,COUNT('Top 15'!$B$35:$E$35)&lt;&gt;4,MIN('Top 15'!$B$35:$E$35)&lt;0,SUM('Top 15'!$B$35:$E$35)&lt;=0),"",ROUND(85*(O2489/30*'Top 15'!$B$35+P2489/25*'Top 15'!$C$35+Q2489/25*'Top 15'!$D$35+R2489/5*'Top 15'!$E$35)/SUM('Top 15'!$B$35:$E$35),6))</x:f>
      </x:c>
      <x:c r="U2489" s="1" t="str">
        <x:f>IF(A2489="","",IF(AND(M2489="Verified",N2489="Verified"),"Verified",IF(AND(M2489="Listed",N2489="Listed"),"Listed","Mixed")))</x:f>
      </x:c>
      <x:c r="V2489" s="1" t="str">
        <x:f>IF(A2489="","",IF(AK2489&lt;&gt;1,"Duplicate source ID",IF(COUNTIFS('Staff Review'!$A$8:$A$507,A2489)&gt;1,"Duplicate review ID",IF(H2489&lt;&gt;"Yes","Outside scope",IF(J2489="Yes","Already served",IF(NOT(ISNUMBER(T2489)),"Missing data","Candidate"))))))</x:f>
      </x:c>
      <x:c r="W2489" s="1" t="str">
        <x:f>IF(AL2489=0,"",1+COUNTIFS($AL$2051:$AL$2550,1,$T$2051:$T$2550,"&gt;"&amp;T2489)+COUNTIFS($AL$2051:$AL$2550,1,$T$2051:$T$2550,T2489,$G$2051:$G$2550,"&gt;"&amp;G2489)+COUNTIFS($AL$2051:$AL$2550,1,$T$2051:$T$2550,T2489,$G$2051:$G$2550,G2489,$F$2051:$F$2550,"&gt;"&amp;F2489)+COUNTIFS($AL$2051:$AL$2550,1,$T$2051:$T$2550,T2489,$G$2051:$G$2550,G2489,$F$2051:$F$2550,F2489,$AM$2051:$AM$2550,"&lt;"&amp;AM2489))</x:f>
      </x:c>
      <x:c r="X2489" s="1" t="str">
        <x:f>IF(AL2489=0,"",1+COUNTIFS($AL$2051:$AL$2550,1,$T$2051:$T$2550,"&gt;"&amp;T2489))</x:f>
      </x:c>
      <x:c r="Y2489" s="1" t="n">
        <x:f>IF(AND(H2489="Yes",OR(LEN('School Search'!$B$5)=0,ISNUMBER(SEARCH('School Search'!$B$5,B2489&amp;" "&amp;E2489&amp;" "&amp;A2489))),OR('School Search'!$D$5="All",C2489='School Search'!$D$5),OR('School Search'!$G$5="All eligible",AND('School Search'!$G$5="Not marked served",J2489&lt;&gt;"Yes"),AND('School Search'!$G$5="Missing data",V2489="Missing data"),AND('School Search'!$G$5="Marked served",J2489="Yes"))),1,0)</x:f>
        <x:v>0</x:v>
      </x:c>
      <x:c r="Z2489" s="1" t="str">
        <x:f>IF(Y2489=0,"",COUNTIFS($Y$2051:$Y$2550,1,$AO$2051:$AO$2550,"&lt;"&amp;AO2489)+COUNTIFS($Y$2051:Y2489,1,$AO$2051:AO2489,AO2489))</x:f>
      </x:c>
      <x:c r="AA2489" s="1" t="str">
        <x:f>IF(NOT(ISNUMBER(S2489)),"Missing demographic or access input",TEXT(G2489,"0%")&amp;" economic need; "&amp;TEXT(K2489,"0.00")&amp;" mi fresh access; "&amp;L2489&amp;" nearby resources")</x:f>
        <x:v>Missing demographic or access input</x:v>
      </x:c>
      <x:c r="AB2489" s="1" t="n">
        <x:f>IF(OR(A2489="",COUNTIFS($A$1531:$A$2030,A2489)&lt;&gt;1),0,MATCH(A2489,$A$1531:$A$2030,0))</x:f>
        <x:v>0</x:v>
      </x:c>
      <x:c r="AC2489" s="1" t="str">
        <x:f>IF(AB2489=0,"",INDEX($E$1531:$E$2030,AB2489))</x:f>
      </x:c>
      <x:c r="AD2489" s="1" t="str">
        <x:f>IF(AB2489=0,"",INDEX($F$1531:$F$2030,AB2489))</x:f>
      </x:c>
      <x:c r="AE2489" s="1" t="str">
        <x:f>IF(A2489="","",F440)</x:f>
      </x:c>
      <x:c r="AF2489" s="1" t="str">
        <x:f>IF(ISNUMBER(I440),I440,"")</x:f>
      </x:c>
      <x:c r="AG2489" s="1" t="str">
        <x:f>IF(ISNUMBER(J440),J440,"")</x:f>
      </x:c>
      <x:c r="AH2489" s="1" t="str">
        <x:f>IF(I2489=0,"Not contacted",IF(INDEX('Staff Review'!$J$8:$J$507,I2489)="","Not contacted",INDEX('Staff Review'!$J$8:$J$507,I2489)))</x:f>
        <x:v>Not contacted</x:v>
      </x:c>
      <x:c r="AI2489" s="1" t="str">
        <x:f>IF(I2489=0,"No",IF(AND(COUNT(INDEX('Staff Review'!$D$8:$D$507,I2489))=1,INDEX('Staff Review'!$D$8:$D$507,I2489)&gt;=0,COUNT(INDEX('Staff Review'!$E$8:$E$507,I2489))=1,INDEX('Staff Review'!$E$8:$E$507,I2489)&gt;0,INDEX('Staff Review'!$E$8:$E$507,I2489)&lt;='Top 15'!$E$5,'Top 15'!$E$5-INDEX('Staff Review'!$E$8:$E$507,I2489)&lt;='Top 15'!$H$5,LEN(INDEX('Staff Review'!$H$8:$H$507,I2489))&gt;0),"Yes","No"))</x:f>
        <x:v>No</x:v>
      </x:c>
      <x:c r="AJ2489" s="1" t="str">
        <x:f>IF(I2489=0,"No",IF(COUNT(INDEX('Staff Review'!$F$8:$F$507,I2489))&lt;&gt;1,"No",IF(AND(INDEX('Staff Review'!$F$8:$F$507,I2489)&gt;=0,MOD(INDEX('Staff Review'!$F$8:$F$507,I2489),1)=0,COUNT(INDEX('Staff Review'!$G$8:$G$507,I2489))=1,INDEX('Staff Review'!$G$8:$G$507,I2489)&gt;0,INDEX('Staff Review'!$G$8:$G$507,I2489)&lt;='Top 15'!$E$5,'Top 15'!$E$5-INDEX('Staff Review'!$G$8:$G$507,I2489)&lt;='Top 15'!$H$5,LEN(INDEX('Staff Review'!$H$8:$H$507,I2489))&gt;0),"Yes","No")))</x:f>
        <x:v>No</x:v>
      </x:c>
      <x:c r="AK2489" s="1" t="n">
        <x:f>IF(A2489="",0,COUNTIFS($A$2:$A$501,A2489))</x:f>
        <x:v>0</x:v>
      </x:c>
      <x:c r="AL2489" s="1" t="n">
        <x:f>IF(V2489="Candidate",1,0)</x:f>
        <x:v>0</x:v>
      </x:c>
      <x:c r="AM2489" s="1" t="n">
        <x:f>IF(A2489="",0,VALUE(A2489))</x:f>
        <x:v>0</x:v>
      </x:c>
      <x:c r="AN2489" s="1" t="n">
        <x:f>IF(OR(A2489="",COUNTIFS($T$41:$T$540,A2489)&lt;&gt;1),0,MATCH(A2489,$T$41:$T$540,0))</x:f>
        <x:v>0</x:v>
      </x:c>
      <x:c r="AO2489" t="n">
        <x:f>IF(ISNUMBER(W2489),W2489,10000+AM2489)</x:f>
        <x:v>10000</x:v>
      </x:c>
    </x:row>
    <x:row r="2490" ht="22" customHeight="1">
      <x:c r="A2490" s="1" t="str">
        <x:f>IF(A441="","",A441)</x:f>
      </x:c>
      <x:c r="B2490" s="1" t="str">
        <x:f>IF(A2490="","",B441)</x:f>
      </x:c>
      <x:c r="C2490" s="1" t="str">
        <x:f>IF(A2490="","",C441)</x:f>
      </x:c>
      <x:c r="D2490" s="1" t="str">
        <x:f>IF(A2490="","",E441)</x:f>
      </x:c>
      <x:c r="E2490" s="1" t="str">
        <x:f>IF(A2490="","",H441)</x:f>
      </x:c>
      <x:c r="F2490" s="1" t="str">
        <x:f>IF(ISNUMBER(K441),K441,"")</x:f>
      </x:c>
      <x:c r="G2490" s="1" t="str">
        <x:f>IF(ISNUMBER(L441),L441,"")</x:f>
      </x:c>
      <x:c r="H2490" s="1" t="str">
        <x:f>IF(A2490="","",IF(AND(UPPER(G441)="PHILADELPHIA",OR(C2490="District",AND(C2490="Charter",D441="Yes"))),"Yes","No"))</x:f>
      </x:c>
      <x:c r="I2490" s="1" t="n">
        <x:f>IF(OR(A2490="",COUNTIFS('Staff Review'!$A$8:$A$507,A2490)&lt;&gt;1),0,MATCH(A2490,'Staff Review'!$A$8:$A$507,0))</x:f>
        <x:v>0</x:v>
      </x:c>
      <x:c r="J2490" s="1" t="str">
        <x:f>IF(I2490=0,"No",IF(INDEX('Staff Review'!$C$8:$C$507,I2490)="Yes","Yes","No"))</x:f>
        <x:v>No</x:v>
      </x:c>
      <x:c r="K2490" s="1" t="str">
        <x:f>IF(AI2490="Yes",INDEX('Staff Review'!$D$8:$D$507,I2490),IF(AB2490=0,"",IF(COUNT(INDEX($C$1531:$C$2030,AB2490))=1,INDEX($C$1531:$C$2030,AB2490),"")))</x:f>
      </x:c>
      <x:c r="L2490" s="1" t="str">
        <x:f>IF(AJ2490="Yes",INDEX('Staff Review'!$F$8:$F$507,I2490),IF(AB2490=0,"",IF(COUNT(INDEX($G$1531:$G$2030,AB2490))=1,INDEX($G$1531:$G$2030,AB2490),"")))</x:f>
      </x:c>
      <x:c r="M2490" s="1" t="str">
        <x:f>IF(A2490="","",IF(AI2490="Yes","Verified","Listed"))</x:f>
      </x:c>
      <x:c r="N2490" s="1" t="str">
        <x:f>IF(A2490="","",IF(AJ2490="Yes","Verified","Listed"))</x:f>
      </x:c>
      <x:c r="O2490" s="1" t="str">
        <x:f>IF(AND(ISNUMBER(G2490),G2490&gt;=0,G2490&lt;=1),IF(G2490&gt;=0.9,30,IF(G2490&gt;=0.8,25,IF(G2490&gt;=0.7,20,IF(G2490&gt;=0.6,15,IF(G2490&gt;=0.5,10,IF(G2490&gt;=0.4,5,0)))))),"")</x:f>
      </x:c>
      <x:c r="P2490" s="1" t="str">
        <x:f>IF(ISNUMBER(K2490),IF(K2490&lt;0,"",IF(K2490&gt;1,25,IF(K2490&gt;=0.75,20,IF(K2490&gt;=0.5,15,IF(K2490&gt;=0.25,10,5))))),"")</x:f>
      </x:c>
      <x:c r="Q2490" s="1" t="str">
        <x:f>IF(NOT(ISNUMBER(L2490)),"",IF(AND(L2490&gt;=0,MOD(L2490,1)=0),MAX(0,25-5*L2490),""))</x:f>
      </x:c>
      <x:c r="R2490" s="1" t="str">
        <x:f>IF(NOT(ISNUMBER(F2490)),"",IF(AND(F2490&gt;0,MOD(F2490,1)=0),IF(F2490&gt;=700,5,IF(F2490&gt;=500,4,IF(F2490&gt;=350,3,IF(F2490&gt;=200,2,1)))),""))</x:f>
      </x:c>
      <x:c r="S2490" s="1" t="str">
        <x:f>IF(COUNT(O2490:R2490)=4,SUM(O2490:R2490),"")</x:f>
      </x:c>
      <x:c r="T2490" s="1" t="str">
        <x:f>IF(OR(COUNT(O2490:R2490)&lt;&gt;4,COUNT('Top 15'!$B$35:$E$35)&lt;&gt;4,MIN('Top 15'!$B$35:$E$35)&lt;0,SUM('Top 15'!$B$35:$E$35)&lt;=0),"",ROUND(85*(O2490/30*'Top 15'!$B$35+P2490/25*'Top 15'!$C$35+Q2490/25*'Top 15'!$D$35+R2490/5*'Top 15'!$E$35)/SUM('Top 15'!$B$35:$E$35),6))</x:f>
      </x:c>
      <x:c r="U2490" s="1" t="str">
        <x:f>IF(A2490="","",IF(AND(M2490="Verified",N2490="Verified"),"Verified",IF(AND(M2490="Listed",N2490="Listed"),"Listed","Mixed")))</x:f>
      </x:c>
      <x:c r="V2490" s="1" t="str">
        <x:f>IF(A2490="","",IF(AK2490&lt;&gt;1,"Duplicate source ID",IF(COUNTIFS('Staff Review'!$A$8:$A$507,A2490)&gt;1,"Duplicate review ID",IF(H2490&lt;&gt;"Yes","Outside scope",IF(J2490="Yes","Already served",IF(NOT(ISNUMBER(T2490)),"Missing data","Candidate"))))))</x:f>
      </x:c>
      <x:c r="W2490" s="1" t="str">
        <x:f>IF(AL2490=0,"",1+COUNTIFS($AL$2051:$AL$2550,1,$T$2051:$T$2550,"&gt;"&amp;T2490)+COUNTIFS($AL$2051:$AL$2550,1,$T$2051:$T$2550,T2490,$G$2051:$G$2550,"&gt;"&amp;G2490)+COUNTIFS($AL$2051:$AL$2550,1,$T$2051:$T$2550,T2490,$G$2051:$G$2550,G2490,$F$2051:$F$2550,"&gt;"&amp;F2490)+COUNTIFS($AL$2051:$AL$2550,1,$T$2051:$T$2550,T2490,$G$2051:$G$2550,G2490,$F$2051:$F$2550,F2490,$AM$2051:$AM$2550,"&lt;"&amp;AM2490))</x:f>
      </x:c>
      <x:c r="X2490" s="1" t="str">
        <x:f>IF(AL2490=0,"",1+COUNTIFS($AL$2051:$AL$2550,1,$T$2051:$T$2550,"&gt;"&amp;T2490))</x:f>
      </x:c>
      <x:c r="Y2490" s="1" t="n">
        <x:f>IF(AND(H2490="Yes",OR(LEN('School Search'!$B$5)=0,ISNUMBER(SEARCH('School Search'!$B$5,B2490&amp;" "&amp;E2490&amp;" "&amp;A2490))),OR('School Search'!$D$5="All",C2490='School Search'!$D$5),OR('School Search'!$G$5="All eligible",AND('School Search'!$G$5="Not marked served",J2490&lt;&gt;"Yes"),AND('School Search'!$G$5="Missing data",V2490="Missing data"),AND('School Search'!$G$5="Marked served",J2490="Yes"))),1,0)</x:f>
        <x:v>0</x:v>
      </x:c>
      <x:c r="Z2490" s="1" t="str">
        <x:f>IF(Y2490=0,"",COUNTIFS($Y$2051:$Y$2550,1,$AO$2051:$AO$2550,"&lt;"&amp;AO2490)+COUNTIFS($Y$2051:Y2490,1,$AO$2051:AO2490,AO2490))</x:f>
      </x:c>
      <x:c r="AA2490" s="1" t="str">
        <x:f>IF(NOT(ISNUMBER(S2490)),"Missing demographic or access input",TEXT(G2490,"0%")&amp;" economic need; "&amp;TEXT(K2490,"0.00")&amp;" mi fresh access; "&amp;L2490&amp;" nearby resources")</x:f>
        <x:v>Missing demographic or access input</x:v>
      </x:c>
      <x:c r="AB2490" s="1" t="n">
        <x:f>IF(OR(A2490="",COUNTIFS($A$1531:$A$2030,A2490)&lt;&gt;1),0,MATCH(A2490,$A$1531:$A$2030,0))</x:f>
        <x:v>0</x:v>
      </x:c>
      <x:c r="AC2490" s="1" t="str">
        <x:f>IF(AB2490=0,"",INDEX($E$1531:$E$2030,AB2490))</x:f>
      </x:c>
      <x:c r="AD2490" s="1" t="str">
        <x:f>IF(AB2490=0,"",INDEX($F$1531:$F$2030,AB2490))</x:f>
      </x:c>
      <x:c r="AE2490" s="1" t="str">
        <x:f>IF(A2490="","",F441)</x:f>
      </x:c>
      <x:c r="AF2490" s="1" t="str">
        <x:f>IF(ISNUMBER(I441),I441,"")</x:f>
      </x:c>
      <x:c r="AG2490" s="1" t="str">
        <x:f>IF(ISNUMBER(J441),J441,"")</x:f>
      </x:c>
      <x:c r="AH2490" s="1" t="str">
        <x:f>IF(I2490=0,"Not contacted",IF(INDEX('Staff Review'!$J$8:$J$507,I2490)="","Not contacted",INDEX('Staff Review'!$J$8:$J$507,I2490)))</x:f>
        <x:v>Not contacted</x:v>
      </x:c>
      <x:c r="AI2490" s="1" t="str">
        <x:f>IF(I2490=0,"No",IF(AND(COUNT(INDEX('Staff Review'!$D$8:$D$507,I2490))=1,INDEX('Staff Review'!$D$8:$D$507,I2490)&gt;=0,COUNT(INDEX('Staff Review'!$E$8:$E$507,I2490))=1,INDEX('Staff Review'!$E$8:$E$507,I2490)&gt;0,INDEX('Staff Review'!$E$8:$E$507,I2490)&lt;='Top 15'!$E$5,'Top 15'!$E$5-INDEX('Staff Review'!$E$8:$E$507,I2490)&lt;='Top 15'!$H$5,LEN(INDEX('Staff Review'!$H$8:$H$507,I2490))&gt;0),"Yes","No"))</x:f>
        <x:v>No</x:v>
      </x:c>
      <x:c r="AJ2490" s="1" t="str">
        <x:f>IF(I2490=0,"No",IF(COUNT(INDEX('Staff Review'!$F$8:$F$507,I2490))&lt;&gt;1,"No",IF(AND(INDEX('Staff Review'!$F$8:$F$507,I2490)&gt;=0,MOD(INDEX('Staff Review'!$F$8:$F$507,I2490),1)=0,COUNT(INDEX('Staff Review'!$G$8:$G$507,I2490))=1,INDEX('Staff Review'!$G$8:$G$507,I2490)&gt;0,INDEX('Staff Review'!$G$8:$G$507,I2490)&lt;='Top 15'!$E$5,'Top 15'!$E$5-INDEX('Staff Review'!$G$8:$G$507,I2490)&lt;='Top 15'!$H$5,LEN(INDEX('Staff Review'!$H$8:$H$507,I2490))&gt;0),"Yes","No")))</x:f>
        <x:v>No</x:v>
      </x:c>
      <x:c r="AK2490" s="1" t="n">
        <x:f>IF(A2490="",0,COUNTIFS($A$2:$A$501,A2490))</x:f>
        <x:v>0</x:v>
      </x:c>
      <x:c r="AL2490" s="1" t="n">
        <x:f>IF(V2490="Candidate",1,0)</x:f>
        <x:v>0</x:v>
      </x:c>
      <x:c r="AM2490" s="1" t="n">
        <x:f>IF(A2490="",0,VALUE(A2490))</x:f>
        <x:v>0</x:v>
      </x:c>
      <x:c r="AN2490" s="1" t="n">
        <x:f>IF(OR(A2490="",COUNTIFS($T$41:$T$540,A2490)&lt;&gt;1),0,MATCH(A2490,$T$41:$T$540,0))</x:f>
        <x:v>0</x:v>
      </x:c>
      <x:c r="AO2490" t="n">
        <x:f>IF(ISNUMBER(W2490),W2490,10000+AM2490)</x:f>
        <x:v>10000</x:v>
      </x:c>
    </x:row>
    <x:row r="2491" ht="22" customHeight="1">
      <x:c r="A2491" s="1" t="str">
        <x:f>IF(A442="","",A442)</x:f>
      </x:c>
      <x:c r="B2491" s="1" t="str">
        <x:f>IF(A2491="","",B442)</x:f>
      </x:c>
      <x:c r="C2491" s="1" t="str">
        <x:f>IF(A2491="","",C442)</x:f>
      </x:c>
      <x:c r="D2491" s="1" t="str">
        <x:f>IF(A2491="","",E442)</x:f>
      </x:c>
      <x:c r="E2491" s="1" t="str">
        <x:f>IF(A2491="","",H442)</x:f>
      </x:c>
      <x:c r="F2491" s="1" t="str">
        <x:f>IF(ISNUMBER(K442),K442,"")</x:f>
      </x:c>
      <x:c r="G2491" s="1" t="str">
        <x:f>IF(ISNUMBER(L442),L442,"")</x:f>
      </x:c>
      <x:c r="H2491" s="1" t="str">
        <x:f>IF(A2491="","",IF(AND(UPPER(G442)="PHILADELPHIA",OR(C2491="District",AND(C2491="Charter",D442="Yes"))),"Yes","No"))</x:f>
      </x:c>
      <x:c r="I2491" s="1" t="n">
        <x:f>IF(OR(A2491="",COUNTIFS('Staff Review'!$A$8:$A$507,A2491)&lt;&gt;1),0,MATCH(A2491,'Staff Review'!$A$8:$A$507,0))</x:f>
        <x:v>0</x:v>
      </x:c>
      <x:c r="J2491" s="1" t="str">
        <x:f>IF(I2491=0,"No",IF(INDEX('Staff Review'!$C$8:$C$507,I2491)="Yes","Yes","No"))</x:f>
        <x:v>No</x:v>
      </x:c>
      <x:c r="K2491" s="1" t="str">
        <x:f>IF(AI2491="Yes",INDEX('Staff Review'!$D$8:$D$507,I2491),IF(AB2491=0,"",IF(COUNT(INDEX($C$1531:$C$2030,AB2491))=1,INDEX($C$1531:$C$2030,AB2491),"")))</x:f>
      </x:c>
      <x:c r="L2491" s="1" t="str">
        <x:f>IF(AJ2491="Yes",INDEX('Staff Review'!$F$8:$F$507,I2491),IF(AB2491=0,"",IF(COUNT(INDEX($G$1531:$G$2030,AB2491))=1,INDEX($G$1531:$G$2030,AB2491),"")))</x:f>
      </x:c>
      <x:c r="M2491" s="1" t="str">
        <x:f>IF(A2491="","",IF(AI2491="Yes","Verified","Listed"))</x:f>
      </x:c>
      <x:c r="N2491" s="1" t="str">
        <x:f>IF(A2491="","",IF(AJ2491="Yes","Verified","Listed"))</x:f>
      </x:c>
      <x:c r="O2491" s="1" t="str">
        <x:f>IF(AND(ISNUMBER(G2491),G2491&gt;=0,G2491&lt;=1),IF(G2491&gt;=0.9,30,IF(G2491&gt;=0.8,25,IF(G2491&gt;=0.7,20,IF(G2491&gt;=0.6,15,IF(G2491&gt;=0.5,10,IF(G2491&gt;=0.4,5,0)))))),"")</x:f>
      </x:c>
      <x:c r="P2491" s="1" t="str">
        <x:f>IF(ISNUMBER(K2491),IF(K2491&lt;0,"",IF(K2491&gt;1,25,IF(K2491&gt;=0.75,20,IF(K2491&gt;=0.5,15,IF(K2491&gt;=0.25,10,5))))),"")</x:f>
      </x:c>
      <x:c r="Q2491" s="1" t="str">
        <x:f>IF(NOT(ISNUMBER(L2491)),"",IF(AND(L2491&gt;=0,MOD(L2491,1)=0),MAX(0,25-5*L2491),""))</x:f>
      </x:c>
      <x:c r="R2491" s="1" t="str">
        <x:f>IF(NOT(ISNUMBER(F2491)),"",IF(AND(F2491&gt;0,MOD(F2491,1)=0),IF(F2491&gt;=700,5,IF(F2491&gt;=500,4,IF(F2491&gt;=350,3,IF(F2491&gt;=200,2,1)))),""))</x:f>
      </x:c>
      <x:c r="S2491" s="1" t="str">
        <x:f>IF(COUNT(O2491:R2491)=4,SUM(O2491:R2491),"")</x:f>
      </x:c>
      <x:c r="T2491" s="1" t="str">
        <x:f>IF(OR(COUNT(O2491:R2491)&lt;&gt;4,COUNT('Top 15'!$B$35:$E$35)&lt;&gt;4,MIN('Top 15'!$B$35:$E$35)&lt;0,SUM('Top 15'!$B$35:$E$35)&lt;=0),"",ROUND(85*(O2491/30*'Top 15'!$B$35+P2491/25*'Top 15'!$C$35+Q2491/25*'Top 15'!$D$35+R2491/5*'Top 15'!$E$35)/SUM('Top 15'!$B$35:$E$35),6))</x:f>
      </x:c>
      <x:c r="U2491" s="1" t="str">
        <x:f>IF(A2491="","",IF(AND(M2491="Verified",N2491="Verified"),"Verified",IF(AND(M2491="Listed",N2491="Listed"),"Listed","Mixed")))</x:f>
      </x:c>
      <x:c r="V2491" s="1" t="str">
        <x:f>IF(A2491="","",IF(AK2491&lt;&gt;1,"Duplicate source ID",IF(COUNTIFS('Staff Review'!$A$8:$A$507,A2491)&gt;1,"Duplicate review ID",IF(H2491&lt;&gt;"Yes","Outside scope",IF(J2491="Yes","Already served",IF(NOT(ISNUMBER(T2491)),"Missing data","Candidate"))))))</x:f>
      </x:c>
      <x:c r="W2491" s="1" t="str">
        <x:f>IF(AL2491=0,"",1+COUNTIFS($AL$2051:$AL$2550,1,$T$2051:$T$2550,"&gt;"&amp;T2491)+COUNTIFS($AL$2051:$AL$2550,1,$T$2051:$T$2550,T2491,$G$2051:$G$2550,"&gt;"&amp;G2491)+COUNTIFS($AL$2051:$AL$2550,1,$T$2051:$T$2550,T2491,$G$2051:$G$2550,G2491,$F$2051:$F$2550,"&gt;"&amp;F2491)+COUNTIFS($AL$2051:$AL$2550,1,$T$2051:$T$2550,T2491,$G$2051:$G$2550,G2491,$F$2051:$F$2550,F2491,$AM$2051:$AM$2550,"&lt;"&amp;AM2491))</x:f>
      </x:c>
      <x:c r="X2491" s="1" t="str">
        <x:f>IF(AL2491=0,"",1+COUNTIFS($AL$2051:$AL$2550,1,$T$2051:$T$2550,"&gt;"&amp;T2491))</x:f>
      </x:c>
      <x:c r="Y2491" s="1" t="n">
        <x:f>IF(AND(H2491="Yes",OR(LEN('School Search'!$B$5)=0,ISNUMBER(SEARCH('School Search'!$B$5,B2491&amp;" "&amp;E2491&amp;" "&amp;A2491))),OR('School Search'!$D$5="All",C2491='School Search'!$D$5),OR('School Search'!$G$5="All eligible",AND('School Search'!$G$5="Not marked served",J2491&lt;&gt;"Yes"),AND('School Search'!$G$5="Missing data",V2491="Missing data"),AND('School Search'!$G$5="Marked served",J2491="Yes"))),1,0)</x:f>
        <x:v>0</x:v>
      </x:c>
      <x:c r="Z2491" s="1" t="str">
        <x:f>IF(Y2491=0,"",COUNTIFS($Y$2051:$Y$2550,1,$AO$2051:$AO$2550,"&lt;"&amp;AO2491)+COUNTIFS($Y$2051:Y2491,1,$AO$2051:AO2491,AO2491))</x:f>
      </x:c>
      <x:c r="AA2491" s="1" t="str">
        <x:f>IF(NOT(ISNUMBER(S2491)),"Missing demographic or access input",TEXT(G2491,"0%")&amp;" economic need; "&amp;TEXT(K2491,"0.00")&amp;" mi fresh access; "&amp;L2491&amp;" nearby resources")</x:f>
        <x:v>Missing demographic or access input</x:v>
      </x:c>
      <x:c r="AB2491" s="1" t="n">
        <x:f>IF(OR(A2491="",COUNTIFS($A$1531:$A$2030,A2491)&lt;&gt;1),0,MATCH(A2491,$A$1531:$A$2030,0))</x:f>
        <x:v>0</x:v>
      </x:c>
      <x:c r="AC2491" s="1" t="str">
        <x:f>IF(AB2491=0,"",INDEX($E$1531:$E$2030,AB2491))</x:f>
      </x:c>
      <x:c r="AD2491" s="1" t="str">
        <x:f>IF(AB2491=0,"",INDEX($F$1531:$F$2030,AB2491))</x:f>
      </x:c>
      <x:c r="AE2491" s="1" t="str">
        <x:f>IF(A2491="","",F442)</x:f>
      </x:c>
      <x:c r="AF2491" s="1" t="str">
        <x:f>IF(ISNUMBER(I442),I442,"")</x:f>
      </x:c>
      <x:c r="AG2491" s="1" t="str">
        <x:f>IF(ISNUMBER(J442),J442,"")</x:f>
      </x:c>
      <x:c r="AH2491" s="1" t="str">
        <x:f>IF(I2491=0,"Not contacted",IF(INDEX('Staff Review'!$J$8:$J$507,I2491)="","Not contacted",INDEX('Staff Review'!$J$8:$J$507,I2491)))</x:f>
        <x:v>Not contacted</x:v>
      </x:c>
      <x:c r="AI2491" s="1" t="str">
        <x:f>IF(I2491=0,"No",IF(AND(COUNT(INDEX('Staff Review'!$D$8:$D$507,I2491))=1,INDEX('Staff Review'!$D$8:$D$507,I2491)&gt;=0,COUNT(INDEX('Staff Review'!$E$8:$E$507,I2491))=1,INDEX('Staff Review'!$E$8:$E$507,I2491)&gt;0,INDEX('Staff Review'!$E$8:$E$507,I2491)&lt;='Top 15'!$E$5,'Top 15'!$E$5-INDEX('Staff Review'!$E$8:$E$507,I2491)&lt;='Top 15'!$H$5,LEN(INDEX('Staff Review'!$H$8:$H$507,I2491))&gt;0),"Yes","No"))</x:f>
        <x:v>No</x:v>
      </x:c>
      <x:c r="AJ2491" s="1" t="str">
        <x:f>IF(I2491=0,"No",IF(COUNT(INDEX('Staff Review'!$F$8:$F$507,I2491))&lt;&gt;1,"No",IF(AND(INDEX('Staff Review'!$F$8:$F$507,I2491)&gt;=0,MOD(INDEX('Staff Review'!$F$8:$F$507,I2491),1)=0,COUNT(INDEX('Staff Review'!$G$8:$G$507,I2491))=1,INDEX('Staff Review'!$G$8:$G$507,I2491)&gt;0,INDEX('Staff Review'!$G$8:$G$507,I2491)&lt;='Top 15'!$E$5,'Top 15'!$E$5-INDEX('Staff Review'!$G$8:$G$507,I2491)&lt;='Top 15'!$H$5,LEN(INDEX('Staff Review'!$H$8:$H$507,I2491))&gt;0),"Yes","No")))</x:f>
        <x:v>No</x:v>
      </x:c>
      <x:c r="AK2491" s="1" t="n">
        <x:f>IF(A2491="",0,COUNTIFS($A$2:$A$501,A2491))</x:f>
        <x:v>0</x:v>
      </x:c>
      <x:c r="AL2491" s="1" t="n">
        <x:f>IF(V2491="Candidate",1,0)</x:f>
        <x:v>0</x:v>
      </x:c>
      <x:c r="AM2491" s="1" t="n">
        <x:f>IF(A2491="",0,VALUE(A2491))</x:f>
        <x:v>0</x:v>
      </x:c>
      <x:c r="AN2491" s="1" t="n">
        <x:f>IF(OR(A2491="",COUNTIFS($T$41:$T$540,A2491)&lt;&gt;1),0,MATCH(A2491,$T$41:$T$540,0))</x:f>
        <x:v>0</x:v>
      </x:c>
      <x:c r="AO2491" t="n">
        <x:f>IF(ISNUMBER(W2491),W2491,10000+AM2491)</x:f>
        <x:v>10000</x:v>
      </x:c>
    </x:row>
    <x:row r="2492" ht="22" customHeight="1">
      <x:c r="A2492" s="1" t="str">
        <x:f>IF(A443="","",A443)</x:f>
      </x:c>
      <x:c r="B2492" s="1" t="str">
        <x:f>IF(A2492="","",B443)</x:f>
      </x:c>
      <x:c r="C2492" s="1" t="str">
        <x:f>IF(A2492="","",C443)</x:f>
      </x:c>
      <x:c r="D2492" s="1" t="str">
        <x:f>IF(A2492="","",E443)</x:f>
      </x:c>
      <x:c r="E2492" s="1" t="str">
        <x:f>IF(A2492="","",H443)</x:f>
      </x:c>
      <x:c r="F2492" s="1" t="str">
        <x:f>IF(ISNUMBER(K443),K443,"")</x:f>
      </x:c>
      <x:c r="G2492" s="1" t="str">
        <x:f>IF(ISNUMBER(L443),L443,"")</x:f>
      </x:c>
      <x:c r="H2492" s="1" t="str">
        <x:f>IF(A2492="","",IF(AND(UPPER(G443)="PHILADELPHIA",OR(C2492="District",AND(C2492="Charter",D443="Yes"))),"Yes","No"))</x:f>
      </x:c>
      <x:c r="I2492" s="1" t="n">
        <x:f>IF(OR(A2492="",COUNTIFS('Staff Review'!$A$8:$A$507,A2492)&lt;&gt;1),0,MATCH(A2492,'Staff Review'!$A$8:$A$507,0))</x:f>
        <x:v>0</x:v>
      </x:c>
      <x:c r="J2492" s="1" t="str">
        <x:f>IF(I2492=0,"No",IF(INDEX('Staff Review'!$C$8:$C$507,I2492)="Yes","Yes","No"))</x:f>
        <x:v>No</x:v>
      </x:c>
      <x:c r="K2492" s="1" t="str">
        <x:f>IF(AI2492="Yes",INDEX('Staff Review'!$D$8:$D$507,I2492),IF(AB2492=0,"",IF(COUNT(INDEX($C$1531:$C$2030,AB2492))=1,INDEX($C$1531:$C$2030,AB2492),"")))</x:f>
      </x:c>
      <x:c r="L2492" s="1" t="str">
        <x:f>IF(AJ2492="Yes",INDEX('Staff Review'!$F$8:$F$507,I2492),IF(AB2492=0,"",IF(COUNT(INDEX($G$1531:$G$2030,AB2492))=1,INDEX($G$1531:$G$2030,AB2492),"")))</x:f>
      </x:c>
      <x:c r="M2492" s="1" t="str">
        <x:f>IF(A2492="","",IF(AI2492="Yes","Verified","Listed"))</x:f>
      </x:c>
      <x:c r="N2492" s="1" t="str">
        <x:f>IF(A2492="","",IF(AJ2492="Yes","Verified","Listed"))</x:f>
      </x:c>
      <x:c r="O2492" s="1" t="str">
        <x:f>IF(AND(ISNUMBER(G2492),G2492&gt;=0,G2492&lt;=1),IF(G2492&gt;=0.9,30,IF(G2492&gt;=0.8,25,IF(G2492&gt;=0.7,20,IF(G2492&gt;=0.6,15,IF(G2492&gt;=0.5,10,IF(G2492&gt;=0.4,5,0)))))),"")</x:f>
      </x:c>
      <x:c r="P2492" s="1" t="str">
        <x:f>IF(ISNUMBER(K2492),IF(K2492&lt;0,"",IF(K2492&gt;1,25,IF(K2492&gt;=0.75,20,IF(K2492&gt;=0.5,15,IF(K2492&gt;=0.25,10,5))))),"")</x:f>
      </x:c>
      <x:c r="Q2492" s="1" t="str">
        <x:f>IF(NOT(ISNUMBER(L2492)),"",IF(AND(L2492&gt;=0,MOD(L2492,1)=0),MAX(0,25-5*L2492),""))</x:f>
      </x:c>
      <x:c r="R2492" s="1" t="str">
        <x:f>IF(NOT(ISNUMBER(F2492)),"",IF(AND(F2492&gt;0,MOD(F2492,1)=0),IF(F2492&gt;=700,5,IF(F2492&gt;=500,4,IF(F2492&gt;=350,3,IF(F2492&gt;=200,2,1)))),""))</x:f>
      </x:c>
      <x:c r="S2492" s="1" t="str">
        <x:f>IF(COUNT(O2492:R2492)=4,SUM(O2492:R2492),"")</x:f>
      </x:c>
      <x:c r="T2492" s="1" t="str">
        <x:f>IF(OR(COUNT(O2492:R2492)&lt;&gt;4,COUNT('Top 15'!$B$35:$E$35)&lt;&gt;4,MIN('Top 15'!$B$35:$E$35)&lt;0,SUM('Top 15'!$B$35:$E$35)&lt;=0),"",ROUND(85*(O2492/30*'Top 15'!$B$35+P2492/25*'Top 15'!$C$35+Q2492/25*'Top 15'!$D$35+R2492/5*'Top 15'!$E$35)/SUM('Top 15'!$B$35:$E$35),6))</x:f>
      </x:c>
      <x:c r="U2492" s="1" t="str">
        <x:f>IF(A2492="","",IF(AND(M2492="Verified",N2492="Verified"),"Verified",IF(AND(M2492="Listed",N2492="Listed"),"Listed","Mixed")))</x:f>
      </x:c>
      <x:c r="V2492" s="1" t="str">
        <x:f>IF(A2492="","",IF(AK2492&lt;&gt;1,"Duplicate source ID",IF(COUNTIFS('Staff Review'!$A$8:$A$507,A2492)&gt;1,"Duplicate review ID",IF(H2492&lt;&gt;"Yes","Outside scope",IF(J2492="Yes","Already served",IF(NOT(ISNUMBER(T2492)),"Missing data","Candidate"))))))</x:f>
      </x:c>
      <x:c r="W2492" s="1" t="str">
        <x:f>IF(AL2492=0,"",1+COUNTIFS($AL$2051:$AL$2550,1,$T$2051:$T$2550,"&gt;"&amp;T2492)+COUNTIFS($AL$2051:$AL$2550,1,$T$2051:$T$2550,T2492,$G$2051:$G$2550,"&gt;"&amp;G2492)+COUNTIFS($AL$2051:$AL$2550,1,$T$2051:$T$2550,T2492,$G$2051:$G$2550,G2492,$F$2051:$F$2550,"&gt;"&amp;F2492)+COUNTIFS($AL$2051:$AL$2550,1,$T$2051:$T$2550,T2492,$G$2051:$G$2550,G2492,$F$2051:$F$2550,F2492,$AM$2051:$AM$2550,"&lt;"&amp;AM2492))</x:f>
      </x:c>
      <x:c r="X2492" s="1" t="str">
        <x:f>IF(AL2492=0,"",1+COUNTIFS($AL$2051:$AL$2550,1,$T$2051:$T$2550,"&gt;"&amp;T2492))</x:f>
      </x:c>
      <x:c r="Y2492" s="1" t="n">
        <x:f>IF(AND(H2492="Yes",OR(LEN('School Search'!$B$5)=0,ISNUMBER(SEARCH('School Search'!$B$5,B2492&amp;" "&amp;E2492&amp;" "&amp;A2492))),OR('School Search'!$D$5="All",C2492='School Search'!$D$5),OR('School Search'!$G$5="All eligible",AND('School Search'!$G$5="Not marked served",J2492&lt;&gt;"Yes"),AND('School Search'!$G$5="Missing data",V2492="Missing data"),AND('School Search'!$G$5="Marked served",J2492="Yes"))),1,0)</x:f>
        <x:v>0</x:v>
      </x:c>
      <x:c r="Z2492" s="1" t="str">
        <x:f>IF(Y2492=0,"",COUNTIFS($Y$2051:$Y$2550,1,$AO$2051:$AO$2550,"&lt;"&amp;AO2492)+COUNTIFS($Y$2051:Y2492,1,$AO$2051:AO2492,AO2492))</x:f>
      </x:c>
      <x:c r="AA2492" s="1" t="str">
        <x:f>IF(NOT(ISNUMBER(S2492)),"Missing demographic or access input",TEXT(G2492,"0%")&amp;" economic need; "&amp;TEXT(K2492,"0.00")&amp;" mi fresh access; "&amp;L2492&amp;" nearby resources")</x:f>
        <x:v>Missing demographic or access input</x:v>
      </x:c>
      <x:c r="AB2492" s="1" t="n">
        <x:f>IF(OR(A2492="",COUNTIFS($A$1531:$A$2030,A2492)&lt;&gt;1),0,MATCH(A2492,$A$1531:$A$2030,0))</x:f>
        <x:v>0</x:v>
      </x:c>
      <x:c r="AC2492" s="1" t="str">
        <x:f>IF(AB2492=0,"",INDEX($E$1531:$E$2030,AB2492))</x:f>
      </x:c>
      <x:c r="AD2492" s="1" t="str">
        <x:f>IF(AB2492=0,"",INDEX($F$1531:$F$2030,AB2492))</x:f>
      </x:c>
      <x:c r="AE2492" s="1" t="str">
        <x:f>IF(A2492="","",F443)</x:f>
      </x:c>
      <x:c r="AF2492" s="1" t="str">
        <x:f>IF(ISNUMBER(I443),I443,"")</x:f>
      </x:c>
      <x:c r="AG2492" s="1" t="str">
        <x:f>IF(ISNUMBER(J443),J443,"")</x:f>
      </x:c>
      <x:c r="AH2492" s="1" t="str">
        <x:f>IF(I2492=0,"Not contacted",IF(INDEX('Staff Review'!$J$8:$J$507,I2492)="","Not contacted",INDEX('Staff Review'!$J$8:$J$507,I2492)))</x:f>
        <x:v>Not contacted</x:v>
      </x:c>
      <x:c r="AI2492" s="1" t="str">
        <x:f>IF(I2492=0,"No",IF(AND(COUNT(INDEX('Staff Review'!$D$8:$D$507,I2492))=1,INDEX('Staff Review'!$D$8:$D$507,I2492)&gt;=0,COUNT(INDEX('Staff Review'!$E$8:$E$507,I2492))=1,INDEX('Staff Review'!$E$8:$E$507,I2492)&gt;0,INDEX('Staff Review'!$E$8:$E$507,I2492)&lt;='Top 15'!$E$5,'Top 15'!$E$5-INDEX('Staff Review'!$E$8:$E$507,I2492)&lt;='Top 15'!$H$5,LEN(INDEX('Staff Review'!$H$8:$H$507,I2492))&gt;0),"Yes","No"))</x:f>
        <x:v>No</x:v>
      </x:c>
      <x:c r="AJ2492" s="1" t="str">
        <x:f>IF(I2492=0,"No",IF(COUNT(INDEX('Staff Review'!$F$8:$F$507,I2492))&lt;&gt;1,"No",IF(AND(INDEX('Staff Review'!$F$8:$F$507,I2492)&gt;=0,MOD(INDEX('Staff Review'!$F$8:$F$507,I2492),1)=0,COUNT(INDEX('Staff Review'!$G$8:$G$507,I2492))=1,INDEX('Staff Review'!$G$8:$G$507,I2492)&gt;0,INDEX('Staff Review'!$G$8:$G$507,I2492)&lt;='Top 15'!$E$5,'Top 15'!$E$5-INDEX('Staff Review'!$G$8:$G$507,I2492)&lt;='Top 15'!$H$5,LEN(INDEX('Staff Review'!$H$8:$H$507,I2492))&gt;0),"Yes","No")))</x:f>
        <x:v>No</x:v>
      </x:c>
      <x:c r="AK2492" s="1" t="n">
        <x:f>IF(A2492="",0,COUNTIFS($A$2:$A$501,A2492))</x:f>
        <x:v>0</x:v>
      </x:c>
      <x:c r="AL2492" s="1" t="n">
        <x:f>IF(V2492="Candidate",1,0)</x:f>
        <x:v>0</x:v>
      </x:c>
      <x:c r="AM2492" s="1" t="n">
        <x:f>IF(A2492="",0,VALUE(A2492))</x:f>
        <x:v>0</x:v>
      </x:c>
      <x:c r="AN2492" s="1" t="n">
        <x:f>IF(OR(A2492="",COUNTIFS($T$41:$T$540,A2492)&lt;&gt;1),0,MATCH(A2492,$T$41:$T$540,0))</x:f>
        <x:v>0</x:v>
      </x:c>
      <x:c r="AO2492" t="n">
        <x:f>IF(ISNUMBER(W2492),W2492,10000+AM2492)</x:f>
        <x:v>10000</x:v>
      </x:c>
    </x:row>
    <x:row r="2493" ht="22" customHeight="1">
      <x:c r="A2493" s="1" t="str">
        <x:f>IF(A444="","",A444)</x:f>
      </x:c>
      <x:c r="B2493" s="1" t="str">
        <x:f>IF(A2493="","",B444)</x:f>
      </x:c>
      <x:c r="C2493" s="1" t="str">
        <x:f>IF(A2493="","",C444)</x:f>
      </x:c>
      <x:c r="D2493" s="1" t="str">
        <x:f>IF(A2493="","",E444)</x:f>
      </x:c>
      <x:c r="E2493" s="1" t="str">
        <x:f>IF(A2493="","",H444)</x:f>
      </x:c>
      <x:c r="F2493" s="1" t="str">
        <x:f>IF(ISNUMBER(K444),K444,"")</x:f>
      </x:c>
      <x:c r="G2493" s="1" t="str">
        <x:f>IF(ISNUMBER(L444),L444,"")</x:f>
      </x:c>
      <x:c r="H2493" s="1" t="str">
        <x:f>IF(A2493="","",IF(AND(UPPER(G444)="PHILADELPHIA",OR(C2493="District",AND(C2493="Charter",D444="Yes"))),"Yes","No"))</x:f>
      </x:c>
      <x:c r="I2493" s="1" t="n">
        <x:f>IF(OR(A2493="",COUNTIFS('Staff Review'!$A$8:$A$507,A2493)&lt;&gt;1),0,MATCH(A2493,'Staff Review'!$A$8:$A$507,0))</x:f>
        <x:v>0</x:v>
      </x:c>
      <x:c r="J2493" s="1" t="str">
        <x:f>IF(I2493=0,"No",IF(INDEX('Staff Review'!$C$8:$C$507,I2493)="Yes","Yes","No"))</x:f>
        <x:v>No</x:v>
      </x:c>
      <x:c r="K2493" s="1" t="str">
        <x:f>IF(AI2493="Yes",INDEX('Staff Review'!$D$8:$D$507,I2493),IF(AB2493=0,"",IF(COUNT(INDEX($C$1531:$C$2030,AB2493))=1,INDEX($C$1531:$C$2030,AB2493),"")))</x:f>
      </x:c>
      <x:c r="L2493" s="1" t="str">
        <x:f>IF(AJ2493="Yes",INDEX('Staff Review'!$F$8:$F$507,I2493),IF(AB2493=0,"",IF(COUNT(INDEX($G$1531:$G$2030,AB2493))=1,INDEX($G$1531:$G$2030,AB2493),"")))</x:f>
      </x:c>
      <x:c r="M2493" s="1" t="str">
        <x:f>IF(A2493="","",IF(AI2493="Yes","Verified","Listed"))</x:f>
      </x:c>
      <x:c r="N2493" s="1" t="str">
        <x:f>IF(A2493="","",IF(AJ2493="Yes","Verified","Listed"))</x:f>
      </x:c>
      <x:c r="O2493" s="1" t="str">
        <x:f>IF(AND(ISNUMBER(G2493),G2493&gt;=0,G2493&lt;=1),IF(G2493&gt;=0.9,30,IF(G2493&gt;=0.8,25,IF(G2493&gt;=0.7,20,IF(G2493&gt;=0.6,15,IF(G2493&gt;=0.5,10,IF(G2493&gt;=0.4,5,0)))))),"")</x:f>
      </x:c>
      <x:c r="P2493" s="1" t="str">
        <x:f>IF(ISNUMBER(K2493),IF(K2493&lt;0,"",IF(K2493&gt;1,25,IF(K2493&gt;=0.75,20,IF(K2493&gt;=0.5,15,IF(K2493&gt;=0.25,10,5))))),"")</x:f>
      </x:c>
      <x:c r="Q2493" s="1" t="str">
        <x:f>IF(NOT(ISNUMBER(L2493)),"",IF(AND(L2493&gt;=0,MOD(L2493,1)=0),MAX(0,25-5*L2493),""))</x:f>
      </x:c>
      <x:c r="R2493" s="1" t="str">
        <x:f>IF(NOT(ISNUMBER(F2493)),"",IF(AND(F2493&gt;0,MOD(F2493,1)=0),IF(F2493&gt;=700,5,IF(F2493&gt;=500,4,IF(F2493&gt;=350,3,IF(F2493&gt;=200,2,1)))),""))</x:f>
      </x:c>
      <x:c r="S2493" s="1" t="str">
        <x:f>IF(COUNT(O2493:R2493)=4,SUM(O2493:R2493),"")</x:f>
      </x:c>
      <x:c r="T2493" s="1" t="str">
        <x:f>IF(OR(COUNT(O2493:R2493)&lt;&gt;4,COUNT('Top 15'!$B$35:$E$35)&lt;&gt;4,MIN('Top 15'!$B$35:$E$35)&lt;0,SUM('Top 15'!$B$35:$E$35)&lt;=0),"",ROUND(85*(O2493/30*'Top 15'!$B$35+P2493/25*'Top 15'!$C$35+Q2493/25*'Top 15'!$D$35+R2493/5*'Top 15'!$E$35)/SUM('Top 15'!$B$35:$E$35),6))</x:f>
      </x:c>
      <x:c r="U2493" s="1" t="str">
        <x:f>IF(A2493="","",IF(AND(M2493="Verified",N2493="Verified"),"Verified",IF(AND(M2493="Listed",N2493="Listed"),"Listed","Mixed")))</x:f>
      </x:c>
      <x:c r="V2493" s="1" t="str">
        <x:f>IF(A2493="","",IF(AK2493&lt;&gt;1,"Duplicate source ID",IF(COUNTIFS('Staff Review'!$A$8:$A$507,A2493)&gt;1,"Duplicate review ID",IF(H2493&lt;&gt;"Yes","Outside scope",IF(J2493="Yes","Already served",IF(NOT(ISNUMBER(T2493)),"Missing data","Candidate"))))))</x:f>
      </x:c>
      <x:c r="W2493" s="1" t="str">
        <x:f>IF(AL2493=0,"",1+COUNTIFS($AL$2051:$AL$2550,1,$T$2051:$T$2550,"&gt;"&amp;T2493)+COUNTIFS($AL$2051:$AL$2550,1,$T$2051:$T$2550,T2493,$G$2051:$G$2550,"&gt;"&amp;G2493)+COUNTIFS($AL$2051:$AL$2550,1,$T$2051:$T$2550,T2493,$G$2051:$G$2550,G2493,$F$2051:$F$2550,"&gt;"&amp;F2493)+COUNTIFS($AL$2051:$AL$2550,1,$T$2051:$T$2550,T2493,$G$2051:$G$2550,G2493,$F$2051:$F$2550,F2493,$AM$2051:$AM$2550,"&lt;"&amp;AM2493))</x:f>
      </x:c>
      <x:c r="X2493" s="1" t="str">
        <x:f>IF(AL2493=0,"",1+COUNTIFS($AL$2051:$AL$2550,1,$T$2051:$T$2550,"&gt;"&amp;T2493))</x:f>
      </x:c>
      <x:c r="Y2493" s="1" t="n">
        <x:f>IF(AND(H2493="Yes",OR(LEN('School Search'!$B$5)=0,ISNUMBER(SEARCH('School Search'!$B$5,B2493&amp;" "&amp;E2493&amp;" "&amp;A2493))),OR('School Search'!$D$5="All",C2493='School Search'!$D$5),OR('School Search'!$G$5="All eligible",AND('School Search'!$G$5="Not marked served",J2493&lt;&gt;"Yes"),AND('School Search'!$G$5="Missing data",V2493="Missing data"),AND('School Search'!$G$5="Marked served",J2493="Yes"))),1,0)</x:f>
        <x:v>0</x:v>
      </x:c>
      <x:c r="Z2493" s="1" t="str">
        <x:f>IF(Y2493=0,"",COUNTIFS($Y$2051:$Y$2550,1,$AO$2051:$AO$2550,"&lt;"&amp;AO2493)+COUNTIFS($Y$2051:Y2493,1,$AO$2051:AO2493,AO2493))</x:f>
      </x:c>
      <x:c r="AA2493" s="1" t="str">
        <x:f>IF(NOT(ISNUMBER(S2493)),"Missing demographic or access input",TEXT(G2493,"0%")&amp;" economic need; "&amp;TEXT(K2493,"0.00")&amp;" mi fresh access; "&amp;L2493&amp;" nearby resources")</x:f>
        <x:v>Missing demographic or access input</x:v>
      </x:c>
      <x:c r="AB2493" s="1" t="n">
        <x:f>IF(OR(A2493="",COUNTIFS($A$1531:$A$2030,A2493)&lt;&gt;1),0,MATCH(A2493,$A$1531:$A$2030,0))</x:f>
        <x:v>0</x:v>
      </x:c>
      <x:c r="AC2493" s="1" t="str">
        <x:f>IF(AB2493=0,"",INDEX($E$1531:$E$2030,AB2493))</x:f>
      </x:c>
      <x:c r="AD2493" s="1" t="str">
        <x:f>IF(AB2493=0,"",INDEX($F$1531:$F$2030,AB2493))</x:f>
      </x:c>
      <x:c r="AE2493" s="1" t="str">
        <x:f>IF(A2493="","",F444)</x:f>
      </x:c>
      <x:c r="AF2493" s="1" t="str">
        <x:f>IF(ISNUMBER(I444),I444,"")</x:f>
      </x:c>
      <x:c r="AG2493" s="1" t="str">
        <x:f>IF(ISNUMBER(J444),J444,"")</x:f>
      </x:c>
      <x:c r="AH2493" s="1" t="str">
        <x:f>IF(I2493=0,"Not contacted",IF(INDEX('Staff Review'!$J$8:$J$507,I2493)="","Not contacted",INDEX('Staff Review'!$J$8:$J$507,I2493)))</x:f>
        <x:v>Not contacted</x:v>
      </x:c>
      <x:c r="AI2493" s="1" t="str">
        <x:f>IF(I2493=0,"No",IF(AND(COUNT(INDEX('Staff Review'!$D$8:$D$507,I2493))=1,INDEX('Staff Review'!$D$8:$D$507,I2493)&gt;=0,COUNT(INDEX('Staff Review'!$E$8:$E$507,I2493))=1,INDEX('Staff Review'!$E$8:$E$507,I2493)&gt;0,INDEX('Staff Review'!$E$8:$E$507,I2493)&lt;='Top 15'!$E$5,'Top 15'!$E$5-INDEX('Staff Review'!$E$8:$E$507,I2493)&lt;='Top 15'!$H$5,LEN(INDEX('Staff Review'!$H$8:$H$507,I2493))&gt;0),"Yes","No"))</x:f>
        <x:v>No</x:v>
      </x:c>
      <x:c r="AJ2493" s="1" t="str">
        <x:f>IF(I2493=0,"No",IF(COUNT(INDEX('Staff Review'!$F$8:$F$507,I2493))&lt;&gt;1,"No",IF(AND(INDEX('Staff Review'!$F$8:$F$507,I2493)&gt;=0,MOD(INDEX('Staff Review'!$F$8:$F$507,I2493),1)=0,COUNT(INDEX('Staff Review'!$G$8:$G$507,I2493))=1,INDEX('Staff Review'!$G$8:$G$507,I2493)&gt;0,INDEX('Staff Review'!$G$8:$G$507,I2493)&lt;='Top 15'!$E$5,'Top 15'!$E$5-INDEX('Staff Review'!$G$8:$G$507,I2493)&lt;='Top 15'!$H$5,LEN(INDEX('Staff Review'!$H$8:$H$507,I2493))&gt;0),"Yes","No")))</x:f>
        <x:v>No</x:v>
      </x:c>
      <x:c r="AK2493" s="1" t="n">
        <x:f>IF(A2493="",0,COUNTIFS($A$2:$A$501,A2493))</x:f>
        <x:v>0</x:v>
      </x:c>
      <x:c r="AL2493" s="1" t="n">
        <x:f>IF(V2493="Candidate",1,0)</x:f>
        <x:v>0</x:v>
      </x:c>
      <x:c r="AM2493" s="1" t="n">
        <x:f>IF(A2493="",0,VALUE(A2493))</x:f>
        <x:v>0</x:v>
      </x:c>
      <x:c r="AN2493" s="1" t="n">
        <x:f>IF(OR(A2493="",COUNTIFS($T$41:$T$540,A2493)&lt;&gt;1),0,MATCH(A2493,$T$41:$T$540,0))</x:f>
        <x:v>0</x:v>
      </x:c>
      <x:c r="AO2493" t="n">
        <x:f>IF(ISNUMBER(W2493),W2493,10000+AM2493)</x:f>
        <x:v>10000</x:v>
      </x:c>
    </x:row>
    <x:row r="2494" ht="22" customHeight="1">
      <x:c r="A2494" s="1" t="str">
        <x:f>IF(A445="","",A445)</x:f>
      </x:c>
      <x:c r="B2494" s="1" t="str">
        <x:f>IF(A2494="","",B445)</x:f>
      </x:c>
      <x:c r="C2494" s="1" t="str">
        <x:f>IF(A2494="","",C445)</x:f>
      </x:c>
      <x:c r="D2494" s="1" t="str">
        <x:f>IF(A2494="","",E445)</x:f>
      </x:c>
      <x:c r="E2494" s="1" t="str">
        <x:f>IF(A2494="","",H445)</x:f>
      </x:c>
      <x:c r="F2494" s="1" t="str">
        <x:f>IF(ISNUMBER(K445),K445,"")</x:f>
      </x:c>
      <x:c r="G2494" s="1" t="str">
        <x:f>IF(ISNUMBER(L445),L445,"")</x:f>
      </x:c>
      <x:c r="H2494" s="1" t="str">
        <x:f>IF(A2494="","",IF(AND(UPPER(G445)="PHILADELPHIA",OR(C2494="District",AND(C2494="Charter",D445="Yes"))),"Yes","No"))</x:f>
      </x:c>
      <x:c r="I2494" s="1" t="n">
        <x:f>IF(OR(A2494="",COUNTIFS('Staff Review'!$A$8:$A$507,A2494)&lt;&gt;1),0,MATCH(A2494,'Staff Review'!$A$8:$A$507,0))</x:f>
        <x:v>0</x:v>
      </x:c>
      <x:c r="J2494" s="1" t="str">
        <x:f>IF(I2494=0,"No",IF(INDEX('Staff Review'!$C$8:$C$507,I2494)="Yes","Yes","No"))</x:f>
        <x:v>No</x:v>
      </x:c>
      <x:c r="K2494" s="1" t="str">
        <x:f>IF(AI2494="Yes",INDEX('Staff Review'!$D$8:$D$507,I2494),IF(AB2494=0,"",IF(COUNT(INDEX($C$1531:$C$2030,AB2494))=1,INDEX($C$1531:$C$2030,AB2494),"")))</x:f>
      </x:c>
      <x:c r="L2494" s="1" t="str">
        <x:f>IF(AJ2494="Yes",INDEX('Staff Review'!$F$8:$F$507,I2494),IF(AB2494=0,"",IF(COUNT(INDEX($G$1531:$G$2030,AB2494))=1,INDEX($G$1531:$G$2030,AB2494),"")))</x:f>
      </x:c>
      <x:c r="M2494" s="1" t="str">
        <x:f>IF(A2494="","",IF(AI2494="Yes","Verified","Listed"))</x:f>
      </x:c>
      <x:c r="N2494" s="1" t="str">
        <x:f>IF(A2494="","",IF(AJ2494="Yes","Verified","Listed"))</x:f>
      </x:c>
      <x:c r="O2494" s="1" t="str">
        <x:f>IF(AND(ISNUMBER(G2494),G2494&gt;=0,G2494&lt;=1),IF(G2494&gt;=0.9,30,IF(G2494&gt;=0.8,25,IF(G2494&gt;=0.7,20,IF(G2494&gt;=0.6,15,IF(G2494&gt;=0.5,10,IF(G2494&gt;=0.4,5,0)))))),"")</x:f>
      </x:c>
      <x:c r="P2494" s="1" t="str">
        <x:f>IF(ISNUMBER(K2494),IF(K2494&lt;0,"",IF(K2494&gt;1,25,IF(K2494&gt;=0.75,20,IF(K2494&gt;=0.5,15,IF(K2494&gt;=0.25,10,5))))),"")</x:f>
      </x:c>
      <x:c r="Q2494" s="1" t="str">
        <x:f>IF(NOT(ISNUMBER(L2494)),"",IF(AND(L2494&gt;=0,MOD(L2494,1)=0),MAX(0,25-5*L2494),""))</x:f>
      </x:c>
      <x:c r="R2494" s="1" t="str">
        <x:f>IF(NOT(ISNUMBER(F2494)),"",IF(AND(F2494&gt;0,MOD(F2494,1)=0),IF(F2494&gt;=700,5,IF(F2494&gt;=500,4,IF(F2494&gt;=350,3,IF(F2494&gt;=200,2,1)))),""))</x:f>
      </x:c>
      <x:c r="S2494" s="1" t="str">
        <x:f>IF(COUNT(O2494:R2494)=4,SUM(O2494:R2494),"")</x:f>
      </x:c>
      <x:c r="T2494" s="1" t="str">
        <x:f>IF(OR(COUNT(O2494:R2494)&lt;&gt;4,COUNT('Top 15'!$B$35:$E$35)&lt;&gt;4,MIN('Top 15'!$B$35:$E$35)&lt;0,SUM('Top 15'!$B$35:$E$35)&lt;=0),"",ROUND(85*(O2494/30*'Top 15'!$B$35+P2494/25*'Top 15'!$C$35+Q2494/25*'Top 15'!$D$35+R2494/5*'Top 15'!$E$35)/SUM('Top 15'!$B$35:$E$35),6))</x:f>
      </x:c>
      <x:c r="U2494" s="1" t="str">
        <x:f>IF(A2494="","",IF(AND(M2494="Verified",N2494="Verified"),"Verified",IF(AND(M2494="Listed",N2494="Listed"),"Listed","Mixed")))</x:f>
      </x:c>
      <x:c r="V2494" s="1" t="str">
        <x:f>IF(A2494="","",IF(AK2494&lt;&gt;1,"Duplicate source ID",IF(COUNTIFS('Staff Review'!$A$8:$A$507,A2494)&gt;1,"Duplicate review ID",IF(H2494&lt;&gt;"Yes","Outside scope",IF(J2494="Yes","Already served",IF(NOT(ISNUMBER(T2494)),"Missing data","Candidate"))))))</x:f>
      </x:c>
      <x:c r="W2494" s="1" t="str">
        <x:f>IF(AL2494=0,"",1+COUNTIFS($AL$2051:$AL$2550,1,$T$2051:$T$2550,"&gt;"&amp;T2494)+COUNTIFS($AL$2051:$AL$2550,1,$T$2051:$T$2550,T2494,$G$2051:$G$2550,"&gt;"&amp;G2494)+COUNTIFS($AL$2051:$AL$2550,1,$T$2051:$T$2550,T2494,$G$2051:$G$2550,G2494,$F$2051:$F$2550,"&gt;"&amp;F2494)+COUNTIFS($AL$2051:$AL$2550,1,$T$2051:$T$2550,T2494,$G$2051:$G$2550,G2494,$F$2051:$F$2550,F2494,$AM$2051:$AM$2550,"&lt;"&amp;AM2494))</x:f>
      </x:c>
      <x:c r="X2494" s="1" t="str">
        <x:f>IF(AL2494=0,"",1+COUNTIFS($AL$2051:$AL$2550,1,$T$2051:$T$2550,"&gt;"&amp;T2494))</x:f>
      </x:c>
      <x:c r="Y2494" s="1" t="n">
        <x:f>IF(AND(H2494="Yes",OR(LEN('School Search'!$B$5)=0,ISNUMBER(SEARCH('School Search'!$B$5,B2494&amp;" "&amp;E2494&amp;" "&amp;A2494))),OR('School Search'!$D$5="All",C2494='School Search'!$D$5),OR('School Search'!$G$5="All eligible",AND('School Search'!$G$5="Not marked served",J2494&lt;&gt;"Yes"),AND('School Search'!$G$5="Missing data",V2494="Missing data"),AND('School Search'!$G$5="Marked served",J2494="Yes"))),1,0)</x:f>
        <x:v>0</x:v>
      </x:c>
      <x:c r="Z2494" s="1" t="str">
        <x:f>IF(Y2494=0,"",COUNTIFS($Y$2051:$Y$2550,1,$AO$2051:$AO$2550,"&lt;"&amp;AO2494)+COUNTIFS($Y$2051:Y2494,1,$AO$2051:AO2494,AO2494))</x:f>
      </x:c>
      <x:c r="AA2494" s="1" t="str">
        <x:f>IF(NOT(ISNUMBER(S2494)),"Missing demographic or access input",TEXT(G2494,"0%")&amp;" economic need; "&amp;TEXT(K2494,"0.00")&amp;" mi fresh access; "&amp;L2494&amp;" nearby resources")</x:f>
        <x:v>Missing demographic or access input</x:v>
      </x:c>
      <x:c r="AB2494" s="1" t="n">
        <x:f>IF(OR(A2494="",COUNTIFS($A$1531:$A$2030,A2494)&lt;&gt;1),0,MATCH(A2494,$A$1531:$A$2030,0))</x:f>
        <x:v>0</x:v>
      </x:c>
      <x:c r="AC2494" s="1" t="str">
        <x:f>IF(AB2494=0,"",INDEX($E$1531:$E$2030,AB2494))</x:f>
      </x:c>
      <x:c r="AD2494" s="1" t="str">
        <x:f>IF(AB2494=0,"",INDEX($F$1531:$F$2030,AB2494))</x:f>
      </x:c>
      <x:c r="AE2494" s="1" t="str">
        <x:f>IF(A2494="","",F445)</x:f>
      </x:c>
      <x:c r="AF2494" s="1" t="str">
        <x:f>IF(ISNUMBER(I445),I445,"")</x:f>
      </x:c>
      <x:c r="AG2494" s="1" t="str">
        <x:f>IF(ISNUMBER(J445),J445,"")</x:f>
      </x:c>
      <x:c r="AH2494" s="1" t="str">
        <x:f>IF(I2494=0,"Not contacted",IF(INDEX('Staff Review'!$J$8:$J$507,I2494)="","Not contacted",INDEX('Staff Review'!$J$8:$J$507,I2494)))</x:f>
        <x:v>Not contacted</x:v>
      </x:c>
      <x:c r="AI2494" s="1" t="str">
        <x:f>IF(I2494=0,"No",IF(AND(COUNT(INDEX('Staff Review'!$D$8:$D$507,I2494))=1,INDEX('Staff Review'!$D$8:$D$507,I2494)&gt;=0,COUNT(INDEX('Staff Review'!$E$8:$E$507,I2494))=1,INDEX('Staff Review'!$E$8:$E$507,I2494)&gt;0,INDEX('Staff Review'!$E$8:$E$507,I2494)&lt;='Top 15'!$E$5,'Top 15'!$E$5-INDEX('Staff Review'!$E$8:$E$507,I2494)&lt;='Top 15'!$H$5,LEN(INDEX('Staff Review'!$H$8:$H$507,I2494))&gt;0),"Yes","No"))</x:f>
        <x:v>No</x:v>
      </x:c>
      <x:c r="AJ2494" s="1" t="str">
        <x:f>IF(I2494=0,"No",IF(COUNT(INDEX('Staff Review'!$F$8:$F$507,I2494))&lt;&gt;1,"No",IF(AND(INDEX('Staff Review'!$F$8:$F$507,I2494)&gt;=0,MOD(INDEX('Staff Review'!$F$8:$F$507,I2494),1)=0,COUNT(INDEX('Staff Review'!$G$8:$G$507,I2494))=1,INDEX('Staff Review'!$G$8:$G$507,I2494)&gt;0,INDEX('Staff Review'!$G$8:$G$507,I2494)&lt;='Top 15'!$E$5,'Top 15'!$E$5-INDEX('Staff Review'!$G$8:$G$507,I2494)&lt;='Top 15'!$H$5,LEN(INDEX('Staff Review'!$H$8:$H$507,I2494))&gt;0),"Yes","No")))</x:f>
        <x:v>No</x:v>
      </x:c>
      <x:c r="AK2494" s="1" t="n">
        <x:f>IF(A2494="",0,COUNTIFS($A$2:$A$501,A2494))</x:f>
        <x:v>0</x:v>
      </x:c>
      <x:c r="AL2494" s="1" t="n">
        <x:f>IF(V2494="Candidate",1,0)</x:f>
        <x:v>0</x:v>
      </x:c>
      <x:c r="AM2494" s="1" t="n">
        <x:f>IF(A2494="",0,VALUE(A2494))</x:f>
        <x:v>0</x:v>
      </x:c>
      <x:c r="AN2494" s="1" t="n">
        <x:f>IF(OR(A2494="",COUNTIFS($T$41:$T$540,A2494)&lt;&gt;1),0,MATCH(A2494,$T$41:$T$540,0))</x:f>
        <x:v>0</x:v>
      </x:c>
      <x:c r="AO2494" t="n">
        <x:f>IF(ISNUMBER(W2494),W2494,10000+AM2494)</x:f>
        <x:v>10000</x:v>
      </x:c>
    </x:row>
    <x:row r="2495" ht="22" customHeight="1">
      <x:c r="A2495" s="1" t="str">
        <x:f>IF(A446="","",A446)</x:f>
      </x:c>
      <x:c r="B2495" s="1" t="str">
        <x:f>IF(A2495="","",B446)</x:f>
      </x:c>
      <x:c r="C2495" s="1" t="str">
        <x:f>IF(A2495="","",C446)</x:f>
      </x:c>
      <x:c r="D2495" s="1" t="str">
        <x:f>IF(A2495="","",E446)</x:f>
      </x:c>
      <x:c r="E2495" s="1" t="str">
        <x:f>IF(A2495="","",H446)</x:f>
      </x:c>
      <x:c r="F2495" s="1" t="str">
        <x:f>IF(ISNUMBER(K446),K446,"")</x:f>
      </x:c>
      <x:c r="G2495" s="1" t="str">
        <x:f>IF(ISNUMBER(L446),L446,"")</x:f>
      </x:c>
      <x:c r="H2495" s="1" t="str">
        <x:f>IF(A2495="","",IF(AND(UPPER(G446)="PHILADELPHIA",OR(C2495="District",AND(C2495="Charter",D446="Yes"))),"Yes","No"))</x:f>
      </x:c>
      <x:c r="I2495" s="1" t="n">
        <x:f>IF(OR(A2495="",COUNTIFS('Staff Review'!$A$8:$A$507,A2495)&lt;&gt;1),0,MATCH(A2495,'Staff Review'!$A$8:$A$507,0))</x:f>
        <x:v>0</x:v>
      </x:c>
      <x:c r="J2495" s="1" t="str">
        <x:f>IF(I2495=0,"No",IF(INDEX('Staff Review'!$C$8:$C$507,I2495)="Yes","Yes","No"))</x:f>
        <x:v>No</x:v>
      </x:c>
      <x:c r="K2495" s="1" t="str">
        <x:f>IF(AI2495="Yes",INDEX('Staff Review'!$D$8:$D$507,I2495),IF(AB2495=0,"",IF(COUNT(INDEX($C$1531:$C$2030,AB2495))=1,INDEX($C$1531:$C$2030,AB2495),"")))</x:f>
      </x:c>
      <x:c r="L2495" s="1" t="str">
        <x:f>IF(AJ2495="Yes",INDEX('Staff Review'!$F$8:$F$507,I2495),IF(AB2495=0,"",IF(COUNT(INDEX($G$1531:$G$2030,AB2495))=1,INDEX($G$1531:$G$2030,AB2495),"")))</x:f>
      </x:c>
      <x:c r="M2495" s="1" t="str">
        <x:f>IF(A2495="","",IF(AI2495="Yes","Verified","Listed"))</x:f>
      </x:c>
      <x:c r="N2495" s="1" t="str">
        <x:f>IF(A2495="","",IF(AJ2495="Yes","Verified","Listed"))</x:f>
      </x:c>
      <x:c r="O2495" s="1" t="str">
        <x:f>IF(AND(ISNUMBER(G2495),G2495&gt;=0,G2495&lt;=1),IF(G2495&gt;=0.9,30,IF(G2495&gt;=0.8,25,IF(G2495&gt;=0.7,20,IF(G2495&gt;=0.6,15,IF(G2495&gt;=0.5,10,IF(G2495&gt;=0.4,5,0)))))),"")</x:f>
      </x:c>
      <x:c r="P2495" s="1" t="str">
        <x:f>IF(ISNUMBER(K2495),IF(K2495&lt;0,"",IF(K2495&gt;1,25,IF(K2495&gt;=0.75,20,IF(K2495&gt;=0.5,15,IF(K2495&gt;=0.25,10,5))))),"")</x:f>
      </x:c>
      <x:c r="Q2495" s="1" t="str">
        <x:f>IF(NOT(ISNUMBER(L2495)),"",IF(AND(L2495&gt;=0,MOD(L2495,1)=0),MAX(0,25-5*L2495),""))</x:f>
      </x:c>
      <x:c r="R2495" s="1" t="str">
        <x:f>IF(NOT(ISNUMBER(F2495)),"",IF(AND(F2495&gt;0,MOD(F2495,1)=0),IF(F2495&gt;=700,5,IF(F2495&gt;=500,4,IF(F2495&gt;=350,3,IF(F2495&gt;=200,2,1)))),""))</x:f>
      </x:c>
      <x:c r="S2495" s="1" t="str">
        <x:f>IF(COUNT(O2495:R2495)=4,SUM(O2495:R2495),"")</x:f>
      </x:c>
      <x:c r="T2495" s="1" t="str">
        <x:f>IF(OR(COUNT(O2495:R2495)&lt;&gt;4,COUNT('Top 15'!$B$35:$E$35)&lt;&gt;4,MIN('Top 15'!$B$35:$E$35)&lt;0,SUM('Top 15'!$B$35:$E$35)&lt;=0),"",ROUND(85*(O2495/30*'Top 15'!$B$35+P2495/25*'Top 15'!$C$35+Q2495/25*'Top 15'!$D$35+R2495/5*'Top 15'!$E$35)/SUM('Top 15'!$B$35:$E$35),6))</x:f>
      </x:c>
      <x:c r="U2495" s="1" t="str">
        <x:f>IF(A2495="","",IF(AND(M2495="Verified",N2495="Verified"),"Verified",IF(AND(M2495="Listed",N2495="Listed"),"Listed","Mixed")))</x:f>
      </x:c>
      <x:c r="V2495" s="1" t="str">
        <x:f>IF(A2495="","",IF(AK2495&lt;&gt;1,"Duplicate source ID",IF(COUNTIFS('Staff Review'!$A$8:$A$507,A2495)&gt;1,"Duplicate review ID",IF(H2495&lt;&gt;"Yes","Outside scope",IF(J2495="Yes","Already served",IF(NOT(ISNUMBER(T2495)),"Missing data","Candidate"))))))</x:f>
      </x:c>
      <x:c r="W2495" s="1" t="str">
        <x:f>IF(AL2495=0,"",1+COUNTIFS($AL$2051:$AL$2550,1,$T$2051:$T$2550,"&gt;"&amp;T2495)+COUNTIFS($AL$2051:$AL$2550,1,$T$2051:$T$2550,T2495,$G$2051:$G$2550,"&gt;"&amp;G2495)+COUNTIFS($AL$2051:$AL$2550,1,$T$2051:$T$2550,T2495,$G$2051:$G$2550,G2495,$F$2051:$F$2550,"&gt;"&amp;F2495)+COUNTIFS($AL$2051:$AL$2550,1,$T$2051:$T$2550,T2495,$G$2051:$G$2550,G2495,$F$2051:$F$2550,F2495,$AM$2051:$AM$2550,"&lt;"&amp;AM2495))</x:f>
      </x:c>
      <x:c r="X2495" s="1" t="str">
        <x:f>IF(AL2495=0,"",1+COUNTIFS($AL$2051:$AL$2550,1,$T$2051:$T$2550,"&gt;"&amp;T2495))</x:f>
      </x:c>
      <x:c r="Y2495" s="1" t="n">
        <x:f>IF(AND(H2495="Yes",OR(LEN('School Search'!$B$5)=0,ISNUMBER(SEARCH('School Search'!$B$5,B2495&amp;" "&amp;E2495&amp;" "&amp;A2495))),OR('School Search'!$D$5="All",C2495='School Search'!$D$5),OR('School Search'!$G$5="All eligible",AND('School Search'!$G$5="Not marked served",J2495&lt;&gt;"Yes"),AND('School Search'!$G$5="Missing data",V2495="Missing data"),AND('School Search'!$G$5="Marked served",J2495="Yes"))),1,0)</x:f>
        <x:v>0</x:v>
      </x:c>
      <x:c r="Z2495" s="1" t="str">
        <x:f>IF(Y2495=0,"",COUNTIFS($Y$2051:$Y$2550,1,$AO$2051:$AO$2550,"&lt;"&amp;AO2495)+COUNTIFS($Y$2051:Y2495,1,$AO$2051:AO2495,AO2495))</x:f>
      </x:c>
      <x:c r="AA2495" s="1" t="str">
        <x:f>IF(NOT(ISNUMBER(S2495)),"Missing demographic or access input",TEXT(G2495,"0%")&amp;" economic need; "&amp;TEXT(K2495,"0.00")&amp;" mi fresh access; "&amp;L2495&amp;" nearby resources")</x:f>
        <x:v>Missing demographic or access input</x:v>
      </x:c>
      <x:c r="AB2495" s="1" t="n">
        <x:f>IF(OR(A2495="",COUNTIFS($A$1531:$A$2030,A2495)&lt;&gt;1),0,MATCH(A2495,$A$1531:$A$2030,0))</x:f>
        <x:v>0</x:v>
      </x:c>
      <x:c r="AC2495" s="1" t="str">
        <x:f>IF(AB2495=0,"",INDEX($E$1531:$E$2030,AB2495))</x:f>
      </x:c>
      <x:c r="AD2495" s="1" t="str">
        <x:f>IF(AB2495=0,"",INDEX($F$1531:$F$2030,AB2495))</x:f>
      </x:c>
      <x:c r="AE2495" s="1" t="str">
        <x:f>IF(A2495="","",F446)</x:f>
      </x:c>
      <x:c r="AF2495" s="1" t="str">
        <x:f>IF(ISNUMBER(I446),I446,"")</x:f>
      </x:c>
      <x:c r="AG2495" s="1" t="str">
        <x:f>IF(ISNUMBER(J446),J446,"")</x:f>
      </x:c>
      <x:c r="AH2495" s="1" t="str">
        <x:f>IF(I2495=0,"Not contacted",IF(INDEX('Staff Review'!$J$8:$J$507,I2495)="","Not contacted",INDEX('Staff Review'!$J$8:$J$507,I2495)))</x:f>
        <x:v>Not contacted</x:v>
      </x:c>
      <x:c r="AI2495" s="1" t="str">
        <x:f>IF(I2495=0,"No",IF(AND(COUNT(INDEX('Staff Review'!$D$8:$D$507,I2495))=1,INDEX('Staff Review'!$D$8:$D$507,I2495)&gt;=0,COUNT(INDEX('Staff Review'!$E$8:$E$507,I2495))=1,INDEX('Staff Review'!$E$8:$E$507,I2495)&gt;0,INDEX('Staff Review'!$E$8:$E$507,I2495)&lt;='Top 15'!$E$5,'Top 15'!$E$5-INDEX('Staff Review'!$E$8:$E$507,I2495)&lt;='Top 15'!$H$5,LEN(INDEX('Staff Review'!$H$8:$H$507,I2495))&gt;0),"Yes","No"))</x:f>
        <x:v>No</x:v>
      </x:c>
      <x:c r="AJ2495" s="1" t="str">
        <x:f>IF(I2495=0,"No",IF(COUNT(INDEX('Staff Review'!$F$8:$F$507,I2495))&lt;&gt;1,"No",IF(AND(INDEX('Staff Review'!$F$8:$F$507,I2495)&gt;=0,MOD(INDEX('Staff Review'!$F$8:$F$507,I2495),1)=0,COUNT(INDEX('Staff Review'!$G$8:$G$507,I2495))=1,INDEX('Staff Review'!$G$8:$G$507,I2495)&gt;0,INDEX('Staff Review'!$G$8:$G$507,I2495)&lt;='Top 15'!$E$5,'Top 15'!$E$5-INDEX('Staff Review'!$G$8:$G$507,I2495)&lt;='Top 15'!$H$5,LEN(INDEX('Staff Review'!$H$8:$H$507,I2495))&gt;0),"Yes","No")))</x:f>
        <x:v>No</x:v>
      </x:c>
      <x:c r="AK2495" s="1" t="n">
        <x:f>IF(A2495="",0,COUNTIFS($A$2:$A$501,A2495))</x:f>
        <x:v>0</x:v>
      </x:c>
      <x:c r="AL2495" s="1" t="n">
        <x:f>IF(V2495="Candidate",1,0)</x:f>
        <x:v>0</x:v>
      </x:c>
      <x:c r="AM2495" s="1" t="n">
        <x:f>IF(A2495="",0,VALUE(A2495))</x:f>
        <x:v>0</x:v>
      </x:c>
      <x:c r="AN2495" s="1" t="n">
        <x:f>IF(OR(A2495="",COUNTIFS($T$41:$T$540,A2495)&lt;&gt;1),0,MATCH(A2495,$T$41:$T$540,0))</x:f>
        <x:v>0</x:v>
      </x:c>
      <x:c r="AO2495" t="n">
        <x:f>IF(ISNUMBER(W2495),W2495,10000+AM2495)</x:f>
        <x:v>10000</x:v>
      </x:c>
    </x:row>
    <x:row r="2496" ht="22" customHeight="1">
      <x:c r="A2496" s="1" t="str">
        <x:f>IF(A447="","",A447)</x:f>
      </x:c>
      <x:c r="B2496" s="1" t="str">
        <x:f>IF(A2496="","",B447)</x:f>
      </x:c>
      <x:c r="C2496" s="1" t="str">
        <x:f>IF(A2496="","",C447)</x:f>
      </x:c>
      <x:c r="D2496" s="1" t="str">
        <x:f>IF(A2496="","",E447)</x:f>
      </x:c>
      <x:c r="E2496" s="1" t="str">
        <x:f>IF(A2496="","",H447)</x:f>
      </x:c>
      <x:c r="F2496" s="1" t="str">
        <x:f>IF(ISNUMBER(K447),K447,"")</x:f>
      </x:c>
      <x:c r="G2496" s="1" t="str">
        <x:f>IF(ISNUMBER(L447),L447,"")</x:f>
      </x:c>
      <x:c r="H2496" s="1" t="str">
        <x:f>IF(A2496="","",IF(AND(UPPER(G447)="PHILADELPHIA",OR(C2496="District",AND(C2496="Charter",D447="Yes"))),"Yes","No"))</x:f>
      </x:c>
      <x:c r="I2496" s="1" t="n">
        <x:f>IF(OR(A2496="",COUNTIFS('Staff Review'!$A$8:$A$507,A2496)&lt;&gt;1),0,MATCH(A2496,'Staff Review'!$A$8:$A$507,0))</x:f>
        <x:v>0</x:v>
      </x:c>
      <x:c r="J2496" s="1" t="str">
        <x:f>IF(I2496=0,"No",IF(INDEX('Staff Review'!$C$8:$C$507,I2496)="Yes","Yes","No"))</x:f>
        <x:v>No</x:v>
      </x:c>
      <x:c r="K2496" s="1" t="str">
        <x:f>IF(AI2496="Yes",INDEX('Staff Review'!$D$8:$D$507,I2496),IF(AB2496=0,"",IF(COUNT(INDEX($C$1531:$C$2030,AB2496))=1,INDEX($C$1531:$C$2030,AB2496),"")))</x:f>
      </x:c>
      <x:c r="L2496" s="1" t="str">
        <x:f>IF(AJ2496="Yes",INDEX('Staff Review'!$F$8:$F$507,I2496),IF(AB2496=0,"",IF(COUNT(INDEX($G$1531:$G$2030,AB2496))=1,INDEX($G$1531:$G$2030,AB2496),"")))</x:f>
      </x:c>
      <x:c r="M2496" s="1" t="str">
        <x:f>IF(A2496="","",IF(AI2496="Yes","Verified","Listed"))</x:f>
      </x:c>
      <x:c r="N2496" s="1" t="str">
        <x:f>IF(A2496="","",IF(AJ2496="Yes","Verified","Listed"))</x:f>
      </x:c>
      <x:c r="O2496" s="1" t="str">
        <x:f>IF(AND(ISNUMBER(G2496),G2496&gt;=0,G2496&lt;=1),IF(G2496&gt;=0.9,30,IF(G2496&gt;=0.8,25,IF(G2496&gt;=0.7,20,IF(G2496&gt;=0.6,15,IF(G2496&gt;=0.5,10,IF(G2496&gt;=0.4,5,0)))))),"")</x:f>
      </x:c>
      <x:c r="P2496" s="1" t="str">
        <x:f>IF(ISNUMBER(K2496),IF(K2496&lt;0,"",IF(K2496&gt;1,25,IF(K2496&gt;=0.75,20,IF(K2496&gt;=0.5,15,IF(K2496&gt;=0.25,10,5))))),"")</x:f>
      </x:c>
      <x:c r="Q2496" s="1" t="str">
        <x:f>IF(NOT(ISNUMBER(L2496)),"",IF(AND(L2496&gt;=0,MOD(L2496,1)=0),MAX(0,25-5*L2496),""))</x:f>
      </x:c>
      <x:c r="R2496" s="1" t="str">
        <x:f>IF(NOT(ISNUMBER(F2496)),"",IF(AND(F2496&gt;0,MOD(F2496,1)=0),IF(F2496&gt;=700,5,IF(F2496&gt;=500,4,IF(F2496&gt;=350,3,IF(F2496&gt;=200,2,1)))),""))</x:f>
      </x:c>
      <x:c r="S2496" s="1" t="str">
        <x:f>IF(COUNT(O2496:R2496)=4,SUM(O2496:R2496),"")</x:f>
      </x:c>
      <x:c r="T2496" s="1" t="str">
        <x:f>IF(OR(COUNT(O2496:R2496)&lt;&gt;4,COUNT('Top 15'!$B$35:$E$35)&lt;&gt;4,MIN('Top 15'!$B$35:$E$35)&lt;0,SUM('Top 15'!$B$35:$E$35)&lt;=0),"",ROUND(85*(O2496/30*'Top 15'!$B$35+P2496/25*'Top 15'!$C$35+Q2496/25*'Top 15'!$D$35+R2496/5*'Top 15'!$E$35)/SUM('Top 15'!$B$35:$E$35),6))</x:f>
      </x:c>
      <x:c r="U2496" s="1" t="str">
        <x:f>IF(A2496="","",IF(AND(M2496="Verified",N2496="Verified"),"Verified",IF(AND(M2496="Listed",N2496="Listed"),"Listed","Mixed")))</x:f>
      </x:c>
      <x:c r="V2496" s="1" t="str">
        <x:f>IF(A2496="","",IF(AK2496&lt;&gt;1,"Duplicate source ID",IF(COUNTIFS('Staff Review'!$A$8:$A$507,A2496)&gt;1,"Duplicate review ID",IF(H2496&lt;&gt;"Yes","Outside scope",IF(J2496="Yes","Already served",IF(NOT(ISNUMBER(T2496)),"Missing data","Candidate"))))))</x:f>
      </x:c>
      <x:c r="W2496" s="1" t="str">
        <x:f>IF(AL2496=0,"",1+COUNTIFS($AL$2051:$AL$2550,1,$T$2051:$T$2550,"&gt;"&amp;T2496)+COUNTIFS($AL$2051:$AL$2550,1,$T$2051:$T$2550,T2496,$G$2051:$G$2550,"&gt;"&amp;G2496)+COUNTIFS($AL$2051:$AL$2550,1,$T$2051:$T$2550,T2496,$G$2051:$G$2550,G2496,$F$2051:$F$2550,"&gt;"&amp;F2496)+COUNTIFS($AL$2051:$AL$2550,1,$T$2051:$T$2550,T2496,$G$2051:$G$2550,G2496,$F$2051:$F$2550,F2496,$AM$2051:$AM$2550,"&lt;"&amp;AM2496))</x:f>
      </x:c>
      <x:c r="X2496" s="1" t="str">
        <x:f>IF(AL2496=0,"",1+COUNTIFS($AL$2051:$AL$2550,1,$T$2051:$T$2550,"&gt;"&amp;T2496))</x:f>
      </x:c>
      <x:c r="Y2496" s="1" t="n">
        <x:f>IF(AND(H2496="Yes",OR(LEN('School Search'!$B$5)=0,ISNUMBER(SEARCH('School Search'!$B$5,B2496&amp;" "&amp;E2496&amp;" "&amp;A2496))),OR('School Search'!$D$5="All",C2496='School Search'!$D$5),OR('School Search'!$G$5="All eligible",AND('School Search'!$G$5="Not marked served",J2496&lt;&gt;"Yes"),AND('School Search'!$G$5="Missing data",V2496="Missing data"),AND('School Search'!$G$5="Marked served",J2496="Yes"))),1,0)</x:f>
        <x:v>0</x:v>
      </x:c>
      <x:c r="Z2496" s="1" t="str">
        <x:f>IF(Y2496=0,"",COUNTIFS($Y$2051:$Y$2550,1,$AO$2051:$AO$2550,"&lt;"&amp;AO2496)+COUNTIFS($Y$2051:Y2496,1,$AO$2051:AO2496,AO2496))</x:f>
      </x:c>
      <x:c r="AA2496" s="1" t="str">
        <x:f>IF(NOT(ISNUMBER(S2496)),"Missing demographic or access input",TEXT(G2496,"0%")&amp;" economic need; "&amp;TEXT(K2496,"0.00")&amp;" mi fresh access; "&amp;L2496&amp;" nearby resources")</x:f>
        <x:v>Missing demographic or access input</x:v>
      </x:c>
      <x:c r="AB2496" s="1" t="n">
        <x:f>IF(OR(A2496="",COUNTIFS($A$1531:$A$2030,A2496)&lt;&gt;1),0,MATCH(A2496,$A$1531:$A$2030,0))</x:f>
        <x:v>0</x:v>
      </x:c>
      <x:c r="AC2496" s="1" t="str">
        <x:f>IF(AB2496=0,"",INDEX($E$1531:$E$2030,AB2496))</x:f>
      </x:c>
      <x:c r="AD2496" s="1" t="str">
        <x:f>IF(AB2496=0,"",INDEX($F$1531:$F$2030,AB2496))</x:f>
      </x:c>
      <x:c r="AE2496" s="1" t="str">
        <x:f>IF(A2496="","",F447)</x:f>
      </x:c>
      <x:c r="AF2496" s="1" t="str">
        <x:f>IF(ISNUMBER(I447),I447,"")</x:f>
      </x:c>
      <x:c r="AG2496" s="1" t="str">
        <x:f>IF(ISNUMBER(J447),J447,"")</x:f>
      </x:c>
      <x:c r="AH2496" s="1" t="str">
        <x:f>IF(I2496=0,"Not contacted",IF(INDEX('Staff Review'!$J$8:$J$507,I2496)="","Not contacted",INDEX('Staff Review'!$J$8:$J$507,I2496)))</x:f>
        <x:v>Not contacted</x:v>
      </x:c>
      <x:c r="AI2496" s="1" t="str">
        <x:f>IF(I2496=0,"No",IF(AND(COUNT(INDEX('Staff Review'!$D$8:$D$507,I2496))=1,INDEX('Staff Review'!$D$8:$D$507,I2496)&gt;=0,COUNT(INDEX('Staff Review'!$E$8:$E$507,I2496))=1,INDEX('Staff Review'!$E$8:$E$507,I2496)&gt;0,INDEX('Staff Review'!$E$8:$E$507,I2496)&lt;='Top 15'!$E$5,'Top 15'!$E$5-INDEX('Staff Review'!$E$8:$E$507,I2496)&lt;='Top 15'!$H$5,LEN(INDEX('Staff Review'!$H$8:$H$507,I2496))&gt;0),"Yes","No"))</x:f>
        <x:v>No</x:v>
      </x:c>
      <x:c r="AJ2496" s="1" t="str">
        <x:f>IF(I2496=0,"No",IF(COUNT(INDEX('Staff Review'!$F$8:$F$507,I2496))&lt;&gt;1,"No",IF(AND(INDEX('Staff Review'!$F$8:$F$507,I2496)&gt;=0,MOD(INDEX('Staff Review'!$F$8:$F$507,I2496),1)=0,COUNT(INDEX('Staff Review'!$G$8:$G$507,I2496))=1,INDEX('Staff Review'!$G$8:$G$507,I2496)&gt;0,INDEX('Staff Review'!$G$8:$G$507,I2496)&lt;='Top 15'!$E$5,'Top 15'!$E$5-INDEX('Staff Review'!$G$8:$G$507,I2496)&lt;='Top 15'!$H$5,LEN(INDEX('Staff Review'!$H$8:$H$507,I2496))&gt;0),"Yes","No")))</x:f>
        <x:v>No</x:v>
      </x:c>
      <x:c r="AK2496" s="1" t="n">
        <x:f>IF(A2496="",0,COUNTIFS($A$2:$A$501,A2496))</x:f>
        <x:v>0</x:v>
      </x:c>
      <x:c r="AL2496" s="1" t="n">
        <x:f>IF(V2496="Candidate",1,0)</x:f>
        <x:v>0</x:v>
      </x:c>
      <x:c r="AM2496" s="1" t="n">
        <x:f>IF(A2496="",0,VALUE(A2496))</x:f>
        <x:v>0</x:v>
      </x:c>
      <x:c r="AN2496" s="1" t="n">
        <x:f>IF(OR(A2496="",COUNTIFS($T$41:$T$540,A2496)&lt;&gt;1),0,MATCH(A2496,$T$41:$T$540,0))</x:f>
        <x:v>0</x:v>
      </x:c>
      <x:c r="AO2496" t="n">
        <x:f>IF(ISNUMBER(W2496),W2496,10000+AM2496)</x:f>
        <x:v>10000</x:v>
      </x:c>
    </x:row>
    <x:row r="2497" ht="22" customHeight="1">
      <x:c r="A2497" s="1" t="str">
        <x:f>IF(A448="","",A448)</x:f>
      </x:c>
      <x:c r="B2497" s="1" t="str">
        <x:f>IF(A2497="","",B448)</x:f>
      </x:c>
      <x:c r="C2497" s="1" t="str">
        <x:f>IF(A2497="","",C448)</x:f>
      </x:c>
      <x:c r="D2497" s="1" t="str">
        <x:f>IF(A2497="","",E448)</x:f>
      </x:c>
      <x:c r="E2497" s="1" t="str">
        <x:f>IF(A2497="","",H448)</x:f>
      </x:c>
      <x:c r="F2497" s="1" t="str">
        <x:f>IF(ISNUMBER(K448),K448,"")</x:f>
      </x:c>
      <x:c r="G2497" s="1" t="str">
        <x:f>IF(ISNUMBER(L448),L448,"")</x:f>
      </x:c>
      <x:c r="H2497" s="1" t="str">
        <x:f>IF(A2497="","",IF(AND(UPPER(G448)="PHILADELPHIA",OR(C2497="District",AND(C2497="Charter",D448="Yes"))),"Yes","No"))</x:f>
      </x:c>
      <x:c r="I2497" s="1" t="n">
        <x:f>IF(OR(A2497="",COUNTIFS('Staff Review'!$A$8:$A$507,A2497)&lt;&gt;1),0,MATCH(A2497,'Staff Review'!$A$8:$A$507,0))</x:f>
        <x:v>0</x:v>
      </x:c>
      <x:c r="J2497" s="1" t="str">
        <x:f>IF(I2497=0,"No",IF(INDEX('Staff Review'!$C$8:$C$507,I2497)="Yes","Yes","No"))</x:f>
        <x:v>No</x:v>
      </x:c>
      <x:c r="K2497" s="1" t="str">
        <x:f>IF(AI2497="Yes",INDEX('Staff Review'!$D$8:$D$507,I2497),IF(AB2497=0,"",IF(COUNT(INDEX($C$1531:$C$2030,AB2497))=1,INDEX($C$1531:$C$2030,AB2497),"")))</x:f>
      </x:c>
      <x:c r="L2497" s="1" t="str">
        <x:f>IF(AJ2497="Yes",INDEX('Staff Review'!$F$8:$F$507,I2497),IF(AB2497=0,"",IF(COUNT(INDEX($G$1531:$G$2030,AB2497))=1,INDEX($G$1531:$G$2030,AB2497),"")))</x:f>
      </x:c>
      <x:c r="M2497" s="1" t="str">
        <x:f>IF(A2497="","",IF(AI2497="Yes","Verified","Listed"))</x:f>
      </x:c>
      <x:c r="N2497" s="1" t="str">
        <x:f>IF(A2497="","",IF(AJ2497="Yes","Verified","Listed"))</x:f>
      </x:c>
      <x:c r="O2497" s="1" t="str">
        <x:f>IF(AND(ISNUMBER(G2497),G2497&gt;=0,G2497&lt;=1),IF(G2497&gt;=0.9,30,IF(G2497&gt;=0.8,25,IF(G2497&gt;=0.7,20,IF(G2497&gt;=0.6,15,IF(G2497&gt;=0.5,10,IF(G2497&gt;=0.4,5,0)))))),"")</x:f>
      </x:c>
      <x:c r="P2497" s="1" t="str">
        <x:f>IF(ISNUMBER(K2497),IF(K2497&lt;0,"",IF(K2497&gt;1,25,IF(K2497&gt;=0.75,20,IF(K2497&gt;=0.5,15,IF(K2497&gt;=0.25,10,5))))),"")</x:f>
      </x:c>
      <x:c r="Q2497" s="1" t="str">
        <x:f>IF(NOT(ISNUMBER(L2497)),"",IF(AND(L2497&gt;=0,MOD(L2497,1)=0),MAX(0,25-5*L2497),""))</x:f>
      </x:c>
      <x:c r="R2497" s="1" t="str">
        <x:f>IF(NOT(ISNUMBER(F2497)),"",IF(AND(F2497&gt;0,MOD(F2497,1)=0),IF(F2497&gt;=700,5,IF(F2497&gt;=500,4,IF(F2497&gt;=350,3,IF(F2497&gt;=200,2,1)))),""))</x:f>
      </x:c>
      <x:c r="S2497" s="1" t="str">
        <x:f>IF(COUNT(O2497:R2497)=4,SUM(O2497:R2497),"")</x:f>
      </x:c>
      <x:c r="T2497" s="1" t="str">
        <x:f>IF(OR(COUNT(O2497:R2497)&lt;&gt;4,COUNT('Top 15'!$B$35:$E$35)&lt;&gt;4,MIN('Top 15'!$B$35:$E$35)&lt;0,SUM('Top 15'!$B$35:$E$35)&lt;=0),"",ROUND(85*(O2497/30*'Top 15'!$B$35+P2497/25*'Top 15'!$C$35+Q2497/25*'Top 15'!$D$35+R2497/5*'Top 15'!$E$35)/SUM('Top 15'!$B$35:$E$35),6))</x:f>
      </x:c>
      <x:c r="U2497" s="1" t="str">
        <x:f>IF(A2497="","",IF(AND(M2497="Verified",N2497="Verified"),"Verified",IF(AND(M2497="Listed",N2497="Listed"),"Listed","Mixed")))</x:f>
      </x:c>
      <x:c r="V2497" s="1" t="str">
        <x:f>IF(A2497="","",IF(AK2497&lt;&gt;1,"Duplicate source ID",IF(COUNTIFS('Staff Review'!$A$8:$A$507,A2497)&gt;1,"Duplicate review ID",IF(H2497&lt;&gt;"Yes","Outside scope",IF(J2497="Yes","Already served",IF(NOT(ISNUMBER(T2497)),"Missing data","Candidate"))))))</x:f>
      </x:c>
      <x:c r="W2497" s="1" t="str">
        <x:f>IF(AL2497=0,"",1+COUNTIFS($AL$2051:$AL$2550,1,$T$2051:$T$2550,"&gt;"&amp;T2497)+COUNTIFS($AL$2051:$AL$2550,1,$T$2051:$T$2550,T2497,$G$2051:$G$2550,"&gt;"&amp;G2497)+COUNTIFS($AL$2051:$AL$2550,1,$T$2051:$T$2550,T2497,$G$2051:$G$2550,G2497,$F$2051:$F$2550,"&gt;"&amp;F2497)+COUNTIFS($AL$2051:$AL$2550,1,$T$2051:$T$2550,T2497,$G$2051:$G$2550,G2497,$F$2051:$F$2550,F2497,$AM$2051:$AM$2550,"&lt;"&amp;AM2497))</x:f>
      </x:c>
      <x:c r="X2497" s="1" t="str">
        <x:f>IF(AL2497=0,"",1+COUNTIFS($AL$2051:$AL$2550,1,$T$2051:$T$2550,"&gt;"&amp;T2497))</x:f>
      </x:c>
      <x:c r="Y2497" s="1" t="n">
        <x:f>IF(AND(H2497="Yes",OR(LEN('School Search'!$B$5)=0,ISNUMBER(SEARCH('School Search'!$B$5,B2497&amp;" "&amp;E2497&amp;" "&amp;A2497))),OR('School Search'!$D$5="All",C2497='School Search'!$D$5),OR('School Search'!$G$5="All eligible",AND('School Search'!$G$5="Not marked served",J2497&lt;&gt;"Yes"),AND('School Search'!$G$5="Missing data",V2497="Missing data"),AND('School Search'!$G$5="Marked served",J2497="Yes"))),1,0)</x:f>
        <x:v>0</x:v>
      </x:c>
      <x:c r="Z2497" s="1" t="str">
        <x:f>IF(Y2497=0,"",COUNTIFS($Y$2051:$Y$2550,1,$AO$2051:$AO$2550,"&lt;"&amp;AO2497)+COUNTIFS($Y$2051:Y2497,1,$AO$2051:AO2497,AO2497))</x:f>
      </x:c>
      <x:c r="AA2497" s="1" t="str">
        <x:f>IF(NOT(ISNUMBER(S2497)),"Missing demographic or access input",TEXT(G2497,"0%")&amp;" economic need; "&amp;TEXT(K2497,"0.00")&amp;" mi fresh access; "&amp;L2497&amp;" nearby resources")</x:f>
        <x:v>Missing demographic or access input</x:v>
      </x:c>
      <x:c r="AB2497" s="1" t="n">
        <x:f>IF(OR(A2497="",COUNTIFS($A$1531:$A$2030,A2497)&lt;&gt;1),0,MATCH(A2497,$A$1531:$A$2030,0))</x:f>
        <x:v>0</x:v>
      </x:c>
      <x:c r="AC2497" s="1" t="str">
        <x:f>IF(AB2497=0,"",INDEX($E$1531:$E$2030,AB2497))</x:f>
      </x:c>
      <x:c r="AD2497" s="1" t="str">
        <x:f>IF(AB2497=0,"",INDEX($F$1531:$F$2030,AB2497))</x:f>
      </x:c>
      <x:c r="AE2497" s="1" t="str">
        <x:f>IF(A2497="","",F448)</x:f>
      </x:c>
      <x:c r="AF2497" s="1" t="str">
        <x:f>IF(ISNUMBER(I448),I448,"")</x:f>
      </x:c>
      <x:c r="AG2497" s="1" t="str">
        <x:f>IF(ISNUMBER(J448),J448,"")</x:f>
      </x:c>
      <x:c r="AH2497" s="1" t="str">
        <x:f>IF(I2497=0,"Not contacted",IF(INDEX('Staff Review'!$J$8:$J$507,I2497)="","Not contacted",INDEX('Staff Review'!$J$8:$J$507,I2497)))</x:f>
        <x:v>Not contacted</x:v>
      </x:c>
      <x:c r="AI2497" s="1" t="str">
        <x:f>IF(I2497=0,"No",IF(AND(COUNT(INDEX('Staff Review'!$D$8:$D$507,I2497))=1,INDEX('Staff Review'!$D$8:$D$507,I2497)&gt;=0,COUNT(INDEX('Staff Review'!$E$8:$E$507,I2497))=1,INDEX('Staff Review'!$E$8:$E$507,I2497)&gt;0,INDEX('Staff Review'!$E$8:$E$507,I2497)&lt;='Top 15'!$E$5,'Top 15'!$E$5-INDEX('Staff Review'!$E$8:$E$507,I2497)&lt;='Top 15'!$H$5,LEN(INDEX('Staff Review'!$H$8:$H$507,I2497))&gt;0),"Yes","No"))</x:f>
        <x:v>No</x:v>
      </x:c>
      <x:c r="AJ2497" s="1" t="str">
        <x:f>IF(I2497=0,"No",IF(COUNT(INDEX('Staff Review'!$F$8:$F$507,I2497))&lt;&gt;1,"No",IF(AND(INDEX('Staff Review'!$F$8:$F$507,I2497)&gt;=0,MOD(INDEX('Staff Review'!$F$8:$F$507,I2497),1)=0,COUNT(INDEX('Staff Review'!$G$8:$G$507,I2497))=1,INDEX('Staff Review'!$G$8:$G$507,I2497)&gt;0,INDEX('Staff Review'!$G$8:$G$507,I2497)&lt;='Top 15'!$E$5,'Top 15'!$E$5-INDEX('Staff Review'!$G$8:$G$507,I2497)&lt;='Top 15'!$H$5,LEN(INDEX('Staff Review'!$H$8:$H$507,I2497))&gt;0),"Yes","No")))</x:f>
        <x:v>No</x:v>
      </x:c>
      <x:c r="AK2497" s="1" t="n">
        <x:f>IF(A2497="",0,COUNTIFS($A$2:$A$501,A2497))</x:f>
        <x:v>0</x:v>
      </x:c>
      <x:c r="AL2497" s="1" t="n">
        <x:f>IF(V2497="Candidate",1,0)</x:f>
        <x:v>0</x:v>
      </x:c>
      <x:c r="AM2497" s="1" t="n">
        <x:f>IF(A2497="",0,VALUE(A2497))</x:f>
        <x:v>0</x:v>
      </x:c>
      <x:c r="AN2497" s="1" t="n">
        <x:f>IF(OR(A2497="",COUNTIFS($T$41:$T$540,A2497)&lt;&gt;1),0,MATCH(A2497,$T$41:$T$540,0))</x:f>
        <x:v>0</x:v>
      </x:c>
      <x:c r="AO2497" t="n">
        <x:f>IF(ISNUMBER(W2497),W2497,10000+AM2497)</x:f>
        <x:v>10000</x:v>
      </x:c>
    </x:row>
    <x:row r="2498" ht="22" customHeight="1">
      <x:c r="A2498" s="1" t="str">
        <x:f>IF(A449="","",A449)</x:f>
      </x:c>
      <x:c r="B2498" s="1" t="str">
        <x:f>IF(A2498="","",B449)</x:f>
      </x:c>
      <x:c r="C2498" s="1" t="str">
        <x:f>IF(A2498="","",C449)</x:f>
      </x:c>
      <x:c r="D2498" s="1" t="str">
        <x:f>IF(A2498="","",E449)</x:f>
      </x:c>
      <x:c r="E2498" s="1" t="str">
        <x:f>IF(A2498="","",H449)</x:f>
      </x:c>
      <x:c r="F2498" s="1" t="str">
        <x:f>IF(ISNUMBER(K449),K449,"")</x:f>
      </x:c>
      <x:c r="G2498" s="1" t="str">
        <x:f>IF(ISNUMBER(L449),L449,"")</x:f>
      </x:c>
      <x:c r="H2498" s="1" t="str">
        <x:f>IF(A2498="","",IF(AND(UPPER(G449)="PHILADELPHIA",OR(C2498="District",AND(C2498="Charter",D449="Yes"))),"Yes","No"))</x:f>
      </x:c>
      <x:c r="I2498" s="1" t="n">
        <x:f>IF(OR(A2498="",COUNTIFS('Staff Review'!$A$8:$A$507,A2498)&lt;&gt;1),0,MATCH(A2498,'Staff Review'!$A$8:$A$507,0))</x:f>
        <x:v>0</x:v>
      </x:c>
      <x:c r="J2498" s="1" t="str">
        <x:f>IF(I2498=0,"No",IF(INDEX('Staff Review'!$C$8:$C$507,I2498)="Yes","Yes","No"))</x:f>
        <x:v>No</x:v>
      </x:c>
      <x:c r="K2498" s="1" t="str">
        <x:f>IF(AI2498="Yes",INDEX('Staff Review'!$D$8:$D$507,I2498),IF(AB2498=0,"",IF(COUNT(INDEX($C$1531:$C$2030,AB2498))=1,INDEX($C$1531:$C$2030,AB2498),"")))</x:f>
      </x:c>
      <x:c r="L2498" s="1" t="str">
        <x:f>IF(AJ2498="Yes",INDEX('Staff Review'!$F$8:$F$507,I2498),IF(AB2498=0,"",IF(COUNT(INDEX($G$1531:$G$2030,AB2498))=1,INDEX($G$1531:$G$2030,AB2498),"")))</x:f>
      </x:c>
      <x:c r="M2498" s="1" t="str">
        <x:f>IF(A2498="","",IF(AI2498="Yes","Verified","Listed"))</x:f>
      </x:c>
      <x:c r="N2498" s="1" t="str">
        <x:f>IF(A2498="","",IF(AJ2498="Yes","Verified","Listed"))</x:f>
      </x:c>
      <x:c r="O2498" s="1" t="str">
        <x:f>IF(AND(ISNUMBER(G2498),G2498&gt;=0,G2498&lt;=1),IF(G2498&gt;=0.9,30,IF(G2498&gt;=0.8,25,IF(G2498&gt;=0.7,20,IF(G2498&gt;=0.6,15,IF(G2498&gt;=0.5,10,IF(G2498&gt;=0.4,5,0)))))),"")</x:f>
      </x:c>
      <x:c r="P2498" s="1" t="str">
        <x:f>IF(ISNUMBER(K2498),IF(K2498&lt;0,"",IF(K2498&gt;1,25,IF(K2498&gt;=0.75,20,IF(K2498&gt;=0.5,15,IF(K2498&gt;=0.25,10,5))))),"")</x:f>
      </x:c>
      <x:c r="Q2498" s="1" t="str">
        <x:f>IF(NOT(ISNUMBER(L2498)),"",IF(AND(L2498&gt;=0,MOD(L2498,1)=0),MAX(0,25-5*L2498),""))</x:f>
      </x:c>
      <x:c r="R2498" s="1" t="str">
        <x:f>IF(NOT(ISNUMBER(F2498)),"",IF(AND(F2498&gt;0,MOD(F2498,1)=0),IF(F2498&gt;=700,5,IF(F2498&gt;=500,4,IF(F2498&gt;=350,3,IF(F2498&gt;=200,2,1)))),""))</x:f>
      </x:c>
      <x:c r="S2498" s="1" t="str">
        <x:f>IF(COUNT(O2498:R2498)=4,SUM(O2498:R2498),"")</x:f>
      </x:c>
      <x:c r="T2498" s="1" t="str">
        <x:f>IF(OR(COUNT(O2498:R2498)&lt;&gt;4,COUNT('Top 15'!$B$35:$E$35)&lt;&gt;4,MIN('Top 15'!$B$35:$E$35)&lt;0,SUM('Top 15'!$B$35:$E$35)&lt;=0),"",ROUND(85*(O2498/30*'Top 15'!$B$35+P2498/25*'Top 15'!$C$35+Q2498/25*'Top 15'!$D$35+R2498/5*'Top 15'!$E$35)/SUM('Top 15'!$B$35:$E$35),6))</x:f>
      </x:c>
      <x:c r="U2498" s="1" t="str">
        <x:f>IF(A2498="","",IF(AND(M2498="Verified",N2498="Verified"),"Verified",IF(AND(M2498="Listed",N2498="Listed"),"Listed","Mixed")))</x:f>
      </x:c>
      <x:c r="V2498" s="1" t="str">
        <x:f>IF(A2498="","",IF(AK2498&lt;&gt;1,"Duplicate source ID",IF(COUNTIFS('Staff Review'!$A$8:$A$507,A2498)&gt;1,"Duplicate review ID",IF(H2498&lt;&gt;"Yes","Outside scope",IF(J2498="Yes","Already served",IF(NOT(ISNUMBER(T2498)),"Missing data","Candidate"))))))</x:f>
      </x:c>
      <x:c r="W2498" s="1" t="str">
        <x:f>IF(AL2498=0,"",1+COUNTIFS($AL$2051:$AL$2550,1,$T$2051:$T$2550,"&gt;"&amp;T2498)+COUNTIFS($AL$2051:$AL$2550,1,$T$2051:$T$2550,T2498,$G$2051:$G$2550,"&gt;"&amp;G2498)+COUNTIFS($AL$2051:$AL$2550,1,$T$2051:$T$2550,T2498,$G$2051:$G$2550,G2498,$F$2051:$F$2550,"&gt;"&amp;F2498)+COUNTIFS($AL$2051:$AL$2550,1,$T$2051:$T$2550,T2498,$G$2051:$G$2550,G2498,$F$2051:$F$2550,F2498,$AM$2051:$AM$2550,"&lt;"&amp;AM2498))</x:f>
      </x:c>
      <x:c r="X2498" s="1" t="str">
        <x:f>IF(AL2498=0,"",1+COUNTIFS($AL$2051:$AL$2550,1,$T$2051:$T$2550,"&gt;"&amp;T2498))</x:f>
      </x:c>
      <x:c r="Y2498" s="1" t="n">
        <x:f>IF(AND(H2498="Yes",OR(LEN('School Search'!$B$5)=0,ISNUMBER(SEARCH('School Search'!$B$5,B2498&amp;" "&amp;E2498&amp;" "&amp;A2498))),OR('School Search'!$D$5="All",C2498='School Search'!$D$5),OR('School Search'!$G$5="All eligible",AND('School Search'!$G$5="Not marked served",J2498&lt;&gt;"Yes"),AND('School Search'!$G$5="Missing data",V2498="Missing data"),AND('School Search'!$G$5="Marked served",J2498="Yes"))),1,0)</x:f>
        <x:v>0</x:v>
      </x:c>
      <x:c r="Z2498" s="1" t="str">
        <x:f>IF(Y2498=0,"",COUNTIFS($Y$2051:$Y$2550,1,$AO$2051:$AO$2550,"&lt;"&amp;AO2498)+COUNTIFS($Y$2051:Y2498,1,$AO$2051:AO2498,AO2498))</x:f>
      </x:c>
      <x:c r="AA2498" s="1" t="str">
        <x:f>IF(NOT(ISNUMBER(S2498)),"Missing demographic or access input",TEXT(G2498,"0%")&amp;" economic need; "&amp;TEXT(K2498,"0.00")&amp;" mi fresh access; "&amp;L2498&amp;" nearby resources")</x:f>
        <x:v>Missing demographic or access input</x:v>
      </x:c>
      <x:c r="AB2498" s="1" t="n">
        <x:f>IF(OR(A2498="",COUNTIFS($A$1531:$A$2030,A2498)&lt;&gt;1),0,MATCH(A2498,$A$1531:$A$2030,0))</x:f>
        <x:v>0</x:v>
      </x:c>
      <x:c r="AC2498" s="1" t="str">
        <x:f>IF(AB2498=0,"",INDEX($E$1531:$E$2030,AB2498))</x:f>
      </x:c>
      <x:c r="AD2498" s="1" t="str">
        <x:f>IF(AB2498=0,"",INDEX($F$1531:$F$2030,AB2498))</x:f>
      </x:c>
      <x:c r="AE2498" s="1" t="str">
        <x:f>IF(A2498="","",F449)</x:f>
      </x:c>
      <x:c r="AF2498" s="1" t="str">
        <x:f>IF(ISNUMBER(I449),I449,"")</x:f>
      </x:c>
      <x:c r="AG2498" s="1" t="str">
        <x:f>IF(ISNUMBER(J449),J449,"")</x:f>
      </x:c>
      <x:c r="AH2498" s="1" t="str">
        <x:f>IF(I2498=0,"Not contacted",IF(INDEX('Staff Review'!$J$8:$J$507,I2498)="","Not contacted",INDEX('Staff Review'!$J$8:$J$507,I2498)))</x:f>
        <x:v>Not contacted</x:v>
      </x:c>
      <x:c r="AI2498" s="1" t="str">
        <x:f>IF(I2498=0,"No",IF(AND(COUNT(INDEX('Staff Review'!$D$8:$D$507,I2498))=1,INDEX('Staff Review'!$D$8:$D$507,I2498)&gt;=0,COUNT(INDEX('Staff Review'!$E$8:$E$507,I2498))=1,INDEX('Staff Review'!$E$8:$E$507,I2498)&gt;0,INDEX('Staff Review'!$E$8:$E$507,I2498)&lt;='Top 15'!$E$5,'Top 15'!$E$5-INDEX('Staff Review'!$E$8:$E$507,I2498)&lt;='Top 15'!$H$5,LEN(INDEX('Staff Review'!$H$8:$H$507,I2498))&gt;0),"Yes","No"))</x:f>
        <x:v>No</x:v>
      </x:c>
      <x:c r="AJ2498" s="1" t="str">
        <x:f>IF(I2498=0,"No",IF(COUNT(INDEX('Staff Review'!$F$8:$F$507,I2498))&lt;&gt;1,"No",IF(AND(INDEX('Staff Review'!$F$8:$F$507,I2498)&gt;=0,MOD(INDEX('Staff Review'!$F$8:$F$507,I2498),1)=0,COUNT(INDEX('Staff Review'!$G$8:$G$507,I2498))=1,INDEX('Staff Review'!$G$8:$G$507,I2498)&gt;0,INDEX('Staff Review'!$G$8:$G$507,I2498)&lt;='Top 15'!$E$5,'Top 15'!$E$5-INDEX('Staff Review'!$G$8:$G$507,I2498)&lt;='Top 15'!$H$5,LEN(INDEX('Staff Review'!$H$8:$H$507,I2498))&gt;0),"Yes","No")))</x:f>
        <x:v>No</x:v>
      </x:c>
      <x:c r="AK2498" s="1" t="n">
        <x:f>IF(A2498="",0,COUNTIFS($A$2:$A$501,A2498))</x:f>
        <x:v>0</x:v>
      </x:c>
      <x:c r="AL2498" s="1" t="n">
        <x:f>IF(V2498="Candidate",1,0)</x:f>
        <x:v>0</x:v>
      </x:c>
      <x:c r="AM2498" s="1" t="n">
        <x:f>IF(A2498="",0,VALUE(A2498))</x:f>
        <x:v>0</x:v>
      </x:c>
      <x:c r="AN2498" s="1" t="n">
        <x:f>IF(OR(A2498="",COUNTIFS($T$41:$T$540,A2498)&lt;&gt;1),0,MATCH(A2498,$T$41:$T$540,0))</x:f>
        <x:v>0</x:v>
      </x:c>
      <x:c r="AO2498" t="n">
        <x:f>IF(ISNUMBER(W2498),W2498,10000+AM2498)</x:f>
        <x:v>10000</x:v>
      </x:c>
    </x:row>
    <x:row r="2499" ht="22" customHeight="1">
      <x:c r="A2499" s="1" t="str">
        <x:f>IF(A450="","",A450)</x:f>
      </x:c>
      <x:c r="B2499" s="1" t="str">
        <x:f>IF(A2499="","",B450)</x:f>
      </x:c>
      <x:c r="C2499" s="1" t="str">
        <x:f>IF(A2499="","",C450)</x:f>
      </x:c>
      <x:c r="D2499" s="1" t="str">
        <x:f>IF(A2499="","",E450)</x:f>
      </x:c>
      <x:c r="E2499" s="1" t="str">
        <x:f>IF(A2499="","",H450)</x:f>
      </x:c>
      <x:c r="F2499" s="1" t="str">
        <x:f>IF(ISNUMBER(K450),K450,"")</x:f>
      </x:c>
      <x:c r="G2499" s="1" t="str">
        <x:f>IF(ISNUMBER(L450),L450,"")</x:f>
      </x:c>
      <x:c r="H2499" s="1" t="str">
        <x:f>IF(A2499="","",IF(AND(UPPER(G450)="PHILADELPHIA",OR(C2499="District",AND(C2499="Charter",D450="Yes"))),"Yes","No"))</x:f>
      </x:c>
      <x:c r="I2499" s="1" t="n">
        <x:f>IF(OR(A2499="",COUNTIFS('Staff Review'!$A$8:$A$507,A2499)&lt;&gt;1),0,MATCH(A2499,'Staff Review'!$A$8:$A$507,0))</x:f>
        <x:v>0</x:v>
      </x:c>
      <x:c r="J2499" s="1" t="str">
        <x:f>IF(I2499=0,"No",IF(INDEX('Staff Review'!$C$8:$C$507,I2499)="Yes","Yes","No"))</x:f>
        <x:v>No</x:v>
      </x:c>
      <x:c r="K2499" s="1" t="str">
        <x:f>IF(AI2499="Yes",INDEX('Staff Review'!$D$8:$D$507,I2499),IF(AB2499=0,"",IF(COUNT(INDEX($C$1531:$C$2030,AB2499))=1,INDEX($C$1531:$C$2030,AB2499),"")))</x:f>
      </x:c>
      <x:c r="L2499" s="1" t="str">
        <x:f>IF(AJ2499="Yes",INDEX('Staff Review'!$F$8:$F$507,I2499),IF(AB2499=0,"",IF(COUNT(INDEX($G$1531:$G$2030,AB2499))=1,INDEX($G$1531:$G$2030,AB2499),"")))</x:f>
      </x:c>
      <x:c r="M2499" s="1" t="str">
        <x:f>IF(A2499="","",IF(AI2499="Yes","Verified","Listed"))</x:f>
      </x:c>
      <x:c r="N2499" s="1" t="str">
        <x:f>IF(A2499="","",IF(AJ2499="Yes","Verified","Listed"))</x:f>
      </x:c>
      <x:c r="O2499" s="1" t="str">
        <x:f>IF(AND(ISNUMBER(G2499),G2499&gt;=0,G2499&lt;=1),IF(G2499&gt;=0.9,30,IF(G2499&gt;=0.8,25,IF(G2499&gt;=0.7,20,IF(G2499&gt;=0.6,15,IF(G2499&gt;=0.5,10,IF(G2499&gt;=0.4,5,0)))))),"")</x:f>
      </x:c>
      <x:c r="P2499" s="1" t="str">
        <x:f>IF(ISNUMBER(K2499),IF(K2499&lt;0,"",IF(K2499&gt;1,25,IF(K2499&gt;=0.75,20,IF(K2499&gt;=0.5,15,IF(K2499&gt;=0.25,10,5))))),"")</x:f>
      </x:c>
      <x:c r="Q2499" s="1" t="str">
        <x:f>IF(NOT(ISNUMBER(L2499)),"",IF(AND(L2499&gt;=0,MOD(L2499,1)=0),MAX(0,25-5*L2499),""))</x:f>
      </x:c>
      <x:c r="R2499" s="1" t="str">
        <x:f>IF(NOT(ISNUMBER(F2499)),"",IF(AND(F2499&gt;0,MOD(F2499,1)=0),IF(F2499&gt;=700,5,IF(F2499&gt;=500,4,IF(F2499&gt;=350,3,IF(F2499&gt;=200,2,1)))),""))</x:f>
      </x:c>
      <x:c r="S2499" s="1" t="str">
        <x:f>IF(COUNT(O2499:R2499)=4,SUM(O2499:R2499),"")</x:f>
      </x:c>
      <x:c r="T2499" s="1" t="str">
        <x:f>IF(OR(COUNT(O2499:R2499)&lt;&gt;4,COUNT('Top 15'!$B$35:$E$35)&lt;&gt;4,MIN('Top 15'!$B$35:$E$35)&lt;0,SUM('Top 15'!$B$35:$E$35)&lt;=0),"",ROUND(85*(O2499/30*'Top 15'!$B$35+P2499/25*'Top 15'!$C$35+Q2499/25*'Top 15'!$D$35+R2499/5*'Top 15'!$E$35)/SUM('Top 15'!$B$35:$E$35),6))</x:f>
      </x:c>
      <x:c r="U2499" s="1" t="str">
        <x:f>IF(A2499="","",IF(AND(M2499="Verified",N2499="Verified"),"Verified",IF(AND(M2499="Listed",N2499="Listed"),"Listed","Mixed")))</x:f>
      </x:c>
      <x:c r="V2499" s="1" t="str">
        <x:f>IF(A2499="","",IF(AK2499&lt;&gt;1,"Duplicate source ID",IF(COUNTIFS('Staff Review'!$A$8:$A$507,A2499)&gt;1,"Duplicate review ID",IF(H2499&lt;&gt;"Yes","Outside scope",IF(J2499="Yes","Already served",IF(NOT(ISNUMBER(T2499)),"Missing data","Candidate"))))))</x:f>
      </x:c>
      <x:c r="W2499" s="1" t="str">
        <x:f>IF(AL2499=0,"",1+COUNTIFS($AL$2051:$AL$2550,1,$T$2051:$T$2550,"&gt;"&amp;T2499)+COUNTIFS($AL$2051:$AL$2550,1,$T$2051:$T$2550,T2499,$G$2051:$G$2550,"&gt;"&amp;G2499)+COUNTIFS($AL$2051:$AL$2550,1,$T$2051:$T$2550,T2499,$G$2051:$G$2550,G2499,$F$2051:$F$2550,"&gt;"&amp;F2499)+COUNTIFS($AL$2051:$AL$2550,1,$T$2051:$T$2550,T2499,$G$2051:$G$2550,G2499,$F$2051:$F$2550,F2499,$AM$2051:$AM$2550,"&lt;"&amp;AM2499))</x:f>
      </x:c>
      <x:c r="X2499" s="1" t="str">
        <x:f>IF(AL2499=0,"",1+COUNTIFS($AL$2051:$AL$2550,1,$T$2051:$T$2550,"&gt;"&amp;T2499))</x:f>
      </x:c>
      <x:c r="Y2499" s="1" t="n">
        <x:f>IF(AND(H2499="Yes",OR(LEN('School Search'!$B$5)=0,ISNUMBER(SEARCH('School Search'!$B$5,B2499&amp;" "&amp;E2499&amp;" "&amp;A2499))),OR('School Search'!$D$5="All",C2499='School Search'!$D$5),OR('School Search'!$G$5="All eligible",AND('School Search'!$G$5="Not marked served",J2499&lt;&gt;"Yes"),AND('School Search'!$G$5="Missing data",V2499="Missing data"),AND('School Search'!$G$5="Marked served",J2499="Yes"))),1,0)</x:f>
        <x:v>0</x:v>
      </x:c>
      <x:c r="Z2499" s="1" t="str">
        <x:f>IF(Y2499=0,"",COUNTIFS($Y$2051:$Y$2550,1,$AO$2051:$AO$2550,"&lt;"&amp;AO2499)+COUNTIFS($Y$2051:Y2499,1,$AO$2051:AO2499,AO2499))</x:f>
      </x:c>
      <x:c r="AA2499" s="1" t="str">
        <x:f>IF(NOT(ISNUMBER(S2499)),"Missing demographic or access input",TEXT(G2499,"0%")&amp;" economic need; "&amp;TEXT(K2499,"0.00")&amp;" mi fresh access; "&amp;L2499&amp;" nearby resources")</x:f>
        <x:v>Missing demographic or access input</x:v>
      </x:c>
      <x:c r="AB2499" s="1" t="n">
        <x:f>IF(OR(A2499="",COUNTIFS($A$1531:$A$2030,A2499)&lt;&gt;1),0,MATCH(A2499,$A$1531:$A$2030,0))</x:f>
        <x:v>0</x:v>
      </x:c>
      <x:c r="AC2499" s="1" t="str">
        <x:f>IF(AB2499=0,"",INDEX($E$1531:$E$2030,AB2499))</x:f>
      </x:c>
      <x:c r="AD2499" s="1" t="str">
        <x:f>IF(AB2499=0,"",INDEX($F$1531:$F$2030,AB2499))</x:f>
      </x:c>
      <x:c r="AE2499" s="1" t="str">
        <x:f>IF(A2499="","",F450)</x:f>
      </x:c>
      <x:c r="AF2499" s="1" t="str">
        <x:f>IF(ISNUMBER(I450),I450,"")</x:f>
      </x:c>
      <x:c r="AG2499" s="1" t="str">
        <x:f>IF(ISNUMBER(J450),J450,"")</x:f>
      </x:c>
      <x:c r="AH2499" s="1" t="str">
        <x:f>IF(I2499=0,"Not contacted",IF(INDEX('Staff Review'!$J$8:$J$507,I2499)="","Not contacted",INDEX('Staff Review'!$J$8:$J$507,I2499)))</x:f>
        <x:v>Not contacted</x:v>
      </x:c>
      <x:c r="AI2499" s="1" t="str">
        <x:f>IF(I2499=0,"No",IF(AND(COUNT(INDEX('Staff Review'!$D$8:$D$507,I2499))=1,INDEX('Staff Review'!$D$8:$D$507,I2499)&gt;=0,COUNT(INDEX('Staff Review'!$E$8:$E$507,I2499))=1,INDEX('Staff Review'!$E$8:$E$507,I2499)&gt;0,INDEX('Staff Review'!$E$8:$E$507,I2499)&lt;='Top 15'!$E$5,'Top 15'!$E$5-INDEX('Staff Review'!$E$8:$E$507,I2499)&lt;='Top 15'!$H$5,LEN(INDEX('Staff Review'!$H$8:$H$507,I2499))&gt;0),"Yes","No"))</x:f>
        <x:v>No</x:v>
      </x:c>
      <x:c r="AJ2499" s="1" t="str">
        <x:f>IF(I2499=0,"No",IF(COUNT(INDEX('Staff Review'!$F$8:$F$507,I2499))&lt;&gt;1,"No",IF(AND(INDEX('Staff Review'!$F$8:$F$507,I2499)&gt;=0,MOD(INDEX('Staff Review'!$F$8:$F$507,I2499),1)=0,COUNT(INDEX('Staff Review'!$G$8:$G$507,I2499))=1,INDEX('Staff Review'!$G$8:$G$507,I2499)&gt;0,INDEX('Staff Review'!$G$8:$G$507,I2499)&lt;='Top 15'!$E$5,'Top 15'!$E$5-INDEX('Staff Review'!$G$8:$G$507,I2499)&lt;='Top 15'!$H$5,LEN(INDEX('Staff Review'!$H$8:$H$507,I2499))&gt;0),"Yes","No")))</x:f>
        <x:v>No</x:v>
      </x:c>
      <x:c r="AK2499" s="1" t="n">
        <x:f>IF(A2499="",0,COUNTIFS($A$2:$A$501,A2499))</x:f>
        <x:v>0</x:v>
      </x:c>
      <x:c r="AL2499" s="1" t="n">
        <x:f>IF(V2499="Candidate",1,0)</x:f>
        <x:v>0</x:v>
      </x:c>
      <x:c r="AM2499" s="1" t="n">
        <x:f>IF(A2499="",0,VALUE(A2499))</x:f>
        <x:v>0</x:v>
      </x:c>
      <x:c r="AN2499" s="1" t="n">
        <x:f>IF(OR(A2499="",COUNTIFS($T$41:$T$540,A2499)&lt;&gt;1),0,MATCH(A2499,$T$41:$T$540,0))</x:f>
        <x:v>0</x:v>
      </x:c>
      <x:c r="AO2499" t="n">
        <x:f>IF(ISNUMBER(W2499),W2499,10000+AM2499)</x:f>
        <x:v>10000</x:v>
      </x:c>
    </x:row>
    <x:row r="2500" ht="22" customHeight="1">
      <x:c r="A2500" s="1" t="str">
        <x:f>IF(A451="","",A451)</x:f>
      </x:c>
      <x:c r="B2500" s="1" t="str">
        <x:f>IF(A2500="","",B451)</x:f>
      </x:c>
      <x:c r="C2500" s="1" t="str">
        <x:f>IF(A2500="","",C451)</x:f>
      </x:c>
      <x:c r="D2500" s="1" t="str">
        <x:f>IF(A2500="","",E451)</x:f>
      </x:c>
      <x:c r="E2500" s="1" t="str">
        <x:f>IF(A2500="","",H451)</x:f>
      </x:c>
      <x:c r="F2500" s="1" t="str">
        <x:f>IF(ISNUMBER(K451),K451,"")</x:f>
      </x:c>
      <x:c r="G2500" s="1" t="str">
        <x:f>IF(ISNUMBER(L451),L451,"")</x:f>
      </x:c>
      <x:c r="H2500" s="1" t="str">
        <x:f>IF(A2500="","",IF(AND(UPPER(G451)="PHILADELPHIA",OR(C2500="District",AND(C2500="Charter",D451="Yes"))),"Yes","No"))</x:f>
      </x:c>
      <x:c r="I2500" s="1" t="n">
        <x:f>IF(OR(A2500="",COUNTIFS('Staff Review'!$A$8:$A$507,A2500)&lt;&gt;1),0,MATCH(A2500,'Staff Review'!$A$8:$A$507,0))</x:f>
        <x:v>0</x:v>
      </x:c>
      <x:c r="J2500" s="1" t="str">
        <x:f>IF(I2500=0,"No",IF(INDEX('Staff Review'!$C$8:$C$507,I2500)="Yes","Yes","No"))</x:f>
        <x:v>No</x:v>
      </x:c>
      <x:c r="K2500" s="1" t="str">
        <x:f>IF(AI2500="Yes",INDEX('Staff Review'!$D$8:$D$507,I2500),IF(AB2500=0,"",IF(COUNT(INDEX($C$1531:$C$2030,AB2500))=1,INDEX($C$1531:$C$2030,AB2500),"")))</x:f>
      </x:c>
      <x:c r="L2500" s="1" t="str">
        <x:f>IF(AJ2500="Yes",INDEX('Staff Review'!$F$8:$F$507,I2500),IF(AB2500=0,"",IF(COUNT(INDEX($G$1531:$G$2030,AB2500))=1,INDEX($G$1531:$G$2030,AB2500),"")))</x:f>
      </x:c>
      <x:c r="M2500" s="1" t="str">
        <x:f>IF(A2500="","",IF(AI2500="Yes","Verified","Listed"))</x:f>
      </x:c>
      <x:c r="N2500" s="1" t="str">
        <x:f>IF(A2500="","",IF(AJ2500="Yes","Verified","Listed"))</x:f>
      </x:c>
      <x:c r="O2500" s="1" t="str">
        <x:f>IF(AND(ISNUMBER(G2500),G2500&gt;=0,G2500&lt;=1),IF(G2500&gt;=0.9,30,IF(G2500&gt;=0.8,25,IF(G2500&gt;=0.7,20,IF(G2500&gt;=0.6,15,IF(G2500&gt;=0.5,10,IF(G2500&gt;=0.4,5,0)))))),"")</x:f>
      </x:c>
      <x:c r="P2500" s="1" t="str">
        <x:f>IF(ISNUMBER(K2500),IF(K2500&lt;0,"",IF(K2500&gt;1,25,IF(K2500&gt;=0.75,20,IF(K2500&gt;=0.5,15,IF(K2500&gt;=0.25,10,5))))),"")</x:f>
      </x:c>
      <x:c r="Q2500" s="1" t="str">
        <x:f>IF(NOT(ISNUMBER(L2500)),"",IF(AND(L2500&gt;=0,MOD(L2500,1)=0),MAX(0,25-5*L2500),""))</x:f>
      </x:c>
      <x:c r="R2500" s="1" t="str">
        <x:f>IF(NOT(ISNUMBER(F2500)),"",IF(AND(F2500&gt;0,MOD(F2500,1)=0),IF(F2500&gt;=700,5,IF(F2500&gt;=500,4,IF(F2500&gt;=350,3,IF(F2500&gt;=200,2,1)))),""))</x:f>
      </x:c>
      <x:c r="S2500" s="1" t="str">
        <x:f>IF(COUNT(O2500:R2500)=4,SUM(O2500:R2500),"")</x:f>
      </x:c>
      <x:c r="T2500" s="1" t="str">
        <x:f>IF(OR(COUNT(O2500:R2500)&lt;&gt;4,COUNT('Top 15'!$B$35:$E$35)&lt;&gt;4,MIN('Top 15'!$B$35:$E$35)&lt;0,SUM('Top 15'!$B$35:$E$35)&lt;=0),"",ROUND(85*(O2500/30*'Top 15'!$B$35+P2500/25*'Top 15'!$C$35+Q2500/25*'Top 15'!$D$35+R2500/5*'Top 15'!$E$35)/SUM('Top 15'!$B$35:$E$35),6))</x:f>
      </x:c>
      <x:c r="U2500" s="1" t="str">
        <x:f>IF(A2500="","",IF(AND(M2500="Verified",N2500="Verified"),"Verified",IF(AND(M2500="Listed",N2500="Listed"),"Listed","Mixed")))</x:f>
      </x:c>
      <x:c r="V2500" s="1" t="str">
        <x:f>IF(A2500="","",IF(AK2500&lt;&gt;1,"Duplicate source ID",IF(COUNTIFS('Staff Review'!$A$8:$A$507,A2500)&gt;1,"Duplicate review ID",IF(H2500&lt;&gt;"Yes","Outside scope",IF(J2500="Yes","Already served",IF(NOT(ISNUMBER(T2500)),"Missing data","Candidate"))))))</x:f>
      </x:c>
      <x:c r="W2500" s="1" t="str">
        <x:f>IF(AL2500=0,"",1+COUNTIFS($AL$2051:$AL$2550,1,$T$2051:$T$2550,"&gt;"&amp;T2500)+COUNTIFS($AL$2051:$AL$2550,1,$T$2051:$T$2550,T2500,$G$2051:$G$2550,"&gt;"&amp;G2500)+COUNTIFS($AL$2051:$AL$2550,1,$T$2051:$T$2550,T2500,$G$2051:$G$2550,G2500,$F$2051:$F$2550,"&gt;"&amp;F2500)+COUNTIFS($AL$2051:$AL$2550,1,$T$2051:$T$2550,T2500,$G$2051:$G$2550,G2500,$F$2051:$F$2550,F2500,$AM$2051:$AM$2550,"&lt;"&amp;AM2500))</x:f>
      </x:c>
      <x:c r="X2500" s="1" t="str">
        <x:f>IF(AL2500=0,"",1+COUNTIFS($AL$2051:$AL$2550,1,$T$2051:$T$2550,"&gt;"&amp;T2500))</x:f>
      </x:c>
      <x:c r="Y2500" s="1" t="n">
        <x:f>IF(AND(H2500="Yes",OR(LEN('School Search'!$B$5)=0,ISNUMBER(SEARCH('School Search'!$B$5,B2500&amp;" "&amp;E2500&amp;" "&amp;A2500))),OR('School Search'!$D$5="All",C2500='School Search'!$D$5),OR('School Search'!$G$5="All eligible",AND('School Search'!$G$5="Not marked served",J2500&lt;&gt;"Yes"),AND('School Search'!$G$5="Missing data",V2500="Missing data"),AND('School Search'!$G$5="Marked served",J2500="Yes"))),1,0)</x:f>
        <x:v>0</x:v>
      </x:c>
      <x:c r="Z2500" s="1" t="str">
        <x:f>IF(Y2500=0,"",COUNTIFS($Y$2051:$Y$2550,1,$AO$2051:$AO$2550,"&lt;"&amp;AO2500)+COUNTIFS($Y$2051:Y2500,1,$AO$2051:AO2500,AO2500))</x:f>
      </x:c>
      <x:c r="AA2500" s="1" t="str">
        <x:f>IF(NOT(ISNUMBER(S2500)),"Missing demographic or access input",TEXT(G2500,"0%")&amp;" economic need; "&amp;TEXT(K2500,"0.00")&amp;" mi fresh access; "&amp;L2500&amp;" nearby resources")</x:f>
        <x:v>Missing demographic or access input</x:v>
      </x:c>
      <x:c r="AB2500" s="1" t="n">
        <x:f>IF(OR(A2500="",COUNTIFS($A$1531:$A$2030,A2500)&lt;&gt;1),0,MATCH(A2500,$A$1531:$A$2030,0))</x:f>
        <x:v>0</x:v>
      </x:c>
      <x:c r="AC2500" s="1" t="str">
        <x:f>IF(AB2500=0,"",INDEX($E$1531:$E$2030,AB2500))</x:f>
      </x:c>
      <x:c r="AD2500" s="1" t="str">
        <x:f>IF(AB2500=0,"",INDEX($F$1531:$F$2030,AB2500))</x:f>
      </x:c>
      <x:c r="AE2500" s="1" t="str">
        <x:f>IF(A2500="","",F451)</x:f>
      </x:c>
      <x:c r="AF2500" s="1" t="str">
        <x:f>IF(ISNUMBER(I451),I451,"")</x:f>
      </x:c>
      <x:c r="AG2500" s="1" t="str">
        <x:f>IF(ISNUMBER(J451),J451,"")</x:f>
      </x:c>
      <x:c r="AH2500" s="1" t="str">
        <x:f>IF(I2500=0,"Not contacted",IF(INDEX('Staff Review'!$J$8:$J$507,I2500)="","Not contacted",INDEX('Staff Review'!$J$8:$J$507,I2500)))</x:f>
        <x:v>Not contacted</x:v>
      </x:c>
      <x:c r="AI2500" s="1" t="str">
        <x:f>IF(I2500=0,"No",IF(AND(COUNT(INDEX('Staff Review'!$D$8:$D$507,I2500))=1,INDEX('Staff Review'!$D$8:$D$507,I2500)&gt;=0,COUNT(INDEX('Staff Review'!$E$8:$E$507,I2500))=1,INDEX('Staff Review'!$E$8:$E$507,I2500)&gt;0,INDEX('Staff Review'!$E$8:$E$507,I2500)&lt;='Top 15'!$E$5,'Top 15'!$E$5-INDEX('Staff Review'!$E$8:$E$507,I2500)&lt;='Top 15'!$H$5,LEN(INDEX('Staff Review'!$H$8:$H$507,I2500))&gt;0),"Yes","No"))</x:f>
        <x:v>No</x:v>
      </x:c>
      <x:c r="AJ2500" s="1" t="str">
        <x:f>IF(I2500=0,"No",IF(COUNT(INDEX('Staff Review'!$F$8:$F$507,I2500))&lt;&gt;1,"No",IF(AND(INDEX('Staff Review'!$F$8:$F$507,I2500)&gt;=0,MOD(INDEX('Staff Review'!$F$8:$F$507,I2500),1)=0,COUNT(INDEX('Staff Review'!$G$8:$G$507,I2500))=1,INDEX('Staff Review'!$G$8:$G$507,I2500)&gt;0,INDEX('Staff Review'!$G$8:$G$507,I2500)&lt;='Top 15'!$E$5,'Top 15'!$E$5-INDEX('Staff Review'!$G$8:$G$507,I2500)&lt;='Top 15'!$H$5,LEN(INDEX('Staff Review'!$H$8:$H$507,I2500))&gt;0),"Yes","No")))</x:f>
        <x:v>No</x:v>
      </x:c>
      <x:c r="AK2500" s="1" t="n">
        <x:f>IF(A2500="",0,COUNTIFS($A$2:$A$501,A2500))</x:f>
        <x:v>0</x:v>
      </x:c>
      <x:c r="AL2500" s="1" t="n">
        <x:f>IF(V2500="Candidate",1,0)</x:f>
        <x:v>0</x:v>
      </x:c>
      <x:c r="AM2500" s="1" t="n">
        <x:f>IF(A2500="",0,VALUE(A2500))</x:f>
        <x:v>0</x:v>
      </x:c>
      <x:c r="AN2500" s="1" t="n">
        <x:f>IF(OR(A2500="",COUNTIFS($T$41:$T$540,A2500)&lt;&gt;1),0,MATCH(A2500,$T$41:$T$540,0))</x:f>
        <x:v>0</x:v>
      </x:c>
      <x:c r="AO2500" t="n">
        <x:f>IF(ISNUMBER(W2500),W2500,10000+AM2500)</x:f>
        <x:v>10000</x:v>
      </x:c>
    </x:row>
    <x:row r="2501" ht="22" customHeight="1">
      <x:c r="A2501" s="1" t="str">
        <x:f>IF(A452="","",A452)</x:f>
      </x:c>
      <x:c r="B2501" s="1" t="str">
        <x:f>IF(A2501="","",B452)</x:f>
      </x:c>
      <x:c r="C2501" s="1" t="str">
        <x:f>IF(A2501="","",C452)</x:f>
      </x:c>
      <x:c r="D2501" s="1" t="str">
        <x:f>IF(A2501="","",E452)</x:f>
      </x:c>
      <x:c r="E2501" s="1" t="str">
        <x:f>IF(A2501="","",H452)</x:f>
      </x:c>
      <x:c r="F2501" s="1" t="str">
        <x:f>IF(ISNUMBER(K452),K452,"")</x:f>
      </x:c>
      <x:c r="G2501" s="1" t="str">
        <x:f>IF(ISNUMBER(L452),L452,"")</x:f>
      </x:c>
      <x:c r="H2501" s="1" t="str">
        <x:f>IF(A2501="","",IF(AND(UPPER(G452)="PHILADELPHIA",OR(C2501="District",AND(C2501="Charter",D452="Yes"))),"Yes","No"))</x:f>
      </x:c>
      <x:c r="I2501" s="1" t="n">
        <x:f>IF(OR(A2501="",COUNTIFS('Staff Review'!$A$8:$A$507,A2501)&lt;&gt;1),0,MATCH(A2501,'Staff Review'!$A$8:$A$507,0))</x:f>
        <x:v>0</x:v>
      </x:c>
      <x:c r="J2501" s="1" t="str">
        <x:f>IF(I2501=0,"No",IF(INDEX('Staff Review'!$C$8:$C$507,I2501)="Yes","Yes","No"))</x:f>
        <x:v>No</x:v>
      </x:c>
      <x:c r="K2501" s="1" t="str">
        <x:f>IF(AI2501="Yes",INDEX('Staff Review'!$D$8:$D$507,I2501),IF(AB2501=0,"",IF(COUNT(INDEX($C$1531:$C$2030,AB2501))=1,INDEX($C$1531:$C$2030,AB2501),"")))</x:f>
      </x:c>
      <x:c r="L2501" s="1" t="str">
        <x:f>IF(AJ2501="Yes",INDEX('Staff Review'!$F$8:$F$507,I2501),IF(AB2501=0,"",IF(COUNT(INDEX($G$1531:$G$2030,AB2501))=1,INDEX($G$1531:$G$2030,AB2501),"")))</x:f>
      </x:c>
      <x:c r="M2501" s="1" t="str">
        <x:f>IF(A2501="","",IF(AI2501="Yes","Verified","Listed"))</x:f>
      </x:c>
      <x:c r="N2501" s="1" t="str">
        <x:f>IF(A2501="","",IF(AJ2501="Yes","Verified","Listed"))</x:f>
      </x:c>
      <x:c r="O2501" s="1" t="str">
        <x:f>IF(AND(ISNUMBER(G2501),G2501&gt;=0,G2501&lt;=1),IF(G2501&gt;=0.9,30,IF(G2501&gt;=0.8,25,IF(G2501&gt;=0.7,20,IF(G2501&gt;=0.6,15,IF(G2501&gt;=0.5,10,IF(G2501&gt;=0.4,5,0)))))),"")</x:f>
      </x:c>
      <x:c r="P2501" s="1" t="str">
        <x:f>IF(ISNUMBER(K2501),IF(K2501&lt;0,"",IF(K2501&gt;1,25,IF(K2501&gt;=0.75,20,IF(K2501&gt;=0.5,15,IF(K2501&gt;=0.25,10,5))))),"")</x:f>
      </x:c>
      <x:c r="Q2501" s="1" t="str">
        <x:f>IF(NOT(ISNUMBER(L2501)),"",IF(AND(L2501&gt;=0,MOD(L2501,1)=0),MAX(0,25-5*L2501),""))</x:f>
      </x:c>
      <x:c r="R2501" s="1" t="str">
        <x:f>IF(NOT(ISNUMBER(F2501)),"",IF(AND(F2501&gt;0,MOD(F2501,1)=0),IF(F2501&gt;=700,5,IF(F2501&gt;=500,4,IF(F2501&gt;=350,3,IF(F2501&gt;=200,2,1)))),""))</x:f>
      </x:c>
      <x:c r="S2501" s="1" t="str">
        <x:f>IF(COUNT(O2501:R2501)=4,SUM(O2501:R2501),"")</x:f>
      </x:c>
      <x:c r="T2501" s="1" t="str">
        <x:f>IF(OR(COUNT(O2501:R2501)&lt;&gt;4,COUNT('Top 15'!$B$35:$E$35)&lt;&gt;4,MIN('Top 15'!$B$35:$E$35)&lt;0,SUM('Top 15'!$B$35:$E$35)&lt;=0),"",ROUND(85*(O2501/30*'Top 15'!$B$35+P2501/25*'Top 15'!$C$35+Q2501/25*'Top 15'!$D$35+R2501/5*'Top 15'!$E$35)/SUM('Top 15'!$B$35:$E$35),6))</x:f>
      </x:c>
      <x:c r="U2501" s="1" t="str">
        <x:f>IF(A2501="","",IF(AND(M2501="Verified",N2501="Verified"),"Verified",IF(AND(M2501="Listed",N2501="Listed"),"Listed","Mixed")))</x:f>
      </x:c>
      <x:c r="V2501" s="1" t="str">
        <x:f>IF(A2501="","",IF(AK2501&lt;&gt;1,"Duplicate source ID",IF(COUNTIFS('Staff Review'!$A$8:$A$507,A2501)&gt;1,"Duplicate review ID",IF(H2501&lt;&gt;"Yes","Outside scope",IF(J2501="Yes","Already served",IF(NOT(ISNUMBER(T2501)),"Missing data","Candidate"))))))</x:f>
      </x:c>
      <x:c r="W2501" s="1" t="str">
        <x:f>IF(AL2501=0,"",1+COUNTIFS($AL$2051:$AL$2550,1,$T$2051:$T$2550,"&gt;"&amp;T2501)+COUNTIFS($AL$2051:$AL$2550,1,$T$2051:$T$2550,T2501,$G$2051:$G$2550,"&gt;"&amp;G2501)+COUNTIFS($AL$2051:$AL$2550,1,$T$2051:$T$2550,T2501,$G$2051:$G$2550,G2501,$F$2051:$F$2550,"&gt;"&amp;F2501)+COUNTIFS($AL$2051:$AL$2550,1,$T$2051:$T$2550,T2501,$G$2051:$G$2550,G2501,$F$2051:$F$2550,F2501,$AM$2051:$AM$2550,"&lt;"&amp;AM2501))</x:f>
      </x:c>
      <x:c r="X2501" s="1" t="str">
        <x:f>IF(AL2501=0,"",1+COUNTIFS($AL$2051:$AL$2550,1,$T$2051:$T$2550,"&gt;"&amp;T2501))</x:f>
      </x:c>
      <x:c r="Y2501" s="1" t="n">
        <x:f>IF(AND(H2501="Yes",OR(LEN('School Search'!$B$5)=0,ISNUMBER(SEARCH('School Search'!$B$5,B2501&amp;" "&amp;E2501&amp;" "&amp;A2501))),OR('School Search'!$D$5="All",C2501='School Search'!$D$5),OR('School Search'!$G$5="All eligible",AND('School Search'!$G$5="Not marked served",J2501&lt;&gt;"Yes"),AND('School Search'!$G$5="Missing data",V2501="Missing data"),AND('School Search'!$G$5="Marked served",J2501="Yes"))),1,0)</x:f>
        <x:v>0</x:v>
      </x:c>
      <x:c r="Z2501" s="1" t="str">
        <x:f>IF(Y2501=0,"",COUNTIFS($Y$2051:$Y$2550,1,$AO$2051:$AO$2550,"&lt;"&amp;AO2501)+COUNTIFS($Y$2051:Y2501,1,$AO$2051:AO2501,AO2501))</x:f>
      </x:c>
      <x:c r="AA2501" s="1" t="str">
        <x:f>IF(NOT(ISNUMBER(S2501)),"Missing demographic or access input",TEXT(G2501,"0%")&amp;" economic need; "&amp;TEXT(K2501,"0.00")&amp;" mi fresh access; "&amp;L2501&amp;" nearby resources")</x:f>
        <x:v>Missing demographic or access input</x:v>
      </x:c>
      <x:c r="AB2501" s="1" t="n">
        <x:f>IF(OR(A2501="",COUNTIFS($A$1531:$A$2030,A2501)&lt;&gt;1),0,MATCH(A2501,$A$1531:$A$2030,0))</x:f>
        <x:v>0</x:v>
      </x:c>
      <x:c r="AC2501" s="1" t="str">
        <x:f>IF(AB2501=0,"",INDEX($E$1531:$E$2030,AB2501))</x:f>
      </x:c>
      <x:c r="AD2501" s="1" t="str">
        <x:f>IF(AB2501=0,"",INDEX($F$1531:$F$2030,AB2501))</x:f>
      </x:c>
      <x:c r="AE2501" s="1" t="str">
        <x:f>IF(A2501="","",F452)</x:f>
      </x:c>
      <x:c r="AF2501" s="1" t="str">
        <x:f>IF(ISNUMBER(I452),I452,"")</x:f>
      </x:c>
      <x:c r="AG2501" s="1" t="str">
        <x:f>IF(ISNUMBER(J452),J452,"")</x:f>
      </x:c>
      <x:c r="AH2501" s="1" t="str">
        <x:f>IF(I2501=0,"Not contacted",IF(INDEX('Staff Review'!$J$8:$J$507,I2501)="","Not contacted",INDEX('Staff Review'!$J$8:$J$507,I2501)))</x:f>
        <x:v>Not contacted</x:v>
      </x:c>
      <x:c r="AI2501" s="1" t="str">
        <x:f>IF(I2501=0,"No",IF(AND(COUNT(INDEX('Staff Review'!$D$8:$D$507,I2501))=1,INDEX('Staff Review'!$D$8:$D$507,I2501)&gt;=0,COUNT(INDEX('Staff Review'!$E$8:$E$507,I2501))=1,INDEX('Staff Review'!$E$8:$E$507,I2501)&gt;0,INDEX('Staff Review'!$E$8:$E$507,I2501)&lt;='Top 15'!$E$5,'Top 15'!$E$5-INDEX('Staff Review'!$E$8:$E$507,I2501)&lt;='Top 15'!$H$5,LEN(INDEX('Staff Review'!$H$8:$H$507,I2501))&gt;0),"Yes","No"))</x:f>
        <x:v>No</x:v>
      </x:c>
      <x:c r="AJ2501" s="1" t="str">
        <x:f>IF(I2501=0,"No",IF(COUNT(INDEX('Staff Review'!$F$8:$F$507,I2501))&lt;&gt;1,"No",IF(AND(INDEX('Staff Review'!$F$8:$F$507,I2501)&gt;=0,MOD(INDEX('Staff Review'!$F$8:$F$507,I2501),1)=0,COUNT(INDEX('Staff Review'!$G$8:$G$507,I2501))=1,INDEX('Staff Review'!$G$8:$G$507,I2501)&gt;0,INDEX('Staff Review'!$G$8:$G$507,I2501)&lt;='Top 15'!$E$5,'Top 15'!$E$5-INDEX('Staff Review'!$G$8:$G$507,I2501)&lt;='Top 15'!$H$5,LEN(INDEX('Staff Review'!$H$8:$H$507,I2501))&gt;0),"Yes","No")))</x:f>
        <x:v>No</x:v>
      </x:c>
      <x:c r="AK2501" s="1" t="n">
        <x:f>IF(A2501="",0,COUNTIFS($A$2:$A$501,A2501))</x:f>
        <x:v>0</x:v>
      </x:c>
      <x:c r="AL2501" s="1" t="n">
        <x:f>IF(V2501="Candidate",1,0)</x:f>
        <x:v>0</x:v>
      </x:c>
      <x:c r="AM2501" s="1" t="n">
        <x:f>IF(A2501="",0,VALUE(A2501))</x:f>
        <x:v>0</x:v>
      </x:c>
      <x:c r="AN2501" s="1" t="n">
        <x:f>IF(OR(A2501="",COUNTIFS($T$41:$T$540,A2501)&lt;&gt;1),0,MATCH(A2501,$T$41:$T$540,0))</x:f>
        <x:v>0</x:v>
      </x:c>
      <x:c r="AO2501" t="n">
        <x:f>IF(ISNUMBER(W2501),W2501,10000+AM2501)</x:f>
        <x:v>10000</x:v>
      </x:c>
    </x:row>
    <x:row r="2502" ht="22" customHeight="1">
      <x:c r="A2502" s="1" t="str">
        <x:f>IF(A453="","",A453)</x:f>
      </x:c>
      <x:c r="B2502" s="1" t="str">
        <x:f>IF(A2502="","",B453)</x:f>
      </x:c>
      <x:c r="C2502" s="1" t="str">
        <x:f>IF(A2502="","",C453)</x:f>
      </x:c>
      <x:c r="D2502" s="1" t="str">
        <x:f>IF(A2502="","",E453)</x:f>
      </x:c>
      <x:c r="E2502" s="1" t="str">
        <x:f>IF(A2502="","",H453)</x:f>
      </x:c>
      <x:c r="F2502" s="1" t="str">
        <x:f>IF(ISNUMBER(K453),K453,"")</x:f>
      </x:c>
      <x:c r="G2502" s="1" t="str">
        <x:f>IF(ISNUMBER(L453),L453,"")</x:f>
      </x:c>
      <x:c r="H2502" s="1" t="str">
        <x:f>IF(A2502="","",IF(AND(UPPER(G453)="PHILADELPHIA",OR(C2502="District",AND(C2502="Charter",D453="Yes"))),"Yes","No"))</x:f>
      </x:c>
      <x:c r="I2502" s="1" t="n">
        <x:f>IF(OR(A2502="",COUNTIFS('Staff Review'!$A$8:$A$507,A2502)&lt;&gt;1),0,MATCH(A2502,'Staff Review'!$A$8:$A$507,0))</x:f>
        <x:v>0</x:v>
      </x:c>
      <x:c r="J2502" s="1" t="str">
        <x:f>IF(I2502=0,"No",IF(INDEX('Staff Review'!$C$8:$C$507,I2502)="Yes","Yes","No"))</x:f>
        <x:v>No</x:v>
      </x:c>
      <x:c r="K2502" s="1" t="str">
        <x:f>IF(AI2502="Yes",INDEX('Staff Review'!$D$8:$D$507,I2502),IF(AB2502=0,"",IF(COUNT(INDEX($C$1531:$C$2030,AB2502))=1,INDEX($C$1531:$C$2030,AB2502),"")))</x:f>
      </x:c>
      <x:c r="L2502" s="1" t="str">
        <x:f>IF(AJ2502="Yes",INDEX('Staff Review'!$F$8:$F$507,I2502),IF(AB2502=0,"",IF(COUNT(INDEX($G$1531:$G$2030,AB2502))=1,INDEX($G$1531:$G$2030,AB2502),"")))</x:f>
      </x:c>
      <x:c r="M2502" s="1" t="str">
        <x:f>IF(A2502="","",IF(AI2502="Yes","Verified","Listed"))</x:f>
      </x:c>
      <x:c r="N2502" s="1" t="str">
        <x:f>IF(A2502="","",IF(AJ2502="Yes","Verified","Listed"))</x:f>
      </x:c>
      <x:c r="O2502" s="1" t="str">
        <x:f>IF(AND(ISNUMBER(G2502),G2502&gt;=0,G2502&lt;=1),IF(G2502&gt;=0.9,30,IF(G2502&gt;=0.8,25,IF(G2502&gt;=0.7,20,IF(G2502&gt;=0.6,15,IF(G2502&gt;=0.5,10,IF(G2502&gt;=0.4,5,0)))))),"")</x:f>
      </x:c>
      <x:c r="P2502" s="1" t="str">
        <x:f>IF(ISNUMBER(K2502),IF(K2502&lt;0,"",IF(K2502&gt;1,25,IF(K2502&gt;=0.75,20,IF(K2502&gt;=0.5,15,IF(K2502&gt;=0.25,10,5))))),"")</x:f>
      </x:c>
      <x:c r="Q2502" s="1" t="str">
        <x:f>IF(NOT(ISNUMBER(L2502)),"",IF(AND(L2502&gt;=0,MOD(L2502,1)=0),MAX(0,25-5*L2502),""))</x:f>
      </x:c>
      <x:c r="R2502" s="1" t="str">
        <x:f>IF(NOT(ISNUMBER(F2502)),"",IF(AND(F2502&gt;0,MOD(F2502,1)=0),IF(F2502&gt;=700,5,IF(F2502&gt;=500,4,IF(F2502&gt;=350,3,IF(F2502&gt;=200,2,1)))),""))</x:f>
      </x:c>
      <x:c r="S2502" s="1" t="str">
        <x:f>IF(COUNT(O2502:R2502)=4,SUM(O2502:R2502),"")</x:f>
      </x:c>
      <x:c r="T2502" s="1" t="str">
        <x:f>IF(OR(COUNT(O2502:R2502)&lt;&gt;4,COUNT('Top 15'!$B$35:$E$35)&lt;&gt;4,MIN('Top 15'!$B$35:$E$35)&lt;0,SUM('Top 15'!$B$35:$E$35)&lt;=0),"",ROUND(85*(O2502/30*'Top 15'!$B$35+P2502/25*'Top 15'!$C$35+Q2502/25*'Top 15'!$D$35+R2502/5*'Top 15'!$E$35)/SUM('Top 15'!$B$35:$E$35),6))</x:f>
      </x:c>
      <x:c r="U2502" s="1" t="str">
        <x:f>IF(A2502="","",IF(AND(M2502="Verified",N2502="Verified"),"Verified",IF(AND(M2502="Listed",N2502="Listed"),"Listed","Mixed")))</x:f>
      </x:c>
      <x:c r="V2502" s="1" t="str">
        <x:f>IF(A2502="","",IF(AK2502&lt;&gt;1,"Duplicate source ID",IF(COUNTIFS('Staff Review'!$A$8:$A$507,A2502)&gt;1,"Duplicate review ID",IF(H2502&lt;&gt;"Yes","Outside scope",IF(J2502="Yes","Already served",IF(NOT(ISNUMBER(T2502)),"Missing data","Candidate"))))))</x:f>
      </x:c>
      <x:c r="W2502" s="1" t="str">
        <x:f>IF(AL2502=0,"",1+COUNTIFS($AL$2051:$AL$2550,1,$T$2051:$T$2550,"&gt;"&amp;T2502)+COUNTIFS($AL$2051:$AL$2550,1,$T$2051:$T$2550,T2502,$G$2051:$G$2550,"&gt;"&amp;G2502)+COUNTIFS($AL$2051:$AL$2550,1,$T$2051:$T$2550,T2502,$G$2051:$G$2550,G2502,$F$2051:$F$2550,"&gt;"&amp;F2502)+COUNTIFS($AL$2051:$AL$2550,1,$T$2051:$T$2550,T2502,$G$2051:$G$2550,G2502,$F$2051:$F$2550,F2502,$AM$2051:$AM$2550,"&lt;"&amp;AM2502))</x:f>
      </x:c>
      <x:c r="X2502" s="1" t="str">
        <x:f>IF(AL2502=0,"",1+COUNTIFS($AL$2051:$AL$2550,1,$T$2051:$T$2550,"&gt;"&amp;T2502))</x:f>
      </x:c>
      <x:c r="Y2502" s="1" t="n">
        <x:f>IF(AND(H2502="Yes",OR(LEN('School Search'!$B$5)=0,ISNUMBER(SEARCH('School Search'!$B$5,B2502&amp;" "&amp;E2502&amp;" "&amp;A2502))),OR('School Search'!$D$5="All",C2502='School Search'!$D$5),OR('School Search'!$G$5="All eligible",AND('School Search'!$G$5="Not marked served",J2502&lt;&gt;"Yes"),AND('School Search'!$G$5="Missing data",V2502="Missing data"),AND('School Search'!$G$5="Marked served",J2502="Yes"))),1,0)</x:f>
        <x:v>0</x:v>
      </x:c>
      <x:c r="Z2502" s="1" t="str">
        <x:f>IF(Y2502=0,"",COUNTIFS($Y$2051:$Y$2550,1,$AO$2051:$AO$2550,"&lt;"&amp;AO2502)+COUNTIFS($Y$2051:Y2502,1,$AO$2051:AO2502,AO2502))</x:f>
      </x:c>
      <x:c r="AA2502" s="1" t="str">
        <x:f>IF(NOT(ISNUMBER(S2502)),"Missing demographic or access input",TEXT(G2502,"0%")&amp;" economic need; "&amp;TEXT(K2502,"0.00")&amp;" mi fresh access; "&amp;L2502&amp;" nearby resources")</x:f>
        <x:v>Missing demographic or access input</x:v>
      </x:c>
      <x:c r="AB2502" s="1" t="n">
        <x:f>IF(OR(A2502="",COUNTIFS($A$1531:$A$2030,A2502)&lt;&gt;1),0,MATCH(A2502,$A$1531:$A$2030,0))</x:f>
        <x:v>0</x:v>
      </x:c>
      <x:c r="AC2502" s="1" t="str">
        <x:f>IF(AB2502=0,"",INDEX($E$1531:$E$2030,AB2502))</x:f>
      </x:c>
      <x:c r="AD2502" s="1" t="str">
        <x:f>IF(AB2502=0,"",INDEX($F$1531:$F$2030,AB2502))</x:f>
      </x:c>
      <x:c r="AE2502" s="1" t="str">
        <x:f>IF(A2502="","",F453)</x:f>
      </x:c>
      <x:c r="AF2502" s="1" t="str">
        <x:f>IF(ISNUMBER(I453),I453,"")</x:f>
      </x:c>
      <x:c r="AG2502" s="1" t="str">
        <x:f>IF(ISNUMBER(J453),J453,"")</x:f>
      </x:c>
      <x:c r="AH2502" s="1" t="str">
        <x:f>IF(I2502=0,"Not contacted",IF(INDEX('Staff Review'!$J$8:$J$507,I2502)="","Not contacted",INDEX('Staff Review'!$J$8:$J$507,I2502)))</x:f>
        <x:v>Not contacted</x:v>
      </x:c>
      <x:c r="AI2502" s="1" t="str">
        <x:f>IF(I2502=0,"No",IF(AND(COUNT(INDEX('Staff Review'!$D$8:$D$507,I2502))=1,INDEX('Staff Review'!$D$8:$D$507,I2502)&gt;=0,COUNT(INDEX('Staff Review'!$E$8:$E$507,I2502))=1,INDEX('Staff Review'!$E$8:$E$507,I2502)&gt;0,INDEX('Staff Review'!$E$8:$E$507,I2502)&lt;='Top 15'!$E$5,'Top 15'!$E$5-INDEX('Staff Review'!$E$8:$E$507,I2502)&lt;='Top 15'!$H$5,LEN(INDEX('Staff Review'!$H$8:$H$507,I2502))&gt;0),"Yes","No"))</x:f>
        <x:v>No</x:v>
      </x:c>
      <x:c r="AJ2502" s="1" t="str">
        <x:f>IF(I2502=0,"No",IF(COUNT(INDEX('Staff Review'!$F$8:$F$507,I2502))&lt;&gt;1,"No",IF(AND(INDEX('Staff Review'!$F$8:$F$507,I2502)&gt;=0,MOD(INDEX('Staff Review'!$F$8:$F$507,I2502),1)=0,COUNT(INDEX('Staff Review'!$G$8:$G$507,I2502))=1,INDEX('Staff Review'!$G$8:$G$507,I2502)&gt;0,INDEX('Staff Review'!$G$8:$G$507,I2502)&lt;='Top 15'!$E$5,'Top 15'!$E$5-INDEX('Staff Review'!$G$8:$G$507,I2502)&lt;='Top 15'!$H$5,LEN(INDEX('Staff Review'!$H$8:$H$507,I2502))&gt;0),"Yes","No")))</x:f>
        <x:v>No</x:v>
      </x:c>
      <x:c r="AK2502" s="1" t="n">
        <x:f>IF(A2502="",0,COUNTIFS($A$2:$A$501,A2502))</x:f>
        <x:v>0</x:v>
      </x:c>
      <x:c r="AL2502" s="1" t="n">
        <x:f>IF(V2502="Candidate",1,0)</x:f>
        <x:v>0</x:v>
      </x:c>
      <x:c r="AM2502" s="1" t="n">
        <x:f>IF(A2502="",0,VALUE(A2502))</x:f>
        <x:v>0</x:v>
      </x:c>
      <x:c r="AN2502" s="1" t="n">
        <x:f>IF(OR(A2502="",COUNTIFS($T$41:$T$540,A2502)&lt;&gt;1),0,MATCH(A2502,$T$41:$T$540,0))</x:f>
        <x:v>0</x:v>
      </x:c>
      <x:c r="AO2502" t="n">
        <x:f>IF(ISNUMBER(W2502),W2502,10000+AM2502)</x:f>
        <x:v>10000</x:v>
      </x:c>
    </x:row>
    <x:row r="2503" ht="22" customHeight="1">
      <x:c r="A2503" s="1" t="str">
        <x:f>IF(A454="","",A454)</x:f>
      </x:c>
      <x:c r="B2503" s="1" t="str">
        <x:f>IF(A2503="","",B454)</x:f>
      </x:c>
      <x:c r="C2503" s="1" t="str">
        <x:f>IF(A2503="","",C454)</x:f>
      </x:c>
      <x:c r="D2503" s="1" t="str">
        <x:f>IF(A2503="","",E454)</x:f>
      </x:c>
      <x:c r="E2503" s="1" t="str">
        <x:f>IF(A2503="","",H454)</x:f>
      </x:c>
      <x:c r="F2503" s="1" t="str">
        <x:f>IF(ISNUMBER(K454),K454,"")</x:f>
      </x:c>
      <x:c r="G2503" s="1" t="str">
        <x:f>IF(ISNUMBER(L454),L454,"")</x:f>
      </x:c>
      <x:c r="H2503" s="1" t="str">
        <x:f>IF(A2503="","",IF(AND(UPPER(G454)="PHILADELPHIA",OR(C2503="District",AND(C2503="Charter",D454="Yes"))),"Yes","No"))</x:f>
      </x:c>
      <x:c r="I2503" s="1" t="n">
        <x:f>IF(OR(A2503="",COUNTIFS('Staff Review'!$A$8:$A$507,A2503)&lt;&gt;1),0,MATCH(A2503,'Staff Review'!$A$8:$A$507,0))</x:f>
        <x:v>0</x:v>
      </x:c>
      <x:c r="J2503" s="1" t="str">
        <x:f>IF(I2503=0,"No",IF(INDEX('Staff Review'!$C$8:$C$507,I2503)="Yes","Yes","No"))</x:f>
        <x:v>No</x:v>
      </x:c>
      <x:c r="K2503" s="1" t="str">
        <x:f>IF(AI2503="Yes",INDEX('Staff Review'!$D$8:$D$507,I2503),IF(AB2503=0,"",IF(COUNT(INDEX($C$1531:$C$2030,AB2503))=1,INDEX($C$1531:$C$2030,AB2503),"")))</x:f>
      </x:c>
      <x:c r="L2503" s="1" t="str">
        <x:f>IF(AJ2503="Yes",INDEX('Staff Review'!$F$8:$F$507,I2503),IF(AB2503=0,"",IF(COUNT(INDEX($G$1531:$G$2030,AB2503))=1,INDEX($G$1531:$G$2030,AB2503),"")))</x:f>
      </x:c>
      <x:c r="M2503" s="1" t="str">
        <x:f>IF(A2503="","",IF(AI2503="Yes","Verified","Listed"))</x:f>
      </x:c>
      <x:c r="N2503" s="1" t="str">
        <x:f>IF(A2503="","",IF(AJ2503="Yes","Verified","Listed"))</x:f>
      </x:c>
      <x:c r="O2503" s="1" t="str">
        <x:f>IF(AND(ISNUMBER(G2503),G2503&gt;=0,G2503&lt;=1),IF(G2503&gt;=0.9,30,IF(G2503&gt;=0.8,25,IF(G2503&gt;=0.7,20,IF(G2503&gt;=0.6,15,IF(G2503&gt;=0.5,10,IF(G2503&gt;=0.4,5,0)))))),"")</x:f>
      </x:c>
      <x:c r="P2503" s="1" t="str">
        <x:f>IF(ISNUMBER(K2503),IF(K2503&lt;0,"",IF(K2503&gt;1,25,IF(K2503&gt;=0.75,20,IF(K2503&gt;=0.5,15,IF(K2503&gt;=0.25,10,5))))),"")</x:f>
      </x:c>
      <x:c r="Q2503" s="1" t="str">
        <x:f>IF(NOT(ISNUMBER(L2503)),"",IF(AND(L2503&gt;=0,MOD(L2503,1)=0),MAX(0,25-5*L2503),""))</x:f>
      </x:c>
      <x:c r="R2503" s="1" t="str">
        <x:f>IF(NOT(ISNUMBER(F2503)),"",IF(AND(F2503&gt;0,MOD(F2503,1)=0),IF(F2503&gt;=700,5,IF(F2503&gt;=500,4,IF(F2503&gt;=350,3,IF(F2503&gt;=200,2,1)))),""))</x:f>
      </x:c>
      <x:c r="S2503" s="1" t="str">
        <x:f>IF(COUNT(O2503:R2503)=4,SUM(O2503:R2503),"")</x:f>
      </x:c>
      <x:c r="T2503" s="1" t="str">
        <x:f>IF(OR(COUNT(O2503:R2503)&lt;&gt;4,COUNT('Top 15'!$B$35:$E$35)&lt;&gt;4,MIN('Top 15'!$B$35:$E$35)&lt;0,SUM('Top 15'!$B$35:$E$35)&lt;=0),"",ROUND(85*(O2503/30*'Top 15'!$B$35+P2503/25*'Top 15'!$C$35+Q2503/25*'Top 15'!$D$35+R2503/5*'Top 15'!$E$35)/SUM('Top 15'!$B$35:$E$35),6))</x:f>
      </x:c>
      <x:c r="U2503" s="1" t="str">
        <x:f>IF(A2503="","",IF(AND(M2503="Verified",N2503="Verified"),"Verified",IF(AND(M2503="Listed",N2503="Listed"),"Listed","Mixed")))</x:f>
      </x:c>
      <x:c r="V2503" s="1" t="str">
        <x:f>IF(A2503="","",IF(AK2503&lt;&gt;1,"Duplicate source ID",IF(COUNTIFS('Staff Review'!$A$8:$A$507,A2503)&gt;1,"Duplicate review ID",IF(H2503&lt;&gt;"Yes","Outside scope",IF(J2503="Yes","Already served",IF(NOT(ISNUMBER(T2503)),"Missing data","Candidate"))))))</x:f>
      </x:c>
      <x:c r="W2503" s="1" t="str">
        <x:f>IF(AL2503=0,"",1+COUNTIFS($AL$2051:$AL$2550,1,$T$2051:$T$2550,"&gt;"&amp;T2503)+COUNTIFS($AL$2051:$AL$2550,1,$T$2051:$T$2550,T2503,$G$2051:$G$2550,"&gt;"&amp;G2503)+COUNTIFS($AL$2051:$AL$2550,1,$T$2051:$T$2550,T2503,$G$2051:$G$2550,G2503,$F$2051:$F$2550,"&gt;"&amp;F2503)+COUNTIFS($AL$2051:$AL$2550,1,$T$2051:$T$2550,T2503,$G$2051:$G$2550,G2503,$F$2051:$F$2550,F2503,$AM$2051:$AM$2550,"&lt;"&amp;AM2503))</x:f>
      </x:c>
      <x:c r="X2503" s="1" t="str">
        <x:f>IF(AL2503=0,"",1+COUNTIFS($AL$2051:$AL$2550,1,$T$2051:$T$2550,"&gt;"&amp;T2503))</x:f>
      </x:c>
      <x:c r="Y2503" s="1" t="n">
        <x:f>IF(AND(H2503="Yes",OR(LEN('School Search'!$B$5)=0,ISNUMBER(SEARCH('School Search'!$B$5,B2503&amp;" "&amp;E2503&amp;" "&amp;A2503))),OR('School Search'!$D$5="All",C2503='School Search'!$D$5),OR('School Search'!$G$5="All eligible",AND('School Search'!$G$5="Not marked served",J2503&lt;&gt;"Yes"),AND('School Search'!$G$5="Missing data",V2503="Missing data"),AND('School Search'!$G$5="Marked served",J2503="Yes"))),1,0)</x:f>
        <x:v>0</x:v>
      </x:c>
      <x:c r="Z2503" s="1" t="str">
        <x:f>IF(Y2503=0,"",COUNTIFS($Y$2051:$Y$2550,1,$AO$2051:$AO$2550,"&lt;"&amp;AO2503)+COUNTIFS($Y$2051:Y2503,1,$AO$2051:AO2503,AO2503))</x:f>
      </x:c>
      <x:c r="AA2503" s="1" t="str">
        <x:f>IF(NOT(ISNUMBER(S2503)),"Missing demographic or access input",TEXT(G2503,"0%")&amp;" economic need; "&amp;TEXT(K2503,"0.00")&amp;" mi fresh access; "&amp;L2503&amp;" nearby resources")</x:f>
        <x:v>Missing demographic or access input</x:v>
      </x:c>
      <x:c r="AB2503" s="1" t="n">
        <x:f>IF(OR(A2503="",COUNTIFS($A$1531:$A$2030,A2503)&lt;&gt;1),0,MATCH(A2503,$A$1531:$A$2030,0))</x:f>
        <x:v>0</x:v>
      </x:c>
      <x:c r="AC2503" s="1" t="str">
        <x:f>IF(AB2503=0,"",INDEX($E$1531:$E$2030,AB2503))</x:f>
      </x:c>
      <x:c r="AD2503" s="1" t="str">
        <x:f>IF(AB2503=0,"",INDEX($F$1531:$F$2030,AB2503))</x:f>
      </x:c>
      <x:c r="AE2503" s="1" t="str">
        <x:f>IF(A2503="","",F454)</x:f>
      </x:c>
      <x:c r="AF2503" s="1" t="str">
        <x:f>IF(ISNUMBER(I454),I454,"")</x:f>
      </x:c>
      <x:c r="AG2503" s="1" t="str">
        <x:f>IF(ISNUMBER(J454),J454,"")</x:f>
      </x:c>
      <x:c r="AH2503" s="1" t="str">
        <x:f>IF(I2503=0,"Not contacted",IF(INDEX('Staff Review'!$J$8:$J$507,I2503)="","Not contacted",INDEX('Staff Review'!$J$8:$J$507,I2503)))</x:f>
        <x:v>Not contacted</x:v>
      </x:c>
      <x:c r="AI2503" s="1" t="str">
        <x:f>IF(I2503=0,"No",IF(AND(COUNT(INDEX('Staff Review'!$D$8:$D$507,I2503))=1,INDEX('Staff Review'!$D$8:$D$507,I2503)&gt;=0,COUNT(INDEX('Staff Review'!$E$8:$E$507,I2503))=1,INDEX('Staff Review'!$E$8:$E$507,I2503)&gt;0,INDEX('Staff Review'!$E$8:$E$507,I2503)&lt;='Top 15'!$E$5,'Top 15'!$E$5-INDEX('Staff Review'!$E$8:$E$507,I2503)&lt;='Top 15'!$H$5,LEN(INDEX('Staff Review'!$H$8:$H$507,I2503))&gt;0),"Yes","No"))</x:f>
        <x:v>No</x:v>
      </x:c>
      <x:c r="AJ2503" s="1" t="str">
        <x:f>IF(I2503=0,"No",IF(COUNT(INDEX('Staff Review'!$F$8:$F$507,I2503))&lt;&gt;1,"No",IF(AND(INDEX('Staff Review'!$F$8:$F$507,I2503)&gt;=0,MOD(INDEX('Staff Review'!$F$8:$F$507,I2503),1)=0,COUNT(INDEX('Staff Review'!$G$8:$G$507,I2503))=1,INDEX('Staff Review'!$G$8:$G$507,I2503)&gt;0,INDEX('Staff Review'!$G$8:$G$507,I2503)&lt;='Top 15'!$E$5,'Top 15'!$E$5-INDEX('Staff Review'!$G$8:$G$507,I2503)&lt;='Top 15'!$H$5,LEN(INDEX('Staff Review'!$H$8:$H$507,I2503))&gt;0),"Yes","No")))</x:f>
        <x:v>No</x:v>
      </x:c>
      <x:c r="AK2503" s="1" t="n">
        <x:f>IF(A2503="",0,COUNTIFS($A$2:$A$501,A2503))</x:f>
        <x:v>0</x:v>
      </x:c>
      <x:c r="AL2503" s="1" t="n">
        <x:f>IF(V2503="Candidate",1,0)</x:f>
        <x:v>0</x:v>
      </x:c>
      <x:c r="AM2503" s="1" t="n">
        <x:f>IF(A2503="",0,VALUE(A2503))</x:f>
        <x:v>0</x:v>
      </x:c>
      <x:c r="AN2503" s="1" t="n">
        <x:f>IF(OR(A2503="",COUNTIFS($T$41:$T$540,A2503)&lt;&gt;1),0,MATCH(A2503,$T$41:$T$540,0))</x:f>
        <x:v>0</x:v>
      </x:c>
      <x:c r="AO2503" t="n">
        <x:f>IF(ISNUMBER(W2503),W2503,10000+AM2503)</x:f>
        <x:v>10000</x:v>
      </x:c>
    </x:row>
    <x:row r="2504" ht="22" customHeight="1">
      <x:c r="A2504" s="1" t="str">
        <x:f>IF(A455="","",A455)</x:f>
      </x:c>
      <x:c r="B2504" s="1" t="str">
        <x:f>IF(A2504="","",B455)</x:f>
      </x:c>
      <x:c r="C2504" s="1" t="str">
        <x:f>IF(A2504="","",C455)</x:f>
      </x:c>
      <x:c r="D2504" s="1" t="str">
        <x:f>IF(A2504="","",E455)</x:f>
      </x:c>
      <x:c r="E2504" s="1" t="str">
        <x:f>IF(A2504="","",H455)</x:f>
      </x:c>
      <x:c r="F2504" s="1" t="str">
        <x:f>IF(ISNUMBER(K455),K455,"")</x:f>
      </x:c>
      <x:c r="G2504" s="1" t="str">
        <x:f>IF(ISNUMBER(L455),L455,"")</x:f>
      </x:c>
      <x:c r="H2504" s="1" t="str">
        <x:f>IF(A2504="","",IF(AND(UPPER(G455)="PHILADELPHIA",OR(C2504="District",AND(C2504="Charter",D455="Yes"))),"Yes","No"))</x:f>
      </x:c>
      <x:c r="I2504" s="1" t="n">
        <x:f>IF(OR(A2504="",COUNTIFS('Staff Review'!$A$8:$A$507,A2504)&lt;&gt;1),0,MATCH(A2504,'Staff Review'!$A$8:$A$507,0))</x:f>
        <x:v>0</x:v>
      </x:c>
      <x:c r="J2504" s="1" t="str">
        <x:f>IF(I2504=0,"No",IF(INDEX('Staff Review'!$C$8:$C$507,I2504)="Yes","Yes","No"))</x:f>
        <x:v>No</x:v>
      </x:c>
      <x:c r="K2504" s="1" t="str">
        <x:f>IF(AI2504="Yes",INDEX('Staff Review'!$D$8:$D$507,I2504),IF(AB2504=0,"",IF(COUNT(INDEX($C$1531:$C$2030,AB2504))=1,INDEX($C$1531:$C$2030,AB2504),"")))</x:f>
      </x:c>
      <x:c r="L2504" s="1" t="str">
        <x:f>IF(AJ2504="Yes",INDEX('Staff Review'!$F$8:$F$507,I2504),IF(AB2504=0,"",IF(COUNT(INDEX($G$1531:$G$2030,AB2504))=1,INDEX($G$1531:$G$2030,AB2504),"")))</x:f>
      </x:c>
      <x:c r="M2504" s="1" t="str">
        <x:f>IF(A2504="","",IF(AI2504="Yes","Verified","Listed"))</x:f>
      </x:c>
      <x:c r="N2504" s="1" t="str">
        <x:f>IF(A2504="","",IF(AJ2504="Yes","Verified","Listed"))</x:f>
      </x:c>
      <x:c r="O2504" s="1" t="str">
        <x:f>IF(AND(ISNUMBER(G2504),G2504&gt;=0,G2504&lt;=1),IF(G2504&gt;=0.9,30,IF(G2504&gt;=0.8,25,IF(G2504&gt;=0.7,20,IF(G2504&gt;=0.6,15,IF(G2504&gt;=0.5,10,IF(G2504&gt;=0.4,5,0)))))),"")</x:f>
      </x:c>
      <x:c r="P2504" s="1" t="str">
        <x:f>IF(ISNUMBER(K2504),IF(K2504&lt;0,"",IF(K2504&gt;1,25,IF(K2504&gt;=0.75,20,IF(K2504&gt;=0.5,15,IF(K2504&gt;=0.25,10,5))))),"")</x:f>
      </x:c>
      <x:c r="Q2504" s="1" t="str">
        <x:f>IF(NOT(ISNUMBER(L2504)),"",IF(AND(L2504&gt;=0,MOD(L2504,1)=0),MAX(0,25-5*L2504),""))</x:f>
      </x:c>
      <x:c r="R2504" s="1" t="str">
        <x:f>IF(NOT(ISNUMBER(F2504)),"",IF(AND(F2504&gt;0,MOD(F2504,1)=0),IF(F2504&gt;=700,5,IF(F2504&gt;=500,4,IF(F2504&gt;=350,3,IF(F2504&gt;=200,2,1)))),""))</x:f>
      </x:c>
      <x:c r="S2504" s="1" t="str">
        <x:f>IF(COUNT(O2504:R2504)=4,SUM(O2504:R2504),"")</x:f>
      </x:c>
      <x:c r="T2504" s="1" t="str">
        <x:f>IF(OR(COUNT(O2504:R2504)&lt;&gt;4,COUNT('Top 15'!$B$35:$E$35)&lt;&gt;4,MIN('Top 15'!$B$35:$E$35)&lt;0,SUM('Top 15'!$B$35:$E$35)&lt;=0),"",ROUND(85*(O2504/30*'Top 15'!$B$35+P2504/25*'Top 15'!$C$35+Q2504/25*'Top 15'!$D$35+R2504/5*'Top 15'!$E$35)/SUM('Top 15'!$B$35:$E$35),6))</x:f>
      </x:c>
      <x:c r="U2504" s="1" t="str">
        <x:f>IF(A2504="","",IF(AND(M2504="Verified",N2504="Verified"),"Verified",IF(AND(M2504="Listed",N2504="Listed"),"Listed","Mixed")))</x:f>
      </x:c>
      <x:c r="V2504" s="1" t="str">
        <x:f>IF(A2504="","",IF(AK2504&lt;&gt;1,"Duplicate source ID",IF(COUNTIFS('Staff Review'!$A$8:$A$507,A2504)&gt;1,"Duplicate review ID",IF(H2504&lt;&gt;"Yes","Outside scope",IF(J2504="Yes","Already served",IF(NOT(ISNUMBER(T2504)),"Missing data","Candidate"))))))</x:f>
      </x:c>
      <x:c r="W2504" s="1" t="str">
        <x:f>IF(AL2504=0,"",1+COUNTIFS($AL$2051:$AL$2550,1,$T$2051:$T$2550,"&gt;"&amp;T2504)+COUNTIFS($AL$2051:$AL$2550,1,$T$2051:$T$2550,T2504,$G$2051:$G$2550,"&gt;"&amp;G2504)+COUNTIFS($AL$2051:$AL$2550,1,$T$2051:$T$2550,T2504,$G$2051:$G$2550,G2504,$F$2051:$F$2550,"&gt;"&amp;F2504)+COUNTIFS($AL$2051:$AL$2550,1,$T$2051:$T$2550,T2504,$G$2051:$G$2550,G2504,$F$2051:$F$2550,F2504,$AM$2051:$AM$2550,"&lt;"&amp;AM2504))</x:f>
      </x:c>
      <x:c r="X2504" s="1" t="str">
        <x:f>IF(AL2504=0,"",1+COUNTIFS($AL$2051:$AL$2550,1,$T$2051:$T$2550,"&gt;"&amp;T2504))</x:f>
      </x:c>
      <x:c r="Y2504" s="1" t="n">
        <x:f>IF(AND(H2504="Yes",OR(LEN('School Search'!$B$5)=0,ISNUMBER(SEARCH('School Search'!$B$5,B2504&amp;" "&amp;E2504&amp;" "&amp;A2504))),OR('School Search'!$D$5="All",C2504='School Search'!$D$5),OR('School Search'!$G$5="All eligible",AND('School Search'!$G$5="Not marked served",J2504&lt;&gt;"Yes"),AND('School Search'!$G$5="Missing data",V2504="Missing data"),AND('School Search'!$G$5="Marked served",J2504="Yes"))),1,0)</x:f>
        <x:v>0</x:v>
      </x:c>
      <x:c r="Z2504" s="1" t="str">
        <x:f>IF(Y2504=0,"",COUNTIFS($Y$2051:$Y$2550,1,$AO$2051:$AO$2550,"&lt;"&amp;AO2504)+COUNTIFS($Y$2051:Y2504,1,$AO$2051:AO2504,AO2504))</x:f>
      </x:c>
      <x:c r="AA2504" s="1" t="str">
        <x:f>IF(NOT(ISNUMBER(S2504)),"Missing demographic or access input",TEXT(G2504,"0%")&amp;" economic need; "&amp;TEXT(K2504,"0.00")&amp;" mi fresh access; "&amp;L2504&amp;" nearby resources")</x:f>
        <x:v>Missing demographic or access input</x:v>
      </x:c>
      <x:c r="AB2504" s="1" t="n">
        <x:f>IF(OR(A2504="",COUNTIFS($A$1531:$A$2030,A2504)&lt;&gt;1),0,MATCH(A2504,$A$1531:$A$2030,0))</x:f>
        <x:v>0</x:v>
      </x:c>
      <x:c r="AC2504" s="1" t="str">
        <x:f>IF(AB2504=0,"",INDEX($E$1531:$E$2030,AB2504))</x:f>
      </x:c>
      <x:c r="AD2504" s="1" t="str">
        <x:f>IF(AB2504=0,"",INDEX($F$1531:$F$2030,AB2504))</x:f>
      </x:c>
      <x:c r="AE2504" s="1" t="str">
        <x:f>IF(A2504="","",F455)</x:f>
      </x:c>
      <x:c r="AF2504" s="1" t="str">
        <x:f>IF(ISNUMBER(I455),I455,"")</x:f>
      </x:c>
      <x:c r="AG2504" s="1" t="str">
        <x:f>IF(ISNUMBER(J455),J455,"")</x:f>
      </x:c>
      <x:c r="AH2504" s="1" t="str">
        <x:f>IF(I2504=0,"Not contacted",IF(INDEX('Staff Review'!$J$8:$J$507,I2504)="","Not contacted",INDEX('Staff Review'!$J$8:$J$507,I2504)))</x:f>
        <x:v>Not contacted</x:v>
      </x:c>
      <x:c r="AI2504" s="1" t="str">
        <x:f>IF(I2504=0,"No",IF(AND(COUNT(INDEX('Staff Review'!$D$8:$D$507,I2504))=1,INDEX('Staff Review'!$D$8:$D$507,I2504)&gt;=0,COUNT(INDEX('Staff Review'!$E$8:$E$507,I2504))=1,INDEX('Staff Review'!$E$8:$E$507,I2504)&gt;0,INDEX('Staff Review'!$E$8:$E$507,I2504)&lt;='Top 15'!$E$5,'Top 15'!$E$5-INDEX('Staff Review'!$E$8:$E$507,I2504)&lt;='Top 15'!$H$5,LEN(INDEX('Staff Review'!$H$8:$H$507,I2504))&gt;0),"Yes","No"))</x:f>
        <x:v>No</x:v>
      </x:c>
      <x:c r="AJ2504" s="1" t="str">
        <x:f>IF(I2504=0,"No",IF(COUNT(INDEX('Staff Review'!$F$8:$F$507,I2504))&lt;&gt;1,"No",IF(AND(INDEX('Staff Review'!$F$8:$F$507,I2504)&gt;=0,MOD(INDEX('Staff Review'!$F$8:$F$507,I2504),1)=0,COUNT(INDEX('Staff Review'!$G$8:$G$507,I2504))=1,INDEX('Staff Review'!$G$8:$G$507,I2504)&gt;0,INDEX('Staff Review'!$G$8:$G$507,I2504)&lt;='Top 15'!$E$5,'Top 15'!$E$5-INDEX('Staff Review'!$G$8:$G$507,I2504)&lt;='Top 15'!$H$5,LEN(INDEX('Staff Review'!$H$8:$H$507,I2504))&gt;0),"Yes","No")))</x:f>
        <x:v>No</x:v>
      </x:c>
      <x:c r="AK2504" s="1" t="n">
        <x:f>IF(A2504="",0,COUNTIFS($A$2:$A$501,A2504))</x:f>
        <x:v>0</x:v>
      </x:c>
      <x:c r="AL2504" s="1" t="n">
        <x:f>IF(V2504="Candidate",1,0)</x:f>
        <x:v>0</x:v>
      </x:c>
      <x:c r="AM2504" s="1" t="n">
        <x:f>IF(A2504="",0,VALUE(A2504))</x:f>
        <x:v>0</x:v>
      </x:c>
      <x:c r="AN2504" s="1" t="n">
        <x:f>IF(OR(A2504="",COUNTIFS($T$41:$T$540,A2504)&lt;&gt;1),0,MATCH(A2504,$T$41:$T$540,0))</x:f>
        <x:v>0</x:v>
      </x:c>
      <x:c r="AO2504" t="n">
        <x:f>IF(ISNUMBER(W2504),W2504,10000+AM2504)</x:f>
        <x:v>10000</x:v>
      </x:c>
    </x:row>
    <x:row r="2505" ht="22" customHeight="1">
      <x:c r="A2505" s="1" t="str">
        <x:f>IF(A456="","",A456)</x:f>
      </x:c>
      <x:c r="B2505" s="1" t="str">
        <x:f>IF(A2505="","",B456)</x:f>
      </x:c>
      <x:c r="C2505" s="1" t="str">
        <x:f>IF(A2505="","",C456)</x:f>
      </x:c>
      <x:c r="D2505" s="1" t="str">
        <x:f>IF(A2505="","",E456)</x:f>
      </x:c>
      <x:c r="E2505" s="1" t="str">
        <x:f>IF(A2505="","",H456)</x:f>
      </x:c>
      <x:c r="F2505" s="1" t="str">
        <x:f>IF(ISNUMBER(K456),K456,"")</x:f>
      </x:c>
      <x:c r="G2505" s="1" t="str">
        <x:f>IF(ISNUMBER(L456),L456,"")</x:f>
      </x:c>
      <x:c r="H2505" s="1" t="str">
        <x:f>IF(A2505="","",IF(AND(UPPER(G456)="PHILADELPHIA",OR(C2505="District",AND(C2505="Charter",D456="Yes"))),"Yes","No"))</x:f>
      </x:c>
      <x:c r="I2505" s="1" t="n">
        <x:f>IF(OR(A2505="",COUNTIFS('Staff Review'!$A$8:$A$507,A2505)&lt;&gt;1),0,MATCH(A2505,'Staff Review'!$A$8:$A$507,0))</x:f>
        <x:v>0</x:v>
      </x:c>
      <x:c r="J2505" s="1" t="str">
        <x:f>IF(I2505=0,"No",IF(INDEX('Staff Review'!$C$8:$C$507,I2505)="Yes","Yes","No"))</x:f>
        <x:v>No</x:v>
      </x:c>
      <x:c r="K2505" s="1" t="str">
        <x:f>IF(AI2505="Yes",INDEX('Staff Review'!$D$8:$D$507,I2505),IF(AB2505=0,"",IF(COUNT(INDEX($C$1531:$C$2030,AB2505))=1,INDEX($C$1531:$C$2030,AB2505),"")))</x:f>
      </x:c>
      <x:c r="L2505" s="1" t="str">
        <x:f>IF(AJ2505="Yes",INDEX('Staff Review'!$F$8:$F$507,I2505),IF(AB2505=0,"",IF(COUNT(INDEX($G$1531:$G$2030,AB2505))=1,INDEX($G$1531:$G$2030,AB2505),"")))</x:f>
      </x:c>
      <x:c r="M2505" s="1" t="str">
        <x:f>IF(A2505="","",IF(AI2505="Yes","Verified","Listed"))</x:f>
      </x:c>
      <x:c r="N2505" s="1" t="str">
        <x:f>IF(A2505="","",IF(AJ2505="Yes","Verified","Listed"))</x:f>
      </x:c>
      <x:c r="O2505" s="1" t="str">
        <x:f>IF(AND(ISNUMBER(G2505),G2505&gt;=0,G2505&lt;=1),IF(G2505&gt;=0.9,30,IF(G2505&gt;=0.8,25,IF(G2505&gt;=0.7,20,IF(G2505&gt;=0.6,15,IF(G2505&gt;=0.5,10,IF(G2505&gt;=0.4,5,0)))))),"")</x:f>
      </x:c>
      <x:c r="P2505" s="1" t="str">
        <x:f>IF(ISNUMBER(K2505),IF(K2505&lt;0,"",IF(K2505&gt;1,25,IF(K2505&gt;=0.75,20,IF(K2505&gt;=0.5,15,IF(K2505&gt;=0.25,10,5))))),"")</x:f>
      </x:c>
      <x:c r="Q2505" s="1" t="str">
        <x:f>IF(NOT(ISNUMBER(L2505)),"",IF(AND(L2505&gt;=0,MOD(L2505,1)=0),MAX(0,25-5*L2505),""))</x:f>
      </x:c>
      <x:c r="R2505" s="1" t="str">
        <x:f>IF(NOT(ISNUMBER(F2505)),"",IF(AND(F2505&gt;0,MOD(F2505,1)=0),IF(F2505&gt;=700,5,IF(F2505&gt;=500,4,IF(F2505&gt;=350,3,IF(F2505&gt;=200,2,1)))),""))</x:f>
      </x:c>
      <x:c r="S2505" s="1" t="str">
        <x:f>IF(COUNT(O2505:R2505)=4,SUM(O2505:R2505),"")</x:f>
      </x:c>
      <x:c r="T2505" s="1" t="str">
        <x:f>IF(OR(COUNT(O2505:R2505)&lt;&gt;4,COUNT('Top 15'!$B$35:$E$35)&lt;&gt;4,MIN('Top 15'!$B$35:$E$35)&lt;0,SUM('Top 15'!$B$35:$E$35)&lt;=0),"",ROUND(85*(O2505/30*'Top 15'!$B$35+P2505/25*'Top 15'!$C$35+Q2505/25*'Top 15'!$D$35+R2505/5*'Top 15'!$E$35)/SUM('Top 15'!$B$35:$E$35),6))</x:f>
      </x:c>
      <x:c r="U2505" s="1" t="str">
        <x:f>IF(A2505="","",IF(AND(M2505="Verified",N2505="Verified"),"Verified",IF(AND(M2505="Listed",N2505="Listed"),"Listed","Mixed")))</x:f>
      </x:c>
      <x:c r="V2505" s="1" t="str">
        <x:f>IF(A2505="","",IF(AK2505&lt;&gt;1,"Duplicate source ID",IF(COUNTIFS('Staff Review'!$A$8:$A$507,A2505)&gt;1,"Duplicate review ID",IF(H2505&lt;&gt;"Yes","Outside scope",IF(J2505="Yes","Already served",IF(NOT(ISNUMBER(T2505)),"Missing data","Candidate"))))))</x:f>
      </x:c>
      <x:c r="W2505" s="1" t="str">
        <x:f>IF(AL2505=0,"",1+COUNTIFS($AL$2051:$AL$2550,1,$T$2051:$T$2550,"&gt;"&amp;T2505)+COUNTIFS($AL$2051:$AL$2550,1,$T$2051:$T$2550,T2505,$G$2051:$G$2550,"&gt;"&amp;G2505)+COUNTIFS($AL$2051:$AL$2550,1,$T$2051:$T$2550,T2505,$G$2051:$G$2550,G2505,$F$2051:$F$2550,"&gt;"&amp;F2505)+COUNTIFS($AL$2051:$AL$2550,1,$T$2051:$T$2550,T2505,$G$2051:$G$2550,G2505,$F$2051:$F$2550,F2505,$AM$2051:$AM$2550,"&lt;"&amp;AM2505))</x:f>
      </x:c>
      <x:c r="X2505" s="1" t="str">
        <x:f>IF(AL2505=0,"",1+COUNTIFS($AL$2051:$AL$2550,1,$T$2051:$T$2550,"&gt;"&amp;T2505))</x:f>
      </x:c>
      <x:c r="Y2505" s="1" t="n">
        <x:f>IF(AND(H2505="Yes",OR(LEN('School Search'!$B$5)=0,ISNUMBER(SEARCH('School Search'!$B$5,B2505&amp;" "&amp;E2505&amp;" "&amp;A2505))),OR('School Search'!$D$5="All",C2505='School Search'!$D$5),OR('School Search'!$G$5="All eligible",AND('School Search'!$G$5="Not marked served",J2505&lt;&gt;"Yes"),AND('School Search'!$G$5="Missing data",V2505="Missing data"),AND('School Search'!$G$5="Marked served",J2505="Yes"))),1,0)</x:f>
        <x:v>0</x:v>
      </x:c>
      <x:c r="Z2505" s="1" t="str">
        <x:f>IF(Y2505=0,"",COUNTIFS($Y$2051:$Y$2550,1,$AO$2051:$AO$2550,"&lt;"&amp;AO2505)+COUNTIFS($Y$2051:Y2505,1,$AO$2051:AO2505,AO2505))</x:f>
      </x:c>
      <x:c r="AA2505" s="1" t="str">
        <x:f>IF(NOT(ISNUMBER(S2505)),"Missing demographic or access input",TEXT(G2505,"0%")&amp;" economic need; "&amp;TEXT(K2505,"0.00")&amp;" mi fresh access; "&amp;L2505&amp;" nearby resources")</x:f>
        <x:v>Missing demographic or access input</x:v>
      </x:c>
      <x:c r="AB2505" s="1" t="n">
        <x:f>IF(OR(A2505="",COUNTIFS($A$1531:$A$2030,A2505)&lt;&gt;1),0,MATCH(A2505,$A$1531:$A$2030,0))</x:f>
        <x:v>0</x:v>
      </x:c>
      <x:c r="AC2505" s="1" t="str">
        <x:f>IF(AB2505=0,"",INDEX($E$1531:$E$2030,AB2505))</x:f>
      </x:c>
      <x:c r="AD2505" s="1" t="str">
        <x:f>IF(AB2505=0,"",INDEX($F$1531:$F$2030,AB2505))</x:f>
      </x:c>
      <x:c r="AE2505" s="1" t="str">
        <x:f>IF(A2505="","",F456)</x:f>
      </x:c>
      <x:c r="AF2505" s="1" t="str">
        <x:f>IF(ISNUMBER(I456),I456,"")</x:f>
      </x:c>
      <x:c r="AG2505" s="1" t="str">
        <x:f>IF(ISNUMBER(J456),J456,"")</x:f>
      </x:c>
      <x:c r="AH2505" s="1" t="str">
        <x:f>IF(I2505=0,"Not contacted",IF(INDEX('Staff Review'!$J$8:$J$507,I2505)="","Not contacted",INDEX('Staff Review'!$J$8:$J$507,I2505)))</x:f>
        <x:v>Not contacted</x:v>
      </x:c>
      <x:c r="AI2505" s="1" t="str">
        <x:f>IF(I2505=0,"No",IF(AND(COUNT(INDEX('Staff Review'!$D$8:$D$507,I2505))=1,INDEX('Staff Review'!$D$8:$D$507,I2505)&gt;=0,COUNT(INDEX('Staff Review'!$E$8:$E$507,I2505))=1,INDEX('Staff Review'!$E$8:$E$507,I2505)&gt;0,INDEX('Staff Review'!$E$8:$E$507,I2505)&lt;='Top 15'!$E$5,'Top 15'!$E$5-INDEX('Staff Review'!$E$8:$E$507,I2505)&lt;='Top 15'!$H$5,LEN(INDEX('Staff Review'!$H$8:$H$507,I2505))&gt;0),"Yes","No"))</x:f>
        <x:v>No</x:v>
      </x:c>
      <x:c r="AJ2505" s="1" t="str">
        <x:f>IF(I2505=0,"No",IF(COUNT(INDEX('Staff Review'!$F$8:$F$507,I2505))&lt;&gt;1,"No",IF(AND(INDEX('Staff Review'!$F$8:$F$507,I2505)&gt;=0,MOD(INDEX('Staff Review'!$F$8:$F$507,I2505),1)=0,COUNT(INDEX('Staff Review'!$G$8:$G$507,I2505))=1,INDEX('Staff Review'!$G$8:$G$507,I2505)&gt;0,INDEX('Staff Review'!$G$8:$G$507,I2505)&lt;='Top 15'!$E$5,'Top 15'!$E$5-INDEX('Staff Review'!$G$8:$G$507,I2505)&lt;='Top 15'!$H$5,LEN(INDEX('Staff Review'!$H$8:$H$507,I2505))&gt;0),"Yes","No")))</x:f>
        <x:v>No</x:v>
      </x:c>
      <x:c r="AK2505" s="1" t="n">
        <x:f>IF(A2505="",0,COUNTIFS($A$2:$A$501,A2505))</x:f>
        <x:v>0</x:v>
      </x:c>
      <x:c r="AL2505" s="1" t="n">
        <x:f>IF(V2505="Candidate",1,0)</x:f>
        <x:v>0</x:v>
      </x:c>
      <x:c r="AM2505" s="1" t="n">
        <x:f>IF(A2505="",0,VALUE(A2505))</x:f>
        <x:v>0</x:v>
      </x:c>
      <x:c r="AN2505" s="1" t="n">
        <x:f>IF(OR(A2505="",COUNTIFS($T$41:$T$540,A2505)&lt;&gt;1),0,MATCH(A2505,$T$41:$T$540,0))</x:f>
        <x:v>0</x:v>
      </x:c>
      <x:c r="AO2505" t="n">
        <x:f>IF(ISNUMBER(W2505),W2505,10000+AM2505)</x:f>
        <x:v>10000</x:v>
      </x:c>
    </x:row>
    <x:row r="2506" ht="22" customHeight="1">
      <x:c r="A2506" s="1" t="str">
        <x:f>IF(A457="","",A457)</x:f>
      </x:c>
      <x:c r="B2506" s="1" t="str">
        <x:f>IF(A2506="","",B457)</x:f>
      </x:c>
      <x:c r="C2506" s="1" t="str">
        <x:f>IF(A2506="","",C457)</x:f>
      </x:c>
      <x:c r="D2506" s="1" t="str">
        <x:f>IF(A2506="","",E457)</x:f>
      </x:c>
      <x:c r="E2506" s="1" t="str">
        <x:f>IF(A2506="","",H457)</x:f>
      </x:c>
      <x:c r="F2506" s="1" t="str">
        <x:f>IF(ISNUMBER(K457),K457,"")</x:f>
      </x:c>
      <x:c r="G2506" s="1" t="str">
        <x:f>IF(ISNUMBER(L457),L457,"")</x:f>
      </x:c>
      <x:c r="H2506" s="1" t="str">
        <x:f>IF(A2506="","",IF(AND(UPPER(G457)="PHILADELPHIA",OR(C2506="District",AND(C2506="Charter",D457="Yes"))),"Yes","No"))</x:f>
      </x:c>
      <x:c r="I2506" s="1" t="n">
        <x:f>IF(OR(A2506="",COUNTIFS('Staff Review'!$A$8:$A$507,A2506)&lt;&gt;1),0,MATCH(A2506,'Staff Review'!$A$8:$A$507,0))</x:f>
        <x:v>0</x:v>
      </x:c>
      <x:c r="J2506" s="1" t="str">
        <x:f>IF(I2506=0,"No",IF(INDEX('Staff Review'!$C$8:$C$507,I2506)="Yes","Yes","No"))</x:f>
        <x:v>No</x:v>
      </x:c>
      <x:c r="K2506" s="1" t="str">
        <x:f>IF(AI2506="Yes",INDEX('Staff Review'!$D$8:$D$507,I2506),IF(AB2506=0,"",IF(COUNT(INDEX($C$1531:$C$2030,AB2506))=1,INDEX($C$1531:$C$2030,AB2506),"")))</x:f>
      </x:c>
      <x:c r="L2506" s="1" t="str">
        <x:f>IF(AJ2506="Yes",INDEX('Staff Review'!$F$8:$F$507,I2506),IF(AB2506=0,"",IF(COUNT(INDEX($G$1531:$G$2030,AB2506))=1,INDEX($G$1531:$G$2030,AB2506),"")))</x:f>
      </x:c>
      <x:c r="M2506" s="1" t="str">
        <x:f>IF(A2506="","",IF(AI2506="Yes","Verified","Listed"))</x:f>
      </x:c>
      <x:c r="N2506" s="1" t="str">
        <x:f>IF(A2506="","",IF(AJ2506="Yes","Verified","Listed"))</x:f>
      </x:c>
      <x:c r="O2506" s="1" t="str">
        <x:f>IF(AND(ISNUMBER(G2506),G2506&gt;=0,G2506&lt;=1),IF(G2506&gt;=0.9,30,IF(G2506&gt;=0.8,25,IF(G2506&gt;=0.7,20,IF(G2506&gt;=0.6,15,IF(G2506&gt;=0.5,10,IF(G2506&gt;=0.4,5,0)))))),"")</x:f>
      </x:c>
      <x:c r="P2506" s="1" t="str">
        <x:f>IF(ISNUMBER(K2506),IF(K2506&lt;0,"",IF(K2506&gt;1,25,IF(K2506&gt;=0.75,20,IF(K2506&gt;=0.5,15,IF(K2506&gt;=0.25,10,5))))),"")</x:f>
      </x:c>
      <x:c r="Q2506" s="1" t="str">
        <x:f>IF(NOT(ISNUMBER(L2506)),"",IF(AND(L2506&gt;=0,MOD(L2506,1)=0),MAX(0,25-5*L2506),""))</x:f>
      </x:c>
      <x:c r="R2506" s="1" t="str">
        <x:f>IF(NOT(ISNUMBER(F2506)),"",IF(AND(F2506&gt;0,MOD(F2506,1)=0),IF(F2506&gt;=700,5,IF(F2506&gt;=500,4,IF(F2506&gt;=350,3,IF(F2506&gt;=200,2,1)))),""))</x:f>
      </x:c>
      <x:c r="S2506" s="1" t="str">
        <x:f>IF(COUNT(O2506:R2506)=4,SUM(O2506:R2506),"")</x:f>
      </x:c>
      <x:c r="T2506" s="1" t="str">
        <x:f>IF(OR(COUNT(O2506:R2506)&lt;&gt;4,COUNT('Top 15'!$B$35:$E$35)&lt;&gt;4,MIN('Top 15'!$B$35:$E$35)&lt;0,SUM('Top 15'!$B$35:$E$35)&lt;=0),"",ROUND(85*(O2506/30*'Top 15'!$B$35+P2506/25*'Top 15'!$C$35+Q2506/25*'Top 15'!$D$35+R2506/5*'Top 15'!$E$35)/SUM('Top 15'!$B$35:$E$35),6))</x:f>
      </x:c>
      <x:c r="U2506" s="1" t="str">
        <x:f>IF(A2506="","",IF(AND(M2506="Verified",N2506="Verified"),"Verified",IF(AND(M2506="Listed",N2506="Listed"),"Listed","Mixed")))</x:f>
      </x:c>
      <x:c r="V2506" s="1" t="str">
        <x:f>IF(A2506="","",IF(AK2506&lt;&gt;1,"Duplicate source ID",IF(COUNTIFS('Staff Review'!$A$8:$A$507,A2506)&gt;1,"Duplicate review ID",IF(H2506&lt;&gt;"Yes","Outside scope",IF(J2506="Yes","Already served",IF(NOT(ISNUMBER(T2506)),"Missing data","Candidate"))))))</x:f>
      </x:c>
      <x:c r="W2506" s="1" t="str">
        <x:f>IF(AL2506=0,"",1+COUNTIFS($AL$2051:$AL$2550,1,$T$2051:$T$2550,"&gt;"&amp;T2506)+COUNTIFS($AL$2051:$AL$2550,1,$T$2051:$T$2550,T2506,$G$2051:$G$2550,"&gt;"&amp;G2506)+COUNTIFS($AL$2051:$AL$2550,1,$T$2051:$T$2550,T2506,$G$2051:$G$2550,G2506,$F$2051:$F$2550,"&gt;"&amp;F2506)+COUNTIFS($AL$2051:$AL$2550,1,$T$2051:$T$2550,T2506,$G$2051:$G$2550,G2506,$F$2051:$F$2550,F2506,$AM$2051:$AM$2550,"&lt;"&amp;AM2506))</x:f>
      </x:c>
      <x:c r="X2506" s="1" t="str">
        <x:f>IF(AL2506=0,"",1+COUNTIFS($AL$2051:$AL$2550,1,$T$2051:$T$2550,"&gt;"&amp;T2506))</x:f>
      </x:c>
      <x:c r="Y2506" s="1" t="n">
        <x:f>IF(AND(H2506="Yes",OR(LEN('School Search'!$B$5)=0,ISNUMBER(SEARCH('School Search'!$B$5,B2506&amp;" "&amp;E2506&amp;" "&amp;A2506))),OR('School Search'!$D$5="All",C2506='School Search'!$D$5),OR('School Search'!$G$5="All eligible",AND('School Search'!$G$5="Not marked served",J2506&lt;&gt;"Yes"),AND('School Search'!$G$5="Missing data",V2506="Missing data"),AND('School Search'!$G$5="Marked served",J2506="Yes"))),1,0)</x:f>
        <x:v>0</x:v>
      </x:c>
      <x:c r="Z2506" s="1" t="str">
        <x:f>IF(Y2506=0,"",COUNTIFS($Y$2051:$Y$2550,1,$AO$2051:$AO$2550,"&lt;"&amp;AO2506)+COUNTIFS($Y$2051:Y2506,1,$AO$2051:AO2506,AO2506))</x:f>
      </x:c>
      <x:c r="AA2506" s="1" t="str">
        <x:f>IF(NOT(ISNUMBER(S2506)),"Missing demographic or access input",TEXT(G2506,"0%")&amp;" economic need; "&amp;TEXT(K2506,"0.00")&amp;" mi fresh access; "&amp;L2506&amp;" nearby resources")</x:f>
        <x:v>Missing demographic or access input</x:v>
      </x:c>
      <x:c r="AB2506" s="1" t="n">
        <x:f>IF(OR(A2506="",COUNTIFS($A$1531:$A$2030,A2506)&lt;&gt;1),0,MATCH(A2506,$A$1531:$A$2030,0))</x:f>
        <x:v>0</x:v>
      </x:c>
      <x:c r="AC2506" s="1" t="str">
        <x:f>IF(AB2506=0,"",INDEX($E$1531:$E$2030,AB2506))</x:f>
      </x:c>
      <x:c r="AD2506" s="1" t="str">
        <x:f>IF(AB2506=0,"",INDEX($F$1531:$F$2030,AB2506))</x:f>
      </x:c>
      <x:c r="AE2506" s="1" t="str">
        <x:f>IF(A2506="","",F457)</x:f>
      </x:c>
      <x:c r="AF2506" s="1" t="str">
        <x:f>IF(ISNUMBER(I457),I457,"")</x:f>
      </x:c>
      <x:c r="AG2506" s="1" t="str">
        <x:f>IF(ISNUMBER(J457),J457,"")</x:f>
      </x:c>
      <x:c r="AH2506" s="1" t="str">
        <x:f>IF(I2506=0,"Not contacted",IF(INDEX('Staff Review'!$J$8:$J$507,I2506)="","Not contacted",INDEX('Staff Review'!$J$8:$J$507,I2506)))</x:f>
        <x:v>Not contacted</x:v>
      </x:c>
      <x:c r="AI2506" s="1" t="str">
        <x:f>IF(I2506=0,"No",IF(AND(COUNT(INDEX('Staff Review'!$D$8:$D$507,I2506))=1,INDEX('Staff Review'!$D$8:$D$507,I2506)&gt;=0,COUNT(INDEX('Staff Review'!$E$8:$E$507,I2506))=1,INDEX('Staff Review'!$E$8:$E$507,I2506)&gt;0,INDEX('Staff Review'!$E$8:$E$507,I2506)&lt;='Top 15'!$E$5,'Top 15'!$E$5-INDEX('Staff Review'!$E$8:$E$507,I2506)&lt;='Top 15'!$H$5,LEN(INDEX('Staff Review'!$H$8:$H$507,I2506))&gt;0),"Yes","No"))</x:f>
        <x:v>No</x:v>
      </x:c>
      <x:c r="AJ2506" s="1" t="str">
        <x:f>IF(I2506=0,"No",IF(COUNT(INDEX('Staff Review'!$F$8:$F$507,I2506))&lt;&gt;1,"No",IF(AND(INDEX('Staff Review'!$F$8:$F$507,I2506)&gt;=0,MOD(INDEX('Staff Review'!$F$8:$F$507,I2506),1)=0,COUNT(INDEX('Staff Review'!$G$8:$G$507,I2506))=1,INDEX('Staff Review'!$G$8:$G$507,I2506)&gt;0,INDEX('Staff Review'!$G$8:$G$507,I2506)&lt;='Top 15'!$E$5,'Top 15'!$E$5-INDEX('Staff Review'!$G$8:$G$507,I2506)&lt;='Top 15'!$H$5,LEN(INDEX('Staff Review'!$H$8:$H$507,I2506))&gt;0),"Yes","No")))</x:f>
        <x:v>No</x:v>
      </x:c>
      <x:c r="AK2506" s="1" t="n">
        <x:f>IF(A2506="",0,COUNTIFS($A$2:$A$501,A2506))</x:f>
        <x:v>0</x:v>
      </x:c>
      <x:c r="AL2506" s="1" t="n">
        <x:f>IF(V2506="Candidate",1,0)</x:f>
        <x:v>0</x:v>
      </x:c>
      <x:c r="AM2506" s="1" t="n">
        <x:f>IF(A2506="",0,VALUE(A2506))</x:f>
        <x:v>0</x:v>
      </x:c>
      <x:c r="AN2506" s="1" t="n">
        <x:f>IF(OR(A2506="",COUNTIFS($T$41:$T$540,A2506)&lt;&gt;1),0,MATCH(A2506,$T$41:$T$540,0))</x:f>
        <x:v>0</x:v>
      </x:c>
      <x:c r="AO2506" t="n">
        <x:f>IF(ISNUMBER(W2506),W2506,10000+AM2506)</x:f>
        <x:v>10000</x:v>
      </x:c>
    </x:row>
    <x:row r="2507" ht="22" customHeight="1">
      <x:c r="A2507" s="1" t="str">
        <x:f>IF(A458="","",A458)</x:f>
      </x:c>
      <x:c r="B2507" s="1" t="str">
        <x:f>IF(A2507="","",B458)</x:f>
      </x:c>
      <x:c r="C2507" s="1" t="str">
        <x:f>IF(A2507="","",C458)</x:f>
      </x:c>
      <x:c r="D2507" s="1" t="str">
        <x:f>IF(A2507="","",E458)</x:f>
      </x:c>
      <x:c r="E2507" s="1" t="str">
        <x:f>IF(A2507="","",H458)</x:f>
      </x:c>
      <x:c r="F2507" s="1" t="str">
        <x:f>IF(ISNUMBER(K458),K458,"")</x:f>
      </x:c>
      <x:c r="G2507" s="1" t="str">
        <x:f>IF(ISNUMBER(L458),L458,"")</x:f>
      </x:c>
      <x:c r="H2507" s="1" t="str">
        <x:f>IF(A2507="","",IF(AND(UPPER(G458)="PHILADELPHIA",OR(C2507="District",AND(C2507="Charter",D458="Yes"))),"Yes","No"))</x:f>
      </x:c>
      <x:c r="I2507" s="1" t="n">
        <x:f>IF(OR(A2507="",COUNTIFS('Staff Review'!$A$8:$A$507,A2507)&lt;&gt;1),0,MATCH(A2507,'Staff Review'!$A$8:$A$507,0))</x:f>
        <x:v>0</x:v>
      </x:c>
      <x:c r="J2507" s="1" t="str">
        <x:f>IF(I2507=0,"No",IF(INDEX('Staff Review'!$C$8:$C$507,I2507)="Yes","Yes","No"))</x:f>
        <x:v>No</x:v>
      </x:c>
      <x:c r="K2507" s="1" t="str">
        <x:f>IF(AI2507="Yes",INDEX('Staff Review'!$D$8:$D$507,I2507),IF(AB2507=0,"",IF(COUNT(INDEX($C$1531:$C$2030,AB2507))=1,INDEX($C$1531:$C$2030,AB2507),"")))</x:f>
      </x:c>
      <x:c r="L2507" s="1" t="str">
        <x:f>IF(AJ2507="Yes",INDEX('Staff Review'!$F$8:$F$507,I2507),IF(AB2507=0,"",IF(COUNT(INDEX($G$1531:$G$2030,AB2507))=1,INDEX($G$1531:$G$2030,AB2507),"")))</x:f>
      </x:c>
      <x:c r="M2507" s="1" t="str">
        <x:f>IF(A2507="","",IF(AI2507="Yes","Verified","Listed"))</x:f>
      </x:c>
      <x:c r="N2507" s="1" t="str">
        <x:f>IF(A2507="","",IF(AJ2507="Yes","Verified","Listed"))</x:f>
      </x:c>
      <x:c r="O2507" s="1" t="str">
        <x:f>IF(AND(ISNUMBER(G2507),G2507&gt;=0,G2507&lt;=1),IF(G2507&gt;=0.9,30,IF(G2507&gt;=0.8,25,IF(G2507&gt;=0.7,20,IF(G2507&gt;=0.6,15,IF(G2507&gt;=0.5,10,IF(G2507&gt;=0.4,5,0)))))),"")</x:f>
      </x:c>
      <x:c r="P2507" s="1" t="str">
        <x:f>IF(ISNUMBER(K2507),IF(K2507&lt;0,"",IF(K2507&gt;1,25,IF(K2507&gt;=0.75,20,IF(K2507&gt;=0.5,15,IF(K2507&gt;=0.25,10,5))))),"")</x:f>
      </x:c>
      <x:c r="Q2507" s="1" t="str">
        <x:f>IF(NOT(ISNUMBER(L2507)),"",IF(AND(L2507&gt;=0,MOD(L2507,1)=0),MAX(0,25-5*L2507),""))</x:f>
      </x:c>
      <x:c r="R2507" s="1" t="str">
        <x:f>IF(NOT(ISNUMBER(F2507)),"",IF(AND(F2507&gt;0,MOD(F2507,1)=0),IF(F2507&gt;=700,5,IF(F2507&gt;=500,4,IF(F2507&gt;=350,3,IF(F2507&gt;=200,2,1)))),""))</x:f>
      </x:c>
      <x:c r="S2507" s="1" t="str">
        <x:f>IF(COUNT(O2507:R2507)=4,SUM(O2507:R2507),"")</x:f>
      </x:c>
      <x:c r="T2507" s="1" t="str">
        <x:f>IF(OR(COUNT(O2507:R2507)&lt;&gt;4,COUNT('Top 15'!$B$35:$E$35)&lt;&gt;4,MIN('Top 15'!$B$35:$E$35)&lt;0,SUM('Top 15'!$B$35:$E$35)&lt;=0),"",ROUND(85*(O2507/30*'Top 15'!$B$35+P2507/25*'Top 15'!$C$35+Q2507/25*'Top 15'!$D$35+R2507/5*'Top 15'!$E$35)/SUM('Top 15'!$B$35:$E$35),6))</x:f>
      </x:c>
      <x:c r="U2507" s="1" t="str">
        <x:f>IF(A2507="","",IF(AND(M2507="Verified",N2507="Verified"),"Verified",IF(AND(M2507="Listed",N2507="Listed"),"Listed","Mixed")))</x:f>
      </x:c>
      <x:c r="V2507" s="1" t="str">
        <x:f>IF(A2507="","",IF(AK2507&lt;&gt;1,"Duplicate source ID",IF(COUNTIFS('Staff Review'!$A$8:$A$507,A2507)&gt;1,"Duplicate review ID",IF(H2507&lt;&gt;"Yes","Outside scope",IF(J2507="Yes","Already served",IF(NOT(ISNUMBER(T2507)),"Missing data","Candidate"))))))</x:f>
      </x:c>
      <x:c r="W2507" s="1" t="str">
        <x:f>IF(AL2507=0,"",1+COUNTIFS($AL$2051:$AL$2550,1,$T$2051:$T$2550,"&gt;"&amp;T2507)+COUNTIFS($AL$2051:$AL$2550,1,$T$2051:$T$2550,T2507,$G$2051:$G$2550,"&gt;"&amp;G2507)+COUNTIFS($AL$2051:$AL$2550,1,$T$2051:$T$2550,T2507,$G$2051:$G$2550,G2507,$F$2051:$F$2550,"&gt;"&amp;F2507)+COUNTIFS($AL$2051:$AL$2550,1,$T$2051:$T$2550,T2507,$G$2051:$G$2550,G2507,$F$2051:$F$2550,F2507,$AM$2051:$AM$2550,"&lt;"&amp;AM2507))</x:f>
      </x:c>
      <x:c r="X2507" s="1" t="str">
        <x:f>IF(AL2507=0,"",1+COUNTIFS($AL$2051:$AL$2550,1,$T$2051:$T$2550,"&gt;"&amp;T2507))</x:f>
      </x:c>
      <x:c r="Y2507" s="1" t="n">
        <x:f>IF(AND(H2507="Yes",OR(LEN('School Search'!$B$5)=0,ISNUMBER(SEARCH('School Search'!$B$5,B2507&amp;" "&amp;E2507&amp;" "&amp;A2507))),OR('School Search'!$D$5="All",C2507='School Search'!$D$5),OR('School Search'!$G$5="All eligible",AND('School Search'!$G$5="Not marked served",J2507&lt;&gt;"Yes"),AND('School Search'!$G$5="Missing data",V2507="Missing data"),AND('School Search'!$G$5="Marked served",J2507="Yes"))),1,0)</x:f>
        <x:v>0</x:v>
      </x:c>
      <x:c r="Z2507" s="1" t="str">
        <x:f>IF(Y2507=0,"",COUNTIFS($Y$2051:$Y$2550,1,$AO$2051:$AO$2550,"&lt;"&amp;AO2507)+COUNTIFS($Y$2051:Y2507,1,$AO$2051:AO2507,AO2507))</x:f>
      </x:c>
      <x:c r="AA2507" s="1" t="str">
        <x:f>IF(NOT(ISNUMBER(S2507)),"Missing demographic or access input",TEXT(G2507,"0%")&amp;" economic need; "&amp;TEXT(K2507,"0.00")&amp;" mi fresh access; "&amp;L2507&amp;" nearby resources")</x:f>
        <x:v>Missing demographic or access input</x:v>
      </x:c>
      <x:c r="AB2507" s="1" t="n">
        <x:f>IF(OR(A2507="",COUNTIFS($A$1531:$A$2030,A2507)&lt;&gt;1),0,MATCH(A2507,$A$1531:$A$2030,0))</x:f>
        <x:v>0</x:v>
      </x:c>
      <x:c r="AC2507" s="1" t="str">
        <x:f>IF(AB2507=0,"",INDEX($E$1531:$E$2030,AB2507))</x:f>
      </x:c>
      <x:c r="AD2507" s="1" t="str">
        <x:f>IF(AB2507=0,"",INDEX($F$1531:$F$2030,AB2507))</x:f>
      </x:c>
      <x:c r="AE2507" s="1" t="str">
        <x:f>IF(A2507="","",F458)</x:f>
      </x:c>
      <x:c r="AF2507" s="1" t="str">
        <x:f>IF(ISNUMBER(I458),I458,"")</x:f>
      </x:c>
      <x:c r="AG2507" s="1" t="str">
        <x:f>IF(ISNUMBER(J458),J458,"")</x:f>
      </x:c>
      <x:c r="AH2507" s="1" t="str">
        <x:f>IF(I2507=0,"Not contacted",IF(INDEX('Staff Review'!$J$8:$J$507,I2507)="","Not contacted",INDEX('Staff Review'!$J$8:$J$507,I2507)))</x:f>
        <x:v>Not contacted</x:v>
      </x:c>
      <x:c r="AI2507" s="1" t="str">
        <x:f>IF(I2507=0,"No",IF(AND(COUNT(INDEX('Staff Review'!$D$8:$D$507,I2507))=1,INDEX('Staff Review'!$D$8:$D$507,I2507)&gt;=0,COUNT(INDEX('Staff Review'!$E$8:$E$507,I2507))=1,INDEX('Staff Review'!$E$8:$E$507,I2507)&gt;0,INDEX('Staff Review'!$E$8:$E$507,I2507)&lt;='Top 15'!$E$5,'Top 15'!$E$5-INDEX('Staff Review'!$E$8:$E$507,I2507)&lt;='Top 15'!$H$5,LEN(INDEX('Staff Review'!$H$8:$H$507,I2507))&gt;0),"Yes","No"))</x:f>
        <x:v>No</x:v>
      </x:c>
      <x:c r="AJ2507" s="1" t="str">
        <x:f>IF(I2507=0,"No",IF(COUNT(INDEX('Staff Review'!$F$8:$F$507,I2507))&lt;&gt;1,"No",IF(AND(INDEX('Staff Review'!$F$8:$F$507,I2507)&gt;=0,MOD(INDEX('Staff Review'!$F$8:$F$507,I2507),1)=0,COUNT(INDEX('Staff Review'!$G$8:$G$507,I2507))=1,INDEX('Staff Review'!$G$8:$G$507,I2507)&gt;0,INDEX('Staff Review'!$G$8:$G$507,I2507)&lt;='Top 15'!$E$5,'Top 15'!$E$5-INDEX('Staff Review'!$G$8:$G$507,I2507)&lt;='Top 15'!$H$5,LEN(INDEX('Staff Review'!$H$8:$H$507,I2507))&gt;0),"Yes","No")))</x:f>
        <x:v>No</x:v>
      </x:c>
      <x:c r="AK2507" s="1" t="n">
        <x:f>IF(A2507="",0,COUNTIFS($A$2:$A$501,A2507))</x:f>
        <x:v>0</x:v>
      </x:c>
      <x:c r="AL2507" s="1" t="n">
        <x:f>IF(V2507="Candidate",1,0)</x:f>
        <x:v>0</x:v>
      </x:c>
      <x:c r="AM2507" s="1" t="n">
        <x:f>IF(A2507="",0,VALUE(A2507))</x:f>
        <x:v>0</x:v>
      </x:c>
      <x:c r="AN2507" s="1" t="n">
        <x:f>IF(OR(A2507="",COUNTIFS($T$41:$T$540,A2507)&lt;&gt;1),0,MATCH(A2507,$T$41:$T$540,0))</x:f>
        <x:v>0</x:v>
      </x:c>
      <x:c r="AO2507" t="n">
        <x:f>IF(ISNUMBER(W2507),W2507,10000+AM2507)</x:f>
        <x:v>10000</x:v>
      </x:c>
    </x:row>
    <x:row r="2508" ht="22" customHeight="1">
      <x:c r="A2508" s="1" t="str">
        <x:f>IF(A459="","",A459)</x:f>
      </x:c>
      <x:c r="B2508" s="1" t="str">
        <x:f>IF(A2508="","",B459)</x:f>
      </x:c>
      <x:c r="C2508" s="1" t="str">
        <x:f>IF(A2508="","",C459)</x:f>
      </x:c>
      <x:c r="D2508" s="1" t="str">
        <x:f>IF(A2508="","",E459)</x:f>
      </x:c>
      <x:c r="E2508" s="1" t="str">
        <x:f>IF(A2508="","",H459)</x:f>
      </x:c>
      <x:c r="F2508" s="1" t="str">
        <x:f>IF(ISNUMBER(K459),K459,"")</x:f>
      </x:c>
      <x:c r="G2508" s="1" t="str">
        <x:f>IF(ISNUMBER(L459),L459,"")</x:f>
      </x:c>
      <x:c r="H2508" s="1" t="str">
        <x:f>IF(A2508="","",IF(AND(UPPER(G459)="PHILADELPHIA",OR(C2508="District",AND(C2508="Charter",D459="Yes"))),"Yes","No"))</x:f>
      </x:c>
      <x:c r="I2508" s="1" t="n">
        <x:f>IF(OR(A2508="",COUNTIFS('Staff Review'!$A$8:$A$507,A2508)&lt;&gt;1),0,MATCH(A2508,'Staff Review'!$A$8:$A$507,0))</x:f>
        <x:v>0</x:v>
      </x:c>
      <x:c r="J2508" s="1" t="str">
        <x:f>IF(I2508=0,"No",IF(INDEX('Staff Review'!$C$8:$C$507,I2508)="Yes","Yes","No"))</x:f>
        <x:v>No</x:v>
      </x:c>
      <x:c r="K2508" s="1" t="str">
        <x:f>IF(AI2508="Yes",INDEX('Staff Review'!$D$8:$D$507,I2508),IF(AB2508=0,"",IF(COUNT(INDEX($C$1531:$C$2030,AB2508))=1,INDEX($C$1531:$C$2030,AB2508),"")))</x:f>
      </x:c>
      <x:c r="L2508" s="1" t="str">
        <x:f>IF(AJ2508="Yes",INDEX('Staff Review'!$F$8:$F$507,I2508),IF(AB2508=0,"",IF(COUNT(INDEX($G$1531:$G$2030,AB2508))=1,INDEX($G$1531:$G$2030,AB2508),"")))</x:f>
      </x:c>
      <x:c r="M2508" s="1" t="str">
        <x:f>IF(A2508="","",IF(AI2508="Yes","Verified","Listed"))</x:f>
      </x:c>
      <x:c r="N2508" s="1" t="str">
        <x:f>IF(A2508="","",IF(AJ2508="Yes","Verified","Listed"))</x:f>
      </x:c>
      <x:c r="O2508" s="1" t="str">
        <x:f>IF(AND(ISNUMBER(G2508),G2508&gt;=0,G2508&lt;=1),IF(G2508&gt;=0.9,30,IF(G2508&gt;=0.8,25,IF(G2508&gt;=0.7,20,IF(G2508&gt;=0.6,15,IF(G2508&gt;=0.5,10,IF(G2508&gt;=0.4,5,0)))))),"")</x:f>
      </x:c>
      <x:c r="P2508" s="1" t="str">
        <x:f>IF(ISNUMBER(K2508),IF(K2508&lt;0,"",IF(K2508&gt;1,25,IF(K2508&gt;=0.75,20,IF(K2508&gt;=0.5,15,IF(K2508&gt;=0.25,10,5))))),"")</x:f>
      </x:c>
      <x:c r="Q2508" s="1" t="str">
        <x:f>IF(NOT(ISNUMBER(L2508)),"",IF(AND(L2508&gt;=0,MOD(L2508,1)=0),MAX(0,25-5*L2508),""))</x:f>
      </x:c>
      <x:c r="R2508" s="1" t="str">
        <x:f>IF(NOT(ISNUMBER(F2508)),"",IF(AND(F2508&gt;0,MOD(F2508,1)=0),IF(F2508&gt;=700,5,IF(F2508&gt;=500,4,IF(F2508&gt;=350,3,IF(F2508&gt;=200,2,1)))),""))</x:f>
      </x:c>
      <x:c r="S2508" s="1" t="str">
        <x:f>IF(COUNT(O2508:R2508)=4,SUM(O2508:R2508),"")</x:f>
      </x:c>
      <x:c r="T2508" s="1" t="str">
        <x:f>IF(OR(COUNT(O2508:R2508)&lt;&gt;4,COUNT('Top 15'!$B$35:$E$35)&lt;&gt;4,MIN('Top 15'!$B$35:$E$35)&lt;0,SUM('Top 15'!$B$35:$E$35)&lt;=0),"",ROUND(85*(O2508/30*'Top 15'!$B$35+P2508/25*'Top 15'!$C$35+Q2508/25*'Top 15'!$D$35+R2508/5*'Top 15'!$E$35)/SUM('Top 15'!$B$35:$E$35),6))</x:f>
      </x:c>
      <x:c r="U2508" s="1" t="str">
        <x:f>IF(A2508="","",IF(AND(M2508="Verified",N2508="Verified"),"Verified",IF(AND(M2508="Listed",N2508="Listed"),"Listed","Mixed")))</x:f>
      </x:c>
      <x:c r="V2508" s="1" t="str">
        <x:f>IF(A2508="","",IF(AK2508&lt;&gt;1,"Duplicate source ID",IF(COUNTIFS('Staff Review'!$A$8:$A$507,A2508)&gt;1,"Duplicate review ID",IF(H2508&lt;&gt;"Yes","Outside scope",IF(J2508="Yes","Already served",IF(NOT(ISNUMBER(T2508)),"Missing data","Candidate"))))))</x:f>
      </x:c>
      <x:c r="W2508" s="1" t="str">
        <x:f>IF(AL2508=0,"",1+COUNTIFS($AL$2051:$AL$2550,1,$T$2051:$T$2550,"&gt;"&amp;T2508)+COUNTIFS($AL$2051:$AL$2550,1,$T$2051:$T$2550,T2508,$G$2051:$G$2550,"&gt;"&amp;G2508)+COUNTIFS($AL$2051:$AL$2550,1,$T$2051:$T$2550,T2508,$G$2051:$G$2550,G2508,$F$2051:$F$2550,"&gt;"&amp;F2508)+COUNTIFS($AL$2051:$AL$2550,1,$T$2051:$T$2550,T2508,$G$2051:$G$2550,G2508,$F$2051:$F$2550,F2508,$AM$2051:$AM$2550,"&lt;"&amp;AM2508))</x:f>
      </x:c>
      <x:c r="X2508" s="1" t="str">
        <x:f>IF(AL2508=0,"",1+COUNTIFS($AL$2051:$AL$2550,1,$T$2051:$T$2550,"&gt;"&amp;T2508))</x:f>
      </x:c>
      <x:c r="Y2508" s="1" t="n">
        <x:f>IF(AND(H2508="Yes",OR(LEN('School Search'!$B$5)=0,ISNUMBER(SEARCH('School Search'!$B$5,B2508&amp;" "&amp;E2508&amp;" "&amp;A2508))),OR('School Search'!$D$5="All",C2508='School Search'!$D$5),OR('School Search'!$G$5="All eligible",AND('School Search'!$G$5="Not marked served",J2508&lt;&gt;"Yes"),AND('School Search'!$G$5="Missing data",V2508="Missing data"),AND('School Search'!$G$5="Marked served",J2508="Yes"))),1,0)</x:f>
        <x:v>0</x:v>
      </x:c>
      <x:c r="Z2508" s="1" t="str">
        <x:f>IF(Y2508=0,"",COUNTIFS($Y$2051:$Y$2550,1,$AO$2051:$AO$2550,"&lt;"&amp;AO2508)+COUNTIFS($Y$2051:Y2508,1,$AO$2051:AO2508,AO2508))</x:f>
      </x:c>
      <x:c r="AA2508" s="1" t="str">
        <x:f>IF(NOT(ISNUMBER(S2508)),"Missing demographic or access input",TEXT(G2508,"0%")&amp;" economic need; "&amp;TEXT(K2508,"0.00")&amp;" mi fresh access; "&amp;L2508&amp;" nearby resources")</x:f>
        <x:v>Missing demographic or access input</x:v>
      </x:c>
      <x:c r="AB2508" s="1" t="n">
        <x:f>IF(OR(A2508="",COUNTIFS($A$1531:$A$2030,A2508)&lt;&gt;1),0,MATCH(A2508,$A$1531:$A$2030,0))</x:f>
        <x:v>0</x:v>
      </x:c>
      <x:c r="AC2508" s="1" t="str">
        <x:f>IF(AB2508=0,"",INDEX($E$1531:$E$2030,AB2508))</x:f>
      </x:c>
      <x:c r="AD2508" s="1" t="str">
        <x:f>IF(AB2508=0,"",INDEX($F$1531:$F$2030,AB2508))</x:f>
      </x:c>
      <x:c r="AE2508" s="1" t="str">
        <x:f>IF(A2508="","",F459)</x:f>
      </x:c>
      <x:c r="AF2508" s="1" t="str">
        <x:f>IF(ISNUMBER(I459),I459,"")</x:f>
      </x:c>
      <x:c r="AG2508" s="1" t="str">
        <x:f>IF(ISNUMBER(J459),J459,"")</x:f>
      </x:c>
      <x:c r="AH2508" s="1" t="str">
        <x:f>IF(I2508=0,"Not contacted",IF(INDEX('Staff Review'!$J$8:$J$507,I2508)="","Not contacted",INDEX('Staff Review'!$J$8:$J$507,I2508)))</x:f>
        <x:v>Not contacted</x:v>
      </x:c>
      <x:c r="AI2508" s="1" t="str">
        <x:f>IF(I2508=0,"No",IF(AND(COUNT(INDEX('Staff Review'!$D$8:$D$507,I2508))=1,INDEX('Staff Review'!$D$8:$D$507,I2508)&gt;=0,COUNT(INDEX('Staff Review'!$E$8:$E$507,I2508))=1,INDEX('Staff Review'!$E$8:$E$507,I2508)&gt;0,INDEX('Staff Review'!$E$8:$E$507,I2508)&lt;='Top 15'!$E$5,'Top 15'!$E$5-INDEX('Staff Review'!$E$8:$E$507,I2508)&lt;='Top 15'!$H$5,LEN(INDEX('Staff Review'!$H$8:$H$507,I2508))&gt;0),"Yes","No"))</x:f>
        <x:v>No</x:v>
      </x:c>
      <x:c r="AJ2508" s="1" t="str">
        <x:f>IF(I2508=0,"No",IF(COUNT(INDEX('Staff Review'!$F$8:$F$507,I2508))&lt;&gt;1,"No",IF(AND(INDEX('Staff Review'!$F$8:$F$507,I2508)&gt;=0,MOD(INDEX('Staff Review'!$F$8:$F$507,I2508),1)=0,COUNT(INDEX('Staff Review'!$G$8:$G$507,I2508))=1,INDEX('Staff Review'!$G$8:$G$507,I2508)&gt;0,INDEX('Staff Review'!$G$8:$G$507,I2508)&lt;='Top 15'!$E$5,'Top 15'!$E$5-INDEX('Staff Review'!$G$8:$G$507,I2508)&lt;='Top 15'!$H$5,LEN(INDEX('Staff Review'!$H$8:$H$507,I2508))&gt;0),"Yes","No")))</x:f>
        <x:v>No</x:v>
      </x:c>
      <x:c r="AK2508" s="1" t="n">
        <x:f>IF(A2508="",0,COUNTIFS($A$2:$A$501,A2508))</x:f>
        <x:v>0</x:v>
      </x:c>
      <x:c r="AL2508" s="1" t="n">
        <x:f>IF(V2508="Candidate",1,0)</x:f>
        <x:v>0</x:v>
      </x:c>
      <x:c r="AM2508" s="1" t="n">
        <x:f>IF(A2508="",0,VALUE(A2508))</x:f>
        <x:v>0</x:v>
      </x:c>
      <x:c r="AN2508" s="1" t="n">
        <x:f>IF(OR(A2508="",COUNTIFS($T$41:$T$540,A2508)&lt;&gt;1),0,MATCH(A2508,$T$41:$T$540,0))</x:f>
        <x:v>0</x:v>
      </x:c>
      <x:c r="AO2508" t="n">
        <x:f>IF(ISNUMBER(W2508),W2508,10000+AM2508)</x:f>
        <x:v>10000</x:v>
      </x:c>
    </x:row>
    <x:row r="2509" ht="22" customHeight="1">
      <x:c r="A2509" s="1" t="str">
        <x:f>IF(A460="","",A460)</x:f>
      </x:c>
      <x:c r="B2509" s="1" t="str">
        <x:f>IF(A2509="","",B460)</x:f>
      </x:c>
      <x:c r="C2509" s="1" t="str">
        <x:f>IF(A2509="","",C460)</x:f>
      </x:c>
      <x:c r="D2509" s="1" t="str">
        <x:f>IF(A2509="","",E460)</x:f>
      </x:c>
      <x:c r="E2509" s="1" t="str">
        <x:f>IF(A2509="","",H460)</x:f>
      </x:c>
      <x:c r="F2509" s="1" t="str">
        <x:f>IF(ISNUMBER(K460),K460,"")</x:f>
      </x:c>
      <x:c r="G2509" s="1" t="str">
        <x:f>IF(ISNUMBER(L460),L460,"")</x:f>
      </x:c>
      <x:c r="H2509" s="1" t="str">
        <x:f>IF(A2509="","",IF(AND(UPPER(G460)="PHILADELPHIA",OR(C2509="District",AND(C2509="Charter",D460="Yes"))),"Yes","No"))</x:f>
      </x:c>
      <x:c r="I2509" s="1" t="n">
        <x:f>IF(OR(A2509="",COUNTIFS('Staff Review'!$A$8:$A$507,A2509)&lt;&gt;1),0,MATCH(A2509,'Staff Review'!$A$8:$A$507,0))</x:f>
        <x:v>0</x:v>
      </x:c>
      <x:c r="J2509" s="1" t="str">
        <x:f>IF(I2509=0,"No",IF(INDEX('Staff Review'!$C$8:$C$507,I2509)="Yes","Yes","No"))</x:f>
        <x:v>No</x:v>
      </x:c>
      <x:c r="K2509" s="1" t="str">
        <x:f>IF(AI2509="Yes",INDEX('Staff Review'!$D$8:$D$507,I2509),IF(AB2509=0,"",IF(COUNT(INDEX($C$1531:$C$2030,AB2509))=1,INDEX($C$1531:$C$2030,AB2509),"")))</x:f>
      </x:c>
      <x:c r="L2509" s="1" t="str">
        <x:f>IF(AJ2509="Yes",INDEX('Staff Review'!$F$8:$F$507,I2509),IF(AB2509=0,"",IF(COUNT(INDEX($G$1531:$G$2030,AB2509))=1,INDEX($G$1531:$G$2030,AB2509),"")))</x:f>
      </x:c>
      <x:c r="M2509" s="1" t="str">
        <x:f>IF(A2509="","",IF(AI2509="Yes","Verified","Listed"))</x:f>
      </x:c>
      <x:c r="N2509" s="1" t="str">
        <x:f>IF(A2509="","",IF(AJ2509="Yes","Verified","Listed"))</x:f>
      </x:c>
      <x:c r="O2509" s="1" t="str">
        <x:f>IF(AND(ISNUMBER(G2509),G2509&gt;=0,G2509&lt;=1),IF(G2509&gt;=0.9,30,IF(G2509&gt;=0.8,25,IF(G2509&gt;=0.7,20,IF(G2509&gt;=0.6,15,IF(G2509&gt;=0.5,10,IF(G2509&gt;=0.4,5,0)))))),"")</x:f>
      </x:c>
      <x:c r="P2509" s="1" t="str">
        <x:f>IF(ISNUMBER(K2509),IF(K2509&lt;0,"",IF(K2509&gt;1,25,IF(K2509&gt;=0.75,20,IF(K2509&gt;=0.5,15,IF(K2509&gt;=0.25,10,5))))),"")</x:f>
      </x:c>
      <x:c r="Q2509" s="1" t="str">
        <x:f>IF(NOT(ISNUMBER(L2509)),"",IF(AND(L2509&gt;=0,MOD(L2509,1)=0),MAX(0,25-5*L2509),""))</x:f>
      </x:c>
      <x:c r="R2509" s="1" t="str">
        <x:f>IF(NOT(ISNUMBER(F2509)),"",IF(AND(F2509&gt;0,MOD(F2509,1)=0),IF(F2509&gt;=700,5,IF(F2509&gt;=500,4,IF(F2509&gt;=350,3,IF(F2509&gt;=200,2,1)))),""))</x:f>
      </x:c>
      <x:c r="S2509" s="1" t="str">
        <x:f>IF(COUNT(O2509:R2509)=4,SUM(O2509:R2509),"")</x:f>
      </x:c>
      <x:c r="T2509" s="1" t="str">
        <x:f>IF(OR(COUNT(O2509:R2509)&lt;&gt;4,COUNT('Top 15'!$B$35:$E$35)&lt;&gt;4,MIN('Top 15'!$B$35:$E$35)&lt;0,SUM('Top 15'!$B$35:$E$35)&lt;=0),"",ROUND(85*(O2509/30*'Top 15'!$B$35+P2509/25*'Top 15'!$C$35+Q2509/25*'Top 15'!$D$35+R2509/5*'Top 15'!$E$35)/SUM('Top 15'!$B$35:$E$35),6))</x:f>
      </x:c>
      <x:c r="U2509" s="1" t="str">
        <x:f>IF(A2509="","",IF(AND(M2509="Verified",N2509="Verified"),"Verified",IF(AND(M2509="Listed",N2509="Listed"),"Listed","Mixed")))</x:f>
      </x:c>
      <x:c r="V2509" s="1" t="str">
        <x:f>IF(A2509="","",IF(AK2509&lt;&gt;1,"Duplicate source ID",IF(COUNTIFS('Staff Review'!$A$8:$A$507,A2509)&gt;1,"Duplicate review ID",IF(H2509&lt;&gt;"Yes","Outside scope",IF(J2509="Yes","Already served",IF(NOT(ISNUMBER(T2509)),"Missing data","Candidate"))))))</x:f>
      </x:c>
      <x:c r="W2509" s="1" t="str">
        <x:f>IF(AL2509=0,"",1+COUNTIFS($AL$2051:$AL$2550,1,$T$2051:$T$2550,"&gt;"&amp;T2509)+COUNTIFS($AL$2051:$AL$2550,1,$T$2051:$T$2550,T2509,$G$2051:$G$2550,"&gt;"&amp;G2509)+COUNTIFS($AL$2051:$AL$2550,1,$T$2051:$T$2550,T2509,$G$2051:$G$2550,G2509,$F$2051:$F$2550,"&gt;"&amp;F2509)+COUNTIFS($AL$2051:$AL$2550,1,$T$2051:$T$2550,T2509,$G$2051:$G$2550,G2509,$F$2051:$F$2550,F2509,$AM$2051:$AM$2550,"&lt;"&amp;AM2509))</x:f>
      </x:c>
      <x:c r="X2509" s="1" t="str">
        <x:f>IF(AL2509=0,"",1+COUNTIFS($AL$2051:$AL$2550,1,$T$2051:$T$2550,"&gt;"&amp;T2509))</x:f>
      </x:c>
      <x:c r="Y2509" s="1" t="n">
        <x:f>IF(AND(H2509="Yes",OR(LEN('School Search'!$B$5)=0,ISNUMBER(SEARCH('School Search'!$B$5,B2509&amp;" "&amp;E2509&amp;" "&amp;A2509))),OR('School Search'!$D$5="All",C2509='School Search'!$D$5),OR('School Search'!$G$5="All eligible",AND('School Search'!$G$5="Not marked served",J2509&lt;&gt;"Yes"),AND('School Search'!$G$5="Missing data",V2509="Missing data"),AND('School Search'!$G$5="Marked served",J2509="Yes"))),1,0)</x:f>
        <x:v>0</x:v>
      </x:c>
      <x:c r="Z2509" s="1" t="str">
        <x:f>IF(Y2509=0,"",COUNTIFS($Y$2051:$Y$2550,1,$AO$2051:$AO$2550,"&lt;"&amp;AO2509)+COUNTIFS($Y$2051:Y2509,1,$AO$2051:AO2509,AO2509))</x:f>
      </x:c>
      <x:c r="AA2509" s="1" t="str">
        <x:f>IF(NOT(ISNUMBER(S2509)),"Missing demographic or access input",TEXT(G2509,"0%")&amp;" economic need; "&amp;TEXT(K2509,"0.00")&amp;" mi fresh access; "&amp;L2509&amp;" nearby resources")</x:f>
        <x:v>Missing demographic or access input</x:v>
      </x:c>
      <x:c r="AB2509" s="1" t="n">
        <x:f>IF(OR(A2509="",COUNTIFS($A$1531:$A$2030,A2509)&lt;&gt;1),0,MATCH(A2509,$A$1531:$A$2030,0))</x:f>
        <x:v>0</x:v>
      </x:c>
      <x:c r="AC2509" s="1" t="str">
        <x:f>IF(AB2509=0,"",INDEX($E$1531:$E$2030,AB2509))</x:f>
      </x:c>
      <x:c r="AD2509" s="1" t="str">
        <x:f>IF(AB2509=0,"",INDEX($F$1531:$F$2030,AB2509))</x:f>
      </x:c>
      <x:c r="AE2509" s="1" t="str">
        <x:f>IF(A2509="","",F460)</x:f>
      </x:c>
      <x:c r="AF2509" s="1" t="str">
        <x:f>IF(ISNUMBER(I460),I460,"")</x:f>
      </x:c>
      <x:c r="AG2509" s="1" t="str">
        <x:f>IF(ISNUMBER(J460),J460,"")</x:f>
      </x:c>
      <x:c r="AH2509" s="1" t="str">
        <x:f>IF(I2509=0,"Not contacted",IF(INDEX('Staff Review'!$J$8:$J$507,I2509)="","Not contacted",INDEX('Staff Review'!$J$8:$J$507,I2509)))</x:f>
        <x:v>Not contacted</x:v>
      </x:c>
      <x:c r="AI2509" s="1" t="str">
        <x:f>IF(I2509=0,"No",IF(AND(COUNT(INDEX('Staff Review'!$D$8:$D$507,I2509))=1,INDEX('Staff Review'!$D$8:$D$507,I2509)&gt;=0,COUNT(INDEX('Staff Review'!$E$8:$E$507,I2509))=1,INDEX('Staff Review'!$E$8:$E$507,I2509)&gt;0,INDEX('Staff Review'!$E$8:$E$507,I2509)&lt;='Top 15'!$E$5,'Top 15'!$E$5-INDEX('Staff Review'!$E$8:$E$507,I2509)&lt;='Top 15'!$H$5,LEN(INDEX('Staff Review'!$H$8:$H$507,I2509))&gt;0),"Yes","No"))</x:f>
        <x:v>No</x:v>
      </x:c>
      <x:c r="AJ2509" s="1" t="str">
        <x:f>IF(I2509=0,"No",IF(COUNT(INDEX('Staff Review'!$F$8:$F$507,I2509))&lt;&gt;1,"No",IF(AND(INDEX('Staff Review'!$F$8:$F$507,I2509)&gt;=0,MOD(INDEX('Staff Review'!$F$8:$F$507,I2509),1)=0,COUNT(INDEX('Staff Review'!$G$8:$G$507,I2509))=1,INDEX('Staff Review'!$G$8:$G$507,I2509)&gt;0,INDEX('Staff Review'!$G$8:$G$507,I2509)&lt;='Top 15'!$E$5,'Top 15'!$E$5-INDEX('Staff Review'!$G$8:$G$507,I2509)&lt;='Top 15'!$H$5,LEN(INDEX('Staff Review'!$H$8:$H$507,I2509))&gt;0),"Yes","No")))</x:f>
        <x:v>No</x:v>
      </x:c>
      <x:c r="AK2509" s="1" t="n">
        <x:f>IF(A2509="",0,COUNTIFS($A$2:$A$501,A2509))</x:f>
        <x:v>0</x:v>
      </x:c>
      <x:c r="AL2509" s="1" t="n">
        <x:f>IF(V2509="Candidate",1,0)</x:f>
        <x:v>0</x:v>
      </x:c>
      <x:c r="AM2509" s="1" t="n">
        <x:f>IF(A2509="",0,VALUE(A2509))</x:f>
        <x:v>0</x:v>
      </x:c>
      <x:c r="AN2509" s="1" t="n">
        <x:f>IF(OR(A2509="",COUNTIFS($T$41:$T$540,A2509)&lt;&gt;1),0,MATCH(A2509,$T$41:$T$540,0))</x:f>
        <x:v>0</x:v>
      </x:c>
      <x:c r="AO2509" t="n">
        <x:f>IF(ISNUMBER(W2509),W2509,10000+AM2509)</x:f>
        <x:v>10000</x:v>
      </x:c>
    </x:row>
    <x:row r="2510" ht="22" customHeight="1">
      <x:c r="A2510" s="1" t="str">
        <x:f>IF(A461="","",A461)</x:f>
      </x:c>
      <x:c r="B2510" s="1" t="str">
        <x:f>IF(A2510="","",B461)</x:f>
      </x:c>
      <x:c r="C2510" s="1" t="str">
        <x:f>IF(A2510="","",C461)</x:f>
      </x:c>
      <x:c r="D2510" s="1" t="str">
        <x:f>IF(A2510="","",E461)</x:f>
      </x:c>
      <x:c r="E2510" s="1" t="str">
        <x:f>IF(A2510="","",H461)</x:f>
      </x:c>
      <x:c r="F2510" s="1" t="str">
        <x:f>IF(ISNUMBER(K461),K461,"")</x:f>
      </x:c>
      <x:c r="G2510" s="1" t="str">
        <x:f>IF(ISNUMBER(L461),L461,"")</x:f>
      </x:c>
      <x:c r="H2510" s="1" t="str">
        <x:f>IF(A2510="","",IF(AND(UPPER(G461)="PHILADELPHIA",OR(C2510="District",AND(C2510="Charter",D461="Yes"))),"Yes","No"))</x:f>
      </x:c>
      <x:c r="I2510" s="1" t="n">
        <x:f>IF(OR(A2510="",COUNTIFS('Staff Review'!$A$8:$A$507,A2510)&lt;&gt;1),0,MATCH(A2510,'Staff Review'!$A$8:$A$507,0))</x:f>
        <x:v>0</x:v>
      </x:c>
      <x:c r="J2510" s="1" t="str">
        <x:f>IF(I2510=0,"No",IF(INDEX('Staff Review'!$C$8:$C$507,I2510)="Yes","Yes","No"))</x:f>
        <x:v>No</x:v>
      </x:c>
      <x:c r="K2510" s="1" t="str">
        <x:f>IF(AI2510="Yes",INDEX('Staff Review'!$D$8:$D$507,I2510),IF(AB2510=0,"",IF(COUNT(INDEX($C$1531:$C$2030,AB2510))=1,INDEX($C$1531:$C$2030,AB2510),"")))</x:f>
      </x:c>
      <x:c r="L2510" s="1" t="str">
        <x:f>IF(AJ2510="Yes",INDEX('Staff Review'!$F$8:$F$507,I2510),IF(AB2510=0,"",IF(COUNT(INDEX($G$1531:$G$2030,AB2510))=1,INDEX($G$1531:$G$2030,AB2510),"")))</x:f>
      </x:c>
      <x:c r="M2510" s="1" t="str">
        <x:f>IF(A2510="","",IF(AI2510="Yes","Verified","Listed"))</x:f>
      </x:c>
      <x:c r="N2510" s="1" t="str">
        <x:f>IF(A2510="","",IF(AJ2510="Yes","Verified","Listed"))</x:f>
      </x:c>
      <x:c r="O2510" s="1" t="str">
        <x:f>IF(AND(ISNUMBER(G2510),G2510&gt;=0,G2510&lt;=1),IF(G2510&gt;=0.9,30,IF(G2510&gt;=0.8,25,IF(G2510&gt;=0.7,20,IF(G2510&gt;=0.6,15,IF(G2510&gt;=0.5,10,IF(G2510&gt;=0.4,5,0)))))),"")</x:f>
      </x:c>
      <x:c r="P2510" s="1" t="str">
        <x:f>IF(ISNUMBER(K2510),IF(K2510&lt;0,"",IF(K2510&gt;1,25,IF(K2510&gt;=0.75,20,IF(K2510&gt;=0.5,15,IF(K2510&gt;=0.25,10,5))))),"")</x:f>
      </x:c>
      <x:c r="Q2510" s="1" t="str">
        <x:f>IF(NOT(ISNUMBER(L2510)),"",IF(AND(L2510&gt;=0,MOD(L2510,1)=0),MAX(0,25-5*L2510),""))</x:f>
      </x:c>
      <x:c r="R2510" s="1" t="str">
        <x:f>IF(NOT(ISNUMBER(F2510)),"",IF(AND(F2510&gt;0,MOD(F2510,1)=0),IF(F2510&gt;=700,5,IF(F2510&gt;=500,4,IF(F2510&gt;=350,3,IF(F2510&gt;=200,2,1)))),""))</x:f>
      </x:c>
      <x:c r="S2510" s="1" t="str">
        <x:f>IF(COUNT(O2510:R2510)=4,SUM(O2510:R2510),"")</x:f>
      </x:c>
      <x:c r="T2510" s="1" t="str">
        <x:f>IF(OR(COUNT(O2510:R2510)&lt;&gt;4,COUNT('Top 15'!$B$35:$E$35)&lt;&gt;4,MIN('Top 15'!$B$35:$E$35)&lt;0,SUM('Top 15'!$B$35:$E$35)&lt;=0),"",ROUND(85*(O2510/30*'Top 15'!$B$35+P2510/25*'Top 15'!$C$35+Q2510/25*'Top 15'!$D$35+R2510/5*'Top 15'!$E$35)/SUM('Top 15'!$B$35:$E$35),6))</x:f>
      </x:c>
      <x:c r="U2510" s="1" t="str">
        <x:f>IF(A2510="","",IF(AND(M2510="Verified",N2510="Verified"),"Verified",IF(AND(M2510="Listed",N2510="Listed"),"Listed","Mixed")))</x:f>
      </x:c>
      <x:c r="V2510" s="1" t="str">
        <x:f>IF(A2510="","",IF(AK2510&lt;&gt;1,"Duplicate source ID",IF(COUNTIFS('Staff Review'!$A$8:$A$507,A2510)&gt;1,"Duplicate review ID",IF(H2510&lt;&gt;"Yes","Outside scope",IF(J2510="Yes","Already served",IF(NOT(ISNUMBER(T2510)),"Missing data","Candidate"))))))</x:f>
      </x:c>
      <x:c r="W2510" s="1" t="str">
        <x:f>IF(AL2510=0,"",1+COUNTIFS($AL$2051:$AL$2550,1,$T$2051:$T$2550,"&gt;"&amp;T2510)+COUNTIFS($AL$2051:$AL$2550,1,$T$2051:$T$2550,T2510,$G$2051:$G$2550,"&gt;"&amp;G2510)+COUNTIFS($AL$2051:$AL$2550,1,$T$2051:$T$2550,T2510,$G$2051:$G$2550,G2510,$F$2051:$F$2550,"&gt;"&amp;F2510)+COUNTIFS($AL$2051:$AL$2550,1,$T$2051:$T$2550,T2510,$G$2051:$G$2550,G2510,$F$2051:$F$2550,F2510,$AM$2051:$AM$2550,"&lt;"&amp;AM2510))</x:f>
      </x:c>
      <x:c r="X2510" s="1" t="str">
        <x:f>IF(AL2510=0,"",1+COUNTIFS($AL$2051:$AL$2550,1,$T$2051:$T$2550,"&gt;"&amp;T2510))</x:f>
      </x:c>
      <x:c r="Y2510" s="1" t="n">
        <x:f>IF(AND(H2510="Yes",OR(LEN('School Search'!$B$5)=0,ISNUMBER(SEARCH('School Search'!$B$5,B2510&amp;" "&amp;E2510&amp;" "&amp;A2510))),OR('School Search'!$D$5="All",C2510='School Search'!$D$5),OR('School Search'!$G$5="All eligible",AND('School Search'!$G$5="Not marked served",J2510&lt;&gt;"Yes"),AND('School Search'!$G$5="Missing data",V2510="Missing data"),AND('School Search'!$G$5="Marked served",J2510="Yes"))),1,0)</x:f>
        <x:v>0</x:v>
      </x:c>
      <x:c r="Z2510" s="1" t="str">
        <x:f>IF(Y2510=0,"",COUNTIFS($Y$2051:$Y$2550,1,$AO$2051:$AO$2550,"&lt;"&amp;AO2510)+COUNTIFS($Y$2051:Y2510,1,$AO$2051:AO2510,AO2510))</x:f>
      </x:c>
      <x:c r="AA2510" s="1" t="str">
        <x:f>IF(NOT(ISNUMBER(S2510)),"Missing demographic or access input",TEXT(G2510,"0%")&amp;" economic need; "&amp;TEXT(K2510,"0.00")&amp;" mi fresh access; "&amp;L2510&amp;" nearby resources")</x:f>
        <x:v>Missing demographic or access input</x:v>
      </x:c>
      <x:c r="AB2510" s="1" t="n">
        <x:f>IF(OR(A2510="",COUNTIFS($A$1531:$A$2030,A2510)&lt;&gt;1),0,MATCH(A2510,$A$1531:$A$2030,0))</x:f>
        <x:v>0</x:v>
      </x:c>
      <x:c r="AC2510" s="1" t="str">
        <x:f>IF(AB2510=0,"",INDEX($E$1531:$E$2030,AB2510))</x:f>
      </x:c>
      <x:c r="AD2510" s="1" t="str">
        <x:f>IF(AB2510=0,"",INDEX($F$1531:$F$2030,AB2510))</x:f>
      </x:c>
      <x:c r="AE2510" s="1" t="str">
        <x:f>IF(A2510="","",F461)</x:f>
      </x:c>
      <x:c r="AF2510" s="1" t="str">
        <x:f>IF(ISNUMBER(I461),I461,"")</x:f>
      </x:c>
      <x:c r="AG2510" s="1" t="str">
        <x:f>IF(ISNUMBER(J461),J461,"")</x:f>
      </x:c>
      <x:c r="AH2510" s="1" t="str">
        <x:f>IF(I2510=0,"Not contacted",IF(INDEX('Staff Review'!$J$8:$J$507,I2510)="","Not contacted",INDEX('Staff Review'!$J$8:$J$507,I2510)))</x:f>
        <x:v>Not contacted</x:v>
      </x:c>
      <x:c r="AI2510" s="1" t="str">
        <x:f>IF(I2510=0,"No",IF(AND(COUNT(INDEX('Staff Review'!$D$8:$D$507,I2510))=1,INDEX('Staff Review'!$D$8:$D$507,I2510)&gt;=0,COUNT(INDEX('Staff Review'!$E$8:$E$507,I2510))=1,INDEX('Staff Review'!$E$8:$E$507,I2510)&gt;0,INDEX('Staff Review'!$E$8:$E$507,I2510)&lt;='Top 15'!$E$5,'Top 15'!$E$5-INDEX('Staff Review'!$E$8:$E$507,I2510)&lt;='Top 15'!$H$5,LEN(INDEX('Staff Review'!$H$8:$H$507,I2510))&gt;0),"Yes","No"))</x:f>
        <x:v>No</x:v>
      </x:c>
      <x:c r="AJ2510" s="1" t="str">
        <x:f>IF(I2510=0,"No",IF(COUNT(INDEX('Staff Review'!$F$8:$F$507,I2510))&lt;&gt;1,"No",IF(AND(INDEX('Staff Review'!$F$8:$F$507,I2510)&gt;=0,MOD(INDEX('Staff Review'!$F$8:$F$507,I2510),1)=0,COUNT(INDEX('Staff Review'!$G$8:$G$507,I2510))=1,INDEX('Staff Review'!$G$8:$G$507,I2510)&gt;0,INDEX('Staff Review'!$G$8:$G$507,I2510)&lt;='Top 15'!$E$5,'Top 15'!$E$5-INDEX('Staff Review'!$G$8:$G$507,I2510)&lt;='Top 15'!$H$5,LEN(INDEX('Staff Review'!$H$8:$H$507,I2510))&gt;0),"Yes","No")))</x:f>
        <x:v>No</x:v>
      </x:c>
      <x:c r="AK2510" s="1" t="n">
        <x:f>IF(A2510="",0,COUNTIFS($A$2:$A$501,A2510))</x:f>
        <x:v>0</x:v>
      </x:c>
      <x:c r="AL2510" s="1" t="n">
        <x:f>IF(V2510="Candidate",1,0)</x:f>
        <x:v>0</x:v>
      </x:c>
      <x:c r="AM2510" s="1" t="n">
        <x:f>IF(A2510="",0,VALUE(A2510))</x:f>
        <x:v>0</x:v>
      </x:c>
      <x:c r="AN2510" s="1" t="n">
        <x:f>IF(OR(A2510="",COUNTIFS($T$41:$T$540,A2510)&lt;&gt;1),0,MATCH(A2510,$T$41:$T$540,0))</x:f>
        <x:v>0</x:v>
      </x:c>
      <x:c r="AO2510" t="n">
        <x:f>IF(ISNUMBER(W2510),W2510,10000+AM2510)</x:f>
        <x:v>10000</x:v>
      </x:c>
    </x:row>
    <x:row r="2511" ht="22" customHeight="1">
      <x:c r="A2511" s="1" t="str">
        <x:f>IF(A462="","",A462)</x:f>
      </x:c>
      <x:c r="B2511" s="1" t="str">
        <x:f>IF(A2511="","",B462)</x:f>
      </x:c>
      <x:c r="C2511" s="1" t="str">
        <x:f>IF(A2511="","",C462)</x:f>
      </x:c>
      <x:c r="D2511" s="1" t="str">
        <x:f>IF(A2511="","",E462)</x:f>
      </x:c>
      <x:c r="E2511" s="1" t="str">
        <x:f>IF(A2511="","",H462)</x:f>
      </x:c>
      <x:c r="F2511" s="1" t="str">
        <x:f>IF(ISNUMBER(K462),K462,"")</x:f>
      </x:c>
      <x:c r="G2511" s="1" t="str">
        <x:f>IF(ISNUMBER(L462),L462,"")</x:f>
      </x:c>
      <x:c r="H2511" s="1" t="str">
        <x:f>IF(A2511="","",IF(AND(UPPER(G462)="PHILADELPHIA",OR(C2511="District",AND(C2511="Charter",D462="Yes"))),"Yes","No"))</x:f>
      </x:c>
      <x:c r="I2511" s="1" t="n">
        <x:f>IF(OR(A2511="",COUNTIFS('Staff Review'!$A$8:$A$507,A2511)&lt;&gt;1),0,MATCH(A2511,'Staff Review'!$A$8:$A$507,0))</x:f>
        <x:v>0</x:v>
      </x:c>
      <x:c r="J2511" s="1" t="str">
        <x:f>IF(I2511=0,"No",IF(INDEX('Staff Review'!$C$8:$C$507,I2511)="Yes","Yes","No"))</x:f>
        <x:v>No</x:v>
      </x:c>
      <x:c r="K2511" s="1" t="str">
        <x:f>IF(AI2511="Yes",INDEX('Staff Review'!$D$8:$D$507,I2511),IF(AB2511=0,"",IF(COUNT(INDEX($C$1531:$C$2030,AB2511))=1,INDEX($C$1531:$C$2030,AB2511),"")))</x:f>
      </x:c>
      <x:c r="L2511" s="1" t="str">
        <x:f>IF(AJ2511="Yes",INDEX('Staff Review'!$F$8:$F$507,I2511),IF(AB2511=0,"",IF(COUNT(INDEX($G$1531:$G$2030,AB2511))=1,INDEX($G$1531:$G$2030,AB2511),"")))</x:f>
      </x:c>
      <x:c r="M2511" s="1" t="str">
        <x:f>IF(A2511="","",IF(AI2511="Yes","Verified","Listed"))</x:f>
      </x:c>
      <x:c r="N2511" s="1" t="str">
        <x:f>IF(A2511="","",IF(AJ2511="Yes","Verified","Listed"))</x:f>
      </x:c>
      <x:c r="O2511" s="1" t="str">
        <x:f>IF(AND(ISNUMBER(G2511),G2511&gt;=0,G2511&lt;=1),IF(G2511&gt;=0.9,30,IF(G2511&gt;=0.8,25,IF(G2511&gt;=0.7,20,IF(G2511&gt;=0.6,15,IF(G2511&gt;=0.5,10,IF(G2511&gt;=0.4,5,0)))))),"")</x:f>
      </x:c>
      <x:c r="P2511" s="1" t="str">
        <x:f>IF(ISNUMBER(K2511),IF(K2511&lt;0,"",IF(K2511&gt;1,25,IF(K2511&gt;=0.75,20,IF(K2511&gt;=0.5,15,IF(K2511&gt;=0.25,10,5))))),"")</x:f>
      </x:c>
      <x:c r="Q2511" s="1" t="str">
        <x:f>IF(NOT(ISNUMBER(L2511)),"",IF(AND(L2511&gt;=0,MOD(L2511,1)=0),MAX(0,25-5*L2511),""))</x:f>
      </x:c>
      <x:c r="R2511" s="1" t="str">
        <x:f>IF(NOT(ISNUMBER(F2511)),"",IF(AND(F2511&gt;0,MOD(F2511,1)=0),IF(F2511&gt;=700,5,IF(F2511&gt;=500,4,IF(F2511&gt;=350,3,IF(F2511&gt;=200,2,1)))),""))</x:f>
      </x:c>
      <x:c r="S2511" s="1" t="str">
        <x:f>IF(COUNT(O2511:R2511)=4,SUM(O2511:R2511),"")</x:f>
      </x:c>
      <x:c r="T2511" s="1" t="str">
        <x:f>IF(OR(COUNT(O2511:R2511)&lt;&gt;4,COUNT('Top 15'!$B$35:$E$35)&lt;&gt;4,MIN('Top 15'!$B$35:$E$35)&lt;0,SUM('Top 15'!$B$35:$E$35)&lt;=0),"",ROUND(85*(O2511/30*'Top 15'!$B$35+P2511/25*'Top 15'!$C$35+Q2511/25*'Top 15'!$D$35+R2511/5*'Top 15'!$E$35)/SUM('Top 15'!$B$35:$E$35),6))</x:f>
      </x:c>
      <x:c r="U2511" s="1" t="str">
        <x:f>IF(A2511="","",IF(AND(M2511="Verified",N2511="Verified"),"Verified",IF(AND(M2511="Listed",N2511="Listed"),"Listed","Mixed")))</x:f>
      </x:c>
      <x:c r="V2511" s="1" t="str">
        <x:f>IF(A2511="","",IF(AK2511&lt;&gt;1,"Duplicate source ID",IF(COUNTIFS('Staff Review'!$A$8:$A$507,A2511)&gt;1,"Duplicate review ID",IF(H2511&lt;&gt;"Yes","Outside scope",IF(J2511="Yes","Already served",IF(NOT(ISNUMBER(T2511)),"Missing data","Candidate"))))))</x:f>
      </x:c>
      <x:c r="W2511" s="1" t="str">
        <x:f>IF(AL2511=0,"",1+COUNTIFS($AL$2051:$AL$2550,1,$T$2051:$T$2550,"&gt;"&amp;T2511)+COUNTIFS($AL$2051:$AL$2550,1,$T$2051:$T$2550,T2511,$G$2051:$G$2550,"&gt;"&amp;G2511)+COUNTIFS($AL$2051:$AL$2550,1,$T$2051:$T$2550,T2511,$G$2051:$G$2550,G2511,$F$2051:$F$2550,"&gt;"&amp;F2511)+COUNTIFS($AL$2051:$AL$2550,1,$T$2051:$T$2550,T2511,$G$2051:$G$2550,G2511,$F$2051:$F$2550,F2511,$AM$2051:$AM$2550,"&lt;"&amp;AM2511))</x:f>
      </x:c>
      <x:c r="X2511" s="1" t="str">
        <x:f>IF(AL2511=0,"",1+COUNTIFS($AL$2051:$AL$2550,1,$T$2051:$T$2550,"&gt;"&amp;T2511))</x:f>
      </x:c>
      <x:c r="Y2511" s="1" t="n">
        <x:f>IF(AND(H2511="Yes",OR(LEN('School Search'!$B$5)=0,ISNUMBER(SEARCH('School Search'!$B$5,B2511&amp;" "&amp;E2511&amp;" "&amp;A2511))),OR('School Search'!$D$5="All",C2511='School Search'!$D$5),OR('School Search'!$G$5="All eligible",AND('School Search'!$G$5="Not marked served",J2511&lt;&gt;"Yes"),AND('School Search'!$G$5="Missing data",V2511="Missing data"),AND('School Search'!$G$5="Marked served",J2511="Yes"))),1,0)</x:f>
        <x:v>0</x:v>
      </x:c>
      <x:c r="Z2511" s="1" t="str">
        <x:f>IF(Y2511=0,"",COUNTIFS($Y$2051:$Y$2550,1,$AO$2051:$AO$2550,"&lt;"&amp;AO2511)+COUNTIFS($Y$2051:Y2511,1,$AO$2051:AO2511,AO2511))</x:f>
      </x:c>
      <x:c r="AA2511" s="1" t="str">
        <x:f>IF(NOT(ISNUMBER(S2511)),"Missing demographic or access input",TEXT(G2511,"0%")&amp;" economic need; "&amp;TEXT(K2511,"0.00")&amp;" mi fresh access; "&amp;L2511&amp;" nearby resources")</x:f>
        <x:v>Missing demographic or access input</x:v>
      </x:c>
      <x:c r="AB2511" s="1" t="n">
        <x:f>IF(OR(A2511="",COUNTIFS($A$1531:$A$2030,A2511)&lt;&gt;1),0,MATCH(A2511,$A$1531:$A$2030,0))</x:f>
        <x:v>0</x:v>
      </x:c>
      <x:c r="AC2511" s="1" t="str">
        <x:f>IF(AB2511=0,"",INDEX($E$1531:$E$2030,AB2511))</x:f>
      </x:c>
      <x:c r="AD2511" s="1" t="str">
        <x:f>IF(AB2511=0,"",INDEX($F$1531:$F$2030,AB2511))</x:f>
      </x:c>
      <x:c r="AE2511" s="1" t="str">
        <x:f>IF(A2511="","",F462)</x:f>
      </x:c>
      <x:c r="AF2511" s="1" t="str">
        <x:f>IF(ISNUMBER(I462),I462,"")</x:f>
      </x:c>
      <x:c r="AG2511" s="1" t="str">
        <x:f>IF(ISNUMBER(J462),J462,"")</x:f>
      </x:c>
      <x:c r="AH2511" s="1" t="str">
        <x:f>IF(I2511=0,"Not contacted",IF(INDEX('Staff Review'!$J$8:$J$507,I2511)="","Not contacted",INDEX('Staff Review'!$J$8:$J$507,I2511)))</x:f>
        <x:v>Not contacted</x:v>
      </x:c>
      <x:c r="AI2511" s="1" t="str">
        <x:f>IF(I2511=0,"No",IF(AND(COUNT(INDEX('Staff Review'!$D$8:$D$507,I2511))=1,INDEX('Staff Review'!$D$8:$D$507,I2511)&gt;=0,COUNT(INDEX('Staff Review'!$E$8:$E$507,I2511))=1,INDEX('Staff Review'!$E$8:$E$507,I2511)&gt;0,INDEX('Staff Review'!$E$8:$E$507,I2511)&lt;='Top 15'!$E$5,'Top 15'!$E$5-INDEX('Staff Review'!$E$8:$E$507,I2511)&lt;='Top 15'!$H$5,LEN(INDEX('Staff Review'!$H$8:$H$507,I2511))&gt;0),"Yes","No"))</x:f>
        <x:v>No</x:v>
      </x:c>
      <x:c r="AJ2511" s="1" t="str">
        <x:f>IF(I2511=0,"No",IF(COUNT(INDEX('Staff Review'!$F$8:$F$507,I2511))&lt;&gt;1,"No",IF(AND(INDEX('Staff Review'!$F$8:$F$507,I2511)&gt;=0,MOD(INDEX('Staff Review'!$F$8:$F$507,I2511),1)=0,COUNT(INDEX('Staff Review'!$G$8:$G$507,I2511))=1,INDEX('Staff Review'!$G$8:$G$507,I2511)&gt;0,INDEX('Staff Review'!$G$8:$G$507,I2511)&lt;='Top 15'!$E$5,'Top 15'!$E$5-INDEX('Staff Review'!$G$8:$G$507,I2511)&lt;='Top 15'!$H$5,LEN(INDEX('Staff Review'!$H$8:$H$507,I2511))&gt;0),"Yes","No")))</x:f>
        <x:v>No</x:v>
      </x:c>
      <x:c r="AK2511" s="1" t="n">
        <x:f>IF(A2511="",0,COUNTIFS($A$2:$A$501,A2511))</x:f>
        <x:v>0</x:v>
      </x:c>
      <x:c r="AL2511" s="1" t="n">
        <x:f>IF(V2511="Candidate",1,0)</x:f>
        <x:v>0</x:v>
      </x:c>
      <x:c r="AM2511" s="1" t="n">
        <x:f>IF(A2511="",0,VALUE(A2511))</x:f>
        <x:v>0</x:v>
      </x:c>
      <x:c r="AN2511" s="1" t="n">
        <x:f>IF(OR(A2511="",COUNTIFS($T$41:$T$540,A2511)&lt;&gt;1),0,MATCH(A2511,$T$41:$T$540,0))</x:f>
        <x:v>0</x:v>
      </x:c>
      <x:c r="AO2511" t="n">
        <x:f>IF(ISNUMBER(W2511),W2511,10000+AM2511)</x:f>
        <x:v>10000</x:v>
      </x:c>
    </x:row>
    <x:row r="2512" ht="22" customHeight="1">
      <x:c r="A2512" s="1" t="str">
        <x:f>IF(A463="","",A463)</x:f>
      </x:c>
      <x:c r="B2512" s="1" t="str">
        <x:f>IF(A2512="","",B463)</x:f>
      </x:c>
      <x:c r="C2512" s="1" t="str">
        <x:f>IF(A2512="","",C463)</x:f>
      </x:c>
      <x:c r="D2512" s="1" t="str">
        <x:f>IF(A2512="","",E463)</x:f>
      </x:c>
      <x:c r="E2512" s="1" t="str">
        <x:f>IF(A2512="","",H463)</x:f>
      </x:c>
      <x:c r="F2512" s="1" t="str">
        <x:f>IF(ISNUMBER(K463),K463,"")</x:f>
      </x:c>
      <x:c r="G2512" s="1" t="str">
        <x:f>IF(ISNUMBER(L463),L463,"")</x:f>
      </x:c>
      <x:c r="H2512" s="1" t="str">
        <x:f>IF(A2512="","",IF(AND(UPPER(G463)="PHILADELPHIA",OR(C2512="District",AND(C2512="Charter",D463="Yes"))),"Yes","No"))</x:f>
      </x:c>
      <x:c r="I2512" s="1" t="n">
        <x:f>IF(OR(A2512="",COUNTIFS('Staff Review'!$A$8:$A$507,A2512)&lt;&gt;1),0,MATCH(A2512,'Staff Review'!$A$8:$A$507,0))</x:f>
        <x:v>0</x:v>
      </x:c>
      <x:c r="J2512" s="1" t="str">
        <x:f>IF(I2512=0,"No",IF(INDEX('Staff Review'!$C$8:$C$507,I2512)="Yes","Yes","No"))</x:f>
        <x:v>No</x:v>
      </x:c>
      <x:c r="K2512" s="1" t="str">
        <x:f>IF(AI2512="Yes",INDEX('Staff Review'!$D$8:$D$507,I2512),IF(AB2512=0,"",IF(COUNT(INDEX($C$1531:$C$2030,AB2512))=1,INDEX($C$1531:$C$2030,AB2512),"")))</x:f>
      </x:c>
      <x:c r="L2512" s="1" t="str">
        <x:f>IF(AJ2512="Yes",INDEX('Staff Review'!$F$8:$F$507,I2512),IF(AB2512=0,"",IF(COUNT(INDEX($G$1531:$G$2030,AB2512))=1,INDEX($G$1531:$G$2030,AB2512),"")))</x:f>
      </x:c>
      <x:c r="M2512" s="1" t="str">
        <x:f>IF(A2512="","",IF(AI2512="Yes","Verified","Listed"))</x:f>
      </x:c>
      <x:c r="N2512" s="1" t="str">
        <x:f>IF(A2512="","",IF(AJ2512="Yes","Verified","Listed"))</x:f>
      </x:c>
      <x:c r="O2512" s="1" t="str">
        <x:f>IF(AND(ISNUMBER(G2512),G2512&gt;=0,G2512&lt;=1),IF(G2512&gt;=0.9,30,IF(G2512&gt;=0.8,25,IF(G2512&gt;=0.7,20,IF(G2512&gt;=0.6,15,IF(G2512&gt;=0.5,10,IF(G2512&gt;=0.4,5,0)))))),"")</x:f>
      </x:c>
      <x:c r="P2512" s="1" t="str">
        <x:f>IF(ISNUMBER(K2512),IF(K2512&lt;0,"",IF(K2512&gt;1,25,IF(K2512&gt;=0.75,20,IF(K2512&gt;=0.5,15,IF(K2512&gt;=0.25,10,5))))),"")</x:f>
      </x:c>
      <x:c r="Q2512" s="1" t="str">
        <x:f>IF(NOT(ISNUMBER(L2512)),"",IF(AND(L2512&gt;=0,MOD(L2512,1)=0),MAX(0,25-5*L2512),""))</x:f>
      </x:c>
      <x:c r="R2512" s="1" t="str">
        <x:f>IF(NOT(ISNUMBER(F2512)),"",IF(AND(F2512&gt;0,MOD(F2512,1)=0),IF(F2512&gt;=700,5,IF(F2512&gt;=500,4,IF(F2512&gt;=350,3,IF(F2512&gt;=200,2,1)))),""))</x:f>
      </x:c>
      <x:c r="S2512" s="1" t="str">
        <x:f>IF(COUNT(O2512:R2512)=4,SUM(O2512:R2512),"")</x:f>
      </x:c>
      <x:c r="T2512" s="1" t="str">
        <x:f>IF(OR(COUNT(O2512:R2512)&lt;&gt;4,COUNT('Top 15'!$B$35:$E$35)&lt;&gt;4,MIN('Top 15'!$B$35:$E$35)&lt;0,SUM('Top 15'!$B$35:$E$35)&lt;=0),"",ROUND(85*(O2512/30*'Top 15'!$B$35+P2512/25*'Top 15'!$C$35+Q2512/25*'Top 15'!$D$35+R2512/5*'Top 15'!$E$35)/SUM('Top 15'!$B$35:$E$35),6))</x:f>
      </x:c>
      <x:c r="U2512" s="1" t="str">
        <x:f>IF(A2512="","",IF(AND(M2512="Verified",N2512="Verified"),"Verified",IF(AND(M2512="Listed",N2512="Listed"),"Listed","Mixed")))</x:f>
      </x:c>
      <x:c r="V2512" s="1" t="str">
        <x:f>IF(A2512="","",IF(AK2512&lt;&gt;1,"Duplicate source ID",IF(COUNTIFS('Staff Review'!$A$8:$A$507,A2512)&gt;1,"Duplicate review ID",IF(H2512&lt;&gt;"Yes","Outside scope",IF(J2512="Yes","Already served",IF(NOT(ISNUMBER(T2512)),"Missing data","Candidate"))))))</x:f>
      </x:c>
      <x:c r="W2512" s="1" t="str">
        <x:f>IF(AL2512=0,"",1+COUNTIFS($AL$2051:$AL$2550,1,$T$2051:$T$2550,"&gt;"&amp;T2512)+COUNTIFS($AL$2051:$AL$2550,1,$T$2051:$T$2550,T2512,$G$2051:$G$2550,"&gt;"&amp;G2512)+COUNTIFS($AL$2051:$AL$2550,1,$T$2051:$T$2550,T2512,$G$2051:$G$2550,G2512,$F$2051:$F$2550,"&gt;"&amp;F2512)+COUNTIFS($AL$2051:$AL$2550,1,$T$2051:$T$2550,T2512,$G$2051:$G$2550,G2512,$F$2051:$F$2550,F2512,$AM$2051:$AM$2550,"&lt;"&amp;AM2512))</x:f>
      </x:c>
      <x:c r="X2512" s="1" t="str">
        <x:f>IF(AL2512=0,"",1+COUNTIFS($AL$2051:$AL$2550,1,$T$2051:$T$2550,"&gt;"&amp;T2512))</x:f>
      </x:c>
      <x:c r="Y2512" s="1" t="n">
        <x:f>IF(AND(H2512="Yes",OR(LEN('School Search'!$B$5)=0,ISNUMBER(SEARCH('School Search'!$B$5,B2512&amp;" "&amp;E2512&amp;" "&amp;A2512))),OR('School Search'!$D$5="All",C2512='School Search'!$D$5),OR('School Search'!$G$5="All eligible",AND('School Search'!$G$5="Not marked served",J2512&lt;&gt;"Yes"),AND('School Search'!$G$5="Missing data",V2512="Missing data"),AND('School Search'!$G$5="Marked served",J2512="Yes"))),1,0)</x:f>
        <x:v>0</x:v>
      </x:c>
      <x:c r="Z2512" s="1" t="str">
        <x:f>IF(Y2512=0,"",COUNTIFS($Y$2051:$Y$2550,1,$AO$2051:$AO$2550,"&lt;"&amp;AO2512)+COUNTIFS($Y$2051:Y2512,1,$AO$2051:AO2512,AO2512))</x:f>
      </x:c>
      <x:c r="AA2512" s="1" t="str">
        <x:f>IF(NOT(ISNUMBER(S2512)),"Missing demographic or access input",TEXT(G2512,"0%")&amp;" economic need; "&amp;TEXT(K2512,"0.00")&amp;" mi fresh access; "&amp;L2512&amp;" nearby resources")</x:f>
        <x:v>Missing demographic or access input</x:v>
      </x:c>
      <x:c r="AB2512" s="1" t="n">
        <x:f>IF(OR(A2512="",COUNTIFS($A$1531:$A$2030,A2512)&lt;&gt;1),0,MATCH(A2512,$A$1531:$A$2030,0))</x:f>
        <x:v>0</x:v>
      </x:c>
      <x:c r="AC2512" s="1" t="str">
        <x:f>IF(AB2512=0,"",INDEX($E$1531:$E$2030,AB2512))</x:f>
      </x:c>
      <x:c r="AD2512" s="1" t="str">
        <x:f>IF(AB2512=0,"",INDEX($F$1531:$F$2030,AB2512))</x:f>
      </x:c>
      <x:c r="AE2512" s="1" t="str">
        <x:f>IF(A2512="","",F463)</x:f>
      </x:c>
      <x:c r="AF2512" s="1" t="str">
        <x:f>IF(ISNUMBER(I463),I463,"")</x:f>
      </x:c>
      <x:c r="AG2512" s="1" t="str">
        <x:f>IF(ISNUMBER(J463),J463,"")</x:f>
      </x:c>
      <x:c r="AH2512" s="1" t="str">
        <x:f>IF(I2512=0,"Not contacted",IF(INDEX('Staff Review'!$J$8:$J$507,I2512)="","Not contacted",INDEX('Staff Review'!$J$8:$J$507,I2512)))</x:f>
        <x:v>Not contacted</x:v>
      </x:c>
      <x:c r="AI2512" s="1" t="str">
        <x:f>IF(I2512=0,"No",IF(AND(COUNT(INDEX('Staff Review'!$D$8:$D$507,I2512))=1,INDEX('Staff Review'!$D$8:$D$507,I2512)&gt;=0,COUNT(INDEX('Staff Review'!$E$8:$E$507,I2512))=1,INDEX('Staff Review'!$E$8:$E$507,I2512)&gt;0,INDEX('Staff Review'!$E$8:$E$507,I2512)&lt;='Top 15'!$E$5,'Top 15'!$E$5-INDEX('Staff Review'!$E$8:$E$507,I2512)&lt;='Top 15'!$H$5,LEN(INDEX('Staff Review'!$H$8:$H$507,I2512))&gt;0),"Yes","No"))</x:f>
        <x:v>No</x:v>
      </x:c>
      <x:c r="AJ2512" s="1" t="str">
        <x:f>IF(I2512=0,"No",IF(COUNT(INDEX('Staff Review'!$F$8:$F$507,I2512))&lt;&gt;1,"No",IF(AND(INDEX('Staff Review'!$F$8:$F$507,I2512)&gt;=0,MOD(INDEX('Staff Review'!$F$8:$F$507,I2512),1)=0,COUNT(INDEX('Staff Review'!$G$8:$G$507,I2512))=1,INDEX('Staff Review'!$G$8:$G$507,I2512)&gt;0,INDEX('Staff Review'!$G$8:$G$507,I2512)&lt;='Top 15'!$E$5,'Top 15'!$E$5-INDEX('Staff Review'!$G$8:$G$507,I2512)&lt;='Top 15'!$H$5,LEN(INDEX('Staff Review'!$H$8:$H$507,I2512))&gt;0),"Yes","No")))</x:f>
        <x:v>No</x:v>
      </x:c>
      <x:c r="AK2512" s="1" t="n">
        <x:f>IF(A2512="",0,COUNTIFS($A$2:$A$501,A2512))</x:f>
        <x:v>0</x:v>
      </x:c>
      <x:c r="AL2512" s="1" t="n">
        <x:f>IF(V2512="Candidate",1,0)</x:f>
        <x:v>0</x:v>
      </x:c>
      <x:c r="AM2512" s="1" t="n">
        <x:f>IF(A2512="",0,VALUE(A2512))</x:f>
        <x:v>0</x:v>
      </x:c>
      <x:c r="AN2512" s="1" t="n">
        <x:f>IF(OR(A2512="",COUNTIFS($T$41:$T$540,A2512)&lt;&gt;1),0,MATCH(A2512,$T$41:$T$540,0))</x:f>
        <x:v>0</x:v>
      </x:c>
      <x:c r="AO2512" t="n">
        <x:f>IF(ISNUMBER(W2512),W2512,10000+AM2512)</x:f>
        <x:v>10000</x:v>
      </x:c>
    </x:row>
    <x:row r="2513" ht="22" customHeight="1">
      <x:c r="A2513" s="1" t="str">
        <x:f>IF(A464="","",A464)</x:f>
      </x:c>
      <x:c r="B2513" s="1" t="str">
        <x:f>IF(A2513="","",B464)</x:f>
      </x:c>
      <x:c r="C2513" s="1" t="str">
        <x:f>IF(A2513="","",C464)</x:f>
      </x:c>
      <x:c r="D2513" s="1" t="str">
        <x:f>IF(A2513="","",E464)</x:f>
      </x:c>
      <x:c r="E2513" s="1" t="str">
        <x:f>IF(A2513="","",H464)</x:f>
      </x:c>
      <x:c r="F2513" s="1" t="str">
        <x:f>IF(ISNUMBER(K464),K464,"")</x:f>
      </x:c>
      <x:c r="G2513" s="1" t="str">
        <x:f>IF(ISNUMBER(L464),L464,"")</x:f>
      </x:c>
      <x:c r="H2513" s="1" t="str">
        <x:f>IF(A2513="","",IF(AND(UPPER(G464)="PHILADELPHIA",OR(C2513="District",AND(C2513="Charter",D464="Yes"))),"Yes","No"))</x:f>
      </x:c>
      <x:c r="I2513" s="1" t="n">
        <x:f>IF(OR(A2513="",COUNTIFS('Staff Review'!$A$8:$A$507,A2513)&lt;&gt;1),0,MATCH(A2513,'Staff Review'!$A$8:$A$507,0))</x:f>
        <x:v>0</x:v>
      </x:c>
      <x:c r="J2513" s="1" t="str">
        <x:f>IF(I2513=0,"No",IF(INDEX('Staff Review'!$C$8:$C$507,I2513)="Yes","Yes","No"))</x:f>
        <x:v>No</x:v>
      </x:c>
      <x:c r="K2513" s="1" t="str">
        <x:f>IF(AI2513="Yes",INDEX('Staff Review'!$D$8:$D$507,I2513),IF(AB2513=0,"",IF(COUNT(INDEX($C$1531:$C$2030,AB2513))=1,INDEX($C$1531:$C$2030,AB2513),"")))</x:f>
      </x:c>
      <x:c r="L2513" s="1" t="str">
        <x:f>IF(AJ2513="Yes",INDEX('Staff Review'!$F$8:$F$507,I2513),IF(AB2513=0,"",IF(COUNT(INDEX($G$1531:$G$2030,AB2513))=1,INDEX($G$1531:$G$2030,AB2513),"")))</x:f>
      </x:c>
      <x:c r="M2513" s="1" t="str">
        <x:f>IF(A2513="","",IF(AI2513="Yes","Verified","Listed"))</x:f>
      </x:c>
      <x:c r="N2513" s="1" t="str">
        <x:f>IF(A2513="","",IF(AJ2513="Yes","Verified","Listed"))</x:f>
      </x:c>
      <x:c r="O2513" s="1" t="str">
        <x:f>IF(AND(ISNUMBER(G2513),G2513&gt;=0,G2513&lt;=1),IF(G2513&gt;=0.9,30,IF(G2513&gt;=0.8,25,IF(G2513&gt;=0.7,20,IF(G2513&gt;=0.6,15,IF(G2513&gt;=0.5,10,IF(G2513&gt;=0.4,5,0)))))),"")</x:f>
      </x:c>
      <x:c r="P2513" s="1" t="str">
        <x:f>IF(ISNUMBER(K2513),IF(K2513&lt;0,"",IF(K2513&gt;1,25,IF(K2513&gt;=0.75,20,IF(K2513&gt;=0.5,15,IF(K2513&gt;=0.25,10,5))))),"")</x:f>
      </x:c>
      <x:c r="Q2513" s="1" t="str">
        <x:f>IF(NOT(ISNUMBER(L2513)),"",IF(AND(L2513&gt;=0,MOD(L2513,1)=0),MAX(0,25-5*L2513),""))</x:f>
      </x:c>
      <x:c r="R2513" s="1" t="str">
        <x:f>IF(NOT(ISNUMBER(F2513)),"",IF(AND(F2513&gt;0,MOD(F2513,1)=0),IF(F2513&gt;=700,5,IF(F2513&gt;=500,4,IF(F2513&gt;=350,3,IF(F2513&gt;=200,2,1)))),""))</x:f>
      </x:c>
      <x:c r="S2513" s="1" t="str">
        <x:f>IF(COUNT(O2513:R2513)=4,SUM(O2513:R2513),"")</x:f>
      </x:c>
      <x:c r="T2513" s="1" t="str">
        <x:f>IF(OR(COUNT(O2513:R2513)&lt;&gt;4,COUNT('Top 15'!$B$35:$E$35)&lt;&gt;4,MIN('Top 15'!$B$35:$E$35)&lt;0,SUM('Top 15'!$B$35:$E$35)&lt;=0),"",ROUND(85*(O2513/30*'Top 15'!$B$35+P2513/25*'Top 15'!$C$35+Q2513/25*'Top 15'!$D$35+R2513/5*'Top 15'!$E$35)/SUM('Top 15'!$B$35:$E$35),6))</x:f>
      </x:c>
      <x:c r="U2513" s="1" t="str">
        <x:f>IF(A2513="","",IF(AND(M2513="Verified",N2513="Verified"),"Verified",IF(AND(M2513="Listed",N2513="Listed"),"Listed","Mixed")))</x:f>
      </x:c>
      <x:c r="V2513" s="1" t="str">
        <x:f>IF(A2513="","",IF(AK2513&lt;&gt;1,"Duplicate source ID",IF(COUNTIFS('Staff Review'!$A$8:$A$507,A2513)&gt;1,"Duplicate review ID",IF(H2513&lt;&gt;"Yes","Outside scope",IF(J2513="Yes","Already served",IF(NOT(ISNUMBER(T2513)),"Missing data","Candidate"))))))</x:f>
      </x:c>
      <x:c r="W2513" s="1" t="str">
        <x:f>IF(AL2513=0,"",1+COUNTIFS($AL$2051:$AL$2550,1,$T$2051:$T$2550,"&gt;"&amp;T2513)+COUNTIFS($AL$2051:$AL$2550,1,$T$2051:$T$2550,T2513,$G$2051:$G$2550,"&gt;"&amp;G2513)+COUNTIFS($AL$2051:$AL$2550,1,$T$2051:$T$2550,T2513,$G$2051:$G$2550,G2513,$F$2051:$F$2550,"&gt;"&amp;F2513)+COUNTIFS($AL$2051:$AL$2550,1,$T$2051:$T$2550,T2513,$G$2051:$G$2550,G2513,$F$2051:$F$2550,F2513,$AM$2051:$AM$2550,"&lt;"&amp;AM2513))</x:f>
      </x:c>
      <x:c r="X2513" s="1" t="str">
        <x:f>IF(AL2513=0,"",1+COUNTIFS($AL$2051:$AL$2550,1,$T$2051:$T$2550,"&gt;"&amp;T2513))</x:f>
      </x:c>
      <x:c r="Y2513" s="1" t="n">
        <x:f>IF(AND(H2513="Yes",OR(LEN('School Search'!$B$5)=0,ISNUMBER(SEARCH('School Search'!$B$5,B2513&amp;" "&amp;E2513&amp;" "&amp;A2513))),OR('School Search'!$D$5="All",C2513='School Search'!$D$5),OR('School Search'!$G$5="All eligible",AND('School Search'!$G$5="Not marked served",J2513&lt;&gt;"Yes"),AND('School Search'!$G$5="Missing data",V2513="Missing data"),AND('School Search'!$G$5="Marked served",J2513="Yes"))),1,0)</x:f>
        <x:v>0</x:v>
      </x:c>
      <x:c r="Z2513" s="1" t="str">
        <x:f>IF(Y2513=0,"",COUNTIFS($Y$2051:$Y$2550,1,$AO$2051:$AO$2550,"&lt;"&amp;AO2513)+COUNTIFS($Y$2051:Y2513,1,$AO$2051:AO2513,AO2513))</x:f>
      </x:c>
      <x:c r="AA2513" s="1" t="str">
        <x:f>IF(NOT(ISNUMBER(S2513)),"Missing demographic or access input",TEXT(G2513,"0%")&amp;" economic need; "&amp;TEXT(K2513,"0.00")&amp;" mi fresh access; "&amp;L2513&amp;" nearby resources")</x:f>
        <x:v>Missing demographic or access input</x:v>
      </x:c>
      <x:c r="AB2513" s="1" t="n">
        <x:f>IF(OR(A2513="",COUNTIFS($A$1531:$A$2030,A2513)&lt;&gt;1),0,MATCH(A2513,$A$1531:$A$2030,0))</x:f>
        <x:v>0</x:v>
      </x:c>
      <x:c r="AC2513" s="1" t="str">
        <x:f>IF(AB2513=0,"",INDEX($E$1531:$E$2030,AB2513))</x:f>
      </x:c>
      <x:c r="AD2513" s="1" t="str">
        <x:f>IF(AB2513=0,"",INDEX($F$1531:$F$2030,AB2513))</x:f>
      </x:c>
      <x:c r="AE2513" s="1" t="str">
        <x:f>IF(A2513="","",F464)</x:f>
      </x:c>
      <x:c r="AF2513" s="1" t="str">
        <x:f>IF(ISNUMBER(I464),I464,"")</x:f>
      </x:c>
      <x:c r="AG2513" s="1" t="str">
        <x:f>IF(ISNUMBER(J464),J464,"")</x:f>
      </x:c>
      <x:c r="AH2513" s="1" t="str">
        <x:f>IF(I2513=0,"Not contacted",IF(INDEX('Staff Review'!$J$8:$J$507,I2513)="","Not contacted",INDEX('Staff Review'!$J$8:$J$507,I2513)))</x:f>
        <x:v>Not contacted</x:v>
      </x:c>
      <x:c r="AI2513" s="1" t="str">
        <x:f>IF(I2513=0,"No",IF(AND(COUNT(INDEX('Staff Review'!$D$8:$D$507,I2513))=1,INDEX('Staff Review'!$D$8:$D$507,I2513)&gt;=0,COUNT(INDEX('Staff Review'!$E$8:$E$507,I2513))=1,INDEX('Staff Review'!$E$8:$E$507,I2513)&gt;0,INDEX('Staff Review'!$E$8:$E$507,I2513)&lt;='Top 15'!$E$5,'Top 15'!$E$5-INDEX('Staff Review'!$E$8:$E$507,I2513)&lt;='Top 15'!$H$5,LEN(INDEX('Staff Review'!$H$8:$H$507,I2513))&gt;0),"Yes","No"))</x:f>
        <x:v>No</x:v>
      </x:c>
      <x:c r="AJ2513" s="1" t="str">
        <x:f>IF(I2513=0,"No",IF(COUNT(INDEX('Staff Review'!$F$8:$F$507,I2513))&lt;&gt;1,"No",IF(AND(INDEX('Staff Review'!$F$8:$F$507,I2513)&gt;=0,MOD(INDEX('Staff Review'!$F$8:$F$507,I2513),1)=0,COUNT(INDEX('Staff Review'!$G$8:$G$507,I2513))=1,INDEX('Staff Review'!$G$8:$G$507,I2513)&gt;0,INDEX('Staff Review'!$G$8:$G$507,I2513)&lt;='Top 15'!$E$5,'Top 15'!$E$5-INDEX('Staff Review'!$G$8:$G$507,I2513)&lt;='Top 15'!$H$5,LEN(INDEX('Staff Review'!$H$8:$H$507,I2513))&gt;0),"Yes","No")))</x:f>
        <x:v>No</x:v>
      </x:c>
      <x:c r="AK2513" s="1" t="n">
        <x:f>IF(A2513="",0,COUNTIFS($A$2:$A$501,A2513))</x:f>
        <x:v>0</x:v>
      </x:c>
      <x:c r="AL2513" s="1" t="n">
        <x:f>IF(V2513="Candidate",1,0)</x:f>
        <x:v>0</x:v>
      </x:c>
      <x:c r="AM2513" s="1" t="n">
        <x:f>IF(A2513="",0,VALUE(A2513))</x:f>
        <x:v>0</x:v>
      </x:c>
      <x:c r="AN2513" s="1" t="n">
        <x:f>IF(OR(A2513="",COUNTIFS($T$41:$T$540,A2513)&lt;&gt;1),0,MATCH(A2513,$T$41:$T$540,0))</x:f>
        <x:v>0</x:v>
      </x:c>
      <x:c r="AO2513" t="n">
        <x:f>IF(ISNUMBER(W2513),W2513,10000+AM2513)</x:f>
        <x:v>10000</x:v>
      </x:c>
    </x:row>
    <x:row r="2514" ht="22" customHeight="1">
      <x:c r="A2514" s="1" t="str">
        <x:f>IF(A465="","",A465)</x:f>
      </x:c>
      <x:c r="B2514" s="1" t="str">
        <x:f>IF(A2514="","",B465)</x:f>
      </x:c>
      <x:c r="C2514" s="1" t="str">
        <x:f>IF(A2514="","",C465)</x:f>
      </x:c>
      <x:c r="D2514" s="1" t="str">
        <x:f>IF(A2514="","",E465)</x:f>
      </x:c>
      <x:c r="E2514" s="1" t="str">
        <x:f>IF(A2514="","",H465)</x:f>
      </x:c>
      <x:c r="F2514" s="1" t="str">
        <x:f>IF(ISNUMBER(K465),K465,"")</x:f>
      </x:c>
      <x:c r="G2514" s="1" t="str">
        <x:f>IF(ISNUMBER(L465),L465,"")</x:f>
      </x:c>
      <x:c r="H2514" s="1" t="str">
        <x:f>IF(A2514="","",IF(AND(UPPER(G465)="PHILADELPHIA",OR(C2514="District",AND(C2514="Charter",D465="Yes"))),"Yes","No"))</x:f>
      </x:c>
      <x:c r="I2514" s="1" t="n">
        <x:f>IF(OR(A2514="",COUNTIFS('Staff Review'!$A$8:$A$507,A2514)&lt;&gt;1),0,MATCH(A2514,'Staff Review'!$A$8:$A$507,0))</x:f>
        <x:v>0</x:v>
      </x:c>
      <x:c r="J2514" s="1" t="str">
        <x:f>IF(I2514=0,"No",IF(INDEX('Staff Review'!$C$8:$C$507,I2514)="Yes","Yes","No"))</x:f>
        <x:v>No</x:v>
      </x:c>
      <x:c r="K2514" s="1" t="str">
        <x:f>IF(AI2514="Yes",INDEX('Staff Review'!$D$8:$D$507,I2514),IF(AB2514=0,"",IF(COUNT(INDEX($C$1531:$C$2030,AB2514))=1,INDEX($C$1531:$C$2030,AB2514),"")))</x:f>
      </x:c>
      <x:c r="L2514" s="1" t="str">
        <x:f>IF(AJ2514="Yes",INDEX('Staff Review'!$F$8:$F$507,I2514),IF(AB2514=0,"",IF(COUNT(INDEX($G$1531:$G$2030,AB2514))=1,INDEX($G$1531:$G$2030,AB2514),"")))</x:f>
      </x:c>
      <x:c r="M2514" s="1" t="str">
        <x:f>IF(A2514="","",IF(AI2514="Yes","Verified","Listed"))</x:f>
      </x:c>
      <x:c r="N2514" s="1" t="str">
        <x:f>IF(A2514="","",IF(AJ2514="Yes","Verified","Listed"))</x:f>
      </x:c>
      <x:c r="O2514" s="1" t="str">
        <x:f>IF(AND(ISNUMBER(G2514),G2514&gt;=0,G2514&lt;=1),IF(G2514&gt;=0.9,30,IF(G2514&gt;=0.8,25,IF(G2514&gt;=0.7,20,IF(G2514&gt;=0.6,15,IF(G2514&gt;=0.5,10,IF(G2514&gt;=0.4,5,0)))))),"")</x:f>
      </x:c>
      <x:c r="P2514" s="1" t="str">
        <x:f>IF(ISNUMBER(K2514),IF(K2514&lt;0,"",IF(K2514&gt;1,25,IF(K2514&gt;=0.75,20,IF(K2514&gt;=0.5,15,IF(K2514&gt;=0.25,10,5))))),"")</x:f>
      </x:c>
      <x:c r="Q2514" s="1" t="str">
        <x:f>IF(NOT(ISNUMBER(L2514)),"",IF(AND(L2514&gt;=0,MOD(L2514,1)=0),MAX(0,25-5*L2514),""))</x:f>
      </x:c>
      <x:c r="R2514" s="1" t="str">
        <x:f>IF(NOT(ISNUMBER(F2514)),"",IF(AND(F2514&gt;0,MOD(F2514,1)=0),IF(F2514&gt;=700,5,IF(F2514&gt;=500,4,IF(F2514&gt;=350,3,IF(F2514&gt;=200,2,1)))),""))</x:f>
      </x:c>
      <x:c r="S2514" s="1" t="str">
        <x:f>IF(COUNT(O2514:R2514)=4,SUM(O2514:R2514),"")</x:f>
      </x:c>
      <x:c r="T2514" s="1" t="str">
        <x:f>IF(OR(COUNT(O2514:R2514)&lt;&gt;4,COUNT('Top 15'!$B$35:$E$35)&lt;&gt;4,MIN('Top 15'!$B$35:$E$35)&lt;0,SUM('Top 15'!$B$35:$E$35)&lt;=0),"",ROUND(85*(O2514/30*'Top 15'!$B$35+P2514/25*'Top 15'!$C$35+Q2514/25*'Top 15'!$D$35+R2514/5*'Top 15'!$E$35)/SUM('Top 15'!$B$35:$E$35),6))</x:f>
      </x:c>
      <x:c r="U2514" s="1" t="str">
        <x:f>IF(A2514="","",IF(AND(M2514="Verified",N2514="Verified"),"Verified",IF(AND(M2514="Listed",N2514="Listed"),"Listed","Mixed")))</x:f>
      </x:c>
      <x:c r="V2514" s="1" t="str">
        <x:f>IF(A2514="","",IF(AK2514&lt;&gt;1,"Duplicate source ID",IF(COUNTIFS('Staff Review'!$A$8:$A$507,A2514)&gt;1,"Duplicate review ID",IF(H2514&lt;&gt;"Yes","Outside scope",IF(J2514="Yes","Already served",IF(NOT(ISNUMBER(T2514)),"Missing data","Candidate"))))))</x:f>
      </x:c>
      <x:c r="W2514" s="1" t="str">
        <x:f>IF(AL2514=0,"",1+COUNTIFS($AL$2051:$AL$2550,1,$T$2051:$T$2550,"&gt;"&amp;T2514)+COUNTIFS($AL$2051:$AL$2550,1,$T$2051:$T$2550,T2514,$G$2051:$G$2550,"&gt;"&amp;G2514)+COUNTIFS($AL$2051:$AL$2550,1,$T$2051:$T$2550,T2514,$G$2051:$G$2550,G2514,$F$2051:$F$2550,"&gt;"&amp;F2514)+COUNTIFS($AL$2051:$AL$2550,1,$T$2051:$T$2550,T2514,$G$2051:$G$2550,G2514,$F$2051:$F$2550,F2514,$AM$2051:$AM$2550,"&lt;"&amp;AM2514))</x:f>
      </x:c>
      <x:c r="X2514" s="1" t="str">
        <x:f>IF(AL2514=0,"",1+COUNTIFS($AL$2051:$AL$2550,1,$T$2051:$T$2550,"&gt;"&amp;T2514))</x:f>
      </x:c>
      <x:c r="Y2514" s="1" t="n">
        <x:f>IF(AND(H2514="Yes",OR(LEN('School Search'!$B$5)=0,ISNUMBER(SEARCH('School Search'!$B$5,B2514&amp;" "&amp;E2514&amp;" "&amp;A2514))),OR('School Search'!$D$5="All",C2514='School Search'!$D$5),OR('School Search'!$G$5="All eligible",AND('School Search'!$G$5="Not marked served",J2514&lt;&gt;"Yes"),AND('School Search'!$G$5="Missing data",V2514="Missing data"),AND('School Search'!$G$5="Marked served",J2514="Yes"))),1,0)</x:f>
        <x:v>0</x:v>
      </x:c>
      <x:c r="Z2514" s="1" t="str">
        <x:f>IF(Y2514=0,"",COUNTIFS($Y$2051:$Y$2550,1,$AO$2051:$AO$2550,"&lt;"&amp;AO2514)+COUNTIFS($Y$2051:Y2514,1,$AO$2051:AO2514,AO2514))</x:f>
      </x:c>
      <x:c r="AA2514" s="1" t="str">
        <x:f>IF(NOT(ISNUMBER(S2514)),"Missing demographic or access input",TEXT(G2514,"0%")&amp;" economic need; "&amp;TEXT(K2514,"0.00")&amp;" mi fresh access; "&amp;L2514&amp;" nearby resources")</x:f>
        <x:v>Missing demographic or access input</x:v>
      </x:c>
      <x:c r="AB2514" s="1" t="n">
        <x:f>IF(OR(A2514="",COUNTIFS($A$1531:$A$2030,A2514)&lt;&gt;1),0,MATCH(A2514,$A$1531:$A$2030,0))</x:f>
        <x:v>0</x:v>
      </x:c>
      <x:c r="AC2514" s="1" t="str">
        <x:f>IF(AB2514=0,"",INDEX($E$1531:$E$2030,AB2514))</x:f>
      </x:c>
      <x:c r="AD2514" s="1" t="str">
        <x:f>IF(AB2514=0,"",INDEX($F$1531:$F$2030,AB2514))</x:f>
      </x:c>
      <x:c r="AE2514" s="1" t="str">
        <x:f>IF(A2514="","",F465)</x:f>
      </x:c>
      <x:c r="AF2514" s="1" t="str">
        <x:f>IF(ISNUMBER(I465),I465,"")</x:f>
      </x:c>
      <x:c r="AG2514" s="1" t="str">
        <x:f>IF(ISNUMBER(J465),J465,"")</x:f>
      </x:c>
      <x:c r="AH2514" s="1" t="str">
        <x:f>IF(I2514=0,"Not contacted",IF(INDEX('Staff Review'!$J$8:$J$507,I2514)="","Not contacted",INDEX('Staff Review'!$J$8:$J$507,I2514)))</x:f>
        <x:v>Not contacted</x:v>
      </x:c>
      <x:c r="AI2514" s="1" t="str">
        <x:f>IF(I2514=0,"No",IF(AND(COUNT(INDEX('Staff Review'!$D$8:$D$507,I2514))=1,INDEX('Staff Review'!$D$8:$D$507,I2514)&gt;=0,COUNT(INDEX('Staff Review'!$E$8:$E$507,I2514))=1,INDEX('Staff Review'!$E$8:$E$507,I2514)&gt;0,INDEX('Staff Review'!$E$8:$E$507,I2514)&lt;='Top 15'!$E$5,'Top 15'!$E$5-INDEX('Staff Review'!$E$8:$E$507,I2514)&lt;='Top 15'!$H$5,LEN(INDEX('Staff Review'!$H$8:$H$507,I2514))&gt;0),"Yes","No"))</x:f>
        <x:v>No</x:v>
      </x:c>
      <x:c r="AJ2514" s="1" t="str">
        <x:f>IF(I2514=0,"No",IF(COUNT(INDEX('Staff Review'!$F$8:$F$507,I2514))&lt;&gt;1,"No",IF(AND(INDEX('Staff Review'!$F$8:$F$507,I2514)&gt;=0,MOD(INDEX('Staff Review'!$F$8:$F$507,I2514),1)=0,COUNT(INDEX('Staff Review'!$G$8:$G$507,I2514))=1,INDEX('Staff Review'!$G$8:$G$507,I2514)&gt;0,INDEX('Staff Review'!$G$8:$G$507,I2514)&lt;='Top 15'!$E$5,'Top 15'!$E$5-INDEX('Staff Review'!$G$8:$G$507,I2514)&lt;='Top 15'!$H$5,LEN(INDEX('Staff Review'!$H$8:$H$507,I2514))&gt;0),"Yes","No")))</x:f>
        <x:v>No</x:v>
      </x:c>
      <x:c r="AK2514" s="1" t="n">
        <x:f>IF(A2514="",0,COUNTIFS($A$2:$A$501,A2514))</x:f>
        <x:v>0</x:v>
      </x:c>
      <x:c r="AL2514" s="1" t="n">
        <x:f>IF(V2514="Candidate",1,0)</x:f>
        <x:v>0</x:v>
      </x:c>
      <x:c r="AM2514" s="1" t="n">
        <x:f>IF(A2514="",0,VALUE(A2514))</x:f>
        <x:v>0</x:v>
      </x:c>
      <x:c r="AN2514" s="1" t="n">
        <x:f>IF(OR(A2514="",COUNTIFS($T$41:$T$540,A2514)&lt;&gt;1),0,MATCH(A2514,$T$41:$T$540,0))</x:f>
        <x:v>0</x:v>
      </x:c>
      <x:c r="AO2514" t="n">
        <x:f>IF(ISNUMBER(W2514),W2514,10000+AM2514)</x:f>
        <x:v>10000</x:v>
      </x:c>
    </x:row>
    <x:row r="2515" ht="22" customHeight="1">
      <x:c r="A2515" s="1" t="str">
        <x:f>IF(A466="","",A466)</x:f>
      </x:c>
      <x:c r="B2515" s="1" t="str">
        <x:f>IF(A2515="","",B466)</x:f>
      </x:c>
      <x:c r="C2515" s="1" t="str">
        <x:f>IF(A2515="","",C466)</x:f>
      </x:c>
      <x:c r="D2515" s="1" t="str">
        <x:f>IF(A2515="","",E466)</x:f>
      </x:c>
      <x:c r="E2515" s="1" t="str">
        <x:f>IF(A2515="","",H466)</x:f>
      </x:c>
      <x:c r="F2515" s="1" t="str">
        <x:f>IF(ISNUMBER(K466),K466,"")</x:f>
      </x:c>
      <x:c r="G2515" s="1" t="str">
        <x:f>IF(ISNUMBER(L466),L466,"")</x:f>
      </x:c>
      <x:c r="H2515" s="1" t="str">
        <x:f>IF(A2515="","",IF(AND(UPPER(G466)="PHILADELPHIA",OR(C2515="District",AND(C2515="Charter",D466="Yes"))),"Yes","No"))</x:f>
      </x:c>
      <x:c r="I2515" s="1" t="n">
        <x:f>IF(OR(A2515="",COUNTIFS('Staff Review'!$A$8:$A$507,A2515)&lt;&gt;1),0,MATCH(A2515,'Staff Review'!$A$8:$A$507,0))</x:f>
        <x:v>0</x:v>
      </x:c>
      <x:c r="J2515" s="1" t="str">
        <x:f>IF(I2515=0,"No",IF(INDEX('Staff Review'!$C$8:$C$507,I2515)="Yes","Yes","No"))</x:f>
        <x:v>No</x:v>
      </x:c>
      <x:c r="K2515" s="1" t="str">
        <x:f>IF(AI2515="Yes",INDEX('Staff Review'!$D$8:$D$507,I2515),IF(AB2515=0,"",IF(COUNT(INDEX($C$1531:$C$2030,AB2515))=1,INDEX($C$1531:$C$2030,AB2515),"")))</x:f>
      </x:c>
      <x:c r="L2515" s="1" t="str">
        <x:f>IF(AJ2515="Yes",INDEX('Staff Review'!$F$8:$F$507,I2515),IF(AB2515=0,"",IF(COUNT(INDEX($G$1531:$G$2030,AB2515))=1,INDEX($G$1531:$G$2030,AB2515),"")))</x:f>
      </x:c>
      <x:c r="M2515" s="1" t="str">
        <x:f>IF(A2515="","",IF(AI2515="Yes","Verified","Listed"))</x:f>
      </x:c>
      <x:c r="N2515" s="1" t="str">
        <x:f>IF(A2515="","",IF(AJ2515="Yes","Verified","Listed"))</x:f>
      </x:c>
      <x:c r="O2515" s="1" t="str">
        <x:f>IF(AND(ISNUMBER(G2515),G2515&gt;=0,G2515&lt;=1),IF(G2515&gt;=0.9,30,IF(G2515&gt;=0.8,25,IF(G2515&gt;=0.7,20,IF(G2515&gt;=0.6,15,IF(G2515&gt;=0.5,10,IF(G2515&gt;=0.4,5,0)))))),"")</x:f>
      </x:c>
      <x:c r="P2515" s="1" t="str">
        <x:f>IF(ISNUMBER(K2515),IF(K2515&lt;0,"",IF(K2515&gt;1,25,IF(K2515&gt;=0.75,20,IF(K2515&gt;=0.5,15,IF(K2515&gt;=0.25,10,5))))),"")</x:f>
      </x:c>
      <x:c r="Q2515" s="1" t="str">
        <x:f>IF(NOT(ISNUMBER(L2515)),"",IF(AND(L2515&gt;=0,MOD(L2515,1)=0),MAX(0,25-5*L2515),""))</x:f>
      </x:c>
      <x:c r="R2515" s="1" t="str">
        <x:f>IF(NOT(ISNUMBER(F2515)),"",IF(AND(F2515&gt;0,MOD(F2515,1)=0),IF(F2515&gt;=700,5,IF(F2515&gt;=500,4,IF(F2515&gt;=350,3,IF(F2515&gt;=200,2,1)))),""))</x:f>
      </x:c>
      <x:c r="S2515" s="1" t="str">
        <x:f>IF(COUNT(O2515:R2515)=4,SUM(O2515:R2515),"")</x:f>
      </x:c>
      <x:c r="T2515" s="1" t="str">
        <x:f>IF(OR(COUNT(O2515:R2515)&lt;&gt;4,COUNT('Top 15'!$B$35:$E$35)&lt;&gt;4,MIN('Top 15'!$B$35:$E$35)&lt;0,SUM('Top 15'!$B$35:$E$35)&lt;=0),"",ROUND(85*(O2515/30*'Top 15'!$B$35+P2515/25*'Top 15'!$C$35+Q2515/25*'Top 15'!$D$35+R2515/5*'Top 15'!$E$35)/SUM('Top 15'!$B$35:$E$35),6))</x:f>
      </x:c>
      <x:c r="U2515" s="1" t="str">
        <x:f>IF(A2515="","",IF(AND(M2515="Verified",N2515="Verified"),"Verified",IF(AND(M2515="Listed",N2515="Listed"),"Listed","Mixed")))</x:f>
      </x:c>
      <x:c r="V2515" s="1" t="str">
        <x:f>IF(A2515="","",IF(AK2515&lt;&gt;1,"Duplicate source ID",IF(COUNTIFS('Staff Review'!$A$8:$A$507,A2515)&gt;1,"Duplicate review ID",IF(H2515&lt;&gt;"Yes","Outside scope",IF(J2515="Yes","Already served",IF(NOT(ISNUMBER(T2515)),"Missing data","Candidate"))))))</x:f>
      </x:c>
      <x:c r="W2515" s="1" t="str">
        <x:f>IF(AL2515=0,"",1+COUNTIFS($AL$2051:$AL$2550,1,$T$2051:$T$2550,"&gt;"&amp;T2515)+COUNTIFS($AL$2051:$AL$2550,1,$T$2051:$T$2550,T2515,$G$2051:$G$2550,"&gt;"&amp;G2515)+COUNTIFS($AL$2051:$AL$2550,1,$T$2051:$T$2550,T2515,$G$2051:$G$2550,G2515,$F$2051:$F$2550,"&gt;"&amp;F2515)+COUNTIFS($AL$2051:$AL$2550,1,$T$2051:$T$2550,T2515,$G$2051:$G$2550,G2515,$F$2051:$F$2550,F2515,$AM$2051:$AM$2550,"&lt;"&amp;AM2515))</x:f>
      </x:c>
      <x:c r="X2515" s="1" t="str">
        <x:f>IF(AL2515=0,"",1+COUNTIFS($AL$2051:$AL$2550,1,$T$2051:$T$2550,"&gt;"&amp;T2515))</x:f>
      </x:c>
      <x:c r="Y2515" s="1" t="n">
        <x:f>IF(AND(H2515="Yes",OR(LEN('School Search'!$B$5)=0,ISNUMBER(SEARCH('School Search'!$B$5,B2515&amp;" "&amp;E2515&amp;" "&amp;A2515))),OR('School Search'!$D$5="All",C2515='School Search'!$D$5),OR('School Search'!$G$5="All eligible",AND('School Search'!$G$5="Not marked served",J2515&lt;&gt;"Yes"),AND('School Search'!$G$5="Missing data",V2515="Missing data"),AND('School Search'!$G$5="Marked served",J2515="Yes"))),1,0)</x:f>
        <x:v>0</x:v>
      </x:c>
      <x:c r="Z2515" s="1" t="str">
        <x:f>IF(Y2515=0,"",COUNTIFS($Y$2051:$Y$2550,1,$AO$2051:$AO$2550,"&lt;"&amp;AO2515)+COUNTIFS($Y$2051:Y2515,1,$AO$2051:AO2515,AO2515))</x:f>
      </x:c>
      <x:c r="AA2515" s="1" t="str">
        <x:f>IF(NOT(ISNUMBER(S2515)),"Missing demographic or access input",TEXT(G2515,"0%")&amp;" economic need; "&amp;TEXT(K2515,"0.00")&amp;" mi fresh access; "&amp;L2515&amp;" nearby resources")</x:f>
        <x:v>Missing demographic or access input</x:v>
      </x:c>
      <x:c r="AB2515" s="1" t="n">
        <x:f>IF(OR(A2515="",COUNTIFS($A$1531:$A$2030,A2515)&lt;&gt;1),0,MATCH(A2515,$A$1531:$A$2030,0))</x:f>
        <x:v>0</x:v>
      </x:c>
      <x:c r="AC2515" s="1" t="str">
        <x:f>IF(AB2515=0,"",INDEX($E$1531:$E$2030,AB2515))</x:f>
      </x:c>
      <x:c r="AD2515" s="1" t="str">
        <x:f>IF(AB2515=0,"",INDEX($F$1531:$F$2030,AB2515))</x:f>
      </x:c>
      <x:c r="AE2515" s="1" t="str">
        <x:f>IF(A2515="","",F466)</x:f>
      </x:c>
      <x:c r="AF2515" s="1" t="str">
        <x:f>IF(ISNUMBER(I466),I466,"")</x:f>
      </x:c>
      <x:c r="AG2515" s="1" t="str">
        <x:f>IF(ISNUMBER(J466),J466,"")</x:f>
      </x:c>
      <x:c r="AH2515" s="1" t="str">
        <x:f>IF(I2515=0,"Not contacted",IF(INDEX('Staff Review'!$J$8:$J$507,I2515)="","Not contacted",INDEX('Staff Review'!$J$8:$J$507,I2515)))</x:f>
        <x:v>Not contacted</x:v>
      </x:c>
      <x:c r="AI2515" s="1" t="str">
        <x:f>IF(I2515=0,"No",IF(AND(COUNT(INDEX('Staff Review'!$D$8:$D$507,I2515))=1,INDEX('Staff Review'!$D$8:$D$507,I2515)&gt;=0,COUNT(INDEX('Staff Review'!$E$8:$E$507,I2515))=1,INDEX('Staff Review'!$E$8:$E$507,I2515)&gt;0,INDEX('Staff Review'!$E$8:$E$507,I2515)&lt;='Top 15'!$E$5,'Top 15'!$E$5-INDEX('Staff Review'!$E$8:$E$507,I2515)&lt;='Top 15'!$H$5,LEN(INDEX('Staff Review'!$H$8:$H$507,I2515))&gt;0),"Yes","No"))</x:f>
        <x:v>No</x:v>
      </x:c>
      <x:c r="AJ2515" s="1" t="str">
        <x:f>IF(I2515=0,"No",IF(COUNT(INDEX('Staff Review'!$F$8:$F$507,I2515))&lt;&gt;1,"No",IF(AND(INDEX('Staff Review'!$F$8:$F$507,I2515)&gt;=0,MOD(INDEX('Staff Review'!$F$8:$F$507,I2515),1)=0,COUNT(INDEX('Staff Review'!$G$8:$G$507,I2515))=1,INDEX('Staff Review'!$G$8:$G$507,I2515)&gt;0,INDEX('Staff Review'!$G$8:$G$507,I2515)&lt;='Top 15'!$E$5,'Top 15'!$E$5-INDEX('Staff Review'!$G$8:$G$507,I2515)&lt;='Top 15'!$H$5,LEN(INDEX('Staff Review'!$H$8:$H$507,I2515))&gt;0),"Yes","No")))</x:f>
        <x:v>No</x:v>
      </x:c>
      <x:c r="AK2515" s="1" t="n">
        <x:f>IF(A2515="",0,COUNTIFS($A$2:$A$501,A2515))</x:f>
        <x:v>0</x:v>
      </x:c>
      <x:c r="AL2515" s="1" t="n">
        <x:f>IF(V2515="Candidate",1,0)</x:f>
        <x:v>0</x:v>
      </x:c>
      <x:c r="AM2515" s="1" t="n">
        <x:f>IF(A2515="",0,VALUE(A2515))</x:f>
        <x:v>0</x:v>
      </x:c>
      <x:c r="AN2515" s="1" t="n">
        <x:f>IF(OR(A2515="",COUNTIFS($T$41:$T$540,A2515)&lt;&gt;1),0,MATCH(A2515,$T$41:$T$540,0))</x:f>
        <x:v>0</x:v>
      </x:c>
      <x:c r="AO2515" t="n">
        <x:f>IF(ISNUMBER(W2515),W2515,10000+AM2515)</x:f>
        <x:v>10000</x:v>
      </x:c>
    </x:row>
    <x:row r="2516" ht="22" customHeight="1">
      <x:c r="A2516" s="1" t="str">
        <x:f>IF(A467="","",A467)</x:f>
      </x:c>
      <x:c r="B2516" s="1" t="str">
        <x:f>IF(A2516="","",B467)</x:f>
      </x:c>
      <x:c r="C2516" s="1" t="str">
        <x:f>IF(A2516="","",C467)</x:f>
      </x:c>
      <x:c r="D2516" s="1" t="str">
        <x:f>IF(A2516="","",E467)</x:f>
      </x:c>
      <x:c r="E2516" s="1" t="str">
        <x:f>IF(A2516="","",H467)</x:f>
      </x:c>
      <x:c r="F2516" s="1" t="str">
        <x:f>IF(ISNUMBER(K467),K467,"")</x:f>
      </x:c>
      <x:c r="G2516" s="1" t="str">
        <x:f>IF(ISNUMBER(L467),L467,"")</x:f>
      </x:c>
      <x:c r="H2516" s="1" t="str">
        <x:f>IF(A2516="","",IF(AND(UPPER(G467)="PHILADELPHIA",OR(C2516="District",AND(C2516="Charter",D467="Yes"))),"Yes","No"))</x:f>
      </x:c>
      <x:c r="I2516" s="1" t="n">
        <x:f>IF(OR(A2516="",COUNTIFS('Staff Review'!$A$8:$A$507,A2516)&lt;&gt;1),0,MATCH(A2516,'Staff Review'!$A$8:$A$507,0))</x:f>
        <x:v>0</x:v>
      </x:c>
      <x:c r="J2516" s="1" t="str">
        <x:f>IF(I2516=0,"No",IF(INDEX('Staff Review'!$C$8:$C$507,I2516)="Yes","Yes","No"))</x:f>
        <x:v>No</x:v>
      </x:c>
      <x:c r="K2516" s="1" t="str">
        <x:f>IF(AI2516="Yes",INDEX('Staff Review'!$D$8:$D$507,I2516),IF(AB2516=0,"",IF(COUNT(INDEX($C$1531:$C$2030,AB2516))=1,INDEX($C$1531:$C$2030,AB2516),"")))</x:f>
      </x:c>
      <x:c r="L2516" s="1" t="str">
        <x:f>IF(AJ2516="Yes",INDEX('Staff Review'!$F$8:$F$507,I2516),IF(AB2516=0,"",IF(COUNT(INDEX($G$1531:$G$2030,AB2516))=1,INDEX($G$1531:$G$2030,AB2516),"")))</x:f>
      </x:c>
      <x:c r="M2516" s="1" t="str">
        <x:f>IF(A2516="","",IF(AI2516="Yes","Verified","Listed"))</x:f>
      </x:c>
      <x:c r="N2516" s="1" t="str">
        <x:f>IF(A2516="","",IF(AJ2516="Yes","Verified","Listed"))</x:f>
      </x:c>
      <x:c r="O2516" s="1" t="str">
        <x:f>IF(AND(ISNUMBER(G2516),G2516&gt;=0,G2516&lt;=1),IF(G2516&gt;=0.9,30,IF(G2516&gt;=0.8,25,IF(G2516&gt;=0.7,20,IF(G2516&gt;=0.6,15,IF(G2516&gt;=0.5,10,IF(G2516&gt;=0.4,5,0)))))),"")</x:f>
      </x:c>
      <x:c r="P2516" s="1" t="str">
        <x:f>IF(ISNUMBER(K2516),IF(K2516&lt;0,"",IF(K2516&gt;1,25,IF(K2516&gt;=0.75,20,IF(K2516&gt;=0.5,15,IF(K2516&gt;=0.25,10,5))))),"")</x:f>
      </x:c>
      <x:c r="Q2516" s="1" t="str">
        <x:f>IF(NOT(ISNUMBER(L2516)),"",IF(AND(L2516&gt;=0,MOD(L2516,1)=0),MAX(0,25-5*L2516),""))</x:f>
      </x:c>
      <x:c r="R2516" s="1" t="str">
        <x:f>IF(NOT(ISNUMBER(F2516)),"",IF(AND(F2516&gt;0,MOD(F2516,1)=0),IF(F2516&gt;=700,5,IF(F2516&gt;=500,4,IF(F2516&gt;=350,3,IF(F2516&gt;=200,2,1)))),""))</x:f>
      </x:c>
      <x:c r="S2516" s="1" t="str">
        <x:f>IF(COUNT(O2516:R2516)=4,SUM(O2516:R2516),"")</x:f>
      </x:c>
      <x:c r="T2516" s="1" t="str">
        <x:f>IF(OR(COUNT(O2516:R2516)&lt;&gt;4,COUNT('Top 15'!$B$35:$E$35)&lt;&gt;4,MIN('Top 15'!$B$35:$E$35)&lt;0,SUM('Top 15'!$B$35:$E$35)&lt;=0),"",ROUND(85*(O2516/30*'Top 15'!$B$35+P2516/25*'Top 15'!$C$35+Q2516/25*'Top 15'!$D$35+R2516/5*'Top 15'!$E$35)/SUM('Top 15'!$B$35:$E$35),6))</x:f>
      </x:c>
      <x:c r="U2516" s="1" t="str">
        <x:f>IF(A2516="","",IF(AND(M2516="Verified",N2516="Verified"),"Verified",IF(AND(M2516="Listed",N2516="Listed"),"Listed","Mixed")))</x:f>
      </x:c>
      <x:c r="V2516" s="1" t="str">
        <x:f>IF(A2516="","",IF(AK2516&lt;&gt;1,"Duplicate source ID",IF(COUNTIFS('Staff Review'!$A$8:$A$507,A2516)&gt;1,"Duplicate review ID",IF(H2516&lt;&gt;"Yes","Outside scope",IF(J2516="Yes","Already served",IF(NOT(ISNUMBER(T2516)),"Missing data","Candidate"))))))</x:f>
      </x:c>
      <x:c r="W2516" s="1" t="str">
        <x:f>IF(AL2516=0,"",1+COUNTIFS($AL$2051:$AL$2550,1,$T$2051:$T$2550,"&gt;"&amp;T2516)+COUNTIFS($AL$2051:$AL$2550,1,$T$2051:$T$2550,T2516,$G$2051:$G$2550,"&gt;"&amp;G2516)+COUNTIFS($AL$2051:$AL$2550,1,$T$2051:$T$2550,T2516,$G$2051:$G$2550,G2516,$F$2051:$F$2550,"&gt;"&amp;F2516)+COUNTIFS($AL$2051:$AL$2550,1,$T$2051:$T$2550,T2516,$G$2051:$G$2550,G2516,$F$2051:$F$2550,F2516,$AM$2051:$AM$2550,"&lt;"&amp;AM2516))</x:f>
      </x:c>
      <x:c r="X2516" s="1" t="str">
        <x:f>IF(AL2516=0,"",1+COUNTIFS($AL$2051:$AL$2550,1,$T$2051:$T$2550,"&gt;"&amp;T2516))</x:f>
      </x:c>
      <x:c r="Y2516" s="1" t="n">
        <x:f>IF(AND(H2516="Yes",OR(LEN('School Search'!$B$5)=0,ISNUMBER(SEARCH('School Search'!$B$5,B2516&amp;" "&amp;E2516&amp;" "&amp;A2516))),OR('School Search'!$D$5="All",C2516='School Search'!$D$5),OR('School Search'!$G$5="All eligible",AND('School Search'!$G$5="Not marked served",J2516&lt;&gt;"Yes"),AND('School Search'!$G$5="Missing data",V2516="Missing data"),AND('School Search'!$G$5="Marked served",J2516="Yes"))),1,0)</x:f>
        <x:v>0</x:v>
      </x:c>
      <x:c r="Z2516" s="1" t="str">
        <x:f>IF(Y2516=0,"",COUNTIFS($Y$2051:$Y$2550,1,$AO$2051:$AO$2550,"&lt;"&amp;AO2516)+COUNTIFS($Y$2051:Y2516,1,$AO$2051:AO2516,AO2516))</x:f>
      </x:c>
      <x:c r="AA2516" s="1" t="str">
        <x:f>IF(NOT(ISNUMBER(S2516)),"Missing demographic or access input",TEXT(G2516,"0%")&amp;" economic need; "&amp;TEXT(K2516,"0.00")&amp;" mi fresh access; "&amp;L2516&amp;" nearby resources")</x:f>
        <x:v>Missing demographic or access input</x:v>
      </x:c>
      <x:c r="AB2516" s="1" t="n">
        <x:f>IF(OR(A2516="",COUNTIFS($A$1531:$A$2030,A2516)&lt;&gt;1),0,MATCH(A2516,$A$1531:$A$2030,0))</x:f>
        <x:v>0</x:v>
      </x:c>
      <x:c r="AC2516" s="1" t="str">
        <x:f>IF(AB2516=0,"",INDEX($E$1531:$E$2030,AB2516))</x:f>
      </x:c>
      <x:c r="AD2516" s="1" t="str">
        <x:f>IF(AB2516=0,"",INDEX($F$1531:$F$2030,AB2516))</x:f>
      </x:c>
      <x:c r="AE2516" s="1" t="str">
        <x:f>IF(A2516="","",F467)</x:f>
      </x:c>
      <x:c r="AF2516" s="1" t="str">
        <x:f>IF(ISNUMBER(I467),I467,"")</x:f>
      </x:c>
      <x:c r="AG2516" s="1" t="str">
        <x:f>IF(ISNUMBER(J467),J467,"")</x:f>
      </x:c>
      <x:c r="AH2516" s="1" t="str">
        <x:f>IF(I2516=0,"Not contacted",IF(INDEX('Staff Review'!$J$8:$J$507,I2516)="","Not contacted",INDEX('Staff Review'!$J$8:$J$507,I2516)))</x:f>
        <x:v>Not contacted</x:v>
      </x:c>
      <x:c r="AI2516" s="1" t="str">
        <x:f>IF(I2516=0,"No",IF(AND(COUNT(INDEX('Staff Review'!$D$8:$D$507,I2516))=1,INDEX('Staff Review'!$D$8:$D$507,I2516)&gt;=0,COUNT(INDEX('Staff Review'!$E$8:$E$507,I2516))=1,INDEX('Staff Review'!$E$8:$E$507,I2516)&gt;0,INDEX('Staff Review'!$E$8:$E$507,I2516)&lt;='Top 15'!$E$5,'Top 15'!$E$5-INDEX('Staff Review'!$E$8:$E$507,I2516)&lt;='Top 15'!$H$5,LEN(INDEX('Staff Review'!$H$8:$H$507,I2516))&gt;0),"Yes","No"))</x:f>
        <x:v>No</x:v>
      </x:c>
      <x:c r="AJ2516" s="1" t="str">
        <x:f>IF(I2516=0,"No",IF(COUNT(INDEX('Staff Review'!$F$8:$F$507,I2516))&lt;&gt;1,"No",IF(AND(INDEX('Staff Review'!$F$8:$F$507,I2516)&gt;=0,MOD(INDEX('Staff Review'!$F$8:$F$507,I2516),1)=0,COUNT(INDEX('Staff Review'!$G$8:$G$507,I2516))=1,INDEX('Staff Review'!$G$8:$G$507,I2516)&gt;0,INDEX('Staff Review'!$G$8:$G$507,I2516)&lt;='Top 15'!$E$5,'Top 15'!$E$5-INDEX('Staff Review'!$G$8:$G$507,I2516)&lt;='Top 15'!$H$5,LEN(INDEX('Staff Review'!$H$8:$H$507,I2516))&gt;0),"Yes","No")))</x:f>
        <x:v>No</x:v>
      </x:c>
      <x:c r="AK2516" s="1" t="n">
        <x:f>IF(A2516="",0,COUNTIFS($A$2:$A$501,A2516))</x:f>
        <x:v>0</x:v>
      </x:c>
      <x:c r="AL2516" s="1" t="n">
        <x:f>IF(V2516="Candidate",1,0)</x:f>
        <x:v>0</x:v>
      </x:c>
      <x:c r="AM2516" s="1" t="n">
        <x:f>IF(A2516="",0,VALUE(A2516))</x:f>
        <x:v>0</x:v>
      </x:c>
      <x:c r="AN2516" s="1" t="n">
        <x:f>IF(OR(A2516="",COUNTIFS($T$41:$T$540,A2516)&lt;&gt;1),0,MATCH(A2516,$T$41:$T$540,0))</x:f>
        <x:v>0</x:v>
      </x:c>
      <x:c r="AO2516" t="n">
        <x:f>IF(ISNUMBER(W2516),W2516,10000+AM2516)</x:f>
        <x:v>10000</x:v>
      </x:c>
    </x:row>
    <x:row r="2517" ht="22" customHeight="1">
      <x:c r="A2517" s="1" t="str">
        <x:f>IF(A468="","",A468)</x:f>
      </x:c>
      <x:c r="B2517" s="1" t="str">
        <x:f>IF(A2517="","",B468)</x:f>
      </x:c>
      <x:c r="C2517" s="1" t="str">
        <x:f>IF(A2517="","",C468)</x:f>
      </x:c>
      <x:c r="D2517" s="1" t="str">
        <x:f>IF(A2517="","",E468)</x:f>
      </x:c>
      <x:c r="E2517" s="1" t="str">
        <x:f>IF(A2517="","",H468)</x:f>
      </x:c>
      <x:c r="F2517" s="1" t="str">
        <x:f>IF(ISNUMBER(K468),K468,"")</x:f>
      </x:c>
      <x:c r="G2517" s="1" t="str">
        <x:f>IF(ISNUMBER(L468),L468,"")</x:f>
      </x:c>
      <x:c r="H2517" s="1" t="str">
        <x:f>IF(A2517="","",IF(AND(UPPER(G468)="PHILADELPHIA",OR(C2517="District",AND(C2517="Charter",D468="Yes"))),"Yes","No"))</x:f>
      </x:c>
      <x:c r="I2517" s="1" t="n">
        <x:f>IF(OR(A2517="",COUNTIFS('Staff Review'!$A$8:$A$507,A2517)&lt;&gt;1),0,MATCH(A2517,'Staff Review'!$A$8:$A$507,0))</x:f>
        <x:v>0</x:v>
      </x:c>
      <x:c r="J2517" s="1" t="str">
        <x:f>IF(I2517=0,"No",IF(INDEX('Staff Review'!$C$8:$C$507,I2517)="Yes","Yes","No"))</x:f>
        <x:v>No</x:v>
      </x:c>
      <x:c r="K2517" s="1" t="str">
        <x:f>IF(AI2517="Yes",INDEX('Staff Review'!$D$8:$D$507,I2517),IF(AB2517=0,"",IF(COUNT(INDEX($C$1531:$C$2030,AB2517))=1,INDEX($C$1531:$C$2030,AB2517),"")))</x:f>
      </x:c>
      <x:c r="L2517" s="1" t="str">
        <x:f>IF(AJ2517="Yes",INDEX('Staff Review'!$F$8:$F$507,I2517),IF(AB2517=0,"",IF(COUNT(INDEX($G$1531:$G$2030,AB2517))=1,INDEX($G$1531:$G$2030,AB2517),"")))</x:f>
      </x:c>
      <x:c r="M2517" s="1" t="str">
        <x:f>IF(A2517="","",IF(AI2517="Yes","Verified","Listed"))</x:f>
      </x:c>
      <x:c r="N2517" s="1" t="str">
        <x:f>IF(A2517="","",IF(AJ2517="Yes","Verified","Listed"))</x:f>
      </x:c>
      <x:c r="O2517" s="1" t="str">
        <x:f>IF(AND(ISNUMBER(G2517),G2517&gt;=0,G2517&lt;=1),IF(G2517&gt;=0.9,30,IF(G2517&gt;=0.8,25,IF(G2517&gt;=0.7,20,IF(G2517&gt;=0.6,15,IF(G2517&gt;=0.5,10,IF(G2517&gt;=0.4,5,0)))))),"")</x:f>
      </x:c>
      <x:c r="P2517" s="1" t="str">
        <x:f>IF(ISNUMBER(K2517),IF(K2517&lt;0,"",IF(K2517&gt;1,25,IF(K2517&gt;=0.75,20,IF(K2517&gt;=0.5,15,IF(K2517&gt;=0.25,10,5))))),"")</x:f>
      </x:c>
      <x:c r="Q2517" s="1" t="str">
        <x:f>IF(NOT(ISNUMBER(L2517)),"",IF(AND(L2517&gt;=0,MOD(L2517,1)=0),MAX(0,25-5*L2517),""))</x:f>
      </x:c>
      <x:c r="R2517" s="1" t="str">
        <x:f>IF(NOT(ISNUMBER(F2517)),"",IF(AND(F2517&gt;0,MOD(F2517,1)=0),IF(F2517&gt;=700,5,IF(F2517&gt;=500,4,IF(F2517&gt;=350,3,IF(F2517&gt;=200,2,1)))),""))</x:f>
      </x:c>
      <x:c r="S2517" s="1" t="str">
        <x:f>IF(COUNT(O2517:R2517)=4,SUM(O2517:R2517),"")</x:f>
      </x:c>
      <x:c r="T2517" s="1" t="str">
        <x:f>IF(OR(COUNT(O2517:R2517)&lt;&gt;4,COUNT('Top 15'!$B$35:$E$35)&lt;&gt;4,MIN('Top 15'!$B$35:$E$35)&lt;0,SUM('Top 15'!$B$35:$E$35)&lt;=0),"",ROUND(85*(O2517/30*'Top 15'!$B$35+P2517/25*'Top 15'!$C$35+Q2517/25*'Top 15'!$D$35+R2517/5*'Top 15'!$E$35)/SUM('Top 15'!$B$35:$E$35),6))</x:f>
      </x:c>
      <x:c r="U2517" s="1" t="str">
        <x:f>IF(A2517="","",IF(AND(M2517="Verified",N2517="Verified"),"Verified",IF(AND(M2517="Listed",N2517="Listed"),"Listed","Mixed")))</x:f>
      </x:c>
      <x:c r="V2517" s="1" t="str">
        <x:f>IF(A2517="","",IF(AK2517&lt;&gt;1,"Duplicate source ID",IF(COUNTIFS('Staff Review'!$A$8:$A$507,A2517)&gt;1,"Duplicate review ID",IF(H2517&lt;&gt;"Yes","Outside scope",IF(J2517="Yes","Already served",IF(NOT(ISNUMBER(T2517)),"Missing data","Candidate"))))))</x:f>
      </x:c>
      <x:c r="W2517" s="1" t="str">
        <x:f>IF(AL2517=0,"",1+COUNTIFS($AL$2051:$AL$2550,1,$T$2051:$T$2550,"&gt;"&amp;T2517)+COUNTIFS($AL$2051:$AL$2550,1,$T$2051:$T$2550,T2517,$G$2051:$G$2550,"&gt;"&amp;G2517)+COUNTIFS($AL$2051:$AL$2550,1,$T$2051:$T$2550,T2517,$G$2051:$G$2550,G2517,$F$2051:$F$2550,"&gt;"&amp;F2517)+COUNTIFS($AL$2051:$AL$2550,1,$T$2051:$T$2550,T2517,$G$2051:$G$2550,G2517,$F$2051:$F$2550,F2517,$AM$2051:$AM$2550,"&lt;"&amp;AM2517))</x:f>
      </x:c>
      <x:c r="X2517" s="1" t="str">
        <x:f>IF(AL2517=0,"",1+COUNTIFS($AL$2051:$AL$2550,1,$T$2051:$T$2550,"&gt;"&amp;T2517))</x:f>
      </x:c>
      <x:c r="Y2517" s="1" t="n">
        <x:f>IF(AND(H2517="Yes",OR(LEN('School Search'!$B$5)=0,ISNUMBER(SEARCH('School Search'!$B$5,B2517&amp;" "&amp;E2517&amp;" "&amp;A2517))),OR('School Search'!$D$5="All",C2517='School Search'!$D$5),OR('School Search'!$G$5="All eligible",AND('School Search'!$G$5="Not marked served",J2517&lt;&gt;"Yes"),AND('School Search'!$G$5="Missing data",V2517="Missing data"),AND('School Search'!$G$5="Marked served",J2517="Yes"))),1,0)</x:f>
        <x:v>0</x:v>
      </x:c>
      <x:c r="Z2517" s="1" t="str">
        <x:f>IF(Y2517=0,"",COUNTIFS($Y$2051:$Y$2550,1,$AO$2051:$AO$2550,"&lt;"&amp;AO2517)+COUNTIFS($Y$2051:Y2517,1,$AO$2051:AO2517,AO2517))</x:f>
      </x:c>
      <x:c r="AA2517" s="1" t="str">
        <x:f>IF(NOT(ISNUMBER(S2517)),"Missing demographic or access input",TEXT(G2517,"0%")&amp;" economic need; "&amp;TEXT(K2517,"0.00")&amp;" mi fresh access; "&amp;L2517&amp;" nearby resources")</x:f>
        <x:v>Missing demographic or access input</x:v>
      </x:c>
      <x:c r="AB2517" s="1" t="n">
        <x:f>IF(OR(A2517="",COUNTIFS($A$1531:$A$2030,A2517)&lt;&gt;1),0,MATCH(A2517,$A$1531:$A$2030,0))</x:f>
        <x:v>0</x:v>
      </x:c>
      <x:c r="AC2517" s="1" t="str">
        <x:f>IF(AB2517=0,"",INDEX($E$1531:$E$2030,AB2517))</x:f>
      </x:c>
      <x:c r="AD2517" s="1" t="str">
        <x:f>IF(AB2517=0,"",INDEX($F$1531:$F$2030,AB2517))</x:f>
      </x:c>
      <x:c r="AE2517" s="1" t="str">
        <x:f>IF(A2517="","",F468)</x:f>
      </x:c>
      <x:c r="AF2517" s="1" t="str">
        <x:f>IF(ISNUMBER(I468),I468,"")</x:f>
      </x:c>
      <x:c r="AG2517" s="1" t="str">
        <x:f>IF(ISNUMBER(J468),J468,"")</x:f>
      </x:c>
      <x:c r="AH2517" s="1" t="str">
        <x:f>IF(I2517=0,"Not contacted",IF(INDEX('Staff Review'!$J$8:$J$507,I2517)="","Not contacted",INDEX('Staff Review'!$J$8:$J$507,I2517)))</x:f>
        <x:v>Not contacted</x:v>
      </x:c>
      <x:c r="AI2517" s="1" t="str">
        <x:f>IF(I2517=0,"No",IF(AND(COUNT(INDEX('Staff Review'!$D$8:$D$507,I2517))=1,INDEX('Staff Review'!$D$8:$D$507,I2517)&gt;=0,COUNT(INDEX('Staff Review'!$E$8:$E$507,I2517))=1,INDEX('Staff Review'!$E$8:$E$507,I2517)&gt;0,INDEX('Staff Review'!$E$8:$E$507,I2517)&lt;='Top 15'!$E$5,'Top 15'!$E$5-INDEX('Staff Review'!$E$8:$E$507,I2517)&lt;='Top 15'!$H$5,LEN(INDEX('Staff Review'!$H$8:$H$507,I2517))&gt;0),"Yes","No"))</x:f>
        <x:v>No</x:v>
      </x:c>
      <x:c r="AJ2517" s="1" t="str">
        <x:f>IF(I2517=0,"No",IF(COUNT(INDEX('Staff Review'!$F$8:$F$507,I2517))&lt;&gt;1,"No",IF(AND(INDEX('Staff Review'!$F$8:$F$507,I2517)&gt;=0,MOD(INDEX('Staff Review'!$F$8:$F$507,I2517),1)=0,COUNT(INDEX('Staff Review'!$G$8:$G$507,I2517))=1,INDEX('Staff Review'!$G$8:$G$507,I2517)&gt;0,INDEX('Staff Review'!$G$8:$G$507,I2517)&lt;='Top 15'!$E$5,'Top 15'!$E$5-INDEX('Staff Review'!$G$8:$G$507,I2517)&lt;='Top 15'!$H$5,LEN(INDEX('Staff Review'!$H$8:$H$507,I2517))&gt;0),"Yes","No")))</x:f>
        <x:v>No</x:v>
      </x:c>
      <x:c r="AK2517" s="1" t="n">
        <x:f>IF(A2517="",0,COUNTIFS($A$2:$A$501,A2517))</x:f>
        <x:v>0</x:v>
      </x:c>
      <x:c r="AL2517" s="1" t="n">
        <x:f>IF(V2517="Candidate",1,0)</x:f>
        <x:v>0</x:v>
      </x:c>
      <x:c r="AM2517" s="1" t="n">
        <x:f>IF(A2517="",0,VALUE(A2517))</x:f>
        <x:v>0</x:v>
      </x:c>
      <x:c r="AN2517" s="1" t="n">
        <x:f>IF(OR(A2517="",COUNTIFS($T$41:$T$540,A2517)&lt;&gt;1),0,MATCH(A2517,$T$41:$T$540,0))</x:f>
        <x:v>0</x:v>
      </x:c>
      <x:c r="AO2517" t="n">
        <x:f>IF(ISNUMBER(W2517),W2517,10000+AM2517)</x:f>
        <x:v>10000</x:v>
      </x:c>
    </x:row>
    <x:row r="2518" ht="22" customHeight="1">
      <x:c r="A2518" s="1" t="str">
        <x:f>IF(A469="","",A469)</x:f>
      </x:c>
      <x:c r="B2518" s="1" t="str">
        <x:f>IF(A2518="","",B469)</x:f>
      </x:c>
      <x:c r="C2518" s="1" t="str">
        <x:f>IF(A2518="","",C469)</x:f>
      </x:c>
      <x:c r="D2518" s="1" t="str">
        <x:f>IF(A2518="","",E469)</x:f>
      </x:c>
      <x:c r="E2518" s="1" t="str">
        <x:f>IF(A2518="","",H469)</x:f>
      </x:c>
      <x:c r="F2518" s="1" t="str">
        <x:f>IF(ISNUMBER(K469),K469,"")</x:f>
      </x:c>
      <x:c r="G2518" s="1" t="str">
        <x:f>IF(ISNUMBER(L469),L469,"")</x:f>
      </x:c>
      <x:c r="H2518" s="1" t="str">
        <x:f>IF(A2518="","",IF(AND(UPPER(G469)="PHILADELPHIA",OR(C2518="District",AND(C2518="Charter",D469="Yes"))),"Yes","No"))</x:f>
      </x:c>
      <x:c r="I2518" s="1" t="n">
        <x:f>IF(OR(A2518="",COUNTIFS('Staff Review'!$A$8:$A$507,A2518)&lt;&gt;1),0,MATCH(A2518,'Staff Review'!$A$8:$A$507,0))</x:f>
        <x:v>0</x:v>
      </x:c>
      <x:c r="J2518" s="1" t="str">
        <x:f>IF(I2518=0,"No",IF(INDEX('Staff Review'!$C$8:$C$507,I2518)="Yes","Yes","No"))</x:f>
        <x:v>No</x:v>
      </x:c>
      <x:c r="K2518" s="1" t="str">
        <x:f>IF(AI2518="Yes",INDEX('Staff Review'!$D$8:$D$507,I2518),IF(AB2518=0,"",IF(COUNT(INDEX($C$1531:$C$2030,AB2518))=1,INDEX($C$1531:$C$2030,AB2518),"")))</x:f>
      </x:c>
      <x:c r="L2518" s="1" t="str">
        <x:f>IF(AJ2518="Yes",INDEX('Staff Review'!$F$8:$F$507,I2518),IF(AB2518=0,"",IF(COUNT(INDEX($G$1531:$G$2030,AB2518))=1,INDEX($G$1531:$G$2030,AB2518),"")))</x:f>
      </x:c>
      <x:c r="M2518" s="1" t="str">
        <x:f>IF(A2518="","",IF(AI2518="Yes","Verified","Listed"))</x:f>
      </x:c>
      <x:c r="N2518" s="1" t="str">
        <x:f>IF(A2518="","",IF(AJ2518="Yes","Verified","Listed"))</x:f>
      </x:c>
      <x:c r="O2518" s="1" t="str">
        <x:f>IF(AND(ISNUMBER(G2518),G2518&gt;=0,G2518&lt;=1),IF(G2518&gt;=0.9,30,IF(G2518&gt;=0.8,25,IF(G2518&gt;=0.7,20,IF(G2518&gt;=0.6,15,IF(G2518&gt;=0.5,10,IF(G2518&gt;=0.4,5,0)))))),"")</x:f>
      </x:c>
      <x:c r="P2518" s="1" t="str">
        <x:f>IF(ISNUMBER(K2518),IF(K2518&lt;0,"",IF(K2518&gt;1,25,IF(K2518&gt;=0.75,20,IF(K2518&gt;=0.5,15,IF(K2518&gt;=0.25,10,5))))),"")</x:f>
      </x:c>
      <x:c r="Q2518" s="1" t="str">
        <x:f>IF(NOT(ISNUMBER(L2518)),"",IF(AND(L2518&gt;=0,MOD(L2518,1)=0),MAX(0,25-5*L2518),""))</x:f>
      </x:c>
      <x:c r="R2518" s="1" t="str">
        <x:f>IF(NOT(ISNUMBER(F2518)),"",IF(AND(F2518&gt;0,MOD(F2518,1)=0),IF(F2518&gt;=700,5,IF(F2518&gt;=500,4,IF(F2518&gt;=350,3,IF(F2518&gt;=200,2,1)))),""))</x:f>
      </x:c>
      <x:c r="S2518" s="1" t="str">
        <x:f>IF(COUNT(O2518:R2518)=4,SUM(O2518:R2518),"")</x:f>
      </x:c>
      <x:c r="T2518" s="1" t="str">
        <x:f>IF(OR(COUNT(O2518:R2518)&lt;&gt;4,COUNT('Top 15'!$B$35:$E$35)&lt;&gt;4,MIN('Top 15'!$B$35:$E$35)&lt;0,SUM('Top 15'!$B$35:$E$35)&lt;=0),"",ROUND(85*(O2518/30*'Top 15'!$B$35+P2518/25*'Top 15'!$C$35+Q2518/25*'Top 15'!$D$35+R2518/5*'Top 15'!$E$35)/SUM('Top 15'!$B$35:$E$35),6))</x:f>
      </x:c>
      <x:c r="U2518" s="1" t="str">
        <x:f>IF(A2518="","",IF(AND(M2518="Verified",N2518="Verified"),"Verified",IF(AND(M2518="Listed",N2518="Listed"),"Listed","Mixed")))</x:f>
      </x:c>
      <x:c r="V2518" s="1" t="str">
        <x:f>IF(A2518="","",IF(AK2518&lt;&gt;1,"Duplicate source ID",IF(COUNTIFS('Staff Review'!$A$8:$A$507,A2518)&gt;1,"Duplicate review ID",IF(H2518&lt;&gt;"Yes","Outside scope",IF(J2518="Yes","Already served",IF(NOT(ISNUMBER(T2518)),"Missing data","Candidate"))))))</x:f>
      </x:c>
      <x:c r="W2518" s="1" t="str">
        <x:f>IF(AL2518=0,"",1+COUNTIFS($AL$2051:$AL$2550,1,$T$2051:$T$2550,"&gt;"&amp;T2518)+COUNTIFS($AL$2051:$AL$2550,1,$T$2051:$T$2550,T2518,$G$2051:$G$2550,"&gt;"&amp;G2518)+COUNTIFS($AL$2051:$AL$2550,1,$T$2051:$T$2550,T2518,$G$2051:$G$2550,G2518,$F$2051:$F$2550,"&gt;"&amp;F2518)+COUNTIFS($AL$2051:$AL$2550,1,$T$2051:$T$2550,T2518,$G$2051:$G$2550,G2518,$F$2051:$F$2550,F2518,$AM$2051:$AM$2550,"&lt;"&amp;AM2518))</x:f>
      </x:c>
      <x:c r="X2518" s="1" t="str">
        <x:f>IF(AL2518=0,"",1+COUNTIFS($AL$2051:$AL$2550,1,$T$2051:$T$2550,"&gt;"&amp;T2518))</x:f>
      </x:c>
      <x:c r="Y2518" s="1" t="n">
        <x:f>IF(AND(H2518="Yes",OR(LEN('School Search'!$B$5)=0,ISNUMBER(SEARCH('School Search'!$B$5,B2518&amp;" "&amp;E2518&amp;" "&amp;A2518))),OR('School Search'!$D$5="All",C2518='School Search'!$D$5),OR('School Search'!$G$5="All eligible",AND('School Search'!$G$5="Not marked served",J2518&lt;&gt;"Yes"),AND('School Search'!$G$5="Missing data",V2518="Missing data"),AND('School Search'!$G$5="Marked served",J2518="Yes"))),1,0)</x:f>
        <x:v>0</x:v>
      </x:c>
      <x:c r="Z2518" s="1" t="str">
        <x:f>IF(Y2518=0,"",COUNTIFS($Y$2051:$Y$2550,1,$AO$2051:$AO$2550,"&lt;"&amp;AO2518)+COUNTIFS($Y$2051:Y2518,1,$AO$2051:AO2518,AO2518))</x:f>
      </x:c>
      <x:c r="AA2518" s="1" t="str">
        <x:f>IF(NOT(ISNUMBER(S2518)),"Missing demographic or access input",TEXT(G2518,"0%")&amp;" economic need; "&amp;TEXT(K2518,"0.00")&amp;" mi fresh access; "&amp;L2518&amp;" nearby resources")</x:f>
        <x:v>Missing demographic or access input</x:v>
      </x:c>
      <x:c r="AB2518" s="1" t="n">
        <x:f>IF(OR(A2518="",COUNTIFS($A$1531:$A$2030,A2518)&lt;&gt;1),0,MATCH(A2518,$A$1531:$A$2030,0))</x:f>
        <x:v>0</x:v>
      </x:c>
      <x:c r="AC2518" s="1" t="str">
        <x:f>IF(AB2518=0,"",INDEX($E$1531:$E$2030,AB2518))</x:f>
      </x:c>
      <x:c r="AD2518" s="1" t="str">
        <x:f>IF(AB2518=0,"",INDEX($F$1531:$F$2030,AB2518))</x:f>
      </x:c>
      <x:c r="AE2518" s="1" t="str">
        <x:f>IF(A2518="","",F469)</x:f>
      </x:c>
      <x:c r="AF2518" s="1" t="str">
        <x:f>IF(ISNUMBER(I469),I469,"")</x:f>
      </x:c>
      <x:c r="AG2518" s="1" t="str">
        <x:f>IF(ISNUMBER(J469),J469,"")</x:f>
      </x:c>
      <x:c r="AH2518" s="1" t="str">
        <x:f>IF(I2518=0,"Not contacted",IF(INDEX('Staff Review'!$J$8:$J$507,I2518)="","Not contacted",INDEX('Staff Review'!$J$8:$J$507,I2518)))</x:f>
        <x:v>Not contacted</x:v>
      </x:c>
      <x:c r="AI2518" s="1" t="str">
        <x:f>IF(I2518=0,"No",IF(AND(COUNT(INDEX('Staff Review'!$D$8:$D$507,I2518))=1,INDEX('Staff Review'!$D$8:$D$507,I2518)&gt;=0,COUNT(INDEX('Staff Review'!$E$8:$E$507,I2518))=1,INDEX('Staff Review'!$E$8:$E$507,I2518)&gt;0,INDEX('Staff Review'!$E$8:$E$507,I2518)&lt;='Top 15'!$E$5,'Top 15'!$E$5-INDEX('Staff Review'!$E$8:$E$507,I2518)&lt;='Top 15'!$H$5,LEN(INDEX('Staff Review'!$H$8:$H$507,I2518))&gt;0),"Yes","No"))</x:f>
        <x:v>No</x:v>
      </x:c>
      <x:c r="AJ2518" s="1" t="str">
        <x:f>IF(I2518=0,"No",IF(COUNT(INDEX('Staff Review'!$F$8:$F$507,I2518))&lt;&gt;1,"No",IF(AND(INDEX('Staff Review'!$F$8:$F$507,I2518)&gt;=0,MOD(INDEX('Staff Review'!$F$8:$F$507,I2518),1)=0,COUNT(INDEX('Staff Review'!$G$8:$G$507,I2518))=1,INDEX('Staff Review'!$G$8:$G$507,I2518)&gt;0,INDEX('Staff Review'!$G$8:$G$507,I2518)&lt;='Top 15'!$E$5,'Top 15'!$E$5-INDEX('Staff Review'!$G$8:$G$507,I2518)&lt;='Top 15'!$H$5,LEN(INDEX('Staff Review'!$H$8:$H$507,I2518))&gt;0),"Yes","No")))</x:f>
        <x:v>No</x:v>
      </x:c>
      <x:c r="AK2518" s="1" t="n">
        <x:f>IF(A2518="",0,COUNTIFS($A$2:$A$501,A2518))</x:f>
        <x:v>0</x:v>
      </x:c>
      <x:c r="AL2518" s="1" t="n">
        <x:f>IF(V2518="Candidate",1,0)</x:f>
        <x:v>0</x:v>
      </x:c>
      <x:c r="AM2518" s="1" t="n">
        <x:f>IF(A2518="",0,VALUE(A2518))</x:f>
        <x:v>0</x:v>
      </x:c>
      <x:c r="AN2518" s="1" t="n">
        <x:f>IF(OR(A2518="",COUNTIFS($T$41:$T$540,A2518)&lt;&gt;1),0,MATCH(A2518,$T$41:$T$540,0))</x:f>
        <x:v>0</x:v>
      </x:c>
      <x:c r="AO2518" t="n">
        <x:f>IF(ISNUMBER(W2518),W2518,10000+AM2518)</x:f>
        <x:v>10000</x:v>
      </x:c>
    </x:row>
    <x:row r="2519" ht="22" customHeight="1">
      <x:c r="A2519" s="1" t="str">
        <x:f>IF(A470="","",A470)</x:f>
      </x:c>
      <x:c r="B2519" s="1" t="str">
        <x:f>IF(A2519="","",B470)</x:f>
      </x:c>
      <x:c r="C2519" s="1" t="str">
        <x:f>IF(A2519="","",C470)</x:f>
      </x:c>
      <x:c r="D2519" s="1" t="str">
        <x:f>IF(A2519="","",E470)</x:f>
      </x:c>
      <x:c r="E2519" s="1" t="str">
        <x:f>IF(A2519="","",H470)</x:f>
      </x:c>
      <x:c r="F2519" s="1" t="str">
        <x:f>IF(ISNUMBER(K470),K470,"")</x:f>
      </x:c>
      <x:c r="G2519" s="1" t="str">
        <x:f>IF(ISNUMBER(L470),L470,"")</x:f>
      </x:c>
      <x:c r="H2519" s="1" t="str">
        <x:f>IF(A2519="","",IF(AND(UPPER(G470)="PHILADELPHIA",OR(C2519="District",AND(C2519="Charter",D470="Yes"))),"Yes","No"))</x:f>
      </x:c>
      <x:c r="I2519" s="1" t="n">
        <x:f>IF(OR(A2519="",COUNTIFS('Staff Review'!$A$8:$A$507,A2519)&lt;&gt;1),0,MATCH(A2519,'Staff Review'!$A$8:$A$507,0))</x:f>
        <x:v>0</x:v>
      </x:c>
      <x:c r="J2519" s="1" t="str">
        <x:f>IF(I2519=0,"No",IF(INDEX('Staff Review'!$C$8:$C$507,I2519)="Yes","Yes","No"))</x:f>
        <x:v>No</x:v>
      </x:c>
      <x:c r="K2519" s="1" t="str">
        <x:f>IF(AI2519="Yes",INDEX('Staff Review'!$D$8:$D$507,I2519),IF(AB2519=0,"",IF(COUNT(INDEX($C$1531:$C$2030,AB2519))=1,INDEX($C$1531:$C$2030,AB2519),"")))</x:f>
      </x:c>
      <x:c r="L2519" s="1" t="str">
        <x:f>IF(AJ2519="Yes",INDEX('Staff Review'!$F$8:$F$507,I2519),IF(AB2519=0,"",IF(COUNT(INDEX($G$1531:$G$2030,AB2519))=1,INDEX($G$1531:$G$2030,AB2519),"")))</x:f>
      </x:c>
      <x:c r="M2519" s="1" t="str">
        <x:f>IF(A2519="","",IF(AI2519="Yes","Verified","Listed"))</x:f>
      </x:c>
      <x:c r="N2519" s="1" t="str">
        <x:f>IF(A2519="","",IF(AJ2519="Yes","Verified","Listed"))</x:f>
      </x:c>
      <x:c r="O2519" s="1" t="str">
        <x:f>IF(AND(ISNUMBER(G2519),G2519&gt;=0,G2519&lt;=1),IF(G2519&gt;=0.9,30,IF(G2519&gt;=0.8,25,IF(G2519&gt;=0.7,20,IF(G2519&gt;=0.6,15,IF(G2519&gt;=0.5,10,IF(G2519&gt;=0.4,5,0)))))),"")</x:f>
      </x:c>
      <x:c r="P2519" s="1" t="str">
        <x:f>IF(ISNUMBER(K2519),IF(K2519&lt;0,"",IF(K2519&gt;1,25,IF(K2519&gt;=0.75,20,IF(K2519&gt;=0.5,15,IF(K2519&gt;=0.25,10,5))))),"")</x:f>
      </x:c>
      <x:c r="Q2519" s="1" t="str">
        <x:f>IF(NOT(ISNUMBER(L2519)),"",IF(AND(L2519&gt;=0,MOD(L2519,1)=0),MAX(0,25-5*L2519),""))</x:f>
      </x:c>
      <x:c r="R2519" s="1" t="str">
        <x:f>IF(NOT(ISNUMBER(F2519)),"",IF(AND(F2519&gt;0,MOD(F2519,1)=0),IF(F2519&gt;=700,5,IF(F2519&gt;=500,4,IF(F2519&gt;=350,3,IF(F2519&gt;=200,2,1)))),""))</x:f>
      </x:c>
      <x:c r="S2519" s="1" t="str">
        <x:f>IF(COUNT(O2519:R2519)=4,SUM(O2519:R2519),"")</x:f>
      </x:c>
      <x:c r="T2519" s="1" t="str">
        <x:f>IF(OR(COUNT(O2519:R2519)&lt;&gt;4,COUNT('Top 15'!$B$35:$E$35)&lt;&gt;4,MIN('Top 15'!$B$35:$E$35)&lt;0,SUM('Top 15'!$B$35:$E$35)&lt;=0),"",ROUND(85*(O2519/30*'Top 15'!$B$35+P2519/25*'Top 15'!$C$35+Q2519/25*'Top 15'!$D$35+R2519/5*'Top 15'!$E$35)/SUM('Top 15'!$B$35:$E$35),6))</x:f>
      </x:c>
      <x:c r="U2519" s="1" t="str">
        <x:f>IF(A2519="","",IF(AND(M2519="Verified",N2519="Verified"),"Verified",IF(AND(M2519="Listed",N2519="Listed"),"Listed","Mixed")))</x:f>
      </x:c>
      <x:c r="V2519" s="1" t="str">
        <x:f>IF(A2519="","",IF(AK2519&lt;&gt;1,"Duplicate source ID",IF(COUNTIFS('Staff Review'!$A$8:$A$507,A2519)&gt;1,"Duplicate review ID",IF(H2519&lt;&gt;"Yes","Outside scope",IF(J2519="Yes","Already served",IF(NOT(ISNUMBER(T2519)),"Missing data","Candidate"))))))</x:f>
      </x:c>
      <x:c r="W2519" s="1" t="str">
        <x:f>IF(AL2519=0,"",1+COUNTIFS($AL$2051:$AL$2550,1,$T$2051:$T$2550,"&gt;"&amp;T2519)+COUNTIFS($AL$2051:$AL$2550,1,$T$2051:$T$2550,T2519,$G$2051:$G$2550,"&gt;"&amp;G2519)+COUNTIFS($AL$2051:$AL$2550,1,$T$2051:$T$2550,T2519,$G$2051:$G$2550,G2519,$F$2051:$F$2550,"&gt;"&amp;F2519)+COUNTIFS($AL$2051:$AL$2550,1,$T$2051:$T$2550,T2519,$G$2051:$G$2550,G2519,$F$2051:$F$2550,F2519,$AM$2051:$AM$2550,"&lt;"&amp;AM2519))</x:f>
      </x:c>
      <x:c r="X2519" s="1" t="str">
        <x:f>IF(AL2519=0,"",1+COUNTIFS($AL$2051:$AL$2550,1,$T$2051:$T$2550,"&gt;"&amp;T2519))</x:f>
      </x:c>
      <x:c r="Y2519" s="1" t="n">
        <x:f>IF(AND(H2519="Yes",OR(LEN('School Search'!$B$5)=0,ISNUMBER(SEARCH('School Search'!$B$5,B2519&amp;" "&amp;E2519&amp;" "&amp;A2519))),OR('School Search'!$D$5="All",C2519='School Search'!$D$5),OR('School Search'!$G$5="All eligible",AND('School Search'!$G$5="Not marked served",J2519&lt;&gt;"Yes"),AND('School Search'!$G$5="Missing data",V2519="Missing data"),AND('School Search'!$G$5="Marked served",J2519="Yes"))),1,0)</x:f>
        <x:v>0</x:v>
      </x:c>
      <x:c r="Z2519" s="1" t="str">
        <x:f>IF(Y2519=0,"",COUNTIFS($Y$2051:$Y$2550,1,$AO$2051:$AO$2550,"&lt;"&amp;AO2519)+COUNTIFS($Y$2051:Y2519,1,$AO$2051:AO2519,AO2519))</x:f>
      </x:c>
      <x:c r="AA2519" s="1" t="str">
        <x:f>IF(NOT(ISNUMBER(S2519)),"Missing demographic or access input",TEXT(G2519,"0%")&amp;" economic need; "&amp;TEXT(K2519,"0.00")&amp;" mi fresh access; "&amp;L2519&amp;" nearby resources")</x:f>
        <x:v>Missing demographic or access input</x:v>
      </x:c>
      <x:c r="AB2519" s="1" t="n">
        <x:f>IF(OR(A2519="",COUNTIFS($A$1531:$A$2030,A2519)&lt;&gt;1),0,MATCH(A2519,$A$1531:$A$2030,0))</x:f>
        <x:v>0</x:v>
      </x:c>
      <x:c r="AC2519" s="1" t="str">
        <x:f>IF(AB2519=0,"",INDEX($E$1531:$E$2030,AB2519))</x:f>
      </x:c>
      <x:c r="AD2519" s="1" t="str">
        <x:f>IF(AB2519=0,"",INDEX($F$1531:$F$2030,AB2519))</x:f>
      </x:c>
      <x:c r="AE2519" s="1" t="str">
        <x:f>IF(A2519="","",F470)</x:f>
      </x:c>
      <x:c r="AF2519" s="1" t="str">
        <x:f>IF(ISNUMBER(I470),I470,"")</x:f>
      </x:c>
      <x:c r="AG2519" s="1" t="str">
        <x:f>IF(ISNUMBER(J470),J470,"")</x:f>
      </x:c>
      <x:c r="AH2519" s="1" t="str">
        <x:f>IF(I2519=0,"Not contacted",IF(INDEX('Staff Review'!$J$8:$J$507,I2519)="","Not contacted",INDEX('Staff Review'!$J$8:$J$507,I2519)))</x:f>
        <x:v>Not contacted</x:v>
      </x:c>
      <x:c r="AI2519" s="1" t="str">
        <x:f>IF(I2519=0,"No",IF(AND(COUNT(INDEX('Staff Review'!$D$8:$D$507,I2519))=1,INDEX('Staff Review'!$D$8:$D$507,I2519)&gt;=0,COUNT(INDEX('Staff Review'!$E$8:$E$507,I2519))=1,INDEX('Staff Review'!$E$8:$E$507,I2519)&gt;0,INDEX('Staff Review'!$E$8:$E$507,I2519)&lt;='Top 15'!$E$5,'Top 15'!$E$5-INDEX('Staff Review'!$E$8:$E$507,I2519)&lt;='Top 15'!$H$5,LEN(INDEX('Staff Review'!$H$8:$H$507,I2519))&gt;0),"Yes","No"))</x:f>
        <x:v>No</x:v>
      </x:c>
      <x:c r="AJ2519" s="1" t="str">
        <x:f>IF(I2519=0,"No",IF(COUNT(INDEX('Staff Review'!$F$8:$F$507,I2519))&lt;&gt;1,"No",IF(AND(INDEX('Staff Review'!$F$8:$F$507,I2519)&gt;=0,MOD(INDEX('Staff Review'!$F$8:$F$507,I2519),1)=0,COUNT(INDEX('Staff Review'!$G$8:$G$507,I2519))=1,INDEX('Staff Review'!$G$8:$G$507,I2519)&gt;0,INDEX('Staff Review'!$G$8:$G$507,I2519)&lt;='Top 15'!$E$5,'Top 15'!$E$5-INDEX('Staff Review'!$G$8:$G$507,I2519)&lt;='Top 15'!$H$5,LEN(INDEX('Staff Review'!$H$8:$H$507,I2519))&gt;0),"Yes","No")))</x:f>
        <x:v>No</x:v>
      </x:c>
      <x:c r="AK2519" s="1" t="n">
        <x:f>IF(A2519="",0,COUNTIFS($A$2:$A$501,A2519))</x:f>
        <x:v>0</x:v>
      </x:c>
      <x:c r="AL2519" s="1" t="n">
        <x:f>IF(V2519="Candidate",1,0)</x:f>
        <x:v>0</x:v>
      </x:c>
      <x:c r="AM2519" s="1" t="n">
        <x:f>IF(A2519="",0,VALUE(A2519))</x:f>
        <x:v>0</x:v>
      </x:c>
      <x:c r="AN2519" s="1" t="n">
        <x:f>IF(OR(A2519="",COUNTIFS($T$41:$T$540,A2519)&lt;&gt;1),0,MATCH(A2519,$T$41:$T$540,0))</x:f>
        <x:v>0</x:v>
      </x:c>
      <x:c r="AO2519" t="n">
        <x:f>IF(ISNUMBER(W2519),W2519,10000+AM2519)</x:f>
        <x:v>10000</x:v>
      </x:c>
    </x:row>
    <x:row r="2520" ht="22" customHeight="1">
      <x:c r="A2520" s="1" t="str">
        <x:f>IF(A471="","",A471)</x:f>
      </x:c>
      <x:c r="B2520" s="1" t="str">
        <x:f>IF(A2520="","",B471)</x:f>
      </x:c>
      <x:c r="C2520" s="1" t="str">
        <x:f>IF(A2520="","",C471)</x:f>
      </x:c>
      <x:c r="D2520" s="1" t="str">
        <x:f>IF(A2520="","",E471)</x:f>
      </x:c>
      <x:c r="E2520" s="1" t="str">
        <x:f>IF(A2520="","",H471)</x:f>
      </x:c>
      <x:c r="F2520" s="1" t="str">
        <x:f>IF(ISNUMBER(K471),K471,"")</x:f>
      </x:c>
      <x:c r="G2520" s="1" t="str">
        <x:f>IF(ISNUMBER(L471),L471,"")</x:f>
      </x:c>
      <x:c r="H2520" s="1" t="str">
        <x:f>IF(A2520="","",IF(AND(UPPER(G471)="PHILADELPHIA",OR(C2520="District",AND(C2520="Charter",D471="Yes"))),"Yes","No"))</x:f>
      </x:c>
      <x:c r="I2520" s="1" t="n">
        <x:f>IF(OR(A2520="",COUNTIFS('Staff Review'!$A$8:$A$507,A2520)&lt;&gt;1),0,MATCH(A2520,'Staff Review'!$A$8:$A$507,0))</x:f>
        <x:v>0</x:v>
      </x:c>
      <x:c r="J2520" s="1" t="str">
        <x:f>IF(I2520=0,"No",IF(INDEX('Staff Review'!$C$8:$C$507,I2520)="Yes","Yes","No"))</x:f>
        <x:v>No</x:v>
      </x:c>
      <x:c r="K2520" s="1" t="str">
        <x:f>IF(AI2520="Yes",INDEX('Staff Review'!$D$8:$D$507,I2520),IF(AB2520=0,"",IF(COUNT(INDEX($C$1531:$C$2030,AB2520))=1,INDEX($C$1531:$C$2030,AB2520),"")))</x:f>
      </x:c>
      <x:c r="L2520" s="1" t="str">
        <x:f>IF(AJ2520="Yes",INDEX('Staff Review'!$F$8:$F$507,I2520),IF(AB2520=0,"",IF(COUNT(INDEX($G$1531:$G$2030,AB2520))=1,INDEX($G$1531:$G$2030,AB2520),"")))</x:f>
      </x:c>
      <x:c r="M2520" s="1" t="str">
        <x:f>IF(A2520="","",IF(AI2520="Yes","Verified","Listed"))</x:f>
      </x:c>
      <x:c r="N2520" s="1" t="str">
        <x:f>IF(A2520="","",IF(AJ2520="Yes","Verified","Listed"))</x:f>
      </x:c>
      <x:c r="O2520" s="1" t="str">
        <x:f>IF(AND(ISNUMBER(G2520),G2520&gt;=0,G2520&lt;=1),IF(G2520&gt;=0.9,30,IF(G2520&gt;=0.8,25,IF(G2520&gt;=0.7,20,IF(G2520&gt;=0.6,15,IF(G2520&gt;=0.5,10,IF(G2520&gt;=0.4,5,0)))))),"")</x:f>
      </x:c>
      <x:c r="P2520" s="1" t="str">
        <x:f>IF(ISNUMBER(K2520),IF(K2520&lt;0,"",IF(K2520&gt;1,25,IF(K2520&gt;=0.75,20,IF(K2520&gt;=0.5,15,IF(K2520&gt;=0.25,10,5))))),"")</x:f>
      </x:c>
      <x:c r="Q2520" s="1" t="str">
        <x:f>IF(NOT(ISNUMBER(L2520)),"",IF(AND(L2520&gt;=0,MOD(L2520,1)=0),MAX(0,25-5*L2520),""))</x:f>
      </x:c>
      <x:c r="R2520" s="1" t="str">
        <x:f>IF(NOT(ISNUMBER(F2520)),"",IF(AND(F2520&gt;0,MOD(F2520,1)=0),IF(F2520&gt;=700,5,IF(F2520&gt;=500,4,IF(F2520&gt;=350,3,IF(F2520&gt;=200,2,1)))),""))</x:f>
      </x:c>
      <x:c r="S2520" s="1" t="str">
        <x:f>IF(COUNT(O2520:R2520)=4,SUM(O2520:R2520),"")</x:f>
      </x:c>
      <x:c r="T2520" s="1" t="str">
        <x:f>IF(OR(COUNT(O2520:R2520)&lt;&gt;4,COUNT('Top 15'!$B$35:$E$35)&lt;&gt;4,MIN('Top 15'!$B$35:$E$35)&lt;0,SUM('Top 15'!$B$35:$E$35)&lt;=0),"",ROUND(85*(O2520/30*'Top 15'!$B$35+P2520/25*'Top 15'!$C$35+Q2520/25*'Top 15'!$D$35+R2520/5*'Top 15'!$E$35)/SUM('Top 15'!$B$35:$E$35),6))</x:f>
      </x:c>
      <x:c r="U2520" s="1" t="str">
        <x:f>IF(A2520="","",IF(AND(M2520="Verified",N2520="Verified"),"Verified",IF(AND(M2520="Listed",N2520="Listed"),"Listed","Mixed")))</x:f>
      </x:c>
      <x:c r="V2520" s="1" t="str">
        <x:f>IF(A2520="","",IF(AK2520&lt;&gt;1,"Duplicate source ID",IF(COUNTIFS('Staff Review'!$A$8:$A$507,A2520)&gt;1,"Duplicate review ID",IF(H2520&lt;&gt;"Yes","Outside scope",IF(J2520="Yes","Already served",IF(NOT(ISNUMBER(T2520)),"Missing data","Candidate"))))))</x:f>
      </x:c>
      <x:c r="W2520" s="1" t="str">
        <x:f>IF(AL2520=0,"",1+COUNTIFS($AL$2051:$AL$2550,1,$T$2051:$T$2550,"&gt;"&amp;T2520)+COUNTIFS($AL$2051:$AL$2550,1,$T$2051:$T$2550,T2520,$G$2051:$G$2550,"&gt;"&amp;G2520)+COUNTIFS($AL$2051:$AL$2550,1,$T$2051:$T$2550,T2520,$G$2051:$G$2550,G2520,$F$2051:$F$2550,"&gt;"&amp;F2520)+COUNTIFS($AL$2051:$AL$2550,1,$T$2051:$T$2550,T2520,$G$2051:$G$2550,G2520,$F$2051:$F$2550,F2520,$AM$2051:$AM$2550,"&lt;"&amp;AM2520))</x:f>
      </x:c>
      <x:c r="X2520" s="1" t="str">
        <x:f>IF(AL2520=0,"",1+COUNTIFS($AL$2051:$AL$2550,1,$T$2051:$T$2550,"&gt;"&amp;T2520))</x:f>
      </x:c>
      <x:c r="Y2520" s="1" t="n">
        <x:f>IF(AND(H2520="Yes",OR(LEN('School Search'!$B$5)=0,ISNUMBER(SEARCH('School Search'!$B$5,B2520&amp;" "&amp;E2520&amp;" "&amp;A2520))),OR('School Search'!$D$5="All",C2520='School Search'!$D$5),OR('School Search'!$G$5="All eligible",AND('School Search'!$G$5="Not marked served",J2520&lt;&gt;"Yes"),AND('School Search'!$G$5="Missing data",V2520="Missing data"),AND('School Search'!$G$5="Marked served",J2520="Yes"))),1,0)</x:f>
        <x:v>0</x:v>
      </x:c>
      <x:c r="Z2520" s="1" t="str">
        <x:f>IF(Y2520=0,"",COUNTIFS($Y$2051:$Y$2550,1,$AO$2051:$AO$2550,"&lt;"&amp;AO2520)+COUNTIFS($Y$2051:Y2520,1,$AO$2051:AO2520,AO2520))</x:f>
      </x:c>
      <x:c r="AA2520" s="1" t="str">
        <x:f>IF(NOT(ISNUMBER(S2520)),"Missing demographic or access input",TEXT(G2520,"0%")&amp;" economic need; "&amp;TEXT(K2520,"0.00")&amp;" mi fresh access; "&amp;L2520&amp;" nearby resources")</x:f>
        <x:v>Missing demographic or access input</x:v>
      </x:c>
      <x:c r="AB2520" s="1" t="n">
        <x:f>IF(OR(A2520="",COUNTIFS($A$1531:$A$2030,A2520)&lt;&gt;1),0,MATCH(A2520,$A$1531:$A$2030,0))</x:f>
        <x:v>0</x:v>
      </x:c>
      <x:c r="AC2520" s="1" t="str">
        <x:f>IF(AB2520=0,"",INDEX($E$1531:$E$2030,AB2520))</x:f>
      </x:c>
      <x:c r="AD2520" s="1" t="str">
        <x:f>IF(AB2520=0,"",INDEX($F$1531:$F$2030,AB2520))</x:f>
      </x:c>
      <x:c r="AE2520" s="1" t="str">
        <x:f>IF(A2520="","",F471)</x:f>
      </x:c>
      <x:c r="AF2520" s="1" t="str">
        <x:f>IF(ISNUMBER(I471),I471,"")</x:f>
      </x:c>
      <x:c r="AG2520" s="1" t="str">
        <x:f>IF(ISNUMBER(J471),J471,"")</x:f>
      </x:c>
      <x:c r="AH2520" s="1" t="str">
        <x:f>IF(I2520=0,"Not contacted",IF(INDEX('Staff Review'!$J$8:$J$507,I2520)="","Not contacted",INDEX('Staff Review'!$J$8:$J$507,I2520)))</x:f>
        <x:v>Not contacted</x:v>
      </x:c>
      <x:c r="AI2520" s="1" t="str">
        <x:f>IF(I2520=0,"No",IF(AND(COUNT(INDEX('Staff Review'!$D$8:$D$507,I2520))=1,INDEX('Staff Review'!$D$8:$D$507,I2520)&gt;=0,COUNT(INDEX('Staff Review'!$E$8:$E$507,I2520))=1,INDEX('Staff Review'!$E$8:$E$507,I2520)&gt;0,INDEX('Staff Review'!$E$8:$E$507,I2520)&lt;='Top 15'!$E$5,'Top 15'!$E$5-INDEX('Staff Review'!$E$8:$E$507,I2520)&lt;='Top 15'!$H$5,LEN(INDEX('Staff Review'!$H$8:$H$507,I2520))&gt;0),"Yes","No"))</x:f>
        <x:v>No</x:v>
      </x:c>
      <x:c r="AJ2520" s="1" t="str">
        <x:f>IF(I2520=0,"No",IF(COUNT(INDEX('Staff Review'!$F$8:$F$507,I2520))&lt;&gt;1,"No",IF(AND(INDEX('Staff Review'!$F$8:$F$507,I2520)&gt;=0,MOD(INDEX('Staff Review'!$F$8:$F$507,I2520),1)=0,COUNT(INDEX('Staff Review'!$G$8:$G$507,I2520))=1,INDEX('Staff Review'!$G$8:$G$507,I2520)&gt;0,INDEX('Staff Review'!$G$8:$G$507,I2520)&lt;='Top 15'!$E$5,'Top 15'!$E$5-INDEX('Staff Review'!$G$8:$G$507,I2520)&lt;='Top 15'!$H$5,LEN(INDEX('Staff Review'!$H$8:$H$507,I2520))&gt;0),"Yes","No")))</x:f>
        <x:v>No</x:v>
      </x:c>
      <x:c r="AK2520" s="1" t="n">
        <x:f>IF(A2520="",0,COUNTIFS($A$2:$A$501,A2520))</x:f>
        <x:v>0</x:v>
      </x:c>
      <x:c r="AL2520" s="1" t="n">
        <x:f>IF(V2520="Candidate",1,0)</x:f>
        <x:v>0</x:v>
      </x:c>
      <x:c r="AM2520" s="1" t="n">
        <x:f>IF(A2520="",0,VALUE(A2520))</x:f>
        <x:v>0</x:v>
      </x:c>
      <x:c r="AN2520" s="1" t="n">
        <x:f>IF(OR(A2520="",COUNTIFS($T$41:$T$540,A2520)&lt;&gt;1),0,MATCH(A2520,$T$41:$T$540,0))</x:f>
        <x:v>0</x:v>
      </x:c>
      <x:c r="AO2520" t="n">
        <x:f>IF(ISNUMBER(W2520),W2520,10000+AM2520)</x:f>
        <x:v>10000</x:v>
      </x:c>
    </x:row>
    <x:row r="2521" ht="22" customHeight="1">
      <x:c r="A2521" s="1" t="str">
        <x:f>IF(A472="","",A472)</x:f>
      </x:c>
      <x:c r="B2521" s="1" t="str">
        <x:f>IF(A2521="","",B472)</x:f>
      </x:c>
      <x:c r="C2521" s="1" t="str">
        <x:f>IF(A2521="","",C472)</x:f>
      </x:c>
      <x:c r="D2521" s="1" t="str">
        <x:f>IF(A2521="","",E472)</x:f>
      </x:c>
      <x:c r="E2521" s="1" t="str">
        <x:f>IF(A2521="","",H472)</x:f>
      </x:c>
      <x:c r="F2521" s="1" t="str">
        <x:f>IF(ISNUMBER(K472),K472,"")</x:f>
      </x:c>
      <x:c r="G2521" s="1" t="str">
        <x:f>IF(ISNUMBER(L472),L472,"")</x:f>
      </x:c>
      <x:c r="H2521" s="1" t="str">
        <x:f>IF(A2521="","",IF(AND(UPPER(G472)="PHILADELPHIA",OR(C2521="District",AND(C2521="Charter",D472="Yes"))),"Yes","No"))</x:f>
      </x:c>
      <x:c r="I2521" s="1" t="n">
        <x:f>IF(OR(A2521="",COUNTIFS('Staff Review'!$A$8:$A$507,A2521)&lt;&gt;1),0,MATCH(A2521,'Staff Review'!$A$8:$A$507,0))</x:f>
        <x:v>0</x:v>
      </x:c>
      <x:c r="J2521" s="1" t="str">
        <x:f>IF(I2521=0,"No",IF(INDEX('Staff Review'!$C$8:$C$507,I2521)="Yes","Yes","No"))</x:f>
        <x:v>No</x:v>
      </x:c>
      <x:c r="K2521" s="1" t="str">
        <x:f>IF(AI2521="Yes",INDEX('Staff Review'!$D$8:$D$507,I2521),IF(AB2521=0,"",IF(COUNT(INDEX($C$1531:$C$2030,AB2521))=1,INDEX($C$1531:$C$2030,AB2521),"")))</x:f>
      </x:c>
      <x:c r="L2521" s="1" t="str">
        <x:f>IF(AJ2521="Yes",INDEX('Staff Review'!$F$8:$F$507,I2521),IF(AB2521=0,"",IF(COUNT(INDEX($G$1531:$G$2030,AB2521))=1,INDEX($G$1531:$G$2030,AB2521),"")))</x:f>
      </x:c>
      <x:c r="M2521" s="1" t="str">
        <x:f>IF(A2521="","",IF(AI2521="Yes","Verified","Listed"))</x:f>
      </x:c>
      <x:c r="N2521" s="1" t="str">
        <x:f>IF(A2521="","",IF(AJ2521="Yes","Verified","Listed"))</x:f>
      </x:c>
      <x:c r="O2521" s="1" t="str">
        <x:f>IF(AND(ISNUMBER(G2521),G2521&gt;=0,G2521&lt;=1),IF(G2521&gt;=0.9,30,IF(G2521&gt;=0.8,25,IF(G2521&gt;=0.7,20,IF(G2521&gt;=0.6,15,IF(G2521&gt;=0.5,10,IF(G2521&gt;=0.4,5,0)))))),"")</x:f>
      </x:c>
      <x:c r="P2521" s="1" t="str">
        <x:f>IF(ISNUMBER(K2521),IF(K2521&lt;0,"",IF(K2521&gt;1,25,IF(K2521&gt;=0.75,20,IF(K2521&gt;=0.5,15,IF(K2521&gt;=0.25,10,5))))),"")</x:f>
      </x:c>
      <x:c r="Q2521" s="1" t="str">
        <x:f>IF(NOT(ISNUMBER(L2521)),"",IF(AND(L2521&gt;=0,MOD(L2521,1)=0),MAX(0,25-5*L2521),""))</x:f>
      </x:c>
      <x:c r="R2521" s="1" t="str">
        <x:f>IF(NOT(ISNUMBER(F2521)),"",IF(AND(F2521&gt;0,MOD(F2521,1)=0),IF(F2521&gt;=700,5,IF(F2521&gt;=500,4,IF(F2521&gt;=350,3,IF(F2521&gt;=200,2,1)))),""))</x:f>
      </x:c>
      <x:c r="S2521" s="1" t="str">
        <x:f>IF(COUNT(O2521:R2521)=4,SUM(O2521:R2521),"")</x:f>
      </x:c>
      <x:c r="T2521" s="1" t="str">
        <x:f>IF(OR(COUNT(O2521:R2521)&lt;&gt;4,COUNT('Top 15'!$B$35:$E$35)&lt;&gt;4,MIN('Top 15'!$B$35:$E$35)&lt;0,SUM('Top 15'!$B$35:$E$35)&lt;=0),"",ROUND(85*(O2521/30*'Top 15'!$B$35+P2521/25*'Top 15'!$C$35+Q2521/25*'Top 15'!$D$35+R2521/5*'Top 15'!$E$35)/SUM('Top 15'!$B$35:$E$35),6))</x:f>
      </x:c>
      <x:c r="U2521" s="1" t="str">
        <x:f>IF(A2521="","",IF(AND(M2521="Verified",N2521="Verified"),"Verified",IF(AND(M2521="Listed",N2521="Listed"),"Listed","Mixed")))</x:f>
      </x:c>
      <x:c r="V2521" s="1" t="str">
        <x:f>IF(A2521="","",IF(AK2521&lt;&gt;1,"Duplicate source ID",IF(COUNTIFS('Staff Review'!$A$8:$A$507,A2521)&gt;1,"Duplicate review ID",IF(H2521&lt;&gt;"Yes","Outside scope",IF(J2521="Yes","Already served",IF(NOT(ISNUMBER(T2521)),"Missing data","Candidate"))))))</x:f>
      </x:c>
      <x:c r="W2521" s="1" t="str">
        <x:f>IF(AL2521=0,"",1+COUNTIFS($AL$2051:$AL$2550,1,$T$2051:$T$2550,"&gt;"&amp;T2521)+COUNTIFS($AL$2051:$AL$2550,1,$T$2051:$T$2550,T2521,$G$2051:$G$2550,"&gt;"&amp;G2521)+COUNTIFS($AL$2051:$AL$2550,1,$T$2051:$T$2550,T2521,$G$2051:$G$2550,G2521,$F$2051:$F$2550,"&gt;"&amp;F2521)+COUNTIFS($AL$2051:$AL$2550,1,$T$2051:$T$2550,T2521,$G$2051:$G$2550,G2521,$F$2051:$F$2550,F2521,$AM$2051:$AM$2550,"&lt;"&amp;AM2521))</x:f>
      </x:c>
      <x:c r="X2521" s="1" t="str">
        <x:f>IF(AL2521=0,"",1+COUNTIFS($AL$2051:$AL$2550,1,$T$2051:$T$2550,"&gt;"&amp;T2521))</x:f>
      </x:c>
      <x:c r="Y2521" s="1" t="n">
        <x:f>IF(AND(H2521="Yes",OR(LEN('School Search'!$B$5)=0,ISNUMBER(SEARCH('School Search'!$B$5,B2521&amp;" "&amp;E2521&amp;" "&amp;A2521))),OR('School Search'!$D$5="All",C2521='School Search'!$D$5),OR('School Search'!$G$5="All eligible",AND('School Search'!$G$5="Not marked served",J2521&lt;&gt;"Yes"),AND('School Search'!$G$5="Missing data",V2521="Missing data"),AND('School Search'!$G$5="Marked served",J2521="Yes"))),1,0)</x:f>
        <x:v>0</x:v>
      </x:c>
      <x:c r="Z2521" s="1" t="str">
        <x:f>IF(Y2521=0,"",COUNTIFS($Y$2051:$Y$2550,1,$AO$2051:$AO$2550,"&lt;"&amp;AO2521)+COUNTIFS($Y$2051:Y2521,1,$AO$2051:AO2521,AO2521))</x:f>
      </x:c>
      <x:c r="AA2521" s="1" t="str">
        <x:f>IF(NOT(ISNUMBER(S2521)),"Missing demographic or access input",TEXT(G2521,"0%")&amp;" economic need; "&amp;TEXT(K2521,"0.00")&amp;" mi fresh access; "&amp;L2521&amp;" nearby resources")</x:f>
        <x:v>Missing demographic or access input</x:v>
      </x:c>
      <x:c r="AB2521" s="1" t="n">
        <x:f>IF(OR(A2521="",COUNTIFS($A$1531:$A$2030,A2521)&lt;&gt;1),0,MATCH(A2521,$A$1531:$A$2030,0))</x:f>
        <x:v>0</x:v>
      </x:c>
      <x:c r="AC2521" s="1" t="str">
        <x:f>IF(AB2521=0,"",INDEX($E$1531:$E$2030,AB2521))</x:f>
      </x:c>
      <x:c r="AD2521" s="1" t="str">
        <x:f>IF(AB2521=0,"",INDEX($F$1531:$F$2030,AB2521))</x:f>
      </x:c>
      <x:c r="AE2521" s="1" t="str">
        <x:f>IF(A2521="","",F472)</x:f>
      </x:c>
      <x:c r="AF2521" s="1" t="str">
        <x:f>IF(ISNUMBER(I472),I472,"")</x:f>
      </x:c>
      <x:c r="AG2521" s="1" t="str">
        <x:f>IF(ISNUMBER(J472),J472,"")</x:f>
      </x:c>
      <x:c r="AH2521" s="1" t="str">
        <x:f>IF(I2521=0,"Not contacted",IF(INDEX('Staff Review'!$J$8:$J$507,I2521)="","Not contacted",INDEX('Staff Review'!$J$8:$J$507,I2521)))</x:f>
        <x:v>Not contacted</x:v>
      </x:c>
      <x:c r="AI2521" s="1" t="str">
        <x:f>IF(I2521=0,"No",IF(AND(COUNT(INDEX('Staff Review'!$D$8:$D$507,I2521))=1,INDEX('Staff Review'!$D$8:$D$507,I2521)&gt;=0,COUNT(INDEX('Staff Review'!$E$8:$E$507,I2521))=1,INDEX('Staff Review'!$E$8:$E$507,I2521)&gt;0,INDEX('Staff Review'!$E$8:$E$507,I2521)&lt;='Top 15'!$E$5,'Top 15'!$E$5-INDEX('Staff Review'!$E$8:$E$507,I2521)&lt;='Top 15'!$H$5,LEN(INDEX('Staff Review'!$H$8:$H$507,I2521))&gt;0),"Yes","No"))</x:f>
        <x:v>No</x:v>
      </x:c>
      <x:c r="AJ2521" s="1" t="str">
        <x:f>IF(I2521=0,"No",IF(COUNT(INDEX('Staff Review'!$F$8:$F$507,I2521))&lt;&gt;1,"No",IF(AND(INDEX('Staff Review'!$F$8:$F$507,I2521)&gt;=0,MOD(INDEX('Staff Review'!$F$8:$F$507,I2521),1)=0,COUNT(INDEX('Staff Review'!$G$8:$G$507,I2521))=1,INDEX('Staff Review'!$G$8:$G$507,I2521)&gt;0,INDEX('Staff Review'!$G$8:$G$507,I2521)&lt;='Top 15'!$E$5,'Top 15'!$E$5-INDEX('Staff Review'!$G$8:$G$507,I2521)&lt;='Top 15'!$H$5,LEN(INDEX('Staff Review'!$H$8:$H$507,I2521))&gt;0),"Yes","No")))</x:f>
        <x:v>No</x:v>
      </x:c>
      <x:c r="AK2521" s="1" t="n">
        <x:f>IF(A2521="",0,COUNTIFS($A$2:$A$501,A2521))</x:f>
        <x:v>0</x:v>
      </x:c>
      <x:c r="AL2521" s="1" t="n">
        <x:f>IF(V2521="Candidate",1,0)</x:f>
        <x:v>0</x:v>
      </x:c>
      <x:c r="AM2521" s="1" t="n">
        <x:f>IF(A2521="",0,VALUE(A2521))</x:f>
        <x:v>0</x:v>
      </x:c>
      <x:c r="AN2521" s="1" t="n">
        <x:f>IF(OR(A2521="",COUNTIFS($T$41:$T$540,A2521)&lt;&gt;1),0,MATCH(A2521,$T$41:$T$540,0))</x:f>
        <x:v>0</x:v>
      </x:c>
      <x:c r="AO2521" t="n">
        <x:f>IF(ISNUMBER(W2521),W2521,10000+AM2521)</x:f>
        <x:v>10000</x:v>
      </x:c>
    </x:row>
    <x:row r="2522" ht="22" customHeight="1">
      <x:c r="A2522" s="1" t="str">
        <x:f>IF(A473="","",A473)</x:f>
      </x:c>
      <x:c r="B2522" s="1" t="str">
        <x:f>IF(A2522="","",B473)</x:f>
      </x:c>
      <x:c r="C2522" s="1" t="str">
        <x:f>IF(A2522="","",C473)</x:f>
      </x:c>
      <x:c r="D2522" s="1" t="str">
        <x:f>IF(A2522="","",E473)</x:f>
      </x:c>
      <x:c r="E2522" s="1" t="str">
        <x:f>IF(A2522="","",H473)</x:f>
      </x:c>
      <x:c r="F2522" s="1" t="str">
        <x:f>IF(ISNUMBER(K473),K473,"")</x:f>
      </x:c>
      <x:c r="G2522" s="1" t="str">
        <x:f>IF(ISNUMBER(L473),L473,"")</x:f>
      </x:c>
      <x:c r="H2522" s="1" t="str">
        <x:f>IF(A2522="","",IF(AND(UPPER(G473)="PHILADELPHIA",OR(C2522="District",AND(C2522="Charter",D473="Yes"))),"Yes","No"))</x:f>
      </x:c>
      <x:c r="I2522" s="1" t="n">
        <x:f>IF(OR(A2522="",COUNTIFS('Staff Review'!$A$8:$A$507,A2522)&lt;&gt;1),0,MATCH(A2522,'Staff Review'!$A$8:$A$507,0))</x:f>
        <x:v>0</x:v>
      </x:c>
      <x:c r="J2522" s="1" t="str">
        <x:f>IF(I2522=0,"No",IF(INDEX('Staff Review'!$C$8:$C$507,I2522)="Yes","Yes","No"))</x:f>
        <x:v>No</x:v>
      </x:c>
      <x:c r="K2522" s="1" t="str">
        <x:f>IF(AI2522="Yes",INDEX('Staff Review'!$D$8:$D$507,I2522),IF(AB2522=0,"",IF(COUNT(INDEX($C$1531:$C$2030,AB2522))=1,INDEX($C$1531:$C$2030,AB2522),"")))</x:f>
      </x:c>
      <x:c r="L2522" s="1" t="str">
        <x:f>IF(AJ2522="Yes",INDEX('Staff Review'!$F$8:$F$507,I2522),IF(AB2522=0,"",IF(COUNT(INDEX($G$1531:$G$2030,AB2522))=1,INDEX($G$1531:$G$2030,AB2522),"")))</x:f>
      </x:c>
      <x:c r="M2522" s="1" t="str">
        <x:f>IF(A2522="","",IF(AI2522="Yes","Verified","Listed"))</x:f>
      </x:c>
      <x:c r="N2522" s="1" t="str">
        <x:f>IF(A2522="","",IF(AJ2522="Yes","Verified","Listed"))</x:f>
      </x:c>
      <x:c r="O2522" s="1" t="str">
        <x:f>IF(AND(ISNUMBER(G2522),G2522&gt;=0,G2522&lt;=1),IF(G2522&gt;=0.9,30,IF(G2522&gt;=0.8,25,IF(G2522&gt;=0.7,20,IF(G2522&gt;=0.6,15,IF(G2522&gt;=0.5,10,IF(G2522&gt;=0.4,5,0)))))),"")</x:f>
      </x:c>
      <x:c r="P2522" s="1" t="str">
        <x:f>IF(ISNUMBER(K2522),IF(K2522&lt;0,"",IF(K2522&gt;1,25,IF(K2522&gt;=0.75,20,IF(K2522&gt;=0.5,15,IF(K2522&gt;=0.25,10,5))))),"")</x:f>
      </x:c>
      <x:c r="Q2522" s="1" t="str">
        <x:f>IF(NOT(ISNUMBER(L2522)),"",IF(AND(L2522&gt;=0,MOD(L2522,1)=0),MAX(0,25-5*L2522),""))</x:f>
      </x:c>
      <x:c r="R2522" s="1" t="str">
        <x:f>IF(NOT(ISNUMBER(F2522)),"",IF(AND(F2522&gt;0,MOD(F2522,1)=0),IF(F2522&gt;=700,5,IF(F2522&gt;=500,4,IF(F2522&gt;=350,3,IF(F2522&gt;=200,2,1)))),""))</x:f>
      </x:c>
      <x:c r="S2522" s="1" t="str">
        <x:f>IF(COUNT(O2522:R2522)=4,SUM(O2522:R2522),"")</x:f>
      </x:c>
      <x:c r="T2522" s="1" t="str">
        <x:f>IF(OR(COUNT(O2522:R2522)&lt;&gt;4,COUNT('Top 15'!$B$35:$E$35)&lt;&gt;4,MIN('Top 15'!$B$35:$E$35)&lt;0,SUM('Top 15'!$B$35:$E$35)&lt;=0),"",ROUND(85*(O2522/30*'Top 15'!$B$35+P2522/25*'Top 15'!$C$35+Q2522/25*'Top 15'!$D$35+R2522/5*'Top 15'!$E$35)/SUM('Top 15'!$B$35:$E$35),6))</x:f>
      </x:c>
      <x:c r="U2522" s="1" t="str">
        <x:f>IF(A2522="","",IF(AND(M2522="Verified",N2522="Verified"),"Verified",IF(AND(M2522="Listed",N2522="Listed"),"Listed","Mixed")))</x:f>
      </x:c>
      <x:c r="V2522" s="1" t="str">
        <x:f>IF(A2522="","",IF(AK2522&lt;&gt;1,"Duplicate source ID",IF(COUNTIFS('Staff Review'!$A$8:$A$507,A2522)&gt;1,"Duplicate review ID",IF(H2522&lt;&gt;"Yes","Outside scope",IF(J2522="Yes","Already served",IF(NOT(ISNUMBER(T2522)),"Missing data","Candidate"))))))</x:f>
      </x:c>
      <x:c r="W2522" s="1" t="str">
        <x:f>IF(AL2522=0,"",1+COUNTIFS($AL$2051:$AL$2550,1,$T$2051:$T$2550,"&gt;"&amp;T2522)+COUNTIFS($AL$2051:$AL$2550,1,$T$2051:$T$2550,T2522,$G$2051:$G$2550,"&gt;"&amp;G2522)+COUNTIFS($AL$2051:$AL$2550,1,$T$2051:$T$2550,T2522,$G$2051:$G$2550,G2522,$F$2051:$F$2550,"&gt;"&amp;F2522)+COUNTIFS($AL$2051:$AL$2550,1,$T$2051:$T$2550,T2522,$G$2051:$G$2550,G2522,$F$2051:$F$2550,F2522,$AM$2051:$AM$2550,"&lt;"&amp;AM2522))</x:f>
      </x:c>
      <x:c r="X2522" s="1" t="str">
        <x:f>IF(AL2522=0,"",1+COUNTIFS($AL$2051:$AL$2550,1,$T$2051:$T$2550,"&gt;"&amp;T2522))</x:f>
      </x:c>
      <x:c r="Y2522" s="1" t="n">
        <x:f>IF(AND(H2522="Yes",OR(LEN('School Search'!$B$5)=0,ISNUMBER(SEARCH('School Search'!$B$5,B2522&amp;" "&amp;E2522&amp;" "&amp;A2522))),OR('School Search'!$D$5="All",C2522='School Search'!$D$5),OR('School Search'!$G$5="All eligible",AND('School Search'!$G$5="Not marked served",J2522&lt;&gt;"Yes"),AND('School Search'!$G$5="Missing data",V2522="Missing data"),AND('School Search'!$G$5="Marked served",J2522="Yes"))),1,0)</x:f>
        <x:v>0</x:v>
      </x:c>
      <x:c r="Z2522" s="1" t="str">
        <x:f>IF(Y2522=0,"",COUNTIFS($Y$2051:$Y$2550,1,$AO$2051:$AO$2550,"&lt;"&amp;AO2522)+COUNTIFS($Y$2051:Y2522,1,$AO$2051:AO2522,AO2522))</x:f>
      </x:c>
      <x:c r="AA2522" s="1" t="str">
        <x:f>IF(NOT(ISNUMBER(S2522)),"Missing demographic or access input",TEXT(G2522,"0%")&amp;" economic need; "&amp;TEXT(K2522,"0.00")&amp;" mi fresh access; "&amp;L2522&amp;" nearby resources")</x:f>
        <x:v>Missing demographic or access input</x:v>
      </x:c>
      <x:c r="AB2522" s="1" t="n">
        <x:f>IF(OR(A2522="",COUNTIFS($A$1531:$A$2030,A2522)&lt;&gt;1),0,MATCH(A2522,$A$1531:$A$2030,0))</x:f>
        <x:v>0</x:v>
      </x:c>
      <x:c r="AC2522" s="1" t="str">
        <x:f>IF(AB2522=0,"",INDEX($E$1531:$E$2030,AB2522))</x:f>
      </x:c>
      <x:c r="AD2522" s="1" t="str">
        <x:f>IF(AB2522=0,"",INDEX($F$1531:$F$2030,AB2522))</x:f>
      </x:c>
      <x:c r="AE2522" s="1" t="str">
        <x:f>IF(A2522="","",F473)</x:f>
      </x:c>
      <x:c r="AF2522" s="1" t="str">
        <x:f>IF(ISNUMBER(I473),I473,"")</x:f>
      </x:c>
      <x:c r="AG2522" s="1" t="str">
        <x:f>IF(ISNUMBER(J473),J473,"")</x:f>
      </x:c>
      <x:c r="AH2522" s="1" t="str">
        <x:f>IF(I2522=0,"Not contacted",IF(INDEX('Staff Review'!$J$8:$J$507,I2522)="","Not contacted",INDEX('Staff Review'!$J$8:$J$507,I2522)))</x:f>
        <x:v>Not contacted</x:v>
      </x:c>
      <x:c r="AI2522" s="1" t="str">
        <x:f>IF(I2522=0,"No",IF(AND(COUNT(INDEX('Staff Review'!$D$8:$D$507,I2522))=1,INDEX('Staff Review'!$D$8:$D$507,I2522)&gt;=0,COUNT(INDEX('Staff Review'!$E$8:$E$507,I2522))=1,INDEX('Staff Review'!$E$8:$E$507,I2522)&gt;0,INDEX('Staff Review'!$E$8:$E$507,I2522)&lt;='Top 15'!$E$5,'Top 15'!$E$5-INDEX('Staff Review'!$E$8:$E$507,I2522)&lt;='Top 15'!$H$5,LEN(INDEX('Staff Review'!$H$8:$H$507,I2522))&gt;0),"Yes","No"))</x:f>
        <x:v>No</x:v>
      </x:c>
      <x:c r="AJ2522" s="1" t="str">
        <x:f>IF(I2522=0,"No",IF(COUNT(INDEX('Staff Review'!$F$8:$F$507,I2522))&lt;&gt;1,"No",IF(AND(INDEX('Staff Review'!$F$8:$F$507,I2522)&gt;=0,MOD(INDEX('Staff Review'!$F$8:$F$507,I2522),1)=0,COUNT(INDEX('Staff Review'!$G$8:$G$507,I2522))=1,INDEX('Staff Review'!$G$8:$G$507,I2522)&gt;0,INDEX('Staff Review'!$G$8:$G$507,I2522)&lt;='Top 15'!$E$5,'Top 15'!$E$5-INDEX('Staff Review'!$G$8:$G$507,I2522)&lt;='Top 15'!$H$5,LEN(INDEX('Staff Review'!$H$8:$H$507,I2522))&gt;0),"Yes","No")))</x:f>
        <x:v>No</x:v>
      </x:c>
      <x:c r="AK2522" s="1" t="n">
        <x:f>IF(A2522="",0,COUNTIFS($A$2:$A$501,A2522))</x:f>
        <x:v>0</x:v>
      </x:c>
      <x:c r="AL2522" s="1" t="n">
        <x:f>IF(V2522="Candidate",1,0)</x:f>
        <x:v>0</x:v>
      </x:c>
      <x:c r="AM2522" s="1" t="n">
        <x:f>IF(A2522="",0,VALUE(A2522))</x:f>
        <x:v>0</x:v>
      </x:c>
      <x:c r="AN2522" s="1" t="n">
        <x:f>IF(OR(A2522="",COUNTIFS($T$41:$T$540,A2522)&lt;&gt;1),0,MATCH(A2522,$T$41:$T$540,0))</x:f>
        <x:v>0</x:v>
      </x:c>
      <x:c r="AO2522" t="n">
        <x:f>IF(ISNUMBER(W2522),W2522,10000+AM2522)</x:f>
        <x:v>10000</x:v>
      </x:c>
    </x:row>
    <x:row r="2523" ht="22" customHeight="1">
      <x:c r="A2523" s="1" t="str">
        <x:f>IF(A474="","",A474)</x:f>
      </x:c>
      <x:c r="B2523" s="1" t="str">
        <x:f>IF(A2523="","",B474)</x:f>
      </x:c>
      <x:c r="C2523" s="1" t="str">
        <x:f>IF(A2523="","",C474)</x:f>
      </x:c>
      <x:c r="D2523" s="1" t="str">
        <x:f>IF(A2523="","",E474)</x:f>
      </x:c>
      <x:c r="E2523" s="1" t="str">
        <x:f>IF(A2523="","",H474)</x:f>
      </x:c>
      <x:c r="F2523" s="1" t="str">
        <x:f>IF(ISNUMBER(K474),K474,"")</x:f>
      </x:c>
      <x:c r="G2523" s="1" t="str">
        <x:f>IF(ISNUMBER(L474),L474,"")</x:f>
      </x:c>
      <x:c r="H2523" s="1" t="str">
        <x:f>IF(A2523="","",IF(AND(UPPER(G474)="PHILADELPHIA",OR(C2523="District",AND(C2523="Charter",D474="Yes"))),"Yes","No"))</x:f>
      </x:c>
      <x:c r="I2523" s="1" t="n">
        <x:f>IF(OR(A2523="",COUNTIFS('Staff Review'!$A$8:$A$507,A2523)&lt;&gt;1),0,MATCH(A2523,'Staff Review'!$A$8:$A$507,0))</x:f>
        <x:v>0</x:v>
      </x:c>
      <x:c r="J2523" s="1" t="str">
        <x:f>IF(I2523=0,"No",IF(INDEX('Staff Review'!$C$8:$C$507,I2523)="Yes","Yes","No"))</x:f>
        <x:v>No</x:v>
      </x:c>
      <x:c r="K2523" s="1" t="str">
        <x:f>IF(AI2523="Yes",INDEX('Staff Review'!$D$8:$D$507,I2523),IF(AB2523=0,"",IF(COUNT(INDEX($C$1531:$C$2030,AB2523))=1,INDEX($C$1531:$C$2030,AB2523),"")))</x:f>
      </x:c>
      <x:c r="L2523" s="1" t="str">
        <x:f>IF(AJ2523="Yes",INDEX('Staff Review'!$F$8:$F$507,I2523),IF(AB2523=0,"",IF(COUNT(INDEX($G$1531:$G$2030,AB2523))=1,INDEX($G$1531:$G$2030,AB2523),"")))</x:f>
      </x:c>
      <x:c r="M2523" s="1" t="str">
        <x:f>IF(A2523="","",IF(AI2523="Yes","Verified","Listed"))</x:f>
      </x:c>
      <x:c r="N2523" s="1" t="str">
        <x:f>IF(A2523="","",IF(AJ2523="Yes","Verified","Listed"))</x:f>
      </x:c>
      <x:c r="O2523" s="1" t="str">
        <x:f>IF(AND(ISNUMBER(G2523),G2523&gt;=0,G2523&lt;=1),IF(G2523&gt;=0.9,30,IF(G2523&gt;=0.8,25,IF(G2523&gt;=0.7,20,IF(G2523&gt;=0.6,15,IF(G2523&gt;=0.5,10,IF(G2523&gt;=0.4,5,0)))))),"")</x:f>
      </x:c>
      <x:c r="P2523" s="1" t="str">
        <x:f>IF(ISNUMBER(K2523),IF(K2523&lt;0,"",IF(K2523&gt;1,25,IF(K2523&gt;=0.75,20,IF(K2523&gt;=0.5,15,IF(K2523&gt;=0.25,10,5))))),"")</x:f>
      </x:c>
      <x:c r="Q2523" s="1" t="str">
        <x:f>IF(NOT(ISNUMBER(L2523)),"",IF(AND(L2523&gt;=0,MOD(L2523,1)=0),MAX(0,25-5*L2523),""))</x:f>
      </x:c>
      <x:c r="R2523" s="1" t="str">
        <x:f>IF(NOT(ISNUMBER(F2523)),"",IF(AND(F2523&gt;0,MOD(F2523,1)=0),IF(F2523&gt;=700,5,IF(F2523&gt;=500,4,IF(F2523&gt;=350,3,IF(F2523&gt;=200,2,1)))),""))</x:f>
      </x:c>
      <x:c r="S2523" s="1" t="str">
        <x:f>IF(COUNT(O2523:R2523)=4,SUM(O2523:R2523),"")</x:f>
      </x:c>
      <x:c r="T2523" s="1" t="str">
        <x:f>IF(OR(COUNT(O2523:R2523)&lt;&gt;4,COUNT('Top 15'!$B$35:$E$35)&lt;&gt;4,MIN('Top 15'!$B$35:$E$35)&lt;0,SUM('Top 15'!$B$35:$E$35)&lt;=0),"",ROUND(85*(O2523/30*'Top 15'!$B$35+P2523/25*'Top 15'!$C$35+Q2523/25*'Top 15'!$D$35+R2523/5*'Top 15'!$E$35)/SUM('Top 15'!$B$35:$E$35),6))</x:f>
      </x:c>
      <x:c r="U2523" s="1" t="str">
        <x:f>IF(A2523="","",IF(AND(M2523="Verified",N2523="Verified"),"Verified",IF(AND(M2523="Listed",N2523="Listed"),"Listed","Mixed")))</x:f>
      </x:c>
      <x:c r="V2523" s="1" t="str">
        <x:f>IF(A2523="","",IF(AK2523&lt;&gt;1,"Duplicate source ID",IF(COUNTIFS('Staff Review'!$A$8:$A$507,A2523)&gt;1,"Duplicate review ID",IF(H2523&lt;&gt;"Yes","Outside scope",IF(J2523="Yes","Already served",IF(NOT(ISNUMBER(T2523)),"Missing data","Candidate"))))))</x:f>
      </x:c>
      <x:c r="W2523" s="1" t="str">
        <x:f>IF(AL2523=0,"",1+COUNTIFS($AL$2051:$AL$2550,1,$T$2051:$T$2550,"&gt;"&amp;T2523)+COUNTIFS($AL$2051:$AL$2550,1,$T$2051:$T$2550,T2523,$G$2051:$G$2550,"&gt;"&amp;G2523)+COUNTIFS($AL$2051:$AL$2550,1,$T$2051:$T$2550,T2523,$G$2051:$G$2550,G2523,$F$2051:$F$2550,"&gt;"&amp;F2523)+COUNTIFS($AL$2051:$AL$2550,1,$T$2051:$T$2550,T2523,$G$2051:$G$2550,G2523,$F$2051:$F$2550,F2523,$AM$2051:$AM$2550,"&lt;"&amp;AM2523))</x:f>
      </x:c>
      <x:c r="X2523" s="1" t="str">
        <x:f>IF(AL2523=0,"",1+COUNTIFS($AL$2051:$AL$2550,1,$T$2051:$T$2550,"&gt;"&amp;T2523))</x:f>
      </x:c>
      <x:c r="Y2523" s="1" t="n">
        <x:f>IF(AND(H2523="Yes",OR(LEN('School Search'!$B$5)=0,ISNUMBER(SEARCH('School Search'!$B$5,B2523&amp;" "&amp;E2523&amp;" "&amp;A2523))),OR('School Search'!$D$5="All",C2523='School Search'!$D$5),OR('School Search'!$G$5="All eligible",AND('School Search'!$G$5="Not marked served",J2523&lt;&gt;"Yes"),AND('School Search'!$G$5="Missing data",V2523="Missing data"),AND('School Search'!$G$5="Marked served",J2523="Yes"))),1,0)</x:f>
        <x:v>0</x:v>
      </x:c>
      <x:c r="Z2523" s="1" t="str">
        <x:f>IF(Y2523=0,"",COUNTIFS($Y$2051:$Y$2550,1,$AO$2051:$AO$2550,"&lt;"&amp;AO2523)+COUNTIFS($Y$2051:Y2523,1,$AO$2051:AO2523,AO2523))</x:f>
      </x:c>
      <x:c r="AA2523" s="1" t="str">
        <x:f>IF(NOT(ISNUMBER(S2523)),"Missing demographic or access input",TEXT(G2523,"0%")&amp;" economic need; "&amp;TEXT(K2523,"0.00")&amp;" mi fresh access; "&amp;L2523&amp;" nearby resources")</x:f>
        <x:v>Missing demographic or access input</x:v>
      </x:c>
      <x:c r="AB2523" s="1" t="n">
        <x:f>IF(OR(A2523="",COUNTIFS($A$1531:$A$2030,A2523)&lt;&gt;1),0,MATCH(A2523,$A$1531:$A$2030,0))</x:f>
        <x:v>0</x:v>
      </x:c>
      <x:c r="AC2523" s="1" t="str">
        <x:f>IF(AB2523=0,"",INDEX($E$1531:$E$2030,AB2523))</x:f>
      </x:c>
      <x:c r="AD2523" s="1" t="str">
        <x:f>IF(AB2523=0,"",INDEX($F$1531:$F$2030,AB2523))</x:f>
      </x:c>
      <x:c r="AE2523" s="1" t="str">
        <x:f>IF(A2523="","",F474)</x:f>
      </x:c>
      <x:c r="AF2523" s="1" t="str">
        <x:f>IF(ISNUMBER(I474),I474,"")</x:f>
      </x:c>
      <x:c r="AG2523" s="1" t="str">
        <x:f>IF(ISNUMBER(J474),J474,"")</x:f>
      </x:c>
      <x:c r="AH2523" s="1" t="str">
        <x:f>IF(I2523=0,"Not contacted",IF(INDEX('Staff Review'!$J$8:$J$507,I2523)="","Not contacted",INDEX('Staff Review'!$J$8:$J$507,I2523)))</x:f>
        <x:v>Not contacted</x:v>
      </x:c>
      <x:c r="AI2523" s="1" t="str">
        <x:f>IF(I2523=0,"No",IF(AND(COUNT(INDEX('Staff Review'!$D$8:$D$507,I2523))=1,INDEX('Staff Review'!$D$8:$D$507,I2523)&gt;=0,COUNT(INDEX('Staff Review'!$E$8:$E$507,I2523))=1,INDEX('Staff Review'!$E$8:$E$507,I2523)&gt;0,INDEX('Staff Review'!$E$8:$E$507,I2523)&lt;='Top 15'!$E$5,'Top 15'!$E$5-INDEX('Staff Review'!$E$8:$E$507,I2523)&lt;='Top 15'!$H$5,LEN(INDEX('Staff Review'!$H$8:$H$507,I2523))&gt;0),"Yes","No"))</x:f>
        <x:v>No</x:v>
      </x:c>
      <x:c r="AJ2523" s="1" t="str">
        <x:f>IF(I2523=0,"No",IF(COUNT(INDEX('Staff Review'!$F$8:$F$507,I2523))&lt;&gt;1,"No",IF(AND(INDEX('Staff Review'!$F$8:$F$507,I2523)&gt;=0,MOD(INDEX('Staff Review'!$F$8:$F$507,I2523),1)=0,COUNT(INDEX('Staff Review'!$G$8:$G$507,I2523))=1,INDEX('Staff Review'!$G$8:$G$507,I2523)&gt;0,INDEX('Staff Review'!$G$8:$G$507,I2523)&lt;='Top 15'!$E$5,'Top 15'!$E$5-INDEX('Staff Review'!$G$8:$G$507,I2523)&lt;='Top 15'!$H$5,LEN(INDEX('Staff Review'!$H$8:$H$507,I2523))&gt;0),"Yes","No")))</x:f>
        <x:v>No</x:v>
      </x:c>
      <x:c r="AK2523" s="1" t="n">
        <x:f>IF(A2523="",0,COUNTIFS($A$2:$A$501,A2523))</x:f>
        <x:v>0</x:v>
      </x:c>
      <x:c r="AL2523" s="1" t="n">
        <x:f>IF(V2523="Candidate",1,0)</x:f>
        <x:v>0</x:v>
      </x:c>
      <x:c r="AM2523" s="1" t="n">
        <x:f>IF(A2523="",0,VALUE(A2523))</x:f>
        <x:v>0</x:v>
      </x:c>
      <x:c r="AN2523" s="1" t="n">
        <x:f>IF(OR(A2523="",COUNTIFS($T$41:$T$540,A2523)&lt;&gt;1),0,MATCH(A2523,$T$41:$T$540,0))</x:f>
        <x:v>0</x:v>
      </x:c>
      <x:c r="AO2523" t="n">
        <x:f>IF(ISNUMBER(W2523),W2523,10000+AM2523)</x:f>
        <x:v>10000</x:v>
      </x:c>
    </x:row>
    <x:row r="2524" ht="22" customHeight="1">
      <x:c r="A2524" s="1" t="str">
        <x:f>IF(A475="","",A475)</x:f>
      </x:c>
      <x:c r="B2524" s="1" t="str">
        <x:f>IF(A2524="","",B475)</x:f>
      </x:c>
      <x:c r="C2524" s="1" t="str">
        <x:f>IF(A2524="","",C475)</x:f>
      </x:c>
      <x:c r="D2524" s="1" t="str">
        <x:f>IF(A2524="","",E475)</x:f>
      </x:c>
      <x:c r="E2524" s="1" t="str">
        <x:f>IF(A2524="","",H475)</x:f>
      </x:c>
      <x:c r="F2524" s="1" t="str">
        <x:f>IF(ISNUMBER(K475),K475,"")</x:f>
      </x:c>
      <x:c r="G2524" s="1" t="str">
        <x:f>IF(ISNUMBER(L475),L475,"")</x:f>
      </x:c>
      <x:c r="H2524" s="1" t="str">
        <x:f>IF(A2524="","",IF(AND(UPPER(G475)="PHILADELPHIA",OR(C2524="District",AND(C2524="Charter",D475="Yes"))),"Yes","No"))</x:f>
      </x:c>
      <x:c r="I2524" s="1" t="n">
        <x:f>IF(OR(A2524="",COUNTIFS('Staff Review'!$A$8:$A$507,A2524)&lt;&gt;1),0,MATCH(A2524,'Staff Review'!$A$8:$A$507,0))</x:f>
        <x:v>0</x:v>
      </x:c>
      <x:c r="J2524" s="1" t="str">
        <x:f>IF(I2524=0,"No",IF(INDEX('Staff Review'!$C$8:$C$507,I2524)="Yes","Yes","No"))</x:f>
        <x:v>No</x:v>
      </x:c>
      <x:c r="K2524" s="1" t="str">
        <x:f>IF(AI2524="Yes",INDEX('Staff Review'!$D$8:$D$507,I2524),IF(AB2524=0,"",IF(COUNT(INDEX($C$1531:$C$2030,AB2524))=1,INDEX($C$1531:$C$2030,AB2524),"")))</x:f>
      </x:c>
      <x:c r="L2524" s="1" t="str">
        <x:f>IF(AJ2524="Yes",INDEX('Staff Review'!$F$8:$F$507,I2524),IF(AB2524=0,"",IF(COUNT(INDEX($G$1531:$G$2030,AB2524))=1,INDEX($G$1531:$G$2030,AB2524),"")))</x:f>
      </x:c>
      <x:c r="M2524" s="1" t="str">
        <x:f>IF(A2524="","",IF(AI2524="Yes","Verified","Listed"))</x:f>
      </x:c>
      <x:c r="N2524" s="1" t="str">
        <x:f>IF(A2524="","",IF(AJ2524="Yes","Verified","Listed"))</x:f>
      </x:c>
      <x:c r="O2524" s="1" t="str">
        <x:f>IF(AND(ISNUMBER(G2524),G2524&gt;=0,G2524&lt;=1),IF(G2524&gt;=0.9,30,IF(G2524&gt;=0.8,25,IF(G2524&gt;=0.7,20,IF(G2524&gt;=0.6,15,IF(G2524&gt;=0.5,10,IF(G2524&gt;=0.4,5,0)))))),"")</x:f>
      </x:c>
      <x:c r="P2524" s="1" t="str">
        <x:f>IF(ISNUMBER(K2524),IF(K2524&lt;0,"",IF(K2524&gt;1,25,IF(K2524&gt;=0.75,20,IF(K2524&gt;=0.5,15,IF(K2524&gt;=0.25,10,5))))),"")</x:f>
      </x:c>
      <x:c r="Q2524" s="1" t="str">
        <x:f>IF(NOT(ISNUMBER(L2524)),"",IF(AND(L2524&gt;=0,MOD(L2524,1)=0),MAX(0,25-5*L2524),""))</x:f>
      </x:c>
      <x:c r="R2524" s="1" t="str">
        <x:f>IF(NOT(ISNUMBER(F2524)),"",IF(AND(F2524&gt;0,MOD(F2524,1)=0),IF(F2524&gt;=700,5,IF(F2524&gt;=500,4,IF(F2524&gt;=350,3,IF(F2524&gt;=200,2,1)))),""))</x:f>
      </x:c>
      <x:c r="S2524" s="1" t="str">
        <x:f>IF(COUNT(O2524:R2524)=4,SUM(O2524:R2524),"")</x:f>
      </x:c>
      <x:c r="T2524" s="1" t="str">
        <x:f>IF(OR(COUNT(O2524:R2524)&lt;&gt;4,COUNT('Top 15'!$B$35:$E$35)&lt;&gt;4,MIN('Top 15'!$B$35:$E$35)&lt;0,SUM('Top 15'!$B$35:$E$35)&lt;=0),"",ROUND(85*(O2524/30*'Top 15'!$B$35+P2524/25*'Top 15'!$C$35+Q2524/25*'Top 15'!$D$35+R2524/5*'Top 15'!$E$35)/SUM('Top 15'!$B$35:$E$35),6))</x:f>
      </x:c>
      <x:c r="U2524" s="1" t="str">
        <x:f>IF(A2524="","",IF(AND(M2524="Verified",N2524="Verified"),"Verified",IF(AND(M2524="Listed",N2524="Listed"),"Listed","Mixed")))</x:f>
      </x:c>
      <x:c r="V2524" s="1" t="str">
        <x:f>IF(A2524="","",IF(AK2524&lt;&gt;1,"Duplicate source ID",IF(COUNTIFS('Staff Review'!$A$8:$A$507,A2524)&gt;1,"Duplicate review ID",IF(H2524&lt;&gt;"Yes","Outside scope",IF(J2524="Yes","Already served",IF(NOT(ISNUMBER(T2524)),"Missing data","Candidate"))))))</x:f>
      </x:c>
      <x:c r="W2524" s="1" t="str">
        <x:f>IF(AL2524=0,"",1+COUNTIFS($AL$2051:$AL$2550,1,$T$2051:$T$2550,"&gt;"&amp;T2524)+COUNTIFS($AL$2051:$AL$2550,1,$T$2051:$T$2550,T2524,$G$2051:$G$2550,"&gt;"&amp;G2524)+COUNTIFS($AL$2051:$AL$2550,1,$T$2051:$T$2550,T2524,$G$2051:$G$2550,G2524,$F$2051:$F$2550,"&gt;"&amp;F2524)+COUNTIFS($AL$2051:$AL$2550,1,$T$2051:$T$2550,T2524,$G$2051:$G$2550,G2524,$F$2051:$F$2550,F2524,$AM$2051:$AM$2550,"&lt;"&amp;AM2524))</x:f>
      </x:c>
      <x:c r="X2524" s="1" t="str">
        <x:f>IF(AL2524=0,"",1+COUNTIFS($AL$2051:$AL$2550,1,$T$2051:$T$2550,"&gt;"&amp;T2524))</x:f>
      </x:c>
      <x:c r="Y2524" s="1" t="n">
        <x:f>IF(AND(H2524="Yes",OR(LEN('School Search'!$B$5)=0,ISNUMBER(SEARCH('School Search'!$B$5,B2524&amp;" "&amp;E2524&amp;" "&amp;A2524))),OR('School Search'!$D$5="All",C2524='School Search'!$D$5),OR('School Search'!$G$5="All eligible",AND('School Search'!$G$5="Not marked served",J2524&lt;&gt;"Yes"),AND('School Search'!$G$5="Missing data",V2524="Missing data"),AND('School Search'!$G$5="Marked served",J2524="Yes"))),1,0)</x:f>
        <x:v>0</x:v>
      </x:c>
      <x:c r="Z2524" s="1" t="str">
        <x:f>IF(Y2524=0,"",COUNTIFS($Y$2051:$Y$2550,1,$AO$2051:$AO$2550,"&lt;"&amp;AO2524)+COUNTIFS($Y$2051:Y2524,1,$AO$2051:AO2524,AO2524))</x:f>
      </x:c>
      <x:c r="AA2524" s="1" t="str">
        <x:f>IF(NOT(ISNUMBER(S2524)),"Missing demographic or access input",TEXT(G2524,"0%")&amp;" economic need; "&amp;TEXT(K2524,"0.00")&amp;" mi fresh access; "&amp;L2524&amp;" nearby resources")</x:f>
        <x:v>Missing demographic or access input</x:v>
      </x:c>
      <x:c r="AB2524" s="1" t="n">
        <x:f>IF(OR(A2524="",COUNTIFS($A$1531:$A$2030,A2524)&lt;&gt;1),0,MATCH(A2524,$A$1531:$A$2030,0))</x:f>
        <x:v>0</x:v>
      </x:c>
      <x:c r="AC2524" s="1" t="str">
        <x:f>IF(AB2524=0,"",INDEX($E$1531:$E$2030,AB2524))</x:f>
      </x:c>
      <x:c r="AD2524" s="1" t="str">
        <x:f>IF(AB2524=0,"",INDEX($F$1531:$F$2030,AB2524))</x:f>
      </x:c>
      <x:c r="AE2524" s="1" t="str">
        <x:f>IF(A2524="","",F475)</x:f>
      </x:c>
      <x:c r="AF2524" s="1" t="str">
        <x:f>IF(ISNUMBER(I475),I475,"")</x:f>
      </x:c>
      <x:c r="AG2524" s="1" t="str">
        <x:f>IF(ISNUMBER(J475),J475,"")</x:f>
      </x:c>
      <x:c r="AH2524" s="1" t="str">
        <x:f>IF(I2524=0,"Not contacted",IF(INDEX('Staff Review'!$J$8:$J$507,I2524)="","Not contacted",INDEX('Staff Review'!$J$8:$J$507,I2524)))</x:f>
        <x:v>Not contacted</x:v>
      </x:c>
      <x:c r="AI2524" s="1" t="str">
        <x:f>IF(I2524=0,"No",IF(AND(COUNT(INDEX('Staff Review'!$D$8:$D$507,I2524))=1,INDEX('Staff Review'!$D$8:$D$507,I2524)&gt;=0,COUNT(INDEX('Staff Review'!$E$8:$E$507,I2524))=1,INDEX('Staff Review'!$E$8:$E$507,I2524)&gt;0,INDEX('Staff Review'!$E$8:$E$507,I2524)&lt;='Top 15'!$E$5,'Top 15'!$E$5-INDEX('Staff Review'!$E$8:$E$507,I2524)&lt;='Top 15'!$H$5,LEN(INDEX('Staff Review'!$H$8:$H$507,I2524))&gt;0),"Yes","No"))</x:f>
        <x:v>No</x:v>
      </x:c>
      <x:c r="AJ2524" s="1" t="str">
        <x:f>IF(I2524=0,"No",IF(COUNT(INDEX('Staff Review'!$F$8:$F$507,I2524))&lt;&gt;1,"No",IF(AND(INDEX('Staff Review'!$F$8:$F$507,I2524)&gt;=0,MOD(INDEX('Staff Review'!$F$8:$F$507,I2524),1)=0,COUNT(INDEX('Staff Review'!$G$8:$G$507,I2524))=1,INDEX('Staff Review'!$G$8:$G$507,I2524)&gt;0,INDEX('Staff Review'!$G$8:$G$507,I2524)&lt;='Top 15'!$E$5,'Top 15'!$E$5-INDEX('Staff Review'!$G$8:$G$507,I2524)&lt;='Top 15'!$H$5,LEN(INDEX('Staff Review'!$H$8:$H$507,I2524))&gt;0),"Yes","No")))</x:f>
        <x:v>No</x:v>
      </x:c>
      <x:c r="AK2524" s="1" t="n">
        <x:f>IF(A2524="",0,COUNTIFS($A$2:$A$501,A2524))</x:f>
        <x:v>0</x:v>
      </x:c>
      <x:c r="AL2524" s="1" t="n">
        <x:f>IF(V2524="Candidate",1,0)</x:f>
        <x:v>0</x:v>
      </x:c>
      <x:c r="AM2524" s="1" t="n">
        <x:f>IF(A2524="",0,VALUE(A2524))</x:f>
        <x:v>0</x:v>
      </x:c>
      <x:c r="AN2524" s="1" t="n">
        <x:f>IF(OR(A2524="",COUNTIFS($T$41:$T$540,A2524)&lt;&gt;1),0,MATCH(A2524,$T$41:$T$540,0))</x:f>
        <x:v>0</x:v>
      </x:c>
      <x:c r="AO2524" t="n">
        <x:f>IF(ISNUMBER(W2524),W2524,10000+AM2524)</x:f>
        <x:v>10000</x:v>
      </x:c>
    </x:row>
    <x:row r="2525" ht="22" customHeight="1">
      <x:c r="A2525" s="1" t="str">
        <x:f>IF(A476="","",A476)</x:f>
      </x:c>
      <x:c r="B2525" s="1" t="str">
        <x:f>IF(A2525="","",B476)</x:f>
      </x:c>
      <x:c r="C2525" s="1" t="str">
        <x:f>IF(A2525="","",C476)</x:f>
      </x:c>
      <x:c r="D2525" s="1" t="str">
        <x:f>IF(A2525="","",E476)</x:f>
      </x:c>
      <x:c r="E2525" s="1" t="str">
        <x:f>IF(A2525="","",H476)</x:f>
      </x:c>
      <x:c r="F2525" s="1" t="str">
        <x:f>IF(ISNUMBER(K476),K476,"")</x:f>
      </x:c>
      <x:c r="G2525" s="1" t="str">
        <x:f>IF(ISNUMBER(L476),L476,"")</x:f>
      </x:c>
      <x:c r="H2525" s="1" t="str">
        <x:f>IF(A2525="","",IF(AND(UPPER(G476)="PHILADELPHIA",OR(C2525="District",AND(C2525="Charter",D476="Yes"))),"Yes","No"))</x:f>
      </x:c>
      <x:c r="I2525" s="1" t="n">
        <x:f>IF(OR(A2525="",COUNTIFS('Staff Review'!$A$8:$A$507,A2525)&lt;&gt;1),0,MATCH(A2525,'Staff Review'!$A$8:$A$507,0))</x:f>
        <x:v>0</x:v>
      </x:c>
      <x:c r="J2525" s="1" t="str">
        <x:f>IF(I2525=0,"No",IF(INDEX('Staff Review'!$C$8:$C$507,I2525)="Yes","Yes","No"))</x:f>
        <x:v>No</x:v>
      </x:c>
      <x:c r="K2525" s="1" t="str">
        <x:f>IF(AI2525="Yes",INDEX('Staff Review'!$D$8:$D$507,I2525),IF(AB2525=0,"",IF(COUNT(INDEX($C$1531:$C$2030,AB2525))=1,INDEX($C$1531:$C$2030,AB2525),"")))</x:f>
      </x:c>
      <x:c r="L2525" s="1" t="str">
        <x:f>IF(AJ2525="Yes",INDEX('Staff Review'!$F$8:$F$507,I2525),IF(AB2525=0,"",IF(COUNT(INDEX($G$1531:$G$2030,AB2525))=1,INDEX($G$1531:$G$2030,AB2525),"")))</x:f>
      </x:c>
      <x:c r="M2525" s="1" t="str">
        <x:f>IF(A2525="","",IF(AI2525="Yes","Verified","Listed"))</x:f>
      </x:c>
      <x:c r="N2525" s="1" t="str">
        <x:f>IF(A2525="","",IF(AJ2525="Yes","Verified","Listed"))</x:f>
      </x:c>
      <x:c r="O2525" s="1" t="str">
        <x:f>IF(AND(ISNUMBER(G2525),G2525&gt;=0,G2525&lt;=1),IF(G2525&gt;=0.9,30,IF(G2525&gt;=0.8,25,IF(G2525&gt;=0.7,20,IF(G2525&gt;=0.6,15,IF(G2525&gt;=0.5,10,IF(G2525&gt;=0.4,5,0)))))),"")</x:f>
      </x:c>
      <x:c r="P2525" s="1" t="str">
        <x:f>IF(ISNUMBER(K2525),IF(K2525&lt;0,"",IF(K2525&gt;1,25,IF(K2525&gt;=0.75,20,IF(K2525&gt;=0.5,15,IF(K2525&gt;=0.25,10,5))))),"")</x:f>
      </x:c>
      <x:c r="Q2525" s="1" t="str">
        <x:f>IF(NOT(ISNUMBER(L2525)),"",IF(AND(L2525&gt;=0,MOD(L2525,1)=0),MAX(0,25-5*L2525),""))</x:f>
      </x:c>
      <x:c r="R2525" s="1" t="str">
        <x:f>IF(NOT(ISNUMBER(F2525)),"",IF(AND(F2525&gt;0,MOD(F2525,1)=0),IF(F2525&gt;=700,5,IF(F2525&gt;=500,4,IF(F2525&gt;=350,3,IF(F2525&gt;=200,2,1)))),""))</x:f>
      </x:c>
      <x:c r="S2525" s="1" t="str">
        <x:f>IF(COUNT(O2525:R2525)=4,SUM(O2525:R2525),"")</x:f>
      </x:c>
      <x:c r="T2525" s="1" t="str">
        <x:f>IF(OR(COUNT(O2525:R2525)&lt;&gt;4,COUNT('Top 15'!$B$35:$E$35)&lt;&gt;4,MIN('Top 15'!$B$35:$E$35)&lt;0,SUM('Top 15'!$B$35:$E$35)&lt;=0),"",ROUND(85*(O2525/30*'Top 15'!$B$35+P2525/25*'Top 15'!$C$35+Q2525/25*'Top 15'!$D$35+R2525/5*'Top 15'!$E$35)/SUM('Top 15'!$B$35:$E$35),6))</x:f>
      </x:c>
      <x:c r="U2525" s="1" t="str">
        <x:f>IF(A2525="","",IF(AND(M2525="Verified",N2525="Verified"),"Verified",IF(AND(M2525="Listed",N2525="Listed"),"Listed","Mixed")))</x:f>
      </x:c>
      <x:c r="V2525" s="1" t="str">
        <x:f>IF(A2525="","",IF(AK2525&lt;&gt;1,"Duplicate source ID",IF(COUNTIFS('Staff Review'!$A$8:$A$507,A2525)&gt;1,"Duplicate review ID",IF(H2525&lt;&gt;"Yes","Outside scope",IF(J2525="Yes","Already served",IF(NOT(ISNUMBER(T2525)),"Missing data","Candidate"))))))</x:f>
      </x:c>
      <x:c r="W2525" s="1" t="str">
        <x:f>IF(AL2525=0,"",1+COUNTIFS($AL$2051:$AL$2550,1,$T$2051:$T$2550,"&gt;"&amp;T2525)+COUNTIFS($AL$2051:$AL$2550,1,$T$2051:$T$2550,T2525,$G$2051:$G$2550,"&gt;"&amp;G2525)+COUNTIFS($AL$2051:$AL$2550,1,$T$2051:$T$2550,T2525,$G$2051:$G$2550,G2525,$F$2051:$F$2550,"&gt;"&amp;F2525)+COUNTIFS($AL$2051:$AL$2550,1,$T$2051:$T$2550,T2525,$G$2051:$G$2550,G2525,$F$2051:$F$2550,F2525,$AM$2051:$AM$2550,"&lt;"&amp;AM2525))</x:f>
      </x:c>
      <x:c r="X2525" s="1" t="str">
        <x:f>IF(AL2525=0,"",1+COUNTIFS($AL$2051:$AL$2550,1,$T$2051:$T$2550,"&gt;"&amp;T2525))</x:f>
      </x:c>
      <x:c r="Y2525" s="1" t="n">
        <x:f>IF(AND(H2525="Yes",OR(LEN('School Search'!$B$5)=0,ISNUMBER(SEARCH('School Search'!$B$5,B2525&amp;" "&amp;E2525&amp;" "&amp;A2525))),OR('School Search'!$D$5="All",C2525='School Search'!$D$5),OR('School Search'!$G$5="All eligible",AND('School Search'!$G$5="Not marked served",J2525&lt;&gt;"Yes"),AND('School Search'!$G$5="Missing data",V2525="Missing data"),AND('School Search'!$G$5="Marked served",J2525="Yes"))),1,0)</x:f>
        <x:v>0</x:v>
      </x:c>
      <x:c r="Z2525" s="1" t="str">
        <x:f>IF(Y2525=0,"",COUNTIFS($Y$2051:$Y$2550,1,$AO$2051:$AO$2550,"&lt;"&amp;AO2525)+COUNTIFS($Y$2051:Y2525,1,$AO$2051:AO2525,AO2525))</x:f>
      </x:c>
      <x:c r="AA2525" s="1" t="str">
        <x:f>IF(NOT(ISNUMBER(S2525)),"Missing demographic or access input",TEXT(G2525,"0%")&amp;" economic need; "&amp;TEXT(K2525,"0.00")&amp;" mi fresh access; "&amp;L2525&amp;" nearby resources")</x:f>
        <x:v>Missing demographic or access input</x:v>
      </x:c>
      <x:c r="AB2525" s="1" t="n">
        <x:f>IF(OR(A2525="",COUNTIFS($A$1531:$A$2030,A2525)&lt;&gt;1),0,MATCH(A2525,$A$1531:$A$2030,0))</x:f>
        <x:v>0</x:v>
      </x:c>
      <x:c r="AC2525" s="1" t="str">
        <x:f>IF(AB2525=0,"",INDEX($E$1531:$E$2030,AB2525))</x:f>
      </x:c>
      <x:c r="AD2525" s="1" t="str">
        <x:f>IF(AB2525=0,"",INDEX($F$1531:$F$2030,AB2525))</x:f>
      </x:c>
      <x:c r="AE2525" s="1" t="str">
        <x:f>IF(A2525="","",F476)</x:f>
      </x:c>
      <x:c r="AF2525" s="1" t="str">
        <x:f>IF(ISNUMBER(I476),I476,"")</x:f>
      </x:c>
      <x:c r="AG2525" s="1" t="str">
        <x:f>IF(ISNUMBER(J476),J476,"")</x:f>
      </x:c>
      <x:c r="AH2525" s="1" t="str">
        <x:f>IF(I2525=0,"Not contacted",IF(INDEX('Staff Review'!$J$8:$J$507,I2525)="","Not contacted",INDEX('Staff Review'!$J$8:$J$507,I2525)))</x:f>
        <x:v>Not contacted</x:v>
      </x:c>
      <x:c r="AI2525" s="1" t="str">
        <x:f>IF(I2525=0,"No",IF(AND(COUNT(INDEX('Staff Review'!$D$8:$D$507,I2525))=1,INDEX('Staff Review'!$D$8:$D$507,I2525)&gt;=0,COUNT(INDEX('Staff Review'!$E$8:$E$507,I2525))=1,INDEX('Staff Review'!$E$8:$E$507,I2525)&gt;0,INDEX('Staff Review'!$E$8:$E$507,I2525)&lt;='Top 15'!$E$5,'Top 15'!$E$5-INDEX('Staff Review'!$E$8:$E$507,I2525)&lt;='Top 15'!$H$5,LEN(INDEX('Staff Review'!$H$8:$H$507,I2525))&gt;0),"Yes","No"))</x:f>
        <x:v>No</x:v>
      </x:c>
      <x:c r="AJ2525" s="1" t="str">
        <x:f>IF(I2525=0,"No",IF(COUNT(INDEX('Staff Review'!$F$8:$F$507,I2525))&lt;&gt;1,"No",IF(AND(INDEX('Staff Review'!$F$8:$F$507,I2525)&gt;=0,MOD(INDEX('Staff Review'!$F$8:$F$507,I2525),1)=0,COUNT(INDEX('Staff Review'!$G$8:$G$507,I2525))=1,INDEX('Staff Review'!$G$8:$G$507,I2525)&gt;0,INDEX('Staff Review'!$G$8:$G$507,I2525)&lt;='Top 15'!$E$5,'Top 15'!$E$5-INDEX('Staff Review'!$G$8:$G$507,I2525)&lt;='Top 15'!$H$5,LEN(INDEX('Staff Review'!$H$8:$H$507,I2525))&gt;0),"Yes","No")))</x:f>
        <x:v>No</x:v>
      </x:c>
      <x:c r="AK2525" s="1" t="n">
        <x:f>IF(A2525="",0,COUNTIFS($A$2:$A$501,A2525))</x:f>
        <x:v>0</x:v>
      </x:c>
      <x:c r="AL2525" s="1" t="n">
        <x:f>IF(V2525="Candidate",1,0)</x:f>
        <x:v>0</x:v>
      </x:c>
      <x:c r="AM2525" s="1" t="n">
        <x:f>IF(A2525="",0,VALUE(A2525))</x:f>
        <x:v>0</x:v>
      </x:c>
      <x:c r="AN2525" s="1" t="n">
        <x:f>IF(OR(A2525="",COUNTIFS($T$41:$T$540,A2525)&lt;&gt;1),0,MATCH(A2525,$T$41:$T$540,0))</x:f>
        <x:v>0</x:v>
      </x:c>
      <x:c r="AO2525" t="n">
        <x:f>IF(ISNUMBER(W2525),W2525,10000+AM2525)</x:f>
        <x:v>10000</x:v>
      </x:c>
    </x:row>
    <x:row r="2526" ht="22" customHeight="1">
      <x:c r="A2526" s="1" t="str">
        <x:f>IF(A477="","",A477)</x:f>
      </x:c>
      <x:c r="B2526" s="1" t="str">
        <x:f>IF(A2526="","",B477)</x:f>
      </x:c>
      <x:c r="C2526" s="1" t="str">
        <x:f>IF(A2526="","",C477)</x:f>
      </x:c>
      <x:c r="D2526" s="1" t="str">
        <x:f>IF(A2526="","",E477)</x:f>
      </x:c>
      <x:c r="E2526" s="1" t="str">
        <x:f>IF(A2526="","",H477)</x:f>
      </x:c>
      <x:c r="F2526" s="1" t="str">
        <x:f>IF(ISNUMBER(K477),K477,"")</x:f>
      </x:c>
      <x:c r="G2526" s="1" t="str">
        <x:f>IF(ISNUMBER(L477),L477,"")</x:f>
      </x:c>
      <x:c r="H2526" s="1" t="str">
        <x:f>IF(A2526="","",IF(AND(UPPER(G477)="PHILADELPHIA",OR(C2526="District",AND(C2526="Charter",D477="Yes"))),"Yes","No"))</x:f>
      </x:c>
      <x:c r="I2526" s="1" t="n">
        <x:f>IF(OR(A2526="",COUNTIFS('Staff Review'!$A$8:$A$507,A2526)&lt;&gt;1),0,MATCH(A2526,'Staff Review'!$A$8:$A$507,0))</x:f>
        <x:v>0</x:v>
      </x:c>
      <x:c r="J2526" s="1" t="str">
        <x:f>IF(I2526=0,"No",IF(INDEX('Staff Review'!$C$8:$C$507,I2526)="Yes","Yes","No"))</x:f>
        <x:v>No</x:v>
      </x:c>
      <x:c r="K2526" s="1" t="str">
        <x:f>IF(AI2526="Yes",INDEX('Staff Review'!$D$8:$D$507,I2526),IF(AB2526=0,"",IF(COUNT(INDEX($C$1531:$C$2030,AB2526))=1,INDEX($C$1531:$C$2030,AB2526),"")))</x:f>
      </x:c>
      <x:c r="L2526" s="1" t="str">
        <x:f>IF(AJ2526="Yes",INDEX('Staff Review'!$F$8:$F$507,I2526),IF(AB2526=0,"",IF(COUNT(INDEX($G$1531:$G$2030,AB2526))=1,INDEX($G$1531:$G$2030,AB2526),"")))</x:f>
      </x:c>
      <x:c r="M2526" s="1" t="str">
        <x:f>IF(A2526="","",IF(AI2526="Yes","Verified","Listed"))</x:f>
      </x:c>
      <x:c r="N2526" s="1" t="str">
        <x:f>IF(A2526="","",IF(AJ2526="Yes","Verified","Listed"))</x:f>
      </x:c>
      <x:c r="O2526" s="1" t="str">
        <x:f>IF(AND(ISNUMBER(G2526),G2526&gt;=0,G2526&lt;=1),IF(G2526&gt;=0.9,30,IF(G2526&gt;=0.8,25,IF(G2526&gt;=0.7,20,IF(G2526&gt;=0.6,15,IF(G2526&gt;=0.5,10,IF(G2526&gt;=0.4,5,0)))))),"")</x:f>
      </x:c>
      <x:c r="P2526" s="1" t="str">
        <x:f>IF(ISNUMBER(K2526),IF(K2526&lt;0,"",IF(K2526&gt;1,25,IF(K2526&gt;=0.75,20,IF(K2526&gt;=0.5,15,IF(K2526&gt;=0.25,10,5))))),"")</x:f>
      </x:c>
      <x:c r="Q2526" s="1" t="str">
        <x:f>IF(NOT(ISNUMBER(L2526)),"",IF(AND(L2526&gt;=0,MOD(L2526,1)=0),MAX(0,25-5*L2526),""))</x:f>
      </x:c>
      <x:c r="R2526" s="1" t="str">
        <x:f>IF(NOT(ISNUMBER(F2526)),"",IF(AND(F2526&gt;0,MOD(F2526,1)=0),IF(F2526&gt;=700,5,IF(F2526&gt;=500,4,IF(F2526&gt;=350,3,IF(F2526&gt;=200,2,1)))),""))</x:f>
      </x:c>
      <x:c r="S2526" s="1" t="str">
        <x:f>IF(COUNT(O2526:R2526)=4,SUM(O2526:R2526),"")</x:f>
      </x:c>
      <x:c r="T2526" s="1" t="str">
        <x:f>IF(OR(COUNT(O2526:R2526)&lt;&gt;4,COUNT('Top 15'!$B$35:$E$35)&lt;&gt;4,MIN('Top 15'!$B$35:$E$35)&lt;0,SUM('Top 15'!$B$35:$E$35)&lt;=0),"",ROUND(85*(O2526/30*'Top 15'!$B$35+P2526/25*'Top 15'!$C$35+Q2526/25*'Top 15'!$D$35+R2526/5*'Top 15'!$E$35)/SUM('Top 15'!$B$35:$E$35),6))</x:f>
      </x:c>
      <x:c r="U2526" s="1" t="str">
        <x:f>IF(A2526="","",IF(AND(M2526="Verified",N2526="Verified"),"Verified",IF(AND(M2526="Listed",N2526="Listed"),"Listed","Mixed")))</x:f>
      </x:c>
      <x:c r="V2526" s="1" t="str">
        <x:f>IF(A2526="","",IF(AK2526&lt;&gt;1,"Duplicate source ID",IF(COUNTIFS('Staff Review'!$A$8:$A$507,A2526)&gt;1,"Duplicate review ID",IF(H2526&lt;&gt;"Yes","Outside scope",IF(J2526="Yes","Already served",IF(NOT(ISNUMBER(T2526)),"Missing data","Candidate"))))))</x:f>
      </x:c>
      <x:c r="W2526" s="1" t="str">
        <x:f>IF(AL2526=0,"",1+COUNTIFS($AL$2051:$AL$2550,1,$T$2051:$T$2550,"&gt;"&amp;T2526)+COUNTIFS($AL$2051:$AL$2550,1,$T$2051:$T$2550,T2526,$G$2051:$G$2550,"&gt;"&amp;G2526)+COUNTIFS($AL$2051:$AL$2550,1,$T$2051:$T$2550,T2526,$G$2051:$G$2550,G2526,$F$2051:$F$2550,"&gt;"&amp;F2526)+COUNTIFS($AL$2051:$AL$2550,1,$T$2051:$T$2550,T2526,$G$2051:$G$2550,G2526,$F$2051:$F$2550,F2526,$AM$2051:$AM$2550,"&lt;"&amp;AM2526))</x:f>
      </x:c>
      <x:c r="X2526" s="1" t="str">
        <x:f>IF(AL2526=0,"",1+COUNTIFS($AL$2051:$AL$2550,1,$T$2051:$T$2550,"&gt;"&amp;T2526))</x:f>
      </x:c>
      <x:c r="Y2526" s="1" t="n">
        <x:f>IF(AND(H2526="Yes",OR(LEN('School Search'!$B$5)=0,ISNUMBER(SEARCH('School Search'!$B$5,B2526&amp;" "&amp;E2526&amp;" "&amp;A2526))),OR('School Search'!$D$5="All",C2526='School Search'!$D$5),OR('School Search'!$G$5="All eligible",AND('School Search'!$G$5="Not marked served",J2526&lt;&gt;"Yes"),AND('School Search'!$G$5="Missing data",V2526="Missing data"),AND('School Search'!$G$5="Marked served",J2526="Yes"))),1,0)</x:f>
        <x:v>0</x:v>
      </x:c>
      <x:c r="Z2526" s="1" t="str">
        <x:f>IF(Y2526=0,"",COUNTIFS($Y$2051:$Y$2550,1,$AO$2051:$AO$2550,"&lt;"&amp;AO2526)+COUNTIFS($Y$2051:Y2526,1,$AO$2051:AO2526,AO2526))</x:f>
      </x:c>
      <x:c r="AA2526" s="1" t="str">
        <x:f>IF(NOT(ISNUMBER(S2526)),"Missing demographic or access input",TEXT(G2526,"0%")&amp;" economic need; "&amp;TEXT(K2526,"0.00")&amp;" mi fresh access; "&amp;L2526&amp;" nearby resources")</x:f>
        <x:v>Missing demographic or access input</x:v>
      </x:c>
      <x:c r="AB2526" s="1" t="n">
        <x:f>IF(OR(A2526="",COUNTIFS($A$1531:$A$2030,A2526)&lt;&gt;1),0,MATCH(A2526,$A$1531:$A$2030,0))</x:f>
        <x:v>0</x:v>
      </x:c>
      <x:c r="AC2526" s="1" t="str">
        <x:f>IF(AB2526=0,"",INDEX($E$1531:$E$2030,AB2526))</x:f>
      </x:c>
      <x:c r="AD2526" s="1" t="str">
        <x:f>IF(AB2526=0,"",INDEX($F$1531:$F$2030,AB2526))</x:f>
      </x:c>
      <x:c r="AE2526" s="1" t="str">
        <x:f>IF(A2526="","",F477)</x:f>
      </x:c>
      <x:c r="AF2526" s="1" t="str">
        <x:f>IF(ISNUMBER(I477),I477,"")</x:f>
      </x:c>
      <x:c r="AG2526" s="1" t="str">
        <x:f>IF(ISNUMBER(J477),J477,"")</x:f>
      </x:c>
      <x:c r="AH2526" s="1" t="str">
        <x:f>IF(I2526=0,"Not contacted",IF(INDEX('Staff Review'!$J$8:$J$507,I2526)="","Not contacted",INDEX('Staff Review'!$J$8:$J$507,I2526)))</x:f>
        <x:v>Not contacted</x:v>
      </x:c>
      <x:c r="AI2526" s="1" t="str">
        <x:f>IF(I2526=0,"No",IF(AND(COUNT(INDEX('Staff Review'!$D$8:$D$507,I2526))=1,INDEX('Staff Review'!$D$8:$D$507,I2526)&gt;=0,COUNT(INDEX('Staff Review'!$E$8:$E$507,I2526))=1,INDEX('Staff Review'!$E$8:$E$507,I2526)&gt;0,INDEX('Staff Review'!$E$8:$E$507,I2526)&lt;='Top 15'!$E$5,'Top 15'!$E$5-INDEX('Staff Review'!$E$8:$E$507,I2526)&lt;='Top 15'!$H$5,LEN(INDEX('Staff Review'!$H$8:$H$507,I2526))&gt;0),"Yes","No"))</x:f>
        <x:v>No</x:v>
      </x:c>
      <x:c r="AJ2526" s="1" t="str">
        <x:f>IF(I2526=0,"No",IF(COUNT(INDEX('Staff Review'!$F$8:$F$507,I2526))&lt;&gt;1,"No",IF(AND(INDEX('Staff Review'!$F$8:$F$507,I2526)&gt;=0,MOD(INDEX('Staff Review'!$F$8:$F$507,I2526),1)=0,COUNT(INDEX('Staff Review'!$G$8:$G$507,I2526))=1,INDEX('Staff Review'!$G$8:$G$507,I2526)&gt;0,INDEX('Staff Review'!$G$8:$G$507,I2526)&lt;='Top 15'!$E$5,'Top 15'!$E$5-INDEX('Staff Review'!$G$8:$G$507,I2526)&lt;='Top 15'!$H$5,LEN(INDEX('Staff Review'!$H$8:$H$507,I2526))&gt;0),"Yes","No")))</x:f>
        <x:v>No</x:v>
      </x:c>
      <x:c r="AK2526" s="1" t="n">
        <x:f>IF(A2526="",0,COUNTIFS($A$2:$A$501,A2526))</x:f>
        <x:v>0</x:v>
      </x:c>
      <x:c r="AL2526" s="1" t="n">
        <x:f>IF(V2526="Candidate",1,0)</x:f>
        <x:v>0</x:v>
      </x:c>
      <x:c r="AM2526" s="1" t="n">
        <x:f>IF(A2526="",0,VALUE(A2526))</x:f>
        <x:v>0</x:v>
      </x:c>
      <x:c r="AN2526" s="1" t="n">
        <x:f>IF(OR(A2526="",COUNTIFS($T$41:$T$540,A2526)&lt;&gt;1),0,MATCH(A2526,$T$41:$T$540,0))</x:f>
        <x:v>0</x:v>
      </x:c>
      <x:c r="AO2526" t="n">
        <x:f>IF(ISNUMBER(W2526),W2526,10000+AM2526)</x:f>
        <x:v>10000</x:v>
      </x:c>
    </x:row>
    <x:row r="2527" ht="22" customHeight="1">
      <x:c r="A2527" s="1" t="str">
        <x:f>IF(A478="","",A478)</x:f>
      </x:c>
      <x:c r="B2527" s="1" t="str">
        <x:f>IF(A2527="","",B478)</x:f>
      </x:c>
      <x:c r="C2527" s="1" t="str">
        <x:f>IF(A2527="","",C478)</x:f>
      </x:c>
      <x:c r="D2527" s="1" t="str">
        <x:f>IF(A2527="","",E478)</x:f>
      </x:c>
      <x:c r="E2527" s="1" t="str">
        <x:f>IF(A2527="","",H478)</x:f>
      </x:c>
      <x:c r="F2527" s="1" t="str">
        <x:f>IF(ISNUMBER(K478),K478,"")</x:f>
      </x:c>
      <x:c r="G2527" s="1" t="str">
        <x:f>IF(ISNUMBER(L478),L478,"")</x:f>
      </x:c>
      <x:c r="H2527" s="1" t="str">
        <x:f>IF(A2527="","",IF(AND(UPPER(G478)="PHILADELPHIA",OR(C2527="District",AND(C2527="Charter",D478="Yes"))),"Yes","No"))</x:f>
      </x:c>
      <x:c r="I2527" s="1" t="n">
        <x:f>IF(OR(A2527="",COUNTIFS('Staff Review'!$A$8:$A$507,A2527)&lt;&gt;1),0,MATCH(A2527,'Staff Review'!$A$8:$A$507,0))</x:f>
        <x:v>0</x:v>
      </x:c>
      <x:c r="J2527" s="1" t="str">
        <x:f>IF(I2527=0,"No",IF(INDEX('Staff Review'!$C$8:$C$507,I2527)="Yes","Yes","No"))</x:f>
        <x:v>No</x:v>
      </x:c>
      <x:c r="K2527" s="1" t="str">
        <x:f>IF(AI2527="Yes",INDEX('Staff Review'!$D$8:$D$507,I2527),IF(AB2527=0,"",IF(COUNT(INDEX($C$1531:$C$2030,AB2527))=1,INDEX($C$1531:$C$2030,AB2527),"")))</x:f>
      </x:c>
      <x:c r="L2527" s="1" t="str">
        <x:f>IF(AJ2527="Yes",INDEX('Staff Review'!$F$8:$F$507,I2527),IF(AB2527=0,"",IF(COUNT(INDEX($G$1531:$G$2030,AB2527))=1,INDEX($G$1531:$G$2030,AB2527),"")))</x:f>
      </x:c>
      <x:c r="M2527" s="1" t="str">
        <x:f>IF(A2527="","",IF(AI2527="Yes","Verified","Listed"))</x:f>
      </x:c>
      <x:c r="N2527" s="1" t="str">
        <x:f>IF(A2527="","",IF(AJ2527="Yes","Verified","Listed"))</x:f>
      </x:c>
      <x:c r="O2527" s="1" t="str">
        <x:f>IF(AND(ISNUMBER(G2527),G2527&gt;=0,G2527&lt;=1),IF(G2527&gt;=0.9,30,IF(G2527&gt;=0.8,25,IF(G2527&gt;=0.7,20,IF(G2527&gt;=0.6,15,IF(G2527&gt;=0.5,10,IF(G2527&gt;=0.4,5,0)))))),"")</x:f>
      </x:c>
      <x:c r="P2527" s="1" t="str">
        <x:f>IF(ISNUMBER(K2527),IF(K2527&lt;0,"",IF(K2527&gt;1,25,IF(K2527&gt;=0.75,20,IF(K2527&gt;=0.5,15,IF(K2527&gt;=0.25,10,5))))),"")</x:f>
      </x:c>
      <x:c r="Q2527" s="1" t="str">
        <x:f>IF(NOT(ISNUMBER(L2527)),"",IF(AND(L2527&gt;=0,MOD(L2527,1)=0),MAX(0,25-5*L2527),""))</x:f>
      </x:c>
      <x:c r="R2527" s="1" t="str">
        <x:f>IF(NOT(ISNUMBER(F2527)),"",IF(AND(F2527&gt;0,MOD(F2527,1)=0),IF(F2527&gt;=700,5,IF(F2527&gt;=500,4,IF(F2527&gt;=350,3,IF(F2527&gt;=200,2,1)))),""))</x:f>
      </x:c>
      <x:c r="S2527" s="1" t="str">
        <x:f>IF(COUNT(O2527:R2527)=4,SUM(O2527:R2527),"")</x:f>
      </x:c>
      <x:c r="T2527" s="1" t="str">
        <x:f>IF(OR(COUNT(O2527:R2527)&lt;&gt;4,COUNT('Top 15'!$B$35:$E$35)&lt;&gt;4,MIN('Top 15'!$B$35:$E$35)&lt;0,SUM('Top 15'!$B$35:$E$35)&lt;=0),"",ROUND(85*(O2527/30*'Top 15'!$B$35+P2527/25*'Top 15'!$C$35+Q2527/25*'Top 15'!$D$35+R2527/5*'Top 15'!$E$35)/SUM('Top 15'!$B$35:$E$35),6))</x:f>
      </x:c>
      <x:c r="U2527" s="1" t="str">
        <x:f>IF(A2527="","",IF(AND(M2527="Verified",N2527="Verified"),"Verified",IF(AND(M2527="Listed",N2527="Listed"),"Listed","Mixed")))</x:f>
      </x:c>
      <x:c r="V2527" s="1" t="str">
        <x:f>IF(A2527="","",IF(AK2527&lt;&gt;1,"Duplicate source ID",IF(COUNTIFS('Staff Review'!$A$8:$A$507,A2527)&gt;1,"Duplicate review ID",IF(H2527&lt;&gt;"Yes","Outside scope",IF(J2527="Yes","Already served",IF(NOT(ISNUMBER(T2527)),"Missing data","Candidate"))))))</x:f>
      </x:c>
      <x:c r="W2527" s="1" t="str">
        <x:f>IF(AL2527=0,"",1+COUNTIFS($AL$2051:$AL$2550,1,$T$2051:$T$2550,"&gt;"&amp;T2527)+COUNTIFS($AL$2051:$AL$2550,1,$T$2051:$T$2550,T2527,$G$2051:$G$2550,"&gt;"&amp;G2527)+COUNTIFS($AL$2051:$AL$2550,1,$T$2051:$T$2550,T2527,$G$2051:$G$2550,G2527,$F$2051:$F$2550,"&gt;"&amp;F2527)+COUNTIFS($AL$2051:$AL$2550,1,$T$2051:$T$2550,T2527,$G$2051:$G$2550,G2527,$F$2051:$F$2550,F2527,$AM$2051:$AM$2550,"&lt;"&amp;AM2527))</x:f>
      </x:c>
      <x:c r="X2527" s="1" t="str">
        <x:f>IF(AL2527=0,"",1+COUNTIFS($AL$2051:$AL$2550,1,$T$2051:$T$2550,"&gt;"&amp;T2527))</x:f>
      </x:c>
      <x:c r="Y2527" s="1" t="n">
        <x:f>IF(AND(H2527="Yes",OR(LEN('School Search'!$B$5)=0,ISNUMBER(SEARCH('School Search'!$B$5,B2527&amp;" "&amp;E2527&amp;" "&amp;A2527))),OR('School Search'!$D$5="All",C2527='School Search'!$D$5),OR('School Search'!$G$5="All eligible",AND('School Search'!$G$5="Not marked served",J2527&lt;&gt;"Yes"),AND('School Search'!$G$5="Missing data",V2527="Missing data"),AND('School Search'!$G$5="Marked served",J2527="Yes"))),1,0)</x:f>
        <x:v>0</x:v>
      </x:c>
      <x:c r="Z2527" s="1" t="str">
        <x:f>IF(Y2527=0,"",COUNTIFS($Y$2051:$Y$2550,1,$AO$2051:$AO$2550,"&lt;"&amp;AO2527)+COUNTIFS($Y$2051:Y2527,1,$AO$2051:AO2527,AO2527))</x:f>
      </x:c>
      <x:c r="AA2527" s="1" t="str">
        <x:f>IF(NOT(ISNUMBER(S2527)),"Missing demographic or access input",TEXT(G2527,"0%")&amp;" economic need; "&amp;TEXT(K2527,"0.00")&amp;" mi fresh access; "&amp;L2527&amp;" nearby resources")</x:f>
        <x:v>Missing demographic or access input</x:v>
      </x:c>
      <x:c r="AB2527" s="1" t="n">
        <x:f>IF(OR(A2527="",COUNTIFS($A$1531:$A$2030,A2527)&lt;&gt;1),0,MATCH(A2527,$A$1531:$A$2030,0))</x:f>
        <x:v>0</x:v>
      </x:c>
      <x:c r="AC2527" s="1" t="str">
        <x:f>IF(AB2527=0,"",INDEX($E$1531:$E$2030,AB2527))</x:f>
      </x:c>
      <x:c r="AD2527" s="1" t="str">
        <x:f>IF(AB2527=0,"",INDEX($F$1531:$F$2030,AB2527))</x:f>
      </x:c>
      <x:c r="AE2527" s="1" t="str">
        <x:f>IF(A2527="","",F478)</x:f>
      </x:c>
      <x:c r="AF2527" s="1" t="str">
        <x:f>IF(ISNUMBER(I478),I478,"")</x:f>
      </x:c>
      <x:c r="AG2527" s="1" t="str">
        <x:f>IF(ISNUMBER(J478),J478,"")</x:f>
      </x:c>
      <x:c r="AH2527" s="1" t="str">
        <x:f>IF(I2527=0,"Not contacted",IF(INDEX('Staff Review'!$J$8:$J$507,I2527)="","Not contacted",INDEX('Staff Review'!$J$8:$J$507,I2527)))</x:f>
        <x:v>Not contacted</x:v>
      </x:c>
      <x:c r="AI2527" s="1" t="str">
        <x:f>IF(I2527=0,"No",IF(AND(COUNT(INDEX('Staff Review'!$D$8:$D$507,I2527))=1,INDEX('Staff Review'!$D$8:$D$507,I2527)&gt;=0,COUNT(INDEX('Staff Review'!$E$8:$E$507,I2527))=1,INDEX('Staff Review'!$E$8:$E$507,I2527)&gt;0,INDEX('Staff Review'!$E$8:$E$507,I2527)&lt;='Top 15'!$E$5,'Top 15'!$E$5-INDEX('Staff Review'!$E$8:$E$507,I2527)&lt;='Top 15'!$H$5,LEN(INDEX('Staff Review'!$H$8:$H$507,I2527))&gt;0),"Yes","No"))</x:f>
        <x:v>No</x:v>
      </x:c>
      <x:c r="AJ2527" s="1" t="str">
        <x:f>IF(I2527=0,"No",IF(COUNT(INDEX('Staff Review'!$F$8:$F$507,I2527))&lt;&gt;1,"No",IF(AND(INDEX('Staff Review'!$F$8:$F$507,I2527)&gt;=0,MOD(INDEX('Staff Review'!$F$8:$F$507,I2527),1)=0,COUNT(INDEX('Staff Review'!$G$8:$G$507,I2527))=1,INDEX('Staff Review'!$G$8:$G$507,I2527)&gt;0,INDEX('Staff Review'!$G$8:$G$507,I2527)&lt;='Top 15'!$E$5,'Top 15'!$E$5-INDEX('Staff Review'!$G$8:$G$507,I2527)&lt;='Top 15'!$H$5,LEN(INDEX('Staff Review'!$H$8:$H$507,I2527))&gt;0),"Yes","No")))</x:f>
        <x:v>No</x:v>
      </x:c>
      <x:c r="AK2527" s="1" t="n">
        <x:f>IF(A2527="",0,COUNTIFS($A$2:$A$501,A2527))</x:f>
        <x:v>0</x:v>
      </x:c>
      <x:c r="AL2527" s="1" t="n">
        <x:f>IF(V2527="Candidate",1,0)</x:f>
        <x:v>0</x:v>
      </x:c>
      <x:c r="AM2527" s="1" t="n">
        <x:f>IF(A2527="",0,VALUE(A2527))</x:f>
        <x:v>0</x:v>
      </x:c>
      <x:c r="AN2527" s="1" t="n">
        <x:f>IF(OR(A2527="",COUNTIFS($T$41:$T$540,A2527)&lt;&gt;1),0,MATCH(A2527,$T$41:$T$540,0))</x:f>
        <x:v>0</x:v>
      </x:c>
      <x:c r="AO2527" t="n">
        <x:f>IF(ISNUMBER(W2527),W2527,10000+AM2527)</x:f>
        <x:v>10000</x:v>
      </x:c>
    </x:row>
    <x:row r="2528" ht="22" customHeight="1">
      <x:c r="A2528" s="1" t="str">
        <x:f>IF(A479="","",A479)</x:f>
      </x:c>
      <x:c r="B2528" s="1" t="str">
        <x:f>IF(A2528="","",B479)</x:f>
      </x:c>
      <x:c r="C2528" s="1" t="str">
        <x:f>IF(A2528="","",C479)</x:f>
      </x:c>
      <x:c r="D2528" s="1" t="str">
        <x:f>IF(A2528="","",E479)</x:f>
      </x:c>
      <x:c r="E2528" s="1" t="str">
        <x:f>IF(A2528="","",H479)</x:f>
      </x:c>
      <x:c r="F2528" s="1" t="str">
        <x:f>IF(ISNUMBER(K479),K479,"")</x:f>
      </x:c>
      <x:c r="G2528" s="1" t="str">
        <x:f>IF(ISNUMBER(L479),L479,"")</x:f>
      </x:c>
      <x:c r="H2528" s="1" t="str">
        <x:f>IF(A2528="","",IF(AND(UPPER(G479)="PHILADELPHIA",OR(C2528="District",AND(C2528="Charter",D479="Yes"))),"Yes","No"))</x:f>
      </x:c>
      <x:c r="I2528" s="1" t="n">
        <x:f>IF(OR(A2528="",COUNTIFS('Staff Review'!$A$8:$A$507,A2528)&lt;&gt;1),0,MATCH(A2528,'Staff Review'!$A$8:$A$507,0))</x:f>
        <x:v>0</x:v>
      </x:c>
      <x:c r="J2528" s="1" t="str">
        <x:f>IF(I2528=0,"No",IF(INDEX('Staff Review'!$C$8:$C$507,I2528)="Yes","Yes","No"))</x:f>
        <x:v>No</x:v>
      </x:c>
      <x:c r="K2528" s="1" t="str">
        <x:f>IF(AI2528="Yes",INDEX('Staff Review'!$D$8:$D$507,I2528),IF(AB2528=0,"",IF(COUNT(INDEX($C$1531:$C$2030,AB2528))=1,INDEX($C$1531:$C$2030,AB2528),"")))</x:f>
      </x:c>
      <x:c r="L2528" s="1" t="str">
        <x:f>IF(AJ2528="Yes",INDEX('Staff Review'!$F$8:$F$507,I2528),IF(AB2528=0,"",IF(COUNT(INDEX($G$1531:$G$2030,AB2528))=1,INDEX($G$1531:$G$2030,AB2528),"")))</x:f>
      </x:c>
      <x:c r="M2528" s="1" t="str">
        <x:f>IF(A2528="","",IF(AI2528="Yes","Verified","Listed"))</x:f>
      </x:c>
      <x:c r="N2528" s="1" t="str">
        <x:f>IF(A2528="","",IF(AJ2528="Yes","Verified","Listed"))</x:f>
      </x:c>
      <x:c r="O2528" s="1" t="str">
        <x:f>IF(AND(ISNUMBER(G2528),G2528&gt;=0,G2528&lt;=1),IF(G2528&gt;=0.9,30,IF(G2528&gt;=0.8,25,IF(G2528&gt;=0.7,20,IF(G2528&gt;=0.6,15,IF(G2528&gt;=0.5,10,IF(G2528&gt;=0.4,5,0)))))),"")</x:f>
      </x:c>
      <x:c r="P2528" s="1" t="str">
        <x:f>IF(ISNUMBER(K2528),IF(K2528&lt;0,"",IF(K2528&gt;1,25,IF(K2528&gt;=0.75,20,IF(K2528&gt;=0.5,15,IF(K2528&gt;=0.25,10,5))))),"")</x:f>
      </x:c>
      <x:c r="Q2528" s="1" t="str">
        <x:f>IF(NOT(ISNUMBER(L2528)),"",IF(AND(L2528&gt;=0,MOD(L2528,1)=0),MAX(0,25-5*L2528),""))</x:f>
      </x:c>
      <x:c r="R2528" s="1" t="str">
        <x:f>IF(NOT(ISNUMBER(F2528)),"",IF(AND(F2528&gt;0,MOD(F2528,1)=0),IF(F2528&gt;=700,5,IF(F2528&gt;=500,4,IF(F2528&gt;=350,3,IF(F2528&gt;=200,2,1)))),""))</x:f>
      </x:c>
      <x:c r="S2528" s="1" t="str">
        <x:f>IF(COUNT(O2528:R2528)=4,SUM(O2528:R2528),"")</x:f>
      </x:c>
      <x:c r="T2528" s="1" t="str">
        <x:f>IF(OR(COUNT(O2528:R2528)&lt;&gt;4,COUNT('Top 15'!$B$35:$E$35)&lt;&gt;4,MIN('Top 15'!$B$35:$E$35)&lt;0,SUM('Top 15'!$B$35:$E$35)&lt;=0),"",ROUND(85*(O2528/30*'Top 15'!$B$35+P2528/25*'Top 15'!$C$35+Q2528/25*'Top 15'!$D$35+R2528/5*'Top 15'!$E$35)/SUM('Top 15'!$B$35:$E$35),6))</x:f>
      </x:c>
      <x:c r="U2528" s="1" t="str">
        <x:f>IF(A2528="","",IF(AND(M2528="Verified",N2528="Verified"),"Verified",IF(AND(M2528="Listed",N2528="Listed"),"Listed","Mixed")))</x:f>
      </x:c>
      <x:c r="V2528" s="1" t="str">
        <x:f>IF(A2528="","",IF(AK2528&lt;&gt;1,"Duplicate source ID",IF(COUNTIFS('Staff Review'!$A$8:$A$507,A2528)&gt;1,"Duplicate review ID",IF(H2528&lt;&gt;"Yes","Outside scope",IF(J2528="Yes","Already served",IF(NOT(ISNUMBER(T2528)),"Missing data","Candidate"))))))</x:f>
      </x:c>
      <x:c r="W2528" s="1" t="str">
        <x:f>IF(AL2528=0,"",1+COUNTIFS($AL$2051:$AL$2550,1,$T$2051:$T$2550,"&gt;"&amp;T2528)+COUNTIFS($AL$2051:$AL$2550,1,$T$2051:$T$2550,T2528,$G$2051:$G$2550,"&gt;"&amp;G2528)+COUNTIFS($AL$2051:$AL$2550,1,$T$2051:$T$2550,T2528,$G$2051:$G$2550,G2528,$F$2051:$F$2550,"&gt;"&amp;F2528)+COUNTIFS($AL$2051:$AL$2550,1,$T$2051:$T$2550,T2528,$G$2051:$G$2550,G2528,$F$2051:$F$2550,F2528,$AM$2051:$AM$2550,"&lt;"&amp;AM2528))</x:f>
      </x:c>
      <x:c r="X2528" s="1" t="str">
        <x:f>IF(AL2528=0,"",1+COUNTIFS($AL$2051:$AL$2550,1,$T$2051:$T$2550,"&gt;"&amp;T2528))</x:f>
      </x:c>
      <x:c r="Y2528" s="1" t="n">
        <x:f>IF(AND(H2528="Yes",OR(LEN('School Search'!$B$5)=0,ISNUMBER(SEARCH('School Search'!$B$5,B2528&amp;" "&amp;E2528&amp;" "&amp;A2528))),OR('School Search'!$D$5="All",C2528='School Search'!$D$5),OR('School Search'!$G$5="All eligible",AND('School Search'!$G$5="Not marked served",J2528&lt;&gt;"Yes"),AND('School Search'!$G$5="Missing data",V2528="Missing data"),AND('School Search'!$G$5="Marked served",J2528="Yes"))),1,0)</x:f>
        <x:v>0</x:v>
      </x:c>
      <x:c r="Z2528" s="1" t="str">
        <x:f>IF(Y2528=0,"",COUNTIFS($Y$2051:$Y$2550,1,$AO$2051:$AO$2550,"&lt;"&amp;AO2528)+COUNTIFS($Y$2051:Y2528,1,$AO$2051:AO2528,AO2528))</x:f>
      </x:c>
      <x:c r="AA2528" s="1" t="str">
        <x:f>IF(NOT(ISNUMBER(S2528)),"Missing demographic or access input",TEXT(G2528,"0%")&amp;" economic need; "&amp;TEXT(K2528,"0.00")&amp;" mi fresh access; "&amp;L2528&amp;" nearby resources")</x:f>
        <x:v>Missing demographic or access input</x:v>
      </x:c>
      <x:c r="AB2528" s="1" t="n">
        <x:f>IF(OR(A2528="",COUNTIFS($A$1531:$A$2030,A2528)&lt;&gt;1),0,MATCH(A2528,$A$1531:$A$2030,0))</x:f>
        <x:v>0</x:v>
      </x:c>
      <x:c r="AC2528" s="1" t="str">
        <x:f>IF(AB2528=0,"",INDEX($E$1531:$E$2030,AB2528))</x:f>
      </x:c>
      <x:c r="AD2528" s="1" t="str">
        <x:f>IF(AB2528=0,"",INDEX($F$1531:$F$2030,AB2528))</x:f>
      </x:c>
      <x:c r="AE2528" s="1" t="str">
        <x:f>IF(A2528="","",F479)</x:f>
      </x:c>
      <x:c r="AF2528" s="1" t="str">
        <x:f>IF(ISNUMBER(I479),I479,"")</x:f>
      </x:c>
      <x:c r="AG2528" s="1" t="str">
        <x:f>IF(ISNUMBER(J479),J479,"")</x:f>
      </x:c>
      <x:c r="AH2528" s="1" t="str">
        <x:f>IF(I2528=0,"Not contacted",IF(INDEX('Staff Review'!$J$8:$J$507,I2528)="","Not contacted",INDEX('Staff Review'!$J$8:$J$507,I2528)))</x:f>
        <x:v>Not contacted</x:v>
      </x:c>
      <x:c r="AI2528" s="1" t="str">
        <x:f>IF(I2528=0,"No",IF(AND(COUNT(INDEX('Staff Review'!$D$8:$D$507,I2528))=1,INDEX('Staff Review'!$D$8:$D$507,I2528)&gt;=0,COUNT(INDEX('Staff Review'!$E$8:$E$507,I2528))=1,INDEX('Staff Review'!$E$8:$E$507,I2528)&gt;0,INDEX('Staff Review'!$E$8:$E$507,I2528)&lt;='Top 15'!$E$5,'Top 15'!$E$5-INDEX('Staff Review'!$E$8:$E$507,I2528)&lt;='Top 15'!$H$5,LEN(INDEX('Staff Review'!$H$8:$H$507,I2528))&gt;0),"Yes","No"))</x:f>
        <x:v>No</x:v>
      </x:c>
      <x:c r="AJ2528" s="1" t="str">
        <x:f>IF(I2528=0,"No",IF(COUNT(INDEX('Staff Review'!$F$8:$F$507,I2528))&lt;&gt;1,"No",IF(AND(INDEX('Staff Review'!$F$8:$F$507,I2528)&gt;=0,MOD(INDEX('Staff Review'!$F$8:$F$507,I2528),1)=0,COUNT(INDEX('Staff Review'!$G$8:$G$507,I2528))=1,INDEX('Staff Review'!$G$8:$G$507,I2528)&gt;0,INDEX('Staff Review'!$G$8:$G$507,I2528)&lt;='Top 15'!$E$5,'Top 15'!$E$5-INDEX('Staff Review'!$G$8:$G$507,I2528)&lt;='Top 15'!$H$5,LEN(INDEX('Staff Review'!$H$8:$H$507,I2528))&gt;0),"Yes","No")))</x:f>
        <x:v>No</x:v>
      </x:c>
      <x:c r="AK2528" s="1" t="n">
        <x:f>IF(A2528="",0,COUNTIFS($A$2:$A$501,A2528))</x:f>
        <x:v>0</x:v>
      </x:c>
      <x:c r="AL2528" s="1" t="n">
        <x:f>IF(V2528="Candidate",1,0)</x:f>
        <x:v>0</x:v>
      </x:c>
      <x:c r="AM2528" s="1" t="n">
        <x:f>IF(A2528="",0,VALUE(A2528))</x:f>
        <x:v>0</x:v>
      </x:c>
      <x:c r="AN2528" s="1" t="n">
        <x:f>IF(OR(A2528="",COUNTIFS($T$41:$T$540,A2528)&lt;&gt;1),0,MATCH(A2528,$T$41:$T$540,0))</x:f>
        <x:v>0</x:v>
      </x:c>
      <x:c r="AO2528" t="n">
        <x:f>IF(ISNUMBER(W2528),W2528,10000+AM2528)</x:f>
        <x:v>10000</x:v>
      </x:c>
    </x:row>
    <x:row r="2529" ht="22" customHeight="1">
      <x:c r="A2529" s="1" t="str">
        <x:f>IF(A480="","",A480)</x:f>
      </x:c>
      <x:c r="B2529" s="1" t="str">
        <x:f>IF(A2529="","",B480)</x:f>
      </x:c>
      <x:c r="C2529" s="1" t="str">
        <x:f>IF(A2529="","",C480)</x:f>
      </x:c>
      <x:c r="D2529" s="1" t="str">
        <x:f>IF(A2529="","",E480)</x:f>
      </x:c>
      <x:c r="E2529" s="1" t="str">
        <x:f>IF(A2529="","",H480)</x:f>
      </x:c>
      <x:c r="F2529" s="1" t="str">
        <x:f>IF(ISNUMBER(K480),K480,"")</x:f>
      </x:c>
      <x:c r="G2529" s="1" t="str">
        <x:f>IF(ISNUMBER(L480),L480,"")</x:f>
      </x:c>
      <x:c r="H2529" s="1" t="str">
        <x:f>IF(A2529="","",IF(AND(UPPER(G480)="PHILADELPHIA",OR(C2529="District",AND(C2529="Charter",D480="Yes"))),"Yes","No"))</x:f>
      </x:c>
      <x:c r="I2529" s="1" t="n">
        <x:f>IF(OR(A2529="",COUNTIFS('Staff Review'!$A$8:$A$507,A2529)&lt;&gt;1),0,MATCH(A2529,'Staff Review'!$A$8:$A$507,0))</x:f>
        <x:v>0</x:v>
      </x:c>
      <x:c r="J2529" s="1" t="str">
        <x:f>IF(I2529=0,"No",IF(INDEX('Staff Review'!$C$8:$C$507,I2529)="Yes","Yes","No"))</x:f>
        <x:v>No</x:v>
      </x:c>
      <x:c r="K2529" s="1" t="str">
        <x:f>IF(AI2529="Yes",INDEX('Staff Review'!$D$8:$D$507,I2529),IF(AB2529=0,"",IF(COUNT(INDEX($C$1531:$C$2030,AB2529))=1,INDEX($C$1531:$C$2030,AB2529),"")))</x:f>
      </x:c>
      <x:c r="L2529" s="1" t="str">
        <x:f>IF(AJ2529="Yes",INDEX('Staff Review'!$F$8:$F$507,I2529),IF(AB2529=0,"",IF(COUNT(INDEX($G$1531:$G$2030,AB2529))=1,INDEX($G$1531:$G$2030,AB2529),"")))</x:f>
      </x:c>
      <x:c r="M2529" s="1" t="str">
        <x:f>IF(A2529="","",IF(AI2529="Yes","Verified","Listed"))</x:f>
      </x:c>
      <x:c r="N2529" s="1" t="str">
        <x:f>IF(A2529="","",IF(AJ2529="Yes","Verified","Listed"))</x:f>
      </x:c>
      <x:c r="O2529" s="1" t="str">
        <x:f>IF(AND(ISNUMBER(G2529),G2529&gt;=0,G2529&lt;=1),IF(G2529&gt;=0.9,30,IF(G2529&gt;=0.8,25,IF(G2529&gt;=0.7,20,IF(G2529&gt;=0.6,15,IF(G2529&gt;=0.5,10,IF(G2529&gt;=0.4,5,0)))))),"")</x:f>
      </x:c>
      <x:c r="P2529" s="1" t="str">
        <x:f>IF(ISNUMBER(K2529),IF(K2529&lt;0,"",IF(K2529&gt;1,25,IF(K2529&gt;=0.75,20,IF(K2529&gt;=0.5,15,IF(K2529&gt;=0.25,10,5))))),"")</x:f>
      </x:c>
      <x:c r="Q2529" s="1" t="str">
        <x:f>IF(NOT(ISNUMBER(L2529)),"",IF(AND(L2529&gt;=0,MOD(L2529,1)=0),MAX(0,25-5*L2529),""))</x:f>
      </x:c>
      <x:c r="R2529" s="1" t="str">
        <x:f>IF(NOT(ISNUMBER(F2529)),"",IF(AND(F2529&gt;0,MOD(F2529,1)=0),IF(F2529&gt;=700,5,IF(F2529&gt;=500,4,IF(F2529&gt;=350,3,IF(F2529&gt;=200,2,1)))),""))</x:f>
      </x:c>
      <x:c r="S2529" s="1" t="str">
        <x:f>IF(COUNT(O2529:R2529)=4,SUM(O2529:R2529),"")</x:f>
      </x:c>
      <x:c r="T2529" s="1" t="str">
        <x:f>IF(OR(COUNT(O2529:R2529)&lt;&gt;4,COUNT('Top 15'!$B$35:$E$35)&lt;&gt;4,MIN('Top 15'!$B$35:$E$35)&lt;0,SUM('Top 15'!$B$35:$E$35)&lt;=0),"",ROUND(85*(O2529/30*'Top 15'!$B$35+P2529/25*'Top 15'!$C$35+Q2529/25*'Top 15'!$D$35+R2529/5*'Top 15'!$E$35)/SUM('Top 15'!$B$35:$E$35),6))</x:f>
      </x:c>
      <x:c r="U2529" s="1" t="str">
        <x:f>IF(A2529="","",IF(AND(M2529="Verified",N2529="Verified"),"Verified",IF(AND(M2529="Listed",N2529="Listed"),"Listed","Mixed")))</x:f>
      </x:c>
      <x:c r="V2529" s="1" t="str">
        <x:f>IF(A2529="","",IF(AK2529&lt;&gt;1,"Duplicate source ID",IF(COUNTIFS('Staff Review'!$A$8:$A$507,A2529)&gt;1,"Duplicate review ID",IF(H2529&lt;&gt;"Yes","Outside scope",IF(J2529="Yes","Already served",IF(NOT(ISNUMBER(T2529)),"Missing data","Candidate"))))))</x:f>
      </x:c>
      <x:c r="W2529" s="1" t="str">
        <x:f>IF(AL2529=0,"",1+COUNTIFS($AL$2051:$AL$2550,1,$T$2051:$T$2550,"&gt;"&amp;T2529)+COUNTIFS($AL$2051:$AL$2550,1,$T$2051:$T$2550,T2529,$G$2051:$G$2550,"&gt;"&amp;G2529)+COUNTIFS($AL$2051:$AL$2550,1,$T$2051:$T$2550,T2529,$G$2051:$G$2550,G2529,$F$2051:$F$2550,"&gt;"&amp;F2529)+COUNTIFS($AL$2051:$AL$2550,1,$T$2051:$T$2550,T2529,$G$2051:$G$2550,G2529,$F$2051:$F$2550,F2529,$AM$2051:$AM$2550,"&lt;"&amp;AM2529))</x:f>
      </x:c>
      <x:c r="X2529" s="1" t="str">
        <x:f>IF(AL2529=0,"",1+COUNTIFS($AL$2051:$AL$2550,1,$T$2051:$T$2550,"&gt;"&amp;T2529))</x:f>
      </x:c>
      <x:c r="Y2529" s="1" t="n">
        <x:f>IF(AND(H2529="Yes",OR(LEN('School Search'!$B$5)=0,ISNUMBER(SEARCH('School Search'!$B$5,B2529&amp;" "&amp;E2529&amp;" "&amp;A2529))),OR('School Search'!$D$5="All",C2529='School Search'!$D$5),OR('School Search'!$G$5="All eligible",AND('School Search'!$G$5="Not marked served",J2529&lt;&gt;"Yes"),AND('School Search'!$G$5="Missing data",V2529="Missing data"),AND('School Search'!$G$5="Marked served",J2529="Yes"))),1,0)</x:f>
        <x:v>0</x:v>
      </x:c>
      <x:c r="Z2529" s="1" t="str">
        <x:f>IF(Y2529=0,"",COUNTIFS($Y$2051:$Y$2550,1,$AO$2051:$AO$2550,"&lt;"&amp;AO2529)+COUNTIFS($Y$2051:Y2529,1,$AO$2051:AO2529,AO2529))</x:f>
      </x:c>
      <x:c r="AA2529" s="1" t="str">
        <x:f>IF(NOT(ISNUMBER(S2529)),"Missing demographic or access input",TEXT(G2529,"0%")&amp;" economic need; "&amp;TEXT(K2529,"0.00")&amp;" mi fresh access; "&amp;L2529&amp;" nearby resources")</x:f>
        <x:v>Missing demographic or access input</x:v>
      </x:c>
      <x:c r="AB2529" s="1" t="n">
        <x:f>IF(OR(A2529="",COUNTIFS($A$1531:$A$2030,A2529)&lt;&gt;1),0,MATCH(A2529,$A$1531:$A$2030,0))</x:f>
        <x:v>0</x:v>
      </x:c>
      <x:c r="AC2529" s="1" t="str">
        <x:f>IF(AB2529=0,"",INDEX($E$1531:$E$2030,AB2529))</x:f>
      </x:c>
      <x:c r="AD2529" s="1" t="str">
        <x:f>IF(AB2529=0,"",INDEX($F$1531:$F$2030,AB2529))</x:f>
      </x:c>
      <x:c r="AE2529" s="1" t="str">
        <x:f>IF(A2529="","",F480)</x:f>
      </x:c>
      <x:c r="AF2529" s="1" t="str">
        <x:f>IF(ISNUMBER(I480),I480,"")</x:f>
      </x:c>
      <x:c r="AG2529" s="1" t="str">
        <x:f>IF(ISNUMBER(J480),J480,"")</x:f>
      </x:c>
      <x:c r="AH2529" s="1" t="str">
        <x:f>IF(I2529=0,"Not contacted",IF(INDEX('Staff Review'!$J$8:$J$507,I2529)="","Not contacted",INDEX('Staff Review'!$J$8:$J$507,I2529)))</x:f>
        <x:v>Not contacted</x:v>
      </x:c>
      <x:c r="AI2529" s="1" t="str">
        <x:f>IF(I2529=0,"No",IF(AND(COUNT(INDEX('Staff Review'!$D$8:$D$507,I2529))=1,INDEX('Staff Review'!$D$8:$D$507,I2529)&gt;=0,COUNT(INDEX('Staff Review'!$E$8:$E$507,I2529))=1,INDEX('Staff Review'!$E$8:$E$507,I2529)&gt;0,INDEX('Staff Review'!$E$8:$E$507,I2529)&lt;='Top 15'!$E$5,'Top 15'!$E$5-INDEX('Staff Review'!$E$8:$E$507,I2529)&lt;='Top 15'!$H$5,LEN(INDEX('Staff Review'!$H$8:$H$507,I2529))&gt;0),"Yes","No"))</x:f>
        <x:v>No</x:v>
      </x:c>
      <x:c r="AJ2529" s="1" t="str">
        <x:f>IF(I2529=0,"No",IF(COUNT(INDEX('Staff Review'!$F$8:$F$507,I2529))&lt;&gt;1,"No",IF(AND(INDEX('Staff Review'!$F$8:$F$507,I2529)&gt;=0,MOD(INDEX('Staff Review'!$F$8:$F$507,I2529),1)=0,COUNT(INDEX('Staff Review'!$G$8:$G$507,I2529))=1,INDEX('Staff Review'!$G$8:$G$507,I2529)&gt;0,INDEX('Staff Review'!$G$8:$G$507,I2529)&lt;='Top 15'!$E$5,'Top 15'!$E$5-INDEX('Staff Review'!$G$8:$G$507,I2529)&lt;='Top 15'!$H$5,LEN(INDEX('Staff Review'!$H$8:$H$507,I2529))&gt;0),"Yes","No")))</x:f>
        <x:v>No</x:v>
      </x:c>
      <x:c r="AK2529" s="1" t="n">
        <x:f>IF(A2529="",0,COUNTIFS($A$2:$A$501,A2529))</x:f>
        <x:v>0</x:v>
      </x:c>
      <x:c r="AL2529" s="1" t="n">
        <x:f>IF(V2529="Candidate",1,0)</x:f>
        <x:v>0</x:v>
      </x:c>
      <x:c r="AM2529" s="1" t="n">
        <x:f>IF(A2529="",0,VALUE(A2529))</x:f>
        <x:v>0</x:v>
      </x:c>
      <x:c r="AN2529" s="1" t="n">
        <x:f>IF(OR(A2529="",COUNTIFS($T$41:$T$540,A2529)&lt;&gt;1),0,MATCH(A2529,$T$41:$T$540,0))</x:f>
        <x:v>0</x:v>
      </x:c>
      <x:c r="AO2529" t="n">
        <x:f>IF(ISNUMBER(W2529),W2529,10000+AM2529)</x:f>
        <x:v>10000</x:v>
      </x:c>
    </x:row>
    <x:row r="2530" ht="22" customHeight="1">
      <x:c r="A2530" s="1" t="str">
        <x:f>IF(A481="","",A481)</x:f>
      </x:c>
      <x:c r="B2530" s="1" t="str">
        <x:f>IF(A2530="","",B481)</x:f>
      </x:c>
      <x:c r="C2530" s="1" t="str">
        <x:f>IF(A2530="","",C481)</x:f>
      </x:c>
      <x:c r="D2530" s="1" t="str">
        <x:f>IF(A2530="","",E481)</x:f>
      </x:c>
      <x:c r="E2530" s="1" t="str">
        <x:f>IF(A2530="","",H481)</x:f>
      </x:c>
      <x:c r="F2530" s="1" t="str">
        <x:f>IF(ISNUMBER(K481),K481,"")</x:f>
      </x:c>
      <x:c r="G2530" s="1" t="str">
        <x:f>IF(ISNUMBER(L481),L481,"")</x:f>
      </x:c>
      <x:c r="H2530" s="1" t="str">
        <x:f>IF(A2530="","",IF(AND(UPPER(G481)="PHILADELPHIA",OR(C2530="District",AND(C2530="Charter",D481="Yes"))),"Yes","No"))</x:f>
      </x:c>
      <x:c r="I2530" s="1" t="n">
        <x:f>IF(OR(A2530="",COUNTIFS('Staff Review'!$A$8:$A$507,A2530)&lt;&gt;1),0,MATCH(A2530,'Staff Review'!$A$8:$A$507,0))</x:f>
        <x:v>0</x:v>
      </x:c>
      <x:c r="J2530" s="1" t="str">
        <x:f>IF(I2530=0,"No",IF(INDEX('Staff Review'!$C$8:$C$507,I2530)="Yes","Yes","No"))</x:f>
        <x:v>No</x:v>
      </x:c>
      <x:c r="K2530" s="1" t="str">
        <x:f>IF(AI2530="Yes",INDEX('Staff Review'!$D$8:$D$507,I2530),IF(AB2530=0,"",IF(COUNT(INDEX($C$1531:$C$2030,AB2530))=1,INDEX($C$1531:$C$2030,AB2530),"")))</x:f>
      </x:c>
      <x:c r="L2530" s="1" t="str">
        <x:f>IF(AJ2530="Yes",INDEX('Staff Review'!$F$8:$F$507,I2530),IF(AB2530=0,"",IF(COUNT(INDEX($G$1531:$G$2030,AB2530))=1,INDEX($G$1531:$G$2030,AB2530),"")))</x:f>
      </x:c>
      <x:c r="M2530" s="1" t="str">
        <x:f>IF(A2530="","",IF(AI2530="Yes","Verified","Listed"))</x:f>
      </x:c>
      <x:c r="N2530" s="1" t="str">
        <x:f>IF(A2530="","",IF(AJ2530="Yes","Verified","Listed"))</x:f>
      </x:c>
      <x:c r="O2530" s="1" t="str">
        <x:f>IF(AND(ISNUMBER(G2530),G2530&gt;=0,G2530&lt;=1),IF(G2530&gt;=0.9,30,IF(G2530&gt;=0.8,25,IF(G2530&gt;=0.7,20,IF(G2530&gt;=0.6,15,IF(G2530&gt;=0.5,10,IF(G2530&gt;=0.4,5,0)))))),"")</x:f>
      </x:c>
      <x:c r="P2530" s="1" t="str">
        <x:f>IF(ISNUMBER(K2530),IF(K2530&lt;0,"",IF(K2530&gt;1,25,IF(K2530&gt;=0.75,20,IF(K2530&gt;=0.5,15,IF(K2530&gt;=0.25,10,5))))),"")</x:f>
      </x:c>
      <x:c r="Q2530" s="1" t="str">
        <x:f>IF(NOT(ISNUMBER(L2530)),"",IF(AND(L2530&gt;=0,MOD(L2530,1)=0),MAX(0,25-5*L2530),""))</x:f>
      </x:c>
      <x:c r="R2530" s="1" t="str">
        <x:f>IF(NOT(ISNUMBER(F2530)),"",IF(AND(F2530&gt;0,MOD(F2530,1)=0),IF(F2530&gt;=700,5,IF(F2530&gt;=500,4,IF(F2530&gt;=350,3,IF(F2530&gt;=200,2,1)))),""))</x:f>
      </x:c>
      <x:c r="S2530" s="1" t="str">
        <x:f>IF(COUNT(O2530:R2530)=4,SUM(O2530:R2530),"")</x:f>
      </x:c>
      <x:c r="T2530" s="1" t="str">
        <x:f>IF(OR(COUNT(O2530:R2530)&lt;&gt;4,COUNT('Top 15'!$B$35:$E$35)&lt;&gt;4,MIN('Top 15'!$B$35:$E$35)&lt;0,SUM('Top 15'!$B$35:$E$35)&lt;=0),"",ROUND(85*(O2530/30*'Top 15'!$B$35+P2530/25*'Top 15'!$C$35+Q2530/25*'Top 15'!$D$35+R2530/5*'Top 15'!$E$35)/SUM('Top 15'!$B$35:$E$35),6))</x:f>
      </x:c>
      <x:c r="U2530" s="1" t="str">
        <x:f>IF(A2530="","",IF(AND(M2530="Verified",N2530="Verified"),"Verified",IF(AND(M2530="Listed",N2530="Listed"),"Listed","Mixed")))</x:f>
      </x:c>
      <x:c r="V2530" s="1" t="str">
        <x:f>IF(A2530="","",IF(AK2530&lt;&gt;1,"Duplicate source ID",IF(COUNTIFS('Staff Review'!$A$8:$A$507,A2530)&gt;1,"Duplicate review ID",IF(H2530&lt;&gt;"Yes","Outside scope",IF(J2530="Yes","Already served",IF(NOT(ISNUMBER(T2530)),"Missing data","Candidate"))))))</x:f>
      </x:c>
      <x:c r="W2530" s="1" t="str">
        <x:f>IF(AL2530=0,"",1+COUNTIFS($AL$2051:$AL$2550,1,$T$2051:$T$2550,"&gt;"&amp;T2530)+COUNTIFS($AL$2051:$AL$2550,1,$T$2051:$T$2550,T2530,$G$2051:$G$2550,"&gt;"&amp;G2530)+COUNTIFS($AL$2051:$AL$2550,1,$T$2051:$T$2550,T2530,$G$2051:$G$2550,G2530,$F$2051:$F$2550,"&gt;"&amp;F2530)+COUNTIFS($AL$2051:$AL$2550,1,$T$2051:$T$2550,T2530,$G$2051:$G$2550,G2530,$F$2051:$F$2550,F2530,$AM$2051:$AM$2550,"&lt;"&amp;AM2530))</x:f>
      </x:c>
      <x:c r="X2530" s="1" t="str">
        <x:f>IF(AL2530=0,"",1+COUNTIFS($AL$2051:$AL$2550,1,$T$2051:$T$2550,"&gt;"&amp;T2530))</x:f>
      </x:c>
      <x:c r="Y2530" s="1" t="n">
        <x:f>IF(AND(H2530="Yes",OR(LEN('School Search'!$B$5)=0,ISNUMBER(SEARCH('School Search'!$B$5,B2530&amp;" "&amp;E2530&amp;" "&amp;A2530))),OR('School Search'!$D$5="All",C2530='School Search'!$D$5),OR('School Search'!$G$5="All eligible",AND('School Search'!$G$5="Not marked served",J2530&lt;&gt;"Yes"),AND('School Search'!$G$5="Missing data",V2530="Missing data"),AND('School Search'!$G$5="Marked served",J2530="Yes"))),1,0)</x:f>
        <x:v>0</x:v>
      </x:c>
      <x:c r="Z2530" s="1" t="str">
        <x:f>IF(Y2530=0,"",COUNTIFS($Y$2051:$Y$2550,1,$AO$2051:$AO$2550,"&lt;"&amp;AO2530)+COUNTIFS($Y$2051:Y2530,1,$AO$2051:AO2530,AO2530))</x:f>
      </x:c>
      <x:c r="AA2530" s="1" t="str">
        <x:f>IF(NOT(ISNUMBER(S2530)),"Missing demographic or access input",TEXT(G2530,"0%")&amp;" economic need; "&amp;TEXT(K2530,"0.00")&amp;" mi fresh access; "&amp;L2530&amp;" nearby resources")</x:f>
        <x:v>Missing demographic or access input</x:v>
      </x:c>
      <x:c r="AB2530" s="1" t="n">
        <x:f>IF(OR(A2530="",COUNTIFS($A$1531:$A$2030,A2530)&lt;&gt;1),0,MATCH(A2530,$A$1531:$A$2030,0))</x:f>
        <x:v>0</x:v>
      </x:c>
      <x:c r="AC2530" s="1" t="str">
        <x:f>IF(AB2530=0,"",INDEX($E$1531:$E$2030,AB2530))</x:f>
      </x:c>
      <x:c r="AD2530" s="1" t="str">
        <x:f>IF(AB2530=0,"",INDEX($F$1531:$F$2030,AB2530))</x:f>
      </x:c>
      <x:c r="AE2530" s="1" t="str">
        <x:f>IF(A2530="","",F481)</x:f>
      </x:c>
      <x:c r="AF2530" s="1" t="str">
        <x:f>IF(ISNUMBER(I481),I481,"")</x:f>
      </x:c>
      <x:c r="AG2530" s="1" t="str">
        <x:f>IF(ISNUMBER(J481),J481,"")</x:f>
      </x:c>
      <x:c r="AH2530" s="1" t="str">
        <x:f>IF(I2530=0,"Not contacted",IF(INDEX('Staff Review'!$J$8:$J$507,I2530)="","Not contacted",INDEX('Staff Review'!$J$8:$J$507,I2530)))</x:f>
        <x:v>Not contacted</x:v>
      </x:c>
      <x:c r="AI2530" s="1" t="str">
        <x:f>IF(I2530=0,"No",IF(AND(COUNT(INDEX('Staff Review'!$D$8:$D$507,I2530))=1,INDEX('Staff Review'!$D$8:$D$507,I2530)&gt;=0,COUNT(INDEX('Staff Review'!$E$8:$E$507,I2530))=1,INDEX('Staff Review'!$E$8:$E$507,I2530)&gt;0,INDEX('Staff Review'!$E$8:$E$507,I2530)&lt;='Top 15'!$E$5,'Top 15'!$E$5-INDEX('Staff Review'!$E$8:$E$507,I2530)&lt;='Top 15'!$H$5,LEN(INDEX('Staff Review'!$H$8:$H$507,I2530))&gt;0),"Yes","No"))</x:f>
        <x:v>No</x:v>
      </x:c>
      <x:c r="AJ2530" s="1" t="str">
        <x:f>IF(I2530=0,"No",IF(COUNT(INDEX('Staff Review'!$F$8:$F$507,I2530))&lt;&gt;1,"No",IF(AND(INDEX('Staff Review'!$F$8:$F$507,I2530)&gt;=0,MOD(INDEX('Staff Review'!$F$8:$F$507,I2530),1)=0,COUNT(INDEX('Staff Review'!$G$8:$G$507,I2530))=1,INDEX('Staff Review'!$G$8:$G$507,I2530)&gt;0,INDEX('Staff Review'!$G$8:$G$507,I2530)&lt;='Top 15'!$E$5,'Top 15'!$E$5-INDEX('Staff Review'!$G$8:$G$507,I2530)&lt;='Top 15'!$H$5,LEN(INDEX('Staff Review'!$H$8:$H$507,I2530))&gt;0),"Yes","No")))</x:f>
        <x:v>No</x:v>
      </x:c>
      <x:c r="AK2530" s="1" t="n">
        <x:f>IF(A2530="",0,COUNTIFS($A$2:$A$501,A2530))</x:f>
        <x:v>0</x:v>
      </x:c>
      <x:c r="AL2530" s="1" t="n">
        <x:f>IF(V2530="Candidate",1,0)</x:f>
        <x:v>0</x:v>
      </x:c>
      <x:c r="AM2530" s="1" t="n">
        <x:f>IF(A2530="",0,VALUE(A2530))</x:f>
        <x:v>0</x:v>
      </x:c>
      <x:c r="AN2530" s="1" t="n">
        <x:f>IF(OR(A2530="",COUNTIFS($T$41:$T$540,A2530)&lt;&gt;1),0,MATCH(A2530,$T$41:$T$540,0))</x:f>
        <x:v>0</x:v>
      </x:c>
      <x:c r="AO2530" t="n">
        <x:f>IF(ISNUMBER(W2530),W2530,10000+AM2530)</x:f>
        <x:v>10000</x:v>
      </x:c>
    </x:row>
    <x:row r="2531" ht="22" customHeight="1">
      <x:c r="A2531" s="1" t="str">
        <x:f>IF(A482="","",A482)</x:f>
      </x:c>
      <x:c r="B2531" s="1" t="str">
        <x:f>IF(A2531="","",B482)</x:f>
      </x:c>
      <x:c r="C2531" s="1" t="str">
        <x:f>IF(A2531="","",C482)</x:f>
      </x:c>
      <x:c r="D2531" s="1" t="str">
        <x:f>IF(A2531="","",E482)</x:f>
      </x:c>
      <x:c r="E2531" s="1" t="str">
        <x:f>IF(A2531="","",H482)</x:f>
      </x:c>
      <x:c r="F2531" s="1" t="str">
        <x:f>IF(ISNUMBER(K482),K482,"")</x:f>
      </x:c>
      <x:c r="G2531" s="1" t="str">
        <x:f>IF(ISNUMBER(L482),L482,"")</x:f>
      </x:c>
      <x:c r="H2531" s="1" t="str">
        <x:f>IF(A2531="","",IF(AND(UPPER(G482)="PHILADELPHIA",OR(C2531="District",AND(C2531="Charter",D482="Yes"))),"Yes","No"))</x:f>
      </x:c>
      <x:c r="I2531" s="1" t="n">
        <x:f>IF(OR(A2531="",COUNTIFS('Staff Review'!$A$8:$A$507,A2531)&lt;&gt;1),0,MATCH(A2531,'Staff Review'!$A$8:$A$507,0))</x:f>
        <x:v>0</x:v>
      </x:c>
      <x:c r="J2531" s="1" t="str">
        <x:f>IF(I2531=0,"No",IF(INDEX('Staff Review'!$C$8:$C$507,I2531)="Yes","Yes","No"))</x:f>
        <x:v>No</x:v>
      </x:c>
      <x:c r="K2531" s="1" t="str">
        <x:f>IF(AI2531="Yes",INDEX('Staff Review'!$D$8:$D$507,I2531),IF(AB2531=0,"",IF(COUNT(INDEX($C$1531:$C$2030,AB2531))=1,INDEX($C$1531:$C$2030,AB2531),"")))</x:f>
      </x:c>
      <x:c r="L2531" s="1" t="str">
        <x:f>IF(AJ2531="Yes",INDEX('Staff Review'!$F$8:$F$507,I2531),IF(AB2531=0,"",IF(COUNT(INDEX($G$1531:$G$2030,AB2531))=1,INDEX($G$1531:$G$2030,AB2531),"")))</x:f>
      </x:c>
      <x:c r="M2531" s="1" t="str">
        <x:f>IF(A2531="","",IF(AI2531="Yes","Verified","Listed"))</x:f>
      </x:c>
      <x:c r="N2531" s="1" t="str">
        <x:f>IF(A2531="","",IF(AJ2531="Yes","Verified","Listed"))</x:f>
      </x:c>
      <x:c r="O2531" s="1" t="str">
        <x:f>IF(AND(ISNUMBER(G2531),G2531&gt;=0,G2531&lt;=1),IF(G2531&gt;=0.9,30,IF(G2531&gt;=0.8,25,IF(G2531&gt;=0.7,20,IF(G2531&gt;=0.6,15,IF(G2531&gt;=0.5,10,IF(G2531&gt;=0.4,5,0)))))),"")</x:f>
      </x:c>
      <x:c r="P2531" s="1" t="str">
        <x:f>IF(ISNUMBER(K2531),IF(K2531&lt;0,"",IF(K2531&gt;1,25,IF(K2531&gt;=0.75,20,IF(K2531&gt;=0.5,15,IF(K2531&gt;=0.25,10,5))))),"")</x:f>
      </x:c>
      <x:c r="Q2531" s="1" t="str">
        <x:f>IF(NOT(ISNUMBER(L2531)),"",IF(AND(L2531&gt;=0,MOD(L2531,1)=0),MAX(0,25-5*L2531),""))</x:f>
      </x:c>
      <x:c r="R2531" s="1" t="str">
        <x:f>IF(NOT(ISNUMBER(F2531)),"",IF(AND(F2531&gt;0,MOD(F2531,1)=0),IF(F2531&gt;=700,5,IF(F2531&gt;=500,4,IF(F2531&gt;=350,3,IF(F2531&gt;=200,2,1)))),""))</x:f>
      </x:c>
      <x:c r="S2531" s="1" t="str">
        <x:f>IF(COUNT(O2531:R2531)=4,SUM(O2531:R2531),"")</x:f>
      </x:c>
      <x:c r="T2531" s="1" t="str">
        <x:f>IF(OR(COUNT(O2531:R2531)&lt;&gt;4,COUNT('Top 15'!$B$35:$E$35)&lt;&gt;4,MIN('Top 15'!$B$35:$E$35)&lt;0,SUM('Top 15'!$B$35:$E$35)&lt;=0),"",ROUND(85*(O2531/30*'Top 15'!$B$35+P2531/25*'Top 15'!$C$35+Q2531/25*'Top 15'!$D$35+R2531/5*'Top 15'!$E$35)/SUM('Top 15'!$B$35:$E$35),6))</x:f>
      </x:c>
      <x:c r="U2531" s="1" t="str">
        <x:f>IF(A2531="","",IF(AND(M2531="Verified",N2531="Verified"),"Verified",IF(AND(M2531="Listed",N2531="Listed"),"Listed","Mixed")))</x:f>
      </x:c>
      <x:c r="V2531" s="1" t="str">
        <x:f>IF(A2531="","",IF(AK2531&lt;&gt;1,"Duplicate source ID",IF(COUNTIFS('Staff Review'!$A$8:$A$507,A2531)&gt;1,"Duplicate review ID",IF(H2531&lt;&gt;"Yes","Outside scope",IF(J2531="Yes","Already served",IF(NOT(ISNUMBER(T2531)),"Missing data","Candidate"))))))</x:f>
      </x:c>
      <x:c r="W2531" s="1" t="str">
        <x:f>IF(AL2531=0,"",1+COUNTIFS($AL$2051:$AL$2550,1,$T$2051:$T$2550,"&gt;"&amp;T2531)+COUNTIFS($AL$2051:$AL$2550,1,$T$2051:$T$2550,T2531,$G$2051:$G$2550,"&gt;"&amp;G2531)+COUNTIFS($AL$2051:$AL$2550,1,$T$2051:$T$2550,T2531,$G$2051:$G$2550,G2531,$F$2051:$F$2550,"&gt;"&amp;F2531)+COUNTIFS($AL$2051:$AL$2550,1,$T$2051:$T$2550,T2531,$G$2051:$G$2550,G2531,$F$2051:$F$2550,F2531,$AM$2051:$AM$2550,"&lt;"&amp;AM2531))</x:f>
      </x:c>
      <x:c r="X2531" s="1" t="str">
        <x:f>IF(AL2531=0,"",1+COUNTIFS($AL$2051:$AL$2550,1,$T$2051:$T$2550,"&gt;"&amp;T2531))</x:f>
      </x:c>
      <x:c r="Y2531" s="1" t="n">
        <x:f>IF(AND(H2531="Yes",OR(LEN('School Search'!$B$5)=0,ISNUMBER(SEARCH('School Search'!$B$5,B2531&amp;" "&amp;E2531&amp;" "&amp;A2531))),OR('School Search'!$D$5="All",C2531='School Search'!$D$5),OR('School Search'!$G$5="All eligible",AND('School Search'!$G$5="Not marked served",J2531&lt;&gt;"Yes"),AND('School Search'!$G$5="Missing data",V2531="Missing data"),AND('School Search'!$G$5="Marked served",J2531="Yes"))),1,0)</x:f>
        <x:v>0</x:v>
      </x:c>
      <x:c r="Z2531" s="1" t="str">
        <x:f>IF(Y2531=0,"",COUNTIFS($Y$2051:$Y$2550,1,$AO$2051:$AO$2550,"&lt;"&amp;AO2531)+COUNTIFS($Y$2051:Y2531,1,$AO$2051:AO2531,AO2531))</x:f>
      </x:c>
      <x:c r="AA2531" s="1" t="str">
        <x:f>IF(NOT(ISNUMBER(S2531)),"Missing demographic or access input",TEXT(G2531,"0%")&amp;" economic need; "&amp;TEXT(K2531,"0.00")&amp;" mi fresh access; "&amp;L2531&amp;" nearby resources")</x:f>
        <x:v>Missing demographic or access input</x:v>
      </x:c>
      <x:c r="AB2531" s="1" t="n">
        <x:f>IF(OR(A2531="",COUNTIFS($A$1531:$A$2030,A2531)&lt;&gt;1),0,MATCH(A2531,$A$1531:$A$2030,0))</x:f>
        <x:v>0</x:v>
      </x:c>
      <x:c r="AC2531" s="1" t="str">
        <x:f>IF(AB2531=0,"",INDEX($E$1531:$E$2030,AB2531))</x:f>
      </x:c>
      <x:c r="AD2531" s="1" t="str">
        <x:f>IF(AB2531=0,"",INDEX($F$1531:$F$2030,AB2531))</x:f>
      </x:c>
      <x:c r="AE2531" s="1" t="str">
        <x:f>IF(A2531="","",F482)</x:f>
      </x:c>
      <x:c r="AF2531" s="1" t="str">
        <x:f>IF(ISNUMBER(I482),I482,"")</x:f>
      </x:c>
      <x:c r="AG2531" s="1" t="str">
        <x:f>IF(ISNUMBER(J482),J482,"")</x:f>
      </x:c>
      <x:c r="AH2531" s="1" t="str">
        <x:f>IF(I2531=0,"Not contacted",IF(INDEX('Staff Review'!$J$8:$J$507,I2531)="","Not contacted",INDEX('Staff Review'!$J$8:$J$507,I2531)))</x:f>
        <x:v>Not contacted</x:v>
      </x:c>
      <x:c r="AI2531" s="1" t="str">
        <x:f>IF(I2531=0,"No",IF(AND(COUNT(INDEX('Staff Review'!$D$8:$D$507,I2531))=1,INDEX('Staff Review'!$D$8:$D$507,I2531)&gt;=0,COUNT(INDEX('Staff Review'!$E$8:$E$507,I2531))=1,INDEX('Staff Review'!$E$8:$E$507,I2531)&gt;0,INDEX('Staff Review'!$E$8:$E$507,I2531)&lt;='Top 15'!$E$5,'Top 15'!$E$5-INDEX('Staff Review'!$E$8:$E$507,I2531)&lt;='Top 15'!$H$5,LEN(INDEX('Staff Review'!$H$8:$H$507,I2531))&gt;0),"Yes","No"))</x:f>
        <x:v>No</x:v>
      </x:c>
      <x:c r="AJ2531" s="1" t="str">
        <x:f>IF(I2531=0,"No",IF(COUNT(INDEX('Staff Review'!$F$8:$F$507,I2531))&lt;&gt;1,"No",IF(AND(INDEX('Staff Review'!$F$8:$F$507,I2531)&gt;=0,MOD(INDEX('Staff Review'!$F$8:$F$507,I2531),1)=0,COUNT(INDEX('Staff Review'!$G$8:$G$507,I2531))=1,INDEX('Staff Review'!$G$8:$G$507,I2531)&gt;0,INDEX('Staff Review'!$G$8:$G$507,I2531)&lt;='Top 15'!$E$5,'Top 15'!$E$5-INDEX('Staff Review'!$G$8:$G$507,I2531)&lt;='Top 15'!$H$5,LEN(INDEX('Staff Review'!$H$8:$H$507,I2531))&gt;0),"Yes","No")))</x:f>
        <x:v>No</x:v>
      </x:c>
      <x:c r="AK2531" s="1" t="n">
        <x:f>IF(A2531="",0,COUNTIFS($A$2:$A$501,A2531))</x:f>
        <x:v>0</x:v>
      </x:c>
      <x:c r="AL2531" s="1" t="n">
        <x:f>IF(V2531="Candidate",1,0)</x:f>
        <x:v>0</x:v>
      </x:c>
      <x:c r="AM2531" s="1" t="n">
        <x:f>IF(A2531="",0,VALUE(A2531))</x:f>
        <x:v>0</x:v>
      </x:c>
      <x:c r="AN2531" s="1" t="n">
        <x:f>IF(OR(A2531="",COUNTIFS($T$41:$T$540,A2531)&lt;&gt;1),0,MATCH(A2531,$T$41:$T$540,0))</x:f>
        <x:v>0</x:v>
      </x:c>
      <x:c r="AO2531" t="n">
        <x:f>IF(ISNUMBER(W2531),W2531,10000+AM2531)</x:f>
        <x:v>10000</x:v>
      </x:c>
    </x:row>
    <x:row r="2532" ht="22" customHeight="1">
      <x:c r="A2532" s="1" t="str">
        <x:f>IF(A483="","",A483)</x:f>
      </x:c>
      <x:c r="B2532" s="1" t="str">
        <x:f>IF(A2532="","",B483)</x:f>
      </x:c>
      <x:c r="C2532" s="1" t="str">
        <x:f>IF(A2532="","",C483)</x:f>
      </x:c>
      <x:c r="D2532" s="1" t="str">
        <x:f>IF(A2532="","",E483)</x:f>
      </x:c>
      <x:c r="E2532" s="1" t="str">
        <x:f>IF(A2532="","",H483)</x:f>
      </x:c>
      <x:c r="F2532" s="1" t="str">
        <x:f>IF(ISNUMBER(K483),K483,"")</x:f>
      </x:c>
      <x:c r="G2532" s="1" t="str">
        <x:f>IF(ISNUMBER(L483),L483,"")</x:f>
      </x:c>
      <x:c r="H2532" s="1" t="str">
        <x:f>IF(A2532="","",IF(AND(UPPER(G483)="PHILADELPHIA",OR(C2532="District",AND(C2532="Charter",D483="Yes"))),"Yes","No"))</x:f>
      </x:c>
      <x:c r="I2532" s="1" t="n">
        <x:f>IF(OR(A2532="",COUNTIFS('Staff Review'!$A$8:$A$507,A2532)&lt;&gt;1),0,MATCH(A2532,'Staff Review'!$A$8:$A$507,0))</x:f>
        <x:v>0</x:v>
      </x:c>
      <x:c r="J2532" s="1" t="str">
        <x:f>IF(I2532=0,"No",IF(INDEX('Staff Review'!$C$8:$C$507,I2532)="Yes","Yes","No"))</x:f>
        <x:v>No</x:v>
      </x:c>
      <x:c r="K2532" s="1" t="str">
        <x:f>IF(AI2532="Yes",INDEX('Staff Review'!$D$8:$D$507,I2532),IF(AB2532=0,"",IF(COUNT(INDEX($C$1531:$C$2030,AB2532))=1,INDEX($C$1531:$C$2030,AB2532),"")))</x:f>
      </x:c>
      <x:c r="L2532" s="1" t="str">
        <x:f>IF(AJ2532="Yes",INDEX('Staff Review'!$F$8:$F$507,I2532),IF(AB2532=0,"",IF(COUNT(INDEX($G$1531:$G$2030,AB2532))=1,INDEX($G$1531:$G$2030,AB2532),"")))</x:f>
      </x:c>
      <x:c r="M2532" s="1" t="str">
        <x:f>IF(A2532="","",IF(AI2532="Yes","Verified","Listed"))</x:f>
      </x:c>
      <x:c r="N2532" s="1" t="str">
        <x:f>IF(A2532="","",IF(AJ2532="Yes","Verified","Listed"))</x:f>
      </x:c>
      <x:c r="O2532" s="1" t="str">
        <x:f>IF(AND(ISNUMBER(G2532),G2532&gt;=0,G2532&lt;=1),IF(G2532&gt;=0.9,30,IF(G2532&gt;=0.8,25,IF(G2532&gt;=0.7,20,IF(G2532&gt;=0.6,15,IF(G2532&gt;=0.5,10,IF(G2532&gt;=0.4,5,0)))))),"")</x:f>
      </x:c>
      <x:c r="P2532" s="1" t="str">
        <x:f>IF(ISNUMBER(K2532),IF(K2532&lt;0,"",IF(K2532&gt;1,25,IF(K2532&gt;=0.75,20,IF(K2532&gt;=0.5,15,IF(K2532&gt;=0.25,10,5))))),"")</x:f>
      </x:c>
      <x:c r="Q2532" s="1" t="str">
        <x:f>IF(NOT(ISNUMBER(L2532)),"",IF(AND(L2532&gt;=0,MOD(L2532,1)=0),MAX(0,25-5*L2532),""))</x:f>
      </x:c>
      <x:c r="R2532" s="1" t="str">
        <x:f>IF(NOT(ISNUMBER(F2532)),"",IF(AND(F2532&gt;0,MOD(F2532,1)=0),IF(F2532&gt;=700,5,IF(F2532&gt;=500,4,IF(F2532&gt;=350,3,IF(F2532&gt;=200,2,1)))),""))</x:f>
      </x:c>
      <x:c r="S2532" s="1" t="str">
        <x:f>IF(COUNT(O2532:R2532)=4,SUM(O2532:R2532),"")</x:f>
      </x:c>
      <x:c r="T2532" s="1" t="str">
        <x:f>IF(OR(COUNT(O2532:R2532)&lt;&gt;4,COUNT('Top 15'!$B$35:$E$35)&lt;&gt;4,MIN('Top 15'!$B$35:$E$35)&lt;0,SUM('Top 15'!$B$35:$E$35)&lt;=0),"",ROUND(85*(O2532/30*'Top 15'!$B$35+P2532/25*'Top 15'!$C$35+Q2532/25*'Top 15'!$D$35+R2532/5*'Top 15'!$E$35)/SUM('Top 15'!$B$35:$E$35),6))</x:f>
      </x:c>
      <x:c r="U2532" s="1" t="str">
        <x:f>IF(A2532="","",IF(AND(M2532="Verified",N2532="Verified"),"Verified",IF(AND(M2532="Listed",N2532="Listed"),"Listed","Mixed")))</x:f>
      </x:c>
      <x:c r="V2532" s="1" t="str">
        <x:f>IF(A2532="","",IF(AK2532&lt;&gt;1,"Duplicate source ID",IF(COUNTIFS('Staff Review'!$A$8:$A$507,A2532)&gt;1,"Duplicate review ID",IF(H2532&lt;&gt;"Yes","Outside scope",IF(J2532="Yes","Already served",IF(NOT(ISNUMBER(T2532)),"Missing data","Candidate"))))))</x:f>
      </x:c>
      <x:c r="W2532" s="1" t="str">
        <x:f>IF(AL2532=0,"",1+COUNTIFS($AL$2051:$AL$2550,1,$T$2051:$T$2550,"&gt;"&amp;T2532)+COUNTIFS($AL$2051:$AL$2550,1,$T$2051:$T$2550,T2532,$G$2051:$G$2550,"&gt;"&amp;G2532)+COUNTIFS($AL$2051:$AL$2550,1,$T$2051:$T$2550,T2532,$G$2051:$G$2550,G2532,$F$2051:$F$2550,"&gt;"&amp;F2532)+COUNTIFS($AL$2051:$AL$2550,1,$T$2051:$T$2550,T2532,$G$2051:$G$2550,G2532,$F$2051:$F$2550,F2532,$AM$2051:$AM$2550,"&lt;"&amp;AM2532))</x:f>
      </x:c>
      <x:c r="X2532" s="1" t="str">
        <x:f>IF(AL2532=0,"",1+COUNTIFS($AL$2051:$AL$2550,1,$T$2051:$T$2550,"&gt;"&amp;T2532))</x:f>
      </x:c>
      <x:c r="Y2532" s="1" t="n">
        <x:f>IF(AND(H2532="Yes",OR(LEN('School Search'!$B$5)=0,ISNUMBER(SEARCH('School Search'!$B$5,B2532&amp;" "&amp;E2532&amp;" "&amp;A2532))),OR('School Search'!$D$5="All",C2532='School Search'!$D$5),OR('School Search'!$G$5="All eligible",AND('School Search'!$G$5="Not marked served",J2532&lt;&gt;"Yes"),AND('School Search'!$G$5="Missing data",V2532="Missing data"),AND('School Search'!$G$5="Marked served",J2532="Yes"))),1,0)</x:f>
        <x:v>0</x:v>
      </x:c>
      <x:c r="Z2532" s="1" t="str">
        <x:f>IF(Y2532=0,"",COUNTIFS($Y$2051:$Y$2550,1,$AO$2051:$AO$2550,"&lt;"&amp;AO2532)+COUNTIFS($Y$2051:Y2532,1,$AO$2051:AO2532,AO2532))</x:f>
      </x:c>
      <x:c r="AA2532" s="1" t="str">
        <x:f>IF(NOT(ISNUMBER(S2532)),"Missing demographic or access input",TEXT(G2532,"0%")&amp;" economic need; "&amp;TEXT(K2532,"0.00")&amp;" mi fresh access; "&amp;L2532&amp;" nearby resources")</x:f>
        <x:v>Missing demographic or access input</x:v>
      </x:c>
      <x:c r="AB2532" s="1" t="n">
        <x:f>IF(OR(A2532="",COUNTIFS($A$1531:$A$2030,A2532)&lt;&gt;1),0,MATCH(A2532,$A$1531:$A$2030,0))</x:f>
        <x:v>0</x:v>
      </x:c>
      <x:c r="AC2532" s="1" t="str">
        <x:f>IF(AB2532=0,"",INDEX($E$1531:$E$2030,AB2532))</x:f>
      </x:c>
      <x:c r="AD2532" s="1" t="str">
        <x:f>IF(AB2532=0,"",INDEX($F$1531:$F$2030,AB2532))</x:f>
      </x:c>
      <x:c r="AE2532" s="1" t="str">
        <x:f>IF(A2532="","",F483)</x:f>
      </x:c>
      <x:c r="AF2532" s="1" t="str">
        <x:f>IF(ISNUMBER(I483),I483,"")</x:f>
      </x:c>
      <x:c r="AG2532" s="1" t="str">
        <x:f>IF(ISNUMBER(J483),J483,"")</x:f>
      </x:c>
      <x:c r="AH2532" s="1" t="str">
        <x:f>IF(I2532=0,"Not contacted",IF(INDEX('Staff Review'!$J$8:$J$507,I2532)="","Not contacted",INDEX('Staff Review'!$J$8:$J$507,I2532)))</x:f>
        <x:v>Not contacted</x:v>
      </x:c>
      <x:c r="AI2532" s="1" t="str">
        <x:f>IF(I2532=0,"No",IF(AND(COUNT(INDEX('Staff Review'!$D$8:$D$507,I2532))=1,INDEX('Staff Review'!$D$8:$D$507,I2532)&gt;=0,COUNT(INDEX('Staff Review'!$E$8:$E$507,I2532))=1,INDEX('Staff Review'!$E$8:$E$507,I2532)&gt;0,INDEX('Staff Review'!$E$8:$E$507,I2532)&lt;='Top 15'!$E$5,'Top 15'!$E$5-INDEX('Staff Review'!$E$8:$E$507,I2532)&lt;='Top 15'!$H$5,LEN(INDEX('Staff Review'!$H$8:$H$507,I2532))&gt;0),"Yes","No"))</x:f>
        <x:v>No</x:v>
      </x:c>
      <x:c r="AJ2532" s="1" t="str">
        <x:f>IF(I2532=0,"No",IF(COUNT(INDEX('Staff Review'!$F$8:$F$507,I2532))&lt;&gt;1,"No",IF(AND(INDEX('Staff Review'!$F$8:$F$507,I2532)&gt;=0,MOD(INDEX('Staff Review'!$F$8:$F$507,I2532),1)=0,COUNT(INDEX('Staff Review'!$G$8:$G$507,I2532))=1,INDEX('Staff Review'!$G$8:$G$507,I2532)&gt;0,INDEX('Staff Review'!$G$8:$G$507,I2532)&lt;='Top 15'!$E$5,'Top 15'!$E$5-INDEX('Staff Review'!$G$8:$G$507,I2532)&lt;='Top 15'!$H$5,LEN(INDEX('Staff Review'!$H$8:$H$507,I2532))&gt;0),"Yes","No")))</x:f>
        <x:v>No</x:v>
      </x:c>
      <x:c r="AK2532" s="1" t="n">
        <x:f>IF(A2532="",0,COUNTIFS($A$2:$A$501,A2532))</x:f>
        <x:v>0</x:v>
      </x:c>
      <x:c r="AL2532" s="1" t="n">
        <x:f>IF(V2532="Candidate",1,0)</x:f>
        <x:v>0</x:v>
      </x:c>
      <x:c r="AM2532" s="1" t="n">
        <x:f>IF(A2532="",0,VALUE(A2532))</x:f>
        <x:v>0</x:v>
      </x:c>
      <x:c r="AN2532" s="1" t="n">
        <x:f>IF(OR(A2532="",COUNTIFS($T$41:$T$540,A2532)&lt;&gt;1),0,MATCH(A2532,$T$41:$T$540,0))</x:f>
        <x:v>0</x:v>
      </x:c>
      <x:c r="AO2532" t="n">
        <x:f>IF(ISNUMBER(W2532),W2532,10000+AM2532)</x:f>
        <x:v>10000</x:v>
      </x:c>
    </x:row>
    <x:row r="2533" ht="22" customHeight="1">
      <x:c r="A2533" s="1" t="str">
        <x:f>IF(A484="","",A484)</x:f>
      </x:c>
      <x:c r="B2533" s="1" t="str">
        <x:f>IF(A2533="","",B484)</x:f>
      </x:c>
      <x:c r="C2533" s="1" t="str">
        <x:f>IF(A2533="","",C484)</x:f>
      </x:c>
      <x:c r="D2533" s="1" t="str">
        <x:f>IF(A2533="","",E484)</x:f>
      </x:c>
      <x:c r="E2533" s="1" t="str">
        <x:f>IF(A2533="","",H484)</x:f>
      </x:c>
      <x:c r="F2533" s="1" t="str">
        <x:f>IF(ISNUMBER(K484),K484,"")</x:f>
      </x:c>
      <x:c r="G2533" s="1" t="str">
        <x:f>IF(ISNUMBER(L484),L484,"")</x:f>
      </x:c>
      <x:c r="H2533" s="1" t="str">
        <x:f>IF(A2533="","",IF(AND(UPPER(G484)="PHILADELPHIA",OR(C2533="District",AND(C2533="Charter",D484="Yes"))),"Yes","No"))</x:f>
      </x:c>
      <x:c r="I2533" s="1" t="n">
        <x:f>IF(OR(A2533="",COUNTIFS('Staff Review'!$A$8:$A$507,A2533)&lt;&gt;1),0,MATCH(A2533,'Staff Review'!$A$8:$A$507,0))</x:f>
        <x:v>0</x:v>
      </x:c>
      <x:c r="J2533" s="1" t="str">
        <x:f>IF(I2533=0,"No",IF(INDEX('Staff Review'!$C$8:$C$507,I2533)="Yes","Yes","No"))</x:f>
        <x:v>No</x:v>
      </x:c>
      <x:c r="K2533" s="1" t="str">
        <x:f>IF(AI2533="Yes",INDEX('Staff Review'!$D$8:$D$507,I2533),IF(AB2533=0,"",IF(COUNT(INDEX($C$1531:$C$2030,AB2533))=1,INDEX($C$1531:$C$2030,AB2533),"")))</x:f>
      </x:c>
      <x:c r="L2533" s="1" t="str">
        <x:f>IF(AJ2533="Yes",INDEX('Staff Review'!$F$8:$F$507,I2533),IF(AB2533=0,"",IF(COUNT(INDEX($G$1531:$G$2030,AB2533))=1,INDEX($G$1531:$G$2030,AB2533),"")))</x:f>
      </x:c>
      <x:c r="M2533" s="1" t="str">
        <x:f>IF(A2533="","",IF(AI2533="Yes","Verified","Listed"))</x:f>
      </x:c>
      <x:c r="N2533" s="1" t="str">
        <x:f>IF(A2533="","",IF(AJ2533="Yes","Verified","Listed"))</x:f>
      </x:c>
      <x:c r="O2533" s="1" t="str">
        <x:f>IF(AND(ISNUMBER(G2533),G2533&gt;=0,G2533&lt;=1),IF(G2533&gt;=0.9,30,IF(G2533&gt;=0.8,25,IF(G2533&gt;=0.7,20,IF(G2533&gt;=0.6,15,IF(G2533&gt;=0.5,10,IF(G2533&gt;=0.4,5,0)))))),"")</x:f>
      </x:c>
      <x:c r="P2533" s="1" t="str">
        <x:f>IF(ISNUMBER(K2533),IF(K2533&lt;0,"",IF(K2533&gt;1,25,IF(K2533&gt;=0.75,20,IF(K2533&gt;=0.5,15,IF(K2533&gt;=0.25,10,5))))),"")</x:f>
      </x:c>
      <x:c r="Q2533" s="1" t="str">
        <x:f>IF(NOT(ISNUMBER(L2533)),"",IF(AND(L2533&gt;=0,MOD(L2533,1)=0),MAX(0,25-5*L2533),""))</x:f>
      </x:c>
      <x:c r="R2533" s="1" t="str">
        <x:f>IF(NOT(ISNUMBER(F2533)),"",IF(AND(F2533&gt;0,MOD(F2533,1)=0),IF(F2533&gt;=700,5,IF(F2533&gt;=500,4,IF(F2533&gt;=350,3,IF(F2533&gt;=200,2,1)))),""))</x:f>
      </x:c>
      <x:c r="S2533" s="1" t="str">
        <x:f>IF(COUNT(O2533:R2533)=4,SUM(O2533:R2533),"")</x:f>
      </x:c>
      <x:c r="T2533" s="1" t="str">
        <x:f>IF(OR(COUNT(O2533:R2533)&lt;&gt;4,COUNT('Top 15'!$B$35:$E$35)&lt;&gt;4,MIN('Top 15'!$B$35:$E$35)&lt;0,SUM('Top 15'!$B$35:$E$35)&lt;=0),"",ROUND(85*(O2533/30*'Top 15'!$B$35+P2533/25*'Top 15'!$C$35+Q2533/25*'Top 15'!$D$35+R2533/5*'Top 15'!$E$35)/SUM('Top 15'!$B$35:$E$35),6))</x:f>
      </x:c>
      <x:c r="U2533" s="1" t="str">
        <x:f>IF(A2533="","",IF(AND(M2533="Verified",N2533="Verified"),"Verified",IF(AND(M2533="Listed",N2533="Listed"),"Listed","Mixed")))</x:f>
      </x:c>
      <x:c r="V2533" s="1" t="str">
        <x:f>IF(A2533="","",IF(AK2533&lt;&gt;1,"Duplicate source ID",IF(COUNTIFS('Staff Review'!$A$8:$A$507,A2533)&gt;1,"Duplicate review ID",IF(H2533&lt;&gt;"Yes","Outside scope",IF(J2533="Yes","Already served",IF(NOT(ISNUMBER(T2533)),"Missing data","Candidate"))))))</x:f>
      </x:c>
      <x:c r="W2533" s="1" t="str">
        <x:f>IF(AL2533=0,"",1+COUNTIFS($AL$2051:$AL$2550,1,$T$2051:$T$2550,"&gt;"&amp;T2533)+COUNTIFS($AL$2051:$AL$2550,1,$T$2051:$T$2550,T2533,$G$2051:$G$2550,"&gt;"&amp;G2533)+COUNTIFS($AL$2051:$AL$2550,1,$T$2051:$T$2550,T2533,$G$2051:$G$2550,G2533,$F$2051:$F$2550,"&gt;"&amp;F2533)+COUNTIFS($AL$2051:$AL$2550,1,$T$2051:$T$2550,T2533,$G$2051:$G$2550,G2533,$F$2051:$F$2550,F2533,$AM$2051:$AM$2550,"&lt;"&amp;AM2533))</x:f>
      </x:c>
      <x:c r="X2533" s="1" t="str">
        <x:f>IF(AL2533=0,"",1+COUNTIFS($AL$2051:$AL$2550,1,$T$2051:$T$2550,"&gt;"&amp;T2533))</x:f>
      </x:c>
      <x:c r="Y2533" s="1" t="n">
        <x:f>IF(AND(H2533="Yes",OR(LEN('School Search'!$B$5)=0,ISNUMBER(SEARCH('School Search'!$B$5,B2533&amp;" "&amp;E2533&amp;" "&amp;A2533))),OR('School Search'!$D$5="All",C2533='School Search'!$D$5),OR('School Search'!$G$5="All eligible",AND('School Search'!$G$5="Not marked served",J2533&lt;&gt;"Yes"),AND('School Search'!$G$5="Missing data",V2533="Missing data"),AND('School Search'!$G$5="Marked served",J2533="Yes"))),1,0)</x:f>
        <x:v>0</x:v>
      </x:c>
      <x:c r="Z2533" s="1" t="str">
        <x:f>IF(Y2533=0,"",COUNTIFS($Y$2051:$Y$2550,1,$AO$2051:$AO$2550,"&lt;"&amp;AO2533)+COUNTIFS($Y$2051:Y2533,1,$AO$2051:AO2533,AO2533))</x:f>
      </x:c>
      <x:c r="AA2533" s="1" t="str">
        <x:f>IF(NOT(ISNUMBER(S2533)),"Missing demographic or access input",TEXT(G2533,"0%")&amp;" economic need; "&amp;TEXT(K2533,"0.00")&amp;" mi fresh access; "&amp;L2533&amp;" nearby resources")</x:f>
        <x:v>Missing demographic or access input</x:v>
      </x:c>
      <x:c r="AB2533" s="1" t="n">
        <x:f>IF(OR(A2533="",COUNTIFS($A$1531:$A$2030,A2533)&lt;&gt;1),0,MATCH(A2533,$A$1531:$A$2030,0))</x:f>
        <x:v>0</x:v>
      </x:c>
      <x:c r="AC2533" s="1" t="str">
        <x:f>IF(AB2533=0,"",INDEX($E$1531:$E$2030,AB2533))</x:f>
      </x:c>
      <x:c r="AD2533" s="1" t="str">
        <x:f>IF(AB2533=0,"",INDEX($F$1531:$F$2030,AB2533))</x:f>
      </x:c>
      <x:c r="AE2533" s="1" t="str">
        <x:f>IF(A2533="","",F484)</x:f>
      </x:c>
      <x:c r="AF2533" s="1" t="str">
        <x:f>IF(ISNUMBER(I484),I484,"")</x:f>
      </x:c>
      <x:c r="AG2533" s="1" t="str">
        <x:f>IF(ISNUMBER(J484),J484,"")</x:f>
      </x:c>
      <x:c r="AH2533" s="1" t="str">
        <x:f>IF(I2533=0,"Not contacted",IF(INDEX('Staff Review'!$J$8:$J$507,I2533)="","Not contacted",INDEX('Staff Review'!$J$8:$J$507,I2533)))</x:f>
        <x:v>Not contacted</x:v>
      </x:c>
      <x:c r="AI2533" s="1" t="str">
        <x:f>IF(I2533=0,"No",IF(AND(COUNT(INDEX('Staff Review'!$D$8:$D$507,I2533))=1,INDEX('Staff Review'!$D$8:$D$507,I2533)&gt;=0,COUNT(INDEX('Staff Review'!$E$8:$E$507,I2533))=1,INDEX('Staff Review'!$E$8:$E$507,I2533)&gt;0,INDEX('Staff Review'!$E$8:$E$507,I2533)&lt;='Top 15'!$E$5,'Top 15'!$E$5-INDEX('Staff Review'!$E$8:$E$507,I2533)&lt;='Top 15'!$H$5,LEN(INDEX('Staff Review'!$H$8:$H$507,I2533))&gt;0),"Yes","No"))</x:f>
        <x:v>No</x:v>
      </x:c>
      <x:c r="AJ2533" s="1" t="str">
        <x:f>IF(I2533=0,"No",IF(COUNT(INDEX('Staff Review'!$F$8:$F$507,I2533))&lt;&gt;1,"No",IF(AND(INDEX('Staff Review'!$F$8:$F$507,I2533)&gt;=0,MOD(INDEX('Staff Review'!$F$8:$F$507,I2533),1)=0,COUNT(INDEX('Staff Review'!$G$8:$G$507,I2533))=1,INDEX('Staff Review'!$G$8:$G$507,I2533)&gt;0,INDEX('Staff Review'!$G$8:$G$507,I2533)&lt;='Top 15'!$E$5,'Top 15'!$E$5-INDEX('Staff Review'!$G$8:$G$507,I2533)&lt;='Top 15'!$H$5,LEN(INDEX('Staff Review'!$H$8:$H$507,I2533))&gt;0),"Yes","No")))</x:f>
        <x:v>No</x:v>
      </x:c>
      <x:c r="AK2533" s="1" t="n">
        <x:f>IF(A2533="",0,COUNTIFS($A$2:$A$501,A2533))</x:f>
        <x:v>0</x:v>
      </x:c>
      <x:c r="AL2533" s="1" t="n">
        <x:f>IF(V2533="Candidate",1,0)</x:f>
        <x:v>0</x:v>
      </x:c>
      <x:c r="AM2533" s="1" t="n">
        <x:f>IF(A2533="",0,VALUE(A2533))</x:f>
        <x:v>0</x:v>
      </x:c>
      <x:c r="AN2533" s="1" t="n">
        <x:f>IF(OR(A2533="",COUNTIFS($T$41:$T$540,A2533)&lt;&gt;1),0,MATCH(A2533,$T$41:$T$540,0))</x:f>
        <x:v>0</x:v>
      </x:c>
      <x:c r="AO2533" t="n">
        <x:f>IF(ISNUMBER(W2533),W2533,10000+AM2533)</x:f>
        <x:v>10000</x:v>
      </x:c>
    </x:row>
    <x:row r="2534" ht="22" customHeight="1">
      <x:c r="A2534" s="1" t="str">
        <x:f>IF(A485="","",A485)</x:f>
      </x:c>
      <x:c r="B2534" s="1" t="str">
        <x:f>IF(A2534="","",B485)</x:f>
      </x:c>
      <x:c r="C2534" s="1" t="str">
        <x:f>IF(A2534="","",C485)</x:f>
      </x:c>
      <x:c r="D2534" s="1" t="str">
        <x:f>IF(A2534="","",E485)</x:f>
      </x:c>
      <x:c r="E2534" s="1" t="str">
        <x:f>IF(A2534="","",H485)</x:f>
      </x:c>
      <x:c r="F2534" s="1" t="str">
        <x:f>IF(ISNUMBER(K485),K485,"")</x:f>
      </x:c>
      <x:c r="G2534" s="1" t="str">
        <x:f>IF(ISNUMBER(L485),L485,"")</x:f>
      </x:c>
      <x:c r="H2534" s="1" t="str">
        <x:f>IF(A2534="","",IF(AND(UPPER(G485)="PHILADELPHIA",OR(C2534="District",AND(C2534="Charter",D485="Yes"))),"Yes","No"))</x:f>
      </x:c>
      <x:c r="I2534" s="1" t="n">
        <x:f>IF(OR(A2534="",COUNTIFS('Staff Review'!$A$8:$A$507,A2534)&lt;&gt;1),0,MATCH(A2534,'Staff Review'!$A$8:$A$507,0))</x:f>
        <x:v>0</x:v>
      </x:c>
      <x:c r="J2534" s="1" t="str">
        <x:f>IF(I2534=0,"No",IF(INDEX('Staff Review'!$C$8:$C$507,I2534)="Yes","Yes","No"))</x:f>
        <x:v>No</x:v>
      </x:c>
      <x:c r="K2534" s="1" t="str">
        <x:f>IF(AI2534="Yes",INDEX('Staff Review'!$D$8:$D$507,I2534),IF(AB2534=0,"",IF(COUNT(INDEX($C$1531:$C$2030,AB2534))=1,INDEX($C$1531:$C$2030,AB2534),"")))</x:f>
      </x:c>
      <x:c r="L2534" s="1" t="str">
        <x:f>IF(AJ2534="Yes",INDEX('Staff Review'!$F$8:$F$507,I2534),IF(AB2534=0,"",IF(COUNT(INDEX($G$1531:$G$2030,AB2534))=1,INDEX($G$1531:$G$2030,AB2534),"")))</x:f>
      </x:c>
      <x:c r="M2534" s="1" t="str">
        <x:f>IF(A2534="","",IF(AI2534="Yes","Verified","Listed"))</x:f>
      </x:c>
      <x:c r="N2534" s="1" t="str">
        <x:f>IF(A2534="","",IF(AJ2534="Yes","Verified","Listed"))</x:f>
      </x:c>
      <x:c r="O2534" s="1" t="str">
        <x:f>IF(AND(ISNUMBER(G2534),G2534&gt;=0,G2534&lt;=1),IF(G2534&gt;=0.9,30,IF(G2534&gt;=0.8,25,IF(G2534&gt;=0.7,20,IF(G2534&gt;=0.6,15,IF(G2534&gt;=0.5,10,IF(G2534&gt;=0.4,5,0)))))),"")</x:f>
      </x:c>
      <x:c r="P2534" s="1" t="str">
        <x:f>IF(ISNUMBER(K2534),IF(K2534&lt;0,"",IF(K2534&gt;1,25,IF(K2534&gt;=0.75,20,IF(K2534&gt;=0.5,15,IF(K2534&gt;=0.25,10,5))))),"")</x:f>
      </x:c>
      <x:c r="Q2534" s="1" t="str">
        <x:f>IF(NOT(ISNUMBER(L2534)),"",IF(AND(L2534&gt;=0,MOD(L2534,1)=0),MAX(0,25-5*L2534),""))</x:f>
      </x:c>
      <x:c r="R2534" s="1" t="str">
        <x:f>IF(NOT(ISNUMBER(F2534)),"",IF(AND(F2534&gt;0,MOD(F2534,1)=0),IF(F2534&gt;=700,5,IF(F2534&gt;=500,4,IF(F2534&gt;=350,3,IF(F2534&gt;=200,2,1)))),""))</x:f>
      </x:c>
      <x:c r="S2534" s="1" t="str">
        <x:f>IF(COUNT(O2534:R2534)=4,SUM(O2534:R2534),"")</x:f>
      </x:c>
      <x:c r="T2534" s="1" t="str">
        <x:f>IF(OR(COUNT(O2534:R2534)&lt;&gt;4,COUNT('Top 15'!$B$35:$E$35)&lt;&gt;4,MIN('Top 15'!$B$35:$E$35)&lt;0,SUM('Top 15'!$B$35:$E$35)&lt;=0),"",ROUND(85*(O2534/30*'Top 15'!$B$35+P2534/25*'Top 15'!$C$35+Q2534/25*'Top 15'!$D$35+R2534/5*'Top 15'!$E$35)/SUM('Top 15'!$B$35:$E$35),6))</x:f>
      </x:c>
      <x:c r="U2534" s="1" t="str">
        <x:f>IF(A2534="","",IF(AND(M2534="Verified",N2534="Verified"),"Verified",IF(AND(M2534="Listed",N2534="Listed"),"Listed","Mixed")))</x:f>
      </x:c>
      <x:c r="V2534" s="1" t="str">
        <x:f>IF(A2534="","",IF(AK2534&lt;&gt;1,"Duplicate source ID",IF(COUNTIFS('Staff Review'!$A$8:$A$507,A2534)&gt;1,"Duplicate review ID",IF(H2534&lt;&gt;"Yes","Outside scope",IF(J2534="Yes","Already served",IF(NOT(ISNUMBER(T2534)),"Missing data","Candidate"))))))</x:f>
      </x:c>
      <x:c r="W2534" s="1" t="str">
        <x:f>IF(AL2534=0,"",1+COUNTIFS($AL$2051:$AL$2550,1,$T$2051:$T$2550,"&gt;"&amp;T2534)+COUNTIFS($AL$2051:$AL$2550,1,$T$2051:$T$2550,T2534,$G$2051:$G$2550,"&gt;"&amp;G2534)+COUNTIFS($AL$2051:$AL$2550,1,$T$2051:$T$2550,T2534,$G$2051:$G$2550,G2534,$F$2051:$F$2550,"&gt;"&amp;F2534)+COUNTIFS($AL$2051:$AL$2550,1,$T$2051:$T$2550,T2534,$G$2051:$G$2550,G2534,$F$2051:$F$2550,F2534,$AM$2051:$AM$2550,"&lt;"&amp;AM2534))</x:f>
      </x:c>
      <x:c r="X2534" s="1" t="str">
        <x:f>IF(AL2534=0,"",1+COUNTIFS($AL$2051:$AL$2550,1,$T$2051:$T$2550,"&gt;"&amp;T2534))</x:f>
      </x:c>
      <x:c r="Y2534" s="1" t="n">
        <x:f>IF(AND(H2534="Yes",OR(LEN('School Search'!$B$5)=0,ISNUMBER(SEARCH('School Search'!$B$5,B2534&amp;" "&amp;E2534&amp;" "&amp;A2534))),OR('School Search'!$D$5="All",C2534='School Search'!$D$5),OR('School Search'!$G$5="All eligible",AND('School Search'!$G$5="Not marked served",J2534&lt;&gt;"Yes"),AND('School Search'!$G$5="Missing data",V2534="Missing data"),AND('School Search'!$G$5="Marked served",J2534="Yes"))),1,0)</x:f>
        <x:v>0</x:v>
      </x:c>
      <x:c r="Z2534" s="1" t="str">
        <x:f>IF(Y2534=0,"",COUNTIFS($Y$2051:$Y$2550,1,$AO$2051:$AO$2550,"&lt;"&amp;AO2534)+COUNTIFS($Y$2051:Y2534,1,$AO$2051:AO2534,AO2534))</x:f>
      </x:c>
      <x:c r="AA2534" s="1" t="str">
        <x:f>IF(NOT(ISNUMBER(S2534)),"Missing demographic or access input",TEXT(G2534,"0%")&amp;" economic need; "&amp;TEXT(K2534,"0.00")&amp;" mi fresh access; "&amp;L2534&amp;" nearby resources")</x:f>
        <x:v>Missing demographic or access input</x:v>
      </x:c>
      <x:c r="AB2534" s="1" t="n">
        <x:f>IF(OR(A2534="",COUNTIFS($A$1531:$A$2030,A2534)&lt;&gt;1),0,MATCH(A2534,$A$1531:$A$2030,0))</x:f>
        <x:v>0</x:v>
      </x:c>
      <x:c r="AC2534" s="1" t="str">
        <x:f>IF(AB2534=0,"",INDEX($E$1531:$E$2030,AB2534))</x:f>
      </x:c>
      <x:c r="AD2534" s="1" t="str">
        <x:f>IF(AB2534=0,"",INDEX($F$1531:$F$2030,AB2534))</x:f>
      </x:c>
      <x:c r="AE2534" s="1" t="str">
        <x:f>IF(A2534="","",F485)</x:f>
      </x:c>
      <x:c r="AF2534" s="1" t="str">
        <x:f>IF(ISNUMBER(I485),I485,"")</x:f>
      </x:c>
      <x:c r="AG2534" s="1" t="str">
        <x:f>IF(ISNUMBER(J485),J485,"")</x:f>
      </x:c>
      <x:c r="AH2534" s="1" t="str">
        <x:f>IF(I2534=0,"Not contacted",IF(INDEX('Staff Review'!$J$8:$J$507,I2534)="","Not contacted",INDEX('Staff Review'!$J$8:$J$507,I2534)))</x:f>
        <x:v>Not contacted</x:v>
      </x:c>
      <x:c r="AI2534" s="1" t="str">
        <x:f>IF(I2534=0,"No",IF(AND(COUNT(INDEX('Staff Review'!$D$8:$D$507,I2534))=1,INDEX('Staff Review'!$D$8:$D$507,I2534)&gt;=0,COUNT(INDEX('Staff Review'!$E$8:$E$507,I2534))=1,INDEX('Staff Review'!$E$8:$E$507,I2534)&gt;0,INDEX('Staff Review'!$E$8:$E$507,I2534)&lt;='Top 15'!$E$5,'Top 15'!$E$5-INDEX('Staff Review'!$E$8:$E$507,I2534)&lt;='Top 15'!$H$5,LEN(INDEX('Staff Review'!$H$8:$H$507,I2534))&gt;0),"Yes","No"))</x:f>
        <x:v>No</x:v>
      </x:c>
      <x:c r="AJ2534" s="1" t="str">
        <x:f>IF(I2534=0,"No",IF(COUNT(INDEX('Staff Review'!$F$8:$F$507,I2534))&lt;&gt;1,"No",IF(AND(INDEX('Staff Review'!$F$8:$F$507,I2534)&gt;=0,MOD(INDEX('Staff Review'!$F$8:$F$507,I2534),1)=0,COUNT(INDEX('Staff Review'!$G$8:$G$507,I2534))=1,INDEX('Staff Review'!$G$8:$G$507,I2534)&gt;0,INDEX('Staff Review'!$G$8:$G$507,I2534)&lt;='Top 15'!$E$5,'Top 15'!$E$5-INDEX('Staff Review'!$G$8:$G$507,I2534)&lt;='Top 15'!$H$5,LEN(INDEX('Staff Review'!$H$8:$H$507,I2534))&gt;0),"Yes","No")))</x:f>
        <x:v>No</x:v>
      </x:c>
      <x:c r="AK2534" s="1" t="n">
        <x:f>IF(A2534="",0,COUNTIFS($A$2:$A$501,A2534))</x:f>
        <x:v>0</x:v>
      </x:c>
      <x:c r="AL2534" s="1" t="n">
        <x:f>IF(V2534="Candidate",1,0)</x:f>
        <x:v>0</x:v>
      </x:c>
      <x:c r="AM2534" s="1" t="n">
        <x:f>IF(A2534="",0,VALUE(A2534))</x:f>
        <x:v>0</x:v>
      </x:c>
      <x:c r="AN2534" s="1" t="n">
        <x:f>IF(OR(A2534="",COUNTIFS($T$41:$T$540,A2534)&lt;&gt;1),0,MATCH(A2534,$T$41:$T$540,0))</x:f>
        <x:v>0</x:v>
      </x:c>
      <x:c r="AO2534" t="n">
        <x:f>IF(ISNUMBER(W2534),W2534,10000+AM2534)</x:f>
        <x:v>10000</x:v>
      </x:c>
    </x:row>
    <x:row r="2535" ht="22" customHeight="1">
      <x:c r="A2535" s="1" t="str">
        <x:f>IF(A486="","",A486)</x:f>
      </x:c>
      <x:c r="B2535" s="1" t="str">
        <x:f>IF(A2535="","",B486)</x:f>
      </x:c>
      <x:c r="C2535" s="1" t="str">
        <x:f>IF(A2535="","",C486)</x:f>
      </x:c>
      <x:c r="D2535" s="1" t="str">
        <x:f>IF(A2535="","",E486)</x:f>
      </x:c>
      <x:c r="E2535" s="1" t="str">
        <x:f>IF(A2535="","",H486)</x:f>
      </x:c>
      <x:c r="F2535" s="1" t="str">
        <x:f>IF(ISNUMBER(K486),K486,"")</x:f>
      </x:c>
      <x:c r="G2535" s="1" t="str">
        <x:f>IF(ISNUMBER(L486),L486,"")</x:f>
      </x:c>
      <x:c r="H2535" s="1" t="str">
        <x:f>IF(A2535="","",IF(AND(UPPER(G486)="PHILADELPHIA",OR(C2535="District",AND(C2535="Charter",D486="Yes"))),"Yes","No"))</x:f>
      </x:c>
      <x:c r="I2535" s="1" t="n">
        <x:f>IF(OR(A2535="",COUNTIFS('Staff Review'!$A$8:$A$507,A2535)&lt;&gt;1),0,MATCH(A2535,'Staff Review'!$A$8:$A$507,0))</x:f>
        <x:v>0</x:v>
      </x:c>
      <x:c r="J2535" s="1" t="str">
        <x:f>IF(I2535=0,"No",IF(INDEX('Staff Review'!$C$8:$C$507,I2535)="Yes","Yes","No"))</x:f>
        <x:v>No</x:v>
      </x:c>
      <x:c r="K2535" s="1" t="str">
        <x:f>IF(AI2535="Yes",INDEX('Staff Review'!$D$8:$D$507,I2535),IF(AB2535=0,"",IF(COUNT(INDEX($C$1531:$C$2030,AB2535))=1,INDEX($C$1531:$C$2030,AB2535),"")))</x:f>
      </x:c>
      <x:c r="L2535" s="1" t="str">
        <x:f>IF(AJ2535="Yes",INDEX('Staff Review'!$F$8:$F$507,I2535),IF(AB2535=0,"",IF(COUNT(INDEX($G$1531:$G$2030,AB2535))=1,INDEX($G$1531:$G$2030,AB2535),"")))</x:f>
      </x:c>
      <x:c r="M2535" s="1" t="str">
        <x:f>IF(A2535="","",IF(AI2535="Yes","Verified","Listed"))</x:f>
      </x:c>
      <x:c r="N2535" s="1" t="str">
        <x:f>IF(A2535="","",IF(AJ2535="Yes","Verified","Listed"))</x:f>
      </x:c>
      <x:c r="O2535" s="1" t="str">
        <x:f>IF(AND(ISNUMBER(G2535),G2535&gt;=0,G2535&lt;=1),IF(G2535&gt;=0.9,30,IF(G2535&gt;=0.8,25,IF(G2535&gt;=0.7,20,IF(G2535&gt;=0.6,15,IF(G2535&gt;=0.5,10,IF(G2535&gt;=0.4,5,0)))))),"")</x:f>
      </x:c>
      <x:c r="P2535" s="1" t="str">
        <x:f>IF(ISNUMBER(K2535),IF(K2535&lt;0,"",IF(K2535&gt;1,25,IF(K2535&gt;=0.75,20,IF(K2535&gt;=0.5,15,IF(K2535&gt;=0.25,10,5))))),"")</x:f>
      </x:c>
      <x:c r="Q2535" s="1" t="str">
        <x:f>IF(NOT(ISNUMBER(L2535)),"",IF(AND(L2535&gt;=0,MOD(L2535,1)=0),MAX(0,25-5*L2535),""))</x:f>
      </x:c>
      <x:c r="R2535" s="1" t="str">
        <x:f>IF(NOT(ISNUMBER(F2535)),"",IF(AND(F2535&gt;0,MOD(F2535,1)=0),IF(F2535&gt;=700,5,IF(F2535&gt;=500,4,IF(F2535&gt;=350,3,IF(F2535&gt;=200,2,1)))),""))</x:f>
      </x:c>
      <x:c r="S2535" s="1" t="str">
        <x:f>IF(COUNT(O2535:R2535)=4,SUM(O2535:R2535),"")</x:f>
      </x:c>
      <x:c r="T2535" s="1" t="str">
        <x:f>IF(OR(COUNT(O2535:R2535)&lt;&gt;4,COUNT('Top 15'!$B$35:$E$35)&lt;&gt;4,MIN('Top 15'!$B$35:$E$35)&lt;0,SUM('Top 15'!$B$35:$E$35)&lt;=0),"",ROUND(85*(O2535/30*'Top 15'!$B$35+P2535/25*'Top 15'!$C$35+Q2535/25*'Top 15'!$D$35+R2535/5*'Top 15'!$E$35)/SUM('Top 15'!$B$35:$E$35),6))</x:f>
      </x:c>
      <x:c r="U2535" s="1" t="str">
        <x:f>IF(A2535="","",IF(AND(M2535="Verified",N2535="Verified"),"Verified",IF(AND(M2535="Listed",N2535="Listed"),"Listed","Mixed")))</x:f>
      </x:c>
      <x:c r="V2535" s="1" t="str">
        <x:f>IF(A2535="","",IF(AK2535&lt;&gt;1,"Duplicate source ID",IF(COUNTIFS('Staff Review'!$A$8:$A$507,A2535)&gt;1,"Duplicate review ID",IF(H2535&lt;&gt;"Yes","Outside scope",IF(J2535="Yes","Already served",IF(NOT(ISNUMBER(T2535)),"Missing data","Candidate"))))))</x:f>
      </x:c>
      <x:c r="W2535" s="1" t="str">
        <x:f>IF(AL2535=0,"",1+COUNTIFS($AL$2051:$AL$2550,1,$T$2051:$T$2550,"&gt;"&amp;T2535)+COUNTIFS($AL$2051:$AL$2550,1,$T$2051:$T$2550,T2535,$G$2051:$G$2550,"&gt;"&amp;G2535)+COUNTIFS($AL$2051:$AL$2550,1,$T$2051:$T$2550,T2535,$G$2051:$G$2550,G2535,$F$2051:$F$2550,"&gt;"&amp;F2535)+COUNTIFS($AL$2051:$AL$2550,1,$T$2051:$T$2550,T2535,$G$2051:$G$2550,G2535,$F$2051:$F$2550,F2535,$AM$2051:$AM$2550,"&lt;"&amp;AM2535))</x:f>
      </x:c>
      <x:c r="X2535" s="1" t="str">
        <x:f>IF(AL2535=0,"",1+COUNTIFS($AL$2051:$AL$2550,1,$T$2051:$T$2550,"&gt;"&amp;T2535))</x:f>
      </x:c>
      <x:c r="Y2535" s="1" t="n">
        <x:f>IF(AND(H2535="Yes",OR(LEN('School Search'!$B$5)=0,ISNUMBER(SEARCH('School Search'!$B$5,B2535&amp;" "&amp;E2535&amp;" "&amp;A2535))),OR('School Search'!$D$5="All",C2535='School Search'!$D$5),OR('School Search'!$G$5="All eligible",AND('School Search'!$G$5="Not marked served",J2535&lt;&gt;"Yes"),AND('School Search'!$G$5="Missing data",V2535="Missing data"),AND('School Search'!$G$5="Marked served",J2535="Yes"))),1,0)</x:f>
        <x:v>0</x:v>
      </x:c>
      <x:c r="Z2535" s="1" t="str">
        <x:f>IF(Y2535=0,"",COUNTIFS($Y$2051:$Y$2550,1,$AO$2051:$AO$2550,"&lt;"&amp;AO2535)+COUNTIFS($Y$2051:Y2535,1,$AO$2051:AO2535,AO2535))</x:f>
      </x:c>
      <x:c r="AA2535" s="1" t="str">
        <x:f>IF(NOT(ISNUMBER(S2535)),"Missing demographic or access input",TEXT(G2535,"0%")&amp;" economic need; "&amp;TEXT(K2535,"0.00")&amp;" mi fresh access; "&amp;L2535&amp;" nearby resources")</x:f>
        <x:v>Missing demographic or access input</x:v>
      </x:c>
      <x:c r="AB2535" s="1" t="n">
        <x:f>IF(OR(A2535="",COUNTIFS($A$1531:$A$2030,A2535)&lt;&gt;1),0,MATCH(A2535,$A$1531:$A$2030,0))</x:f>
        <x:v>0</x:v>
      </x:c>
      <x:c r="AC2535" s="1" t="str">
        <x:f>IF(AB2535=0,"",INDEX($E$1531:$E$2030,AB2535))</x:f>
      </x:c>
      <x:c r="AD2535" s="1" t="str">
        <x:f>IF(AB2535=0,"",INDEX($F$1531:$F$2030,AB2535))</x:f>
      </x:c>
      <x:c r="AE2535" s="1" t="str">
        <x:f>IF(A2535="","",F486)</x:f>
      </x:c>
      <x:c r="AF2535" s="1" t="str">
        <x:f>IF(ISNUMBER(I486),I486,"")</x:f>
      </x:c>
      <x:c r="AG2535" s="1" t="str">
        <x:f>IF(ISNUMBER(J486),J486,"")</x:f>
      </x:c>
      <x:c r="AH2535" s="1" t="str">
        <x:f>IF(I2535=0,"Not contacted",IF(INDEX('Staff Review'!$J$8:$J$507,I2535)="","Not contacted",INDEX('Staff Review'!$J$8:$J$507,I2535)))</x:f>
        <x:v>Not contacted</x:v>
      </x:c>
      <x:c r="AI2535" s="1" t="str">
        <x:f>IF(I2535=0,"No",IF(AND(COUNT(INDEX('Staff Review'!$D$8:$D$507,I2535))=1,INDEX('Staff Review'!$D$8:$D$507,I2535)&gt;=0,COUNT(INDEX('Staff Review'!$E$8:$E$507,I2535))=1,INDEX('Staff Review'!$E$8:$E$507,I2535)&gt;0,INDEX('Staff Review'!$E$8:$E$507,I2535)&lt;='Top 15'!$E$5,'Top 15'!$E$5-INDEX('Staff Review'!$E$8:$E$507,I2535)&lt;='Top 15'!$H$5,LEN(INDEX('Staff Review'!$H$8:$H$507,I2535))&gt;0),"Yes","No"))</x:f>
        <x:v>No</x:v>
      </x:c>
      <x:c r="AJ2535" s="1" t="str">
        <x:f>IF(I2535=0,"No",IF(COUNT(INDEX('Staff Review'!$F$8:$F$507,I2535))&lt;&gt;1,"No",IF(AND(INDEX('Staff Review'!$F$8:$F$507,I2535)&gt;=0,MOD(INDEX('Staff Review'!$F$8:$F$507,I2535),1)=0,COUNT(INDEX('Staff Review'!$G$8:$G$507,I2535))=1,INDEX('Staff Review'!$G$8:$G$507,I2535)&gt;0,INDEX('Staff Review'!$G$8:$G$507,I2535)&lt;='Top 15'!$E$5,'Top 15'!$E$5-INDEX('Staff Review'!$G$8:$G$507,I2535)&lt;='Top 15'!$H$5,LEN(INDEX('Staff Review'!$H$8:$H$507,I2535))&gt;0),"Yes","No")))</x:f>
        <x:v>No</x:v>
      </x:c>
      <x:c r="AK2535" s="1" t="n">
        <x:f>IF(A2535="",0,COUNTIFS($A$2:$A$501,A2535))</x:f>
        <x:v>0</x:v>
      </x:c>
      <x:c r="AL2535" s="1" t="n">
        <x:f>IF(V2535="Candidate",1,0)</x:f>
        <x:v>0</x:v>
      </x:c>
      <x:c r="AM2535" s="1" t="n">
        <x:f>IF(A2535="",0,VALUE(A2535))</x:f>
        <x:v>0</x:v>
      </x:c>
      <x:c r="AN2535" s="1" t="n">
        <x:f>IF(OR(A2535="",COUNTIFS($T$41:$T$540,A2535)&lt;&gt;1),0,MATCH(A2535,$T$41:$T$540,0))</x:f>
        <x:v>0</x:v>
      </x:c>
      <x:c r="AO2535" t="n">
        <x:f>IF(ISNUMBER(W2535),W2535,10000+AM2535)</x:f>
        <x:v>10000</x:v>
      </x:c>
    </x:row>
    <x:row r="2536" ht="22" customHeight="1">
      <x:c r="A2536" s="1" t="str">
        <x:f>IF(A487="","",A487)</x:f>
      </x:c>
      <x:c r="B2536" s="1" t="str">
        <x:f>IF(A2536="","",B487)</x:f>
      </x:c>
      <x:c r="C2536" s="1" t="str">
        <x:f>IF(A2536="","",C487)</x:f>
      </x:c>
      <x:c r="D2536" s="1" t="str">
        <x:f>IF(A2536="","",E487)</x:f>
      </x:c>
      <x:c r="E2536" s="1" t="str">
        <x:f>IF(A2536="","",H487)</x:f>
      </x:c>
      <x:c r="F2536" s="1" t="str">
        <x:f>IF(ISNUMBER(K487),K487,"")</x:f>
      </x:c>
      <x:c r="G2536" s="1" t="str">
        <x:f>IF(ISNUMBER(L487),L487,"")</x:f>
      </x:c>
      <x:c r="H2536" s="1" t="str">
        <x:f>IF(A2536="","",IF(AND(UPPER(G487)="PHILADELPHIA",OR(C2536="District",AND(C2536="Charter",D487="Yes"))),"Yes","No"))</x:f>
      </x:c>
      <x:c r="I2536" s="1" t="n">
        <x:f>IF(OR(A2536="",COUNTIFS('Staff Review'!$A$8:$A$507,A2536)&lt;&gt;1),0,MATCH(A2536,'Staff Review'!$A$8:$A$507,0))</x:f>
        <x:v>0</x:v>
      </x:c>
      <x:c r="J2536" s="1" t="str">
        <x:f>IF(I2536=0,"No",IF(INDEX('Staff Review'!$C$8:$C$507,I2536)="Yes","Yes","No"))</x:f>
        <x:v>No</x:v>
      </x:c>
      <x:c r="K2536" s="1" t="str">
        <x:f>IF(AI2536="Yes",INDEX('Staff Review'!$D$8:$D$507,I2536),IF(AB2536=0,"",IF(COUNT(INDEX($C$1531:$C$2030,AB2536))=1,INDEX($C$1531:$C$2030,AB2536),"")))</x:f>
      </x:c>
      <x:c r="L2536" s="1" t="str">
        <x:f>IF(AJ2536="Yes",INDEX('Staff Review'!$F$8:$F$507,I2536),IF(AB2536=0,"",IF(COUNT(INDEX($G$1531:$G$2030,AB2536))=1,INDEX($G$1531:$G$2030,AB2536),"")))</x:f>
      </x:c>
      <x:c r="M2536" s="1" t="str">
        <x:f>IF(A2536="","",IF(AI2536="Yes","Verified","Listed"))</x:f>
      </x:c>
      <x:c r="N2536" s="1" t="str">
        <x:f>IF(A2536="","",IF(AJ2536="Yes","Verified","Listed"))</x:f>
      </x:c>
      <x:c r="O2536" s="1" t="str">
        <x:f>IF(AND(ISNUMBER(G2536),G2536&gt;=0,G2536&lt;=1),IF(G2536&gt;=0.9,30,IF(G2536&gt;=0.8,25,IF(G2536&gt;=0.7,20,IF(G2536&gt;=0.6,15,IF(G2536&gt;=0.5,10,IF(G2536&gt;=0.4,5,0)))))),"")</x:f>
      </x:c>
      <x:c r="P2536" s="1" t="str">
        <x:f>IF(ISNUMBER(K2536),IF(K2536&lt;0,"",IF(K2536&gt;1,25,IF(K2536&gt;=0.75,20,IF(K2536&gt;=0.5,15,IF(K2536&gt;=0.25,10,5))))),"")</x:f>
      </x:c>
      <x:c r="Q2536" s="1" t="str">
        <x:f>IF(NOT(ISNUMBER(L2536)),"",IF(AND(L2536&gt;=0,MOD(L2536,1)=0),MAX(0,25-5*L2536),""))</x:f>
      </x:c>
      <x:c r="R2536" s="1" t="str">
        <x:f>IF(NOT(ISNUMBER(F2536)),"",IF(AND(F2536&gt;0,MOD(F2536,1)=0),IF(F2536&gt;=700,5,IF(F2536&gt;=500,4,IF(F2536&gt;=350,3,IF(F2536&gt;=200,2,1)))),""))</x:f>
      </x:c>
      <x:c r="S2536" s="1" t="str">
        <x:f>IF(COUNT(O2536:R2536)=4,SUM(O2536:R2536),"")</x:f>
      </x:c>
      <x:c r="T2536" s="1" t="str">
        <x:f>IF(OR(COUNT(O2536:R2536)&lt;&gt;4,COUNT('Top 15'!$B$35:$E$35)&lt;&gt;4,MIN('Top 15'!$B$35:$E$35)&lt;0,SUM('Top 15'!$B$35:$E$35)&lt;=0),"",ROUND(85*(O2536/30*'Top 15'!$B$35+P2536/25*'Top 15'!$C$35+Q2536/25*'Top 15'!$D$35+R2536/5*'Top 15'!$E$35)/SUM('Top 15'!$B$35:$E$35),6))</x:f>
      </x:c>
      <x:c r="U2536" s="1" t="str">
        <x:f>IF(A2536="","",IF(AND(M2536="Verified",N2536="Verified"),"Verified",IF(AND(M2536="Listed",N2536="Listed"),"Listed","Mixed")))</x:f>
      </x:c>
      <x:c r="V2536" s="1" t="str">
        <x:f>IF(A2536="","",IF(AK2536&lt;&gt;1,"Duplicate source ID",IF(COUNTIFS('Staff Review'!$A$8:$A$507,A2536)&gt;1,"Duplicate review ID",IF(H2536&lt;&gt;"Yes","Outside scope",IF(J2536="Yes","Already served",IF(NOT(ISNUMBER(T2536)),"Missing data","Candidate"))))))</x:f>
      </x:c>
      <x:c r="W2536" s="1" t="str">
        <x:f>IF(AL2536=0,"",1+COUNTIFS($AL$2051:$AL$2550,1,$T$2051:$T$2550,"&gt;"&amp;T2536)+COUNTIFS($AL$2051:$AL$2550,1,$T$2051:$T$2550,T2536,$G$2051:$G$2550,"&gt;"&amp;G2536)+COUNTIFS($AL$2051:$AL$2550,1,$T$2051:$T$2550,T2536,$G$2051:$G$2550,G2536,$F$2051:$F$2550,"&gt;"&amp;F2536)+COUNTIFS($AL$2051:$AL$2550,1,$T$2051:$T$2550,T2536,$G$2051:$G$2550,G2536,$F$2051:$F$2550,F2536,$AM$2051:$AM$2550,"&lt;"&amp;AM2536))</x:f>
      </x:c>
      <x:c r="X2536" s="1" t="str">
        <x:f>IF(AL2536=0,"",1+COUNTIFS($AL$2051:$AL$2550,1,$T$2051:$T$2550,"&gt;"&amp;T2536))</x:f>
      </x:c>
      <x:c r="Y2536" s="1" t="n">
        <x:f>IF(AND(H2536="Yes",OR(LEN('School Search'!$B$5)=0,ISNUMBER(SEARCH('School Search'!$B$5,B2536&amp;" "&amp;E2536&amp;" "&amp;A2536))),OR('School Search'!$D$5="All",C2536='School Search'!$D$5),OR('School Search'!$G$5="All eligible",AND('School Search'!$G$5="Not marked served",J2536&lt;&gt;"Yes"),AND('School Search'!$G$5="Missing data",V2536="Missing data"),AND('School Search'!$G$5="Marked served",J2536="Yes"))),1,0)</x:f>
        <x:v>0</x:v>
      </x:c>
      <x:c r="Z2536" s="1" t="str">
        <x:f>IF(Y2536=0,"",COUNTIFS($Y$2051:$Y$2550,1,$AO$2051:$AO$2550,"&lt;"&amp;AO2536)+COUNTIFS($Y$2051:Y2536,1,$AO$2051:AO2536,AO2536))</x:f>
      </x:c>
      <x:c r="AA2536" s="1" t="str">
        <x:f>IF(NOT(ISNUMBER(S2536)),"Missing demographic or access input",TEXT(G2536,"0%")&amp;" economic need; "&amp;TEXT(K2536,"0.00")&amp;" mi fresh access; "&amp;L2536&amp;" nearby resources")</x:f>
        <x:v>Missing demographic or access input</x:v>
      </x:c>
      <x:c r="AB2536" s="1" t="n">
        <x:f>IF(OR(A2536="",COUNTIFS($A$1531:$A$2030,A2536)&lt;&gt;1),0,MATCH(A2536,$A$1531:$A$2030,0))</x:f>
        <x:v>0</x:v>
      </x:c>
      <x:c r="AC2536" s="1" t="str">
        <x:f>IF(AB2536=0,"",INDEX($E$1531:$E$2030,AB2536))</x:f>
      </x:c>
      <x:c r="AD2536" s="1" t="str">
        <x:f>IF(AB2536=0,"",INDEX($F$1531:$F$2030,AB2536))</x:f>
      </x:c>
      <x:c r="AE2536" s="1" t="str">
        <x:f>IF(A2536="","",F487)</x:f>
      </x:c>
      <x:c r="AF2536" s="1" t="str">
        <x:f>IF(ISNUMBER(I487),I487,"")</x:f>
      </x:c>
      <x:c r="AG2536" s="1" t="str">
        <x:f>IF(ISNUMBER(J487),J487,"")</x:f>
      </x:c>
      <x:c r="AH2536" s="1" t="str">
        <x:f>IF(I2536=0,"Not contacted",IF(INDEX('Staff Review'!$J$8:$J$507,I2536)="","Not contacted",INDEX('Staff Review'!$J$8:$J$507,I2536)))</x:f>
        <x:v>Not contacted</x:v>
      </x:c>
      <x:c r="AI2536" s="1" t="str">
        <x:f>IF(I2536=0,"No",IF(AND(COUNT(INDEX('Staff Review'!$D$8:$D$507,I2536))=1,INDEX('Staff Review'!$D$8:$D$507,I2536)&gt;=0,COUNT(INDEX('Staff Review'!$E$8:$E$507,I2536))=1,INDEX('Staff Review'!$E$8:$E$507,I2536)&gt;0,INDEX('Staff Review'!$E$8:$E$507,I2536)&lt;='Top 15'!$E$5,'Top 15'!$E$5-INDEX('Staff Review'!$E$8:$E$507,I2536)&lt;='Top 15'!$H$5,LEN(INDEX('Staff Review'!$H$8:$H$507,I2536))&gt;0),"Yes","No"))</x:f>
        <x:v>No</x:v>
      </x:c>
      <x:c r="AJ2536" s="1" t="str">
        <x:f>IF(I2536=0,"No",IF(COUNT(INDEX('Staff Review'!$F$8:$F$507,I2536))&lt;&gt;1,"No",IF(AND(INDEX('Staff Review'!$F$8:$F$507,I2536)&gt;=0,MOD(INDEX('Staff Review'!$F$8:$F$507,I2536),1)=0,COUNT(INDEX('Staff Review'!$G$8:$G$507,I2536))=1,INDEX('Staff Review'!$G$8:$G$507,I2536)&gt;0,INDEX('Staff Review'!$G$8:$G$507,I2536)&lt;='Top 15'!$E$5,'Top 15'!$E$5-INDEX('Staff Review'!$G$8:$G$507,I2536)&lt;='Top 15'!$H$5,LEN(INDEX('Staff Review'!$H$8:$H$507,I2536))&gt;0),"Yes","No")))</x:f>
        <x:v>No</x:v>
      </x:c>
      <x:c r="AK2536" s="1" t="n">
        <x:f>IF(A2536="",0,COUNTIFS($A$2:$A$501,A2536))</x:f>
        <x:v>0</x:v>
      </x:c>
      <x:c r="AL2536" s="1" t="n">
        <x:f>IF(V2536="Candidate",1,0)</x:f>
        <x:v>0</x:v>
      </x:c>
      <x:c r="AM2536" s="1" t="n">
        <x:f>IF(A2536="",0,VALUE(A2536))</x:f>
        <x:v>0</x:v>
      </x:c>
      <x:c r="AN2536" s="1" t="n">
        <x:f>IF(OR(A2536="",COUNTIFS($T$41:$T$540,A2536)&lt;&gt;1),0,MATCH(A2536,$T$41:$T$540,0))</x:f>
        <x:v>0</x:v>
      </x:c>
      <x:c r="AO2536" t="n">
        <x:f>IF(ISNUMBER(W2536),W2536,10000+AM2536)</x:f>
        <x:v>10000</x:v>
      </x:c>
    </x:row>
    <x:row r="2537" ht="22" customHeight="1">
      <x:c r="A2537" s="1" t="str">
        <x:f>IF(A488="","",A488)</x:f>
      </x:c>
      <x:c r="B2537" s="1" t="str">
        <x:f>IF(A2537="","",B488)</x:f>
      </x:c>
      <x:c r="C2537" s="1" t="str">
        <x:f>IF(A2537="","",C488)</x:f>
      </x:c>
      <x:c r="D2537" s="1" t="str">
        <x:f>IF(A2537="","",E488)</x:f>
      </x:c>
      <x:c r="E2537" s="1" t="str">
        <x:f>IF(A2537="","",H488)</x:f>
      </x:c>
      <x:c r="F2537" s="1" t="str">
        <x:f>IF(ISNUMBER(K488),K488,"")</x:f>
      </x:c>
      <x:c r="G2537" s="1" t="str">
        <x:f>IF(ISNUMBER(L488),L488,"")</x:f>
      </x:c>
      <x:c r="H2537" s="1" t="str">
        <x:f>IF(A2537="","",IF(AND(UPPER(G488)="PHILADELPHIA",OR(C2537="District",AND(C2537="Charter",D488="Yes"))),"Yes","No"))</x:f>
      </x:c>
      <x:c r="I2537" s="1" t="n">
        <x:f>IF(OR(A2537="",COUNTIFS('Staff Review'!$A$8:$A$507,A2537)&lt;&gt;1),0,MATCH(A2537,'Staff Review'!$A$8:$A$507,0))</x:f>
        <x:v>0</x:v>
      </x:c>
      <x:c r="J2537" s="1" t="str">
        <x:f>IF(I2537=0,"No",IF(INDEX('Staff Review'!$C$8:$C$507,I2537)="Yes","Yes","No"))</x:f>
        <x:v>No</x:v>
      </x:c>
      <x:c r="K2537" s="1" t="str">
        <x:f>IF(AI2537="Yes",INDEX('Staff Review'!$D$8:$D$507,I2537),IF(AB2537=0,"",IF(COUNT(INDEX($C$1531:$C$2030,AB2537))=1,INDEX($C$1531:$C$2030,AB2537),"")))</x:f>
      </x:c>
      <x:c r="L2537" s="1" t="str">
        <x:f>IF(AJ2537="Yes",INDEX('Staff Review'!$F$8:$F$507,I2537),IF(AB2537=0,"",IF(COUNT(INDEX($G$1531:$G$2030,AB2537))=1,INDEX($G$1531:$G$2030,AB2537),"")))</x:f>
      </x:c>
      <x:c r="M2537" s="1" t="str">
        <x:f>IF(A2537="","",IF(AI2537="Yes","Verified","Listed"))</x:f>
      </x:c>
      <x:c r="N2537" s="1" t="str">
        <x:f>IF(A2537="","",IF(AJ2537="Yes","Verified","Listed"))</x:f>
      </x:c>
      <x:c r="O2537" s="1" t="str">
        <x:f>IF(AND(ISNUMBER(G2537),G2537&gt;=0,G2537&lt;=1),IF(G2537&gt;=0.9,30,IF(G2537&gt;=0.8,25,IF(G2537&gt;=0.7,20,IF(G2537&gt;=0.6,15,IF(G2537&gt;=0.5,10,IF(G2537&gt;=0.4,5,0)))))),"")</x:f>
      </x:c>
      <x:c r="P2537" s="1" t="str">
        <x:f>IF(ISNUMBER(K2537),IF(K2537&lt;0,"",IF(K2537&gt;1,25,IF(K2537&gt;=0.75,20,IF(K2537&gt;=0.5,15,IF(K2537&gt;=0.25,10,5))))),"")</x:f>
      </x:c>
      <x:c r="Q2537" s="1" t="str">
        <x:f>IF(NOT(ISNUMBER(L2537)),"",IF(AND(L2537&gt;=0,MOD(L2537,1)=0),MAX(0,25-5*L2537),""))</x:f>
      </x:c>
      <x:c r="R2537" s="1" t="str">
        <x:f>IF(NOT(ISNUMBER(F2537)),"",IF(AND(F2537&gt;0,MOD(F2537,1)=0),IF(F2537&gt;=700,5,IF(F2537&gt;=500,4,IF(F2537&gt;=350,3,IF(F2537&gt;=200,2,1)))),""))</x:f>
      </x:c>
      <x:c r="S2537" s="1" t="str">
        <x:f>IF(COUNT(O2537:R2537)=4,SUM(O2537:R2537),"")</x:f>
      </x:c>
      <x:c r="T2537" s="1" t="str">
        <x:f>IF(OR(COUNT(O2537:R2537)&lt;&gt;4,COUNT('Top 15'!$B$35:$E$35)&lt;&gt;4,MIN('Top 15'!$B$35:$E$35)&lt;0,SUM('Top 15'!$B$35:$E$35)&lt;=0),"",ROUND(85*(O2537/30*'Top 15'!$B$35+P2537/25*'Top 15'!$C$35+Q2537/25*'Top 15'!$D$35+R2537/5*'Top 15'!$E$35)/SUM('Top 15'!$B$35:$E$35),6))</x:f>
      </x:c>
      <x:c r="U2537" s="1" t="str">
        <x:f>IF(A2537="","",IF(AND(M2537="Verified",N2537="Verified"),"Verified",IF(AND(M2537="Listed",N2537="Listed"),"Listed","Mixed")))</x:f>
      </x:c>
      <x:c r="V2537" s="1" t="str">
        <x:f>IF(A2537="","",IF(AK2537&lt;&gt;1,"Duplicate source ID",IF(COUNTIFS('Staff Review'!$A$8:$A$507,A2537)&gt;1,"Duplicate review ID",IF(H2537&lt;&gt;"Yes","Outside scope",IF(J2537="Yes","Already served",IF(NOT(ISNUMBER(T2537)),"Missing data","Candidate"))))))</x:f>
      </x:c>
      <x:c r="W2537" s="1" t="str">
        <x:f>IF(AL2537=0,"",1+COUNTIFS($AL$2051:$AL$2550,1,$T$2051:$T$2550,"&gt;"&amp;T2537)+COUNTIFS($AL$2051:$AL$2550,1,$T$2051:$T$2550,T2537,$G$2051:$G$2550,"&gt;"&amp;G2537)+COUNTIFS($AL$2051:$AL$2550,1,$T$2051:$T$2550,T2537,$G$2051:$G$2550,G2537,$F$2051:$F$2550,"&gt;"&amp;F2537)+COUNTIFS($AL$2051:$AL$2550,1,$T$2051:$T$2550,T2537,$G$2051:$G$2550,G2537,$F$2051:$F$2550,F2537,$AM$2051:$AM$2550,"&lt;"&amp;AM2537))</x:f>
      </x:c>
      <x:c r="X2537" s="1" t="str">
        <x:f>IF(AL2537=0,"",1+COUNTIFS($AL$2051:$AL$2550,1,$T$2051:$T$2550,"&gt;"&amp;T2537))</x:f>
      </x:c>
      <x:c r="Y2537" s="1" t="n">
        <x:f>IF(AND(H2537="Yes",OR(LEN('School Search'!$B$5)=0,ISNUMBER(SEARCH('School Search'!$B$5,B2537&amp;" "&amp;E2537&amp;" "&amp;A2537))),OR('School Search'!$D$5="All",C2537='School Search'!$D$5),OR('School Search'!$G$5="All eligible",AND('School Search'!$G$5="Not marked served",J2537&lt;&gt;"Yes"),AND('School Search'!$G$5="Missing data",V2537="Missing data"),AND('School Search'!$G$5="Marked served",J2537="Yes"))),1,0)</x:f>
        <x:v>0</x:v>
      </x:c>
      <x:c r="Z2537" s="1" t="str">
        <x:f>IF(Y2537=0,"",COUNTIFS($Y$2051:$Y$2550,1,$AO$2051:$AO$2550,"&lt;"&amp;AO2537)+COUNTIFS($Y$2051:Y2537,1,$AO$2051:AO2537,AO2537))</x:f>
      </x:c>
      <x:c r="AA2537" s="1" t="str">
        <x:f>IF(NOT(ISNUMBER(S2537)),"Missing demographic or access input",TEXT(G2537,"0%")&amp;" economic need; "&amp;TEXT(K2537,"0.00")&amp;" mi fresh access; "&amp;L2537&amp;" nearby resources")</x:f>
        <x:v>Missing demographic or access input</x:v>
      </x:c>
      <x:c r="AB2537" s="1" t="n">
        <x:f>IF(OR(A2537="",COUNTIFS($A$1531:$A$2030,A2537)&lt;&gt;1),0,MATCH(A2537,$A$1531:$A$2030,0))</x:f>
        <x:v>0</x:v>
      </x:c>
      <x:c r="AC2537" s="1" t="str">
        <x:f>IF(AB2537=0,"",INDEX($E$1531:$E$2030,AB2537))</x:f>
      </x:c>
      <x:c r="AD2537" s="1" t="str">
        <x:f>IF(AB2537=0,"",INDEX($F$1531:$F$2030,AB2537))</x:f>
      </x:c>
      <x:c r="AE2537" s="1" t="str">
        <x:f>IF(A2537="","",F488)</x:f>
      </x:c>
      <x:c r="AF2537" s="1" t="str">
        <x:f>IF(ISNUMBER(I488),I488,"")</x:f>
      </x:c>
      <x:c r="AG2537" s="1" t="str">
        <x:f>IF(ISNUMBER(J488),J488,"")</x:f>
      </x:c>
      <x:c r="AH2537" s="1" t="str">
        <x:f>IF(I2537=0,"Not contacted",IF(INDEX('Staff Review'!$J$8:$J$507,I2537)="","Not contacted",INDEX('Staff Review'!$J$8:$J$507,I2537)))</x:f>
        <x:v>Not contacted</x:v>
      </x:c>
      <x:c r="AI2537" s="1" t="str">
        <x:f>IF(I2537=0,"No",IF(AND(COUNT(INDEX('Staff Review'!$D$8:$D$507,I2537))=1,INDEX('Staff Review'!$D$8:$D$507,I2537)&gt;=0,COUNT(INDEX('Staff Review'!$E$8:$E$507,I2537))=1,INDEX('Staff Review'!$E$8:$E$507,I2537)&gt;0,INDEX('Staff Review'!$E$8:$E$507,I2537)&lt;='Top 15'!$E$5,'Top 15'!$E$5-INDEX('Staff Review'!$E$8:$E$507,I2537)&lt;='Top 15'!$H$5,LEN(INDEX('Staff Review'!$H$8:$H$507,I2537))&gt;0),"Yes","No"))</x:f>
        <x:v>No</x:v>
      </x:c>
      <x:c r="AJ2537" s="1" t="str">
        <x:f>IF(I2537=0,"No",IF(COUNT(INDEX('Staff Review'!$F$8:$F$507,I2537))&lt;&gt;1,"No",IF(AND(INDEX('Staff Review'!$F$8:$F$507,I2537)&gt;=0,MOD(INDEX('Staff Review'!$F$8:$F$507,I2537),1)=0,COUNT(INDEX('Staff Review'!$G$8:$G$507,I2537))=1,INDEX('Staff Review'!$G$8:$G$507,I2537)&gt;0,INDEX('Staff Review'!$G$8:$G$507,I2537)&lt;='Top 15'!$E$5,'Top 15'!$E$5-INDEX('Staff Review'!$G$8:$G$507,I2537)&lt;='Top 15'!$H$5,LEN(INDEX('Staff Review'!$H$8:$H$507,I2537))&gt;0),"Yes","No")))</x:f>
        <x:v>No</x:v>
      </x:c>
      <x:c r="AK2537" s="1" t="n">
        <x:f>IF(A2537="",0,COUNTIFS($A$2:$A$501,A2537))</x:f>
        <x:v>0</x:v>
      </x:c>
      <x:c r="AL2537" s="1" t="n">
        <x:f>IF(V2537="Candidate",1,0)</x:f>
        <x:v>0</x:v>
      </x:c>
      <x:c r="AM2537" s="1" t="n">
        <x:f>IF(A2537="",0,VALUE(A2537))</x:f>
        <x:v>0</x:v>
      </x:c>
      <x:c r="AN2537" s="1" t="n">
        <x:f>IF(OR(A2537="",COUNTIFS($T$41:$T$540,A2537)&lt;&gt;1),0,MATCH(A2537,$T$41:$T$540,0))</x:f>
        <x:v>0</x:v>
      </x:c>
      <x:c r="AO2537" t="n">
        <x:f>IF(ISNUMBER(W2537),W2537,10000+AM2537)</x:f>
        <x:v>10000</x:v>
      </x:c>
    </x:row>
    <x:row r="2538" ht="22" customHeight="1">
      <x:c r="A2538" s="1" t="str">
        <x:f>IF(A489="","",A489)</x:f>
      </x:c>
      <x:c r="B2538" s="1" t="str">
        <x:f>IF(A2538="","",B489)</x:f>
      </x:c>
      <x:c r="C2538" s="1" t="str">
        <x:f>IF(A2538="","",C489)</x:f>
      </x:c>
      <x:c r="D2538" s="1" t="str">
        <x:f>IF(A2538="","",E489)</x:f>
      </x:c>
      <x:c r="E2538" s="1" t="str">
        <x:f>IF(A2538="","",H489)</x:f>
      </x:c>
      <x:c r="F2538" s="1" t="str">
        <x:f>IF(ISNUMBER(K489),K489,"")</x:f>
      </x:c>
      <x:c r="G2538" s="1" t="str">
        <x:f>IF(ISNUMBER(L489),L489,"")</x:f>
      </x:c>
      <x:c r="H2538" s="1" t="str">
        <x:f>IF(A2538="","",IF(AND(UPPER(G489)="PHILADELPHIA",OR(C2538="District",AND(C2538="Charter",D489="Yes"))),"Yes","No"))</x:f>
      </x:c>
      <x:c r="I2538" s="1" t="n">
        <x:f>IF(OR(A2538="",COUNTIFS('Staff Review'!$A$8:$A$507,A2538)&lt;&gt;1),0,MATCH(A2538,'Staff Review'!$A$8:$A$507,0))</x:f>
        <x:v>0</x:v>
      </x:c>
      <x:c r="J2538" s="1" t="str">
        <x:f>IF(I2538=0,"No",IF(INDEX('Staff Review'!$C$8:$C$507,I2538)="Yes","Yes","No"))</x:f>
        <x:v>No</x:v>
      </x:c>
      <x:c r="K2538" s="1" t="str">
        <x:f>IF(AI2538="Yes",INDEX('Staff Review'!$D$8:$D$507,I2538),IF(AB2538=0,"",IF(COUNT(INDEX($C$1531:$C$2030,AB2538))=1,INDEX($C$1531:$C$2030,AB2538),"")))</x:f>
      </x:c>
      <x:c r="L2538" s="1" t="str">
        <x:f>IF(AJ2538="Yes",INDEX('Staff Review'!$F$8:$F$507,I2538),IF(AB2538=0,"",IF(COUNT(INDEX($G$1531:$G$2030,AB2538))=1,INDEX($G$1531:$G$2030,AB2538),"")))</x:f>
      </x:c>
      <x:c r="M2538" s="1" t="str">
        <x:f>IF(A2538="","",IF(AI2538="Yes","Verified","Listed"))</x:f>
      </x:c>
      <x:c r="N2538" s="1" t="str">
        <x:f>IF(A2538="","",IF(AJ2538="Yes","Verified","Listed"))</x:f>
      </x:c>
      <x:c r="O2538" s="1" t="str">
        <x:f>IF(AND(ISNUMBER(G2538),G2538&gt;=0,G2538&lt;=1),IF(G2538&gt;=0.9,30,IF(G2538&gt;=0.8,25,IF(G2538&gt;=0.7,20,IF(G2538&gt;=0.6,15,IF(G2538&gt;=0.5,10,IF(G2538&gt;=0.4,5,0)))))),"")</x:f>
      </x:c>
      <x:c r="P2538" s="1" t="str">
        <x:f>IF(ISNUMBER(K2538),IF(K2538&lt;0,"",IF(K2538&gt;1,25,IF(K2538&gt;=0.75,20,IF(K2538&gt;=0.5,15,IF(K2538&gt;=0.25,10,5))))),"")</x:f>
      </x:c>
      <x:c r="Q2538" s="1" t="str">
        <x:f>IF(NOT(ISNUMBER(L2538)),"",IF(AND(L2538&gt;=0,MOD(L2538,1)=0),MAX(0,25-5*L2538),""))</x:f>
      </x:c>
      <x:c r="R2538" s="1" t="str">
        <x:f>IF(NOT(ISNUMBER(F2538)),"",IF(AND(F2538&gt;0,MOD(F2538,1)=0),IF(F2538&gt;=700,5,IF(F2538&gt;=500,4,IF(F2538&gt;=350,3,IF(F2538&gt;=200,2,1)))),""))</x:f>
      </x:c>
      <x:c r="S2538" s="1" t="str">
        <x:f>IF(COUNT(O2538:R2538)=4,SUM(O2538:R2538),"")</x:f>
      </x:c>
      <x:c r="T2538" s="1" t="str">
        <x:f>IF(OR(COUNT(O2538:R2538)&lt;&gt;4,COUNT('Top 15'!$B$35:$E$35)&lt;&gt;4,MIN('Top 15'!$B$35:$E$35)&lt;0,SUM('Top 15'!$B$35:$E$35)&lt;=0),"",ROUND(85*(O2538/30*'Top 15'!$B$35+P2538/25*'Top 15'!$C$35+Q2538/25*'Top 15'!$D$35+R2538/5*'Top 15'!$E$35)/SUM('Top 15'!$B$35:$E$35),6))</x:f>
      </x:c>
      <x:c r="U2538" s="1" t="str">
        <x:f>IF(A2538="","",IF(AND(M2538="Verified",N2538="Verified"),"Verified",IF(AND(M2538="Listed",N2538="Listed"),"Listed","Mixed")))</x:f>
      </x:c>
      <x:c r="V2538" s="1" t="str">
        <x:f>IF(A2538="","",IF(AK2538&lt;&gt;1,"Duplicate source ID",IF(COUNTIFS('Staff Review'!$A$8:$A$507,A2538)&gt;1,"Duplicate review ID",IF(H2538&lt;&gt;"Yes","Outside scope",IF(J2538="Yes","Already served",IF(NOT(ISNUMBER(T2538)),"Missing data","Candidate"))))))</x:f>
      </x:c>
      <x:c r="W2538" s="1" t="str">
        <x:f>IF(AL2538=0,"",1+COUNTIFS($AL$2051:$AL$2550,1,$T$2051:$T$2550,"&gt;"&amp;T2538)+COUNTIFS($AL$2051:$AL$2550,1,$T$2051:$T$2550,T2538,$G$2051:$G$2550,"&gt;"&amp;G2538)+COUNTIFS($AL$2051:$AL$2550,1,$T$2051:$T$2550,T2538,$G$2051:$G$2550,G2538,$F$2051:$F$2550,"&gt;"&amp;F2538)+COUNTIFS($AL$2051:$AL$2550,1,$T$2051:$T$2550,T2538,$G$2051:$G$2550,G2538,$F$2051:$F$2550,F2538,$AM$2051:$AM$2550,"&lt;"&amp;AM2538))</x:f>
      </x:c>
      <x:c r="X2538" s="1" t="str">
        <x:f>IF(AL2538=0,"",1+COUNTIFS($AL$2051:$AL$2550,1,$T$2051:$T$2550,"&gt;"&amp;T2538))</x:f>
      </x:c>
      <x:c r="Y2538" s="1" t="n">
        <x:f>IF(AND(H2538="Yes",OR(LEN('School Search'!$B$5)=0,ISNUMBER(SEARCH('School Search'!$B$5,B2538&amp;" "&amp;E2538&amp;" "&amp;A2538))),OR('School Search'!$D$5="All",C2538='School Search'!$D$5),OR('School Search'!$G$5="All eligible",AND('School Search'!$G$5="Not marked served",J2538&lt;&gt;"Yes"),AND('School Search'!$G$5="Missing data",V2538="Missing data"),AND('School Search'!$G$5="Marked served",J2538="Yes"))),1,0)</x:f>
        <x:v>0</x:v>
      </x:c>
      <x:c r="Z2538" s="1" t="str">
        <x:f>IF(Y2538=0,"",COUNTIFS($Y$2051:$Y$2550,1,$AO$2051:$AO$2550,"&lt;"&amp;AO2538)+COUNTIFS($Y$2051:Y2538,1,$AO$2051:AO2538,AO2538))</x:f>
      </x:c>
      <x:c r="AA2538" s="1" t="str">
        <x:f>IF(NOT(ISNUMBER(S2538)),"Missing demographic or access input",TEXT(G2538,"0%")&amp;" economic need; "&amp;TEXT(K2538,"0.00")&amp;" mi fresh access; "&amp;L2538&amp;" nearby resources")</x:f>
        <x:v>Missing demographic or access input</x:v>
      </x:c>
      <x:c r="AB2538" s="1" t="n">
        <x:f>IF(OR(A2538="",COUNTIFS($A$1531:$A$2030,A2538)&lt;&gt;1),0,MATCH(A2538,$A$1531:$A$2030,0))</x:f>
        <x:v>0</x:v>
      </x:c>
      <x:c r="AC2538" s="1" t="str">
        <x:f>IF(AB2538=0,"",INDEX($E$1531:$E$2030,AB2538))</x:f>
      </x:c>
      <x:c r="AD2538" s="1" t="str">
        <x:f>IF(AB2538=0,"",INDEX($F$1531:$F$2030,AB2538))</x:f>
      </x:c>
      <x:c r="AE2538" s="1" t="str">
        <x:f>IF(A2538="","",F489)</x:f>
      </x:c>
      <x:c r="AF2538" s="1" t="str">
        <x:f>IF(ISNUMBER(I489),I489,"")</x:f>
      </x:c>
      <x:c r="AG2538" s="1" t="str">
        <x:f>IF(ISNUMBER(J489),J489,"")</x:f>
      </x:c>
      <x:c r="AH2538" s="1" t="str">
        <x:f>IF(I2538=0,"Not contacted",IF(INDEX('Staff Review'!$J$8:$J$507,I2538)="","Not contacted",INDEX('Staff Review'!$J$8:$J$507,I2538)))</x:f>
        <x:v>Not contacted</x:v>
      </x:c>
      <x:c r="AI2538" s="1" t="str">
        <x:f>IF(I2538=0,"No",IF(AND(COUNT(INDEX('Staff Review'!$D$8:$D$507,I2538))=1,INDEX('Staff Review'!$D$8:$D$507,I2538)&gt;=0,COUNT(INDEX('Staff Review'!$E$8:$E$507,I2538))=1,INDEX('Staff Review'!$E$8:$E$507,I2538)&gt;0,INDEX('Staff Review'!$E$8:$E$507,I2538)&lt;='Top 15'!$E$5,'Top 15'!$E$5-INDEX('Staff Review'!$E$8:$E$507,I2538)&lt;='Top 15'!$H$5,LEN(INDEX('Staff Review'!$H$8:$H$507,I2538))&gt;0),"Yes","No"))</x:f>
        <x:v>No</x:v>
      </x:c>
      <x:c r="AJ2538" s="1" t="str">
        <x:f>IF(I2538=0,"No",IF(COUNT(INDEX('Staff Review'!$F$8:$F$507,I2538))&lt;&gt;1,"No",IF(AND(INDEX('Staff Review'!$F$8:$F$507,I2538)&gt;=0,MOD(INDEX('Staff Review'!$F$8:$F$507,I2538),1)=0,COUNT(INDEX('Staff Review'!$G$8:$G$507,I2538))=1,INDEX('Staff Review'!$G$8:$G$507,I2538)&gt;0,INDEX('Staff Review'!$G$8:$G$507,I2538)&lt;='Top 15'!$E$5,'Top 15'!$E$5-INDEX('Staff Review'!$G$8:$G$507,I2538)&lt;='Top 15'!$H$5,LEN(INDEX('Staff Review'!$H$8:$H$507,I2538))&gt;0),"Yes","No")))</x:f>
        <x:v>No</x:v>
      </x:c>
      <x:c r="AK2538" s="1" t="n">
        <x:f>IF(A2538="",0,COUNTIFS($A$2:$A$501,A2538))</x:f>
        <x:v>0</x:v>
      </x:c>
      <x:c r="AL2538" s="1" t="n">
        <x:f>IF(V2538="Candidate",1,0)</x:f>
        <x:v>0</x:v>
      </x:c>
      <x:c r="AM2538" s="1" t="n">
        <x:f>IF(A2538="",0,VALUE(A2538))</x:f>
        <x:v>0</x:v>
      </x:c>
      <x:c r="AN2538" s="1" t="n">
        <x:f>IF(OR(A2538="",COUNTIFS($T$41:$T$540,A2538)&lt;&gt;1),0,MATCH(A2538,$T$41:$T$540,0))</x:f>
        <x:v>0</x:v>
      </x:c>
      <x:c r="AO2538" t="n">
        <x:f>IF(ISNUMBER(W2538),W2538,10000+AM2538)</x:f>
        <x:v>10000</x:v>
      </x:c>
    </x:row>
    <x:row r="2539" ht="22" customHeight="1">
      <x:c r="A2539" s="1" t="str">
        <x:f>IF(A490="","",A490)</x:f>
      </x:c>
      <x:c r="B2539" s="1" t="str">
        <x:f>IF(A2539="","",B490)</x:f>
      </x:c>
      <x:c r="C2539" s="1" t="str">
        <x:f>IF(A2539="","",C490)</x:f>
      </x:c>
      <x:c r="D2539" s="1" t="str">
        <x:f>IF(A2539="","",E490)</x:f>
      </x:c>
      <x:c r="E2539" s="1" t="str">
        <x:f>IF(A2539="","",H490)</x:f>
      </x:c>
      <x:c r="F2539" s="1" t="str">
        <x:f>IF(ISNUMBER(K490),K490,"")</x:f>
      </x:c>
      <x:c r="G2539" s="1" t="str">
        <x:f>IF(ISNUMBER(L490),L490,"")</x:f>
      </x:c>
      <x:c r="H2539" s="1" t="str">
        <x:f>IF(A2539="","",IF(AND(UPPER(G490)="PHILADELPHIA",OR(C2539="District",AND(C2539="Charter",D490="Yes"))),"Yes","No"))</x:f>
      </x:c>
      <x:c r="I2539" s="1" t="n">
        <x:f>IF(OR(A2539="",COUNTIFS('Staff Review'!$A$8:$A$507,A2539)&lt;&gt;1),0,MATCH(A2539,'Staff Review'!$A$8:$A$507,0))</x:f>
        <x:v>0</x:v>
      </x:c>
      <x:c r="J2539" s="1" t="str">
        <x:f>IF(I2539=0,"No",IF(INDEX('Staff Review'!$C$8:$C$507,I2539)="Yes","Yes","No"))</x:f>
        <x:v>No</x:v>
      </x:c>
      <x:c r="K2539" s="1" t="str">
        <x:f>IF(AI2539="Yes",INDEX('Staff Review'!$D$8:$D$507,I2539),IF(AB2539=0,"",IF(COUNT(INDEX($C$1531:$C$2030,AB2539))=1,INDEX($C$1531:$C$2030,AB2539),"")))</x:f>
      </x:c>
      <x:c r="L2539" s="1" t="str">
        <x:f>IF(AJ2539="Yes",INDEX('Staff Review'!$F$8:$F$507,I2539),IF(AB2539=0,"",IF(COUNT(INDEX($G$1531:$G$2030,AB2539))=1,INDEX($G$1531:$G$2030,AB2539),"")))</x:f>
      </x:c>
      <x:c r="M2539" s="1" t="str">
        <x:f>IF(A2539="","",IF(AI2539="Yes","Verified","Listed"))</x:f>
      </x:c>
      <x:c r="N2539" s="1" t="str">
        <x:f>IF(A2539="","",IF(AJ2539="Yes","Verified","Listed"))</x:f>
      </x:c>
      <x:c r="O2539" s="1" t="str">
        <x:f>IF(AND(ISNUMBER(G2539),G2539&gt;=0,G2539&lt;=1),IF(G2539&gt;=0.9,30,IF(G2539&gt;=0.8,25,IF(G2539&gt;=0.7,20,IF(G2539&gt;=0.6,15,IF(G2539&gt;=0.5,10,IF(G2539&gt;=0.4,5,0)))))),"")</x:f>
      </x:c>
      <x:c r="P2539" s="1" t="str">
        <x:f>IF(ISNUMBER(K2539),IF(K2539&lt;0,"",IF(K2539&gt;1,25,IF(K2539&gt;=0.75,20,IF(K2539&gt;=0.5,15,IF(K2539&gt;=0.25,10,5))))),"")</x:f>
      </x:c>
      <x:c r="Q2539" s="1" t="str">
        <x:f>IF(NOT(ISNUMBER(L2539)),"",IF(AND(L2539&gt;=0,MOD(L2539,1)=0),MAX(0,25-5*L2539),""))</x:f>
      </x:c>
      <x:c r="R2539" s="1" t="str">
        <x:f>IF(NOT(ISNUMBER(F2539)),"",IF(AND(F2539&gt;0,MOD(F2539,1)=0),IF(F2539&gt;=700,5,IF(F2539&gt;=500,4,IF(F2539&gt;=350,3,IF(F2539&gt;=200,2,1)))),""))</x:f>
      </x:c>
      <x:c r="S2539" s="1" t="str">
        <x:f>IF(COUNT(O2539:R2539)=4,SUM(O2539:R2539),"")</x:f>
      </x:c>
      <x:c r="T2539" s="1" t="str">
        <x:f>IF(OR(COUNT(O2539:R2539)&lt;&gt;4,COUNT('Top 15'!$B$35:$E$35)&lt;&gt;4,MIN('Top 15'!$B$35:$E$35)&lt;0,SUM('Top 15'!$B$35:$E$35)&lt;=0),"",ROUND(85*(O2539/30*'Top 15'!$B$35+P2539/25*'Top 15'!$C$35+Q2539/25*'Top 15'!$D$35+R2539/5*'Top 15'!$E$35)/SUM('Top 15'!$B$35:$E$35),6))</x:f>
      </x:c>
      <x:c r="U2539" s="1" t="str">
        <x:f>IF(A2539="","",IF(AND(M2539="Verified",N2539="Verified"),"Verified",IF(AND(M2539="Listed",N2539="Listed"),"Listed","Mixed")))</x:f>
      </x:c>
      <x:c r="V2539" s="1" t="str">
        <x:f>IF(A2539="","",IF(AK2539&lt;&gt;1,"Duplicate source ID",IF(COUNTIFS('Staff Review'!$A$8:$A$507,A2539)&gt;1,"Duplicate review ID",IF(H2539&lt;&gt;"Yes","Outside scope",IF(J2539="Yes","Already served",IF(NOT(ISNUMBER(T2539)),"Missing data","Candidate"))))))</x:f>
      </x:c>
      <x:c r="W2539" s="1" t="str">
        <x:f>IF(AL2539=0,"",1+COUNTIFS($AL$2051:$AL$2550,1,$T$2051:$T$2550,"&gt;"&amp;T2539)+COUNTIFS($AL$2051:$AL$2550,1,$T$2051:$T$2550,T2539,$G$2051:$G$2550,"&gt;"&amp;G2539)+COUNTIFS($AL$2051:$AL$2550,1,$T$2051:$T$2550,T2539,$G$2051:$G$2550,G2539,$F$2051:$F$2550,"&gt;"&amp;F2539)+COUNTIFS($AL$2051:$AL$2550,1,$T$2051:$T$2550,T2539,$G$2051:$G$2550,G2539,$F$2051:$F$2550,F2539,$AM$2051:$AM$2550,"&lt;"&amp;AM2539))</x:f>
      </x:c>
      <x:c r="X2539" s="1" t="str">
        <x:f>IF(AL2539=0,"",1+COUNTIFS($AL$2051:$AL$2550,1,$T$2051:$T$2550,"&gt;"&amp;T2539))</x:f>
      </x:c>
      <x:c r="Y2539" s="1" t="n">
        <x:f>IF(AND(H2539="Yes",OR(LEN('School Search'!$B$5)=0,ISNUMBER(SEARCH('School Search'!$B$5,B2539&amp;" "&amp;E2539&amp;" "&amp;A2539))),OR('School Search'!$D$5="All",C2539='School Search'!$D$5),OR('School Search'!$G$5="All eligible",AND('School Search'!$G$5="Not marked served",J2539&lt;&gt;"Yes"),AND('School Search'!$G$5="Missing data",V2539="Missing data"),AND('School Search'!$G$5="Marked served",J2539="Yes"))),1,0)</x:f>
        <x:v>0</x:v>
      </x:c>
      <x:c r="Z2539" s="1" t="str">
        <x:f>IF(Y2539=0,"",COUNTIFS($Y$2051:$Y$2550,1,$AO$2051:$AO$2550,"&lt;"&amp;AO2539)+COUNTIFS($Y$2051:Y2539,1,$AO$2051:AO2539,AO2539))</x:f>
      </x:c>
      <x:c r="AA2539" s="1" t="str">
        <x:f>IF(NOT(ISNUMBER(S2539)),"Missing demographic or access input",TEXT(G2539,"0%")&amp;" economic need; "&amp;TEXT(K2539,"0.00")&amp;" mi fresh access; "&amp;L2539&amp;" nearby resources")</x:f>
        <x:v>Missing demographic or access input</x:v>
      </x:c>
      <x:c r="AB2539" s="1" t="n">
        <x:f>IF(OR(A2539="",COUNTIFS($A$1531:$A$2030,A2539)&lt;&gt;1),0,MATCH(A2539,$A$1531:$A$2030,0))</x:f>
        <x:v>0</x:v>
      </x:c>
      <x:c r="AC2539" s="1" t="str">
        <x:f>IF(AB2539=0,"",INDEX($E$1531:$E$2030,AB2539))</x:f>
      </x:c>
      <x:c r="AD2539" s="1" t="str">
        <x:f>IF(AB2539=0,"",INDEX($F$1531:$F$2030,AB2539))</x:f>
      </x:c>
      <x:c r="AE2539" s="1" t="str">
        <x:f>IF(A2539="","",F490)</x:f>
      </x:c>
      <x:c r="AF2539" s="1" t="str">
        <x:f>IF(ISNUMBER(I490),I490,"")</x:f>
      </x:c>
      <x:c r="AG2539" s="1" t="str">
        <x:f>IF(ISNUMBER(J490),J490,"")</x:f>
      </x:c>
      <x:c r="AH2539" s="1" t="str">
        <x:f>IF(I2539=0,"Not contacted",IF(INDEX('Staff Review'!$J$8:$J$507,I2539)="","Not contacted",INDEX('Staff Review'!$J$8:$J$507,I2539)))</x:f>
        <x:v>Not contacted</x:v>
      </x:c>
      <x:c r="AI2539" s="1" t="str">
        <x:f>IF(I2539=0,"No",IF(AND(COUNT(INDEX('Staff Review'!$D$8:$D$507,I2539))=1,INDEX('Staff Review'!$D$8:$D$507,I2539)&gt;=0,COUNT(INDEX('Staff Review'!$E$8:$E$507,I2539))=1,INDEX('Staff Review'!$E$8:$E$507,I2539)&gt;0,INDEX('Staff Review'!$E$8:$E$507,I2539)&lt;='Top 15'!$E$5,'Top 15'!$E$5-INDEX('Staff Review'!$E$8:$E$507,I2539)&lt;='Top 15'!$H$5,LEN(INDEX('Staff Review'!$H$8:$H$507,I2539))&gt;0),"Yes","No"))</x:f>
        <x:v>No</x:v>
      </x:c>
      <x:c r="AJ2539" s="1" t="str">
        <x:f>IF(I2539=0,"No",IF(COUNT(INDEX('Staff Review'!$F$8:$F$507,I2539))&lt;&gt;1,"No",IF(AND(INDEX('Staff Review'!$F$8:$F$507,I2539)&gt;=0,MOD(INDEX('Staff Review'!$F$8:$F$507,I2539),1)=0,COUNT(INDEX('Staff Review'!$G$8:$G$507,I2539))=1,INDEX('Staff Review'!$G$8:$G$507,I2539)&gt;0,INDEX('Staff Review'!$G$8:$G$507,I2539)&lt;='Top 15'!$E$5,'Top 15'!$E$5-INDEX('Staff Review'!$G$8:$G$507,I2539)&lt;='Top 15'!$H$5,LEN(INDEX('Staff Review'!$H$8:$H$507,I2539))&gt;0),"Yes","No")))</x:f>
        <x:v>No</x:v>
      </x:c>
      <x:c r="AK2539" s="1" t="n">
        <x:f>IF(A2539="",0,COUNTIFS($A$2:$A$501,A2539))</x:f>
        <x:v>0</x:v>
      </x:c>
      <x:c r="AL2539" s="1" t="n">
        <x:f>IF(V2539="Candidate",1,0)</x:f>
        <x:v>0</x:v>
      </x:c>
      <x:c r="AM2539" s="1" t="n">
        <x:f>IF(A2539="",0,VALUE(A2539))</x:f>
        <x:v>0</x:v>
      </x:c>
      <x:c r="AN2539" s="1" t="n">
        <x:f>IF(OR(A2539="",COUNTIFS($T$41:$T$540,A2539)&lt;&gt;1),0,MATCH(A2539,$T$41:$T$540,0))</x:f>
        <x:v>0</x:v>
      </x:c>
      <x:c r="AO2539" t="n">
        <x:f>IF(ISNUMBER(W2539),W2539,10000+AM2539)</x:f>
        <x:v>10000</x:v>
      </x:c>
    </x:row>
    <x:row r="2540" ht="22" customHeight="1">
      <x:c r="A2540" s="1" t="str">
        <x:f>IF(A491="","",A491)</x:f>
      </x:c>
      <x:c r="B2540" s="1" t="str">
        <x:f>IF(A2540="","",B491)</x:f>
      </x:c>
      <x:c r="C2540" s="1" t="str">
        <x:f>IF(A2540="","",C491)</x:f>
      </x:c>
      <x:c r="D2540" s="1" t="str">
        <x:f>IF(A2540="","",E491)</x:f>
      </x:c>
      <x:c r="E2540" s="1" t="str">
        <x:f>IF(A2540="","",H491)</x:f>
      </x:c>
      <x:c r="F2540" s="1" t="str">
        <x:f>IF(ISNUMBER(K491),K491,"")</x:f>
      </x:c>
      <x:c r="G2540" s="1" t="str">
        <x:f>IF(ISNUMBER(L491),L491,"")</x:f>
      </x:c>
      <x:c r="H2540" s="1" t="str">
        <x:f>IF(A2540="","",IF(AND(UPPER(G491)="PHILADELPHIA",OR(C2540="District",AND(C2540="Charter",D491="Yes"))),"Yes","No"))</x:f>
      </x:c>
      <x:c r="I2540" s="1" t="n">
        <x:f>IF(OR(A2540="",COUNTIFS('Staff Review'!$A$8:$A$507,A2540)&lt;&gt;1),0,MATCH(A2540,'Staff Review'!$A$8:$A$507,0))</x:f>
        <x:v>0</x:v>
      </x:c>
      <x:c r="J2540" s="1" t="str">
        <x:f>IF(I2540=0,"No",IF(INDEX('Staff Review'!$C$8:$C$507,I2540)="Yes","Yes","No"))</x:f>
        <x:v>No</x:v>
      </x:c>
      <x:c r="K2540" s="1" t="str">
        <x:f>IF(AI2540="Yes",INDEX('Staff Review'!$D$8:$D$507,I2540),IF(AB2540=0,"",IF(COUNT(INDEX($C$1531:$C$2030,AB2540))=1,INDEX($C$1531:$C$2030,AB2540),"")))</x:f>
      </x:c>
      <x:c r="L2540" s="1" t="str">
        <x:f>IF(AJ2540="Yes",INDEX('Staff Review'!$F$8:$F$507,I2540),IF(AB2540=0,"",IF(COUNT(INDEX($G$1531:$G$2030,AB2540))=1,INDEX($G$1531:$G$2030,AB2540),"")))</x:f>
      </x:c>
      <x:c r="M2540" s="1" t="str">
        <x:f>IF(A2540="","",IF(AI2540="Yes","Verified","Listed"))</x:f>
      </x:c>
      <x:c r="N2540" s="1" t="str">
        <x:f>IF(A2540="","",IF(AJ2540="Yes","Verified","Listed"))</x:f>
      </x:c>
      <x:c r="O2540" s="1" t="str">
        <x:f>IF(AND(ISNUMBER(G2540),G2540&gt;=0,G2540&lt;=1),IF(G2540&gt;=0.9,30,IF(G2540&gt;=0.8,25,IF(G2540&gt;=0.7,20,IF(G2540&gt;=0.6,15,IF(G2540&gt;=0.5,10,IF(G2540&gt;=0.4,5,0)))))),"")</x:f>
      </x:c>
      <x:c r="P2540" s="1" t="str">
        <x:f>IF(ISNUMBER(K2540),IF(K2540&lt;0,"",IF(K2540&gt;1,25,IF(K2540&gt;=0.75,20,IF(K2540&gt;=0.5,15,IF(K2540&gt;=0.25,10,5))))),"")</x:f>
      </x:c>
      <x:c r="Q2540" s="1" t="str">
        <x:f>IF(NOT(ISNUMBER(L2540)),"",IF(AND(L2540&gt;=0,MOD(L2540,1)=0),MAX(0,25-5*L2540),""))</x:f>
      </x:c>
      <x:c r="R2540" s="1" t="str">
        <x:f>IF(NOT(ISNUMBER(F2540)),"",IF(AND(F2540&gt;0,MOD(F2540,1)=0),IF(F2540&gt;=700,5,IF(F2540&gt;=500,4,IF(F2540&gt;=350,3,IF(F2540&gt;=200,2,1)))),""))</x:f>
      </x:c>
      <x:c r="S2540" s="1" t="str">
        <x:f>IF(COUNT(O2540:R2540)=4,SUM(O2540:R2540),"")</x:f>
      </x:c>
      <x:c r="T2540" s="1" t="str">
        <x:f>IF(OR(COUNT(O2540:R2540)&lt;&gt;4,COUNT('Top 15'!$B$35:$E$35)&lt;&gt;4,MIN('Top 15'!$B$35:$E$35)&lt;0,SUM('Top 15'!$B$35:$E$35)&lt;=0),"",ROUND(85*(O2540/30*'Top 15'!$B$35+P2540/25*'Top 15'!$C$35+Q2540/25*'Top 15'!$D$35+R2540/5*'Top 15'!$E$35)/SUM('Top 15'!$B$35:$E$35),6))</x:f>
      </x:c>
      <x:c r="U2540" s="1" t="str">
        <x:f>IF(A2540="","",IF(AND(M2540="Verified",N2540="Verified"),"Verified",IF(AND(M2540="Listed",N2540="Listed"),"Listed","Mixed")))</x:f>
      </x:c>
      <x:c r="V2540" s="1" t="str">
        <x:f>IF(A2540="","",IF(AK2540&lt;&gt;1,"Duplicate source ID",IF(COUNTIFS('Staff Review'!$A$8:$A$507,A2540)&gt;1,"Duplicate review ID",IF(H2540&lt;&gt;"Yes","Outside scope",IF(J2540="Yes","Already served",IF(NOT(ISNUMBER(T2540)),"Missing data","Candidate"))))))</x:f>
      </x:c>
      <x:c r="W2540" s="1" t="str">
        <x:f>IF(AL2540=0,"",1+COUNTIFS($AL$2051:$AL$2550,1,$T$2051:$T$2550,"&gt;"&amp;T2540)+COUNTIFS($AL$2051:$AL$2550,1,$T$2051:$T$2550,T2540,$G$2051:$G$2550,"&gt;"&amp;G2540)+COUNTIFS($AL$2051:$AL$2550,1,$T$2051:$T$2550,T2540,$G$2051:$G$2550,G2540,$F$2051:$F$2550,"&gt;"&amp;F2540)+COUNTIFS($AL$2051:$AL$2550,1,$T$2051:$T$2550,T2540,$G$2051:$G$2550,G2540,$F$2051:$F$2550,F2540,$AM$2051:$AM$2550,"&lt;"&amp;AM2540))</x:f>
      </x:c>
      <x:c r="X2540" s="1" t="str">
        <x:f>IF(AL2540=0,"",1+COUNTIFS($AL$2051:$AL$2550,1,$T$2051:$T$2550,"&gt;"&amp;T2540))</x:f>
      </x:c>
      <x:c r="Y2540" s="1" t="n">
        <x:f>IF(AND(H2540="Yes",OR(LEN('School Search'!$B$5)=0,ISNUMBER(SEARCH('School Search'!$B$5,B2540&amp;" "&amp;E2540&amp;" "&amp;A2540))),OR('School Search'!$D$5="All",C2540='School Search'!$D$5),OR('School Search'!$G$5="All eligible",AND('School Search'!$G$5="Not marked served",J2540&lt;&gt;"Yes"),AND('School Search'!$G$5="Missing data",V2540="Missing data"),AND('School Search'!$G$5="Marked served",J2540="Yes"))),1,0)</x:f>
        <x:v>0</x:v>
      </x:c>
      <x:c r="Z2540" s="1" t="str">
        <x:f>IF(Y2540=0,"",COUNTIFS($Y$2051:$Y$2550,1,$AO$2051:$AO$2550,"&lt;"&amp;AO2540)+COUNTIFS($Y$2051:Y2540,1,$AO$2051:AO2540,AO2540))</x:f>
      </x:c>
      <x:c r="AA2540" s="1" t="str">
        <x:f>IF(NOT(ISNUMBER(S2540)),"Missing demographic or access input",TEXT(G2540,"0%")&amp;" economic need; "&amp;TEXT(K2540,"0.00")&amp;" mi fresh access; "&amp;L2540&amp;" nearby resources")</x:f>
        <x:v>Missing demographic or access input</x:v>
      </x:c>
      <x:c r="AB2540" s="1" t="n">
        <x:f>IF(OR(A2540="",COUNTIFS($A$1531:$A$2030,A2540)&lt;&gt;1),0,MATCH(A2540,$A$1531:$A$2030,0))</x:f>
        <x:v>0</x:v>
      </x:c>
      <x:c r="AC2540" s="1" t="str">
        <x:f>IF(AB2540=0,"",INDEX($E$1531:$E$2030,AB2540))</x:f>
      </x:c>
      <x:c r="AD2540" s="1" t="str">
        <x:f>IF(AB2540=0,"",INDEX($F$1531:$F$2030,AB2540))</x:f>
      </x:c>
      <x:c r="AE2540" s="1" t="str">
        <x:f>IF(A2540="","",F491)</x:f>
      </x:c>
      <x:c r="AF2540" s="1" t="str">
        <x:f>IF(ISNUMBER(I491),I491,"")</x:f>
      </x:c>
      <x:c r="AG2540" s="1" t="str">
        <x:f>IF(ISNUMBER(J491),J491,"")</x:f>
      </x:c>
      <x:c r="AH2540" s="1" t="str">
        <x:f>IF(I2540=0,"Not contacted",IF(INDEX('Staff Review'!$J$8:$J$507,I2540)="","Not contacted",INDEX('Staff Review'!$J$8:$J$507,I2540)))</x:f>
        <x:v>Not contacted</x:v>
      </x:c>
      <x:c r="AI2540" s="1" t="str">
        <x:f>IF(I2540=0,"No",IF(AND(COUNT(INDEX('Staff Review'!$D$8:$D$507,I2540))=1,INDEX('Staff Review'!$D$8:$D$507,I2540)&gt;=0,COUNT(INDEX('Staff Review'!$E$8:$E$507,I2540))=1,INDEX('Staff Review'!$E$8:$E$507,I2540)&gt;0,INDEX('Staff Review'!$E$8:$E$507,I2540)&lt;='Top 15'!$E$5,'Top 15'!$E$5-INDEX('Staff Review'!$E$8:$E$507,I2540)&lt;='Top 15'!$H$5,LEN(INDEX('Staff Review'!$H$8:$H$507,I2540))&gt;0),"Yes","No"))</x:f>
        <x:v>No</x:v>
      </x:c>
      <x:c r="AJ2540" s="1" t="str">
        <x:f>IF(I2540=0,"No",IF(COUNT(INDEX('Staff Review'!$F$8:$F$507,I2540))&lt;&gt;1,"No",IF(AND(INDEX('Staff Review'!$F$8:$F$507,I2540)&gt;=0,MOD(INDEX('Staff Review'!$F$8:$F$507,I2540),1)=0,COUNT(INDEX('Staff Review'!$G$8:$G$507,I2540))=1,INDEX('Staff Review'!$G$8:$G$507,I2540)&gt;0,INDEX('Staff Review'!$G$8:$G$507,I2540)&lt;='Top 15'!$E$5,'Top 15'!$E$5-INDEX('Staff Review'!$G$8:$G$507,I2540)&lt;='Top 15'!$H$5,LEN(INDEX('Staff Review'!$H$8:$H$507,I2540))&gt;0),"Yes","No")))</x:f>
        <x:v>No</x:v>
      </x:c>
      <x:c r="AK2540" s="1" t="n">
        <x:f>IF(A2540="",0,COUNTIFS($A$2:$A$501,A2540))</x:f>
        <x:v>0</x:v>
      </x:c>
      <x:c r="AL2540" s="1" t="n">
        <x:f>IF(V2540="Candidate",1,0)</x:f>
        <x:v>0</x:v>
      </x:c>
      <x:c r="AM2540" s="1" t="n">
        <x:f>IF(A2540="",0,VALUE(A2540))</x:f>
        <x:v>0</x:v>
      </x:c>
      <x:c r="AN2540" s="1" t="n">
        <x:f>IF(OR(A2540="",COUNTIFS($T$41:$T$540,A2540)&lt;&gt;1),0,MATCH(A2540,$T$41:$T$540,0))</x:f>
        <x:v>0</x:v>
      </x:c>
      <x:c r="AO2540" t="n">
        <x:f>IF(ISNUMBER(W2540),W2540,10000+AM2540)</x:f>
        <x:v>10000</x:v>
      </x:c>
    </x:row>
    <x:row r="2541" ht="22" customHeight="1">
      <x:c r="A2541" s="1" t="str">
        <x:f>IF(A492="","",A492)</x:f>
      </x:c>
      <x:c r="B2541" s="1" t="str">
        <x:f>IF(A2541="","",B492)</x:f>
      </x:c>
      <x:c r="C2541" s="1" t="str">
        <x:f>IF(A2541="","",C492)</x:f>
      </x:c>
      <x:c r="D2541" s="1" t="str">
        <x:f>IF(A2541="","",E492)</x:f>
      </x:c>
      <x:c r="E2541" s="1" t="str">
        <x:f>IF(A2541="","",H492)</x:f>
      </x:c>
      <x:c r="F2541" s="1" t="str">
        <x:f>IF(ISNUMBER(K492),K492,"")</x:f>
      </x:c>
      <x:c r="G2541" s="1" t="str">
        <x:f>IF(ISNUMBER(L492),L492,"")</x:f>
      </x:c>
      <x:c r="H2541" s="1" t="str">
        <x:f>IF(A2541="","",IF(AND(UPPER(G492)="PHILADELPHIA",OR(C2541="District",AND(C2541="Charter",D492="Yes"))),"Yes","No"))</x:f>
      </x:c>
      <x:c r="I2541" s="1" t="n">
        <x:f>IF(OR(A2541="",COUNTIFS('Staff Review'!$A$8:$A$507,A2541)&lt;&gt;1),0,MATCH(A2541,'Staff Review'!$A$8:$A$507,0))</x:f>
        <x:v>0</x:v>
      </x:c>
      <x:c r="J2541" s="1" t="str">
        <x:f>IF(I2541=0,"No",IF(INDEX('Staff Review'!$C$8:$C$507,I2541)="Yes","Yes","No"))</x:f>
        <x:v>No</x:v>
      </x:c>
      <x:c r="K2541" s="1" t="str">
        <x:f>IF(AI2541="Yes",INDEX('Staff Review'!$D$8:$D$507,I2541),IF(AB2541=0,"",IF(COUNT(INDEX($C$1531:$C$2030,AB2541))=1,INDEX($C$1531:$C$2030,AB2541),"")))</x:f>
      </x:c>
      <x:c r="L2541" s="1" t="str">
        <x:f>IF(AJ2541="Yes",INDEX('Staff Review'!$F$8:$F$507,I2541),IF(AB2541=0,"",IF(COUNT(INDEX($G$1531:$G$2030,AB2541))=1,INDEX($G$1531:$G$2030,AB2541),"")))</x:f>
      </x:c>
      <x:c r="M2541" s="1" t="str">
        <x:f>IF(A2541="","",IF(AI2541="Yes","Verified","Listed"))</x:f>
      </x:c>
      <x:c r="N2541" s="1" t="str">
        <x:f>IF(A2541="","",IF(AJ2541="Yes","Verified","Listed"))</x:f>
      </x:c>
      <x:c r="O2541" s="1" t="str">
        <x:f>IF(AND(ISNUMBER(G2541),G2541&gt;=0,G2541&lt;=1),IF(G2541&gt;=0.9,30,IF(G2541&gt;=0.8,25,IF(G2541&gt;=0.7,20,IF(G2541&gt;=0.6,15,IF(G2541&gt;=0.5,10,IF(G2541&gt;=0.4,5,0)))))),"")</x:f>
      </x:c>
      <x:c r="P2541" s="1" t="str">
        <x:f>IF(ISNUMBER(K2541),IF(K2541&lt;0,"",IF(K2541&gt;1,25,IF(K2541&gt;=0.75,20,IF(K2541&gt;=0.5,15,IF(K2541&gt;=0.25,10,5))))),"")</x:f>
      </x:c>
      <x:c r="Q2541" s="1" t="str">
        <x:f>IF(NOT(ISNUMBER(L2541)),"",IF(AND(L2541&gt;=0,MOD(L2541,1)=0),MAX(0,25-5*L2541),""))</x:f>
      </x:c>
      <x:c r="R2541" s="1" t="str">
        <x:f>IF(NOT(ISNUMBER(F2541)),"",IF(AND(F2541&gt;0,MOD(F2541,1)=0),IF(F2541&gt;=700,5,IF(F2541&gt;=500,4,IF(F2541&gt;=350,3,IF(F2541&gt;=200,2,1)))),""))</x:f>
      </x:c>
      <x:c r="S2541" s="1" t="str">
        <x:f>IF(COUNT(O2541:R2541)=4,SUM(O2541:R2541),"")</x:f>
      </x:c>
      <x:c r="T2541" s="1" t="str">
        <x:f>IF(OR(COUNT(O2541:R2541)&lt;&gt;4,COUNT('Top 15'!$B$35:$E$35)&lt;&gt;4,MIN('Top 15'!$B$35:$E$35)&lt;0,SUM('Top 15'!$B$35:$E$35)&lt;=0),"",ROUND(85*(O2541/30*'Top 15'!$B$35+P2541/25*'Top 15'!$C$35+Q2541/25*'Top 15'!$D$35+R2541/5*'Top 15'!$E$35)/SUM('Top 15'!$B$35:$E$35),6))</x:f>
      </x:c>
      <x:c r="U2541" s="1" t="str">
        <x:f>IF(A2541="","",IF(AND(M2541="Verified",N2541="Verified"),"Verified",IF(AND(M2541="Listed",N2541="Listed"),"Listed","Mixed")))</x:f>
      </x:c>
      <x:c r="V2541" s="1" t="str">
        <x:f>IF(A2541="","",IF(AK2541&lt;&gt;1,"Duplicate source ID",IF(COUNTIFS('Staff Review'!$A$8:$A$507,A2541)&gt;1,"Duplicate review ID",IF(H2541&lt;&gt;"Yes","Outside scope",IF(J2541="Yes","Already served",IF(NOT(ISNUMBER(T2541)),"Missing data","Candidate"))))))</x:f>
      </x:c>
      <x:c r="W2541" s="1" t="str">
        <x:f>IF(AL2541=0,"",1+COUNTIFS($AL$2051:$AL$2550,1,$T$2051:$T$2550,"&gt;"&amp;T2541)+COUNTIFS($AL$2051:$AL$2550,1,$T$2051:$T$2550,T2541,$G$2051:$G$2550,"&gt;"&amp;G2541)+COUNTIFS($AL$2051:$AL$2550,1,$T$2051:$T$2550,T2541,$G$2051:$G$2550,G2541,$F$2051:$F$2550,"&gt;"&amp;F2541)+COUNTIFS($AL$2051:$AL$2550,1,$T$2051:$T$2550,T2541,$G$2051:$G$2550,G2541,$F$2051:$F$2550,F2541,$AM$2051:$AM$2550,"&lt;"&amp;AM2541))</x:f>
      </x:c>
      <x:c r="X2541" s="1" t="str">
        <x:f>IF(AL2541=0,"",1+COUNTIFS($AL$2051:$AL$2550,1,$T$2051:$T$2550,"&gt;"&amp;T2541))</x:f>
      </x:c>
      <x:c r="Y2541" s="1" t="n">
        <x:f>IF(AND(H2541="Yes",OR(LEN('School Search'!$B$5)=0,ISNUMBER(SEARCH('School Search'!$B$5,B2541&amp;" "&amp;E2541&amp;" "&amp;A2541))),OR('School Search'!$D$5="All",C2541='School Search'!$D$5),OR('School Search'!$G$5="All eligible",AND('School Search'!$G$5="Not marked served",J2541&lt;&gt;"Yes"),AND('School Search'!$G$5="Missing data",V2541="Missing data"),AND('School Search'!$G$5="Marked served",J2541="Yes"))),1,0)</x:f>
        <x:v>0</x:v>
      </x:c>
      <x:c r="Z2541" s="1" t="str">
        <x:f>IF(Y2541=0,"",COUNTIFS($Y$2051:$Y$2550,1,$AO$2051:$AO$2550,"&lt;"&amp;AO2541)+COUNTIFS($Y$2051:Y2541,1,$AO$2051:AO2541,AO2541))</x:f>
      </x:c>
      <x:c r="AA2541" s="1" t="str">
        <x:f>IF(NOT(ISNUMBER(S2541)),"Missing demographic or access input",TEXT(G2541,"0%")&amp;" economic need; "&amp;TEXT(K2541,"0.00")&amp;" mi fresh access; "&amp;L2541&amp;" nearby resources")</x:f>
        <x:v>Missing demographic or access input</x:v>
      </x:c>
      <x:c r="AB2541" s="1" t="n">
        <x:f>IF(OR(A2541="",COUNTIFS($A$1531:$A$2030,A2541)&lt;&gt;1),0,MATCH(A2541,$A$1531:$A$2030,0))</x:f>
        <x:v>0</x:v>
      </x:c>
      <x:c r="AC2541" s="1" t="str">
        <x:f>IF(AB2541=0,"",INDEX($E$1531:$E$2030,AB2541))</x:f>
      </x:c>
      <x:c r="AD2541" s="1" t="str">
        <x:f>IF(AB2541=0,"",INDEX($F$1531:$F$2030,AB2541))</x:f>
      </x:c>
      <x:c r="AE2541" s="1" t="str">
        <x:f>IF(A2541="","",F492)</x:f>
      </x:c>
      <x:c r="AF2541" s="1" t="str">
        <x:f>IF(ISNUMBER(I492),I492,"")</x:f>
      </x:c>
      <x:c r="AG2541" s="1" t="str">
        <x:f>IF(ISNUMBER(J492),J492,"")</x:f>
      </x:c>
      <x:c r="AH2541" s="1" t="str">
        <x:f>IF(I2541=0,"Not contacted",IF(INDEX('Staff Review'!$J$8:$J$507,I2541)="","Not contacted",INDEX('Staff Review'!$J$8:$J$507,I2541)))</x:f>
        <x:v>Not contacted</x:v>
      </x:c>
      <x:c r="AI2541" s="1" t="str">
        <x:f>IF(I2541=0,"No",IF(AND(COUNT(INDEX('Staff Review'!$D$8:$D$507,I2541))=1,INDEX('Staff Review'!$D$8:$D$507,I2541)&gt;=0,COUNT(INDEX('Staff Review'!$E$8:$E$507,I2541))=1,INDEX('Staff Review'!$E$8:$E$507,I2541)&gt;0,INDEX('Staff Review'!$E$8:$E$507,I2541)&lt;='Top 15'!$E$5,'Top 15'!$E$5-INDEX('Staff Review'!$E$8:$E$507,I2541)&lt;='Top 15'!$H$5,LEN(INDEX('Staff Review'!$H$8:$H$507,I2541))&gt;0),"Yes","No"))</x:f>
        <x:v>No</x:v>
      </x:c>
      <x:c r="AJ2541" s="1" t="str">
        <x:f>IF(I2541=0,"No",IF(COUNT(INDEX('Staff Review'!$F$8:$F$507,I2541))&lt;&gt;1,"No",IF(AND(INDEX('Staff Review'!$F$8:$F$507,I2541)&gt;=0,MOD(INDEX('Staff Review'!$F$8:$F$507,I2541),1)=0,COUNT(INDEX('Staff Review'!$G$8:$G$507,I2541))=1,INDEX('Staff Review'!$G$8:$G$507,I2541)&gt;0,INDEX('Staff Review'!$G$8:$G$507,I2541)&lt;='Top 15'!$E$5,'Top 15'!$E$5-INDEX('Staff Review'!$G$8:$G$507,I2541)&lt;='Top 15'!$H$5,LEN(INDEX('Staff Review'!$H$8:$H$507,I2541))&gt;0),"Yes","No")))</x:f>
        <x:v>No</x:v>
      </x:c>
      <x:c r="AK2541" s="1" t="n">
        <x:f>IF(A2541="",0,COUNTIFS($A$2:$A$501,A2541))</x:f>
        <x:v>0</x:v>
      </x:c>
      <x:c r="AL2541" s="1" t="n">
        <x:f>IF(V2541="Candidate",1,0)</x:f>
        <x:v>0</x:v>
      </x:c>
      <x:c r="AM2541" s="1" t="n">
        <x:f>IF(A2541="",0,VALUE(A2541))</x:f>
        <x:v>0</x:v>
      </x:c>
      <x:c r="AN2541" s="1" t="n">
        <x:f>IF(OR(A2541="",COUNTIFS($T$41:$T$540,A2541)&lt;&gt;1),0,MATCH(A2541,$T$41:$T$540,0))</x:f>
        <x:v>0</x:v>
      </x:c>
      <x:c r="AO2541" t="n">
        <x:f>IF(ISNUMBER(W2541),W2541,10000+AM2541)</x:f>
        <x:v>10000</x:v>
      </x:c>
    </x:row>
    <x:row r="2542" ht="22" customHeight="1">
      <x:c r="A2542" s="1" t="str">
        <x:f>IF(A493="","",A493)</x:f>
      </x:c>
      <x:c r="B2542" s="1" t="str">
        <x:f>IF(A2542="","",B493)</x:f>
      </x:c>
      <x:c r="C2542" s="1" t="str">
        <x:f>IF(A2542="","",C493)</x:f>
      </x:c>
      <x:c r="D2542" s="1" t="str">
        <x:f>IF(A2542="","",E493)</x:f>
      </x:c>
      <x:c r="E2542" s="1" t="str">
        <x:f>IF(A2542="","",H493)</x:f>
      </x:c>
      <x:c r="F2542" s="1" t="str">
        <x:f>IF(ISNUMBER(K493),K493,"")</x:f>
      </x:c>
      <x:c r="G2542" s="1" t="str">
        <x:f>IF(ISNUMBER(L493),L493,"")</x:f>
      </x:c>
      <x:c r="H2542" s="1" t="str">
        <x:f>IF(A2542="","",IF(AND(UPPER(G493)="PHILADELPHIA",OR(C2542="District",AND(C2542="Charter",D493="Yes"))),"Yes","No"))</x:f>
      </x:c>
      <x:c r="I2542" s="1" t="n">
        <x:f>IF(OR(A2542="",COUNTIFS('Staff Review'!$A$8:$A$507,A2542)&lt;&gt;1),0,MATCH(A2542,'Staff Review'!$A$8:$A$507,0))</x:f>
        <x:v>0</x:v>
      </x:c>
      <x:c r="J2542" s="1" t="str">
        <x:f>IF(I2542=0,"No",IF(INDEX('Staff Review'!$C$8:$C$507,I2542)="Yes","Yes","No"))</x:f>
        <x:v>No</x:v>
      </x:c>
      <x:c r="K2542" s="1" t="str">
        <x:f>IF(AI2542="Yes",INDEX('Staff Review'!$D$8:$D$507,I2542),IF(AB2542=0,"",IF(COUNT(INDEX($C$1531:$C$2030,AB2542))=1,INDEX($C$1531:$C$2030,AB2542),"")))</x:f>
      </x:c>
      <x:c r="L2542" s="1" t="str">
        <x:f>IF(AJ2542="Yes",INDEX('Staff Review'!$F$8:$F$507,I2542),IF(AB2542=0,"",IF(COUNT(INDEX($G$1531:$G$2030,AB2542))=1,INDEX($G$1531:$G$2030,AB2542),"")))</x:f>
      </x:c>
      <x:c r="M2542" s="1" t="str">
        <x:f>IF(A2542="","",IF(AI2542="Yes","Verified","Listed"))</x:f>
      </x:c>
      <x:c r="N2542" s="1" t="str">
        <x:f>IF(A2542="","",IF(AJ2542="Yes","Verified","Listed"))</x:f>
      </x:c>
      <x:c r="O2542" s="1" t="str">
        <x:f>IF(AND(ISNUMBER(G2542),G2542&gt;=0,G2542&lt;=1),IF(G2542&gt;=0.9,30,IF(G2542&gt;=0.8,25,IF(G2542&gt;=0.7,20,IF(G2542&gt;=0.6,15,IF(G2542&gt;=0.5,10,IF(G2542&gt;=0.4,5,0)))))),"")</x:f>
      </x:c>
      <x:c r="P2542" s="1" t="str">
        <x:f>IF(ISNUMBER(K2542),IF(K2542&lt;0,"",IF(K2542&gt;1,25,IF(K2542&gt;=0.75,20,IF(K2542&gt;=0.5,15,IF(K2542&gt;=0.25,10,5))))),"")</x:f>
      </x:c>
      <x:c r="Q2542" s="1" t="str">
        <x:f>IF(NOT(ISNUMBER(L2542)),"",IF(AND(L2542&gt;=0,MOD(L2542,1)=0),MAX(0,25-5*L2542),""))</x:f>
      </x:c>
      <x:c r="R2542" s="1" t="str">
        <x:f>IF(NOT(ISNUMBER(F2542)),"",IF(AND(F2542&gt;0,MOD(F2542,1)=0),IF(F2542&gt;=700,5,IF(F2542&gt;=500,4,IF(F2542&gt;=350,3,IF(F2542&gt;=200,2,1)))),""))</x:f>
      </x:c>
      <x:c r="S2542" s="1" t="str">
        <x:f>IF(COUNT(O2542:R2542)=4,SUM(O2542:R2542),"")</x:f>
      </x:c>
      <x:c r="T2542" s="1" t="str">
        <x:f>IF(OR(COUNT(O2542:R2542)&lt;&gt;4,COUNT('Top 15'!$B$35:$E$35)&lt;&gt;4,MIN('Top 15'!$B$35:$E$35)&lt;0,SUM('Top 15'!$B$35:$E$35)&lt;=0),"",ROUND(85*(O2542/30*'Top 15'!$B$35+P2542/25*'Top 15'!$C$35+Q2542/25*'Top 15'!$D$35+R2542/5*'Top 15'!$E$35)/SUM('Top 15'!$B$35:$E$35),6))</x:f>
      </x:c>
      <x:c r="U2542" s="1" t="str">
        <x:f>IF(A2542="","",IF(AND(M2542="Verified",N2542="Verified"),"Verified",IF(AND(M2542="Listed",N2542="Listed"),"Listed","Mixed")))</x:f>
      </x:c>
      <x:c r="V2542" s="1" t="str">
        <x:f>IF(A2542="","",IF(AK2542&lt;&gt;1,"Duplicate source ID",IF(COUNTIFS('Staff Review'!$A$8:$A$507,A2542)&gt;1,"Duplicate review ID",IF(H2542&lt;&gt;"Yes","Outside scope",IF(J2542="Yes","Already served",IF(NOT(ISNUMBER(T2542)),"Missing data","Candidate"))))))</x:f>
      </x:c>
      <x:c r="W2542" s="1" t="str">
        <x:f>IF(AL2542=0,"",1+COUNTIFS($AL$2051:$AL$2550,1,$T$2051:$T$2550,"&gt;"&amp;T2542)+COUNTIFS($AL$2051:$AL$2550,1,$T$2051:$T$2550,T2542,$G$2051:$G$2550,"&gt;"&amp;G2542)+COUNTIFS($AL$2051:$AL$2550,1,$T$2051:$T$2550,T2542,$G$2051:$G$2550,G2542,$F$2051:$F$2550,"&gt;"&amp;F2542)+COUNTIFS($AL$2051:$AL$2550,1,$T$2051:$T$2550,T2542,$G$2051:$G$2550,G2542,$F$2051:$F$2550,F2542,$AM$2051:$AM$2550,"&lt;"&amp;AM2542))</x:f>
      </x:c>
      <x:c r="X2542" s="1" t="str">
        <x:f>IF(AL2542=0,"",1+COUNTIFS($AL$2051:$AL$2550,1,$T$2051:$T$2550,"&gt;"&amp;T2542))</x:f>
      </x:c>
      <x:c r="Y2542" s="1" t="n">
        <x:f>IF(AND(H2542="Yes",OR(LEN('School Search'!$B$5)=0,ISNUMBER(SEARCH('School Search'!$B$5,B2542&amp;" "&amp;E2542&amp;" "&amp;A2542))),OR('School Search'!$D$5="All",C2542='School Search'!$D$5),OR('School Search'!$G$5="All eligible",AND('School Search'!$G$5="Not marked served",J2542&lt;&gt;"Yes"),AND('School Search'!$G$5="Missing data",V2542="Missing data"),AND('School Search'!$G$5="Marked served",J2542="Yes"))),1,0)</x:f>
        <x:v>0</x:v>
      </x:c>
      <x:c r="Z2542" s="1" t="str">
        <x:f>IF(Y2542=0,"",COUNTIFS($Y$2051:$Y$2550,1,$AO$2051:$AO$2550,"&lt;"&amp;AO2542)+COUNTIFS($Y$2051:Y2542,1,$AO$2051:AO2542,AO2542))</x:f>
      </x:c>
      <x:c r="AA2542" s="1" t="str">
        <x:f>IF(NOT(ISNUMBER(S2542)),"Missing demographic or access input",TEXT(G2542,"0%")&amp;" economic need; "&amp;TEXT(K2542,"0.00")&amp;" mi fresh access; "&amp;L2542&amp;" nearby resources")</x:f>
        <x:v>Missing demographic or access input</x:v>
      </x:c>
      <x:c r="AB2542" s="1" t="n">
        <x:f>IF(OR(A2542="",COUNTIFS($A$1531:$A$2030,A2542)&lt;&gt;1),0,MATCH(A2542,$A$1531:$A$2030,0))</x:f>
        <x:v>0</x:v>
      </x:c>
      <x:c r="AC2542" s="1" t="str">
        <x:f>IF(AB2542=0,"",INDEX($E$1531:$E$2030,AB2542))</x:f>
      </x:c>
      <x:c r="AD2542" s="1" t="str">
        <x:f>IF(AB2542=0,"",INDEX($F$1531:$F$2030,AB2542))</x:f>
      </x:c>
      <x:c r="AE2542" s="1" t="str">
        <x:f>IF(A2542="","",F493)</x:f>
      </x:c>
      <x:c r="AF2542" s="1" t="str">
        <x:f>IF(ISNUMBER(I493),I493,"")</x:f>
      </x:c>
      <x:c r="AG2542" s="1" t="str">
        <x:f>IF(ISNUMBER(J493),J493,"")</x:f>
      </x:c>
      <x:c r="AH2542" s="1" t="str">
        <x:f>IF(I2542=0,"Not contacted",IF(INDEX('Staff Review'!$J$8:$J$507,I2542)="","Not contacted",INDEX('Staff Review'!$J$8:$J$507,I2542)))</x:f>
        <x:v>Not contacted</x:v>
      </x:c>
      <x:c r="AI2542" s="1" t="str">
        <x:f>IF(I2542=0,"No",IF(AND(COUNT(INDEX('Staff Review'!$D$8:$D$507,I2542))=1,INDEX('Staff Review'!$D$8:$D$507,I2542)&gt;=0,COUNT(INDEX('Staff Review'!$E$8:$E$507,I2542))=1,INDEX('Staff Review'!$E$8:$E$507,I2542)&gt;0,INDEX('Staff Review'!$E$8:$E$507,I2542)&lt;='Top 15'!$E$5,'Top 15'!$E$5-INDEX('Staff Review'!$E$8:$E$507,I2542)&lt;='Top 15'!$H$5,LEN(INDEX('Staff Review'!$H$8:$H$507,I2542))&gt;0),"Yes","No"))</x:f>
        <x:v>No</x:v>
      </x:c>
      <x:c r="AJ2542" s="1" t="str">
        <x:f>IF(I2542=0,"No",IF(COUNT(INDEX('Staff Review'!$F$8:$F$507,I2542))&lt;&gt;1,"No",IF(AND(INDEX('Staff Review'!$F$8:$F$507,I2542)&gt;=0,MOD(INDEX('Staff Review'!$F$8:$F$507,I2542),1)=0,COUNT(INDEX('Staff Review'!$G$8:$G$507,I2542))=1,INDEX('Staff Review'!$G$8:$G$507,I2542)&gt;0,INDEX('Staff Review'!$G$8:$G$507,I2542)&lt;='Top 15'!$E$5,'Top 15'!$E$5-INDEX('Staff Review'!$G$8:$G$507,I2542)&lt;='Top 15'!$H$5,LEN(INDEX('Staff Review'!$H$8:$H$507,I2542))&gt;0),"Yes","No")))</x:f>
        <x:v>No</x:v>
      </x:c>
      <x:c r="AK2542" s="1" t="n">
        <x:f>IF(A2542="",0,COUNTIFS($A$2:$A$501,A2542))</x:f>
        <x:v>0</x:v>
      </x:c>
      <x:c r="AL2542" s="1" t="n">
        <x:f>IF(V2542="Candidate",1,0)</x:f>
        <x:v>0</x:v>
      </x:c>
      <x:c r="AM2542" s="1" t="n">
        <x:f>IF(A2542="",0,VALUE(A2542))</x:f>
        <x:v>0</x:v>
      </x:c>
      <x:c r="AN2542" s="1" t="n">
        <x:f>IF(OR(A2542="",COUNTIFS($T$41:$T$540,A2542)&lt;&gt;1),0,MATCH(A2542,$T$41:$T$540,0))</x:f>
        <x:v>0</x:v>
      </x:c>
      <x:c r="AO2542" t="n">
        <x:f>IF(ISNUMBER(W2542),W2542,10000+AM2542)</x:f>
        <x:v>10000</x:v>
      </x:c>
    </x:row>
    <x:row r="2543" ht="22" customHeight="1">
      <x:c r="A2543" s="1" t="str">
        <x:f>IF(A494="","",A494)</x:f>
      </x:c>
      <x:c r="B2543" s="1" t="str">
        <x:f>IF(A2543="","",B494)</x:f>
      </x:c>
      <x:c r="C2543" s="1" t="str">
        <x:f>IF(A2543="","",C494)</x:f>
      </x:c>
      <x:c r="D2543" s="1" t="str">
        <x:f>IF(A2543="","",E494)</x:f>
      </x:c>
      <x:c r="E2543" s="1" t="str">
        <x:f>IF(A2543="","",H494)</x:f>
      </x:c>
      <x:c r="F2543" s="1" t="str">
        <x:f>IF(ISNUMBER(K494),K494,"")</x:f>
      </x:c>
      <x:c r="G2543" s="1" t="str">
        <x:f>IF(ISNUMBER(L494),L494,"")</x:f>
      </x:c>
      <x:c r="H2543" s="1" t="str">
        <x:f>IF(A2543="","",IF(AND(UPPER(G494)="PHILADELPHIA",OR(C2543="District",AND(C2543="Charter",D494="Yes"))),"Yes","No"))</x:f>
      </x:c>
      <x:c r="I2543" s="1" t="n">
        <x:f>IF(OR(A2543="",COUNTIFS('Staff Review'!$A$8:$A$507,A2543)&lt;&gt;1),0,MATCH(A2543,'Staff Review'!$A$8:$A$507,0))</x:f>
        <x:v>0</x:v>
      </x:c>
      <x:c r="J2543" s="1" t="str">
        <x:f>IF(I2543=0,"No",IF(INDEX('Staff Review'!$C$8:$C$507,I2543)="Yes","Yes","No"))</x:f>
        <x:v>No</x:v>
      </x:c>
      <x:c r="K2543" s="1" t="str">
        <x:f>IF(AI2543="Yes",INDEX('Staff Review'!$D$8:$D$507,I2543),IF(AB2543=0,"",IF(COUNT(INDEX($C$1531:$C$2030,AB2543))=1,INDEX($C$1531:$C$2030,AB2543),"")))</x:f>
      </x:c>
      <x:c r="L2543" s="1" t="str">
        <x:f>IF(AJ2543="Yes",INDEX('Staff Review'!$F$8:$F$507,I2543),IF(AB2543=0,"",IF(COUNT(INDEX($G$1531:$G$2030,AB2543))=1,INDEX($G$1531:$G$2030,AB2543),"")))</x:f>
      </x:c>
      <x:c r="M2543" s="1" t="str">
        <x:f>IF(A2543="","",IF(AI2543="Yes","Verified","Listed"))</x:f>
      </x:c>
      <x:c r="N2543" s="1" t="str">
        <x:f>IF(A2543="","",IF(AJ2543="Yes","Verified","Listed"))</x:f>
      </x:c>
      <x:c r="O2543" s="1" t="str">
        <x:f>IF(AND(ISNUMBER(G2543),G2543&gt;=0,G2543&lt;=1),IF(G2543&gt;=0.9,30,IF(G2543&gt;=0.8,25,IF(G2543&gt;=0.7,20,IF(G2543&gt;=0.6,15,IF(G2543&gt;=0.5,10,IF(G2543&gt;=0.4,5,0)))))),"")</x:f>
      </x:c>
      <x:c r="P2543" s="1" t="str">
        <x:f>IF(ISNUMBER(K2543),IF(K2543&lt;0,"",IF(K2543&gt;1,25,IF(K2543&gt;=0.75,20,IF(K2543&gt;=0.5,15,IF(K2543&gt;=0.25,10,5))))),"")</x:f>
      </x:c>
      <x:c r="Q2543" s="1" t="str">
        <x:f>IF(NOT(ISNUMBER(L2543)),"",IF(AND(L2543&gt;=0,MOD(L2543,1)=0),MAX(0,25-5*L2543),""))</x:f>
      </x:c>
      <x:c r="R2543" s="1" t="str">
        <x:f>IF(NOT(ISNUMBER(F2543)),"",IF(AND(F2543&gt;0,MOD(F2543,1)=0),IF(F2543&gt;=700,5,IF(F2543&gt;=500,4,IF(F2543&gt;=350,3,IF(F2543&gt;=200,2,1)))),""))</x:f>
      </x:c>
      <x:c r="S2543" s="1" t="str">
        <x:f>IF(COUNT(O2543:R2543)=4,SUM(O2543:R2543),"")</x:f>
      </x:c>
      <x:c r="T2543" s="1" t="str">
        <x:f>IF(OR(COUNT(O2543:R2543)&lt;&gt;4,COUNT('Top 15'!$B$35:$E$35)&lt;&gt;4,MIN('Top 15'!$B$35:$E$35)&lt;0,SUM('Top 15'!$B$35:$E$35)&lt;=0),"",ROUND(85*(O2543/30*'Top 15'!$B$35+P2543/25*'Top 15'!$C$35+Q2543/25*'Top 15'!$D$35+R2543/5*'Top 15'!$E$35)/SUM('Top 15'!$B$35:$E$35),6))</x:f>
      </x:c>
      <x:c r="U2543" s="1" t="str">
        <x:f>IF(A2543="","",IF(AND(M2543="Verified",N2543="Verified"),"Verified",IF(AND(M2543="Listed",N2543="Listed"),"Listed","Mixed")))</x:f>
      </x:c>
      <x:c r="V2543" s="1" t="str">
        <x:f>IF(A2543="","",IF(AK2543&lt;&gt;1,"Duplicate source ID",IF(COUNTIFS('Staff Review'!$A$8:$A$507,A2543)&gt;1,"Duplicate review ID",IF(H2543&lt;&gt;"Yes","Outside scope",IF(J2543="Yes","Already served",IF(NOT(ISNUMBER(T2543)),"Missing data","Candidate"))))))</x:f>
      </x:c>
      <x:c r="W2543" s="1" t="str">
        <x:f>IF(AL2543=0,"",1+COUNTIFS($AL$2051:$AL$2550,1,$T$2051:$T$2550,"&gt;"&amp;T2543)+COUNTIFS($AL$2051:$AL$2550,1,$T$2051:$T$2550,T2543,$G$2051:$G$2550,"&gt;"&amp;G2543)+COUNTIFS($AL$2051:$AL$2550,1,$T$2051:$T$2550,T2543,$G$2051:$G$2550,G2543,$F$2051:$F$2550,"&gt;"&amp;F2543)+COUNTIFS($AL$2051:$AL$2550,1,$T$2051:$T$2550,T2543,$G$2051:$G$2550,G2543,$F$2051:$F$2550,F2543,$AM$2051:$AM$2550,"&lt;"&amp;AM2543))</x:f>
      </x:c>
      <x:c r="X2543" s="1" t="str">
        <x:f>IF(AL2543=0,"",1+COUNTIFS($AL$2051:$AL$2550,1,$T$2051:$T$2550,"&gt;"&amp;T2543))</x:f>
      </x:c>
      <x:c r="Y2543" s="1" t="n">
        <x:f>IF(AND(H2543="Yes",OR(LEN('School Search'!$B$5)=0,ISNUMBER(SEARCH('School Search'!$B$5,B2543&amp;" "&amp;E2543&amp;" "&amp;A2543))),OR('School Search'!$D$5="All",C2543='School Search'!$D$5),OR('School Search'!$G$5="All eligible",AND('School Search'!$G$5="Not marked served",J2543&lt;&gt;"Yes"),AND('School Search'!$G$5="Missing data",V2543="Missing data"),AND('School Search'!$G$5="Marked served",J2543="Yes"))),1,0)</x:f>
        <x:v>0</x:v>
      </x:c>
      <x:c r="Z2543" s="1" t="str">
        <x:f>IF(Y2543=0,"",COUNTIFS($Y$2051:$Y$2550,1,$AO$2051:$AO$2550,"&lt;"&amp;AO2543)+COUNTIFS($Y$2051:Y2543,1,$AO$2051:AO2543,AO2543))</x:f>
      </x:c>
      <x:c r="AA2543" s="1" t="str">
        <x:f>IF(NOT(ISNUMBER(S2543)),"Missing demographic or access input",TEXT(G2543,"0%")&amp;" economic need; "&amp;TEXT(K2543,"0.00")&amp;" mi fresh access; "&amp;L2543&amp;" nearby resources")</x:f>
        <x:v>Missing demographic or access input</x:v>
      </x:c>
      <x:c r="AB2543" s="1" t="n">
        <x:f>IF(OR(A2543="",COUNTIFS($A$1531:$A$2030,A2543)&lt;&gt;1),0,MATCH(A2543,$A$1531:$A$2030,0))</x:f>
        <x:v>0</x:v>
      </x:c>
      <x:c r="AC2543" s="1" t="str">
        <x:f>IF(AB2543=0,"",INDEX($E$1531:$E$2030,AB2543))</x:f>
      </x:c>
      <x:c r="AD2543" s="1" t="str">
        <x:f>IF(AB2543=0,"",INDEX($F$1531:$F$2030,AB2543))</x:f>
      </x:c>
      <x:c r="AE2543" s="1" t="str">
        <x:f>IF(A2543="","",F494)</x:f>
      </x:c>
      <x:c r="AF2543" s="1" t="str">
        <x:f>IF(ISNUMBER(I494),I494,"")</x:f>
      </x:c>
      <x:c r="AG2543" s="1" t="str">
        <x:f>IF(ISNUMBER(J494),J494,"")</x:f>
      </x:c>
      <x:c r="AH2543" s="1" t="str">
        <x:f>IF(I2543=0,"Not contacted",IF(INDEX('Staff Review'!$J$8:$J$507,I2543)="","Not contacted",INDEX('Staff Review'!$J$8:$J$507,I2543)))</x:f>
        <x:v>Not contacted</x:v>
      </x:c>
      <x:c r="AI2543" s="1" t="str">
        <x:f>IF(I2543=0,"No",IF(AND(COUNT(INDEX('Staff Review'!$D$8:$D$507,I2543))=1,INDEX('Staff Review'!$D$8:$D$507,I2543)&gt;=0,COUNT(INDEX('Staff Review'!$E$8:$E$507,I2543))=1,INDEX('Staff Review'!$E$8:$E$507,I2543)&gt;0,INDEX('Staff Review'!$E$8:$E$507,I2543)&lt;='Top 15'!$E$5,'Top 15'!$E$5-INDEX('Staff Review'!$E$8:$E$507,I2543)&lt;='Top 15'!$H$5,LEN(INDEX('Staff Review'!$H$8:$H$507,I2543))&gt;0),"Yes","No"))</x:f>
        <x:v>No</x:v>
      </x:c>
      <x:c r="AJ2543" s="1" t="str">
        <x:f>IF(I2543=0,"No",IF(COUNT(INDEX('Staff Review'!$F$8:$F$507,I2543))&lt;&gt;1,"No",IF(AND(INDEX('Staff Review'!$F$8:$F$507,I2543)&gt;=0,MOD(INDEX('Staff Review'!$F$8:$F$507,I2543),1)=0,COUNT(INDEX('Staff Review'!$G$8:$G$507,I2543))=1,INDEX('Staff Review'!$G$8:$G$507,I2543)&gt;0,INDEX('Staff Review'!$G$8:$G$507,I2543)&lt;='Top 15'!$E$5,'Top 15'!$E$5-INDEX('Staff Review'!$G$8:$G$507,I2543)&lt;='Top 15'!$H$5,LEN(INDEX('Staff Review'!$H$8:$H$507,I2543))&gt;0),"Yes","No")))</x:f>
        <x:v>No</x:v>
      </x:c>
      <x:c r="AK2543" s="1" t="n">
        <x:f>IF(A2543="",0,COUNTIFS($A$2:$A$501,A2543))</x:f>
        <x:v>0</x:v>
      </x:c>
      <x:c r="AL2543" s="1" t="n">
        <x:f>IF(V2543="Candidate",1,0)</x:f>
        <x:v>0</x:v>
      </x:c>
      <x:c r="AM2543" s="1" t="n">
        <x:f>IF(A2543="",0,VALUE(A2543))</x:f>
        <x:v>0</x:v>
      </x:c>
      <x:c r="AN2543" s="1" t="n">
        <x:f>IF(OR(A2543="",COUNTIFS($T$41:$T$540,A2543)&lt;&gt;1),0,MATCH(A2543,$T$41:$T$540,0))</x:f>
        <x:v>0</x:v>
      </x:c>
      <x:c r="AO2543" t="n">
        <x:f>IF(ISNUMBER(W2543),W2543,10000+AM2543)</x:f>
        <x:v>10000</x:v>
      </x:c>
    </x:row>
    <x:row r="2544" ht="22" customHeight="1">
      <x:c r="A2544" s="1" t="str">
        <x:f>IF(A495="","",A495)</x:f>
      </x:c>
      <x:c r="B2544" s="1" t="str">
        <x:f>IF(A2544="","",B495)</x:f>
      </x:c>
      <x:c r="C2544" s="1" t="str">
        <x:f>IF(A2544="","",C495)</x:f>
      </x:c>
      <x:c r="D2544" s="1" t="str">
        <x:f>IF(A2544="","",E495)</x:f>
      </x:c>
      <x:c r="E2544" s="1" t="str">
        <x:f>IF(A2544="","",H495)</x:f>
      </x:c>
      <x:c r="F2544" s="1" t="str">
        <x:f>IF(ISNUMBER(K495),K495,"")</x:f>
      </x:c>
      <x:c r="G2544" s="1" t="str">
        <x:f>IF(ISNUMBER(L495),L495,"")</x:f>
      </x:c>
      <x:c r="H2544" s="1" t="str">
        <x:f>IF(A2544="","",IF(AND(UPPER(G495)="PHILADELPHIA",OR(C2544="District",AND(C2544="Charter",D495="Yes"))),"Yes","No"))</x:f>
      </x:c>
      <x:c r="I2544" s="1" t="n">
        <x:f>IF(OR(A2544="",COUNTIFS('Staff Review'!$A$8:$A$507,A2544)&lt;&gt;1),0,MATCH(A2544,'Staff Review'!$A$8:$A$507,0))</x:f>
        <x:v>0</x:v>
      </x:c>
      <x:c r="J2544" s="1" t="str">
        <x:f>IF(I2544=0,"No",IF(INDEX('Staff Review'!$C$8:$C$507,I2544)="Yes","Yes","No"))</x:f>
        <x:v>No</x:v>
      </x:c>
      <x:c r="K2544" s="1" t="str">
        <x:f>IF(AI2544="Yes",INDEX('Staff Review'!$D$8:$D$507,I2544),IF(AB2544=0,"",IF(COUNT(INDEX($C$1531:$C$2030,AB2544))=1,INDEX($C$1531:$C$2030,AB2544),"")))</x:f>
      </x:c>
      <x:c r="L2544" s="1" t="str">
        <x:f>IF(AJ2544="Yes",INDEX('Staff Review'!$F$8:$F$507,I2544),IF(AB2544=0,"",IF(COUNT(INDEX($G$1531:$G$2030,AB2544))=1,INDEX($G$1531:$G$2030,AB2544),"")))</x:f>
      </x:c>
      <x:c r="M2544" s="1" t="str">
        <x:f>IF(A2544="","",IF(AI2544="Yes","Verified","Listed"))</x:f>
      </x:c>
      <x:c r="N2544" s="1" t="str">
        <x:f>IF(A2544="","",IF(AJ2544="Yes","Verified","Listed"))</x:f>
      </x:c>
      <x:c r="O2544" s="1" t="str">
        <x:f>IF(AND(ISNUMBER(G2544),G2544&gt;=0,G2544&lt;=1),IF(G2544&gt;=0.9,30,IF(G2544&gt;=0.8,25,IF(G2544&gt;=0.7,20,IF(G2544&gt;=0.6,15,IF(G2544&gt;=0.5,10,IF(G2544&gt;=0.4,5,0)))))),"")</x:f>
      </x:c>
      <x:c r="P2544" s="1" t="str">
        <x:f>IF(ISNUMBER(K2544),IF(K2544&lt;0,"",IF(K2544&gt;1,25,IF(K2544&gt;=0.75,20,IF(K2544&gt;=0.5,15,IF(K2544&gt;=0.25,10,5))))),"")</x:f>
      </x:c>
      <x:c r="Q2544" s="1" t="str">
        <x:f>IF(NOT(ISNUMBER(L2544)),"",IF(AND(L2544&gt;=0,MOD(L2544,1)=0),MAX(0,25-5*L2544),""))</x:f>
      </x:c>
      <x:c r="R2544" s="1" t="str">
        <x:f>IF(NOT(ISNUMBER(F2544)),"",IF(AND(F2544&gt;0,MOD(F2544,1)=0),IF(F2544&gt;=700,5,IF(F2544&gt;=500,4,IF(F2544&gt;=350,3,IF(F2544&gt;=200,2,1)))),""))</x:f>
      </x:c>
      <x:c r="S2544" s="1" t="str">
        <x:f>IF(COUNT(O2544:R2544)=4,SUM(O2544:R2544),"")</x:f>
      </x:c>
      <x:c r="T2544" s="1" t="str">
        <x:f>IF(OR(COUNT(O2544:R2544)&lt;&gt;4,COUNT('Top 15'!$B$35:$E$35)&lt;&gt;4,MIN('Top 15'!$B$35:$E$35)&lt;0,SUM('Top 15'!$B$35:$E$35)&lt;=0),"",ROUND(85*(O2544/30*'Top 15'!$B$35+P2544/25*'Top 15'!$C$35+Q2544/25*'Top 15'!$D$35+R2544/5*'Top 15'!$E$35)/SUM('Top 15'!$B$35:$E$35),6))</x:f>
      </x:c>
      <x:c r="U2544" s="1" t="str">
        <x:f>IF(A2544="","",IF(AND(M2544="Verified",N2544="Verified"),"Verified",IF(AND(M2544="Listed",N2544="Listed"),"Listed","Mixed")))</x:f>
      </x:c>
      <x:c r="V2544" s="1" t="str">
        <x:f>IF(A2544="","",IF(AK2544&lt;&gt;1,"Duplicate source ID",IF(COUNTIFS('Staff Review'!$A$8:$A$507,A2544)&gt;1,"Duplicate review ID",IF(H2544&lt;&gt;"Yes","Outside scope",IF(J2544="Yes","Already served",IF(NOT(ISNUMBER(T2544)),"Missing data","Candidate"))))))</x:f>
      </x:c>
      <x:c r="W2544" s="1" t="str">
        <x:f>IF(AL2544=0,"",1+COUNTIFS($AL$2051:$AL$2550,1,$T$2051:$T$2550,"&gt;"&amp;T2544)+COUNTIFS($AL$2051:$AL$2550,1,$T$2051:$T$2550,T2544,$G$2051:$G$2550,"&gt;"&amp;G2544)+COUNTIFS($AL$2051:$AL$2550,1,$T$2051:$T$2550,T2544,$G$2051:$G$2550,G2544,$F$2051:$F$2550,"&gt;"&amp;F2544)+COUNTIFS($AL$2051:$AL$2550,1,$T$2051:$T$2550,T2544,$G$2051:$G$2550,G2544,$F$2051:$F$2550,F2544,$AM$2051:$AM$2550,"&lt;"&amp;AM2544))</x:f>
      </x:c>
      <x:c r="X2544" s="1" t="str">
        <x:f>IF(AL2544=0,"",1+COUNTIFS($AL$2051:$AL$2550,1,$T$2051:$T$2550,"&gt;"&amp;T2544))</x:f>
      </x:c>
      <x:c r="Y2544" s="1" t="n">
        <x:f>IF(AND(H2544="Yes",OR(LEN('School Search'!$B$5)=0,ISNUMBER(SEARCH('School Search'!$B$5,B2544&amp;" "&amp;E2544&amp;" "&amp;A2544))),OR('School Search'!$D$5="All",C2544='School Search'!$D$5),OR('School Search'!$G$5="All eligible",AND('School Search'!$G$5="Not marked served",J2544&lt;&gt;"Yes"),AND('School Search'!$G$5="Missing data",V2544="Missing data"),AND('School Search'!$G$5="Marked served",J2544="Yes"))),1,0)</x:f>
        <x:v>0</x:v>
      </x:c>
      <x:c r="Z2544" s="1" t="str">
        <x:f>IF(Y2544=0,"",COUNTIFS($Y$2051:$Y$2550,1,$AO$2051:$AO$2550,"&lt;"&amp;AO2544)+COUNTIFS($Y$2051:Y2544,1,$AO$2051:AO2544,AO2544))</x:f>
      </x:c>
      <x:c r="AA2544" s="1" t="str">
        <x:f>IF(NOT(ISNUMBER(S2544)),"Missing demographic or access input",TEXT(G2544,"0%")&amp;" economic need; "&amp;TEXT(K2544,"0.00")&amp;" mi fresh access; "&amp;L2544&amp;" nearby resources")</x:f>
        <x:v>Missing demographic or access input</x:v>
      </x:c>
      <x:c r="AB2544" s="1" t="n">
        <x:f>IF(OR(A2544="",COUNTIFS($A$1531:$A$2030,A2544)&lt;&gt;1),0,MATCH(A2544,$A$1531:$A$2030,0))</x:f>
        <x:v>0</x:v>
      </x:c>
      <x:c r="AC2544" s="1" t="str">
        <x:f>IF(AB2544=0,"",INDEX($E$1531:$E$2030,AB2544))</x:f>
      </x:c>
      <x:c r="AD2544" s="1" t="str">
        <x:f>IF(AB2544=0,"",INDEX($F$1531:$F$2030,AB2544))</x:f>
      </x:c>
      <x:c r="AE2544" s="1" t="str">
        <x:f>IF(A2544="","",F495)</x:f>
      </x:c>
      <x:c r="AF2544" s="1" t="str">
        <x:f>IF(ISNUMBER(I495),I495,"")</x:f>
      </x:c>
      <x:c r="AG2544" s="1" t="str">
        <x:f>IF(ISNUMBER(J495),J495,"")</x:f>
      </x:c>
      <x:c r="AH2544" s="1" t="str">
        <x:f>IF(I2544=0,"Not contacted",IF(INDEX('Staff Review'!$J$8:$J$507,I2544)="","Not contacted",INDEX('Staff Review'!$J$8:$J$507,I2544)))</x:f>
        <x:v>Not contacted</x:v>
      </x:c>
      <x:c r="AI2544" s="1" t="str">
        <x:f>IF(I2544=0,"No",IF(AND(COUNT(INDEX('Staff Review'!$D$8:$D$507,I2544))=1,INDEX('Staff Review'!$D$8:$D$507,I2544)&gt;=0,COUNT(INDEX('Staff Review'!$E$8:$E$507,I2544))=1,INDEX('Staff Review'!$E$8:$E$507,I2544)&gt;0,INDEX('Staff Review'!$E$8:$E$507,I2544)&lt;='Top 15'!$E$5,'Top 15'!$E$5-INDEX('Staff Review'!$E$8:$E$507,I2544)&lt;='Top 15'!$H$5,LEN(INDEX('Staff Review'!$H$8:$H$507,I2544))&gt;0),"Yes","No"))</x:f>
        <x:v>No</x:v>
      </x:c>
      <x:c r="AJ2544" s="1" t="str">
        <x:f>IF(I2544=0,"No",IF(COUNT(INDEX('Staff Review'!$F$8:$F$507,I2544))&lt;&gt;1,"No",IF(AND(INDEX('Staff Review'!$F$8:$F$507,I2544)&gt;=0,MOD(INDEX('Staff Review'!$F$8:$F$507,I2544),1)=0,COUNT(INDEX('Staff Review'!$G$8:$G$507,I2544))=1,INDEX('Staff Review'!$G$8:$G$507,I2544)&gt;0,INDEX('Staff Review'!$G$8:$G$507,I2544)&lt;='Top 15'!$E$5,'Top 15'!$E$5-INDEX('Staff Review'!$G$8:$G$507,I2544)&lt;='Top 15'!$H$5,LEN(INDEX('Staff Review'!$H$8:$H$507,I2544))&gt;0),"Yes","No")))</x:f>
        <x:v>No</x:v>
      </x:c>
      <x:c r="AK2544" s="1" t="n">
        <x:f>IF(A2544="",0,COUNTIFS($A$2:$A$501,A2544))</x:f>
        <x:v>0</x:v>
      </x:c>
      <x:c r="AL2544" s="1" t="n">
        <x:f>IF(V2544="Candidate",1,0)</x:f>
        <x:v>0</x:v>
      </x:c>
      <x:c r="AM2544" s="1" t="n">
        <x:f>IF(A2544="",0,VALUE(A2544))</x:f>
        <x:v>0</x:v>
      </x:c>
      <x:c r="AN2544" s="1" t="n">
        <x:f>IF(OR(A2544="",COUNTIFS($T$41:$T$540,A2544)&lt;&gt;1),0,MATCH(A2544,$T$41:$T$540,0))</x:f>
        <x:v>0</x:v>
      </x:c>
      <x:c r="AO2544" t="n">
        <x:f>IF(ISNUMBER(W2544),W2544,10000+AM2544)</x:f>
        <x:v>10000</x:v>
      </x:c>
    </x:row>
    <x:row r="2545" ht="22" customHeight="1">
      <x:c r="A2545" s="1" t="str">
        <x:f>IF(A496="","",A496)</x:f>
      </x:c>
      <x:c r="B2545" s="1" t="str">
        <x:f>IF(A2545="","",B496)</x:f>
      </x:c>
      <x:c r="C2545" s="1" t="str">
        <x:f>IF(A2545="","",C496)</x:f>
      </x:c>
      <x:c r="D2545" s="1" t="str">
        <x:f>IF(A2545="","",E496)</x:f>
      </x:c>
      <x:c r="E2545" s="1" t="str">
        <x:f>IF(A2545="","",H496)</x:f>
      </x:c>
      <x:c r="F2545" s="1" t="str">
        <x:f>IF(ISNUMBER(K496),K496,"")</x:f>
      </x:c>
      <x:c r="G2545" s="1" t="str">
        <x:f>IF(ISNUMBER(L496),L496,"")</x:f>
      </x:c>
      <x:c r="H2545" s="1" t="str">
        <x:f>IF(A2545="","",IF(AND(UPPER(G496)="PHILADELPHIA",OR(C2545="District",AND(C2545="Charter",D496="Yes"))),"Yes","No"))</x:f>
      </x:c>
      <x:c r="I2545" s="1" t="n">
        <x:f>IF(OR(A2545="",COUNTIFS('Staff Review'!$A$8:$A$507,A2545)&lt;&gt;1),0,MATCH(A2545,'Staff Review'!$A$8:$A$507,0))</x:f>
        <x:v>0</x:v>
      </x:c>
      <x:c r="J2545" s="1" t="str">
        <x:f>IF(I2545=0,"No",IF(INDEX('Staff Review'!$C$8:$C$507,I2545)="Yes","Yes","No"))</x:f>
        <x:v>No</x:v>
      </x:c>
      <x:c r="K2545" s="1" t="str">
        <x:f>IF(AI2545="Yes",INDEX('Staff Review'!$D$8:$D$507,I2545),IF(AB2545=0,"",IF(COUNT(INDEX($C$1531:$C$2030,AB2545))=1,INDEX($C$1531:$C$2030,AB2545),"")))</x:f>
      </x:c>
      <x:c r="L2545" s="1" t="str">
        <x:f>IF(AJ2545="Yes",INDEX('Staff Review'!$F$8:$F$507,I2545),IF(AB2545=0,"",IF(COUNT(INDEX($G$1531:$G$2030,AB2545))=1,INDEX($G$1531:$G$2030,AB2545),"")))</x:f>
      </x:c>
      <x:c r="M2545" s="1" t="str">
        <x:f>IF(A2545="","",IF(AI2545="Yes","Verified","Listed"))</x:f>
      </x:c>
      <x:c r="N2545" s="1" t="str">
        <x:f>IF(A2545="","",IF(AJ2545="Yes","Verified","Listed"))</x:f>
      </x:c>
      <x:c r="O2545" s="1" t="str">
        <x:f>IF(AND(ISNUMBER(G2545),G2545&gt;=0,G2545&lt;=1),IF(G2545&gt;=0.9,30,IF(G2545&gt;=0.8,25,IF(G2545&gt;=0.7,20,IF(G2545&gt;=0.6,15,IF(G2545&gt;=0.5,10,IF(G2545&gt;=0.4,5,0)))))),"")</x:f>
      </x:c>
      <x:c r="P2545" s="1" t="str">
        <x:f>IF(ISNUMBER(K2545),IF(K2545&lt;0,"",IF(K2545&gt;1,25,IF(K2545&gt;=0.75,20,IF(K2545&gt;=0.5,15,IF(K2545&gt;=0.25,10,5))))),"")</x:f>
      </x:c>
      <x:c r="Q2545" s="1" t="str">
        <x:f>IF(NOT(ISNUMBER(L2545)),"",IF(AND(L2545&gt;=0,MOD(L2545,1)=0),MAX(0,25-5*L2545),""))</x:f>
      </x:c>
      <x:c r="R2545" s="1" t="str">
        <x:f>IF(NOT(ISNUMBER(F2545)),"",IF(AND(F2545&gt;0,MOD(F2545,1)=0),IF(F2545&gt;=700,5,IF(F2545&gt;=500,4,IF(F2545&gt;=350,3,IF(F2545&gt;=200,2,1)))),""))</x:f>
      </x:c>
      <x:c r="S2545" s="1" t="str">
        <x:f>IF(COUNT(O2545:R2545)=4,SUM(O2545:R2545),"")</x:f>
      </x:c>
      <x:c r="T2545" s="1" t="str">
        <x:f>IF(OR(COUNT(O2545:R2545)&lt;&gt;4,COUNT('Top 15'!$B$35:$E$35)&lt;&gt;4,MIN('Top 15'!$B$35:$E$35)&lt;0,SUM('Top 15'!$B$35:$E$35)&lt;=0),"",ROUND(85*(O2545/30*'Top 15'!$B$35+P2545/25*'Top 15'!$C$35+Q2545/25*'Top 15'!$D$35+R2545/5*'Top 15'!$E$35)/SUM('Top 15'!$B$35:$E$35),6))</x:f>
      </x:c>
      <x:c r="U2545" s="1" t="str">
        <x:f>IF(A2545="","",IF(AND(M2545="Verified",N2545="Verified"),"Verified",IF(AND(M2545="Listed",N2545="Listed"),"Listed","Mixed")))</x:f>
      </x:c>
      <x:c r="V2545" s="1" t="str">
        <x:f>IF(A2545="","",IF(AK2545&lt;&gt;1,"Duplicate source ID",IF(COUNTIFS('Staff Review'!$A$8:$A$507,A2545)&gt;1,"Duplicate review ID",IF(H2545&lt;&gt;"Yes","Outside scope",IF(J2545="Yes","Already served",IF(NOT(ISNUMBER(T2545)),"Missing data","Candidate"))))))</x:f>
      </x:c>
      <x:c r="W2545" s="1" t="str">
        <x:f>IF(AL2545=0,"",1+COUNTIFS($AL$2051:$AL$2550,1,$T$2051:$T$2550,"&gt;"&amp;T2545)+COUNTIFS($AL$2051:$AL$2550,1,$T$2051:$T$2550,T2545,$G$2051:$G$2550,"&gt;"&amp;G2545)+COUNTIFS($AL$2051:$AL$2550,1,$T$2051:$T$2550,T2545,$G$2051:$G$2550,G2545,$F$2051:$F$2550,"&gt;"&amp;F2545)+COUNTIFS($AL$2051:$AL$2550,1,$T$2051:$T$2550,T2545,$G$2051:$G$2550,G2545,$F$2051:$F$2550,F2545,$AM$2051:$AM$2550,"&lt;"&amp;AM2545))</x:f>
      </x:c>
      <x:c r="X2545" s="1" t="str">
        <x:f>IF(AL2545=0,"",1+COUNTIFS($AL$2051:$AL$2550,1,$T$2051:$T$2550,"&gt;"&amp;T2545))</x:f>
      </x:c>
      <x:c r="Y2545" s="1" t="n">
        <x:f>IF(AND(H2545="Yes",OR(LEN('School Search'!$B$5)=0,ISNUMBER(SEARCH('School Search'!$B$5,B2545&amp;" "&amp;E2545&amp;" "&amp;A2545))),OR('School Search'!$D$5="All",C2545='School Search'!$D$5),OR('School Search'!$G$5="All eligible",AND('School Search'!$G$5="Not marked served",J2545&lt;&gt;"Yes"),AND('School Search'!$G$5="Missing data",V2545="Missing data"),AND('School Search'!$G$5="Marked served",J2545="Yes"))),1,0)</x:f>
        <x:v>0</x:v>
      </x:c>
      <x:c r="Z2545" s="1" t="str">
        <x:f>IF(Y2545=0,"",COUNTIFS($Y$2051:$Y$2550,1,$AO$2051:$AO$2550,"&lt;"&amp;AO2545)+COUNTIFS($Y$2051:Y2545,1,$AO$2051:AO2545,AO2545))</x:f>
      </x:c>
      <x:c r="AA2545" s="1" t="str">
        <x:f>IF(NOT(ISNUMBER(S2545)),"Missing demographic or access input",TEXT(G2545,"0%")&amp;" economic need; "&amp;TEXT(K2545,"0.00")&amp;" mi fresh access; "&amp;L2545&amp;" nearby resources")</x:f>
        <x:v>Missing demographic or access input</x:v>
      </x:c>
      <x:c r="AB2545" s="1" t="n">
        <x:f>IF(OR(A2545="",COUNTIFS($A$1531:$A$2030,A2545)&lt;&gt;1),0,MATCH(A2545,$A$1531:$A$2030,0))</x:f>
        <x:v>0</x:v>
      </x:c>
      <x:c r="AC2545" s="1" t="str">
        <x:f>IF(AB2545=0,"",INDEX($E$1531:$E$2030,AB2545))</x:f>
      </x:c>
      <x:c r="AD2545" s="1" t="str">
        <x:f>IF(AB2545=0,"",INDEX($F$1531:$F$2030,AB2545))</x:f>
      </x:c>
      <x:c r="AE2545" s="1" t="str">
        <x:f>IF(A2545="","",F496)</x:f>
      </x:c>
      <x:c r="AF2545" s="1" t="str">
        <x:f>IF(ISNUMBER(I496),I496,"")</x:f>
      </x:c>
      <x:c r="AG2545" s="1" t="str">
        <x:f>IF(ISNUMBER(J496),J496,"")</x:f>
      </x:c>
      <x:c r="AH2545" s="1" t="str">
        <x:f>IF(I2545=0,"Not contacted",IF(INDEX('Staff Review'!$J$8:$J$507,I2545)="","Not contacted",INDEX('Staff Review'!$J$8:$J$507,I2545)))</x:f>
        <x:v>Not contacted</x:v>
      </x:c>
      <x:c r="AI2545" s="1" t="str">
        <x:f>IF(I2545=0,"No",IF(AND(COUNT(INDEX('Staff Review'!$D$8:$D$507,I2545))=1,INDEX('Staff Review'!$D$8:$D$507,I2545)&gt;=0,COUNT(INDEX('Staff Review'!$E$8:$E$507,I2545))=1,INDEX('Staff Review'!$E$8:$E$507,I2545)&gt;0,INDEX('Staff Review'!$E$8:$E$507,I2545)&lt;='Top 15'!$E$5,'Top 15'!$E$5-INDEX('Staff Review'!$E$8:$E$507,I2545)&lt;='Top 15'!$H$5,LEN(INDEX('Staff Review'!$H$8:$H$507,I2545))&gt;0),"Yes","No"))</x:f>
        <x:v>No</x:v>
      </x:c>
      <x:c r="AJ2545" s="1" t="str">
        <x:f>IF(I2545=0,"No",IF(COUNT(INDEX('Staff Review'!$F$8:$F$507,I2545))&lt;&gt;1,"No",IF(AND(INDEX('Staff Review'!$F$8:$F$507,I2545)&gt;=0,MOD(INDEX('Staff Review'!$F$8:$F$507,I2545),1)=0,COUNT(INDEX('Staff Review'!$G$8:$G$507,I2545))=1,INDEX('Staff Review'!$G$8:$G$507,I2545)&gt;0,INDEX('Staff Review'!$G$8:$G$507,I2545)&lt;='Top 15'!$E$5,'Top 15'!$E$5-INDEX('Staff Review'!$G$8:$G$507,I2545)&lt;='Top 15'!$H$5,LEN(INDEX('Staff Review'!$H$8:$H$507,I2545))&gt;0),"Yes","No")))</x:f>
        <x:v>No</x:v>
      </x:c>
      <x:c r="AK2545" s="1" t="n">
        <x:f>IF(A2545="",0,COUNTIFS($A$2:$A$501,A2545))</x:f>
        <x:v>0</x:v>
      </x:c>
      <x:c r="AL2545" s="1" t="n">
        <x:f>IF(V2545="Candidate",1,0)</x:f>
        <x:v>0</x:v>
      </x:c>
      <x:c r="AM2545" s="1" t="n">
        <x:f>IF(A2545="",0,VALUE(A2545))</x:f>
        <x:v>0</x:v>
      </x:c>
      <x:c r="AN2545" s="1" t="n">
        <x:f>IF(OR(A2545="",COUNTIFS($T$41:$T$540,A2545)&lt;&gt;1),0,MATCH(A2545,$T$41:$T$540,0))</x:f>
        <x:v>0</x:v>
      </x:c>
      <x:c r="AO2545" t="n">
        <x:f>IF(ISNUMBER(W2545),W2545,10000+AM2545)</x:f>
        <x:v>10000</x:v>
      </x:c>
    </x:row>
    <x:row r="2546" ht="22" customHeight="1">
      <x:c r="A2546" s="1" t="str">
        <x:f>IF(A497="","",A497)</x:f>
      </x:c>
      <x:c r="B2546" s="1" t="str">
        <x:f>IF(A2546="","",B497)</x:f>
      </x:c>
      <x:c r="C2546" s="1" t="str">
        <x:f>IF(A2546="","",C497)</x:f>
      </x:c>
      <x:c r="D2546" s="1" t="str">
        <x:f>IF(A2546="","",E497)</x:f>
      </x:c>
      <x:c r="E2546" s="1" t="str">
        <x:f>IF(A2546="","",H497)</x:f>
      </x:c>
      <x:c r="F2546" s="1" t="str">
        <x:f>IF(ISNUMBER(K497),K497,"")</x:f>
      </x:c>
      <x:c r="G2546" s="1" t="str">
        <x:f>IF(ISNUMBER(L497),L497,"")</x:f>
      </x:c>
      <x:c r="H2546" s="1" t="str">
        <x:f>IF(A2546="","",IF(AND(UPPER(G497)="PHILADELPHIA",OR(C2546="District",AND(C2546="Charter",D497="Yes"))),"Yes","No"))</x:f>
      </x:c>
      <x:c r="I2546" s="1" t="n">
        <x:f>IF(OR(A2546="",COUNTIFS('Staff Review'!$A$8:$A$507,A2546)&lt;&gt;1),0,MATCH(A2546,'Staff Review'!$A$8:$A$507,0))</x:f>
        <x:v>0</x:v>
      </x:c>
      <x:c r="J2546" s="1" t="str">
        <x:f>IF(I2546=0,"No",IF(INDEX('Staff Review'!$C$8:$C$507,I2546)="Yes","Yes","No"))</x:f>
        <x:v>No</x:v>
      </x:c>
      <x:c r="K2546" s="1" t="str">
        <x:f>IF(AI2546="Yes",INDEX('Staff Review'!$D$8:$D$507,I2546),IF(AB2546=0,"",IF(COUNT(INDEX($C$1531:$C$2030,AB2546))=1,INDEX($C$1531:$C$2030,AB2546),"")))</x:f>
      </x:c>
      <x:c r="L2546" s="1" t="str">
        <x:f>IF(AJ2546="Yes",INDEX('Staff Review'!$F$8:$F$507,I2546),IF(AB2546=0,"",IF(COUNT(INDEX($G$1531:$G$2030,AB2546))=1,INDEX($G$1531:$G$2030,AB2546),"")))</x:f>
      </x:c>
      <x:c r="M2546" s="1" t="str">
        <x:f>IF(A2546="","",IF(AI2546="Yes","Verified","Listed"))</x:f>
      </x:c>
      <x:c r="N2546" s="1" t="str">
        <x:f>IF(A2546="","",IF(AJ2546="Yes","Verified","Listed"))</x:f>
      </x:c>
      <x:c r="O2546" s="1" t="str">
        <x:f>IF(AND(ISNUMBER(G2546),G2546&gt;=0,G2546&lt;=1),IF(G2546&gt;=0.9,30,IF(G2546&gt;=0.8,25,IF(G2546&gt;=0.7,20,IF(G2546&gt;=0.6,15,IF(G2546&gt;=0.5,10,IF(G2546&gt;=0.4,5,0)))))),"")</x:f>
      </x:c>
      <x:c r="P2546" s="1" t="str">
        <x:f>IF(ISNUMBER(K2546),IF(K2546&lt;0,"",IF(K2546&gt;1,25,IF(K2546&gt;=0.75,20,IF(K2546&gt;=0.5,15,IF(K2546&gt;=0.25,10,5))))),"")</x:f>
      </x:c>
      <x:c r="Q2546" s="1" t="str">
        <x:f>IF(NOT(ISNUMBER(L2546)),"",IF(AND(L2546&gt;=0,MOD(L2546,1)=0),MAX(0,25-5*L2546),""))</x:f>
      </x:c>
      <x:c r="R2546" s="1" t="str">
        <x:f>IF(NOT(ISNUMBER(F2546)),"",IF(AND(F2546&gt;0,MOD(F2546,1)=0),IF(F2546&gt;=700,5,IF(F2546&gt;=500,4,IF(F2546&gt;=350,3,IF(F2546&gt;=200,2,1)))),""))</x:f>
      </x:c>
      <x:c r="S2546" s="1" t="str">
        <x:f>IF(COUNT(O2546:R2546)=4,SUM(O2546:R2546),"")</x:f>
      </x:c>
      <x:c r="T2546" s="1" t="str">
        <x:f>IF(OR(COUNT(O2546:R2546)&lt;&gt;4,COUNT('Top 15'!$B$35:$E$35)&lt;&gt;4,MIN('Top 15'!$B$35:$E$35)&lt;0,SUM('Top 15'!$B$35:$E$35)&lt;=0),"",ROUND(85*(O2546/30*'Top 15'!$B$35+P2546/25*'Top 15'!$C$35+Q2546/25*'Top 15'!$D$35+R2546/5*'Top 15'!$E$35)/SUM('Top 15'!$B$35:$E$35),6))</x:f>
      </x:c>
      <x:c r="U2546" s="1" t="str">
        <x:f>IF(A2546="","",IF(AND(M2546="Verified",N2546="Verified"),"Verified",IF(AND(M2546="Listed",N2546="Listed"),"Listed","Mixed")))</x:f>
      </x:c>
      <x:c r="V2546" s="1" t="str">
        <x:f>IF(A2546="","",IF(AK2546&lt;&gt;1,"Duplicate source ID",IF(COUNTIFS('Staff Review'!$A$8:$A$507,A2546)&gt;1,"Duplicate review ID",IF(H2546&lt;&gt;"Yes","Outside scope",IF(J2546="Yes","Already served",IF(NOT(ISNUMBER(T2546)),"Missing data","Candidate"))))))</x:f>
      </x:c>
      <x:c r="W2546" s="1" t="str">
        <x:f>IF(AL2546=0,"",1+COUNTIFS($AL$2051:$AL$2550,1,$T$2051:$T$2550,"&gt;"&amp;T2546)+COUNTIFS($AL$2051:$AL$2550,1,$T$2051:$T$2550,T2546,$G$2051:$G$2550,"&gt;"&amp;G2546)+COUNTIFS($AL$2051:$AL$2550,1,$T$2051:$T$2550,T2546,$G$2051:$G$2550,G2546,$F$2051:$F$2550,"&gt;"&amp;F2546)+COUNTIFS($AL$2051:$AL$2550,1,$T$2051:$T$2550,T2546,$G$2051:$G$2550,G2546,$F$2051:$F$2550,F2546,$AM$2051:$AM$2550,"&lt;"&amp;AM2546))</x:f>
      </x:c>
      <x:c r="X2546" s="1" t="str">
        <x:f>IF(AL2546=0,"",1+COUNTIFS($AL$2051:$AL$2550,1,$T$2051:$T$2550,"&gt;"&amp;T2546))</x:f>
      </x:c>
      <x:c r="Y2546" s="1" t="n">
        <x:f>IF(AND(H2546="Yes",OR(LEN('School Search'!$B$5)=0,ISNUMBER(SEARCH('School Search'!$B$5,B2546&amp;" "&amp;E2546&amp;" "&amp;A2546))),OR('School Search'!$D$5="All",C2546='School Search'!$D$5),OR('School Search'!$G$5="All eligible",AND('School Search'!$G$5="Not marked served",J2546&lt;&gt;"Yes"),AND('School Search'!$G$5="Missing data",V2546="Missing data"),AND('School Search'!$G$5="Marked served",J2546="Yes"))),1,0)</x:f>
        <x:v>0</x:v>
      </x:c>
      <x:c r="Z2546" s="1" t="str">
        <x:f>IF(Y2546=0,"",COUNTIFS($Y$2051:$Y$2550,1,$AO$2051:$AO$2550,"&lt;"&amp;AO2546)+COUNTIFS($Y$2051:Y2546,1,$AO$2051:AO2546,AO2546))</x:f>
      </x:c>
      <x:c r="AA2546" s="1" t="str">
        <x:f>IF(NOT(ISNUMBER(S2546)),"Missing demographic or access input",TEXT(G2546,"0%")&amp;" economic need; "&amp;TEXT(K2546,"0.00")&amp;" mi fresh access; "&amp;L2546&amp;" nearby resources")</x:f>
        <x:v>Missing demographic or access input</x:v>
      </x:c>
      <x:c r="AB2546" s="1" t="n">
        <x:f>IF(OR(A2546="",COUNTIFS($A$1531:$A$2030,A2546)&lt;&gt;1),0,MATCH(A2546,$A$1531:$A$2030,0))</x:f>
        <x:v>0</x:v>
      </x:c>
      <x:c r="AC2546" s="1" t="str">
        <x:f>IF(AB2546=0,"",INDEX($E$1531:$E$2030,AB2546))</x:f>
      </x:c>
      <x:c r="AD2546" s="1" t="str">
        <x:f>IF(AB2546=0,"",INDEX($F$1531:$F$2030,AB2546))</x:f>
      </x:c>
      <x:c r="AE2546" s="1" t="str">
        <x:f>IF(A2546="","",F497)</x:f>
      </x:c>
      <x:c r="AF2546" s="1" t="str">
        <x:f>IF(ISNUMBER(I497),I497,"")</x:f>
      </x:c>
      <x:c r="AG2546" s="1" t="str">
        <x:f>IF(ISNUMBER(J497),J497,"")</x:f>
      </x:c>
      <x:c r="AH2546" s="1" t="str">
        <x:f>IF(I2546=0,"Not contacted",IF(INDEX('Staff Review'!$J$8:$J$507,I2546)="","Not contacted",INDEX('Staff Review'!$J$8:$J$507,I2546)))</x:f>
        <x:v>Not contacted</x:v>
      </x:c>
      <x:c r="AI2546" s="1" t="str">
        <x:f>IF(I2546=0,"No",IF(AND(COUNT(INDEX('Staff Review'!$D$8:$D$507,I2546))=1,INDEX('Staff Review'!$D$8:$D$507,I2546)&gt;=0,COUNT(INDEX('Staff Review'!$E$8:$E$507,I2546))=1,INDEX('Staff Review'!$E$8:$E$507,I2546)&gt;0,INDEX('Staff Review'!$E$8:$E$507,I2546)&lt;='Top 15'!$E$5,'Top 15'!$E$5-INDEX('Staff Review'!$E$8:$E$507,I2546)&lt;='Top 15'!$H$5,LEN(INDEX('Staff Review'!$H$8:$H$507,I2546))&gt;0),"Yes","No"))</x:f>
        <x:v>No</x:v>
      </x:c>
      <x:c r="AJ2546" s="1" t="str">
        <x:f>IF(I2546=0,"No",IF(COUNT(INDEX('Staff Review'!$F$8:$F$507,I2546))&lt;&gt;1,"No",IF(AND(INDEX('Staff Review'!$F$8:$F$507,I2546)&gt;=0,MOD(INDEX('Staff Review'!$F$8:$F$507,I2546),1)=0,COUNT(INDEX('Staff Review'!$G$8:$G$507,I2546))=1,INDEX('Staff Review'!$G$8:$G$507,I2546)&gt;0,INDEX('Staff Review'!$G$8:$G$507,I2546)&lt;='Top 15'!$E$5,'Top 15'!$E$5-INDEX('Staff Review'!$G$8:$G$507,I2546)&lt;='Top 15'!$H$5,LEN(INDEX('Staff Review'!$H$8:$H$507,I2546))&gt;0),"Yes","No")))</x:f>
        <x:v>No</x:v>
      </x:c>
      <x:c r="AK2546" s="1" t="n">
        <x:f>IF(A2546="",0,COUNTIFS($A$2:$A$501,A2546))</x:f>
        <x:v>0</x:v>
      </x:c>
      <x:c r="AL2546" s="1" t="n">
        <x:f>IF(V2546="Candidate",1,0)</x:f>
        <x:v>0</x:v>
      </x:c>
      <x:c r="AM2546" s="1" t="n">
        <x:f>IF(A2546="",0,VALUE(A2546))</x:f>
        <x:v>0</x:v>
      </x:c>
      <x:c r="AN2546" s="1" t="n">
        <x:f>IF(OR(A2546="",COUNTIFS($T$41:$T$540,A2546)&lt;&gt;1),0,MATCH(A2546,$T$41:$T$540,0))</x:f>
        <x:v>0</x:v>
      </x:c>
      <x:c r="AO2546" t="n">
        <x:f>IF(ISNUMBER(W2546),W2546,10000+AM2546)</x:f>
        <x:v>10000</x:v>
      </x:c>
    </x:row>
    <x:row r="2547" ht="22" customHeight="1">
      <x:c r="A2547" s="1" t="str">
        <x:f>IF(A498="","",A498)</x:f>
      </x:c>
      <x:c r="B2547" s="1" t="str">
        <x:f>IF(A2547="","",B498)</x:f>
      </x:c>
      <x:c r="C2547" s="1" t="str">
        <x:f>IF(A2547="","",C498)</x:f>
      </x:c>
      <x:c r="D2547" s="1" t="str">
        <x:f>IF(A2547="","",E498)</x:f>
      </x:c>
      <x:c r="E2547" s="1" t="str">
        <x:f>IF(A2547="","",H498)</x:f>
      </x:c>
      <x:c r="F2547" s="1" t="str">
        <x:f>IF(ISNUMBER(K498),K498,"")</x:f>
      </x:c>
      <x:c r="G2547" s="1" t="str">
        <x:f>IF(ISNUMBER(L498),L498,"")</x:f>
      </x:c>
      <x:c r="H2547" s="1" t="str">
        <x:f>IF(A2547="","",IF(AND(UPPER(G498)="PHILADELPHIA",OR(C2547="District",AND(C2547="Charter",D498="Yes"))),"Yes","No"))</x:f>
      </x:c>
      <x:c r="I2547" s="1" t="n">
        <x:f>IF(OR(A2547="",COUNTIFS('Staff Review'!$A$8:$A$507,A2547)&lt;&gt;1),0,MATCH(A2547,'Staff Review'!$A$8:$A$507,0))</x:f>
        <x:v>0</x:v>
      </x:c>
      <x:c r="J2547" s="1" t="str">
        <x:f>IF(I2547=0,"No",IF(INDEX('Staff Review'!$C$8:$C$507,I2547)="Yes","Yes","No"))</x:f>
        <x:v>No</x:v>
      </x:c>
      <x:c r="K2547" s="1" t="str">
        <x:f>IF(AI2547="Yes",INDEX('Staff Review'!$D$8:$D$507,I2547),IF(AB2547=0,"",IF(COUNT(INDEX($C$1531:$C$2030,AB2547))=1,INDEX($C$1531:$C$2030,AB2547),"")))</x:f>
      </x:c>
      <x:c r="L2547" s="1" t="str">
        <x:f>IF(AJ2547="Yes",INDEX('Staff Review'!$F$8:$F$507,I2547),IF(AB2547=0,"",IF(COUNT(INDEX($G$1531:$G$2030,AB2547))=1,INDEX($G$1531:$G$2030,AB2547),"")))</x:f>
      </x:c>
      <x:c r="M2547" s="1" t="str">
        <x:f>IF(A2547="","",IF(AI2547="Yes","Verified","Listed"))</x:f>
      </x:c>
      <x:c r="N2547" s="1" t="str">
        <x:f>IF(A2547="","",IF(AJ2547="Yes","Verified","Listed"))</x:f>
      </x:c>
      <x:c r="O2547" s="1" t="str">
        <x:f>IF(AND(ISNUMBER(G2547),G2547&gt;=0,G2547&lt;=1),IF(G2547&gt;=0.9,30,IF(G2547&gt;=0.8,25,IF(G2547&gt;=0.7,20,IF(G2547&gt;=0.6,15,IF(G2547&gt;=0.5,10,IF(G2547&gt;=0.4,5,0)))))),"")</x:f>
      </x:c>
      <x:c r="P2547" s="1" t="str">
        <x:f>IF(ISNUMBER(K2547),IF(K2547&lt;0,"",IF(K2547&gt;1,25,IF(K2547&gt;=0.75,20,IF(K2547&gt;=0.5,15,IF(K2547&gt;=0.25,10,5))))),"")</x:f>
      </x:c>
      <x:c r="Q2547" s="1" t="str">
        <x:f>IF(NOT(ISNUMBER(L2547)),"",IF(AND(L2547&gt;=0,MOD(L2547,1)=0),MAX(0,25-5*L2547),""))</x:f>
      </x:c>
      <x:c r="R2547" s="1" t="str">
        <x:f>IF(NOT(ISNUMBER(F2547)),"",IF(AND(F2547&gt;0,MOD(F2547,1)=0),IF(F2547&gt;=700,5,IF(F2547&gt;=500,4,IF(F2547&gt;=350,3,IF(F2547&gt;=200,2,1)))),""))</x:f>
      </x:c>
      <x:c r="S2547" s="1" t="str">
        <x:f>IF(COUNT(O2547:R2547)=4,SUM(O2547:R2547),"")</x:f>
      </x:c>
      <x:c r="T2547" s="1" t="str">
        <x:f>IF(OR(COUNT(O2547:R2547)&lt;&gt;4,COUNT('Top 15'!$B$35:$E$35)&lt;&gt;4,MIN('Top 15'!$B$35:$E$35)&lt;0,SUM('Top 15'!$B$35:$E$35)&lt;=0),"",ROUND(85*(O2547/30*'Top 15'!$B$35+P2547/25*'Top 15'!$C$35+Q2547/25*'Top 15'!$D$35+R2547/5*'Top 15'!$E$35)/SUM('Top 15'!$B$35:$E$35),6))</x:f>
      </x:c>
      <x:c r="U2547" s="1" t="str">
        <x:f>IF(A2547="","",IF(AND(M2547="Verified",N2547="Verified"),"Verified",IF(AND(M2547="Listed",N2547="Listed"),"Listed","Mixed")))</x:f>
      </x:c>
      <x:c r="V2547" s="1" t="str">
        <x:f>IF(A2547="","",IF(AK2547&lt;&gt;1,"Duplicate source ID",IF(COUNTIFS('Staff Review'!$A$8:$A$507,A2547)&gt;1,"Duplicate review ID",IF(H2547&lt;&gt;"Yes","Outside scope",IF(J2547="Yes","Already served",IF(NOT(ISNUMBER(T2547)),"Missing data","Candidate"))))))</x:f>
      </x:c>
      <x:c r="W2547" s="1" t="str">
        <x:f>IF(AL2547=0,"",1+COUNTIFS($AL$2051:$AL$2550,1,$T$2051:$T$2550,"&gt;"&amp;T2547)+COUNTIFS($AL$2051:$AL$2550,1,$T$2051:$T$2550,T2547,$G$2051:$G$2550,"&gt;"&amp;G2547)+COUNTIFS($AL$2051:$AL$2550,1,$T$2051:$T$2550,T2547,$G$2051:$G$2550,G2547,$F$2051:$F$2550,"&gt;"&amp;F2547)+COUNTIFS($AL$2051:$AL$2550,1,$T$2051:$T$2550,T2547,$G$2051:$G$2550,G2547,$F$2051:$F$2550,F2547,$AM$2051:$AM$2550,"&lt;"&amp;AM2547))</x:f>
      </x:c>
      <x:c r="X2547" s="1" t="str">
        <x:f>IF(AL2547=0,"",1+COUNTIFS($AL$2051:$AL$2550,1,$T$2051:$T$2550,"&gt;"&amp;T2547))</x:f>
      </x:c>
      <x:c r="Y2547" s="1" t="n">
        <x:f>IF(AND(H2547="Yes",OR(LEN('School Search'!$B$5)=0,ISNUMBER(SEARCH('School Search'!$B$5,B2547&amp;" "&amp;E2547&amp;" "&amp;A2547))),OR('School Search'!$D$5="All",C2547='School Search'!$D$5),OR('School Search'!$G$5="All eligible",AND('School Search'!$G$5="Not marked served",J2547&lt;&gt;"Yes"),AND('School Search'!$G$5="Missing data",V2547="Missing data"),AND('School Search'!$G$5="Marked served",J2547="Yes"))),1,0)</x:f>
        <x:v>0</x:v>
      </x:c>
      <x:c r="Z2547" s="1" t="str">
        <x:f>IF(Y2547=0,"",COUNTIFS($Y$2051:$Y$2550,1,$AO$2051:$AO$2550,"&lt;"&amp;AO2547)+COUNTIFS($Y$2051:Y2547,1,$AO$2051:AO2547,AO2547))</x:f>
      </x:c>
      <x:c r="AA2547" s="1" t="str">
        <x:f>IF(NOT(ISNUMBER(S2547)),"Missing demographic or access input",TEXT(G2547,"0%")&amp;" economic need; "&amp;TEXT(K2547,"0.00")&amp;" mi fresh access; "&amp;L2547&amp;" nearby resources")</x:f>
        <x:v>Missing demographic or access input</x:v>
      </x:c>
      <x:c r="AB2547" s="1" t="n">
        <x:f>IF(OR(A2547="",COUNTIFS($A$1531:$A$2030,A2547)&lt;&gt;1),0,MATCH(A2547,$A$1531:$A$2030,0))</x:f>
        <x:v>0</x:v>
      </x:c>
      <x:c r="AC2547" s="1" t="str">
        <x:f>IF(AB2547=0,"",INDEX($E$1531:$E$2030,AB2547))</x:f>
      </x:c>
      <x:c r="AD2547" s="1" t="str">
        <x:f>IF(AB2547=0,"",INDEX($F$1531:$F$2030,AB2547))</x:f>
      </x:c>
      <x:c r="AE2547" s="1" t="str">
        <x:f>IF(A2547="","",F498)</x:f>
      </x:c>
      <x:c r="AF2547" s="1" t="str">
        <x:f>IF(ISNUMBER(I498),I498,"")</x:f>
      </x:c>
      <x:c r="AG2547" s="1" t="str">
        <x:f>IF(ISNUMBER(J498),J498,"")</x:f>
      </x:c>
      <x:c r="AH2547" s="1" t="str">
        <x:f>IF(I2547=0,"Not contacted",IF(INDEX('Staff Review'!$J$8:$J$507,I2547)="","Not contacted",INDEX('Staff Review'!$J$8:$J$507,I2547)))</x:f>
        <x:v>Not contacted</x:v>
      </x:c>
      <x:c r="AI2547" s="1" t="str">
        <x:f>IF(I2547=0,"No",IF(AND(COUNT(INDEX('Staff Review'!$D$8:$D$507,I2547))=1,INDEX('Staff Review'!$D$8:$D$507,I2547)&gt;=0,COUNT(INDEX('Staff Review'!$E$8:$E$507,I2547))=1,INDEX('Staff Review'!$E$8:$E$507,I2547)&gt;0,INDEX('Staff Review'!$E$8:$E$507,I2547)&lt;='Top 15'!$E$5,'Top 15'!$E$5-INDEX('Staff Review'!$E$8:$E$507,I2547)&lt;='Top 15'!$H$5,LEN(INDEX('Staff Review'!$H$8:$H$507,I2547))&gt;0),"Yes","No"))</x:f>
        <x:v>No</x:v>
      </x:c>
      <x:c r="AJ2547" s="1" t="str">
        <x:f>IF(I2547=0,"No",IF(COUNT(INDEX('Staff Review'!$F$8:$F$507,I2547))&lt;&gt;1,"No",IF(AND(INDEX('Staff Review'!$F$8:$F$507,I2547)&gt;=0,MOD(INDEX('Staff Review'!$F$8:$F$507,I2547),1)=0,COUNT(INDEX('Staff Review'!$G$8:$G$507,I2547))=1,INDEX('Staff Review'!$G$8:$G$507,I2547)&gt;0,INDEX('Staff Review'!$G$8:$G$507,I2547)&lt;='Top 15'!$E$5,'Top 15'!$E$5-INDEX('Staff Review'!$G$8:$G$507,I2547)&lt;='Top 15'!$H$5,LEN(INDEX('Staff Review'!$H$8:$H$507,I2547))&gt;0),"Yes","No")))</x:f>
        <x:v>No</x:v>
      </x:c>
      <x:c r="AK2547" s="1" t="n">
        <x:f>IF(A2547="",0,COUNTIFS($A$2:$A$501,A2547))</x:f>
        <x:v>0</x:v>
      </x:c>
      <x:c r="AL2547" s="1" t="n">
        <x:f>IF(V2547="Candidate",1,0)</x:f>
        <x:v>0</x:v>
      </x:c>
      <x:c r="AM2547" s="1" t="n">
        <x:f>IF(A2547="",0,VALUE(A2547))</x:f>
        <x:v>0</x:v>
      </x:c>
      <x:c r="AN2547" s="1" t="n">
        <x:f>IF(OR(A2547="",COUNTIFS($T$41:$T$540,A2547)&lt;&gt;1),0,MATCH(A2547,$T$41:$T$540,0))</x:f>
        <x:v>0</x:v>
      </x:c>
      <x:c r="AO2547" t="n">
        <x:f>IF(ISNUMBER(W2547),W2547,10000+AM2547)</x:f>
        <x:v>10000</x:v>
      </x:c>
    </x:row>
    <x:row r="2548" ht="22" customHeight="1">
      <x:c r="A2548" s="1" t="str">
        <x:f>IF(A499="","",A499)</x:f>
      </x:c>
      <x:c r="B2548" s="1" t="str">
        <x:f>IF(A2548="","",B499)</x:f>
      </x:c>
      <x:c r="C2548" s="1" t="str">
        <x:f>IF(A2548="","",C499)</x:f>
      </x:c>
      <x:c r="D2548" s="1" t="str">
        <x:f>IF(A2548="","",E499)</x:f>
      </x:c>
      <x:c r="E2548" s="1" t="str">
        <x:f>IF(A2548="","",H499)</x:f>
      </x:c>
      <x:c r="F2548" s="1" t="str">
        <x:f>IF(ISNUMBER(K499),K499,"")</x:f>
      </x:c>
      <x:c r="G2548" s="1" t="str">
        <x:f>IF(ISNUMBER(L499),L499,"")</x:f>
      </x:c>
      <x:c r="H2548" s="1" t="str">
        <x:f>IF(A2548="","",IF(AND(UPPER(G499)="PHILADELPHIA",OR(C2548="District",AND(C2548="Charter",D499="Yes"))),"Yes","No"))</x:f>
      </x:c>
      <x:c r="I2548" s="1" t="n">
        <x:f>IF(OR(A2548="",COUNTIFS('Staff Review'!$A$8:$A$507,A2548)&lt;&gt;1),0,MATCH(A2548,'Staff Review'!$A$8:$A$507,0))</x:f>
        <x:v>0</x:v>
      </x:c>
      <x:c r="J2548" s="1" t="str">
        <x:f>IF(I2548=0,"No",IF(INDEX('Staff Review'!$C$8:$C$507,I2548)="Yes","Yes","No"))</x:f>
        <x:v>No</x:v>
      </x:c>
      <x:c r="K2548" s="1" t="str">
        <x:f>IF(AI2548="Yes",INDEX('Staff Review'!$D$8:$D$507,I2548),IF(AB2548=0,"",IF(COUNT(INDEX($C$1531:$C$2030,AB2548))=1,INDEX($C$1531:$C$2030,AB2548),"")))</x:f>
      </x:c>
      <x:c r="L2548" s="1" t="str">
        <x:f>IF(AJ2548="Yes",INDEX('Staff Review'!$F$8:$F$507,I2548),IF(AB2548=0,"",IF(COUNT(INDEX($G$1531:$G$2030,AB2548))=1,INDEX($G$1531:$G$2030,AB2548),"")))</x:f>
      </x:c>
      <x:c r="M2548" s="1" t="str">
        <x:f>IF(A2548="","",IF(AI2548="Yes","Verified","Listed"))</x:f>
      </x:c>
      <x:c r="N2548" s="1" t="str">
        <x:f>IF(A2548="","",IF(AJ2548="Yes","Verified","Listed"))</x:f>
      </x:c>
      <x:c r="O2548" s="1" t="str">
        <x:f>IF(AND(ISNUMBER(G2548),G2548&gt;=0,G2548&lt;=1),IF(G2548&gt;=0.9,30,IF(G2548&gt;=0.8,25,IF(G2548&gt;=0.7,20,IF(G2548&gt;=0.6,15,IF(G2548&gt;=0.5,10,IF(G2548&gt;=0.4,5,0)))))),"")</x:f>
      </x:c>
      <x:c r="P2548" s="1" t="str">
        <x:f>IF(ISNUMBER(K2548),IF(K2548&lt;0,"",IF(K2548&gt;1,25,IF(K2548&gt;=0.75,20,IF(K2548&gt;=0.5,15,IF(K2548&gt;=0.25,10,5))))),"")</x:f>
      </x:c>
      <x:c r="Q2548" s="1" t="str">
        <x:f>IF(NOT(ISNUMBER(L2548)),"",IF(AND(L2548&gt;=0,MOD(L2548,1)=0),MAX(0,25-5*L2548),""))</x:f>
      </x:c>
      <x:c r="R2548" s="1" t="str">
        <x:f>IF(NOT(ISNUMBER(F2548)),"",IF(AND(F2548&gt;0,MOD(F2548,1)=0),IF(F2548&gt;=700,5,IF(F2548&gt;=500,4,IF(F2548&gt;=350,3,IF(F2548&gt;=200,2,1)))),""))</x:f>
      </x:c>
      <x:c r="S2548" s="1" t="str">
        <x:f>IF(COUNT(O2548:R2548)=4,SUM(O2548:R2548),"")</x:f>
      </x:c>
      <x:c r="T2548" s="1" t="str">
        <x:f>IF(OR(COUNT(O2548:R2548)&lt;&gt;4,COUNT('Top 15'!$B$35:$E$35)&lt;&gt;4,MIN('Top 15'!$B$35:$E$35)&lt;0,SUM('Top 15'!$B$35:$E$35)&lt;=0),"",ROUND(85*(O2548/30*'Top 15'!$B$35+P2548/25*'Top 15'!$C$35+Q2548/25*'Top 15'!$D$35+R2548/5*'Top 15'!$E$35)/SUM('Top 15'!$B$35:$E$35),6))</x:f>
      </x:c>
      <x:c r="U2548" s="1" t="str">
        <x:f>IF(A2548="","",IF(AND(M2548="Verified",N2548="Verified"),"Verified",IF(AND(M2548="Listed",N2548="Listed"),"Listed","Mixed")))</x:f>
      </x:c>
      <x:c r="V2548" s="1" t="str">
        <x:f>IF(A2548="","",IF(AK2548&lt;&gt;1,"Duplicate source ID",IF(COUNTIFS('Staff Review'!$A$8:$A$507,A2548)&gt;1,"Duplicate review ID",IF(H2548&lt;&gt;"Yes","Outside scope",IF(J2548="Yes","Already served",IF(NOT(ISNUMBER(T2548)),"Missing data","Candidate"))))))</x:f>
      </x:c>
      <x:c r="W2548" s="1" t="str">
        <x:f>IF(AL2548=0,"",1+COUNTIFS($AL$2051:$AL$2550,1,$T$2051:$T$2550,"&gt;"&amp;T2548)+COUNTIFS($AL$2051:$AL$2550,1,$T$2051:$T$2550,T2548,$G$2051:$G$2550,"&gt;"&amp;G2548)+COUNTIFS($AL$2051:$AL$2550,1,$T$2051:$T$2550,T2548,$G$2051:$G$2550,G2548,$F$2051:$F$2550,"&gt;"&amp;F2548)+COUNTIFS($AL$2051:$AL$2550,1,$T$2051:$T$2550,T2548,$G$2051:$G$2550,G2548,$F$2051:$F$2550,F2548,$AM$2051:$AM$2550,"&lt;"&amp;AM2548))</x:f>
      </x:c>
      <x:c r="X2548" s="1" t="str">
        <x:f>IF(AL2548=0,"",1+COUNTIFS($AL$2051:$AL$2550,1,$T$2051:$T$2550,"&gt;"&amp;T2548))</x:f>
      </x:c>
      <x:c r="Y2548" s="1" t="n">
        <x:f>IF(AND(H2548="Yes",OR(LEN('School Search'!$B$5)=0,ISNUMBER(SEARCH('School Search'!$B$5,B2548&amp;" "&amp;E2548&amp;" "&amp;A2548))),OR('School Search'!$D$5="All",C2548='School Search'!$D$5),OR('School Search'!$G$5="All eligible",AND('School Search'!$G$5="Not marked served",J2548&lt;&gt;"Yes"),AND('School Search'!$G$5="Missing data",V2548="Missing data"),AND('School Search'!$G$5="Marked served",J2548="Yes"))),1,0)</x:f>
        <x:v>0</x:v>
      </x:c>
      <x:c r="Z2548" s="1" t="str">
        <x:f>IF(Y2548=0,"",COUNTIFS($Y$2051:$Y$2550,1,$AO$2051:$AO$2550,"&lt;"&amp;AO2548)+COUNTIFS($Y$2051:Y2548,1,$AO$2051:AO2548,AO2548))</x:f>
      </x:c>
      <x:c r="AA2548" s="1" t="str">
        <x:f>IF(NOT(ISNUMBER(S2548)),"Missing demographic or access input",TEXT(G2548,"0%")&amp;" economic need; "&amp;TEXT(K2548,"0.00")&amp;" mi fresh access; "&amp;L2548&amp;" nearby resources")</x:f>
        <x:v>Missing demographic or access input</x:v>
      </x:c>
      <x:c r="AB2548" s="1" t="n">
        <x:f>IF(OR(A2548="",COUNTIFS($A$1531:$A$2030,A2548)&lt;&gt;1),0,MATCH(A2548,$A$1531:$A$2030,0))</x:f>
        <x:v>0</x:v>
      </x:c>
      <x:c r="AC2548" s="1" t="str">
        <x:f>IF(AB2548=0,"",INDEX($E$1531:$E$2030,AB2548))</x:f>
      </x:c>
      <x:c r="AD2548" s="1" t="str">
        <x:f>IF(AB2548=0,"",INDEX($F$1531:$F$2030,AB2548))</x:f>
      </x:c>
      <x:c r="AE2548" s="1" t="str">
        <x:f>IF(A2548="","",F499)</x:f>
      </x:c>
      <x:c r="AF2548" s="1" t="str">
        <x:f>IF(ISNUMBER(I499),I499,"")</x:f>
      </x:c>
      <x:c r="AG2548" s="1" t="str">
        <x:f>IF(ISNUMBER(J499),J499,"")</x:f>
      </x:c>
      <x:c r="AH2548" s="1" t="str">
        <x:f>IF(I2548=0,"Not contacted",IF(INDEX('Staff Review'!$J$8:$J$507,I2548)="","Not contacted",INDEX('Staff Review'!$J$8:$J$507,I2548)))</x:f>
        <x:v>Not contacted</x:v>
      </x:c>
      <x:c r="AI2548" s="1" t="str">
        <x:f>IF(I2548=0,"No",IF(AND(COUNT(INDEX('Staff Review'!$D$8:$D$507,I2548))=1,INDEX('Staff Review'!$D$8:$D$507,I2548)&gt;=0,COUNT(INDEX('Staff Review'!$E$8:$E$507,I2548))=1,INDEX('Staff Review'!$E$8:$E$507,I2548)&gt;0,INDEX('Staff Review'!$E$8:$E$507,I2548)&lt;='Top 15'!$E$5,'Top 15'!$E$5-INDEX('Staff Review'!$E$8:$E$507,I2548)&lt;='Top 15'!$H$5,LEN(INDEX('Staff Review'!$H$8:$H$507,I2548))&gt;0),"Yes","No"))</x:f>
        <x:v>No</x:v>
      </x:c>
      <x:c r="AJ2548" s="1" t="str">
        <x:f>IF(I2548=0,"No",IF(COUNT(INDEX('Staff Review'!$F$8:$F$507,I2548))&lt;&gt;1,"No",IF(AND(INDEX('Staff Review'!$F$8:$F$507,I2548)&gt;=0,MOD(INDEX('Staff Review'!$F$8:$F$507,I2548),1)=0,COUNT(INDEX('Staff Review'!$G$8:$G$507,I2548))=1,INDEX('Staff Review'!$G$8:$G$507,I2548)&gt;0,INDEX('Staff Review'!$G$8:$G$507,I2548)&lt;='Top 15'!$E$5,'Top 15'!$E$5-INDEX('Staff Review'!$G$8:$G$507,I2548)&lt;='Top 15'!$H$5,LEN(INDEX('Staff Review'!$H$8:$H$507,I2548))&gt;0),"Yes","No")))</x:f>
        <x:v>No</x:v>
      </x:c>
      <x:c r="AK2548" s="1" t="n">
        <x:f>IF(A2548="",0,COUNTIFS($A$2:$A$501,A2548))</x:f>
        <x:v>0</x:v>
      </x:c>
      <x:c r="AL2548" s="1" t="n">
        <x:f>IF(V2548="Candidate",1,0)</x:f>
        <x:v>0</x:v>
      </x:c>
      <x:c r="AM2548" s="1" t="n">
        <x:f>IF(A2548="",0,VALUE(A2548))</x:f>
        <x:v>0</x:v>
      </x:c>
      <x:c r="AN2548" s="1" t="n">
        <x:f>IF(OR(A2548="",COUNTIFS($T$41:$T$540,A2548)&lt;&gt;1),0,MATCH(A2548,$T$41:$T$540,0))</x:f>
        <x:v>0</x:v>
      </x:c>
      <x:c r="AO2548" t="n">
        <x:f>IF(ISNUMBER(W2548),W2548,10000+AM2548)</x:f>
        <x:v>10000</x:v>
      </x:c>
    </x:row>
    <x:row r="2549" ht="22" customHeight="1">
      <x:c r="A2549" s="1" t="str">
        <x:f>IF(A500="","",A500)</x:f>
      </x:c>
      <x:c r="B2549" s="1" t="str">
        <x:f>IF(A2549="","",B500)</x:f>
      </x:c>
      <x:c r="C2549" s="1" t="str">
        <x:f>IF(A2549="","",C500)</x:f>
      </x:c>
      <x:c r="D2549" s="1" t="str">
        <x:f>IF(A2549="","",E500)</x:f>
      </x:c>
      <x:c r="E2549" s="1" t="str">
        <x:f>IF(A2549="","",H500)</x:f>
      </x:c>
      <x:c r="F2549" s="1" t="str">
        <x:f>IF(ISNUMBER(K500),K500,"")</x:f>
      </x:c>
      <x:c r="G2549" s="1" t="str">
        <x:f>IF(ISNUMBER(L500),L500,"")</x:f>
      </x:c>
      <x:c r="H2549" s="1" t="str">
        <x:f>IF(A2549="","",IF(AND(UPPER(G500)="PHILADELPHIA",OR(C2549="District",AND(C2549="Charter",D500="Yes"))),"Yes","No"))</x:f>
      </x:c>
      <x:c r="I2549" s="1" t="n">
        <x:f>IF(OR(A2549="",COUNTIFS('Staff Review'!$A$8:$A$507,A2549)&lt;&gt;1),0,MATCH(A2549,'Staff Review'!$A$8:$A$507,0))</x:f>
        <x:v>0</x:v>
      </x:c>
      <x:c r="J2549" s="1" t="str">
        <x:f>IF(I2549=0,"No",IF(INDEX('Staff Review'!$C$8:$C$507,I2549)="Yes","Yes","No"))</x:f>
        <x:v>No</x:v>
      </x:c>
      <x:c r="K2549" s="1" t="str">
        <x:f>IF(AI2549="Yes",INDEX('Staff Review'!$D$8:$D$507,I2549),IF(AB2549=0,"",IF(COUNT(INDEX($C$1531:$C$2030,AB2549))=1,INDEX($C$1531:$C$2030,AB2549),"")))</x:f>
      </x:c>
      <x:c r="L2549" s="1" t="str">
        <x:f>IF(AJ2549="Yes",INDEX('Staff Review'!$F$8:$F$507,I2549),IF(AB2549=0,"",IF(COUNT(INDEX($G$1531:$G$2030,AB2549))=1,INDEX($G$1531:$G$2030,AB2549),"")))</x:f>
      </x:c>
      <x:c r="M2549" s="1" t="str">
        <x:f>IF(A2549="","",IF(AI2549="Yes","Verified","Listed"))</x:f>
      </x:c>
      <x:c r="N2549" s="1" t="str">
        <x:f>IF(A2549="","",IF(AJ2549="Yes","Verified","Listed"))</x:f>
      </x:c>
      <x:c r="O2549" s="1" t="str">
        <x:f>IF(AND(ISNUMBER(G2549),G2549&gt;=0,G2549&lt;=1),IF(G2549&gt;=0.9,30,IF(G2549&gt;=0.8,25,IF(G2549&gt;=0.7,20,IF(G2549&gt;=0.6,15,IF(G2549&gt;=0.5,10,IF(G2549&gt;=0.4,5,0)))))),"")</x:f>
      </x:c>
      <x:c r="P2549" s="1" t="str">
        <x:f>IF(ISNUMBER(K2549),IF(K2549&lt;0,"",IF(K2549&gt;1,25,IF(K2549&gt;=0.75,20,IF(K2549&gt;=0.5,15,IF(K2549&gt;=0.25,10,5))))),"")</x:f>
      </x:c>
      <x:c r="Q2549" s="1" t="str">
        <x:f>IF(NOT(ISNUMBER(L2549)),"",IF(AND(L2549&gt;=0,MOD(L2549,1)=0),MAX(0,25-5*L2549),""))</x:f>
      </x:c>
      <x:c r="R2549" s="1" t="str">
        <x:f>IF(NOT(ISNUMBER(F2549)),"",IF(AND(F2549&gt;0,MOD(F2549,1)=0),IF(F2549&gt;=700,5,IF(F2549&gt;=500,4,IF(F2549&gt;=350,3,IF(F2549&gt;=200,2,1)))),""))</x:f>
      </x:c>
      <x:c r="S2549" s="1" t="str">
        <x:f>IF(COUNT(O2549:R2549)=4,SUM(O2549:R2549),"")</x:f>
      </x:c>
      <x:c r="T2549" s="1" t="str">
        <x:f>IF(OR(COUNT(O2549:R2549)&lt;&gt;4,COUNT('Top 15'!$B$35:$E$35)&lt;&gt;4,MIN('Top 15'!$B$35:$E$35)&lt;0,SUM('Top 15'!$B$35:$E$35)&lt;=0),"",ROUND(85*(O2549/30*'Top 15'!$B$35+P2549/25*'Top 15'!$C$35+Q2549/25*'Top 15'!$D$35+R2549/5*'Top 15'!$E$35)/SUM('Top 15'!$B$35:$E$35),6))</x:f>
      </x:c>
      <x:c r="U2549" s="1" t="str">
        <x:f>IF(A2549="","",IF(AND(M2549="Verified",N2549="Verified"),"Verified",IF(AND(M2549="Listed",N2549="Listed"),"Listed","Mixed")))</x:f>
      </x:c>
      <x:c r="V2549" s="1" t="str">
        <x:f>IF(A2549="","",IF(AK2549&lt;&gt;1,"Duplicate source ID",IF(COUNTIFS('Staff Review'!$A$8:$A$507,A2549)&gt;1,"Duplicate review ID",IF(H2549&lt;&gt;"Yes","Outside scope",IF(J2549="Yes","Already served",IF(NOT(ISNUMBER(T2549)),"Missing data","Candidate"))))))</x:f>
      </x:c>
      <x:c r="W2549" s="1" t="str">
        <x:f>IF(AL2549=0,"",1+COUNTIFS($AL$2051:$AL$2550,1,$T$2051:$T$2550,"&gt;"&amp;T2549)+COUNTIFS($AL$2051:$AL$2550,1,$T$2051:$T$2550,T2549,$G$2051:$G$2550,"&gt;"&amp;G2549)+COUNTIFS($AL$2051:$AL$2550,1,$T$2051:$T$2550,T2549,$G$2051:$G$2550,G2549,$F$2051:$F$2550,"&gt;"&amp;F2549)+COUNTIFS($AL$2051:$AL$2550,1,$T$2051:$T$2550,T2549,$G$2051:$G$2550,G2549,$F$2051:$F$2550,F2549,$AM$2051:$AM$2550,"&lt;"&amp;AM2549))</x:f>
      </x:c>
      <x:c r="X2549" s="1" t="str">
        <x:f>IF(AL2549=0,"",1+COUNTIFS($AL$2051:$AL$2550,1,$T$2051:$T$2550,"&gt;"&amp;T2549))</x:f>
      </x:c>
      <x:c r="Y2549" s="1" t="n">
        <x:f>IF(AND(H2549="Yes",OR(LEN('School Search'!$B$5)=0,ISNUMBER(SEARCH('School Search'!$B$5,B2549&amp;" "&amp;E2549&amp;" "&amp;A2549))),OR('School Search'!$D$5="All",C2549='School Search'!$D$5),OR('School Search'!$G$5="All eligible",AND('School Search'!$G$5="Not marked served",J2549&lt;&gt;"Yes"),AND('School Search'!$G$5="Missing data",V2549="Missing data"),AND('School Search'!$G$5="Marked served",J2549="Yes"))),1,0)</x:f>
        <x:v>0</x:v>
      </x:c>
      <x:c r="Z2549" s="1" t="str">
        <x:f>IF(Y2549=0,"",COUNTIFS($Y$2051:$Y$2550,1,$AO$2051:$AO$2550,"&lt;"&amp;AO2549)+COUNTIFS($Y$2051:Y2549,1,$AO$2051:AO2549,AO2549))</x:f>
      </x:c>
      <x:c r="AA2549" s="1" t="str">
        <x:f>IF(NOT(ISNUMBER(S2549)),"Missing demographic or access input",TEXT(G2549,"0%")&amp;" economic need; "&amp;TEXT(K2549,"0.00")&amp;" mi fresh access; "&amp;L2549&amp;" nearby resources")</x:f>
        <x:v>Missing demographic or access input</x:v>
      </x:c>
      <x:c r="AB2549" s="1" t="n">
        <x:f>IF(OR(A2549="",COUNTIFS($A$1531:$A$2030,A2549)&lt;&gt;1),0,MATCH(A2549,$A$1531:$A$2030,0))</x:f>
        <x:v>0</x:v>
      </x:c>
      <x:c r="AC2549" s="1" t="str">
        <x:f>IF(AB2549=0,"",INDEX($E$1531:$E$2030,AB2549))</x:f>
      </x:c>
      <x:c r="AD2549" s="1" t="str">
        <x:f>IF(AB2549=0,"",INDEX($F$1531:$F$2030,AB2549))</x:f>
      </x:c>
      <x:c r="AE2549" s="1" t="str">
        <x:f>IF(A2549="","",F500)</x:f>
      </x:c>
      <x:c r="AF2549" s="1" t="str">
        <x:f>IF(ISNUMBER(I500),I500,"")</x:f>
      </x:c>
      <x:c r="AG2549" s="1" t="str">
        <x:f>IF(ISNUMBER(J500),J500,"")</x:f>
      </x:c>
      <x:c r="AH2549" s="1" t="str">
        <x:f>IF(I2549=0,"Not contacted",IF(INDEX('Staff Review'!$J$8:$J$507,I2549)="","Not contacted",INDEX('Staff Review'!$J$8:$J$507,I2549)))</x:f>
        <x:v>Not contacted</x:v>
      </x:c>
      <x:c r="AI2549" s="1" t="str">
        <x:f>IF(I2549=0,"No",IF(AND(COUNT(INDEX('Staff Review'!$D$8:$D$507,I2549))=1,INDEX('Staff Review'!$D$8:$D$507,I2549)&gt;=0,COUNT(INDEX('Staff Review'!$E$8:$E$507,I2549))=1,INDEX('Staff Review'!$E$8:$E$507,I2549)&gt;0,INDEX('Staff Review'!$E$8:$E$507,I2549)&lt;='Top 15'!$E$5,'Top 15'!$E$5-INDEX('Staff Review'!$E$8:$E$507,I2549)&lt;='Top 15'!$H$5,LEN(INDEX('Staff Review'!$H$8:$H$507,I2549))&gt;0),"Yes","No"))</x:f>
        <x:v>No</x:v>
      </x:c>
      <x:c r="AJ2549" s="1" t="str">
        <x:f>IF(I2549=0,"No",IF(COUNT(INDEX('Staff Review'!$F$8:$F$507,I2549))&lt;&gt;1,"No",IF(AND(INDEX('Staff Review'!$F$8:$F$507,I2549)&gt;=0,MOD(INDEX('Staff Review'!$F$8:$F$507,I2549),1)=0,COUNT(INDEX('Staff Review'!$G$8:$G$507,I2549))=1,INDEX('Staff Review'!$G$8:$G$507,I2549)&gt;0,INDEX('Staff Review'!$G$8:$G$507,I2549)&lt;='Top 15'!$E$5,'Top 15'!$E$5-INDEX('Staff Review'!$G$8:$G$507,I2549)&lt;='Top 15'!$H$5,LEN(INDEX('Staff Review'!$H$8:$H$507,I2549))&gt;0),"Yes","No")))</x:f>
        <x:v>No</x:v>
      </x:c>
      <x:c r="AK2549" s="1" t="n">
        <x:f>IF(A2549="",0,COUNTIFS($A$2:$A$501,A2549))</x:f>
        <x:v>0</x:v>
      </x:c>
      <x:c r="AL2549" s="1" t="n">
        <x:f>IF(V2549="Candidate",1,0)</x:f>
        <x:v>0</x:v>
      </x:c>
      <x:c r="AM2549" s="1" t="n">
        <x:f>IF(A2549="",0,VALUE(A2549))</x:f>
        <x:v>0</x:v>
      </x:c>
      <x:c r="AN2549" s="1" t="n">
        <x:f>IF(OR(A2549="",COUNTIFS($T$41:$T$540,A2549)&lt;&gt;1),0,MATCH(A2549,$T$41:$T$540,0))</x:f>
        <x:v>0</x:v>
      </x:c>
      <x:c r="AO2549" t="n">
        <x:f>IF(ISNUMBER(W2549),W2549,10000+AM2549)</x:f>
        <x:v>10000</x:v>
      </x:c>
    </x:row>
    <x:row r="2550" ht="22" customHeight="1">
      <x:c r="A2550" s="1" t="str">
        <x:f>IF(A501="","",A501)</x:f>
      </x:c>
      <x:c r="B2550" s="1" t="str">
        <x:f>IF(A2550="","",B501)</x:f>
      </x:c>
      <x:c r="C2550" s="1" t="str">
        <x:f>IF(A2550="","",C501)</x:f>
      </x:c>
      <x:c r="D2550" s="1" t="str">
        <x:f>IF(A2550="","",E501)</x:f>
      </x:c>
      <x:c r="E2550" s="1" t="str">
        <x:f>IF(A2550="","",H501)</x:f>
      </x:c>
      <x:c r="F2550" s="1" t="str">
        <x:f>IF(ISNUMBER(K501),K501,"")</x:f>
      </x:c>
      <x:c r="G2550" s="1" t="str">
        <x:f>IF(ISNUMBER(L501),L501,"")</x:f>
      </x:c>
      <x:c r="H2550" s="1" t="str">
        <x:f>IF(A2550="","",IF(AND(UPPER(G501)="PHILADELPHIA",OR(C2550="District",AND(C2550="Charter",D501="Yes"))),"Yes","No"))</x:f>
      </x:c>
      <x:c r="I2550" s="1" t="n">
        <x:f>IF(OR(A2550="",COUNTIFS('Staff Review'!$A$8:$A$507,A2550)&lt;&gt;1),0,MATCH(A2550,'Staff Review'!$A$8:$A$507,0))</x:f>
        <x:v>0</x:v>
      </x:c>
      <x:c r="J2550" s="1" t="str">
        <x:f>IF(I2550=0,"No",IF(INDEX('Staff Review'!$C$8:$C$507,I2550)="Yes","Yes","No"))</x:f>
        <x:v>No</x:v>
      </x:c>
      <x:c r="K2550" s="1" t="str">
        <x:f>IF(AI2550="Yes",INDEX('Staff Review'!$D$8:$D$507,I2550),IF(AB2550=0,"",IF(COUNT(INDEX($C$1531:$C$2030,AB2550))=1,INDEX($C$1531:$C$2030,AB2550),"")))</x:f>
      </x:c>
      <x:c r="L2550" s="1" t="str">
        <x:f>IF(AJ2550="Yes",INDEX('Staff Review'!$F$8:$F$507,I2550),IF(AB2550=0,"",IF(COUNT(INDEX($G$1531:$G$2030,AB2550))=1,INDEX($G$1531:$G$2030,AB2550),"")))</x:f>
      </x:c>
      <x:c r="M2550" s="1" t="str">
        <x:f>IF(A2550="","",IF(AI2550="Yes","Verified","Listed"))</x:f>
      </x:c>
      <x:c r="N2550" s="1" t="str">
        <x:f>IF(A2550="","",IF(AJ2550="Yes","Verified","Listed"))</x:f>
      </x:c>
      <x:c r="O2550" s="1" t="str">
        <x:f>IF(AND(ISNUMBER(G2550),G2550&gt;=0,G2550&lt;=1),IF(G2550&gt;=0.9,30,IF(G2550&gt;=0.8,25,IF(G2550&gt;=0.7,20,IF(G2550&gt;=0.6,15,IF(G2550&gt;=0.5,10,IF(G2550&gt;=0.4,5,0)))))),"")</x:f>
      </x:c>
      <x:c r="P2550" s="1" t="str">
        <x:f>IF(ISNUMBER(K2550),IF(K2550&lt;0,"",IF(K2550&gt;1,25,IF(K2550&gt;=0.75,20,IF(K2550&gt;=0.5,15,IF(K2550&gt;=0.25,10,5))))),"")</x:f>
      </x:c>
      <x:c r="Q2550" s="1" t="str">
        <x:f>IF(NOT(ISNUMBER(L2550)),"",IF(AND(L2550&gt;=0,MOD(L2550,1)=0),MAX(0,25-5*L2550),""))</x:f>
      </x:c>
      <x:c r="R2550" s="1" t="str">
        <x:f>IF(NOT(ISNUMBER(F2550)),"",IF(AND(F2550&gt;0,MOD(F2550,1)=0),IF(F2550&gt;=700,5,IF(F2550&gt;=500,4,IF(F2550&gt;=350,3,IF(F2550&gt;=200,2,1)))),""))</x:f>
      </x:c>
      <x:c r="S2550" s="1" t="str">
        <x:f>IF(COUNT(O2550:R2550)=4,SUM(O2550:R2550),"")</x:f>
      </x:c>
      <x:c r="T2550" s="1" t="str">
        <x:f>IF(OR(COUNT(O2550:R2550)&lt;&gt;4,COUNT('Top 15'!$B$35:$E$35)&lt;&gt;4,MIN('Top 15'!$B$35:$E$35)&lt;0,SUM('Top 15'!$B$35:$E$35)&lt;=0),"",ROUND(85*(O2550/30*'Top 15'!$B$35+P2550/25*'Top 15'!$C$35+Q2550/25*'Top 15'!$D$35+R2550/5*'Top 15'!$E$35)/SUM('Top 15'!$B$35:$E$35),6))</x:f>
      </x:c>
      <x:c r="U2550" s="1" t="str">
        <x:f>IF(A2550="","",IF(AND(M2550="Verified",N2550="Verified"),"Verified",IF(AND(M2550="Listed",N2550="Listed"),"Listed","Mixed")))</x:f>
      </x:c>
      <x:c r="V2550" s="1" t="str">
        <x:f>IF(A2550="","",IF(AK2550&lt;&gt;1,"Duplicate source ID",IF(COUNTIFS('Staff Review'!$A$8:$A$507,A2550)&gt;1,"Duplicate review ID",IF(H2550&lt;&gt;"Yes","Outside scope",IF(J2550="Yes","Already served",IF(NOT(ISNUMBER(T2550)),"Missing data","Candidate"))))))</x:f>
      </x:c>
      <x:c r="W2550" s="1" t="str">
        <x:f>IF(AL2550=0,"",1+COUNTIFS($AL$2051:$AL$2550,1,$T$2051:$T$2550,"&gt;"&amp;T2550)+COUNTIFS($AL$2051:$AL$2550,1,$T$2051:$T$2550,T2550,$G$2051:$G$2550,"&gt;"&amp;G2550)+COUNTIFS($AL$2051:$AL$2550,1,$T$2051:$T$2550,T2550,$G$2051:$G$2550,G2550,$F$2051:$F$2550,"&gt;"&amp;F2550)+COUNTIFS($AL$2051:$AL$2550,1,$T$2051:$T$2550,T2550,$G$2051:$G$2550,G2550,$F$2051:$F$2550,F2550,$AM$2051:$AM$2550,"&lt;"&amp;AM2550))</x:f>
      </x:c>
      <x:c r="X2550" s="1" t="str">
        <x:f>IF(AL2550=0,"",1+COUNTIFS($AL$2051:$AL$2550,1,$T$2051:$T$2550,"&gt;"&amp;T2550))</x:f>
      </x:c>
      <x:c r="Y2550" s="1" t="n">
        <x:f>IF(AND(H2550="Yes",OR(LEN('School Search'!$B$5)=0,ISNUMBER(SEARCH('School Search'!$B$5,B2550&amp;" "&amp;E2550&amp;" "&amp;A2550))),OR('School Search'!$D$5="All",C2550='School Search'!$D$5),OR('School Search'!$G$5="All eligible",AND('School Search'!$G$5="Not marked served",J2550&lt;&gt;"Yes"),AND('School Search'!$G$5="Missing data",V2550="Missing data"),AND('School Search'!$G$5="Marked served",J2550="Yes"))),1,0)</x:f>
        <x:v>0</x:v>
      </x:c>
      <x:c r="Z2550" s="1" t="str">
        <x:f>IF(Y2550=0,"",COUNTIFS($Y$2051:$Y$2550,1,$AO$2051:$AO$2550,"&lt;"&amp;AO2550)+COUNTIFS($Y$2051:Y2550,1,$AO$2051:AO2550,AO2550))</x:f>
      </x:c>
      <x:c r="AA2550" s="1" t="str">
        <x:f>IF(NOT(ISNUMBER(S2550)),"Missing demographic or access input",TEXT(G2550,"0%")&amp;" economic need; "&amp;TEXT(K2550,"0.00")&amp;" mi fresh access; "&amp;L2550&amp;" nearby resources")</x:f>
        <x:v>Missing demographic or access input</x:v>
      </x:c>
      <x:c r="AB2550" s="1" t="n">
        <x:f>IF(OR(A2550="",COUNTIFS($A$1531:$A$2030,A2550)&lt;&gt;1),0,MATCH(A2550,$A$1531:$A$2030,0))</x:f>
        <x:v>0</x:v>
      </x:c>
      <x:c r="AC2550" s="1" t="str">
        <x:f>IF(AB2550=0,"",INDEX($E$1531:$E$2030,AB2550))</x:f>
      </x:c>
      <x:c r="AD2550" s="1" t="str">
        <x:f>IF(AB2550=0,"",INDEX($F$1531:$F$2030,AB2550))</x:f>
      </x:c>
      <x:c r="AE2550" s="1" t="str">
        <x:f>IF(A2550="","",F501)</x:f>
      </x:c>
      <x:c r="AF2550" s="1" t="str">
        <x:f>IF(ISNUMBER(I501),I501,"")</x:f>
      </x:c>
      <x:c r="AG2550" s="1" t="str">
        <x:f>IF(ISNUMBER(J501),J501,"")</x:f>
      </x:c>
      <x:c r="AH2550" s="1" t="str">
        <x:f>IF(I2550=0,"Not contacted",IF(INDEX('Staff Review'!$J$8:$J$507,I2550)="","Not contacted",INDEX('Staff Review'!$J$8:$J$507,I2550)))</x:f>
        <x:v>Not contacted</x:v>
      </x:c>
      <x:c r="AI2550" s="1" t="str">
        <x:f>IF(I2550=0,"No",IF(AND(COUNT(INDEX('Staff Review'!$D$8:$D$507,I2550))=1,INDEX('Staff Review'!$D$8:$D$507,I2550)&gt;=0,COUNT(INDEX('Staff Review'!$E$8:$E$507,I2550))=1,INDEX('Staff Review'!$E$8:$E$507,I2550)&gt;0,INDEX('Staff Review'!$E$8:$E$507,I2550)&lt;='Top 15'!$E$5,'Top 15'!$E$5-INDEX('Staff Review'!$E$8:$E$507,I2550)&lt;='Top 15'!$H$5,LEN(INDEX('Staff Review'!$H$8:$H$507,I2550))&gt;0),"Yes","No"))</x:f>
        <x:v>No</x:v>
      </x:c>
      <x:c r="AJ2550" s="1" t="str">
        <x:f>IF(I2550=0,"No",IF(COUNT(INDEX('Staff Review'!$F$8:$F$507,I2550))&lt;&gt;1,"No",IF(AND(INDEX('Staff Review'!$F$8:$F$507,I2550)&gt;=0,MOD(INDEX('Staff Review'!$F$8:$F$507,I2550),1)=0,COUNT(INDEX('Staff Review'!$G$8:$G$507,I2550))=1,INDEX('Staff Review'!$G$8:$G$507,I2550)&gt;0,INDEX('Staff Review'!$G$8:$G$507,I2550)&lt;='Top 15'!$E$5,'Top 15'!$E$5-INDEX('Staff Review'!$G$8:$G$507,I2550)&lt;='Top 15'!$H$5,LEN(INDEX('Staff Review'!$H$8:$H$507,I2550))&gt;0),"Yes","No")))</x:f>
        <x:v>No</x:v>
      </x:c>
      <x:c r="AK2550" s="1" t="n">
        <x:f>IF(A2550="",0,COUNTIFS($A$2:$A$501,A2550))</x:f>
        <x:v>0</x:v>
      </x:c>
      <x:c r="AL2550" s="1" t="n">
        <x:f>IF(V2550="Candidate",1,0)</x:f>
        <x:v>0</x:v>
      </x:c>
      <x:c r="AM2550" s="1" t="n">
        <x:f>IF(A2550="",0,VALUE(A2550))</x:f>
        <x:v>0</x:v>
      </x:c>
      <x:c r="AN2550" s="1" t="n">
        <x:f>IF(OR(A2550="",COUNTIFS($T$41:$T$540,A2550)&lt;&gt;1),0,MATCH(A2550,$T$41:$T$540,0))</x:f>
        <x:v>0</x:v>
      </x:c>
      <x:c r="AO2550" t="n">
        <x:f>IF(ISNUMBER(W2550),W2550,10000+AM2550)</x:f>
        <x:v>10000</x:v>
      </x:c>
    </x:row>
  </x:sheetData>
  <x:pageMargins left="0.7" right="0.7" top="0.75" bottom="0.75" header="0.3" footer="0.3"/>
  <x:tableParts count="6">
    <x:tablePart xmlns:r="http://schemas.openxmlformats.org/officeDocument/2006/relationships" r:id="R464fcc19acde413e"/>
    <x:tablePart xmlns:r="http://schemas.openxmlformats.org/officeDocument/2006/relationships" r:id="R385e56a2de1b4506"/>
    <x:tablePart xmlns:r="http://schemas.openxmlformats.org/officeDocument/2006/relationships" r:id="R5a1740f584834028"/>
    <x:tablePart xmlns:r="http://schemas.openxmlformats.org/officeDocument/2006/relationships" r:id="R17d2eaf8b9c14c39"/>
    <x:tablePart xmlns:r="http://schemas.openxmlformats.org/officeDocument/2006/relationships" r:id="Re426cb7777c74577"/>
    <x:tablePart xmlns:r="http://schemas.openxmlformats.org/officeDocument/2006/relationships" r:id="R6e15854275a44f53"/>
  </x:tableParts>
</x:worksheet>
</file>